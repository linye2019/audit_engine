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35" activeTab="3"/>
  </bookViews>
  <sheets>
    <sheet name="Sheet1" sheetId="1" r:id="rId1"/>
    <sheet name="Sheet1 (2)" sheetId="4" r:id="rId2"/>
    <sheet name="Sheet2" sheetId="2" r:id="rId3"/>
    <sheet name="Sheet4" sheetId="5" r:id="rId4"/>
  </sheets>
  <definedNames>
    <definedName name="_xlnm._FilterDatabase" localSheetId="0" hidden="1">Sheet1!$A$4:$AJ$434</definedName>
    <definedName name="_xlnm._FilterDatabase" localSheetId="1" hidden="1">'Sheet1 (2)'!$A$4:$AE$384</definedName>
    <definedName name="_xlnm._FilterDatabase" localSheetId="2" hidden="1">Sheet2!$A$1:$W$381</definedName>
    <definedName name="_xlnm._FilterDatabase" localSheetId="3" hidden="1">Sheet4!$A$1:$AA$196</definedName>
    <definedName name="_xlnm.Print_Titles" localSheetId="0">Sheet1!$3:$4</definedName>
    <definedName name="_xlnm.Print_Titles" localSheetId="1">'Sheet1 (2)'!$3:$4</definedName>
  </definedNames>
  <calcPr calcId="144525"/>
</workbook>
</file>

<file path=xl/sharedStrings.xml><?xml version="1.0" encoding="utf-8"?>
<sst xmlns="http://schemas.openxmlformats.org/spreadsheetml/2006/main" count="14703" uniqueCount="1651">
  <si>
    <t>附件2</t>
  </si>
  <si>
    <t>神经系统类立项指南项目价格拟定情况</t>
  </si>
  <si>
    <t>神经系统立项指南项目</t>
  </si>
  <si>
    <t>现行价格项目（颅内镜辅助操作费用纳入测算）</t>
  </si>
  <si>
    <t>序号</t>
  </si>
  <si>
    <t>项目代码</t>
  </si>
  <si>
    <t>项目名称</t>
  </si>
  <si>
    <t>归集口径</t>
  </si>
  <si>
    <t>服务产出</t>
  </si>
  <si>
    <t>价格构成</t>
  </si>
  <si>
    <t>计价单位</t>
  </si>
  <si>
    <t>计价说明</t>
  </si>
  <si>
    <t>省三甲价格</t>
  </si>
  <si>
    <t>省三甲以下价格</t>
  </si>
  <si>
    <t>平移价格
(市级)</t>
  </si>
  <si>
    <t>平移价格
(县级)</t>
  </si>
  <si>
    <t>平移价格
(基层)</t>
  </si>
  <si>
    <t>拟定价格
(市级)</t>
  </si>
  <si>
    <t>拟定价格
(县级)</t>
  </si>
  <si>
    <t>拟定价格
(基层)</t>
  </si>
  <si>
    <t>医保属性</t>
  </si>
  <si>
    <t>医保限定支付范围</t>
  </si>
  <si>
    <t>个人先行自付比例</t>
  </si>
  <si>
    <t>调整情况</t>
  </si>
  <si>
    <t>备注</t>
  </si>
  <si>
    <t>国家结算编码</t>
  </si>
  <si>
    <t>项目编码</t>
  </si>
  <si>
    <t>项目内涵</t>
  </si>
  <si>
    <t>除外内容</t>
  </si>
  <si>
    <t>说明</t>
  </si>
  <si>
    <t>三甲</t>
  </si>
  <si>
    <t>三甲以下</t>
  </si>
  <si>
    <t>价格
(市级)</t>
  </si>
  <si>
    <t>价格
(县级)</t>
  </si>
  <si>
    <t>价格
(基层)</t>
  </si>
  <si>
    <t>012401000010000</t>
  </si>
  <si>
    <t>脑电图检查费</t>
  </si>
  <si>
    <t>检查费</t>
  </si>
  <si>
    <t>通过脑电图仪器采集分析脑电活动。</t>
  </si>
  <si>
    <t>所定价格涵盖设备准备、安装、记录、分析、出具报告等步骤所需的人力资源和基本物质资源消耗。</t>
  </si>
  <si>
    <t>次</t>
  </si>
  <si>
    <t>1.本项目所称“特殊电极脑电图检查”指：使用鼻咽、蝶骨、皮层特殊电极进行脑电图检查。
2.本项目所称“特殊诱发脑电图检查”指：光、电等特殊诱发后进行脑电图检查。
3.本项目所称“高密度脑电图”指：128导联及以上脑电图。
4.4个小时及以内按一次收费，4个小时以上每增加1小时加收15%。</t>
  </si>
  <si>
    <t>医保</t>
  </si>
  <si>
    <t/>
  </si>
  <si>
    <t>平移取整</t>
  </si>
  <si>
    <t>加权平移取整，基层调整理顺比价</t>
  </si>
  <si>
    <t>003101000010000-310100001</t>
  </si>
  <si>
    <t>脑电图</t>
  </si>
  <si>
    <t>含深呼吸诱发，至少8导</t>
  </si>
  <si>
    <t>脑电发生源定位加收50%；术中监测基层17元/小时，县级医院20元/小时，市级医院22元/小时</t>
  </si>
  <si>
    <t>003101000010001-31010000101</t>
  </si>
  <si>
    <t>脑电图（脑电发生源定位）</t>
  </si>
  <si>
    <t>脑电发生源定位</t>
  </si>
  <si>
    <t>003101000030000-310100003</t>
  </si>
  <si>
    <t>脑地形图</t>
  </si>
  <si>
    <t>含二维脑地形图(至少16导)</t>
  </si>
  <si>
    <t>003101000040000-310100004</t>
  </si>
  <si>
    <t>动态脑电图</t>
  </si>
  <si>
    <t>包括24小时脑电视频监测或脑电Holter</t>
  </si>
  <si>
    <t>003101000040100-31010000401</t>
  </si>
  <si>
    <t>动态脑电图（24小时脑电视频监测）</t>
  </si>
  <si>
    <t>24小时脑电视频监测</t>
  </si>
  <si>
    <t>003101000040200-31010000402</t>
  </si>
  <si>
    <t>动态脑电图（24小时脑电Holter）</t>
  </si>
  <si>
    <t>24小时脑电Holter</t>
  </si>
  <si>
    <t>003101000050000-310100005</t>
  </si>
  <si>
    <t>脑电图录象监测</t>
  </si>
  <si>
    <t>含摄像观测患者行为及脑电图监测</t>
  </si>
  <si>
    <t>小时</t>
  </si>
  <si>
    <t>颅内电极视频脑电图录像监测市级115元/小时，县级105元/小时，基层95元/小时。</t>
  </si>
  <si>
    <t>分项</t>
  </si>
  <si>
    <t>012401000010001</t>
  </si>
  <si>
    <t>脑电图检查费-床旁（加收）</t>
  </si>
  <si>
    <t>新增加收项目，按比价关系拟定（床旁统一加收价格）</t>
  </si>
  <si>
    <t>012401000010011</t>
  </si>
  <si>
    <t>脑电图检查费-特殊电极脑电图检查（加收）</t>
  </si>
  <si>
    <t>省级按项目间及区域间比价关系定价，我市按比价关系拟定。（同床旁加收）</t>
  </si>
  <si>
    <t>003101000020000-310100002</t>
  </si>
  <si>
    <t>特殊脑电图</t>
  </si>
  <si>
    <t>包括特殊电极(鼻咽或蝶骨或皮层等)、特殊诱发</t>
  </si>
  <si>
    <t>003101000020100-31010000201</t>
  </si>
  <si>
    <t>特殊脑电图（特殊电极鼻咽或蝶骨或皮层等）</t>
  </si>
  <si>
    <t>特殊电极(鼻咽或蝶骨或皮层等)</t>
  </si>
  <si>
    <t>012401000010021</t>
  </si>
  <si>
    <t>脑电图检查费-特殊诱发脑电图检查（加收）</t>
  </si>
  <si>
    <t>003101000020200-31010000202</t>
  </si>
  <si>
    <t>特殊脑电图（特殊诱发）</t>
  </si>
  <si>
    <t>特殊诱发</t>
  </si>
  <si>
    <t>012401000010031</t>
  </si>
  <si>
    <t>脑电图检查费-高密度脑电图检查（加收）</t>
  </si>
  <si>
    <t>4个小时及以内按一次收费，4个小时以上每增加1小时加收15%。</t>
  </si>
  <si>
    <t>无开展量，按项目间比价关系拟定</t>
  </si>
  <si>
    <t>003101000050000-31010000501</t>
  </si>
  <si>
    <t>颅内电极视频脑电图录像监测</t>
  </si>
  <si>
    <t>颅内脑电图是一种癫痫外科术前的评估手段，通过前期置入颅内电极，在癫痫视频脑电监测单元记录颅内大脑表面皮层和大脑深部电活动并直接电刺激，并同期录像患者临床表现确定局灶性癫痫患者致痫区，可定位一些致痫区位于的局灶性癫痫。</t>
  </si>
  <si>
    <t>012401000020000</t>
  </si>
  <si>
    <t>脑磁图检查费</t>
  </si>
  <si>
    <t>通过仪器采集分析脑磁图电波。</t>
  </si>
  <si>
    <t>所定价格涵盖设备准备、安装、定位、采集、记录、出具报告等步骤所需的人力资源和基本物质资源消耗。</t>
  </si>
  <si>
    <t>脑功能区定位三甲医院按照1400元/次收取，三甲以下医院按照1260元/次收取。
脑功能区定位市级医院按照1300元/次收取，县级医院按照1200元/次收取，基层按1020元/次收取。</t>
  </si>
  <si>
    <t>非医保</t>
  </si>
  <si>
    <t>新增价格</t>
  </si>
  <si>
    <t>新增价格，检查适当缩小价差</t>
  </si>
  <si>
    <t>003101000060000-310100006</t>
  </si>
  <si>
    <t>脑磁图</t>
  </si>
  <si>
    <t>脑磁图检查费（脑功能区定位）</t>
  </si>
  <si>
    <t>新增加收项目，按主项的1/3拟定</t>
  </si>
  <si>
    <t>012401000030000</t>
  </si>
  <si>
    <t>针极肌电图检查费</t>
  </si>
  <si>
    <t>通过仪器采集分析静息状态或特定运动中各组肌群数据。</t>
  </si>
  <si>
    <t>所定价格涵盖设备准备、安装、采集、分析、出具报告等步骤所需的人力资源和基本物质资源消耗。</t>
  </si>
  <si>
    <t>1.次指1条肌肉，每增加1条肌肉加收50%，以12条肌肉费用设置封顶线。
2.震颤分析按单侧（头部左右侧、单肢）收费。</t>
  </si>
  <si>
    <t>限有明确的神经肌肉功能障碍，每年医保支付不超过4次，医保支付间隔时间不短于14天。</t>
  </si>
  <si>
    <t>理顺，提高</t>
  </si>
  <si>
    <t>我市原项目价格仅为省级价格的73.3%，现提高理顺。</t>
  </si>
  <si>
    <t>003101000150000-310100015</t>
  </si>
  <si>
    <t>感觉阈值测量</t>
  </si>
  <si>
    <t>包括感觉障碍电生理诊断</t>
  </si>
  <si>
    <t>003101000210000-310100021</t>
  </si>
  <si>
    <t>植物神经功能检查</t>
  </si>
  <si>
    <t>003101000220000-310100022</t>
  </si>
  <si>
    <t>多功能神经肌肉功能监测</t>
  </si>
  <si>
    <t>包括表面肌电测定</t>
  </si>
  <si>
    <t>003101000220100-31010002201</t>
  </si>
  <si>
    <t>多功能神经肌肉功能监测（表面肌电测定）</t>
  </si>
  <si>
    <t>003101000230000-310100023</t>
  </si>
  <si>
    <t>肌电图</t>
  </si>
  <si>
    <t>包括眼肌电图</t>
  </si>
  <si>
    <t>一次性针电极</t>
  </si>
  <si>
    <t>每条肌肉</t>
  </si>
  <si>
    <t>限有明确的神经肌肉功能障碍，一个疾病过程支付不超过两次。</t>
  </si>
  <si>
    <t>003101000260000-310100026</t>
  </si>
  <si>
    <t>多轨迹断层肌电图</t>
  </si>
  <si>
    <t>003105040030000-310504003</t>
  </si>
  <si>
    <t>面神经肌电图检查</t>
  </si>
  <si>
    <t>1.包括额、眼、上唇及下唇四个功能区；2.每功能区均含双侧</t>
  </si>
  <si>
    <t>每区</t>
  </si>
  <si>
    <t>012401000030001</t>
  </si>
  <si>
    <t>针极肌电图检查费-床旁（加收）</t>
  </si>
  <si>
    <t>012401000030011</t>
  </si>
  <si>
    <t>针极肌电图检查费-单纤维检查（加收）</t>
  </si>
  <si>
    <t>003101000240000-310100024</t>
  </si>
  <si>
    <t>单纤维肌电图</t>
  </si>
  <si>
    <t>012401000030021</t>
  </si>
  <si>
    <t>针极肌电图检查费-震颤分析（加收）</t>
  </si>
  <si>
    <t>单侧</t>
  </si>
  <si>
    <t>　</t>
  </si>
  <si>
    <t>012401000040000</t>
  </si>
  <si>
    <t>神经传导速度测定费</t>
  </si>
  <si>
    <t>通过仪器对感觉神经或混合神经进行测量。</t>
  </si>
  <si>
    <t>所定价格涵盖设备准备、安装、刺激、分析、出具报告等步骤所需的人力资源和基本物质资源消耗。</t>
  </si>
  <si>
    <t>每根神经</t>
  </si>
  <si>
    <t>长时程运动诱发试验按次收费。</t>
  </si>
  <si>
    <t>平移</t>
  </si>
  <si>
    <t>平移，同质化高的检查项目持平省级定价</t>
  </si>
  <si>
    <t>003101000070000-310100007</t>
  </si>
  <si>
    <t>神经传导速度测定</t>
  </si>
  <si>
    <t>含感觉神经与运动神经传导速度、重复神经电刺激</t>
  </si>
  <si>
    <t>每条神经</t>
  </si>
  <si>
    <t>012401000040001</t>
  </si>
  <si>
    <t>神经传导速度测定费-床旁（加收）</t>
  </si>
  <si>
    <t>012401000040011</t>
  </si>
  <si>
    <t>神经传导速度测定费-长时程运动诱发试验（加收）</t>
  </si>
  <si>
    <t>新增加收项目，按比价关系拟定</t>
  </si>
  <si>
    <t>012401000040021</t>
  </si>
  <si>
    <t>神经传导速度测定费-寸移运动神经传导测定（加收）</t>
  </si>
  <si>
    <t>每增加一根神经可加收50%。</t>
  </si>
  <si>
    <t>012401000050000</t>
  </si>
  <si>
    <t>神经电图费</t>
  </si>
  <si>
    <t>通过仪器刺激周围神经，评定H反射、F波、瞬目反射以及重复神经电刺激等周围神经功能。</t>
  </si>
  <si>
    <t>所定价格涵盖设备准备、安装、刺激、记录、分析、出具报告等步骤所需的人力资源和基本物质资源消耗。</t>
  </si>
  <si>
    <t>计价单位改变，根据临床实际，每人次检查约4.8根神经，取整按5根神经计算</t>
  </si>
  <si>
    <t>003101000080000-310100008</t>
  </si>
  <si>
    <t>神经电图</t>
  </si>
  <si>
    <t>含检查F波、H反射、瞬目反射及重复神经电刺激</t>
  </si>
  <si>
    <t>012401000050001</t>
  </si>
  <si>
    <t>神经电图费-床旁（加收）</t>
  </si>
  <si>
    <t>012401000060000</t>
  </si>
  <si>
    <t>皮肤交感反应检查费</t>
  </si>
  <si>
    <t>通过仪器刺激对四肢交感神经功能进行检查。</t>
  </si>
  <si>
    <t>所定价格涵盖设备准备、安装、刺激、采集、分析、出具报告等步骤所需的人力资源和基本物质资源消耗。</t>
  </si>
  <si>
    <t>012401000070000</t>
  </si>
  <si>
    <t>事件相关电位费</t>
  </si>
  <si>
    <t>通过采集脑诱发电位，对患者注意力、记忆力等认知功能进行评估。</t>
  </si>
  <si>
    <t>项</t>
  </si>
  <si>
    <t>以3项费用设置封顶线。</t>
  </si>
  <si>
    <t>理顺，降低</t>
  </si>
  <si>
    <t>平移后县级按不高于省级拟定</t>
  </si>
  <si>
    <t>003101000110000-310100011</t>
  </si>
  <si>
    <t>事件相关电位</t>
  </si>
  <si>
    <t>包括视觉、体感刺激P300与听觉P300</t>
  </si>
  <si>
    <t>增加N400检查加收50%</t>
  </si>
  <si>
    <t>003101000110001-31010001101</t>
  </si>
  <si>
    <t>事件相关电位（增加N400检查）</t>
  </si>
  <si>
    <t>增加N400检查</t>
  </si>
  <si>
    <t>012401000080000</t>
  </si>
  <si>
    <t>脑干听觉诱发电位费</t>
  </si>
  <si>
    <t>通过仪器测定主观听阈和双侧听觉诱发电位，评定听觉传导通路功能。</t>
  </si>
  <si>
    <t>不与耳鼻喉科立项指南中的“听阈检查费”同时收取。</t>
  </si>
  <si>
    <t>003101000120000-310100012</t>
  </si>
  <si>
    <t>脑干听觉诱发电位</t>
  </si>
  <si>
    <t>012401000080001</t>
  </si>
  <si>
    <t>脑干听觉诱发电位费-床旁（加收）</t>
  </si>
  <si>
    <t>012401000090000</t>
  </si>
  <si>
    <t>体感诱发电位费</t>
  </si>
  <si>
    <t>通过刺激体感通路采集分析诱发电位。</t>
  </si>
  <si>
    <t>单肢</t>
  </si>
  <si>
    <t>加权平移取整</t>
  </si>
  <si>
    <t>003101000090000-310100009</t>
  </si>
  <si>
    <t>体感诱发电位</t>
  </si>
  <si>
    <t>包括上肢体感诱发电位检查应含头皮、颈部、Erb氏点记录，下肢体感诱发电位检查应含头皮、腰部记录</t>
  </si>
  <si>
    <t>诱发电位地形图分析加收20%；术中监测基层17元/小时，县级医院20元/小时，市级医院22元/小时</t>
  </si>
  <si>
    <t>003101000090001-31010000901</t>
  </si>
  <si>
    <t>体感诱发电位（诱发电位地形图分析）</t>
  </si>
  <si>
    <t>诱发电位地形图分析</t>
  </si>
  <si>
    <t>012401000090001</t>
  </si>
  <si>
    <t>体感诱发电位费-床旁（加收）</t>
  </si>
  <si>
    <t>012401000100000</t>
  </si>
  <si>
    <t>运动诱发电位费</t>
  </si>
  <si>
    <t>通过刺激运动通路采集分析诱发电位。</t>
  </si>
  <si>
    <t>电诊断三甲医院按照34元/单肢收取，三甲以下医院按照31元/单肢收取。
电诊断市级医院按照31元/单肢收取。县级医院按照29元/单肢收取，基层按照25元/单肢收取。</t>
  </si>
  <si>
    <t>003101000100000-310100010</t>
  </si>
  <si>
    <t>运动诱发电位</t>
  </si>
  <si>
    <t>含大脑皮层和周围神经刺激</t>
  </si>
  <si>
    <t>限神经外科术中监测</t>
  </si>
  <si>
    <t>新增分项</t>
  </si>
  <si>
    <t>运动诱发电位费（电诊断）</t>
  </si>
  <si>
    <t>新增项目
根据指导意见，电诊断取数每人次3-4块肌肉和神经，平移后理顺比价</t>
  </si>
  <si>
    <t>003401000070000-340100007</t>
  </si>
  <si>
    <t>电诊断</t>
  </si>
  <si>
    <t>包括直流电检查、感应电检查、直流-感应电检查、时值检查、强度-频率曲线检查、中频脉冲电检查。</t>
  </si>
  <si>
    <t>每块肌肉或每条神经</t>
  </si>
  <si>
    <t>012401000110000</t>
  </si>
  <si>
    <t>睡眠神经多导监测费</t>
  </si>
  <si>
    <t>重点对睡眠状态下患者脑电、肌电、心电等电生理指标进行监测，同步监测患者体动、呼吸行为和功能。</t>
  </si>
  <si>
    <t>不与呼吸系统类立项指南中的“睡眠呼吸监测费”同时收取。</t>
  </si>
  <si>
    <t>新增项目</t>
  </si>
  <si>
    <t>新增项目，按比价关系拟定</t>
  </si>
  <si>
    <t>012401000110001</t>
  </si>
  <si>
    <t>睡眠神经多导监测费-便携睡眠神经多导监测（减收）</t>
  </si>
  <si>
    <t>012401000120000</t>
  </si>
  <si>
    <t>颅内压监测费（有创）</t>
  </si>
  <si>
    <t>通过有创方式监测颅内压变化。</t>
  </si>
  <si>
    <t>所定价格涵盖摆位、设备准备、安装、监测、记录、分析等步骤所需的人力资源和基本物质资源消耗。</t>
  </si>
  <si>
    <t>新增项目。按无创的2倍拟定</t>
  </si>
  <si>
    <t>003101000140000-310100014</t>
  </si>
  <si>
    <t>012401000130000</t>
  </si>
  <si>
    <t>颅内压监测费（无创）</t>
  </si>
  <si>
    <t>通过无创方式监测颅内压变化。</t>
  </si>
  <si>
    <t>平移后按不高于省级拟定，同质化项目缩小差距</t>
  </si>
  <si>
    <t>颅内压监测</t>
  </si>
  <si>
    <t>003112020020000-311202002</t>
  </si>
  <si>
    <t>新生儿测颅压</t>
  </si>
  <si>
    <t>未成年人</t>
  </si>
  <si>
    <t>012401000140000</t>
  </si>
  <si>
    <t>脑血管造影费</t>
  </si>
  <si>
    <t>通过介入方式对脑血管进行造影检查。</t>
  </si>
  <si>
    <t>所定价格涵盖手术计划、术区准备、消毒铺巾、建立通路、脑血管造影、撤除、闭合血管通路等步骤所需的人力资源和基本物质资源消耗。</t>
  </si>
  <si>
    <t>次指3根及以下血管，超过3根血管，每增加1根血管加收20%，以8根血管费用设置封顶线。</t>
  </si>
  <si>
    <r>
      <rPr>
        <sz val="10"/>
        <rFont val="仿宋"/>
        <charset val="134"/>
      </rPr>
      <t>原项目含双侧颈内动脉、颈外动脉、椎动脉，合计6根血管，现拆分为3根血管为基础价，每增加1根加收20%。则原来收取1次费用，现收取1+0.2</t>
    </r>
    <r>
      <rPr>
        <sz val="10"/>
        <rFont val="Arial"/>
        <charset val="134"/>
      </rPr>
      <t>×</t>
    </r>
    <r>
      <rPr>
        <sz val="10"/>
        <rFont val="仿宋"/>
        <charset val="134"/>
      </rPr>
      <t>3=1.6次。按原项目价格除以1.6得出基础价格，取整拟定。</t>
    </r>
  </si>
  <si>
    <t>003206000010000-320600001</t>
  </si>
  <si>
    <t>经股动脉插管全脑动脉造影术</t>
  </si>
  <si>
    <t>含颈动脉、椎动脉，包括经颈动脉插管</t>
  </si>
  <si>
    <t>003206000010000-32060000101</t>
  </si>
  <si>
    <t>小儿经股动脉插管全脑动脉造影术</t>
  </si>
  <si>
    <t>012401000150000</t>
  </si>
  <si>
    <t>脊髓血管造影费</t>
  </si>
  <si>
    <t>通过介入方式对脊髓血管进行造影检查。</t>
  </si>
  <si>
    <t>所定价格涵盖手术计划、术区准备、消毒铺巾、建立通路、脊髓血管造影、撤除、闭合血管通路等步骤所需的人力资源和基本物质资源消耗。</t>
  </si>
  <si>
    <t>次指4根及以下血管，超过4根血管，每增加1根血管加收5%。以12根血管费用设置封顶线。</t>
  </si>
  <si>
    <t>脊髓动脉造影通常需要完成双侧椎动脉、甲状颈干、肋颈干等10根血管，现拆分为4根血管为基础价，每增加1根加收5%。现收取1+0.05×5=1.25次。按原项目价格除以1.25得出基础价格，取整拟定。</t>
  </si>
  <si>
    <t>003206000100000-320600010</t>
  </si>
  <si>
    <t>脊髓动脉造影术</t>
  </si>
  <si>
    <t>003206000100000-32060001001</t>
  </si>
  <si>
    <t>小儿脊髓动脉造影术</t>
  </si>
  <si>
    <t>012401000160000</t>
  </si>
  <si>
    <t>神经电生理定位监测费</t>
  </si>
  <si>
    <t>通过已置入和（或）贴附的电极等监测装置，实时定位和（或）监测术中神经功能状态。</t>
  </si>
  <si>
    <t>所定价格涵盖刺激、定位、监测等步骤所需的人力资源和基本物质资源消耗。</t>
  </si>
  <si>
    <t>肌电图监测按照5元/小时收取。
肌电图监测市级按5元/小时收取，县级按4.8元/小时收取，基层按4.5元/小时收取。</t>
  </si>
  <si>
    <t>理顺</t>
  </si>
  <si>
    <t>加权平移后理顺比价，同质化较高的项目缩小价差</t>
  </si>
  <si>
    <t>003101000130000-310100013</t>
  </si>
  <si>
    <t>术中颅神经监测</t>
  </si>
  <si>
    <t>003101000010000-31010000102</t>
  </si>
  <si>
    <t>脑电图（术中监测）</t>
  </si>
  <si>
    <t>术中监测</t>
  </si>
  <si>
    <t>003101000090000-31010000902</t>
  </si>
  <si>
    <t>体感诱发电位术中监测</t>
  </si>
  <si>
    <t>003302000000002-330202023</t>
  </si>
  <si>
    <t>神经刺激器引导下神经定位</t>
  </si>
  <si>
    <t>使用神经刺激器对各种神经阻滞进行准确定位。</t>
  </si>
  <si>
    <t>半小时</t>
  </si>
  <si>
    <t>神经电生理定位监测费（肌电图监测）</t>
  </si>
  <si>
    <t>003101000250000-310100025</t>
  </si>
  <si>
    <t>肌电图监测</t>
  </si>
  <si>
    <t>013101000010000</t>
  </si>
  <si>
    <t>非侵入式脑机接口适配费</t>
  </si>
  <si>
    <t>治疗费</t>
  </si>
  <si>
    <t>通过外部放置的电极采集脑电信号，进行脑机接口系统的调试和功能监测。</t>
  </si>
  <si>
    <t>所定价格涵盖设备准备、外部电极放置与调整、信号采集与实时监控、算法调试、功能验证、数据分析及系统优化等步骤所需的人力资源和基本物质资源消耗。</t>
  </si>
  <si>
    <t>无需专业技术人员进行适配的产品不得收费。</t>
  </si>
  <si>
    <t>013101000020000</t>
  </si>
  <si>
    <t>无创神经刺激治疗费</t>
  </si>
  <si>
    <t>通过仪器经颅电/磁刺激神经系统的相关部位。</t>
  </si>
  <si>
    <t>所定价格涵盖连接电极、设置参数、电/磁刺激治疗等步骤所需的人力资源和基本物质资源消耗。</t>
  </si>
  <si>
    <t>平移后基层取整</t>
  </si>
  <si>
    <t>003101000310000-310100031</t>
  </si>
  <si>
    <t>慢性小脑电刺激术</t>
  </si>
  <si>
    <t>003101000100000-340100030</t>
  </si>
  <si>
    <t>经颅重复磁刺激治疗</t>
  </si>
  <si>
    <t>用于疾病的中枢治疗。安置记录表面电极，对侧额叶皮层刺激，观察肌肉动作电位波形，判断运动阈值，据此判断最佳刺激部位并根据阈值及病情需要设置刺激的参数，含强度、频率、间隔时间和总时程，对病人进行治疗。</t>
  </si>
  <si>
    <t>013101000030000</t>
  </si>
  <si>
    <t>脑脊液分流调控费</t>
  </si>
  <si>
    <t>通过体外控制装置调整分流管阀门压力参数。</t>
  </si>
  <si>
    <t>所定价格涵盖连接设备、仪器参数调试、数据获取、检测分析等步骤所需的人力资源和基本物质资源消耗。</t>
  </si>
  <si>
    <t>013101000040000</t>
  </si>
  <si>
    <t>神经刺激器适配费</t>
  </si>
  <si>
    <t>对已置入的神经刺激器进行程控测试。</t>
  </si>
  <si>
    <t>所定价格涵盖装置连接、数据读取分析、参数调整、功能优化、安全性检查等步骤所需的人力资源和基本物资消耗。</t>
  </si>
  <si>
    <t>含评估随访。</t>
  </si>
  <si>
    <t>新增价格，按比价关系拟定</t>
  </si>
  <si>
    <t>003302010350000-A330201064</t>
  </si>
  <si>
    <t>A330201064</t>
  </si>
  <si>
    <t>脑深部神经刺激器功能分析和随访调试</t>
  </si>
  <si>
    <t>医生控制器检测，刺激强度调整，疗效观察。</t>
  </si>
  <si>
    <t>自主
定价</t>
  </si>
  <si>
    <t>013101000050000</t>
  </si>
  <si>
    <t>神经阻滞治疗费</t>
  </si>
  <si>
    <t>通过物理压迫或化学毁损的方式阻断神经传递信号。</t>
  </si>
  <si>
    <t>所定价格涵盖术区准备、定位、消毒铺巾、压迫、注药、观察、记录等步骤所需的人力资源和基本物质资源消耗。</t>
  </si>
  <si>
    <t>003101000270000-310100027</t>
  </si>
  <si>
    <t>神经阻滞治疗</t>
  </si>
  <si>
    <t>003101000330000-310100033</t>
  </si>
  <si>
    <t>周围神经毁损术</t>
  </si>
  <si>
    <t>含神经穿刺及注射</t>
  </si>
  <si>
    <t>三叉神经干颅骨外段加收60%；三叉神经节后段加收120%；三叉神经节前段加收180%</t>
  </si>
  <si>
    <t>003101000340000-310100034</t>
  </si>
  <si>
    <t>交感神经节毁损术</t>
  </si>
  <si>
    <t>指颈、胸、腰交感神经节穿刺及注射，含神经穿刺及注射</t>
  </si>
  <si>
    <t>胸交感神经加收50%</t>
  </si>
  <si>
    <t>003101000340001-31010003401</t>
  </si>
  <si>
    <t>交感神经节毁损术（胸交感神经毁损）</t>
  </si>
  <si>
    <t>胸交感神经</t>
  </si>
  <si>
    <t>013101000050001</t>
  </si>
  <si>
    <t>神经阻滞治疗费-三叉神经节（加收）</t>
  </si>
  <si>
    <t>加权平移</t>
  </si>
  <si>
    <t>003101000280000-310100028</t>
  </si>
  <si>
    <t>经皮穿刺三叉神经半月节注射治疗术</t>
  </si>
  <si>
    <t>含神经感觉定位、注射药物、测定疗效范围、局部加压；不含术中影像学检查</t>
  </si>
  <si>
    <t>六岁及以下儿童在原价基础上加收30%</t>
  </si>
  <si>
    <t>003101000280000-31010002801</t>
  </si>
  <si>
    <t>小儿经皮穿刺三叉神经半月节注射治疗术</t>
  </si>
  <si>
    <t>003101000290000-310100029</t>
  </si>
  <si>
    <t>经皮穿刺三叉神经半月节射频温控热凝术</t>
  </si>
  <si>
    <t>含神经感觉定位、射频温控治疗、测定疗效范围、局部加压；包括感觉根射频温控热凝，不含术中影像学检查、全麻</t>
  </si>
  <si>
    <t>003101000290000-31010002901</t>
  </si>
  <si>
    <t>小儿经皮穿刺三叉神经半月节射频温控热凝术</t>
  </si>
  <si>
    <t>003101000300000-310100030</t>
  </si>
  <si>
    <t>经皮穿刺三叉神经干注射术</t>
  </si>
  <si>
    <t>003101000300000-31010003001</t>
  </si>
  <si>
    <t>小儿经皮穿刺三叉神经干注射术</t>
  </si>
  <si>
    <t>003101000330001-31010003301</t>
  </si>
  <si>
    <t>周围神经毁损术（三叉神经干颅骨外段毁损加收）</t>
  </si>
  <si>
    <t>三叉神经干颅骨外段加收</t>
  </si>
  <si>
    <t>003101000330001-31010003302</t>
  </si>
  <si>
    <t>周围神经毁损术（三叉神经节后段毁损加收）</t>
  </si>
  <si>
    <t>三叉神经节后段加收</t>
  </si>
  <si>
    <t>003101000330001-31010003303</t>
  </si>
  <si>
    <t>周围神经毁损术（三叉神经节前段毁损加收）</t>
  </si>
  <si>
    <t>三叉神经节前段加收</t>
  </si>
  <si>
    <t>003302020040000-330202004</t>
  </si>
  <si>
    <t>三叉神经干鞘膜内注射术</t>
  </si>
  <si>
    <t>每神经支</t>
  </si>
  <si>
    <t>003302020040000-33020200401</t>
  </si>
  <si>
    <t>小儿三叉神经干鞘膜内注射术</t>
  </si>
  <si>
    <t>013302000010000</t>
  </si>
  <si>
    <t>侵入式脑机接口置入费</t>
  </si>
  <si>
    <t>手术费</t>
  </si>
  <si>
    <t>通过将脑机接口系统置入大脑皮层或特定神经区域，实时采集神经信号，实现大脑与外部设备的信息交互。</t>
  </si>
  <si>
    <t>所定价格涵盖手术计划、术区准备、消毒铺巾、定位、穿刺或切开、脑电极置入、参数调整、信号调试与验证、固定及缝合等步骤所需的人力资源和基本物质资源消耗。</t>
  </si>
  <si>
    <t>同台手术不得同时收取“侵入式脑机接口取出费”。</t>
  </si>
  <si>
    <t>013302000010001</t>
  </si>
  <si>
    <t>侵入式脑机接口置入费-儿童（加收）</t>
  </si>
  <si>
    <t>儿童加收30%</t>
  </si>
  <si>
    <t>013302000020000</t>
  </si>
  <si>
    <t>侵入式脑机接口取出费</t>
  </si>
  <si>
    <t>通过手术方式将已置入大脑皮层或特定神经区域的脑机接口系统取出。</t>
  </si>
  <si>
    <t>所定价格涵盖手术计划、术区准备、消毒铺巾、定位、穿刺或切开、脑电极取出、信号接口断连、创面修复、固定缝合等步骤所需的人力资源和基本物质资源消耗。</t>
  </si>
  <si>
    <t>013302000020001</t>
  </si>
  <si>
    <t>侵入式脑机接口取出费-儿童（加收）</t>
  </si>
  <si>
    <t>013302000030000</t>
  </si>
  <si>
    <t>脑血管球囊扩张费（介入）</t>
  </si>
  <si>
    <t>通过球囊扩张脑血管。</t>
  </si>
  <si>
    <t>所定价格涵盖手术计划、术区准备、消毒铺巾、建立通路、球囊扩张、撤除、闭合通路，必要时造影确认治疗效果等步骤所需的人力资源和基本物质资源消耗。不含脑血管造影费用。</t>
  </si>
  <si>
    <t>血管</t>
  </si>
  <si>
    <t>1.同一血管扩张颅内和颅外多处狭窄的按2根血管计价，颅内部分适用颅内血管加收。
2.脑静脉窦扩张适用颅内血管加收。
3.脑血管治疗后立即行造影确认治疗效果的，不得重复收取脑血管造影费用。</t>
  </si>
  <si>
    <t>按照省局定价规则，将原项目拆分为颅内外血管定价，颅外血管按原项目5/6定价，设为基础价格，颅内血管设置加收项目，则：主项+颅内加收项=原项目。</t>
  </si>
  <si>
    <t>003206000030000-320600003</t>
  </si>
  <si>
    <t>经皮穿刺脑血管腔内球囊成形术</t>
  </si>
  <si>
    <t>013302000030001</t>
  </si>
  <si>
    <t>脑血管球囊扩张费（介入）-儿童（加收）</t>
  </si>
  <si>
    <t>003206000030000-32060000301</t>
  </si>
  <si>
    <t>小儿经皮穿刺脑血管腔内球囊成形术</t>
  </si>
  <si>
    <t>013302000030011</t>
  </si>
  <si>
    <t>脑血管球囊扩张费（介入）-颅内血管（加收）</t>
  </si>
  <si>
    <t>颅内加收项目，原项目-颅外血管=颅内血管加收项目</t>
  </si>
  <si>
    <t>013302000040000</t>
  </si>
  <si>
    <t>脑血管支架置入费（介入）</t>
  </si>
  <si>
    <t>通过支架扩张脑血管。</t>
  </si>
  <si>
    <t>所定价格涵盖手术计划、术区准备、消毒铺巾、建立通路、支架置入、撤除、闭合通路，必要时球囊扩张及造影确认治疗效果等步骤所需的人力资源和基本物质资源消耗。不含脑血管造影费用。</t>
  </si>
  <si>
    <t>1.同一血管扩张颅内和颅外多处狭窄的按2根血管计价，颅内部分适用颅内血管加收。
2.同一病变部位不与球囊扩张同时收取。
3.脑静脉窦支架置入适用颅内血管加收。
4.脑血管治疗后立即行造影确认治疗效果的，不得重复收取脑血管造影费用。</t>
  </si>
  <si>
    <t>按照省局定价规则，规则同“脑血管球囊扩张费（介入）”，拆分为颅内外，颅外血管按原项目5/6定价，设为基础价格，颅内血管设置加收项目。</t>
  </si>
  <si>
    <t>003206000040000-320600004</t>
  </si>
  <si>
    <t>经皮穿刺脑血管腔内支架置入术</t>
  </si>
  <si>
    <t>013302000040001</t>
  </si>
  <si>
    <t>脑血管支架置入费（介入）-儿童（加收）</t>
  </si>
  <si>
    <t>003206000040000-32060000401</t>
  </si>
  <si>
    <t>小儿经皮穿刺脑血管腔内支架置入术</t>
  </si>
  <si>
    <t>013302000040011</t>
  </si>
  <si>
    <t>脑血管支架置入费（介入）-颅内血管（加收）</t>
  </si>
  <si>
    <t>013302000050000</t>
  </si>
  <si>
    <t>慢性闭塞脑血管逆向再通费（介入）</t>
  </si>
  <si>
    <t>通过血管闭塞端近段及远端两端操作开通血管。</t>
  </si>
  <si>
    <t>所定价格涵盖手术计划、导管送至闭塞段远端、连通闭塞段两端的血管腔、闭合通路，必要时造影确认治疗效果等步骤所需的人力资源和基本物质资源消耗。不含脑血管造影费用。</t>
  </si>
  <si>
    <t>新增项目，按项目间比价关系，持平“脑血管支架置入费（介入）”定价。</t>
  </si>
  <si>
    <t>013302000050001</t>
  </si>
  <si>
    <t>慢性闭塞脑血管逆向再通费（介入）-儿童（加收）</t>
  </si>
  <si>
    <t>013302000050011</t>
  </si>
  <si>
    <t>慢性闭塞脑血管逆向再通费（介入）-颅内血管（加收）</t>
  </si>
  <si>
    <t>013302000060000</t>
  </si>
  <si>
    <t>脑血管腔内减容费（介入）</t>
  </si>
  <si>
    <t>通过激光、旋切、旋磨、振波、血栓抽吸等各种物理或机械方式消除脑血管腔内斑块或血栓。</t>
  </si>
  <si>
    <t>所定价格涵盖手术计划、术区准备、消毒铺巾、建立通路、通过各种方式消除斑块、撤除、闭合通路，必要时造影确认治疗效果等步骤所需的人力资源和基本物质资源消耗。不含脑血管造影费用。</t>
  </si>
  <si>
    <t>平移后县级按不高于省级拟定，基层对应调整</t>
  </si>
  <si>
    <t>353206000120000-320600012</t>
  </si>
  <si>
    <t>经皮穿刺脑血管腔内取栓术</t>
  </si>
  <si>
    <t>DSA持续射线透视下，经股动脉穿刺置入动脉鞘管，在导丝引导下将造影导管分别置于颈动脉、椎动脉造影明确闭塞血管具体部位。采用交换技术将中间导管送至目标血管内，经中间导管将微导管在微导丝引导下缓慢通过血管闭塞处并置于闭塞血管远端。撤出微导丝，微导管内造影定位在血管真腔后，经微导管将取栓支架定位于血管闭塞处释放，再次造影确认支架释放后血管闭塞处情况。然后回拉支架取栓，将血管内血栓经中间导管取出体外。</t>
  </si>
  <si>
    <t>013302000060001</t>
  </si>
  <si>
    <t>脑血管腔内减容费（介入）-儿童（加收）</t>
  </si>
  <si>
    <t>013302000070000</t>
  </si>
  <si>
    <t>脑血管腔内溶栓费（介入）</t>
  </si>
  <si>
    <t>通过介入方式对脑部栓塞的血管进行药物溶栓、疏通治疗。</t>
  </si>
  <si>
    <t>所定价格涵盖手术计划、术区准备、消毒铺巾、建立通路、放置导丝导管、推注溶栓药物、撤出、闭合通路，必要时造影确认治疗效果等步骤所需的人力资源和基本物质资源消耗。不含脑血管造影费用。</t>
  </si>
  <si>
    <t>结合医院日常提出意见，考虑介入手术难度系统和风险程度，给予适当提高体现医务劳务价值。持平“脑血管栓塞费（介入）”拟定
开展量不多，2025年全市19例。</t>
  </si>
  <si>
    <t>003206000050000-320600005</t>
  </si>
  <si>
    <t>经皮穿刺脑血管腔内溶栓术</t>
  </si>
  <si>
    <t>013302000070001</t>
  </si>
  <si>
    <t>脑血管腔内溶栓费（介入）-儿童（加收）</t>
  </si>
  <si>
    <t>003206000050000-32060000501</t>
  </si>
  <si>
    <t>小儿经皮穿刺脑血管腔内溶栓术</t>
  </si>
  <si>
    <t>013302000070100</t>
  </si>
  <si>
    <t>脑血管腔内溶栓费（介入）-脑血管腔内化疗费（扩展）</t>
  </si>
  <si>
    <t>扩展项目按主项价格执行</t>
  </si>
  <si>
    <t>003206000060000-320600006</t>
  </si>
  <si>
    <t>经皮穿刺脑血管腔内化疗术</t>
  </si>
  <si>
    <t>003206000060000-32060000601</t>
  </si>
  <si>
    <t>小儿经皮穿刺脑血管腔内化疗术</t>
  </si>
  <si>
    <t>013302000080000</t>
  </si>
  <si>
    <t>脑血管栓塞费（介入）</t>
  </si>
  <si>
    <t>通过介入方式将栓塞物质导入脑血管。</t>
  </si>
  <si>
    <t>所定价格涵盖完成手术计划、术区准备、消毒铺巾、建立通路、穿刺置管、填塞、撤出、闭合通路，必要时造影确认治疗效果等步骤所需的人力资源和基本物质资源消耗。不含脑血管造影费用。</t>
  </si>
  <si>
    <t>新增项目。
经专家论证，项目难度系数较大，尤其脑血管畸形患者，介入操作时间常常超过1个小时，适当提高以体现劳务价值。</t>
  </si>
  <si>
    <t>013302000080001</t>
  </si>
  <si>
    <t>脑血管栓塞费（介入）-儿童（加收）</t>
  </si>
  <si>
    <t>013302000080011</t>
  </si>
  <si>
    <t>脑血管栓塞费（介入）-脑血管畸形栓塞（加收）</t>
  </si>
  <si>
    <t>按照主项的10%定价</t>
  </si>
  <si>
    <t>003206000020000-320600002</t>
  </si>
  <si>
    <t>单纯脑动静脉瘘栓塞术</t>
  </si>
  <si>
    <t>003206000020000-32060000201</t>
  </si>
  <si>
    <t>小儿单纯脑动静脉瘘栓塞术</t>
  </si>
  <si>
    <t>003206000090000-320600009</t>
  </si>
  <si>
    <t>脑及颅内血管畸形栓塞术</t>
  </si>
  <si>
    <t>003206000090000-32060000901</t>
  </si>
  <si>
    <t>小儿脑及颅内血管畸形栓塞术</t>
  </si>
  <si>
    <t>013302000090000</t>
  </si>
  <si>
    <t>颅内动脉瘤栓塞费（介入）</t>
  </si>
  <si>
    <t>通过介入方式将栓塞物质导入颅内动脉瘤。</t>
  </si>
  <si>
    <t>003206000080000-320600008</t>
  </si>
  <si>
    <t>颅内动脉瘤栓塞术</t>
  </si>
  <si>
    <t>003302030040000-330203004</t>
  </si>
  <si>
    <t>颅内巨大动静脉畸形栓塞后切除术</t>
  </si>
  <si>
    <t>含直径大于4cm动静脉畸形，包括脑干和脑室周围的小于4cm深部血管畸形</t>
  </si>
  <si>
    <t>栓塞剂、微型血管或血管阻断夹</t>
  </si>
  <si>
    <t>003302030030000-330203003</t>
  </si>
  <si>
    <t>颅内动脉瘤包裹术</t>
  </si>
  <si>
    <t>包括肌肉包裹、生物胶包裹、单纯栓塞</t>
  </si>
  <si>
    <t>生物胶</t>
  </si>
  <si>
    <t>013302000090001</t>
  </si>
  <si>
    <t>颅内动脉瘤栓塞费（介入）-儿童（加收）</t>
  </si>
  <si>
    <t>003302030040000-33020300401</t>
  </si>
  <si>
    <t>小儿颅内巨大动静脉畸形栓塞后切除术</t>
  </si>
  <si>
    <t>003302030030000-33020300301</t>
  </si>
  <si>
    <t>小儿颅内动脉瘤包裹术</t>
  </si>
  <si>
    <t>003206000080000-32060000801</t>
  </si>
  <si>
    <t>小儿颅内动脉瘤栓塞术</t>
  </si>
  <si>
    <t>013302000100000</t>
  </si>
  <si>
    <t>脊髓血管栓塞费（介入）</t>
  </si>
  <si>
    <t>通过介入方式将栓塞物质导入脊髓血管。</t>
  </si>
  <si>
    <t>所定价格涵盖完成手术计划、术区准备、消毒铺巾、建立通路、穿刺置管、放置导丝导管、放入微导管、填塞弹簧圈或其他材料、撤出、闭合通路，必要时造影确认治疗效果等步骤所需的人力资源和基本物质资源消耗。不含脑血管造影费用。</t>
  </si>
  <si>
    <t>根据项目间比价关系（与“脑血管栓塞费（介入）”比较）拟定</t>
  </si>
  <si>
    <t>013302000100001</t>
  </si>
  <si>
    <t>脊髓血管栓塞费（介入）-儿童（加收）</t>
  </si>
  <si>
    <t>003206000110000-32060001101</t>
  </si>
  <si>
    <t>小儿脊髓血管畸形栓塞术</t>
  </si>
  <si>
    <t>013302000100011</t>
  </si>
  <si>
    <t>脊髓血管栓塞费（介入）-脊髓血管畸形栓塞（加收）</t>
  </si>
  <si>
    <t>按照主项20%定价</t>
  </si>
  <si>
    <t>003206000110000-320600011</t>
  </si>
  <si>
    <t>脊髓血管畸形栓塞术</t>
  </si>
  <si>
    <t>013302000110000</t>
  </si>
  <si>
    <t>颅内电极置入费（表面电极）</t>
  </si>
  <si>
    <t>将电极和（或）电刺激器等各类信号传导装置临时或永久置入患者颅内。</t>
  </si>
  <si>
    <t>所定价格涵盖手术计划、术区准备、消毒铺巾、定位、穿刺或切开、电极置入、参数调整、效果测试、固定、缝合等步骤所需的人力资源和基本物质资源消耗。</t>
  </si>
  <si>
    <t>1.本项目所称“表面电极”指：不侵入脑实质组织的脑皮层表面或硬膜表面电极。2.同台手术不得同时收取“颅内电极取出费”。</t>
  </si>
  <si>
    <t>无开展量
省级按项目间及区域间比价关系调整定价，我市按比价关系调整。</t>
  </si>
  <si>
    <t>003302010610000-330202021</t>
  </si>
  <si>
    <t>运动皮层电刺激镇痛术</t>
  </si>
  <si>
    <t>用于慢性顽固性疼痛的治疗。消毒，根据中央沟解剖位置标记头部较大“U”形切口，切口范围需包含中央沟、中央前回和中央后回，骨瓣开颅，硬膜外刺激电极可不打开硬脑膜，硬膜下电极需打开硬脑膜，术中唤醒患者。根据对侧正中神经体感诱发电位、直接皮层电刺激、肌电图监测等技术，确定中央前回，将刺激电极覆盖中央前回，并与硬脑膜妥善固定，连接导线进行术中试验刺激，效果满意可同期植入导线和脉冲发生器。不含影像学引导、术中监护、监测、硬膜外腔镜使用。</t>
  </si>
  <si>
    <t>双侧按50%加收</t>
  </si>
  <si>
    <t>003302010610000-330202022</t>
  </si>
  <si>
    <t>运动皮层电刺激镇痛术（双侧）</t>
  </si>
  <si>
    <t>013302000110001</t>
  </si>
  <si>
    <t>颅内电极置入费（表面电极）-儿童（加收）</t>
  </si>
  <si>
    <t>013302000120000</t>
  </si>
  <si>
    <t>颅内电极置入费（深部电极）</t>
  </si>
  <si>
    <t>1.本项目所称“深部电极”指：侵入脑实质组织的电极。
2.次指置入3个及3个以内电极，超过3个电极，每增加1个电极按5%加收。以8个电极置入费用设置封顶线。
3.同台手术不得同时收取“颅内电极取出费”。</t>
  </si>
  <si>
    <t>根据项目间比价关系（与颅内表面电极电极置入费的）和与省级比价关系调整，开展量仅市级8例</t>
  </si>
  <si>
    <t>003302010350000-330201035</t>
  </si>
  <si>
    <t>脑深部电极置入术</t>
  </si>
  <si>
    <t>脉冲发生器套件</t>
  </si>
  <si>
    <t>003302020190000-330202020</t>
  </si>
  <si>
    <t>脑深部电刺激镇痛术</t>
  </si>
  <si>
    <t>用于慢性顽固性疼痛的治疗。消毒，患者佩戴立体定向头架，行磁共振扫描重建图像，计算刺激靶点三维定位坐标，手术室标识头部切口，颅骨钻孔，切开硬脑膜，导入神经微电极行电生理定位，验证解剖定位坐标，置入刺激电极，连接导线进行术中刺激试验，效果满意可同期置入导线和脉冲发生器。常用刺激靶点可选择丘脑腹后外侧核、腹后内侧核、中央中核、束旁核、枕核、第三脑室旁灰质、中央导水管周围灰质等。不含监测、影像学引导、术中监护。</t>
  </si>
  <si>
    <t>神经微电极，人工硬脑膜，内固定材料</t>
  </si>
  <si>
    <t>003302010350000-A330201063</t>
  </si>
  <si>
    <t>A330201063</t>
  </si>
  <si>
    <t>脑深部刺激器置换术</t>
  </si>
  <si>
    <t>含旧刺激器的取出和新刺激器的置入。</t>
  </si>
  <si>
    <t>植入式刺激器</t>
  </si>
  <si>
    <t>013302000120001</t>
  </si>
  <si>
    <t>颅内电极置入费（深部电极）-儿童（加收）</t>
  </si>
  <si>
    <t>003302010350000-33020103501</t>
  </si>
  <si>
    <t>小儿脑深部电极置入术</t>
  </si>
  <si>
    <t>013302000130000</t>
  </si>
  <si>
    <t>颅内电极取出费</t>
  </si>
  <si>
    <t>通过各种方式将置入脑内的电极/电刺激器取出。</t>
  </si>
  <si>
    <t>所定价格涵盖手术计划、术区准备、消毒铺巾、切开、取出、缝合等步骤所需的人力资源和基本物质资源消耗。</t>
  </si>
  <si>
    <t>按照置入费的30%制定。</t>
  </si>
  <si>
    <t>003302010350000-A330201062</t>
  </si>
  <si>
    <t>A330201062</t>
  </si>
  <si>
    <t>脑深部刺激器取出术</t>
  </si>
  <si>
    <t>脑深部刺激器取出。</t>
  </si>
  <si>
    <t>013302000130001</t>
  </si>
  <si>
    <t>颅内电极取出费-儿童（加收）</t>
  </si>
  <si>
    <t>013302000140000</t>
  </si>
  <si>
    <t>脊髓电极置入费</t>
  </si>
  <si>
    <t>将电极和（或）电刺激器等各类信号传导装置临时或永久置入患者脊髓。</t>
  </si>
  <si>
    <t>1.本项目所称“脊髓”指：硬膜外、硬膜下、脊髓表面、脊髓内和椎管内神经根。2.同台手术不得同时收取“脊髓电极取出费”。</t>
  </si>
  <si>
    <t>平移后，县级、基层按比价关系调整</t>
  </si>
  <si>
    <t>003301000180000-310100036</t>
  </si>
  <si>
    <t>经皮穿刺电刺激镇痛术</t>
  </si>
  <si>
    <t>消毒，局麻下穿刺部位准确定位，穿刺后置入硬膜外刺激电极，反复调节电极位置至疼痛相应的脊髓节段或神经病变部位，连接导线进行术中刺激测试，观察镇痛范围和效果，直至刺激范围覆盖疼痛部位或是镇痛效果满意。短时程电刺激镇痛，固定电极连接导线引导至体外，逐层缝合，敷料固定。永久性电刺激镇痛，固定电极后同步体内置入脊髓神经刺激系统及套件，逐层缝合，敷料固定。不含影像学引导</t>
  </si>
  <si>
    <t>神经电极、植入式神经刺激系统及套件</t>
  </si>
  <si>
    <t>限慢性顽固性疼痛及癌痛治疗收取。植入式神经刺激系统及套件限永久性电刺激镇痛收取。</t>
  </si>
  <si>
    <t>013302000140001</t>
  </si>
  <si>
    <t>脊髓电极置入费-儿童（加收）</t>
  </si>
  <si>
    <t>013302000150000</t>
  </si>
  <si>
    <t>脊髓电极取出费</t>
  </si>
  <si>
    <t>通过各种方式将置入脊髓的电极电刺激器取出。</t>
  </si>
  <si>
    <t>置入费为取出费的3.5倍，调整理顺比价。</t>
  </si>
  <si>
    <t>353302040270000-330204025</t>
  </si>
  <si>
    <t>脊髓电刺激电极取出术</t>
  </si>
  <si>
    <t>手术在具有无菌、抢救设备的手术室，消毒，局麻下原切口入路逐层暴露临时延长导线及电极，拆除电极固定装置，拔除完整电极，逐层缝合，敷料固定。不含影像学引导。</t>
  </si>
  <si>
    <t>013302000150001</t>
  </si>
  <si>
    <t>脊髓电极取出费-儿童（加收）</t>
  </si>
  <si>
    <t>013302000160000</t>
  </si>
  <si>
    <t>周围神经电极置入费</t>
  </si>
  <si>
    <t>将电极和（或）电刺激器等各类信号传导装置临时或永久置入患者周围神经。</t>
  </si>
  <si>
    <t>同台手术不得同时收取“周围神经电极取出费”。</t>
  </si>
  <si>
    <t>新增项目，根据项目间比价关系（与脊髓电极置入费）和与省级比价关系拟定</t>
  </si>
  <si>
    <t>013302000160001</t>
  </si>
  <si>
    <t>周围神经电极置入费-儿童（加收）</t>
  </si>
  <si>
    <t>013302000160100</t>
  </si>
  <si>
    <t>周围神经电极置入费-迷走神经刺激器置入（扩展）</t>
  </si>
  <si>
    <t>013302000161100</t>
  </si>
  <si>
    <t>周围神经电极置入费-骶神经刺激装置永久置入（扩展）</t>
  </si>
  <si>
    <t>013302000170000</t>
  </si>
  <si>
    <t>周围神经电极取出费</t>
  </si>
  <si>
    <t>通过各种方式将置入周围神经的电极/电刺激器取出。</t>
  </si>
  <si>
    <t>新增项目，按项目间比价关系拟定（置入费的50%）</t>
  </si>
  <si>
    <t>013302000170001</t>
  </si>
  <si>
    <t>周围神经电极取出费-儿童（加收）</t>
  </si>
  <si>
    <t>013302000180000</t>
  </si>
  <si>
    <t>颅内探查费</t>
  </si>
  <si>
    <t>通过手术探查颅内情况。</t>
  </si>
  <si>
    <t>所定价格涵盖手术计划、术区准备、消毒铺巾、开颅、探查、关颅、缝合、处理手术用具等步骤所需的人力资源和基本物质资源消耗。</t>
  </si>
  <si>
    <t>不与同部位其他手术同时收取。</t>
  </si>
  <si>
    <t>003302010100000-330201010</t>
  </si>
  <si>
    <t>颅骨钻孔探查术</t>
  </si>
  <si>
    <t>两孔以上加收25%</t>
  </si>
  <si>
    <t>003302010100001-33020101001</t>
  </si>
  <si>
    <t>颅骨钻孔探查术（两孔以上）</t>
  </si>
  <si>
    <t>两孔以上</t>
  </si>
  <si>
    <t>013302000180001</t>
  </si>
  <si>
    <t>颅内探查费-儿童（加收）</t>
  </si>
  <si>
    <t>003302010100000-33020101002</t>
  </si>
  <si>
    <t>小儿颅骨钻孔探查术</t>
  </si>
  <si>
    <t>003302010100001-33020101003</t>
  </si>
  <si>
    <t>小儿颅骨钻孔探查术（两孔以上）</t>
  </si>
  <si>
    <t>013302000190000</t>
  </si>
  <si>
    <t>颅脑穿刺引流费</t>
  </si>
  <si>
    <t>通过对硬膜外/硬膜下/脊膜外穿刺、置管引流。</t>
  </si>
  <si>
    <t>所定价格涵盖定位、消毒铺巾、钻孔或切皮钻孔、穿刺、排液、固定、置管引流、缝合等步骤所需的人力资源和基本物质资源消耗。</t>
  </si>
  <si>
    <t>1.颅脑穿刺引流按每钻孔计为一次。
2.腰大池穿刺引流按每脊柱节段计为一次。</t>
  </si>
  <si>
    <t>加权平均后按不高于省级拟定</t>
  </si>
  <si>
    <t>003101000190000-310100019</t>
  </si>
  <si>
    <t>硬脑膜下穿刺术</t>
  </si>
  <si>
    <t>003302010040000-330201004</t>
  </si>
  <si>
    <t>颅内硬膜外血肿引流术</t>
  </si>
  <si>
    <t>包括脓肿引流</t>
  </si>
  <si>
    <t>003302010040100-33020100401</t>
  </si>
  <si>
    <t>颅内硬膜外血肿引流术（脓肿引流）</t>
  </si>
  <si>
    <t>003101000180000-310100018</t>
  </si>
  <si>
    <t>枕大池穿刺术</t>
  </si>
  <si>
    <t>003302010130000-330201013</t>
  </si>
  <si>
    <t>慢性硬膜下血肿钻孔术</t>
  </si>
  <si>
    <t>包括高血压脑出血碎吸术</t>
  </si>
  <si>
    <t>003302010130000-33020101302</t>
  </si>
  <si>
    <t>经颅内镜慢性硬膜下血肿钻孔术</t>
  </si>
  <si>
    <t>013302000190001</t>
  </si>
  <si>
    <t>颅脑穿刺引流费-儿童（加收）</t>
  </si>
  <si>
    <t>003101000190000-31010001901</t>
  </si>
  <si>
    <t>小儿硬脑膜下穿刺术</t>
  </si>
  <si>
    <t>003302010040000-33020100402</t>
  </si>
  <si>
    <t>小儿颅内硬膜外血肿引流术</t>
  </si>
  <si>
    <t>003302010130000-33020101301</t>
  </si>
  <si>
    <t>小儿慢性硬膜下血肿钻孔术</t>
  </si>
  <si>
    <t>003302010130000-33020101303</t>
  </si>
  <si>
    <t>小儿经颅内镜慢性硬膜下血肿钻孔术</t>
  </si>
  <si>
    <t>013302000190011</t>
  </si>
  <si>
    <t>颅脑穿刺引流费-脑内穿刺引流（加收）</t>
  </si>
  <si>
    <t>按主项目20%加收</t>
  </si>
  <si>
    <t>003101000170000-310100017</t>
  </si>
  <si>
    <t>侧脑室穿刺术</t>
  </si>
  <si>
    <t>包括侧脑室引流、注药</t>
  </si>
  <si>
    <t>003101000170200-31010001702</t>
  </si>
  <si>
    <t>侧脑室穿刺术（注药）</t>
  </si>
  <si>
    <t>注药</t>
  </si>
  <si>
    <t>003101000170000-31010001703</t>
  </si>
  <si>
    <t>小儿侧脑室穿刺术</t>
  </si>
  <si>
    <t>003101000170100-31010001701</t>
  </si>
  <si>
    <t>侧脑室穿刺术（侧脑室引流）</t>
  </si>
  <si>
    <t>侧脑室引流</t>
  </si>
  <si>
    <t>003302010050000-330201005</t>
  </si>
  <si>
    <t>脑脓肿穿刺引流术</t>
  </si>
  <si>
    <t>不含开颅脓肿切除术</t>
  </si>
  <si>
    <t>003302010050000-33020100501</t>
  </si>
  <si>
    <t>小儿脑脓肿穿刺引流术</t>
  </si>
  <si>
    <t>003302010200000-330201020</t>
  </si>
  <si>
    <t>脑室钻孔伴脑室引流术</t>
  </si>
  <si>
    <t>003302010200000-33020102001</t>
  </si>
  <si>
    <t>小儿脑室钻孔伴脑室引流术</t>
  </si>
  <si>
    <t>003302010210000-330201021</t>
  </si>
  <si>
    <t>颅内蛛网膜囊肿分流术</t>
  </si>
  <si>
    <t>含囊肿切除</t>
  </si>
  <si>
    <t>003302010210000-33020102101</t>
  </si>
  <si>
    <t>小儿颅内蛛网膜囊肿分流术</t>
  </si>
  <si>
    <t>003302010210000-33020102102</t>
  </si>
  <si>
    <t>经颅内镜颅内蛛网膜囊肿分流术</t>
  </si>
  <si>
    <t>003302010210000-33020102103</t>
  </si>
  <si>
    <t>小儿经颅内镜颅内蛛网膜囊肿分流术</t>
  </si>
  <si>
    <t>013302000190100</t>
  </si>
  <si>
    <t>颅脑穿刺引流费-腰大池穿刺引流（扩展）</t>
  </si>
  <si>
    <t>003302040180000-330204018</t>
  </si>
  <si>
    <t>经皮穿刺骶神经囊肿治疗术</t>
  </si>
  <si>
    <t>003302040180000-33020401801</t>
  </si>
  <si>
    <t>小儿经皮穿刺骶神经囊肿治疗术</t>
  </si>
  <si>
    <t>003101000180000-31010001606</t>
  </si>
  <si>
    <t>腰大池引流术</t>
  </si>
  <si>
    <t>003101000180000-31010001607</t>
  </si>
  <si>
    <t>小儿腰大池引流术</t>
  </si>
  <si>
    <t>013302000200000</t>
  </si>
  <si>
    <t>脑脊液置换费</t>
  </si>
  <si>
    <t>通过引流脑脊液，并注射无菌生理盐水、人工脑脊液等，对脑脊液进行置换。</t>
  </si>
  <si>
    <t>所定价格涵盖手术计划、术区准备、消毒铺巾、穿刺、引流、注射无菌生理盐水或人工脑脊液等步骤所需的人力资源和基本物质资源消耗。</t>
  </si>
  <si>
    <t>提高</t>
  </si>
  <si>
    <t>省级按区域间比价关系调高定价（我省价格位于全国低位），我市按比价关系调整。
经专家论证后，总体价格上浮，该项目技术难度相对低，比价关系控制在省级88%</t>
  </si>
  <si>
    <t>003302040200000-330204020</t>
  </si>
  <si>
    <t>脑脊液置换术</t>
  </si>
  <si>
    <t>013302000200001</t>
  </si>
  <si>
    <t>脑脊液置换费-儿童（加收）</t>
  </si>
  <si>
    <t>003302040200000-33020402001</t>
  </si>
  <si>
    <t>小儿脑脊液置换术</t>
  </si>
  <si>
    <t>013302000210000</t>
  </si>
  <si>
    <t>颅内储液装置置入费</t>
  </si>
  <si>
    <t>通过各种方式在颅内或椎管内置入储液装置及管路，并于皮下置入储液囊。</t>
  </si>
  <si>
    <t>所定价格涵盖定位、切开、置入脑脊液储液装置、缝合等步骤所需的人力资源和基本物质资源消耗。</t>
  </si>
  <si>
    <t>1.储液装置包含药物泵。
2.通过储液装置穿刺向颅内注射药物参照一般治疗中注射项目收费。
3.同台手术不得同时收取“颅内储液装置取出费”。</t>
  </si>
  <si>
    <t>003302040210000-330204021</t>
  </si>
  <si>
    <t>欧玛亚（Omaya）管置入术</t>
  </si>
  <si>
    <t>储液装置</t>
  </si>
  <si>
    <t>储液装置含引流装置与储液囊</t>
  </si>
  <si>
    <t>003302040210000-33020402102</t>
  </si>
  <si>
    <t>经颅内镜欧玛亚（Omaya）管置入术</t>
  </si>
  <si>
    <t>013302000210001</t>
  </si>
  <si>
    <t>颅内储液装置置入费-儿童（加收）</t>
  </si>
  <si>
    <t>003302040210000-33020402101</t>
  </si>
  <si>
    <t>小儿欧玛亚（Omaya）管置入术</t>
  </si>
  <si>
    <t>003302040210000-33020402103</t>
  </si>
  <si>
    <t>小儿经颅内镜欧玛亚（Omaya）管置入术</t>
  </si>
  <si>
    <t>013302000220000</t>
  </si>
  <si>
    <t>颅内储液装置取出费</t>
  </si>
  <si>
    <t>通过各种方式将置入的储液装置及管路取出。</t>
  </si>
  <si>
    <t>新增项目，按照置入费的30%制定。</t>
  </si>
  <si>
    <t>013302000220001</t>
  </si>
  <si>
    <t>颅内储液装置取出费-儿童（加收）</t>
  </si>
  <si>
    <t>013302000230000</t>
  </si>
  <si>
    <t>颅内储液装置换管费</t>
  </si>
  <si>
    <t>通过各种方式更换置入的储液装置及管路。</t>
  </si>
  <si>
    <t>所定价格涵盖手术计划、术区准备、消毒铺巾、切开、更换、缝合等步骤所需的人力资源和基本物质资源消耗。</t>
  </si>
  <si>
    <t>不与“颅内储液装置置入费”、“颅内储液装置取出费”同时收取。</t>
  </si>
  <si>
    <t>新增项目，根据项目间比价关系定价，参照颅内储液装置置入费定价</t>
  </si>
  <si>
    <t>013302000230001</t>
  </si>
  <si>
    <t>颅内储液装置换管费-儿童（加收）</t>
  </si>
  <si>
    <t>013302000240000</t>
  </si>
  <si>
    <t>开颅颅内减压费</t>
  </si>
  <si>
    <t>通过手术去除部分颅骨、脑组织或其他病变部位，降低颅内压。</t>
  </si>
  <si>
    <t>所定价格涵盖手术计划、术区准备、消毒铺巾、开颅、减压处理、缝合等步骤所需的人力资源和基本物质资源消耗。</t>
  </si>
  <si>
    <t>加权平移后，按比价关系理顺比价</t>
  </si>
  <si>
    <t>003302010080000-330201008</t>
  </si>
  <si>
    <t>去颅骨骨瓣减压术</t>
  </si>
  <si>
    <t>003302010160000-330201016</t>
  </si>
  <si>
    <t>开颅颅内减压术</t>
  </si>
  <si>
    <t>包括大脑颞极、额极、枕极切除、颞肌下减压</t>
  </si>
  <si>
    <t>003302010530000-330201053</t>
  </si>
  <si>
    <t>环枕畸形减压术</t>
  </si>
  <si>
    <t>含骨性结构减压、小脑扁桃体切除、硬膜减张缝合术</t>
  </si>
  <si>
    <t>013302000240001</t>
  </si>
  <si>
    <t>开颅颅内减压费-儿童（加收）</t>
  </si>
  <si>
    <t>003302010080000-33020100802</t>
  </si>
  <si>
    <t>小儿去颅骨骨瓣减压术</t>
  </si>
  <si>
    <t>003302010160000-33020101601</t>
  </si>
  <si>
    <t>小儿开颅颅内减压术</t>
  </si>
  <si>
    <t>003302010530000-33020105301</t>
  </si>
  <si>
    <t>小儿环枕畸形减压术</t>
  </si>
  <si>
    <t>013302000250000</t>
  </si>
  <si>
    <t>颅内病变切除费（常规）</t>
  </si>
  <si>
    <t>通过去除、离断、毁损等手术方式治疗颅内病变。</t>
  </si>
  <si>
    <t>所定价格涵盖手术计划、术区准备、消毒铺巾、开颅、探查、治疗病变、关颅等步骤所需的人力资源和和基本物质资源消耗。</t>
  </si>
  <si>
    <t>加权平移后理顺比价</t>
  </si>
  <si>
    <t>003302010140000-330201014</t>
  </si>
  <si>
    <t>颅内多发血肿清除术</t>
  </si>
  <si>
    <t>含同一部位硬膜外、硬膜下、脑内血肿清除术</t>
  </si>
  <si>
    <t>非同一部位血肿基层加收714元，县级医院加收840元，市级医院加收875元</t>
  </si>
  <si>
    <t>003302010140001-33020101401</t>
  </si>
  <si>
    <t>颅内多发血肿清除术（非同一部位血肿）</t>
  </si>
  <si>
    <t>非同一部位血肿</t>
  </si>
  <si>
    <t>003302010150000-330201015</t>
  </si>
  <si>
    <t>颅内血肿清除术</t>
  </si>
  <si>
    <t>包括单纯硬膜外、硬膜下、脑内血肿清除术</t>
  </si>
  <si>
    <t>003302010220000-330201022</t>
  </si>
  <si>
    <t>幕上浅部病变切除术</t>
  </si>
  <si>
    <t>包括大脑半球胶质瘤、转移癌、胶质增生、大脑半球凸面脑膜瘤、脑脓肿；不含矢状窦旁脑膜瘤、大脑镰旁脑膜瘤</t>
  </si>
  <si>
    <t>修补材料</t>
  </si>
  <si>
    <t>003302010250000-330201025</t>
  </si>
  <si>
    <t>第四脑室肿瘤切除术</t>
  </si>
  <si>
    <t>包括小脑下蚓部、四室室管膜瘤、四室导水管囊虫；不含桥脑、延髓突入四室胶质瘤</t>
  </si>
  <si>
    <t>003302010260000-330201026</t>
  </si>
  <si>
    <t>经颅内镜脑室肿瘤切除术</t>
  </si>
  <si>
    <t>003302010280000-330201028</t>
  </si>
  <si>
    <t>脑皮质切除术</t>
  </si>
  <si>
    <t>003302010290000-330201029</t>
  </si>
  <si>
    <t>大脑半球切除术</t>
  </si>
  <si>
    <t>不含术中脑电监测</t>
  </si>
  <si>
    <t>003302010300000-330201030</t>
  </si>
  <si>
    <t>选择性杏仁核海马切除术</t>
  </si>
  <si>
    <t>003302010310000-330201031</t>
  </si>
  <si>
    <t>胼胝体切开术</t>
  </si>
  <si>
    <t>不含癫痫病灶切除术、术中脑电监测</t>
  </si>
  <si>
    <t>003302010320000-330201032</t>
  </si>
  <si>
    <t>多处软脑膜下横纤维切断术</t>
  </si>
  <si>
    <t>003302010330000-330201033</t>
  </si>
  <si>
    <t>癫痫病灶切除术</t>
  </si>
  <si>
    <t>包括病灶切除、软脑膜下烧灼术、脑叶切除；不含术中脑电监测</t>
  </si>
  <si>
    <t>术中发现病灶按肿瘤切除手术计价</t>
  </si>
  <si>
    <t>003302010340000-330201034</t>
  </si>
  <si>
    <t>癫痫刀手术</t>
  </si>
  <si>
    <t>含手术计划系统、CT定位、24小时脑电图动态监测、皮层电极</t>
  </si>
  <si>
    <t>治疗难治性癫痫</t>
  </si>
  <si>
    <t>003302010360000-330201036</t>
  </si>
  <si>
    <t>小脑半球病变切除术</t>
  </si>
  <si>
    <t>包括小脑半球胶质瘤、血管网织细胞瘤、转移癌、脑脓肿、自发性出血</t>
  </si>
  <si>
    <t>003302010380000-330201038</t>
  </si>
  <si>
    <t>鞍区占位病变切除术</t>
  </si>
  <si>
    <t>包括垂体瘤、鞍区颅咽管瘤、视神经胶质瘤；不含侵袭性垂体瘤、突入到第三脑室颅咽管瘤、鞍结节脑膜瘤、下丘脑胶质瘤</t>
  </si>
  <si>
    <t>003302010380000-33020103802</t>
  </si>
  <si>
    <t>经颅内镜鞍区占位病变切除术</t>
  </si>
  <si>
    <t>003302010390000-330201039</t>
  </si>
  <si>
    <t>垂体瘤切除术</t>
  </si>
  <si>
    <t>含取脂肪填塞；包括经口腔、鼻腔</t>
  </si>
  <si>
    <t>003302010390000-33020103902</t>
  </si>
  <si>
    <t>经颅内镜垂体瘤切除术</t>
  </si>
  <si>
    <t>003302010430000-330201043</t>
  </si>
  <si>
    <t>经脑室镜胶样囊肿切除术</t>
  </si>
  <si>
    <t>003302010430000-33020104302</t>
  </si>
  <si>
    <t>经颅内镜经脑室镜胶样囊肿切除术</t>
  </si>
  <si>
    <t>003302010440000-330201044</t>
  </si>
  <si>
    <t>脑囊虫摘除术</t>
  </si>
  <si>
    <t>003302010450000-330201045</t>
  </si>
  <si>
    <t>经颅内镜经鼻蝶垂体肿瘤切除术</t>
  </si>
  <si>
    <t>003302010460000-330201046</t>
  </si>
  <si>
    <t>经颅内镜脑内囊肿造口术</t>
  </si>
  <si>
    <t>003302010470000-330201047</t>
  </si>
  <si>
    <t>经颅内镜脑内异物摘除术</t>
  </si>
  <si>
    <t>需在立体定位下</t>
  </si>
  <si>
    <t>003302010600000-330201060</t>
  </si>
  <si>
    <t>立体定向脑深部核团毁损术</t>
  </si>
  <si>
    <t>包括治疗帕金森氏病、舞蹈病、扭转痉挛、癫痫等；包括射频、细胞刀治疗</t>
  </si>
  <si>
    <t>靶点</t>
  </si>
  <si>
    <t>两个以上“靶点”市级医院加收2160元，县级医院加收1940元，基层医院加收1650元</t>
  </si>
  <si>
    <t>003302010600001-33020106001</t>
  </si>
  <si>
    <t>立体定向脑深部核团毁损术（两个以上“靶点”）</t>
  </si>
  <si>
    <t>两个以上“靶点”</t>
  </si>
  <si>
    <t>003302010590000-330201059</t>
  </si>
  <si>
    <t>立体定向颅内肿物清除术</t>
  </si>
  <si>
    <t>包括血肿、脓肿、肿瘤；含取活检、取异物</t>
  </si>
  <si>
    <t>引流管、脑室储液囊</t>
  </si>
  <si>
    <t>003302010590000-33020105902</t>
  </si>
  <si>
    <t>经颅内镜立体定向颅内肿物清除术</t>
  </si>
  <si>
    <t>003302010060000-330201006</t>
  </si>
  <si>
    <t>开放性颅脑损伤清除术</t>
  </si>
  <si>
    <t>包括火器伤</t>
  </si>
  <si>
    <t>硬膜修补材料</t>
  </si>
  <si>
    <t>静脉窦破裂手术加收1/6</t>
  </si>
  <si>
    <t>013302000250001</t>
  </si>
  <si>
    <t>颅内病变切除费（常规）-儿童（加收）</t>
  </si>
  <si>
    <t>003302010140000-33020101402</t>
  </si>
  <si>
    <t>小儿颅内多发血肿清除术</t>
  </si>
  <si>
    <t>003302010140001-33020101403</t>
  </si>
  <si>
    <t>小儿颅内多发血肿清除术（非同一部位血肿）</t>
  </si>
  <si>
    <t>003302010150000-33020101501</t>
  </si>
  <si>
    <t>小儿颅内血肿清除术</t>
  </si>
  <si>
    <t>003302010220000-33020102201</t>
  </si>
  <si>
    <t>小儿幕上浅部病变切除术</t>
  </si>
  <si>
    <t>003302010250000-33020102501</t>
  </si>
  <si>
    <t>小儿第四脑室肿瘤切除术</t>
  </si>
  <si>
    <t>003302010260000-33020102601</t>
  </si>
  <si>
    <t>小儿经颅内镜脑室肿瘤切除术</t>
  </si>
  <si>
    <t>003302010280000-33020102801</t>
  </si>
  <si>
    <t>小儿脑皮质切除术</t>
  </si>
  <si>
    <t>003302010290000-33020102901</t>
  </si>
  <si>
    <t>小儿大脑半球切除术</t>
  </si>
  <si>
    <t>003302010300000-33020103001</t>
  </si>
  <si>
    <t>小儿选择性杏仁核海马切除术</t>
  </si>
  <si>
    <t>003302010310000-33020103101</t>
  </si>
  <si>
    <t>小儿胼胝体切开术</t>
  </si>
  <si>
    <t>003302010320000-33020103201</t>
  </si>
  <si>
    <t>小儿多处软脑膜下横纤维切断术</t>
  </si>
  <si>
    <t>003302010330000-33020103301</t>
  </si>
  <si>
    <t>小儿癫痫病灶切除术</t>
  </si>
  <si>
    <t>003302010340000-33020103401</t>
  </si>
  <si>
    <t>小儿癫痫刀手术</t>
  </si>
  <si>
    <t>003302010360000-33020103601</t>
  </si>
  <si>
    <t>小儿小脑半球病变切除术</t>
  </si>
  <si>
    <t>003302010380000-33020103801</t>
  </si>
  <si>
    <t>小儿鞍区占位病变切除术</t>
  </si>
  <si>
    <t>003302010380000-33020103803</t>
  </si>
  <si>
    <t>小儿经颅内镜鞍区占位病变切除术</t>
  </si>
  <si>
    <t>003302010390000-33020103901</t>
  </si>
  <si>
    <t>小儿垂体瘤切除术</t>
  </si>
  <si>
    <t>003302010390000-33020103903</t>
  </si>
  <si>
    <t>小儿经颅内镜垂体瘤切除术</t>
  </si>
  <si>
    <t>003302010430000-33020104301</t>
  </si>
  <si>
    <t>小儿经脑室镜胶样囊肿切除术</t>
  </si>
  <si>
    <t>003302010430000-33020104303</t>
  </si>
  <si>
    <t>小儿经颅内镜经脑室镜胶样囊肿切除术</t>
  </si>
  <si>
    <t>003302010440000-33020104401</t>
  </si>
  <si>
    <t>小儿脑囊虫摘除术</t>
  </si>
  <si>
    <t>003302010450000-33020104501</t>
  </si>
  <si>
    <t>小儿经颅内镜经鼻蝶垂体肿瘤切除术</t>
  </si>
  <si>
    <t>003302010460000-33020104601</t>
  </si>
  <si>
    <t>小儿经颅内镜脑内囊肿造口术</t>
  </si>
  <si>
    <t>003302010470000-33020104701</t>
  </si>
  <si>
    <t>小儿经颅内镜脑内异物摘除术</t>
  </si>
  <si>
    <t>003302010590000-33020105901</t>
  </si>
  <si>
    <t>小儿立体定向颅内肿物清除术</t>
  </si>
  <si>
    <t>003302010590000-33020105903</t>
  </si>
  <si>
    <t>小儿经颅内镜立体定向颅内肿物清除术</t>
  </si>
  <si>
    <t>003302010600000-33020106002</t>
  </si>
  <si>
    <t>小儿立体定向脑深部核团毁损术</t>
  </si>
  <si>
    <t>003302010600001-33020106003</t>
  </si>
  <si>
    <t>小儿立体定向脑深部核团毁损术（两个以上“靶点”）</t>
  </si>
  <si>
    <t>003302010060000-33020100602</t>
  </si>
  <si>
    <t>小儿开放性颅脑损伤清除术</t>
  </si>
  <si>
    <t>013302000260000</t>
  </si>
  <si>
    <t>颅内病变切除费（复杂）</t>
  </si>
  <si>
    <t>通过去除、离断、毁损等手术方式治疗复杂颅内病变。</t>
  </si>
  <si>
    <t>本项目所称“复杂”指：幕下病变、累及重要血管（浅部及深部动静脉、静脉窦）、累及功能区、血管病变、多个病灶切除、病变最大径大于30mm、病变弥散。</t>
  </si>
  <si>
    <t>根据项目间比价关系，为常规手术的2.55倍</t>
  </si>
  <si>
    <t>003302010230000-330201023</t>
  </si>
  <si>
    <t>大静脉窦旁脑膜瘤切除+血管窦重建术</t>
  </si>
  <si>
    <t>包括矢状窦、横窦、窦汇区脑膜瘤</t>
  </si>
  <si>
    <t>人工血管</t>
  </si>
  <si>
    <t>003302010240000-330201024</t>
  </si>
  <si>
    <t>幕上深部病变切除术</t>
  </si>
  <si>
    <t>包括脑室内肿瘤、海绵状血管瘤、胼胝体肿瘤、三室前(突入到第三脑室）颅咽管瘤、后部肿瘤、脑脓肿，不含矢状窦旁脑膜瘤</t>
  </si>
  <si>
    <t>003302010370000-330201037</t>
  </si>
  <si>
    <t>脑干肿瘤切除术</t>
  </si>
  <si>
    <t>包括中脑、桥脑、延髓、丘脑肿瘤、自发脑干血肿、脑干血管畸形、小脑实性血网</t>
  </si>
  <si>
    <t>003302010480000-330201048</t>
  </si>
  <si>
    <t>经颅内镜脑室脉络丛烧灼术</t>
  </si>
  <si>
    <t>003302030050000-330203005</t>
  </si>
  <si>
    <t>颅内动静脉畸形切除术</t>
  </si>
  <si>
    <t>含血肿清除、小于4cm动静脉畸形切除</t>
  </si>
  <si>
    <t>003302030060000-330203006</t>
  </si>
  <si>
    <t>脑动脉瘤动静脉畸形切除术</t>
  </si>
  <si>
    <t>含动静脉畸形直径小于4cm，含动脉瘤与动静脉畸形在同一部位</t>
  </si>
  <si>
    <t>动脉瘤与动静脉畸形不在同一部位市级医院加收865元，县级医院加收780元，基层加收665元</t>
  </si>
  <si>
    <t>003302030060001-33020300601</t>
  </si>
  <si>
    <t>脑动脉瘤动静脉畸形切除术（不在同一部位）</t>
  </si>
  <si>
    <t>动脉瘤与动静脉畸形不在同一部位</t>
  </si>
  <si>
    <t>013302000260001</t>
  </si>
  <si>
    <t>颅内病变切除费（复杂）-儿童（加收）</t>
  </si>
  <si>
    <t>003302010230000-33020102301</t>
  </si>
  <si>
    <t>小儿大静脉窦旁脑膜瘤切除+血管窦重建术</t>
  </si>
  <si>
    <t>003302010240000-33020102401</t>
  </si>
  <si>
    <t>小儿幕上深部病变切除术</t>
  </si>
  <si>
    <t>003302010370000-33020103701</t>
  </si>
  <si>
    <t>小儿脑干肿瘤切除术</t>
  </si>
  <si>
    <t>003302010480000-33020104801</t>
  </si>
  <si>
    <t>小儿经颅内镜脑室脉络丛烧灼术</t>
  </si>
  <si>
    <t>003302030050000-33020300501</t>
  </si>
  <si>
    <t>小儿颅内动静脉畸形切除术</t>
  </si>
  <si>
    <t>003302030060000-33020300602</t>
  </si>
  <si>
    <t>小儿脑动脉瘤动静脉畸形切除术</t>
  </si>
  <si>
    <t>003302030060001-33020300603</t>
  </si>
  <si>
    <t>小儿脑动脉瘤动静脉畸形切除术（不在同一部位）</t>
  </si>
  <si>
    <t>013302000270000</t>
  </si>
  <si>
    <t>颅底病变切除费（常规）</t>
  </si>
  <si>
    <t>通过手术切除或清除颅底病变。</t>
  </si>
  <si>
    <t>无开展量，颅脑手术难度系数较大，给予按不超过95%拟定</t>
  </si>
  <si>
    <t>003302010540000-330201054</t>
  </si>
  <si>
    <t>经口齿状突切除术</t>
  </si>
  <si>
    <t>003302010560000-330201056</t>
  </si>
  <si>
    <t>骨纤维异常增殖切除整形术</t>
  </si>
  <si>
    <t>颅骨修补材料</t>
  </si>
  <si>
    <t>013302000270001</t>
  </si>
  <si>
    <t>颅底病变切除费（常规）-儿童（加收）</t>
  </si>
  <si>
    <t>003302010540000-33020105401</t>
  </si>
  <si>
    <t>小儿经口齿状突切除术</t>
  </si>
  <si>
    <t>003302010560000-33020105601</t>
  </si>
  <si>
    <t>小儿骨纤维异常增殖切除整形术</t>
  </si>
  <si>
    <t>013302000280000</t>
  </si>
  <si>
    <t>颅底病变切除费（复杂）</t>
  </si>
  <si>
    <t>通过手术切除或清除颅底的复杂病变。</t>
  </si>
  <si>
    <t>本项目所称“复杂”指：病变累及硬膜内的脑与神经结构、累及重要的脑血管（浅部及深部动静脉、静脉窦）、血管病变、多个病灶切除、病变最大径大于30mm、病变弥散。</t>
  </si>
  <si>
    <t>为常规手术的1.9倍</t>
  </si>
  <si>
    <t>003302010270000-330201027</t>
  </si>
  <si>
    <t>桥小脑角肿瘤切除术</t>
  </si>
  <si>
    <t>包括听神经瘤、三叉神经鞘瘤、胆脂瘤、蛛网膜囊肿；不含面神经吻合术、术中神经电监测</t>
  </si>
  <si>
    <t>003302010400000-330201040</t>
  </si>
  <si>
    <t>经口腔入路颅底斜坡肿瘤切除术</t>
  </si>
  <si>
    <t>包括上颌入路颅底海绵窦侵入肿瘤切除术</t>
  </si>
  <si>
    <t>003302010400100-33020104001</t>
  </si>
  <si>
    <t>经口腔入路颅底斜坡肿瘤切除术-上颌入路颅底海绵窦侵入肿瘤切除术</t>
  </si>
  <si>
    <t>上颌入路颅底海绵窦侵入肿瘤切除术</t>
  </si>
  <si>
    <t>003302010410700-33020104101</t>
  </si>
  <si>
    <t>颅底肿瘤切除术-上颌外旋颅底手术</t>
  </si>
  <si>
    <t>上颌外旋颅底手术</t>
  </si>
  <si>
    <t>003302010410000-330201041</t>
  </si>
  <si>
    <t>颅底肿瘤切除术</t>
  </si>
  <si>
    <t>包括前、中颅窝颅内外沟通性肿瘤、前、中、后颅窝底肿瘤（鞍结节脑膜瘤、侵袭性垂体瘤、脊索瘤、神经鞘瘤）、颈静脉孔区肿瘤、上颌外旋颅底手术；不含胆脂瘤、囊肿</t>
  </si>
  <si>
    <t>颅底再造按颅骨修补处理</t>
  </si>
  <si>
    <t>013302000280001</t>
  </si>
  <si>
    <t>颅底病变切除费（复杂）-儿童（加收）</t>
  </si>
  <si>
    <t>003302010270000-33020102701</t>
  </si>
  <si>
    <t>小儿桥小脑角肿瘤切除术</t>
  </si>
  <si>
    <t>003302010400000-33020104002</t>
  </si>
  <si>
    <t>小儿经口腔入路颅底斜坡肿瘤切除术</t>
  </si>
  <si>
    <t>003302010410000-33020104102</t>
  </si>
  <si>
    <t>小儿颅底肿瘤切除术</t>
  </si>
  <si>
    <t>013302000290000</t>
  </si>
  <si>
    <t>颅骨病变切除费</t>
  </si>
  <si>
    <t>通过手术切除异常增殖的颅骨组织，修复颅骨结构。</t>
  </si>
  <si>
    <t>所定价格涵盖手术计划、术区准备、消毒铺巾、开颅、增殖骨切除、颅骨重塑、闭合切口等步骤所需的人力资源和基本物质资源消耗。</t>
  </si>
  <si>
    <t>不与“颅骨修复费”、“颅骨重建费”同时收取。</t>
  </si>
  <si>
    <t>省级按区域间比价关系调高定价（我省价格偏低），我市原项目价格持平省级，现按比价提高。</t>
  </si>
  <si>
    <t>003302010020000-330201002</t>
  </si>
  <si>
    <t>颅骨骨瘤切除术</t>
  </si>
  <si>
    <t>假体</t>
  </si>
  <si>
    <t>013302000290001</t>
  </si>
  <si>
    <t>颅骨病变切除费-儿童（加收）</t>
  </si>
  <si>
    <t>003302010020000-33020100201</t>
  </si>
  <si>
    <t>小儿颅骨骨瘤切除术</t>
  </si>
  <si>
    <t>013302000300000</t>
  </si>
  <si>
    <t>颅骨修复费</t>
  </si>
  <si>
    <t>通过手术修复外伤、畸形、感染等多种情况导致的颅骨缺损。</t>
  </si>
  <si>
    <t>所定价格涵盖手术计划、术区准备、消毒铺巾、切开、修复、缝合等步骤所需的人力资源和基本物质资源消耗。</t>
  </si>
  <si>
    <t>不与“颅骨病变切除费”、“颅骨重建费”同时收取。</t>
  </si>
  <si>
    <t>003302010070000-330201007</t>
  </si>
  <si>
    <t>颅骨凹陷骨折复位术</t>
  </si>
  <si>
    <t>含碎骨片清除</t>
  </si>
  <si>
    <t>003302010090000-330201009</t>
  </si>
  <si>
    <t>颅骨修补术</t>
  </si>
  <si>
    <t>包括假体植入</t>
  </si>
  <si>
    <t>003302010550000-330201055</t>
  </si>
  <si>
    <t>颅缝骨化症整形术</t>
  </si>
  <si>
    <t>特殊固定材料</t>
  </si>
  <si>
    <t>013302000300001</t>
  </si>
  <si>
    <t>颅骨修复费-儿童（加收）</t>
  </si>
  <si>
    <t>003302010070000-33020100701</t>
  </si>
  <si>
    <t>小儿颅骨凹陷骨折复位术</t>
  </si>
  <si>
    <t>003302010090000-33020100903</t>
  </si>
  <si>
    <t>小儿颅骨修补术</t>
  </si>
  <si>
    <t>003302010550000-33020105501</t>
  </si>
  <si>
    <t>小儿颅缝骨化症整形术</t>
  </si>
  <si>
    <t>013302000310000</t>
  </si>
  <si>
    <t>颅骨重建费</t>
  </si>
  <si>
    <t>通过手术重建颅骨形态。</t>
  </si>
  <si>
    <t>所定价格涵盖手术计划、术区准备、消毒铺巾、颅骨重建等步骤所需的人力资源和和基本物质资源消耗。</t>
  </si>
  <si>
    <t>不与“颅骨病变切除费”、“颅骨修复费”同时收取。</t>
  </si>
  <si>
    <t>降低</t>
  </si>
  <si>
    <t>省级按区域间比价关系降低定价（我省价格偏高），我市按比价关系调整。</t>
  </si>
  <si>
    <t>003302010570000-330201057</t>
  </si>
  <si>
    <t>颅缝再造术</t>
  </si>
  <si>
    <t>013302000310001</t>
  </si>
  <si>
    <t>颅骨重建费-儿童（加收）</t>
  </si>
  <si>
    <t>003302010570000-33020105701</t>
  </si>
  <si>
    <t>小儿颅缝再造术</t>
  </si>
  <si>
    <t>013302000320000</t>
  </si>
  <si>
    <t>颅底重建费</t>
  </si>
  <si>
    <t>通过手术借助自体组织或人工支撑结构修补破损硬膜替代缺损骨质，重建颅底结构。</t>
  </si>
  <si>
    <t>所定价格涵盖手术计划、术区准备、消毒铺巾、开颅、颅底重建、关颅等步骤所需的人力资源和和基本物质资源消耗。</t>
  </si>
  <si>
    <t>平移后县级、基层降低理顺比价</t>
  </si>
  <si>
    <t>003306030030000-330603003</t>
  </si>
  <si>
    <t>经前颅窝鼻窦肿物切除术</t>
  </si>
  <si>
    <t>含硬脑膜取材、颅底重建；不含其他部分取材</t>
  </si>
  <si>
    <t>使用微动力进行软组织切割或骨组织磨除市级加收900元，县级加收810元，基层加收690元。</t>
  </si>
  <si>
    <t>353300000010000-33060300302</t>
  </si>
  <si>
    <t>经前颅窝鼻窦肿物切除术微动力辅助加收</t>
  </si>
  <si>
    <t>013302000320001</t>
  </si>
  <si>
    <t>颅底重建费-儿童（加收）</t>
  </si>
  <si>
    <t>003306030030000-33060300301</t>
  </si>
  <si>
    <t>小儿经前颅窝鼻窦肿物切除术</t>
  </si>
  <si>
    <t>013302000320100</t>
  </si>
  <si>
    <t>颅底重建费-脑脊液漏修补（扩展）</t>
  </si>
  <si>
    <t>扩展项按主项价格执行</t>
  </si>
  <si>
    <t>003302010510000-330201051</t>
  </si>
  <si>
    <t>脑脊液漏修补术</t>
  </si>
  <si>
    <t>包括额窦修补、前颅窝、中颅窝底修补</t>
  </si>
  <si>
    <t>生物胶、人工硬膜、钛钢板</t>
  </si>
  <si>
    <t>003302010510000-33020105101</t>
  </si>
  <si>
    <t>小儿脑脊液漏修补术</t>
  </si>
  <si>
    <t>003302020180000-330202018</t>
  </si>
  <si>
    <t>经颅脑脊液耳漏修补术</t>
  </si>
  <si>
    <t>003302020180000-33020201801</t>
  </si>
  <si>
    <t>小儿经颅脑脊液耳漏修补术</t>
  </si>
  <si>
    <t>013302000330000</t>
  </si>
  <si>
    <t>脑室造瘘费</t>
  </si>
  <si>
    <t>通过手术对脑室的梗阻、积液、出血等情形进行开窗造瘘。</t>
  </si>
  <si>
    <t>所定价格涵盖手术计划、术区准备、消毒铺巾、开颅、造瘘、关颅等步骤所需的人力资源和基本物质资源消耗。</t>
  </si>
  <si>
    <t>造瘘口</t>
  </si>
  <si>
    <t>平移后按照项目间比价关系，参照颅底重建费定价</t>
  </si>
  <si>
    <t>003302010420000-330201042</t>
  </si>
  <si>
    <t>经颅内镜第三脑室底造瘘术</t>
  </si>
  <si>
    <t>013302000330001</t>
  </si>
  <si>
    <t>脑室造瘘费-儿童（加收）</t>
  </si>
  <si>
    <t>003302010420000-33020104201</t>
  </si>
  <si>
    <t>小儿经颅内镜第三脑室底造瘘术</t>
  </si>
  <si>
    <t>013302000330100</t>
  </si>
  <si>
    <t>脑室造瘘费-终板造瘘（扩展）</t>
  </si>
  <si>
    <t>003302010490000-330201049</t>
  </si>
  <si>
    <t>终板造瘘术</t>
  </si>
  <si>
    <t>003302010490000-33020104901</t>
  </si>
  <si>
    <t>小儿终板造瘘术</t>
  </si>
  <si>
    <t>003302010490000-33020104902</t>
  </si>
  <si>
    <t>经颅内镜终板造瘘术</t>
  </si>
  <si>
    <t>003302010490000-33020104903</t>
  </si>
  <si>
    <t>小儿经颅内镜终板造瘘术</t>
  </si>
  <si>
    <t>013302000331100</t>
  </si>
  <si>
    <t>脑室造瘘费-透明隔造瘘（扩展）</t>
  </si>
  <si>
    <t>003302010420000-A330201061</t>
  </si>
  <si>
    <t>A330201061</t>
  </si>
  <si>
    <t>颅内镜下透明隔造瘘术</t>
  </si>
  <si>
    <t>在生命体征监测下，消毒铺巾后于额部常规开颅，在颅内镜监视下通过单极电凝、造瘘钳及球囊对透明隔进行造瘘以使两侧脑室相通，缓解孤立性脑室、脑积水等情况。</t>
  </si>
  <si>
    <t>球囊</t>
  </si>
  <si>
    <t>013302000340000</t>
  </si>
  <si>
    <t>脑脊膜膨出修补费</t>
  </si>
  <si>
    <t>通过手术修补脑脊膜膨出、脑组织膨出、脊髓组织膨出及周围神经根膨出等各种类型的脑脊膜膨出症。</t>
  </si>
  <si>
    <t>所定价格涵盖手术计划、术区准备、消毒铺巾、切开、探查定位、脑脊膜修补、缝合等步骤所需的人力资源和和基本物质资源消耗。</t>
  </si>
  <si>
    <t>无工作量，按照比价关系提高理顺</t>
  </si>
  <si>
    <t>003302010520000-330201052</t>
  </si>
  <si>
    <t>脑脊膜膨出修补术</t>
  </si>
  <si>
    <t>指单纯脑脊膜膨出</t>
  </si>
  <si>
    <t>重建硬膜及骨性材料</t>
  </si>
  <si>
    <t>013302000340001</t>
  </si>
  <si>
    <t>脑脊膜膨出修补费-儿童（加收）</t>
  </si>
  <si>
    <t>003302010520000-33020105201</t>
  </si>
  <si>
    <t>小儿脑脊膜膨出修补术</t>
  </si>
  <si>
    <t>013302000350000</t>
  </si>
  <si>
    <t>颅内动脉瘤夹闭成形费</t>
  </si>
  <si>
    <t>通过手术夹闭、包裹动脉瘤，并成形或孤立。</t>
  </si>
  <si>
    <t>所定价格涵盖手术计划、术区准备、消毒铺巾、开颅、夹闭、包裹、成形、关颅等步骤所需的人力资源和基本物质资源消耗。</t>
  </si>
  <si>
    <t>1.次指1个动脉瘤，每增加1个动脉瘤加收5%。
2.大型动脉瘤指最大径15mm以上。</t>
  </si>
  <si>
    <t>003302030020000-330203002</t>
  </si>
  <si>
    <t>颅内动脉瘤夹闭术</t>
  </si>
  <si>
    <t>不含基底动脉瘤、大脑后动脉瘤、多发动脉瘤</t>
  </si>
  <si>
    <t>动脉瘤夹</t>
  </si>
  <si>
    <t>动脉瘤直径小于2.5cm，多夹除一个动脉瘤市级加收600元，县级加收540元，基层加收460元</t>
  </si>
  <si>
    <t>颅内动脉瘤夹闭成形费（每增加1个动脉瘤加收5%）</t>
  </si>
  <si>
    <t>每增加1个动脉瘤加收5%</t>
  </si>
  <si>
    <t>003302030020001-33020300201</t>
  </si>
  <si>
    <t>颅内动脉瘤夹闭术（直径小于2.5cm，每多夹除一个加收）</t>
  </si>
  <si>
    <t>动脉瘤直径小于2.5cm，多夹除一个动脉瘤加收</t>
  </si>
  <si>
    <t>013302000350001</t>
  </si>
  <si>
    <t>颅内动脉瘤夹闭成形费-儿童（加收）</t>
  </si>
  <si>
    <t>003302030020000-33020300202</t>
  </si>
  <si>
    <t>小儿颅内动脉瘤夹闭术</t>
  </si>
  <si>
    <t>003302030020001-33020300203</t>
  </si>
  <si>
    <t>小儿颅内动脉瘤夹闭术（直径小于2.5cm，每多夹除一个加收）</t>
  </si>
  <si>
    <t>动脉瘤直径小于2.5cm，每多夹除一个动脉瘤加收</t>
  </si>
  <si>
    <t>013302000350011</t>
  </si>
  <si>
    <t>颅内动脉瘤夹闭成形费-大型动脉瘤（加收）</t>
  </si>
  <si>
    <t>无开展量，按主项10%加收</t>
  </si>
  <si>
    <t>003302030010000-330203001</t>
  </si>
  <si>
    <t>颅内巨大动脉瘤夹闭切除术</t>
  </si>
  <si>
    <t>包括基底动脉瘤、大脑后动脉瘤；不含血管重建术</t>
  </si>
  <si>
    <t>动脉瘤直径大于2.5cm，多夹除一个动脉瘤市级医院加收1120元，县级医院加收1010元，基层加收860元</t>
  </si>
  <si>
    <t>003302030010000-33020300102</t>
  </si>
  <si>
    <t>小儿颅内巨大动脉瘤夹闭切除术</t>
  </si>
  <si>
    <t>003302030010001-33020300101</t>
  </si>
  <si>
    <t>颅内巨大动脉瘤夹闭切除术（直径大于2.5cm，每多夹除一个加收）</t>
  </si>
  <si>
    <t>动脉瘤直径大于2.5cm，多夹除一个动脉瘤加收</t>
  </si>
  <si>
    <t>003302030010001-33020300103</t>
  </si>
  <si>
    <t>小儿颅内巨大动脉瘤夹闭切除术（直径大于2.5cm，每多夹除一个加收）</t>
  </si>
  <si>
    <t>动脉瘤直径大于2.5cm，每多夹除一个动脉瘤加收</t>
  </si>
  <si>
    <t>013302000350021</t>
  </si>
  <si>
    <t>颅内动脉瘤夹闭成形费-破裂动脉瘤（加收）</t>
  </si>
  <si>
    <t>新增加收项目，按主项10%加收</t>
  </si>
  <si>
    <t>013302000360000</t>
  </si>
  <si>
    <t>颅内外动脉搭桥费</t>
  </si>
  <si>
    <t>通过颅内外血管建立通路。</t>
  </si>
  <si>
    <t>所定价格涵盖手术计划、术区准备、消毒铺巾、开颅、颅内外动脉暴露、搭桥、关颅等步骤所需的人力资源和基本物质资源消耗。</t>
  </si>
  <si>
    <t>次指1条血管，每增加1条血管加收10%。</t>
  </si>
  <si>
    <t>仅3例工作量，按比价关系稍提高理顺</t>
  </si>
  <si>
    <t>003302030110000-330203011</t>
  </si>
  <si>
    <t>颈总动脉大脑中动脉吻合术</t>
  </si>
  <si>
    <t>包括颞浅动脉-大脑中动脉吻合术</t>
  </si>
  <si>
    <t>取大隐静脉市级医院加收430元，县级医院加收385元，基层加收325元</t>
  </si>
  <si>
    <t>003302030120000-330203012</t>
  </si>
  <si>
    <t>颅外内动脉搭桥术</t>
  </si>
  <si>
    <t>013302000360001</t>
  </si>
  <si>
    <t>颅内外动脉搭桥费-儿童（加收）</t>
  </si>
  <si>
    <t>003302030110000-33020301102</t>
  </si>
  <si>
    <t>小儿颈总动脉大脑中动脉吻合术</t>
  </si>
  <si>
    <t>003302030120000-33020301201</t>
  </si>
  <si>
    <t>小儿颅外内动脉搭桥术</t>
  </si>
  <si>
    <t>013302000360011</t>
  </si>
  <si>
    <t>颅内外动脉搭桥费-移植血管搭桥（加收）</t>
  </si>
  <si>
    <t>无工作量，按项目间比价理顺</t>
  </si>
  <si>
    <t>003302030110001-33020301101</t>
  </si>
  <si>
    <t>颈总动脉大脑中动脉吻合术（取大隐静脉）</t>
  </si>
  <si>
    <t>取大隐静脉</t>
  </si>
  <si>
    <t>003302030110001-33020301103</t>
  </si>
  <si>
    <t>小儿颈总动脉大脑中动脉吻合术（取大隐静脉）</t>
  </si>
  <si>
    <t>013302000370000</t>
  </si>
  <si>
    <t>颅内血管重建费</t>
  </si>
  <si>
    <t>通过自体血管或人工血管重建颅内血管。</t>
  </si>
  <si>
    <t>所定价格涵盖手术计划、术区准备、消毒铺巾、开颅、颅内血管重建、关颅等步骤所需的人力资源和基本物质资源消耗。</t>
  </si>
  <si>
    <t>无工作量，按项目间比价，持平颅内外动脉搭桥费定价</t>
  </si>
  <si>
    <t>003302030150000-330203015</t>
  </si>
  <si>
    <t>颅内血管重建术</t>
  </si>
  <si>
    <t>003302010500000-330201050</t>
  </si>
  <si>
    <t>海绵窦瘘直接手术</t>
  </si>
  <si>
    <t>栓塞材料</t>
  </si>
  <si>
    <t>003302010580000-330201058</t>
  </si>
  <si>
    <t>大网膜颅内移植术</t>
  </si>
  <si>
    <t>含大网膜切取</t>
  </si>
  <si>
    <t>003302010060001-33020100601</t>
  </si>
  <si>
    <t>开放性颅脑损伤清除术-静脉窦破裂手术</t>
  </si>
  <si>
    <t>013302000370001</t>
  </si>
  <si>
    <t>颅内血管重建费-儿童（加收）</t>
  </si>
  <si>
    <t>003302030150000-33020301501</t>
  </si>
  <si>
    <t>小儿颅内血管重建术</t>
  </si>
  <si>
    <t>003302010500000-33020105001</t>
  </si>
  <si>
    <t>小儿海绵窦瘘直接手术</t>
  </si>
  <si>
    <t>003302010580000-33020105801</t>
  </si>
  <si>
    <t>小儿大网膜颅内移植术</t>
  </si>
  <si>
    <t>003302010060001-33020100603</t>
  </si>
  <si>
    <t>小儿开放性颅脑损伤清除术-静脉窦破裂手术</t>
  </si>
  <si>
    <t>013302000380000</t>
  </si>
  <si>
    <t>脑脊液分流装置置入费</t>
  </si>
  <si>
    <t>通过各种方式置入脑脊液分流装置。</t>
  </si>
  <si>
    <t>所定价格涵盖手术计划、术区准备、消毒铺巾、定位、切开、穿刺、置管，引流、固定、缝合等步骤所需的人力资源和基本物资消耗。</t>
  </si>
  <si>
    <t>同台手术不得同时收取“脑脊液分流装置取出费”。</t>
  </si>
  <si>
    <t>加权平移取整，基层理顺比价</t>
  </si>
  <si>
    <t>003302010190000-330201019</t>
  </si>
  <si>
    <t>侧脑室分流术</t>
  </si>
  <si>
    <t>含分流管调整；包括侧脑室-心房分流术、侧脑室-膀胱分流术、侧脑室-腹腔分流术</t>
  </si>
  <si>
    <t>分流管</t>
  </si>
  <si>
    <t>003302010190000-33020101902</t>
  </si>
  <si>
    <t>经颅内镜侧脑室分流术</t>
  </si>
  <si>
    <t>003302040120000-330204012</t>
  </si>
  <si>
    <t>脊髓蛛网膜下腔腹腔分流术</t>
  </si>
  <si>
    <t>003302040120000-33020401202</t>
  </si>
  <si>
    <t>经颅内镜脊髓蛛网膜下腔腹腔分流术</t>
  </si>
  <si>
    <t>003302040130000-330204013</t>
  </si>
  <si>
    <t>脊髓蛛网膜下腔输尿管分流术</t>
  </si>
  <si>
    <t>003302040130000-33020401302</t>
  </si>
  <si>
    <t>经颅内镜脊髓蛛网膜下腔输尿管分流术</t>
  </si>
  <si>
    <t>353302040360000-31010001604</t>
  </si>
  <si>
    <t>腰-蛛网膜下腔分流术</t>
  </si>
  <si>
    <t>013302000380001</t>
  </si>
  <si>
    <t>脑脊液分流装置置入费-儿童（加收）</t>
  </si>
  <si>
    <t>003302010190000-33020101901</t>
  </si>
  <si>
    <t>小儿侧脑室分流术</t>
  </si>
  <si>
    <t>003302010190000-33020101903</t>
  </si>
  <si>
    <t>小儿经颅内镜侧脑室分流术</t>
  </si>
  <si>
    <t>003302040120000-33020401201</t>
  </si>
  <si>
    <t>小儿脊髓蛛网膜下腔腹腔分流术</t>
  </si>
  <si>
    <t>003302040120000-33020401203</t>
  </si>
  <si>
    <t>小儿经颅内镜脊髓蛛网膜下腔腹腔分流术</t>
  </si>
  <si>
    <t>003302040130000-33020401301</t>
  </si>
  <si>
    <t>小儿脊髓蛛网膜下腔输尿管分流术</t>
  </si>
  <si>
    <t>003302040130000-33020401303</t>
  </si>
  <si>
    <t>小儿经颅内镜脊髓蛛网膜下腔输尿管分流术</t>
  </si>
  <si>
    <t>353302040360000-31010001605</t>
  </si>
  <si>
    <t>小儿腰-蛛网膜下腔分流术</t>
  </si>
  <si>
    <t>013302000380100</t>
  </si>
  <si>
    <t>脑脊液分流装置置入费-腰大池腹腔分流（扩展）</t>
  </si>
  <si>
    <t>013302000390000</t>
  </si>
  <si>
    <t>脑脊液分流装置取出费</t>
  </si>
  <si>
    <t>通过各种方式将置入的分流装置取出。</t>
  </si>
  <si>
    <t>新增项目，按置入50%</t>
  </si>
  <si>
    <t>013302000390001</t>
  </si>
  <si>
    <t>脑脊液分流装置取出费-儿童（加收）</t>
  </si>
  <si>
    <t>013302000400000</t>
  </si>
  <si>
    <t>颅内压监测探头置入费</t>
  </si>
  <si>
    <t>通过各种方式置入颅内压监测探头。</t>
  </si>
  <si>
    <t>所定价格涵盖手术计划、术区准备、消毒铺巾、开颅、置入探头、固定、关颅等步骤所需的人力资源和基本物质资源消耗。</t>
  </si>
  <si>
    <t>同台手术不得同时收取“颅内压监测探头取出费”。</t>
  </si>
  <si>
    <t>003302010180000-330201018</t>
  </si>
  <si>
    <t>颅内压监护传感器置入术</t>
  </si>
  <si>
    <t>包括颅内硬膜下、硬膜外、脑内、脑室内</t>
  </si>
  <si>
    <t>监护材料</t>
  </si>
  <si>
    <t>013302000400001</t>
  </si>
  <si>
    <t>颅内压监测探头置入费-儿童（加收）</t>
  </si>
  <si>
    <t>003302010180000-33020101801</t>
  </si>
  <si>
    <t>小儿颅内压监护传感器置入术</t>
  </si>
  <si>
    <t>013302000410000</t>
  </si>
  <si>
    <t>颅内压监测探头取出费</t>
  </si>
  <si>
    <t>通过各种方式将置入的颅内压监测探头取出。</t>
  </si>
  <si>
    <t>013302000410001</t>
  </si>
  <si>
    <t>颅内压监测探头取出费-儿童（加收）</t>
  </si>
  <si>
    <t>013302000420000</t>
  </si>
  <si>
    <t>椎管内切开引流费</t>
  </si>
  <si>
    <t>通过手术切开椎管内脓肿、血肿等进行引流。</t>
  </si>
  <si>
    <t>所定价格涵盖手术计划、术区准备、消毒铺巾、定位、切开椎管、引流、固定、缝合等步骤所需的人力资源和基本物质资源消耗。</t>
  </si>
  <si>
    <t>003302040060000-330204006</t>
  </si>
  <si>
    <t>椎管内脓肿切开引流术</t>
  </si>
  <si>
    <t>包括硬膜下脓肿</t>
  </si>
  <si>
    <t>013302000420001</t>
  </si>
  <si>
    <t>椎管内切开引流费-儿童（加收）</t>
  </si>
  <si>
    <t>003302040060000-33020400601</t>
  </si>
  <si>
    <t>小儿椎管内脓肿切开引流术</t>
  </si>
  <si>
    <t>013302000430000</t>
  </si>
  <si>
    <t>脊髓内引流费</t>
  </si>
  <si>
    <t>通过手术引流脊髓内积液。</t>
  </si>
  <si>
    <t>所定价格涵盖手术计划、术区准备、消毒铺巾、定位、切开或穿刺椎管至髓内、引流、固定、缝合等步骤所需的人力资源和基本物质资源消耗。</t>
  </si>
  <si>
    <t>仅开展2例，根据项目间比价关系，提高理顺价格</t>
  </si>
  <si>
    <t>003302040020000-330204002</t>
  </si>
  <si>
    <t>脊髓空洞症内引流术</t>
  </si>
  <si>
    <t>013302000430001</t>
  </si>
  <si>
    <t>脊髓内引流费-儿童（加收）</t>
  </si>
  <si>
    <t>003302040020000-33020400201</t>
  </si>
  <si>
    <t>小儿脊髓空洞症内引流术</t>
  </si>
  <si>
    <t>013302000440000</t>
  </si>
  <si>
    <t>髓内病变切除费（常规）</t>
  </si>
  <si>
    <t>通过手术切除脊髓内病变。</t>
  </si>
  <si>
    <t>所定价格涵盖手术计划、术区准备、消毒铺巾、切开、探查、病变切除、缝合等步骤所需的人力资源和和基本物质资源消耗。</t>
  </si>
  <si>
    <t>003302040070000-330204007</t>
  </si>
  <si>
    <t>脊髓内病变切除术</t>
  </si>
  <si>
    <t>包括髓内肿瘤、髓内血肿清除</t>
  </si>
  <si>
    <t>肿瘤长度超过5cm市级医院加收605元，县级医院加收545元，基层465元</t>
  </si>
  <si>
    <t>003302040100000-330204010</t>
  </si>
  <si>
    <t>脊髓外露修补术</t>
  </si>
  <si>
    <t>013302000440001</t>
  </si>
  <si>
    <t>髓内病变切除费（常规）-儿童（加收）</t>
  </si>
  <si>
    <t>003302040100000-33020401001</t>
  </si>
  <si>
    <t>小儿脊髓外露修补术</t>
  </si>
  <si>
    <t>003302040070000-33020400702</t>
  </si>
  <si>
    <t>小儿脊髓内病变切除术</t>
  </si>
  <si>
    <t>013302000450000</t>
  </si>
  <si>
    <t>髓内病变切除费（复杂）</t>
  </si>
  <si>
    <t>通过手术切除脊髓内复杂病变。</t>
  </si>
  <si>
    <t>本项目所称“复杂”指：病变范围大于一个椎体长度、远离脊髓表面或位于脊髓前方、血管病变、多个病灶切除、病变弥散。</t>
  </si>
  <si>
    <t>按项目间比价关系，为常规的1.39倍</t>
  </si>
  <si>
    <t>003302040110000-330204011</t>
  </si>
  <si>
    <t>脊髓动静脉畸形切除术</t>
  </si>
  <si>
    <t>动脉瘤夹及显微银夹</t>
  </si>
  <si>
    <t>003302040070001-33020400701</t>
  </si>
  <si>
    <t>脊髓内病变切除术（肿瘤长度超过5cm）</t>
  </si>
  <si>
    <t>肿瘤长度超过5cm</t>
  </si>
  <si>
    <t>013302000450001</t>
  </si>
  <si>
    <t>髓内病变切除费（复杂）-儿童（加收）</t>
  </si>
  <si>
    <t>003302040110000-33020401101</t>
  </si>
  <si>
    <t>小儿脊髓动静脉畸形切除术</t>
  </si>
  <si>
    <t>003302040070001-33020400703</t>
  </si>
  <si>
    <t>小儿脊髓内病变切除术（肿瘤长度超过5cm）</t>
  </si>
  <si>
    <t>013302000460000</t>
  </si>
  <si>
    <t>髓外病变切除费（常规）</t>
  </si>
  <si>
    <t>通过手术切除脊髓外病变。</t>
  </si>
  <si>
    <t>003302040080000-330204008</t>
  </si>
  <si>
    <t>脊髓硬膜外病变切除术</t>
  </si>
  <si>
    <t>包括硬脊膜外肿瘤、血肿、结核瘤、转移瘤、黄韧带增厚、椎间盘突出；不含硬脊膜下、脊髓内肿瘤。</t>
  </si>
  <si>
    <t>003302040090000-330204009</t>
  </si>
  <si>
    <t>髓外硬脊膜下病变切除术</t>
  </si>
  <si>
    <t>包括硬脊膜下肿瘤、血肿；不含脊髓内肿瘤</t>
  </si>
  <si>
    <t>肿瘤长度超过5cm市级加收470元，县级加收420元，基层加收360元。</t>
  </si>
  <si>
    <t>013302000460001</t>
  </si>
  <si>
    <t>髓外病变切除费（常规）-儿童（加收）</t>
  </si>
  <si>
    <t>003302040080000-33020400801</t>
  </si>
  <si>
    <t>小儿脊髓硬膜外病变切除术</t>
  </si>
  <si>
    <t>003302040090000-33020400902</t>
  </si>
  <si>
    <t>小儿髓外硬脊膜下病变切除术</t>
  </si>
  <si>
    <t>013302000470000</t>
  </si>
  <si>
    <t>髓外病变切除费（复杂）</t>
  </si>
  <si>
    <t>通过手术切除脊髓外复杂病变。</t>
  </si>
  <si>
    <t>本项目所称“复杂”指：病变范围大于两个椎体长度、位于椎管前方、血管性病变、椎管内外沟通、病变弥散。</t>
  </si>
  <si>
    <t>003302040090001-33020400901</t>
  </si>
  <si>
    <t>髓外硬脊膜下病变切除术（肿瘤长度超过5cm）</t>
  </si>
  <si>
    <t>013302000470001</t>
  </si>
  <si>
    <t>髓外病变切除费（复杂）-儿童（加收）</t>
  </si>
  <si>
    <t>003302040090001-33020400903</t>
  </si>
  <si>
    <t>小儿髓外硬脊膜下病变切除术（肿瘤长度超过5cm）</t>
  </si>
  <si>
    <t>013302000480000</t>
  </si>
  <si>
    <t>颈动脉内/外膜剥脱费</t>
  </si>
  <si>
    <t>通过手术切除颈动脉内膜或外膜。</t>
  </si>
  <si>
    <t>所定价格涵盖手术计划、术区准备、消毒铺巾、颈部血管暴露、颈动脉内/外膜剥脱、缝合、关闭，必要时修补等步骤所需的人力资源和基本物质资源消耗。</t>
  </si>
  <si>
    <t>开展量少，加权平移后，根据项目间比价关系，持平颅底病变切除费（常规）定价</t>
  </si>
  <si>
    <t>003302030070000-330203007</t>
  </si>
  <si>
    <t>颈内动脉内膜剥脱术</t>
  </si>
  <si>
    <t>不含术中血流监测</t>
  </si>
  <si>
    <t>动脉成形术市级医院3960元，县级医院3560元，基层3030元</t>
  </si>
  <si>
    <t>003302030070001-33020300701</t>
  </si>
  <si>
    <t>颈内动脉内膜剥脱术-动脉成形术</t>
  </si>
  <si>
    <t>动脉成形术</t>
  </si>
  <si>
    <t>003302030100000-330203010</t>
  </si>
  <si>
    <t>颈动脉外膜剥脱术</t>
  </si>
  <si>
    <t>包括颈总动脉、颈内动脉、颈外动脉外膜剥脱术、迷走神经剥离术</t>
  </si>
  <si>
    <t>双侧加收100%</t>
  </si>
  <si>
    <t>003302030100001-33020301001</t>
  </si>
  <si>
    <t>颈动脉外膜剥脱术（双侧）</t>
  </si>
  <si>
    <t>双侧</t>
  </si>
  <si>
    <t>013302000480001</t>
  </si>
  <si>
    <t>颈动脉内/外膜剥脱费-儿童（加收）</t>
  </si>
  <si>
    <t>003302030070000-33020300702</t>
  </si>
  <si>
    <t>小儿颈内动脉内膜剥脱术</t>
  </si>
  <si>
    <t>003302030070001-33020300703</t>
  </si>
  <si>
    <t>小儿颈内动脉内膜剥脱术-动脉成形术</t>
  </si>
  <si>
    <t>003302030100000-33020301002</t>
  </si>
  <si>
    <t>小儿颈动脉外膜剥脱术</t>
  </si>
  <si>
    <t>003302030100001-33020301003</t>
  </si>
  <si>
    <t>小儿颈动脉外膜剥脱术（双侧）</t>
  </si>
  <si>
    <t>013302000490000</t>
  </si>
  <si>
    <t>椎动脉内/外膜剥脱费</t>
  </si>
  <si>
    <t>通过手术切除椎动脉内膜或外膜。</t>
  </si>
  <si>
    <t>所定价格涵盖手术计划、术区准备、消毒铺巾、椎动脉暴露、椎动脉内/外膜剥脱、缝合、关闭，必要时修补等步骤所需的人力资源和基本物质资源消耗。</t>
  </si>
  <si>
    <t>无开展量，根据项目间比价关系拟定</t>
  </si>
  <si>
    <t>003302030080000-330203008</t>
  </si>
  <si>
    <t>椎动脉内膜剥脱术</t>
  </si>
  <si>
    <t>003302030080001-33020300801</t>
  </si>
  <si>
    <t>椎动脉内膜剥脱术-动脉成形术</t>
  </si>
  <si>
    <t>003302030090000-330203009</t>
  </si>
  <si>
    <t>椎动脉减压术</t>
  </si>
  <si>
    <t>013302000490001</t>
  </si>
  <si>
    <t>椎动脉内/外膜剥脱费-儿童（加收）</t>
  </si>
  <si>
    <t>003302030080000-33020300802</t>
  </si>
  <si>
    <t>小儿椎动脉内膜剥脱术</t>
  </si>
  <si>
    <t>003302030080001-33020300803</t>
  </si>
  <si>
    <t>小儿椎动脉内膜剥脱术-动脉成形术</t>
  </si>
  <si>
    <t>003302030090000-33020300901</t>
  </si>
  <si>
    <t>小儿椎动脉减压术</t>
  </si>
  <si>
    <t>013302000500000</t>
  </si>
  <si>
    <t>颞肌颞浅动脉贴敷费</t>
  </si>
  <si>
    <t>通过颅外血供丰富的肌肉等组织，帖敷于脑组织表面。</t>
  </si>
  <si>
    <t>所定价格涵盖手术计划、术区准备、消毒铺巾、开颅、颞肌颞浅动脉贴敷、关颅等步骤所需的人力资源和基本物质资源消耗。</t>
  </si>
  <si>
    <t>003302030130000-330203013</t>
  </si>
  <si>
    <t>颞肌颞浅动脉贴敷术</t>
  </si>
  <si>
    <t>含血管吻合术</t>
  </si>
  <si>
    <t>013302000500001</t>
  </si>
  <si>
    <t>颞肌颞浅动脉贴敷费-儿童（加收）</t>
  </si>
  <si>
    <t>003302030130000-33020301301</t>
  </si>
  <si>
    <t>小儿颞肌颞浅动脉贴敷术</t>
  </si>
  <si>
    <t>013302000510000</t>
  </si>
  <si>
    <t>颈部动脉结扎费</t>
  </si>
  <si>
    <t>通过手术结扎颈部动脉。</t>
  </si>
  <si>
    <t>所定价格涵盖手术计划、术区准备、消毒铺巾、定位、颈部动脉结扎、缝合等步骤所需的人力资源和基本物质资源消耗。</t>
  </si>
  <si>
    <t>003302030140000-330203014</t>
  </si>
  <si>
    <t>颈动脉结扎术</t>
  </si>
  <si>
    <t>包括颈内动脉、颈外动脉、颈总动脉结扎</t>
  </si>
  <si>
    <t>结扎夹</t>
  </si>
  <si>
    <t>013302000510001</t>
  </si>
  <si>
    <t>颈部动脉结扎费-儿童（加收）</t>
  </si>
  <si>
    <t>003302030140000-33020301401</t>
  </si>
  <si>
    <t>小儿颈动脉结扎术</t>
  </si>
  <si>
    <t>013302000520000</t>
  </si>
  <si>
    <t>颅神经切断费</t>
  </si>
  <si>
    <t>通过手术全部或部分切除颅神经。</t>
  </si>
  <si>
    <t>所定价格涵盖手术计划、术区准备、消毒铺巾、定位、开颅、探查、神经切断、关颅等步骤所需的人力资源和基本物质资源消耗。</t>
  </si>
  <si>
    <t>1.本项目所称“颅神经”指：位于颅内和颅底、眼眶、颈深部的十二对颅神经部分。2.同一神经切断费不得与松解费同时收取。</t>
  </si>
  <si>
    <t>003302010170000-330201017</t>
  </si>
  <si>
    <t>经颅视神经管减压术</t>
  </si>
  <si>
    <t>003302020010000-330202001</t>
  </si>
  <si>
    <t>三叉神经感觉后根切断术</t>
  </si>
  <si>
    <t>003302020050000-330202005</t>
  </si>
  <si>
    <t>颞部开颅三叉神经节切断术</t>
  </si>
  <si>
    <t>003302020060000-330202006</t>
  </si>
  <si>
    <t>迷路后三叉神经切断术</t>
  </si>
  <si>
    <t>003302020140000-330202014</t>
  </si>
  <si>
    <t>经迷路前庭神经切断术</t>
  </si>
  <si>
    <t>003302020150000-330202015</t>
  </si>
  <si>
    <t>迷路后前庭神经切断术</t>
  </si>
  <si>
    <t>003302020160000-330202016</t>
  </si>
  <si>
    <t>经内镜前庭神经切断术</t>
  </si>
  <si>
    <t>003302020170000-330202017</t>
  </si>
  <si>
    <t>经乙状窦后进路神经切断术</t>
  </si>
  <si>
    <t>包括三叉神经、舌咽神经</t>
  </si>
  <si>
    <t>013302000520001</t>
  </si>
  <si>
    <t>颅神经切断费-儿童（加收）</t>
  </si>
  <si>
    <t>003302010170000-33020101701</t>
  </si>
  <si>
    <t>小儿经颅视神经管减压术</t>
  </si>
  <si>
    <t>003302020010000-33020200101</t>
  </si>
  <si>
    <t>小儿三叉神经感觉后根切断术</t>
  </si>
  <si>
    <t>003302020050000-33020200501</t>
  </si>
  <si>
    <t>小儿颞部开颅三叉神经节切断术</t>
  </si>
  <si>
    <t>003302020060000-33020200601</t>
  </si>
  <si>
    <t>小儿迷路后三叉神经切断术</t>
  </si>
  <si>
    <t>003302020140000-33020201401</t>
  </si>
  <si>
    <t>小儿经迷路前庭神经切断术</t>
  </si>
  <si>
    <t>003302020150000-33020201501</t>
  </si>
  <si>
    <t>小儿迷路后前庭神经切断术</t>
  </si>
  <si>
    <t>003302020160000-33020201601</t>
  </si>
  <si>
    <t>小儿经内镜前庭神经切断术</t>
  </si>
  <si>
    <t>003302020170000-33020201701</t>
  </si>
  <si>
    <t>小儿经乙状窦后进路神经切断术</t>
  </si>
  <si>
    <t>013302000530000</t>
  </si>
  <si>
    <t>脊髓及脊神经切断费</t>
  </si>
  <si>
    <t>通过手术切断部分脊髓和（或）脊神经。</t>
  </si>
  <si>
    <t>所定价格涵盖手术计划、术区准备、消毒铺巾、定位、切开、探查、神经切断、缝合等步骤所需的人力资源和基本物质资源消耗。</t>
  </si>
  <si>
    <t>1.本项目所称“脊髓及脊神经”指：位于椎管内及椎间孔周围的脊神经部分。2.同一神经切断费不得与松解费同时收取。</t>
  </si>
  <si>
    <t>仅县级开展1例，根据比价关系理顺</t>
  </si>
  <si>
    <t>003302040030000-330204003</t>
  </si>
  <si>
    <t>脊髓丘脑束切断术</t>
  </si>
  <si>
    <t>003302040050000-330204005</t>
  </si>
  <si>
    <t>脊髓前连合切断术</t>
  </si>
  <si>
    <t>包括选择性脊神经后根切断术，不含电生理监测</t>
  </si>
  <si>
    <t>003302040050100-33020400501</t>
  </si>
  <si>
    <t>脊髓前连合切断术（选择性脊神经后根切断术）</t>
  </si>
  <si>
    <t>选择性脊神经后根切断术</t>
  </si>
  <si>
    <t>003302040140000-330204014</t>
  </si>
  <si>
    <t>选择性脊神经后根切断术（SPR）</t>
  </si>
  <si>
    <t>013302000530001</t>
  </si>
  <si>
    <t>脊髓及脊神经切断费-儿童（加收）</t>
  </si>
  <si>
    <t>003302040030000-33020400301</t>
  </si>
  <si>
    <t>小儿脊髓丘脑束切断术</t>
  </si>
  <si>
    <t>003302040050000-33020400502</t>
  </si>
  <si>
    <t>小儿脊髓前连合切断术</t>
  </si>
  <si>
    <t>003302040140000-33020401401</t>
  </si>
  <si>
    <t>小儿选择性脊神经后根切断术（SPR）</t>
  </si>
  <si>
    <t>013302000540000</t>
  </si>
  <si>
    <t>内脏神经切断费</t>
  </si>
  <si>
    <t>通过手术全部或部分切除内脏神经。</t>
  </si>
  <si>
    <t>1.本项目所称“内脏神经”指：分布在胸腔、腹腔及盆腔脏器的神经。2.同一神经切断费不得与松解费同时收取。</t>
  </si>
  <si>
    <t>仅市级开展2.5例，按比价关系理顺</t>
  </si>
  <si>
    <t>003302040150000-330204015</t>
  </si>
  <si>
    <t>胸腰交感神经节切断术</t>
  </si>
  <si>
    <t>含切除多个神经节</t>
  </si>
  <si>
    <t>003310070180000-331007018</t>
  </si>
  <si>
    <t>胰腺周围神经切除术</t>
  </si>
  <si>
    <t>包括胰腺周围神经阻滞术</t>
  </si>
  <si>
    <t>003310070180000-33100701802</t>
  </si>
  <si>
    <t>经腹腔镜胰腺周围神经切除术</t>
  </si>
  <si>
    <t>003310020130000-331002013</t>
  </si>
  <si>
    <t>胃迷走神经切断术</t>
  </si>
  <si>
    <t>包括选择性迷走神经切除及迷走神经干切断</t>
  </si>
  <si>
    <t>003310020130001-33100201302</t>
  </si>
  <si>
    <t>经腹腔镜胃迷走神经切断术</t>
  </si>
  <si>
    <t>013302000540001</t>
  </si>
  <si>
    <t>内脏神经切断费-儿童（加收）</t>
  </si>
  <si>
    <t>003302040150000-33020401501</t>
  </si>
  <si>
    <t>小儿胸腰交感神经节切断术</t>
  </si>
  <si>
    <t>003310070180000-33100701801</t>
  </si>
  <si>
    <t>小儿胰腺周围神经切除术</t>
  </si>
  <si>
    <t>003310070180000-33100701803</t>
  </si>
  <si>
    <t>小儿经腹腔镜胰腺周围神经切除术</t>
  </si>
  <si>
    <t>003310020130000-33100201301</t>
  </si>
  <si>
    <t>小儿胃迷走神经切断术</t>
  </si>
  <si>
    <t>003310020130001-33100201303</t>
  </si>
  <si>
    <t>小儿经腹腔镜胃迷走神经切断术</t>
  </si>
  <si>
    <t>013302000550000</t>
  </si>
  <si>
    <t>周围神经切断费</t>
  </si>
  <si>
    <t>通过手术全部或部分切除周围神经。</t>
  </si>
  <si>
    <t>1.本项目所称“周围神经”指：位于头面部、躯干及四肢的颅神经和脊神经主干或分支。2.同一神经切断费不得与松解费同时收取。</t>
  </si>
  <si>
    <t>003302020020000-330202002</t>
  </si>
  <si>
    <t>三叉神经周围支切断术</t>
  </si>
  <si>
    <t>酒精封闭法、甘油封闭法、冷冻法、射频法基层加收51元，县级医院加收60元，市级医院加收62.5元</t>
  </si>
  <si>
    <t>003302020020100-33020200201</t>
  </si>
  <si>
    <t>三叉神经周围支切断术（酒精封闭法、甘油封闭法、冷冻法、射频法）</t>
  </si>
  <si>
    <t>酒精封闭法、甘油封闭法、冷冻法、射频法</t>
  </si>
  <si>
    <t>003302020030000-330202003</t>
  </si>
  <si>
    <t>三叉神经撕脱术</t>
  </si>
  <si>
    <t>013302000550001</t>
  </si>
  <si>
    <t>周围神经切断费-儿童（加收）</t>
  </si>
  <si>
    <t>003302020020000-33020200202</t>
  </si>
  <si>
    <t>小儿三叉神经周围支切断术</t>
  </si>
  <si>
    <t>003302020020100-33020200203</t>
  </si>
  <si>
    <t>小儿三叉神经周围支切断术（酒精封闭法、甘油封闭法、冷冻法、射频法）</t>
  </si>
  <si>
    <t>003302020030000-33020200301</t>
  </si>
  <si>
    <t>小儿三叉神经撕脱术</t>
  </si>
  <si>
    <t>013302000560000</t>
  </si>
  <si>
    <t>颅神经松解费</t>
  </si>
  <si>
    <t>通过手术松解颅神经粘连。</t>
  </si>
  <si>
    <t>所定价格涵盖手术计划、术区准备、消毒铺巾、定位、开颅、松解及梳理、关颅等步骤所需的人力资源和基本物质资源消耗。</t>
  </si>
  <si>
    <t>1.本项目所称“颅神经”指：位于颅内和颅底、眼眶、颈深部的十二对颅神经部分。
2.同一神经松解费不得与切断费同时收取。</t>
  </si>
  <si>
    <t>经专家轮，颅脑手术难度系数较大，神经松解更是费时，开展量不多，给予适当提高以体现劳务价值</t>
  </si>
  <si>
    <t>003302020070000-330202007</t>
  </si>
  <si>
    <t>颅神经微血管减压术</t>
  </si>
  <si>
    <t>包括三叉神经、面神经、听神经、舌咽神经、迷走神经</t>
  </si>
  <si>
    <t>013302000560001</t>
  </si>
  <si>
    <t>颅神经松解费-儿童（加收）</t>
  </si>
  <si>
    <t>003302020070000-33020200701</t>
  </si>
  <si>
    <t>小儿颅神经微血管减压术</t>
  </si>
  <si>
    <t>013302000570000</t>
  </si>
  <si>
    <t>脊髓及神经根松解费</t>
  </si>
  <si>
    <t>通过手术松解脊髓及神经根粘连。</t>
  </si>
  <si>
    <t>所定价格涵盖手术计划、术区准备、消毒铺巾、定位、切开、松解及梳理、缝合等步骤所需的人力资源和基本物质资源消耗。</t>
  </si>
  <si>
    <t>1.本项目所称“脊髓及脊神经”指：位于椎管内及椎间孔周围的脊神经部分。
2.同一神经松解费不得与切断费同时收取。</t>
  </si>
  <si>
    <t>003302040010000-330204001</t>
  </si>
  <si>
    <t>脊髓和神经根粘连松解术</t>
  </si>
  <si>
    <t>003302040040000-330204004</t>
  </si>
  <si>
    <t>脊髓栓系综合症手术</t>
  </si>
  <si>
    <t>003302040170000-330204017</t>
  </si>
  <si>
    <t>腰骶部潜毛窦切除术</t>
  </si>
  <si>
    <t>013302000570001</t>
  </si>
  <si>
    <t>脊髓及神经根松解费-儿童（加收）</t>
  </si>
  <si>
    <t>003302040010000-33020400101</t>
  </si>
  <si>
    <t>小儿脊髓和神经根粘连松解术</t>
  </si>
  <si>
    <t>003302040040000-33020400401</t>
  </si>
  <si>
    <t>小儿脊髓栓系综合症手术</t>
  </si>
  <si>
    <t>003302040170000-33020401701</t>
  </si>
  <si>
    <t>小儿腰骶部潜毛窦切除术</t>
  </si>
  <si>
    <t>013302000580000</t>
  </si>
  <si>
    <t>内脏神经松解费</t>
  </si>
  <si>
    <t>通过手术松解内脏神经粘连。</t>
  </si>
  <si>
    <t>1.本项目所称“内脏神经”指：分布在胸腔、腹腔及盆腔脏器的神经。
2.同一神经松解费不得与切断费同时收取。</t>
  </si>
  <si>
    <t>013302000580001</t>
  </si>
  <si>
    <t>内脏神经松解费-儿童（加收）</t>
  </si>
  <si>
    <t>013302000590000</t>
  </si>
  <si>
    <t>周围神经松解费</t>
  </si>
  <si>
    <t>通过手术松解周围神经粘连。</t>
  </si>
  <si>
    <t>1.本项目所称“周围神经”指：位于头面部、躯干的颅神经和脊神经主干或分支。
2.同一神经松解费不得与切断费同时收取。
3.肢体神经松解按照骨骼肌肉系统类立项指南中的“肢体神经松解费”收取。</t>
  </si>
  <si>
    <t>003302020110000-330202011</t>
  </si>
  <si>
    <t>面神经松解减压术</t>
  </si>
  <si>
    <t>含腮腺浅叶切除；包括面神经周围支支配的外周部分</t>
  </si>
  <si>
    <t>013302000590001</t>
  </si>
  <si>
    <t>周围神经松解费-儿童（加收）</t>
  </si>
  <si>
    <t>003302020110000-33020201101</t>
  </si>
  <si>
    <t>小儿面神经松解减压术</t>
  </si>
  <si>
    <t>013302000600000</t>
  </si>
  <si>
    <t>颅神经修复吻合费</t>
  </si>
  <si>
    <t>通过手术将颅神经断端与自身或其它神经吻合。</t>
  </si>
  <si>
    <t>所定价格涵盖手术计划、术区准备、消毒铺巾、定位、开颅、颅神经探查、吻合、关颅等步骤所需的人力资源和基本物质资源消耗。</t>
  </si>
  <si>
    <t>无开展，根据项目间比价关系持平颅内病变切除费（常规）定价</t>
  </si>
  <si>
    <t>003302020080000-330202008</t>
  </si>
  <si>
    <t>面神经简单修复术</t>
  </si>
  <si>
    <t>包括肌筋膜悬吊术及神经断端直接吻合及局部同一创面的神经移植</t>
  </si>
  <si>
    <t>003302020090000-330202009</t>
  </si>
  <si>
    <t>面神经吻合术</t>
  </si>
  <si>
    <t>包括面副神经、面舌下神经吻合、听神经瘤手术中颅内直接吻合</t>
  </si>
  <si>
    <t>003302020100000-330202010</t>
  </si>
  <si>
    <t>面神经跨面移植术</t>
  </si>
  <si>
    <t>移植材料</t>
  </si>
  <si>
    <t>003302020120000-330202012</t>
  </si>
  <si>
    <t>经耳面神经梳理术</t>
  </si>
  <si>
    <t>003302020130000-330202013</t>
  </si>
  <si>
    <t>面神经周围神经移植术</t>
  </si>
  <si>
    <t>013302000600001</t>
  </si>
  <si>
    <t>颅神经修复吻合费-儿童（加收）</t>
  </si>
  <si>
    <t>003302020080000-33020200801</t>
  </si>
  <si>
    <t>小儿面神经简单修复术</t>
  </si>
  <si>
    <t>003302020090000-33020200901</t>
  </si>
  <si>
    <t>小儿面神经吻合术</t>
  </si>
  <si>
    <t>003302020100000-33020201001</t>
  </si>
  <si>
    <t>小儿面神经跨面移植术</t>
  </si>
  <si>
    <t>003302020120000-33020201201</t>
  </si>
  <si>
    <t>小儿经耳面神经梳理术</t>
  </si>
  <si>
    <t>003302020130000-33020201301</t>
  </si>
  <si>
    <t>小儿面神经周围神经移植术</t>
  </si>
  <si>
    <t>013302000610000</t>
  </si>
  <si>
    <t>周围神经修复吻合费</t>
  </si>
  <si>
    <t>通过手术将周围神经断端与自身或其它神经吻合。</t>
  </si>
  <si>
    <t>所定价格涵盖手术计划、术区准备、消毒铺巾、切开、周围神经探查、吻合、缝合等步骤所需的人力资源和基本物质资源消耗。</t>
  </si>
  <si>
    <t>003302040190000-330204019</t>
  </si>
  <si>
    <t>马尾神经吻合术</t>
  </si>
  <si>
    <t>013302000610001</t>
  </si>
  <si>
    <t>周围神经修复吻合费-儿童（加收）</t>
  </si>
  <si>
    <t>003302040190000-33020401901</t>
  </si>
  <si>
    <t>小儿马尾神经吻合术</t>
  </si>
  <si>
    <t>原项目含双侧颈内动脉、颈外动脉、椎动脉，合计6根血管，现拆分为3根血管为基础价，每增加1根加收20%。则原来收取1次费用，现收取1+0.2×3=1.6次。按原项目价格除以1.6得出基础价格，取整拟定。</t>
  </si>
  <si>
    <t>id</t>
  </si>
  <si>
    <t>code</t>
  </si>
  <si>
    <t>sever_type</t>
  </si>
  <si>
    <t>change_time</t>
  </si>
  <si>
    <t>old_hilist_code</t>
  </si>
  <si>
    <t>new_hilist_code</t>
  </si>
  <si>
    <t>hilist_name</t>
  </si>
  <si>
    <t>selfpay_prop</t>
  </si>
  <si>
    <t>old_price</t>
  </si>
  <si>
    <t>old_price_city</t>
  </si>
  <si>
    <t>old_price_town</t>
  </si>
  <si>
    <t>old_price_village</t>
  </si>
  <si>
    <t>new_price</t>
  </si>
  <si>
    <t>new_price_city</t>
  </si>
  <si>
    <t>new_price_town</t>
  </si>
  <si>
    <t>new_price_village</t>
  </si>
  <si>
    <t>unit</t>
  </si>
  <si>
    <t>batch</t>
  </si>
  <si>
    <t>is_use_old</t>
  </si>
  <si>
    <t>merge_type</t>
  </si>
  <si>
    <t>cnt_change_model</t>
  </si>
  <si>
    <t>cnt_change_value</t>
  </si>
  <si>
    <t>null</t>
  </si>
  <si>
    <t>2026-04-28 00:00:00</t>
  </si>
  <si>
    <t>normal</t>
  </si>
  <si>
    <t>main</t>
  </si>
  <si>
    <t>A</t>
  </si>
  <si>
    <t>list_type</t>
  </si>
  <si>
    <t>list_type_name</t>
  </si>
  <si>
    <t>is_main</t>
  </si>
  <si>
    <t>数量3</t>
  </si>
  <si>
    <t>数量2</t>
  </si>
  <si>
    <t>数量1</t>
  </si>
  <si>
    <t>预计差额3</t>
  </si>
  <si>
    <t>预计差额2</t>
  </si>
  <si>
    <t>预计差额1</t>
  </si>
  <si>
    <t>实际差额3</t>
  </si>
  <si>
    <t>实际差额2</t>
  </si>
  <si>
    <t>实际差额1</t>
  </si>
</sst>
</file>

<file path=xl/styles.xml><?xml version="1.0" encoding="utf-8"?>
<styleSheet xmlns="http://schemas.openxmlformats.org/spreadsheetml/2006/main">
  <numFmts count="7">
    <numFmt numFmtId="176" formatCode="0.00_ "/>
    <numFmt numFmtId="177" formatCode="0_ "/>
    <numFmt numFmtId="44" formatCode="_ &quot;￥&quot;* #,##0.00_ ;_ &quot;￥&quot;* \-#,##0.00_ ;_ &quot;￥&quot;* &quot;-&quot;??_ ;_ @_ "/>
    <numFmt numFmtId="178" formatCode="0.00_);[Red]\(0.00\)"/>
    <numFmt numFmtId="43" formatCode="_ * #,##0.00_ ;_ * \-#,##0.00_ ;_ * &quot;-&quot;??_ ;_ @_ "/>
    <numFmt numFmtId="41" formatCode="_ * #,##0_ ;_ * \-#,##0_ ;_ * &quot;-&quot;_ ;_ @_ "/>
    <numFmt numFmtId="42" formatCode="_ &quot;￥&quot;* #,##0_ ;_ &quot;￥&quot;* \-#,##0_ ;_ &quot;￥&quot;* &quot;-&quot;_ ;_ @_ "/>
  </numFmts>
  <fonts count="41">
    <font>
      <sz val="11"/>
      <color theme="1"/>
      <name val="宋体"/>
      <charset val="134"/>
      <scheme val="minor"/>
    </font>
    <font>
      <sz val="12"/>
      <color theme="1"/>
      <name val="宋体"/>
      <charset val="134"/>
      <scheme val="minor"/>
    </font>
    <font>
      <b/>
      <sz val="10"/>
      <color theme="1"/>
      <name val="Arial Unicode MS"/>
      <charset val="134"/>
    </font>
    <font>
      <b/>
      <sz val="12"/>
      <color theme="1"/>
      <name val="Arial Unicode MS"/>
      <charset val="134"/>
    </font>
    <font>
      <sz val="6.75"/>
      <color theme="1"/>
      <name val="Arial Unicode MS"/>
      <charset val="134"/>
    </font>
    <font>
      <sz val="12"/>
      <color theme="1"/>
      <name val="方正书宋_GBK"/>
      <charset val="134"/>
    </font>
    <font>
      <sz val="12"/>
      <color theme="1"/>
      <name val="Arial Unicode MS"/>
      <charset val="134"/>
    </font>
    <font>
      <sz val="6.75"/>
      <color theme="1"/>
      <name val="宋体"/>
      <charset val="134"/>
      <scheme val="minor"/>
    </font>
    <font>
      <sz val="18"/>
      <name val="楷体"/>
      <charset val="134"/>
    </font>
    <font>
      <b/>
      <sz val="10"/>
      <name val="黑体"/>
      <charset val="134"/>
    </font>
    <font>
      <sz val="10"/>
      <name val="宋体"/>
      <charset val="134"/>
      <scheme val="minor"/>
    </font>
    <font>
      <sz val="14"/>
      <name val="黑体"/>
      <charset val="134"/>
    </font>
    <font>
      <sz val="20"/>
      <name val="方正小标宋简体"/>
      <charset val="134"/>
    </font>
    <font>
      <b/>
      <sz val="10"/>
      <name val="仿宋"/>
      <charset val="134"/>
    </font>
    <font>
      <sz val="10"/>
      <name val="仿宋"/>
      <charset val="134"/>
    </font>
    <font>
      <sz val="14"/>
      <color theme="1"/>
      <name val="宋体"/>
      <charset val="134"/>
      <scheme val="minor"/>
    </font>
    <font>
      <strike/>
      <sz val="10"/>
      <name val="仿宋"/>
      <charset val="134"/>
    </font>
    <font>
      <sz val="11"/>
      <color rgb="FFFA7D00"/>
      <name val="宋体"/>
      <charset val="0"/>
      <scheme val="minor"/>
    </font>
    <font>
      <sz val="11"/>
      <color theme="1"/>
      <name val="宋体"/>
      <charset val="0"/>
      <scheme val="minor"/>
    </font>
    <font>
      <b/>
      <sz val="13"/>
      <color theme="3"/>
      <name val="宋体"/>
      <charset val="134"/>
      <scheme val="minor"/>
    </font>
    <font>
      <u/>
      <sz val="11"/>
      <color rgb="FF0000FF"/>
      <name val="宋体"/>
      <charset val="0"/>
      <scheme val="minor"/>
    </font>
    <font>
      <sz val="11"/>
      <color theme="0"/>
      <name val="宋体"/>
      <charset val="0"/>
      <scheme val="minor"/>
    </font>
    <font>
      <b/>
      <sz val="15"/>
      <color theme="3"/>
      <name val="宋体"/>
      <charset val="134"/>
      <scheme val="minor"/>
    </font>
    <font>
      <b/>
      <sz val="18"/>
      <color theme="3"/>
      <name val="宋体"/>
      <charset val="134"/>
      <scheme val="minor"/>
    </font>
    <font>
      <u/>
      <sz val="11"/>
      <color rgb="FF800080"/>
      <name val="宋体"/>
      <charset val="0"/>
      <scheme val="minor"/>
    </font>
    <font>
      <b/>
      <sz val="11"/>
      <color rgb="FFFFFFFF"/>
      <name val="宋体"/>
      <charset val="0"/>
      <scheme val="minor"/>
    </font>
    <font>
      <b/>
      <sz val="11"/>
      <color theme="1"/>
      <name val="宋体"/>
      <charset val="0"/>
      <scheme val="minor"/>
    </font>
    <font>
      <b/>
      <sz val="11"/>
      <color theme="3"/>
      <name val="宋体"/>
      <charset val="134"/>
      <scheme val="minor"/>
    </font>
    <font>
      <sz val="10"/>
      <name val="Arial"/>
      <charset val="0"/>
    </font>
    <font>
      <sz val="11"/>
      <color rgb="FF006100"/>
      <name val="宋体"/>
      <charset val="0"/>
      <scheme val="minor"/>
    </font>
    <font>
      <b/>
      <sz val="11"/>
      <color rgb="FFFA7D00"/>
      <name val="宋体"/>
      <charset val="0"/>
      <scheme val="minor"/>
    </font>
    <font>
      <sz val="11"/>
      <color rgb="FF9C6500"/>
      <name val="宋体"/>
      <charset val="0"/>
      <scheme val="minor"/>
    </font>
    <font>
      <sz val="11"/>
      <color indexed="8"/>
      <name val="宋体"/>
      <charset val="134"/>
    </font>
    <font>
      <sz val="11"/>
      <color rgb="FF3F3F76"/>
      <name val="宋体"/>
      <charset val="0"/>
      <scheme val="minor"/>
    </font>
    <font>
      <sz val="12"/>
      <name val="宋体"/>
      <charset val="134"/>
    </font>
    <font>
      <sz val="11"/>
      <color rgb="FFFF0000"/>
      <name val="宋体"/>
      <charset val="0"/>
      <scheme val="minor"/>
    </font>
    <font>
      <sz val="11"/>
      <color rgb="FF000000"/>
      <name val="宋体"/>
      <charset val="134"/>
    </font>
    <font>
      <i/>
      <sz val="11"/>
      <color rgb="FF7F7F7F"/>
      <name val="宋体"/>
      <charset val="0"/>
      <scheme val="minor"/>
    </font>
    <font>
      <sz val="11"/>
      <color rgb="FF9C0006"/>
      <name val="宋体"/>
      <charset val="0"/>
      <scheme val="minor"/>
    </font>
    <font>
      <b/>
      <sz val="11"/>
      <color rgb="FF3F3F3F"/>
      <name val="宋体"/>
      <charset val="0"/>
      <scheme val="minor"/>
    </font>
    <font>
      <sz val="10"/>
      <name val="Arial"/>
      <charset val="134"/>
    </font>
  </fonts>
  <fills count="38">
    <fill>
      <patternFill patternType="none"/>
    </fill>
    <fill>
      <patternFill patternType="gray125"/>
    </fill>
    <fill>
      <patternFill patternType="solid">
        <fgColor theme="9" tint="0.8"/>
        <bgColor indexed="64"/>
      </patternFill>
    </fill>
    <fill>
      <patternFill patternType="solid">
        <fgColor rgb="FFFFFF00"/>
        <bgColor indexed="64"/>
      </patternFill>
    </fill>
    <fill>
      <patternFill patternType="solid">
        <fgColor theme="5" tint="0.8"/>
        <bgColor indexed="64"/>
      </patternFill>
    </fill>
    <fill>
      <patternFill patternType="solid">
        <fgColor theme="0" tint="-0.05"/>
        <bgColor indexed="64"/>
      </patternFill>
    </fill>
    <fill>
      <patternFill patternType="solid">
        <fgColor theme="7" tint="0.8"/>
        <bgColor indexed="64"/>
      </patternFill>
    </fill>
    <fill>
      <patternFill patternType="solid">
        <fgColor theme="8" tint="0.599993896298105"/>
        <bgColor indexed="64"/>
      </patternFill>
    </fill>
    <fill>
      <patternFill patternType="solid">
        <fgColor theme="8"/>
        <bgColor indexed="64"/>
      </patternFill>
    </fill>
    <fill>
      <patternFill patternType="solid">
        <fgColor theme="5" tint="0.599993896298105"/>
        <bgColor indexed="64"/>
      </patternFill>
    </fill>
    <fill>
      <patternFill patternType="solid">
        <fgColor theme="9"/>
        <bgColor indexed="64"/>
      </patternFill>
    </fill>
    <fill>
      <patternFill patternType="solid">
        <fgColor theme="9" tint="0.599993896298105"/>
        <bgColor indexed="64"/>
      </patternFill>
    </fill>
    <fill>
      <patternFill patternType="solid">
        <fgColor rgb="FFA5A5A5"/>
        <bgColor indexed="64"/>
      </patternFill>
    </fill>
    <fill>
      <patternFill patternType="solid">
        <fgColor rgb="FFFFFFCC"/>
        <bgColor indexed="64"/>
      </patternFill>
    </fill>
    <fill>
      <patternFill patternType="solid">
        <fgColor theme="4" tint="0.799981688894314"/>
        <bgColor indexed="64"/>
      </patternFill>
    </fill>
    <fill>
      <patternFill patternType="solid">
        <fgColor theme="6"/>
        <bgColor indexed="64"/>
      </patternFill>
    </fill>
    <fill>
      <patternFill patternType="solid">
        <fgColor rgb="FFC6EFCE"/>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4"/>
        <bgColor indexed="64"/>
      </patternFill>
    </fill>
    <fill>
      <patternFill patternType="solid">
        <fgColor rgb="FFF2F2F2"/>
        <bgColor indexed="64"/>
      </patternFill>
    </fill>
    <fill>
      <patternFill patternType="solid">
        <fgColor theme="6" tint="0.399975585192419"/>
        <bgColor indexed="64"/>
      </patternFill>
    </fill>
    <fill>
      <patternFill patternType="solid">
        <fgColor rgb="FFFFEB9C"/>
        <bgColor indexed="64"/>
      </patternFill>
    </fill>
    <fill>
      <patternFill patternType="solid">
        <fgColor theme="5"/>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theme="7" tint="0.799981688894314"/>
        <bgColor indexed="64"/>
      </patternFill>
    </fill>
    <fill>
      <patternFill patternType="solid">
        <fgColor theme="7"/>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rgb="FFFFC7CE"/>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double">
        <color rgb="FFFF800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53">
    <xf numFmtId="0" fontId="0" fillId="0" borderId="0">
      <alignment vertical="center"/>
    </xf>
    <xf numFmtId="0" fontId="34" fillId="0" borderId="0"/>
    <xf numFmtId="0" fontId="36" fillId="0" borderId="0" applyProtection="0">
      <alignment vertical="center"/>
    </xf>
    <xf numFmtId="0" fontId="32" fillId="0" borderId="0">
      <alignment vertical="center"/>
    </xf>
    <xf numFmtId="0" fontId="21" fillId="37" borderId="0" applyNumberFormat="0" applyBorder="0" applyAlignment="0" applyProtection="0">
      <alignment vertical="center"/>
    </xf>
    <xf numFmtId="0" fontId="18" fillId="29" borderId="0" applyNumberFormat="0" applyBorder="0" applyAlignment="0" applyProtection="0">
      <alignment vertical="center"/>
    </xf>
    <xf numFmtId="0" fontId="21" fillId="30" borderId="0" applyNumberFormat="0" applyBorder="0" applyAlignment="0" applyProtection="0">
      <alignment vertical="center"/>
    </xf>
    <xf numFmtId="0" fontId="33" fillId="28" borderId="12" applyNumberFormat="0" applyAlignment="0" applyProtection="0">
      <alignment vertical="center"/>
    </xf>
    <xf numFmtId="0" fontId="18" fillId="34" borderId="0" applyNumberFormat="0" applyBorder="0" applyAlignment="0" applyProtection="0">
      <alignment vertical="center"/>
    </xf>
    <xf numFmtId="0" fontId="18" fillId="27" borderId="0" applyNumberFormat="0" applyBorder="0" applyAlignment="0" applyProtection="0">
      <alignment vertical="center"/>
    </xf>
    <xf numFmtId="44" fontId="0" fillId="0" borderId="0" applyFont="0" applyFill="0" applyBorder="0" applyAlignment="0" applyProtection="0">
      <alignment vertical="center"/>
    </xf>
    <xf numFmtId="0" fontId="21" fillId="15" borderId="0" applyNumberFormat="0" applyBorder="0" applyAlignment="0" applyProtection="0">
      <alignment vertical="center"/>
    </xf>
    <xf numFmtId="9" fontId="0" fillId="0" borderId="0" applyFont="0" applyFill="0" applyBorder="0" applyAlignment="0" applyProtection="0">
      <alignment vertical="center"/>
    </xf>
    <xf numFmtId="0" fontId="21" fillId="25" borderId="0" applyNumberFormat="0" applyBorder="0" applyAlignment="0" applyProtection="0">
      <alignment vertical="center"/>
    </xf>
    <xf numFmtId="0" fontId="21" fillId="35" borderId="0" applyNumberFormat="0" applyBorder="0" applyAlignment="0" applyProtection="0">
      <alignment vertical="center"/>
    </xf>
    <xf numFmtId="0" fontId="21" fillId="24" borderId="0" applyNumberFormat="0" applyBorder="0" applyAlignment="0" applyProtection="0">
      <alignment vertical="center"/>
    </xf>
    <xf numFmtId="0" fontId="21" fillId="26" borderId="0" applyNumberFormat="0" applyBorder="0" applyAlignment="0" applyProtection="0">
      <alignment vertical="center"/>
    </xf>
    <xf numFmtId="0" fontId="21" fillId="17" borderId="0" applyNumberFormat="0" applyBorder="0" applyAlignment="0" applyProtection="0">
      <alignment vertical="center"/>
    </xf>
    <xf numFmtId="0" fontId="30" fillId="21" borderId="12" applyNumberFormat="0" applyAlignment="0" applyProtection="0">
      <alignment vertical="center"/>
    </xf>
    <xf numFmtId="0" fontId="21" fillId="20" borderId="0" applyNumberFormat="0" applyBorder="0" applyAlignment="0" applyProtection="0">
      <alignment vertical="center"/>
    </xf>
    <xf numFmtId="0" fontId="31" fillId="23" borderId="0" applyNumberFormat="0" applyBorder="0" applyAlignment="0" applyProtection="0">
      <alignment vertical="center"/>
    </xf>
    <xf numFmtId="0" fontId="18" fillId="18" borderId="0" applyNumberFormat="0" applyBorder="0" applyAlignment="0" applyProtection="0">
      <alignment vertical="center"/>
    </xf>
    <xf numFmtId="0" fontId="29" fillId="16" borderId="0" applyNumberFormat="0" applyBorder="0" applyAlignment="0" applyProtection="0">
      <alignment vertical="center"/>
    </xf>
    <xf numFmtId="0" fontId="18" fillId="14" borderId="0" applyNumberFormat="0" applyBorder="0" applyAlignment="0" applyProtection="0">
      <alignment vertical="center"/>
    </xf>
    <xf numFmtId="0" fontId="26" fillId="0" borderId="9" applyNumberFormat="0" applyFill="0" applyAlignment="0" applyProtection="0">
      <alignment vertical="center"/>
    </xf>
    <xf numFmtId="0" fontId="38" fillId="36" borderId="0" applyNumberFormat="0" applyBorder="0" applyAlignment="0" applyProtection="0">
      <alignment vertical="center"/>
    </xf>
    <xf numFmtId="0" fontId="25" fillId="12" borderId="8" applyNumberFormat="0" applyAlignment="0" applyProtection="0">
      <alignment vertical="center"/>
    </xf>
    <xf numFmtId="0" fontId="39" fillId="21" borderId="13" applyNumberFormat="0" applyAlignment="0" applyProtection="0">
      <alignment vertical="center"/>
    </xf>
    <xf numFmtId="0" fontId="22" fillId="0" borderId="7" applyNumberFormat="0" applyFill="0" applyAlignment="0" applyProtection="0">
      <alignment vertical="center"/>
    </xf>
    <xf numFmtId="0" fontId="37" fillId="0" borderId="0" applyNumberFormat="0" applyFill="0" applyBorder="0" applyAlignment="0" applyProtection="0">
      <alignment vertical="center"/>
    </xf>
    <xf numFmtId="0" fontId="18" fillId="31" borderId="0" applyNumberFormat="0" applyBorder="0" applyAlignment="0" applyProtection="0">
      <alignment vertical="center"/>
    </xf>
    <xf numFmtId="0" fontId="27" fillId="0" borderId="0" applyNumberFormat="0" applyFill="0" applyBorder="0" applyAlignment="0" applyProtection="0">
      <alignment vertical="center"/>
    </xf>
    <xf numFmtId="0" fontId="28" fillId="0" borderId="0"/>
    <xf numFmtId="42" fontId="0" fillId="0" borderId="0" applyFont="0" applyFill="0" applyBorder="0" applyAlignment="0" applyProtection="0">
      <alignment vertical="center"/>
    </xf>
    <xf numFmtId="0" fontId="18" fillId="32" borderId="0" applyNumberFormat="0" applyBorder="0" applyAlignment="0" applyProtection="0">
      <alignment vertical="center"/>
    </xf>
    <xf numFmtId="43"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8" fillId="9" borderId="0" applyNumberFormat="0" applyBorder="0" applyAlignment="0" applyProtection="0">
      <alignment vertical="center"/>
    </xf>
    <xf numFmtId="0" fontId="35" fillId="0" borderId="0" applyNumberFormat="0" applyFill="0" applyBorder="0" applyAlignment="0" applyProtection="0">
      <alignment vertical="center"/>
    </xf>
    <xf numFmtId="0" fontId="21" fillId="22" borderId="0" applyNumberFormat="0" applyBorder="0" applyAlignment="0" applyProtection="0">
      <alignment vertical="center"/>
    </xf>
    <xf numFmtId="0" fontId="0" fillId="13" borderId="11" applyNumberFormat="0" applyFont="0" applyAlignment="0" applyProtection="0">
      <alignment vertical="center"/>
    </xf>
    <xf numFmtId="0" fontId="18" fillId="19" borderId="0" applyNumberFormat="0" applyBorder="0" applyAlignment="0" applyProtection="0">
      <alignment vertical="center"/>
    </xf>
    <xf numFmtId="0" fontId="21" fillId="8" borderId="0" applyNumberFormat="0" applyBorder="0" applyAlignment="0" applyProtection="0">
      <alignment vertical="center"/>
    </xf>
    <xf numFmtId="0" fontId="18" fillId="11" borderId="0" applyNumberFormat="0" applyBorder="0" applyAlignment="0" applyProtection="0">
      <alignment vertical="center"/>
    </xf>
    <xf numFmtId="0" fontId="20" fillId="0" borderId="0" applyNumberFormat="0" applyFill="0" applyBorder="0" applyAlignment="0" applyProtection="0">
      <alignment vertical="center"/>
    </xf>
    <xf numFmtId="41" fontId="0" fillId="0" borderId="0" applyFont="0" applyFill="0" applyBorder="0" applyAlignment="0" applyProtection="0">
      <alignment vertical="center"/>
    </xf>
    <xf numFmtId="0" fontId="19" fillId="0" borderId="7" applyNumberFormat="0" applyFill="0" applyAlignment="0" applyProtection="0">
      <alignment vertical="center"/>
    </xf>
    <xf numFmtId="0" fontId="18" fillId="7" borderId="0" applyNumberFormat="0" applyBorder="0" applyAlignment="0" applyProtection="0">
      <alignment vertical="center"/>
    </xf>
    <xf numFmtId="0" fontId="27" fillId="0" borderId="10" applyNumberFormat="0" applyFill="0" applyAlignment="0" applyProtection="0">
      <alignment vertical="center"/>
    </xf>
    <xf numFmtId="0" fontId="21" fillId="10" borderId="0" applyNumberFormat="0" applyBorder="0" applyAlignment="0" applyProtection="0">
      <alignment vertical="center"/>
    </xf>
    <xf numFmtId="0" fontId="18" fillId="33" borderId="0" applyNumberFormat="0" applyBorder="0" applyAlignment="0" applyProtection="0">
      <alignment vertical="center"/>
    </xf>
    <xf numFmtId="0" fontId="17" fillId="0" borderId="6" applyNumberFormat="0" applyFill="0" applyAlignment="0" applyProtection="0">
      <alignment vertical="center"/>
    </xf>
  </cellStyleXfs>
  <cellXfs count="87">
    <xf numFmtId="0" fontId="0" fillId="0" borderId="0" xfId="0">
      <alignment vertical="center"/>
    </xf>
    <xf numFmtId="0" fontId="1" fillId="0" borderId="0" xfId="0" applyFont="1">
      <alignment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0" fillId="2" borderId="0" xfId="0" applyFill="1">
      <alignment vertical="center"/>
    </xf>
    <xf numFmtId="0" fontId="2"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49" fontId="0" fillId="0" borderId="0" xfId="0" applyNumberFormat="1" applyFont="1" applyFill="1" applyBorder="1" applyAlignment="1">
      <alignment vertical="center"/>
    </xf>
    <xf numFmtId="0" fontId="0" fillId="3" borderId="0" xfId="0" applyFill="1">
      <alignment vertical="center"/>
    </xf>
    <xf numFmtId="0" fontId="0" fillId="0" borderId="0" xfId="0" applyFill="1" applyBorder="1" applyAlignment="1">
      <alignment vertical="center"/>
    </xf>
    <xf numFmtId="0" fontId="0" fillId="0" borderId="0" xfId="0" applyFont="1" applyFill="1" applyBorder="1" applyAlignment="1">
      <alignment vertical="center"/>
    </xf>
    <xf numFmtId="0" fontId="8" fillId="0" borderId="0" xfId="0" applyFont="1" applyFill="1" applyAlignment="1">
      <alignment vertical="center"/>
    </xf>
    <xf numFmtId="0" fontId="9" fillId="0" borderId="0" xfId="0" applyFont="1" applyFill="1" applyBorder="1" applyAlignment="1">
      <alignment horizontal="center" vertical="center" wrapText="1"/>
    </xf>
    <xf numFmtId="0" fontId="10" fillId="0" borderId="0" xfId="0" applyFont="1" applyFill="1" applyAlignment="1">
      <alignment vertical="center"/>
    </xf>
    <xf numFmtId="0" fontId="10" fillId="0" borderId="0" xfId="0" applyFont="1" applyFill="1" applyAlignment="1">
      <alignment vertical="center" wrapText="1"/>
    </xf>
    <xf numFmtId="0" fontId="10" fillId="0" borderId="0" xfId="0" applyFont="1" applyFill="1" applyAlignment="1">
      <alignment horizontal="center" vertical="center"/>
    </xf>
    <xf numFmtId="0" fontId="10" fillId="0" borderId="0" xfId="0" applyFont="1" applyFill="1" applyAlignment="1">
      <alignment horizontal="left" vertical="center" wrapText="1"/>
    </xf>
    <xf numFmtId="0" fontId="10" fillId="0" borderId="0" xfId="0" applyFont="1" applyFill="1" applyAlignment="1">
      <alignment horizontal="center" vertical="center" wrapText="1"/>
    </xf>
    <xf numFmtId="0" fontId="10" fillId="0" borderId="0" xfId="0" applyNumberFormat="1" applyFont="1" applyFill="1" applyAlignment="1">
      <alignment horizontal="center" vertical="center" wrapText="1"/>
    </xf>
    <xf numFmtId="0" fontId="11" fillId="0" borderId="0" xfId="0" applyFont="1" applyFill="1" applyAlignment="1">
      <alignment horizontal="left" vertical="center"/>
    </xf>
    <xf numFmtId="0" fontId="12" fillId="0" borderId="0" xfId="0" applyFont="1" applyFill="1" applyAlignment="1">
      <alignment vertical="center"/>
    </xf>
    <xf numFmtId="0" fontId="8" fillId="4" borderId="0" xfId="0" applyFont="1" applyFill="1" applyAlignment="1">
      <alignment vertical="center" wrapText="1"/>
    </xf>
    <xf numFmtId="49" fontId="13" fillId="0" borderId="1" xfId="2" applyNumberFormat="1" applyFont="1" applyFill="1" applyBorder="1" applyAlignment="1" applyProtection="1">
      <alignment horizontal="center" vertical="center" wrapText="1"/>
    </xf>
    <xf numFmtId="0" fontId="14" fillId="0" borderId="1" xfId="0" applyFont="1" applyFill="1" applyBorder="1" applyAlignment="1">
      <alignment vertical="center"/>
    </xf>
    <xf numFmtId="0" fontId="14" fillId="0" borderId="1" xfId="0" applyFont="1" applyFill="1" applyBorder="1" applyAlignment="1">
      <alignment vertical="center" wrapText="1"/>
    </xf>
    <xf numFmtId="0" fontId="14" fillId="0" borderId="1" xfId="0" applyFont="1" applyFill="1" applyBorder="1" applyAlignment="1">
      <alignment horizontal="center" vertical="center"/>
    </xf>
    <xf numFmtId="0" fontId="14" fillId="0" borderId="1" xfId="0" applyFont="1" applyFill="1" applyBorder="1" applyAlignment="1">
      <alignment horizontal="center" vertical="center" wrapText="1"/>
    </xf>
    <xf numFmtId="0" fontId="14" fillId="0" borderId="1" xfId="0" applyFont="1" applyFill="1" applyBorder="1" applyAlignment="1">
      <alignment horizontal="left" vertical="center" wrapText="1"/>
    </xf>
    <xf numFmtId="0" fontId="13" fillId="4"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4" fillId="4" borderId="1" xfId="0" applyFont="1" applyFill="1" applyBorder="1" applyAlignment="1">
      <alignment vertical="center" wrapText="1"/>
    </xf>
    <xf numFmtId="178" fontId="14" fillId="5" borderId="1" xfId="0" applyNumberFormat="1" applyFont="1" applyFill="1" applyBorder="1" applyAlignment="1">
      <alignment vertical="center" wrapText="1"/>
    </xf>
    <xf numFmtId="0" fontId="14" fillId="5"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4" fillId="5" borderId="1" xfId="0" applyFont="1" applyFill="1" applyBorder="1" applyAlignment="1">
      <alignment vertical="center" wrapText="1"/>
    </xf>
    <xf numFmtId="0" fontId="13" fillId="6" borderId="1" xfId="0" applyFont="1" applyFill="1" applyBorder="1" applyAlignment="1">
      <alignment horizontal="center" vertical="center" wrapText="1"/>
    </xf>
    <xf numFmtId="0" fontId="14" fillId="6" borderId="1" xfId="0" applyFont="1" applyFill="1" applyBorder="1" applyAlignment="1">
      <alignment vertical="center" wrapText="1"/>
    </xf>
    <xf numFmtId="0" fontId="14" fillId="6" borderId="1" xfId="0" applyFont="1" applyFill="1" applyBorder="1" applyAlignment="1">
      <alignment horizontal="center" vertical="center" wrapText="1"/>
    </xf>
    <xf numFmtId="0" fontId="8" fillId="6" borderId="0" xfId="0" applyFont="1" applyFill="1" applyAlignment="1">
      <alignment vertical="center" wrapText="1"/>
    </xf>
    <xf numFmtId="177" fontId="13" fillId="0" borderId="2" xfId="0" applyNumberFormat="1" applyFont="1" applyFill="1" applyBorder="1" applyAlignment="1">
      <alignment horizontal="center" vertical="center" wrapText="1"/>
    </xf>
    <xf numFmtId="177" fontId="13" fillId="0" borderId="1" xfId="0" applyNumberFormat="1" applyFont="1" applyFill="1" applyBorder="1" applyAlignment="1">
      <alignment horizontal="center" vertical="center" wrapText="1"/>
    </xf>
    <xf numFmtId="0" fontId="13" fillId="0" borderId="1" xfId="32" applyFont="1" applyFill="1" applyBorder="1" applyAlignment="1">
      <alignment horizontal="center" vertical="center" wrapText="1"/>
    </xf>
    <xf numFmtId="0" fontId="14" fillId="0" borderId="1" xfId="32" applyFont="1" applyFill="1" applyBorder="1" applyAlignment="1" applyProtection="1">
      <alignment horizontal="center" vertical="center" wrapText="1"/>
      <protection locked="0"/>
    </xf>
    <xf numFmtId="0" fontId="13" fillId="0" borderId="1" xfId="0" applyFont="1" applyFill="1" applyBorder="1" applyAlignment="1" applyProtection="1">
      <alignment horizontal="center" vertical="center" wrapText="1"/>
    </xf>
    <xf numFmtId="43" fontId="14" fillId="0" borderId="1" xfId="35" applyFont="1" applyFill="1" applyBorder="1" applyAlignment="1" applyProtection="1">
      <alignment horizontal="center" vertical="center" wrapText="1"/>
      <protection locked="0"/>
    </xf>
    <xf numFmtId="0" fontId="14" fillId="0" borderId="1" xfId="32" applyFont="1" applyFill="1" applyBorder="1" applyAlignment="1">
      <alignment horizontal="center" vertical="center" wrapText="1"/>
    </xf>
    <xf numFmtId="0" fontId="14" fillId="0" borderId="1" xfId="0" applyFont="1" applyFill="1" applyBorder="1" applyAlignment="1" applyProtection="1">
      <alignment horizontal="center" vertical="center" wrapText="1"/>
      <protection locked="0"/>
    </xf>
    <xf numFmtId="0" fontId="14" fillId="4" borderId="1" xfId="0" applyNumberFormat="1" applyFont="1" applyFill="1" applyBorder="1" applyAlignment="1">
      <alignment horizontal="center" vertical="center" wrapText="1"/>
    </xf>
    <xf numFmtId="0" fontId="14" fillId="4" borderId="1" xfId="32" applyNumberFormat="1" applyFont="1" applyFill="1" applyBorder="1" applyAlignment="1" applyProtection="1">
      <alignment horizontal="center" vertical="center" wrapText="1"/>
      <protection locked="0"/>
    </xf>
    <xf numFmtId="176" fontId="14" fillId="4" borderId="1" xfId="32" applyNumberFormat="1" applyFont="1" applyFill="1" applyBorder="1" applyAlignment="1" applyProtection="1">
      <alignment horizontal="center" vertical="center" wrapText="1"/>
      <protection locked="0"/>
    </xf>
    <xf numFmtId="0" fontId="14" fillId="5" borderId="1" xfId="0" applyNumberFormat="1" applyFont="1" applyFill="1" applyBorder="1" applyAlignment="1">
      <alignment horizontal="center" vertical="center" wrapText="1"/>
    </xf>
    <xf numFmtId="0" fontId="14" fillId="4" borderId="1" xfId="35" applyNumberFormat="1" applyFont="1" applyFill="1" applyBorder="1" applyAlignment="1" applyProtection="1">
      <alignment horizontal="center" vertical="center" wrapText="1"/>
      <protection locked="0"/>
    </xf>
    <xf numFmtId="176" fontId="14" fillId="4" borderId="1" xfId="0" applyNumberFormat="1" applyFont="1" applyFill="1" applyBorder="1" applyAlignment="1" applyProtection="1">
      <alignment horizontal="center" vertical="center" wrapText="1"/>
      <protection locked="0"/>
    </xf>
    <xf numFmtId="0" fontId="14" fillId="6" borderId="1" xfId="0" applyNumberFormat="1" applyFont="1" applyFill="1" applyBorder="1" applyAlignment="1">
      <alignment horizontal="center" vertical="center" wrapText="1"/>
    </xf>
    <xf numFmtId="0" fontId="15" fillId="0" borderId="0" xfId="0" applyFont="1" applyFill="1" applyAlignment="1">
      <alignment vertical="center"/>
    </xf>
    <xf numFmtId="178" fontId="14" fillId="5" borderId="1" xfId="0" applyNumberFormat="1" applyFont="1" applyFill="1" applyBorder="1" applyAlignment="1">
      <alignment horizontal="center" vertical="center" wrapText="1"/>
    </xf>
    <xf numFmtId="0" fontId="14" fillId="0" borderId="1" xfId="1" applyFont="1" applyFill="1" applyBorder="1" applyAlignment="1" applyProtection="1">
      <alignment horizontal="center" vertical="center" wrapText="1"/>
      <protection locked="0"/>
    </xf>
    <xf numFmtId="0" fontId="14" fillId="0" borderId="1" xfId="32" applyNumberFormat="1" applyFont="1" applyFill="1" applyBorder="1" applyAlignment="1" applyProtection="1">
      <alignment horizontal="center" vertical="center" wrapText="1"/>
      <protection locked="0"/>
    </xf>
    <xf numFmtId="0" fontId="14" fillId="4" borderId="1" xfId="0" applyNumberFormat="1" applyFont="1" applyFill="1" applyBorder="1" applyAlignment="1" applyProtection="1">
      <alignment horizontal="center" vertical="center" wrapText="1"/>
      <protection locked="0"/>
    </xf>
    <xf numFmtId="0" fontId="16" fillId="0" borderId="1" xfId="32" applyFont="1" applyFill="1" applyBorder="1" applyAlignment="1" applyProtection="1">
      <alignment horizontal="center" vertical="center" wrapText="1"/>
      <protection locked="0"/>
    </xf>
    <xf numFmtId="43" fontId="16" fillId="0" borderId="1" xfId="35" applyFont="1" applyFill="1" applyBorder="1" applyAlignment="1" applyProtection="1">
      <alignment horizontal="center" vertical="center" wrapText="1"/>
      <protection locked="0"/>
    </xf>
    <xf numFmtId="0" fontId="16" fillId="4" borderId="1" xfId="32" applyNumberFormat="1" applyFont="1" applyFill="1" applyBorder="1" applyAlignment="1" applyProtection="1">
      <alignment horizontal="center" vertical="center" wrapText="1"/>
      <protection locked="0"/>
    </xf>
    <xf numFmtId="0" fontId="14" fillId="0" borderId="3" xfId="0" applyFont="1" applyFill="1" applyBorder="1" applyAlignment="1">
      <alignment vertical="center" wrapText="1"/>
    </xf>
    <xf numFmtId="0" fontId="14" fillId="0" borderId="4" xfId="0" applyFont="1" applyFill="1" applyBorder="1" applyAlignment="1">
      <alignment vertical="center" wrapText="1"/>
    </xf>
    <xf numFmtId="0" fontId="14" fillId="0" borderId="5" xfId="0" applyFont="1" applyFill="1" applyBorder="1" applyAlignment="1">
      <alignment vertical="center" wrapText="1"/>
    </xf>
    <xf numFmtId="0" fontId="14" fillId="5" borderId="1" xfId="32" applyFont="1" applyFill="1" applyBorder="1" applyAlignment="1" applyProtection="1">
      <alignment horizontal="center" vertical="center" wrapText="1"/>
      <protection locked="0"/>
    </xf>
    <xf numFmtId="43" fontId="14" fillId="5" borderId="1" xfId="35" applyFont="1" applyFill="1" applyBorder="1" applyAlignment="1" applyProtection="1">
      <alignment horizontal="center" vertical="center" wrapText="1"/>
      <protection locked="0"/>
    </xf>
    <xf numFmtId="0" fontId="14" fillId="5" borderId="1" xfId="1" applyFont="1" applyFill="1" applyBorder="1" applyAlignment="1" applyProtection="1">
      <alignment horizontal="center" vertical="center" wrapText="1"/>
      <protection locked="0"/>
    </xf>
    <xf numFmtId="0" fontId="14" fillId="5" borderId="1" xfId="32" applyNumberFormat="1" applyFont="1" applyFill="1" applyBorder="1" applyAlignment="1" applyProtection="1">
      <alignment horizontal="center" vertical="center" wrapText="1"/>
      <protection locked="0"/>
    </xf>
    <xf numFmtId="9" fontId="10" fillId="0" borderId="0" xfId="0" applyNumberFormat="1" applyFont="1" applyFill="1" applyAlignment="1">
      <alignment horizontal="center" vertical="center" wrapText="1"/>
    </xf>
    <xf numFmtId="0" fontId="12" fillId="0" borderId="0" xfId="0" applyFont="1" applyFill="1" applyAlignment="1">
      <alignment horizontal="center" vertical="center"/>
    </xf>
    <xf numFmtId="0" fontId="8" fillId="4" borderId="0" xfId="0" applyFont="1" applyFill="1" applyAlignment="1">
      <alignment horizontal="center" vertical="center" wrapText="1"/>
    </xf>
    <xf numFmtId="9" fontId="14" fillId="0" borderId="1" xfId="0" applyNumberFormat="1" applyFont="1" applyFill="1" applyBorder="1" applyAlignment="1">
      <alignment horizontal="center" vertical="center" wrapText="1"/>
    </xf>
    <xf numFmtId="0" fontId="8" fillId="6" borderId="0" xfId="0" applyFont="1" applyFill="1" applyAlignment="1">
      <alignment horizontal="center" vertical="center" wrapText="1"/>
    </xf>
    <xf numFmtId="0" fontId="8" fillId="0" borderId="0" xfId="0" applyNumberFormat="1" applyFont="1" applyFill="1" applyAlignment="1">
      <alignment horizontal="center" vertical="center" wrapText="1"/>
    </xf>
    <xf numFmtId="9" fontId="8" fillId="0" borderId="0" xfId="0" applyNumberFormat="1" applyFont="1" applyFill="1" applyAlignment="1">
      <alignment horizontal="center" vertical="center" wrapText="1"/>
    </xf>
    <xf numFmtId="0" fontId="13" fillId="0" borderId="1" xfId="0" applyFont="1" applyFill="1" applyBorder="1" applyAlignment="1">
      <alignment horizontal="center" vertical="center" wrapText="1"/>
    </xf>
    <xf numFmtId="9" fontId="13" fillId="0" borderId="1" xfId="0" applyNumberFormat="1" applyFont="1" applyFill="1" applyBorder="1" applyAlignment="1">
      <alignment horizontal="center" vertical="center" wrapText="1"/>
    </xf>
    <xf numFmtId="0" fontId="14" fillId="0" borderId="1" xfId="0" applyNumberFormat="1" applyFont="1" applyFill="1" applyBorder="1" applyAlignment="1">
      <alignment horizontal="center" vertical="center" wrapText="1"/>
    </xf>
    <xf numFmtId="9" fontId="14" fillId="5" borderId="1" xfId="0" applyNumberFormat="1" applyFont="1" applyFill="1" applyBorder="1" applyAlignment="1">
      <alignment horizontal="center" vertical="center" wrapText="1"/>
    </xf>
    <xf numFmtId="0" fontId="14" fillId="0" borderId="3"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5" xfId="0" applyFont="1" applyFill="1" applyBorder="1" applyAlignment="1">
      <alignment horizontal="center" vertical="center" wrapText="1"/>
    </xf>
    <xf numFmtId="0" fontId="14" fillId="0" borderId="1" xfId="0" applyFont="1" applyFill="1" applyBorder="1" applyAlignment="1" quotePrefix="1">
      <alignment horizontal="center" vertical="center" wrapText="1"/>
    </xf>
    <xf numFmtId="0" fontId="14" fillId="0" borderId="1" xfId="0" applyFont="1" applyFill="1" applyBorder="1" applyAlignment="1" quotePrefix="1">
      <alignment vertical="center" wrapText="1"/>
    </xf>
  </cellXfs>
  <cellStyles count="53">
    <cellStyle name="常规" xfId="0" builtinId="0"/>
    <cellStyle name="汇总 2 7 23" xfId="1"/>
    <cellStyle name="常规 28" xfId="2"/>
    <cellStyle name="常规_汇总 (3)" xfId="3"/>
    <cellStyle name="60% - 强调文字颜色 6" xfId="4" builtinId="52"/>
    <cellStyle name="20% - 强调文字颜色 4" xfId="5" builtinId="42"/>
    <cellStyle name="强调文字颜色 4" xfId="6" builtinId="41"/>
    <cellStyle name="输入" xfId="7" builtinId="20"/>
    <cellStyle name="40% - 强调文字颜色 3" xfId="8" builtinId="39"/>
    <cellStyle name="20% - 强调文字颜色 3" xfId="9" builtinId="38"/>
    <cellStyle name="货币" xfId="10" builtinId="4"/>
    <cellStyle name="强调文字颜色 3" xfId="11" builtinId="37"/>
    <cellStyle name="百分比" xfId="12" builtinId="5"/>
    <cellStyle name="60% - 强调文字颜色 2" xfId="13" builtinId="36"/>
    <cellStyle name="60% - 强调文字颜色 5" xfId="14" builtinId="48"/>
    <cellStyle name="强调文字颜色 2" xfId="15" builtinId="33"/>
    <cellStyle name="60% - 强调文字颜色 1" xfId="16" builtinId="32"/>
    <cellStyle name="60% - 强调文字颜色 4" xfId="17" builtinId="44"/>
    <cellStyle name="计算" xfId="18" builtinId="22"/>
    <cellStyle name="强调文字颜色 1" xfId="19" builtinId="29"/>
    <cellStyle name="适中" xfId="20" builtinId="28"/>
    <cellStyle name="20% - 强调文字颜色 5" xfId="21" builtinId="46"/>
    <cellStyle name="好" xfId="22" builtinId="26"/>
    <cellStyle name="20% - 强调文字颜色 1" xfId="23" builtinId="30"/>
    <cellStyle name="汇总" xfId="24" builtinId="25"/>
    <cellStyle name="差" xfId="25" builtinId="27"/>
    <cellStyle name="检查单元格" xfId="26" builtinId="23"/>
    <cellStyle name="输出" xfId="27" builtinId="21"/>
    <cellStyle name="标题 1" xfId="28" builtinId="16"/>
    <cellStyle name="解释性文本" xfId="29" builtinId="53"/>
    <cellStyle name="20% - 强调文字颜色 2" xfId="30" builtinId="34"/>
    <cellStyle name="标题 4" xfId="31" builtinId="19"/>
    <cellStyle name="常规 10" xfId="32"/>
    <cellStyle name="货币[0]" xfId="33" builtinId="7"/>
    <cellStyle name="40% - 强调文字颜色 4" xfId="34" builtinId="43"/>
    <cellStyle name="千位分隔" xfId="35" builtinId="3"/>
    <cellStyle name="已访问的超链接" xfId="36" builtinId="9"/>
    <cellStyle name="标题" xfId="37" builtinId="15"/>
    <cellStyle name="40% - 强调文字颜色 2" xfId="38" builtinId="35"/>
    <cellStyle name="警告文本" xfId="39" builtinId="11"/>
    <cellStyle name="60% - 强调文字颜色 3" xfId="40" builtinId="40"/>
    <cellStyle name="注释" xfId="41" builtinId="10"/>
    <cellStyle name="20% - 强调文字颜色 6" xfId="42" builtinId="50"/>
    <cellStyle name="强调文字颜色 5" xfId="43" builtinId="45"/>
    <cellStyle name="40% - 强调文字颜色 6" xfId="44" builtinId="51"/>
    <cellStyle name="超链接" xfId="45" builtinId="8"/>
    <cellStyle name="千位分隔[0]" xfId="46" builtinId="6"/>
    <cellStyle name="标题 2" xfId="47" builtinId="17"/>
    <cellStyle name="40% - 强调文字颜色 5" xfId="48" builtinId="47"/>
    <cellStyle name="标题 3" xfId="49" builtinId="18"/>
    <cellStyle name="强调文字颜色 6" xfId="50" builtinId="49"/>
    <cellStyle name="40% - 强调文字颜色 1" xfId="51" builtinId="31"/>
    <cellStyle name="链接单元格" xfId="52" builtinId="24"/>
  </cellStyles>
  <tableStyles count="0" defaultTableStyle="TableStyleMedium2" defaultPivotStyle="PivotStyleLight16"/>
  <colors>
    <mruColors>
      <color rgb="00C0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28</xdr:col>
      <xdr:colOff>0</xdr:colOff>
      <xdr:row>3</xdr:row>
      <xdr:rowOff>0</xdr:rowOff>
    </xdr:from>
    <xdr:ext cx="309880" cy="285115"/>
    <xdr:sp>
      <xdr:nvSpPr>
        <xdr:cNvPr id="2" name="文本框 2"/>
        <xdr:cNvSpPr txBox="1"/>
      </xdr:nvSpPr>
      <xdr:spPr>
        <a:xfrm>
          <a:off x="22572980" y="1308100"/>
          <a:ext cx="309880" cy="28511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27</xdr:col>
      <xdr:colOff>0</xdr:colOff>
      <xdr:row>3</xdr:row>
      <xdr:rowOff>0</xdr:rowOff>
    </xdr:from>
    <xdr:ext cx="309880" cy="285115"/>
    <xdr:sp>
      <xdr:nvSpPr>
        <xdr:cNvPr id="4" name="文本框 2"/>
        <xdr:cNvSpPr txBox="1"/>
      </xdr:nvSpPr>
      <xdr:spPr>
        <a:xfrm>
          <a:off x="22572980" y="1308100"/>
          <a:ext cx="309880" cy="28511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26</xdr:col>
      <xdr:colOff>0</xdr:colOff>
      <xdr:row>3</xdr:row>
      <xdr:rowOff>0</xdr:rowOff>
    </xdr:from>
    <xdr:ext cx="309880" cy="285115"/>
    <xdr:sp>
      <xdr:nvSpPr>
        <xdr:cNvPr id="2" name="文本框 2"/>
        <xdr:cNvSpPr txBox="1"/>
      </xdr:nvSpPr>
      <xdr:spPr>
        <a:xfrm>
          <a:off x="28735655" y="1308100"/>
          <a:ext cx="309880" cy="28511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25</xdr:col>
      <xdr:colOff>0</xdr:colOff>
      <xdr:row>3</xdr:row>
      <xdr:rowOff>0</xdr:rowOff>
    </xdr:from>
    <xdr:ext cx="309880" cy="285115"/>
    <xdr:sp>
      <xdr:nvSpPr>
        <xdr:cNvPr id="3" name="文本框 2"/>
        <xdr:cNvSpPr txBox="1"/>
      </xdr:nvSpPr>
      <xdr:spPr>
        <a:xfrm>
          <a:off x="26887805" y="1308100"/>
          <a:ext cx="309880" cy="28511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J434"/>
  <sheetViews>
    <sheetView view="pageBreakPreview" zoomScale="80" zoomScaleNormal="100" workbookViewId="0">
      <pane ySplit="4" topLeftCell="A290" activePane="bottomLeft" state="frozen"/>
      <selection/>
      <selection pane="bottomLeft" activeCell="O292" sqref="O292"/>
    </sheetView>
  </sheetViews>
  <sheetFormatPr defaultColWidth="9" defaultRowHeight="15" customHeight="1"/>
  <cols>
    <col min="1" max="1" width="5.1" style="19" customWidth="1"/>
    <col min="2" max="2" width="17.7" style="18" customWidth="1"/>
    <col min="3" max="3" width="22.9083333333333" style="20" customWidth="1"/>
    <col min="4" max="4" width="4.875" style="21" customWidth="1"/>
    <col min="5" max="5" width="25.875" style="20" customWidth="1"/>
    <col min="6" max="6" width="29.1583333333333" style="20" customWidth="1"/>
    <col min="7" max="7" width="5.25" style="19" customWidth="1"/>
    <col min="8" max="8" width="30.875" style="20" customWidth="1"/>
    <col min="9" max="10" width="7.375" style="21" customWidth="1"/>
    <col min="11" max="16" width="8.625" style="21" customWidth="1"/>
    <col min="17" max="17" width="7.375" style="21" hidden="1" customWidth="1"/>
    <col min="18" max="18" width="12.125" style="21" hidden="1" customWidth="1"/>
    <col min="19" max="19" width="7.375" style="21" hidden="1" customWidth="1"/>
    <col min="20" max="20" width="7.375" style="21" customWidth="1"/>
    <col min="21" max="21" width="27.25" style="20" customWidth="1"/>
    <col min="22" max="22" width="17.625" style="20" hidden="1" customWidth="1"/>
    <col min="23" max="23" width="11.75" style="20" customWidth="1"/>
    <col min="24" max="24" width="35.375" style="20" customWidth="1"/>
    <col min="25" max="25" width="21.25" style="18" hidden="1" customWidth="1"/>
    <col min="26" max="26" width="10.375" style="18" hidden="1" customWidth="1"/>
    <col min="27" max="27" width="6.24166666666667" style="21" customWidth="1"/>
    <col min="28" max="28" width="24.25" style="18" hidden="1" customWidth="1"/>
    <col min="29" max="30" width="9.71666666666667" style="22" hidden="1" customWidth="1"/>
    <col min="31" max="33" width="9.71666666666667" style="22" customWidth="1"/>
    <col min="34" max="34" width="7.75" style="22" hidden="1" customWidth="1"/>
    <col min="35" max="35" width="9.71666666666667" style="22" hidden="1" customWidth="1"/>
    <col min="36" max="36" width="9.71666666666667" style="73" hidden="1" customWidth="1"/>
    <col min="37" max="37" width="9" style="17"/>
    <col min="38" max="16365" width="9" style="17" customWidth="1"/>
    <col min="16366" max="16384" width="9" style="17"/>
  </cols>
  <sheetData>
    <row r="1" ht="30" customHeight="1" spans="1:1">
      <c r="A1" s="23" t="s">
        <v>0</v>
      </c>
    </row>
    <row r="2" ht="44" customHeight="1" spans="1:33">
      <c r="A2" s="74" t="s">
        <v>1</v>
      </c>
      <c r="B2" s="74"/>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row>
    <row r="3" s="15" customFormat="1" ht="29" customHeight="1" spans="1:36">
      <c r="A3" s="75" t="s">
        <v>2</v>
      </c>
      <c r="B3" s="75"/>
      <c r="C3" s="75"/>
      <c r="D3" s="75"/>
      <c r="E3" s="75"/>
      <c r="F3" s="75"/>
      <c r="G3" s="75"/>
      <c r="H3" s="75"/>
      <c r="I3" s="75"/>
      <c r="J3" s="75"/>
      <c r="K3" s="75"/>
      <c r="L3" s="75"/>
      <c r="M3" s="75"/>
      <c r="N3" s="75"/>
      <c r="O3" s="75"/>
      <c r="P3" s="75"/>
      <c r="Q3" s="75"/>
      <c r="R3" s="75"/>
      <c r="S3" s="75"/>
      <c r="T3" s="75"/>
      <c r="U3" s="75"/>
      <c r="V3" s="77" t="s">
        <v>3</v>
      </c>
      <c r="W3" s="77"/>
      <c r="X3" s="77"/>
      <c r="Y3" s="77"/>
      <c r="Z3" s="77"/>
      <c r="AA3" s="77"/>
      <c r="AB3" s="77"/>
      <c r="AC3" s="77"/>
      <c r="AD3" s="77"/>
      <c r="AE3" s="77"/>
      <c r="AF3" s="77"/>
      <c r="AG3" s="77"/>
      <c r="AH3" s="78"/>
      <c r="AI3" s="78"/>
      <c r="AJ3" s="79"/>
    </row>
    <row r="4" s="16" customFormat="1" ht="34" customHeight="1" spans="1:36">
      <c r="A4" s="26" t="s">
        <v>4</v>
      </c>
      <c r="B4" s="26" t="s">
        <v>5</v>
      </c>
      <c r="C4" s="26" t="s">
        <v>6</v>
      </c>
      <c r="D4" s="26" t="s">
        <v>7</v>
      </c>
      <c r="E4" s="26" t="s">
        <v>8</v>
      </c>
      <c r="F4" s="26" t="s">
        <v>9</v>
      </c>
      <c r="G4" s="26" t="s">
        <v>10</v>
      </c>
      <c r="H4" s="26" t="s">
        <v>11</v>
      </c>
      <c r="I4" s="32" t="s">
        <v>12</v>
      </c>
      <c r="J4" s="32" t="s">
        <v>13</v>
      </c>
      <c r="K4" s="33" t="s">
        <v>14</v>
      </c>
      <c r="L4" s="33" t="s">
        <v>15</v>
      </c>
      <c r="M4" s="33" t="s">
        <v>16</v>
      </c>
      <c r="N4" s="39" t="s">
        <v>17</v>
      </c>
      <c r="O4" s="39" t="s">
        <v>18</v>
      </c>
      <c r="P4" s="39" t="s">
        <v>19</v>
      </c>
      <c r="Q4" s="43" t="s">
        <v>20</v>
      </c>
      <c r="R4" s="43" t="s">
        <v>21</v>
      </c>
      <c r="S4" s="43" t="s">
        <v>22</v>
      </c>
      <c r="T4" s="33" t="s">
        <v>23</v>
      </c>
      <c r="U4" s="44" t="s">
        <v>24</v>
      </c>
      <c r="V4" s="45" t="s">
        <v>25</v>
      </c>
      <c r="W4" s="47" t="s">
        <v>26</v>
      </c>
      <c r="X4" s="47" t="s">
        <v>6</v>
      </c>
      <c r="Y4" s="47" t="s">
        <v>27</v>
      </c>
      <c r="Z4" s="47" t="s">
        <v>28</v>
      </c>
      <c r="AA4" s="47" t="s">
        <v>10</v>
      </c>
      <c r="AB4" s="47" t="s">
        <v>29</v>
      </c>
      <c r="AC4" s="32" t="s">
        <v>30</v>
      </c>
      <c r="AD4" s="32" t="s">
        <v>31</v>
      </c>
      <c r="AE4" s="39" t="s">
        <v>32</v>
      </c>
      <c r="AF4" s="39" t="s">
        <v>33</v>
      </c>
      <c r="AG4" s="39" t="s">
        <v>34</v>
      </c>
      <c r="AH4" s="80" t="s">
        <v>20</v>
      </c>
      <c r="AI4" s="80" t="s">
        <v>21</v>
      </c>
      <c r="AJ4" s="81" t="s">
        <v>22</v>
      </c>
    </row>
    <row r="5" s="17" customFormat="1" ht="25" customHeight="1" spans="1:36">
      <c r="A5" s="29">
        <v>1</v>
      </c>
      <c r="B5" s="30" t="s">
        <v>35</v>
      </c>
      <c r="C5" s="28" t="s">
        <v>36</v>
      </c>
      <c r="D5" s="30" t="s">
        <v>37</v>
      </c>
      <c r="E5" s="31" t="s">
        <v>38</v>
      </c>
      <c r="F5" s="31" t="s">
        <v>39</v>
      </c>
      <c r="G5" s="30" t="s">
        <v>40</v>
      </c>
      <c r="H5" s="31" t="s">
        <v>41</v>
      </c>
      <c r="I5" s="37">
        <v>100</v>
      </c>
      <c r="J5" s="37">
        <v>90</v>
      </c>
      <c r="K5" s="59">
        <v>97.6705755554038</v>
      </c>
      <c r="L5" s="59">
        <v>89.6221224258607</v>
      </c>
      <c r="M5" s="59">
        <v>59.8743523316062</v>
      </c>
      <c r="N5" s="41">
        <v>98</v>
      </c>
      <c r="O5" s="41">
        <v>90</v>
      </c>
      <c r="P5" s="41">
        <v>78</v>
      </c>
      <c r="Q5" s="30" t="s">
        <v>42</v>
      </c>
      <c r="R5" s="30" t="s">
        <v>43</v>
      </c>
      <c r="S5" s="76">
        <v>0.2</v>
      </c>
      <c r="T5" s="59" t="s">
        <v>44</v>
      </c>
      <c r="U5" s="31" t="s">
        <v>45</v>
      </c>
      <c r="V5" s="30" t="s">
        <v>46</v>
      </c>
      <c r="W5" s="30">
        <v>310100001</v>
      </c>
      <c r="X5" s="30" t="s">
        <v>47</v>
      </c>
      <c r="Y5" s="30" t="s">
        <v>48</v>
      </c>
      <c r="Z5" s="30"/>
      <c r="AA5" s="30" t="s">
        <v>40</v>
      </c>
      <c r="AB5" s="30" t="s">
        <v>49</v>
      </c>
      <c r="AC5" s="51">
        <v>40</v>
      </c>
      <c r="AD5" s="51">
        <v>36</v>
      </c>
      <c r="AE5" s="57">
        <v>33</v>
      </c>
      <c r="AF5" s="57">
        <v>30</v>
      </c>
      <c r="AG5" s="57">
        <v>25.5</v>
      </c>
      <c r="AH5" s="82" t="s">
        <v>42</v>
      </c>
      <c r="AI5" s="82" t="s">
        <v>43</v>
      </c>
      <c r="AJ5" s="76" t="s">
        <v>43</v>
      </c>
    </row>
    <row r="6" s="17" customFormat="1" ht="25" customHeight="1" spans="1:36">
      <c r="A6" s="29"/>
      <c r="B6" s="30"/>
      <c r="C6" s="28" t="s">
        <v>36</v>
      </c>
      <c r="D6" s="30"/>
      <c r="E6" s="31"/>
      <c r="F6" s="31"/>
      <c r="G6" s="30"/>
      <c r="H6" s="31"/>
      <c r="I6" s="37"/>
      <c r="J6" s="37"/>
      <c r="K6" s="59"/>
      <c r="L6" s="59"/>
      <c r="M6" s="59"/>
      <c r="N6" s="41"/>
      <c r="O6" s="41"/>
      <c r="P6" s="41"/>
      <c r="Q6" s="30"/>
      <c r="R6" s="30"/>
      <c r="S6" s="76"/>
      <c r="T6" s="59"/>
      <c r="U6" s="31"/>
      <c r="V6" s="46" t="s">
        <v>50</v>
      </c>
      <c r="W6" s="46">
        <v>31010000101</v>
      </c>
      <c r="X6" s="48" t="s">
        <v>51</v>
      </c>
      <c r="Y6" s="46"/>
      <c r="Z6" s="46"/>
      <c r="AA6" s="46" t="s">
        <v>40</v>
      </c>
      <c r="AB6" s="30" t="s">
        <v>52</v>
      </c>
      <c r="AC6" s="52">
        <v>65</v>
      </c>
      <c r="AD6" s="51">
        <v>59</v>
      </c>
      <c r="AE6" s="57">
        <v>49.5</v>
      </c>
      <c r="AF6" s="57">
        <v>45</v>
      </c>
      <c r="AG6" s="57">
        <v>38.3</v>
      </c>
      <c r="AH6" s="82" t="s">
        <v>42</v>
      </c>
      <c r="AI6" s="82" t="s">
        <v>43</v>
      </c>
      <c r="AJ6" s="76" t="s">
        <v>43</v>
      </c>
    </row>
    <row r="7" s="17" customFormat="1" ht="25" customHeight="1" spans="1:36">
      <c r="A7" s="29"/>
      <c r="B7" s="30"/>
      <c r="C7" s="28" t="s">
        <v>36</v>
      </c>
      <c r="D7" s="30"/>
      <c r="E7" s="31"/>
      <c r="F7" s="31"/>
      <c r="G7" s="30"/>
      <c r="H7" s="31"/>
      <c r="I7" s="37"/>
      <c r="J7" s="37"/>
      <c r="K7" s="59"/>
      <c r="L7" s="59"/>
      <c r="M7" s="59"/>
      <c r="N7" s="41"/>
      <c r="O7" s="41"/>
      <c r="P7" s="41"/>
      <c r="Q7" s="30"/>
      <c r="R7" s="30"/>
      <c r="S7" s="76"/>
      <c r="T7" s="59"/>
      <c r="U7" s="31"/>
      <c r="V7" s="30" t="s">
        <v>53</v>
      </c>
      <c r="W7" s="30">
        <v>310100003</v>
      </c>
      <c r="X7" s="30" t="s">
        <v>54</v>
      </c>
      <c r="Y7" s="30" t="s">
        <v>55</v>
      </c>
      <c r="Z7" s="30"/>
      <c r="AA7" s="30" t="s">
        <v>40</v>
      </c>
      <c r="AB7" s="30" t="s">
        <v>43</v>
      </c>
      <c r="AC7" s="51">
        <v>115</v>
      </c>
      <c r="AD7" s="51">
        <v>105</v>
      </c>
      <c r="AE7" s="57">
        <v>110</v>
      </c>
      <c r="AF7" s="57">
        <v>100</v>
      </c>
      <c r="AG7" s="57">
        <v>85</v>
      </c>
      <c r="AH7" s="82" t="s">
        <v>42</v>
      </c>
      <c r="AI7" s="82" t="s">
        <v>43</v>
      </c>
      <c r="AJ7" s="76">
        <v>0.2</v>
      </c>
    </row>
    <row r="8" s="17" customFormat="1" ht="25" customHeight="1" spans="1:36">
      <c r="A8" s="29"/>
      <c r="B8" s="30"/>
      <c r="C8" s="28" t="s">
        <v>36</v>
      </c>
      <c r="D8" s="30"/>
      <c r="E8" s="31"/>
      <c r="F8" s="31"/>
      <c r="G8" s="30"/>
      <c r="H8" s="31"/>
      <c r="I8" s="37"/>
      <c r="J8" s="37"/>
      <c r="K8" s="59"/>
      <c r="L8" s="59"/>
      <c r="M8" s="59"/>
      <c r="N8" s="41"/>
      <c r="O8" s="41"/>
      <c r="P8" s="41"/>
      <c r="Q8" s="30"/>
      <c r="R8" s="30"/>
      <c r="S8" s="76"/>
      <c r="T8" s="59"/>
      <c r="U8" s="31"/>
      <c r="V8" s="30" t="s">
        <v>56</v>
      </c>
      <c r="W8" s="30">
        <v>310100004</v>
      </c>
      <c r="X8" s="30" t="s">
        <v>57</v>
      </c>
      <c r="Y8" s="30" t="s">
        <v>58</v>
      </c>
      <c r="Z8" s="30"/>
      <c r="AA8" s="30" t="s">
        <v>40</v>
      </c>
      <c r="AB8" s="30" t="s">
        <v>43</v>
      </c>
      <c r="AC8" s="51">
        <v>286</v>
      </c>
      <c r="AD8" s="51">
        <v>255</v>
      </c>
      <c r="AE8" s="57">
        <v>286</v>
      </c>
      <c r="AF8" s="57">
        <v>260</v>
      </c>
      <c r="AG8" s="57">
        <v>221</v>
      </c>
      <c r="AH8" s="82" t="s">
        <v>42</v>
      </c>
      <c r="AI8" s="82" t="s">
        <v>43</v>
      </c>
      <c r="AJ8" s="76">
        <v>0.2</v>
      </c>
    </row>
    <row r="9" s="17" customFormat="1" ht="25" customHeight="1" spans="1:36">
      <c r="A9" s="29"/>
      <c r="B9" s="30"/>
      <c r="C9" s="28" t="s">
        <v>36</v>
      </c>
      <c r="D9" s="30"/>
      <c r="E9" s="31"/>
      <c r="F9" s="31"/>
      <c r="G9" s="30"/>
      <c r="H9" s="31"/>
      <c r="I9" s="37"/>
      <c r="J9" s="37"/>
      <c r="K9" s="59"/>
      <c r="L9" s="59"/>
      <c r="M9" s="59"/>
      <c r="N9" s="41"/>
      <c r="O9" s="41"/>
      <c r="P9" s="41"/>
      <c r="Q9" s="30"/>
      <c r="R9" s="30"/>
      <c r="S9" s="76"/>
      <c r="T9" s="59"/>
      <c r="U9" s="31"/>
      <c r="V9" s="30" t="s">
        <v>59</v>
      </c>
      <c r="W9" s="30">
        <v>31010000401</v>
      </c>
      <c r="X9" s="30" t="s">
        <v>60</v>
      </c>
      <c r="Y9" s="30"/>
      <c r="Z9" s="30"/>
      <c r="AA9" s="30" t="s">
        <v>40</v>
      </c>
      <c r="AB9" s="30" t="s">
        <v>61</v>
      </c>
      <c r="AC9" s="51">
        <v>286</v>
      </c>
      <c r="AD9" s="51">
        <v>255</v>
      </c>
      <c r="AE9" s="57">
        <v>286</v>
      </c>
      <c r="AF9" s="57">
        <v>260</v>
      </c>
      <c r="AG9" s="57">
        <v>221</v>
      </c>
      <c r="AH9" s="82" t="s">
        <v>42</v>
      </c>
      <c r="AI9" s="82" t="s">
        <v>43</v>
      </c>
      <c r="AJ9" s="76">
        <v>0.2</v>
      </c>
    </row>
    <row r="10" s="17" customFormat="1" ht="25" customHeight="1" spans="1:36">
      <c r="A10" s="29"/>
      <c r="B10" s="30"/>
      <c r="C10" s="28" t="s">
        <v>36</v>
      </c>
      <c r="D10" s="30"/>
      <c r="E10" s="31"/>
      <c r="F10" s="31"/>
      <c r="G10" s="30"/>
      <c r="H10" s="31"/>
      <c r="I10" s="37"/>
      <c r="J10" s="37"/>
      <c r="K10" s="59"/>
      <c r="L10" s="59"/>
      <c r="M10" s="59"/>
      <c r="N10" s="41"/>
      <c r="O10" s="41"/>
      <c r="P10" s="41"/>
      <c r="Q10" s="30"/>
      <c r="R10" s="30"/>
      <c r="S10" s="76"/>
      <c r="T10" s="59"/>
      <c r="U10" s="31"/>
      <c r="V10" s="30" t="s">
        <v>62</v>
      </c>
      <c r="W10" s="30">
        <v>31010000402</v>
      </c>
      <c r="X10" s="30" t="s">
        <v>63</v>
      </c>
      <c r="Y10" s="30"/>
      <c r="Z10" s="30"/>
      <c r="AA10" s="30" t="s">
        <v>40</v>
      </c>
      <c r="AB10" s="30" t="s">
        <v>64</v>
      </c>
      <c r="AC10" s="51">
        <v>286</v>
      </c>
      <c r="AD10" s="51">
        <v>255</v>
      </c>
      <c r="AE10" s="57">
        <v>286</v>
      </c>
      <c r="AF10" s="57">
        <v>260</v>
      </c>
      <c r="AG10" s="57">
        <v>221</v>
      </c>
      <c r="AH10" s="82" t="s">
        <v>42</v>
      </c>
      <c r="AI10" s="82" t="s">
        <v>43</v>
      </c>
      <c r="AJ10" s="76">
        <v>0.2</v>
      </c>
    </row>
    <row r="11" s="17" customFormat="1" ht="25" customHeight="1" spans="1:36">
      <c r="A11" s="29"/>
      <c r="B11" s="30"/>
      <c r="C11" s="28" t="s">
        <v>36</v>
      </c>
      <c r="D11" s="30"/>
      <c r="E11" s="31"/>
      <c r="F11" s="31"/>
      <c r="G11" s="30"/>
      <c r="H11" s="31"/>
      <c r="I11" s="37"/>
      <c r="J11" s="37"/>
      <c r="K11" s="59"/>
      <c r="L11" s="59"/>
      <c r="M11" s="59"/>
      <c r="N11" s="41"/>
      <c r="O11" s="41"/>
      <c r="P11" s="41"/>
      <c r="Q11" s="30"/>
      <c r="R11" s="30"/>
      <c r="S11" s="76"/>
      <c r="T11" s="59"/>
      <c r="U11" s="31"/>
      <c r="V11" s="30" t="s">
        <v>65</v>
      </c>
      <c r="W11" s="30">
        <v>310100005</v>
      </c>
      <c r="X11" s="30" t="s">
        <v>66</v>
      </c>
      <c r="Y11" s="30" t="s">
        <v>67</v>
      </c>
      <c r="Z11" s="30"/>
      <c r="AA11" s="30" t="s">
        <v>68</v>
      </c>
      <c r="AB11" s="30" t="s">
        <v>69</v>
      </c>
      <c r="AC11" s="51">
        <v>25</v>
      </c>
      <c r="AD11" s="51">
        <v>23</v>
      </c>
      <c r="AE11" s="57">
        <v>27.5</v>
      </c>
      <c r="AF11" s="57">
        <v>25</v>
      </c>
      <c r="AG11" s="57">
        <v>21.3</v>
      </c>
      <c r="AH11" s="82" t="s">
        <v>42</v>
      </c>
      <c r="AI11" s="82" t="s">
        <v>43</v>
      </c>
      <c r="AJ11" s="76">
        <v>0.2</v>
      </c>
    </row>
    <row r="12" s="17" customFormat="1" ht="35" customHeight="1" spans="1:36">
      <c r="A12" s="29" t="s">
        <v>70</v>
      </c>
      <c r="B12" s="30" t="s">
        <v>71</v>
      </c>
      <c r="C12" s="30" t="s">
        <v>72</v>
      </c>
      <c r="D12" s="30" t="s">
        <v>37</v>
      </c>
      <c r="E12" s="31" t="s">
        <v>43</v>
      </c>
      <c r="F12" s="31" t="s">
        <v>43</v>
      </c>
      <c r="G12" s="30" t="s">
        <v>40</v>
      </c>
      <c r="H12" s="31" t="s">
        <v>43</v>
      </c>
      <c r="I12" s="37">
        <v>10</v>
      </c>
      <c r="J12" s="37">
        <v>9</v>
      </c>
      <c r="K12" s="36"/>
      <c r="L12" s="36"/>
      <c r="M12" s="36"/>
      <c r="N12" s="41">
        <v>9</v>
      </c>
      <c r="O12" s="41">
        <v>8</v>
      </c>
      <c r="P12" s="41">
        <v>7</v>
      </c>
      <c r="Q12" s="30" t="s">
        <v>42</v>
      </c>
      <c r="R12" s="30" t="s">
        <v>43</v>
      </c>
      <c r="S12" s="76" t="s">
        <v>43</v>
      </c>
      <c r="T12" s="36"/>
      <c r="U12" s="31" t="s">
        <v>73</v>
      </c>
      <c r="V12" s="30"/>
      <c r="W12" s="30"/>
      <c r="X12" s="30"/>
      <c r="Y12" s="30"/>
      <c r="Z12" s="30"/>
      <c r="AA12" s="30"/>
      <c r="AB12" s="30"/>
      <c r="AC12" s="51"/>
      <c r="AD12" s="51"/>
      <c r="AE12" s="57"/>
      <c r="AF12" s="57"/>
      <c r="AG12" s="57"/>
      <c r="AH12" s="82"/>
      <c r="AI12" s="82"/>
      <c r="AJ12" s="76"/>
    </row>
    <row r="13" s="17" customFormat="1" ht="26" customHeight="1" spans="1:36">
      <c r="A13" s="29" t="s">
        <v>70</v>
      </c>
      <c r="B13" s="30" t="s">
        <v>74</v>
      </c>
      <c r="C13" s="28" t="s">
        <v>75</v>
      </c>
      <c r="D13" s="30" t="s">
        <v>37</v>
      </c>
      <c r="E13" s="31" t="s">
        <v>43</v>
      </c>
      <c r="F13" s="31" t="s">
        <v>43</v>
      </c>
      <c r="G13" s="30" t="s">
        <v>40</v>
      </c>
      <c r="H13" s="31" t="s">
        <v>43</v>
      </c>
      <c r="I13" s="37">
        <v>10</v>
      </c>
      <c r="J13" s="37">
        <v>9</v>
      </c>
      <c r="K13" s="36"/>
      <c r="L13" s="36"/>
      <c r="M13" s="36"/>
      <c r="N13" s="41">
        <f>N12</f>
        <v>9</v>
      </c>
      <c r="O13" s="41">
        <f>O12</f>
        <v>8</v>
      </c>
      <c r="P13" s="41">
        <f>P12</f>
        <v>7</v>
      </c>
      <c r="Q13" s="30" t="s">
        <v>42</v>
      </c>
      <c r="R13" s="30" t="s">
        <v>43</v>
      </c>
      <c r="S13" s="76">
        <v>0.2</v>
      </c>
      <c r="T13" s="36"/>
      <c r="U13" s="31" t="s">
        <v>76</v>
      </c>
      <c r="V13" s="30" t="s">
        <v>77</v>
      </c>
      <c r="W13" s="30">
        <v>310100002</v>
      </c>
      <c r="X13" s="30" t="s">
        <v>78</v>
      </c>
      <c r="Y13" s="30" t="s">
        <v>79</v>
      </c>
      <c r="Z13" s="30"/>
      <c r="AA13" s="30" t="s">
        <v>40</v>
      </c>
      <c r="AB13" s="30" t="s">
        <v>43</v>
      </c>
      <c r="AC13" s="51">
        <v>90</v>
      </c>
      <c r="AD13" s="51">
        <v>81</v>
      </c>
      <c r="AE13" s="57">
        <v>66</v>
      </c>
      <c r="AF13" s="57">
        <v>60</v>
      </c>
      <c r="AG13" s="57">
        <v>51</v>
      </c>
      <c r="AH13" s="82" t="s">
        <v>42</v>
      </c>
      <c r="AI13" s="82" t="s">
        <v>43</v>
      </c>
      <c r="AJ13" s="76" t="s">
        <v>43</v>
      </c>
    </row>
    <row r="14" s="17" customFormat="1" ht="26" customHeight="1" spans="1:36">
      <c r="A14" s="29"/>
      <c r="B14" s="30"/>
      <c r="C14" s="28" t="s">
        <v>75</v>
      </c>
      <c r="D14" s="30"/>
      <c r="E14" s="31"/>
      <c r="F14" s="31"/>
      <c r="G14" s="30"/>
      <c r="H14" s="31"/>
      <c r="I14" s="37"/>
      <c r="J14" s="37"/>
      <c r="K14" s="36"/>
      <c r="L14" s="36"/>
      <c r="M14" s="36"/>
      <c r="N14" s="41"/>
      <c r="O14" s="41"/>
      <c r="P14" s="41"/>
      <c r="Q14" s="30"/>
      <c r="R14" s="30"/>
      <c r="S14" s="76"/>
      <c r="T14" s="36"/>
      <c r="U14" s="31"/>
      <c r="V14" s="30" t="s">
        <v>80</v>
      </c>
      <c r="W14" s="30">
        <v>31010000201</v>
      </c>
      <c r="X14" s="30" t="s">
        <v>81</v>
      </c>
      <c r="Y14" s="30"/>
      <c r="Z14" s="30"/>
      <c r="AA14" s="30" t="s">
        <v>40</v>
      </c>
      <c r="AB14" s="30" t="s">
        <v>82</v>
      </c>
      <c r="AC14" s="51">
        <v>90</v>
      </c>
      <c r="AD14" s="51">
        <v>81</v>
      </c>
      <c r="AE14" s="57">
        <v>66</v>
      </c>
      <c r="AF14" s="57">
        <v>60</v>
      </c>
      <c r="AG14" s="57">
        <v>51</v>
      </c>
      <c r="AH14" s="82" t="s">
        <v>42</v>
      </c>
      <c r="AI14" s="82" t="s">
        <v>43</v>
      </c>
      <c r="AJ14" s="76" t="s">
        <v>43</v>
      </c>
    </row>
    <row r="15" s="17" customFormat="1" ht="59" customHeight="1" spans="1:36">
      <c r="A15" s="29" t="s">
        <v>70</v>
      </c>
      <c r="B15" s="30" t="s">
        <v>83</v>
      </c>
      <c r="C15" s="30" t="s">
        <v>84</v>
      </c>
      <c r="D15" s="30" t="s">
        <v>37</v>
      </c>
      <c r="E15" s="31" t="s">
        <v>43</v>
      </c>
      <c r="F15" s="31" t="s">
        <v>43</v>
      </c>
      <c r="G15" s="30" t="s">
        <v>40</v>
      </c>
      <c r="H15" s="31" t="s">
        <v>43</v>
      </c>
      <c r="I15" s="37">
        <v>10</v>
      </c>
      <c r="J15" s="37">
        <v>9</v>
      </c>
      <c r="K15" s="36"/>
      <c r="L15" s="36"/>
      <c r="M15" s="36"/>
      <c r="N15" s="41">
        <f>N12</f>
        <v>9</v>
      </c>
      <c r="O15" s="41">
        <f>O12</f>
        <v>8</v>
      </c>
      <c r="P15" s="41">
        <f>P12</f>
        <v>7</v>
      </c>
      <c r="Q15" s="30" t="s">
        <v>42</v>
      </c>
      <c r="R15" s="30" t="s">
        <v>43</v>
      </c>
      <c r="S15" s="76">
        <v>0.2</v>
      </c>
      <c r="T15" s="36"/>
      <c r="U15" s="31" t="s">
        <v>76</v>
      </c>
      <c r="V15" s="30" t="s">
        <v>85</v>
      </c>
      <c r="W15" s="30">
        <v>31010000202</v>
      </c>
      <c r="X15" s="30" t="s">
        <v>86</v>
      </c>
      <c r="Y15" s="30"/>
      <c r="Z15" s="30"/>
      <c r="AA15" s="30" t="s">
        <v>40</v>
      </c>
      <c r="AB15" s="30" t="s">
        <v>87</v>
      </c>
      <c r="AC15" s="51">
        <v>90</v>
      </c>
      <c r="AD15" s="51">
        <v>81</v>
      </c>
      <c r="AE15" s="57">
        <v>66</v>
      </c>
      <c r="AF15" s="57">
        <v>60</v>
      </c>
      <c r="AG15" s="57">
        <v>51</v>
      </c>
      <c r="AH15" s="82" t="s">
        <v>42</v>
      </c>
      <c r="AI15" s="82" t="s">
        <v>43</v>
      </c>
      <c r="AJ15" s="76" t="s">
        <v>43</v>
      </c>
    </row>
    <row r="16" s="17" customFormat="1" ht="62" customHeight="1" spans="1:36">
      <c r="A16" s="29" t="s">
        <v>70</v>
      </c>
      <c r="B16" s="30" t="s">
        <v>88</v>
      </c>
      <c r="C16" s="30" t="s">
        <v>89</v>
      </c>
      <c r="D16" s="30" t="s">
        <v>37</v>
      </c>
      <c r="E16" s="31" t="s">
        <v>43</v>
      </c>
      <c r="F16" s="31" t="s">
        <v>43</v>
      </c>
      <c r="G16" s="30" t="s">
        <v>40</v>
      </c>
      <c r="H16" s="31" t="s">
        <v>90</v>
      </c>
      <c r="I16" s="37">
        <v>150</v>
      </c>
      <c r="J16" s="37">
        <v>135</v>
      </c>
      <c r="K16" s="36"/>
      <c r="L16" s="36"/>
      <c r="M16" s="36"/>
      <c r="N16" s="41">
        <f>N5*1.5</f>
        <v>147</v>
      </c>
      <c r="O16" s="41">
        <f>O5*1.5</f>
        <v>135</v>
      </c>
      <c r="P16" s="41">
        <f>P5*1.5</f>
        <v>117</v>
      </c>
      <c r="Q16" s="30" t="s">
        <v>42</v>
      </c>
      <c r="R16" s="30" t="s">
        <v>43</v>
      </c>
      <c r="S16" s="76">
        <v>0.2</v>
      </c>
      <c r="T16" s="36"/>
      <c r="U16" s="31" t="s">
        <v>91</v>
      </c>
      <c r="V16" s="30" t="s">
        <v>92</v>
      </c>
      <c r="W16" s="46">
        <v>31010000501</v>
      </c>
      <c r="X16" s="49" t="s">
        <v>93</v>
      </c>
      <c r="Y16" s="30" t="s">
        <v>94</v>
      </c>
      <c r="Z16" s="30"/>
      <c r="AA16" s="49" t="s">
        <v>68</v>
      </c>
      <c r="AB16" s="30"/>
      <c r="AC16" s="51">
        <v>120</v>
      </c>
      <c r="AD16" s="51"/>
      <c r="AE16" s="57">
        <v>115</v>
      </c>
      <c r="AF16" s="57">
        <v>105</v>
      </c>
      <c r="AG16" s="57">
        <v>95</v>
      </c>
      <c r="AH16" s="82" t="s">
        <v>43</v>
      </c>
      <c r="AI16" s="82" t="s">
        <v>43</v>
      </c>
      <c r="AJ16" s="76" t="s">
        <v>43</v>
      </c>
    </row>
    <row r="17" s="18" customFormat="1" ht="90" customHeight="1" spans="1:36">
      <c r="A17" s="30">
        <v>2</v>
      </c>
      <c r="B17" s="30" t="s">
        <v>95</v>
      </c>
      <c r="C17" s="30" t="s">
        <v>96</v>
      </c>
      <c r="D17" s="30" t="s">
        <v>37</v>
      </c>
      <c r="E17" s="31" t="s">
        <v>97</v>
      </c>
      <c r="F17" s="31" t="s">
        <v>98</v>
      </c>
      <c r="G17" s="30" t="s">
        <v>40</v>
      </c>
      <c r="H17" s="31" t="s">
        <v>99</v>
      </c>
      <c r="I17" s="37">
        <v>4200</v>
      </c>
      <c r="J17" s="37">
        <v>3780</v>
      </c>
      <c r="K17" s="36"/>
      <c r="L17" s="36"/>
      <c r="M17" s="36"/>
      <c r="N17" s="41">
        <v>3900</v>
      </c>
      <c r="O17" s="41">
        <v>3600</v>
      </c>
      <c r="P17" s="41">
        <f>O17*0.85</f>
        <v>3060</v>
      </c>
      <c r="Q17" s="30" t="s">
        <v>100</v>
      </c>
      <c r="R17" s="30" t="s">
        <v>43</v>
      </c>
      <c r="S17" s="76" t="s">
        <v>43</v>
      </c>
      <c r="T17" s="36" t="s">
        <v>101</v>
      </c>
      <c r="U17" s="31" t="s">
        <v>102</v>
      </c>
      <c r="V17" s="46" t="s">
        <v>103</v>
      </c>
      <c r="W17" s="46">
        <v>310100006</v>
      </c>
      <c r="X17" s="48" t="s">
        <v>104</v>
      </c>
      <c r="Y17" s="46"/>
      <c r="Z17" s="46"/>
      <c r="AA17" s="46" t="s">
        <v>40</v>
      </c>
      <c r="AB17" s="30" t="s">
        <v>43</v>
      </c>
      <c r="AC17" s="53"/>
      <c r="AD17" s="51" t="s">
        <v>43</v>
      </c>
      <c r="AE17" s="57" t="s">
        <v>43</v>
      </c>
      <c r="AF17" s="57" t="s">
        <v>43</v>
      </c>
      <c r="AG17" s="57" t="s">
        <v>43</v>
      </c>
      <c r="AH17" s="82" t="s">
        <v>43</v>
      </c>
      <c r="AI17" s="82" t="s">
        <v>43</v>
      </c>
      <c r="AJ17" s="76" t="s">
        <v>43</v>
      </c>
    </row>
    <row r="18" s="17" customFormat="1" ht="27" customHeight="1" spans="1:36">
      <c r="A18" s="29" t="s">
        <v>70</v>
      </c>
      <c r="B18" s="30" t="s">
        <v>95</v>
      </c>
      <c r="C18" s="30" t="s">
        <v>105</v>
      </c>
      <c r="D18" s="30" t="s">
        <v>37</v>
      </c>
      <c r="E18" s="31"/>
      <c r="F18" s="31"/>
      <c r="G18" s="30" t="s">
        <v>40</v>
      </c>
      <c r="H18" s="31"/>
      <c r="I18" s="37">
        <v>1400</v>
      </c>
      <c r="J18" s="37">
        <v>1260</v>
      </c>
      <c r="K18" s="59"/>
      <c r="L18" s="59"/>
      <c r="M18" s="36"/>
      <c r="N18" s="41">
        <f>N17/3</f>
        <v>1300</v>
      </c>
      <c r="O18" s="41">
        <f>O17/3</f>
        <v>1200</v>
      </c>
      <c r="P18" s="41">
        <f>P17/3</f>
        <v>1020</v>
      </c>
      <c r="Q18" s="30"/>
      <c r="R18" s="30"/>
      <c r="S18" s="76"/>
      <c r="T18" s="36"/>
      <c r="U18" s="31" t="s">
        <v>106</v>
      </c>
      <c r="V18" s="46"/>
      <c r="W18" s="46"/>
      <c r="X18" s="46"/>
      <c r="Y18" s="46"/>
      <c r="Z18" s="46"/>
      <c r="AA18" s="46"/>
      <c r="AB18" s="30"/>
      <c r="AC18" s="52"/>
      <c r="AD18" s="51"/>
      <c r="AE18" s="57"/>
      <c r="AF18" s="57"/>
      <c r="AG18" s="57"/>
      <c r="AH18" s="82"/>
      <c r="AI18" s="82"/>
      <c r="AJ18" s="76"/>
    </row>
    <row r="19" s="17" customFormat="1" ht="27" customHeight="1" spans="1:36">
      <c r="A19" s="29">
        <v>3</v>
      </c>
      <c r="B19" s="30" t="s">
        <v>107</v>
      </c>
      <c r="C19" s="28" t="s">
        <v>108</v>
      </c>
      <c r="D19" s="30" t="s">
        <v>37</v>
      </c>
      <c r="E19" s="31" t="s">
        <v>109</v>
      </c>
      <c r="F19" s="31" t="s">
        <v>110</v>
      </c>
      <c r="G19" s="30" t="s">
        <v>40</v>
      </c>
      <c r="H19" s="31" t="s">
        <v>111</v>
      </c>
      <c r="I19" s="37">
        <v>30</v>
      </c>
      <c r="J19" s="37">
        <v>27</v>
      </c>
      <c r="K19" s="59">
        <v>22.1522632193872</v>
      </c>
      <c r="L19" s="59">
        <v>20.0012381984213</v>
      </c>
      <c r="M19" s="36">
        <v>17</v>
      </c>
      <c r="N19" s="41">
        <v>27</v>
      </c>
      <c r="O19" s="41">
        <v>25</v>
      </c>
      <c r="P19" s="41">
        <v>21</v>
      </c>
      <c r="Q19" s="30" t="s">
        <v>42</v>
      </c>
      <c r="R19" s="30" t="s">
        <v>112</v>
      </c>
      <c r="S19" s="76" t="s">
        <v>43</v>
      </c>
      <c r="T19" s="36" t="s">
        <v>113</v>
      </c>
      <c r="U19" s="31" t="s">
        <v>114</v>
      </c>
      <c r="V19" s="46" t="s">
        <v>115</v>
      </c>
      <c r="W19" s="46">
        <v>310100015</v>
      </c>
      <c r="X19" s="46" t="s">
        <v>116</v>
      </c>
      <c r="Y19" s="46" t="s">
        <v>117</v>
      </c>
      <c r="Z19" s="46"/>
      <c r="AA19" s="46" t="s">
        <v>40</v>
      </c>
      <c r="AB19" s="30" t="s">
        <v>43</v>
      </c>
      <c r="AC19" s="52"/>
      <c r="AD19" s="51" t="s">
        <v>43</v>
      </c>
      <c r="AE19" s="57" t="s">
        <v>43</v>
      </c>
      <c r="AF19" s="57" t="s">
        <v>43</v>
      </c>
      <c r="AG19" s="57" t="s">
        <v>43</v>
      </c>
      <c r="AH19" s="82" t="s">
        <v>43</v>
      </c>
      <c r="AI19" s="82" t="s">
        <v>43</v>
      </c>
      <c r="AJ19" s="76" t="s">
        <v>43</v>
      </c>
    </row>
    <row r="20" s="17" customFormat="1" ht="27" customHeight="1" spans="1:36">
      <c r="A20" s="29"/>
      <c r="B20" s="30"/>
      <c r="C20" s="28" t="s">
        <v>108</v>
      </c>
      <c r="D20" s="30"/>
      <c r="E20" s="31"/>
      <c r="F20" s="31"/>
      <c r="G20" s="30"/>
      <c r="H20" s="31"/>
      <c r="I20" s="37"/>
      <c r="J20" s="37"/>
      <c r="K20" s="59"/>
      <c r="L20" s="59"/>
      <c r="M20" s="36"/>
      <c r="N20" s="41"/>
      <c r="O20" s="41"/>
      <c r="P20" s="41"/>
      <c r="Q20" s="30"/>
      <c r="R20" s="30"/>
      <c r="S20" s="76"/>
      <c r="T20" s="36"/>
      <c r="U20" s="31"/>
      <c r="V20" s="30" t="s">
        <v>118</v>
      </c>
      <c r="W20" s="30">
        <v>310100021</v>
      </c>
      <c r="X20" s="30" t="s">
        <v>119</v>
      </c>
      <c r="Y20" s="30"/>
      <c r="Z20" s="30"/>
      <c r="AA20" s="30" t="s">
        <v>40</v>
      </c>
      <c r="AB20" s="30" t="s">
        <v>43</v>
      </c>
      <c r="AC20" s="51">
        <v>20</v>
      </c>
      <c r="AD20" s="51">
        <v>18</v>
      </c>
      <c r="AE20" s="57">
        <v>22</v>
      </c>
      <c r="AF20" s="57">
        <v>20</v>
      </c>
      <c r="AG20" s="57">
        <v>17</v>
      </c>
      <c r="AH20" s="82" t="s">
        <v>42</v>
      </c>
      <c r="AI20" s="82" t="s">
        <v>43</v>
      </c>
      <c r="AJ20" s="76" t="s">
        <v>43</v>
      </c>
    </row>
    <row r="21" s="17" customFormat="1" ht="27" customHeight="1" spans="1:36">
      <c r="A21" s="29"/>
      <c r="B21" s="30"/>
      <c r="C21" s="28" t="s">
        <v>108</v>
      </c>
      <c r="D21" s="30"/>
      <c r="E21" s="31"/>
      <c r="F21" s="31"/>
      <c r="G21" s="30"/>
      <c r="H21" s="31"/>
      <c r="I21" s="37"/>
      <c r="J21" s="37"/>
      <c r="K21" s="59"/>
      <c r="L21" s="59"/>
      <c r="M21" s="36"/>
      <c r="N21" s="41"/>
      <c r="O21" s="41"/>
      <c r="P21" s="41"/>
      <c r="Q21" s="30"/>
      <c r="R21" s="30"/>
      <c r="S21" s="76"/>
      <c r="T21" s="36"/>
      <c r="U21" s="31"/>
      <c r="V21" s="30" t="s">
        <v>120</v>
      </c>
      <c r="W21" s="30">
        <v>310100022</v>
      </c>
      <c r="X21" s="30" t="s">
        <v>121</v>
      </c>
      <c r="Y21" s="30" t="s">
        <v>122</v>
      </c>
      <c r="Z21" s="30"/>
      <c r="AA21" s="30" t="s">
        <v>68</v>
      </c>
      <c r="AB21" s="30" t="s">
        <v>43</v>
      </c>
      <c r="AC21" s="51">
        <v>5</v>
      </c>
      <c r="AD21" s="51">
        <v>4.5</v>
      </c>
      <c r="AE21" s="57">
        <v>4.5</v>
      </c>
      <c r="AF21" s="57">
        <v>4</v>
      </c>
      <c r="AG21" s="57">
        <v>3.5</v>
      </c>
      <c r="AH21" s="82" t="s">
        <v>42</v>
      </c>
      <c r="AI21" s="82" t="s">
        <v>43</v>
      </c>
      <c r="AJ21" s="76" t="s">
        <v>43</v>
      </c>
    </row>
    <row r="22" s="17" customFormat="1" ht="27" customHeight="1" spans="1:36">
      <c r="A22" s="29"/>
      <c r="B22" s="30"/>
      <c r="C22" s="28" t="s">
        <v>108</v>
      </c>
      <c r="D22" s="30"/>
      <c r="E22" s="31"/>
      <c r="F22" s="31"/>
      <c r="G22" s="30"/>
      <c r="H22" s="31"/>
      <c r="I22" s="37"/>
      <c r="J22" s="37"/>
      <c r="K22" s="59"/>
      <c r="L22" s="59"/>
      <c r="M22" s="36"/>
      <c r="N22" s="41"/>
      <c r="O22" s="41"/>
      <c r="P22" s="41"/>
      <c r="Q22" s="30"/>
      <c r="R22" s="30"/>
      <c r="S22" s="76"/>
      <c r="T22" s="36"/>
      <c r="U22" s="31"/>
      <c r="V22" s="30" t="s">
        <v>123</v>
      </c>
      <c r="W22" s="30">
        <v>31010002201</v>
      </c>
      <c r="X22" s="30" t="s">
        <v>124</v>
      </c>
      <c r="Y22" s="30"/>
      <c r="Z22" s="30"/>
      <c r="AA22" s="30" t="s">
        <v>68</v>
      </c>
      <c r="AB22" s="30" t="s">
        <v>43</v>
      </c>
      <c r="AC22" s="51">
        <v>5</v>
      </c>
      <c r="AD22" s="51">
        <v>4.5</v>
      </c>
      <c r="AE22" s="57">
        <v>4.5</v>
      </c>
      <c r="AF22" s="57">
        <v>4</v>
      </c>
      <c r="AG22" s="57">
        <v>3.5</v>
      </c>
      <c r="AH22" s="82" t="s">
        <v>42</v>
      </c>
      <c r="AI22" s="82" t="s">
        <v>43</v>
      </c>
      <c r="AJ22" s="76" t="s">
        <v>43</v>
      </c>
    </row>
    <row r="23" s="17" customFormat="1" ht="27" customHeight="1" spans="1:36">
      <c r="A23" s="29"/>
      <c r="B23" s="30"/>
      <c r="C23" s="28" t="s">
        <v>108</v>
      </c>
      <c r="D23" s="30"/>
      <c r="E23" s="31"/>
      <c r="F23" s="31"/>
      <c r="G23" s="30"/>
      <c r="H23" s="31"/>
      <c r="I23" s="37"/>
      <c r="J23" s="37"/>
      <c r="K23" s="59"/>
      <c r="L23" s="59"/>
      <c r="M23" s="36"/>
      <c r="N23" s="41"/>
      <c r="O23" s="41"/>
      <c r="P23" s="41"/>
      <c r="Q23" s="30"/>
      <c r="R23" s="30"/>
      <c r="S23" s="76"/>
      <c r="T23" s="36"/>
      <c r="U23" s="31"/>
      <c r="V23" s="30" t="s">
        <v>125</v>
      </c>
      <c r="W23" s="30">
        <v>310100023</v>
      </c>
      <c r="X23" s="30" t="s">
        <v>126</v>
      </c>
      <c r="Y23" s="30" t="s">
        <v>127</v>
      </c>
      <c r="Z23" s="30" t="s">
        <v>128</v>
      </c>
      <c r="AA23" s="30" t="s">
        <v>129</v>
      </c>
      <c r="AB23" s="30" t="s">
        <v>43</v>
      </c>
      <c r="AC23" s="51">
        <v>30</v>
      </c>
      <c r="AD23" s="51">
        <v>27</v>
      </c>
      <c r="AE23" s="57">
        <v>22</v>
      </c>
      <c r="AF23" s="57">
        <v>20</v>
      </c>
      <c r="AG23" s="57">
        <v>17</v>
      </c>
      <c r="AH23" s="82" t="s">
        <v>42</v>
      </c>
      <c r="AI23" s="82" t="s">
        <v>130</v>
      </c>
      <c r="AJ23" s="76" t="s">
        <v>43</v>
      </c>
    </row>
    <row r="24" s="17" customFormat="1" ht="27" customHeight="1" spans="1:36">
      <c r="A24" s="29"/>
      <c r="B24" s="30"/>
      <c r="C24" s="28" t="s">
        <v>108</v>
      </c>
      <c r="D24" s="30"/>
      <c r="E24" s="31"/>
      <c r="F24" s="31"/>
      <c r="G24" s="30"/>
      <c r="H24" s="31"/>
      <c r="I24" s="37"/>
      <c r="J24" s="37"/>
      <c r="K24" s="59"/>
      <c r="L24" s="59"/>
      <c r="M24" s="36"/>
      <c r="N24" s="41"/>
      <c r="O24" s="41"/>
      <c r="P24" s="41"/>
      <c r="Q24" s="30"/>
      <c r="R24" s="30"/>
      <c r="S24" s="76"/>
      <c r="T24" s="36"/>
      <c r="U24" s="31"/>
      <c r="V24" s="30" t="s">
        <v>131</v>
      </c>
      <c r="W24" s="30">
        <v>310100026</v>
      </c>
      <c r="X24" s="30" t="s">
        <v>132</v>
      </c>
      <c r="Y24" s="30"/>
      <c r="Z24" s="30"/>
      <c r="AA24" s="30" t="s">
        <v>40</v>
      </c>
      <c r="AB24" s="30" t="s">
        <v>43</v>
      </c>
      <c r="AC24" s="51">
        <v>90</v>
      </c>
      <c r="AD24" s="51">
        <v>81</v>
      </c>
      <c r="AE24" s="57">
        <v>66</v>
      </c>
      <c r="AF24" s="57">
        <v>60</v>
      </c>
      <c r="AG24" s="57">
        <v>51</v>
      </c>
      <c r="AH24" s="82" t="s">
        <v>42</v>
      </c>
      <c r="AI24" s="82" t="s">
        <v>43</v>
      </c>
      <c r="AJ24" s="76" t="s">
        <v>43</v>
      </c>
    </row>
    <row r="25" s="17" customFormat="1" ht="27" customHeight="1" spans="1:36">
      <c r="A25" s="29"/>
      <c r="B25" s="30"/>
      <c r="C25" s="28" t="s">
        <v>108</v>
      </c>
      <c r="D25" s="30"/>
      <c r="E25" s="31"/>
      <c r="F25" s="31"/>
      <c r="G25" s="30"/>
      <c r="H25" s="31"/>
      <c r="I25" s="37"/>
      <c r="J25" s="37"/>
      <c r="K25" s="59"/>
      <c r="L25" s="59"/>
      <c r="M25" s="36"/>
      <c r="N25" s="41"/>
      <c r="O25" s="41"/>
      <c r="P25" s="41"/>
      <c r="Q25" s="30"/>
      <c r="R25" s="30"/>
      <c r="S25" s="76"/>
      <c r="T25" s="36"/>
      <c r="U25" s="31"/>
      <c r="V25" s="30" t="s">
        <v>133</v>
      </c>
      <c r="W25" s="30">
        <v>310504003</v>
      </c>
      <c r="X25" s="30" t="s">
        <v>134</v>
      </c>
      <c r="Y25" s="30" t="s">
        <v>135</v>
      </c>
      <c r="Z25" s="30"/>
      <c r="AA25" s="30" t="s">
        <v>136</v>
      </c>
      <c r="AB25" s="30" t="s">
        <v>43</v>
      </c>
      <c r="AC25" s="51">
        <v>20</v>
      </c>
      <c r="AD25" s="51">
        <v>20</v>
      </c>
      <c r="AE25" s="57">
        <v>21</v>
      </c>
      <c r="AF25" s="57">
        <v>20</v>
      </c>
      <c r="AG25" s="57">
        <v>17</v>
      </c>
      <c r="AH25" s="82" t="s">
        <v>42</v>
      </c>
      <c r="AI25" s="82" t="s">
        <v>43</v>
      </c>
      <c r="AJ25" s="76" t="s">
        <v>43</v>
      </c>
    </row>
    <row r="26" s="17" customFormat="1" ht="58" customHeight="1" spans="1:36">
      <c r="A26" s="29" t="s">
        <v>70</v>
      </c>
      <c r="B26" s="30" t="s">
        <v>137</v>
      </c>
      <c r="C26" s="30" t="s">
        <v>138</v>
      </c>
      <c r="D26" s="30" t="s">
        <v>37</v>
      </c>
      <c r="E26" s="31" t="s">
        <v>43</v>
      </c>
      <c r="F26" s="31" t="s">
        <v>43</v>
      </c>
      <c r="G26" s="30" t="s">
        <v>40</v>
      </c>
      <c r="H26" s="31" t="s">
        <v>43</v>
      </c>
      <c r="I26" s="37">
        <v>10</v>
      </c>
      <c r="J26" s="37">
        <v>9</v>
      </c>
      <c r="K26" s="36"/>
      <c r="L26" s="36"/>
      <c r="M26" s="36"/>
      <c r="N26" s="41">
        <v>9</v>
      </c>
      <c r="O26" s="41">
        <v>8</v>
      </c>
      <c r="P26" s="41">
        <v>7</v>
      </c>
      <c r="Q26" s="30" t="s">
        <v>42</v>
      </c>
      <c r="R26" s="30" t="s">
        <v>43</v>
      </c>
      <c r="S26" s="76" t="s">
        <v>43</v>
      </c>
      <c r="T26" s="36"/>
      <c r="U26" s="31" t="s">
        <v>73</v>
      </c>
      <c r="V26" s="30"/>
      <c r="W26" s="30"/>
      <c r="X26" s="30"/>
      <c r="Y26" s="30"/>
      <c r="Z26" s="30"/>
      <c r="AA26" s="30"/>
      <c r="AB26" s="30"/>
      <c r="AC26" s="51"/>
      <c r="AD26" s="51"/>
      <c r="AE26" s="57"/>
      <c r="AF26" s="57"/>
      <c r="AG26" s="57"/>
      <c r="AH26" s="82"/>
      <c r="AI26" s="82"/>
      <c r="AJ26" s="76"/>
    </row>
    <row r="27" s="17" customFormat="1" ht="39" customHeight="1" spans="1:36">
      <c r="A27" s="29" t="s">
        <v>70</v>
      </c>
      <c r="B27" s="30" t="s">
        <v>139</v>
      </c>
      <c r="C27" s="30" t="s">
        <v>140</v>
      </c>
      <c r="D27" s="30" t="s">
        <v>37</v>
      </c>
      <c r="E27" s="31" t="s">
        <v>43</v>
      </c>
      <c r="F27" s="31" t="s">
        <v>43</v>
      </c>
      <c r="G27" s="30" t="s">
        <v>40</v>
      </c>
      <c r="H27" s="31" t="s">
        <v>43</v>
      </c>
      <c r="I27" s="37">
        <v>30</v>
      </c>
      <c r="J27" s="37">
        <v>27</v>
      </c>
      <c r="K27" s="36">
        <v>17</v>
      </c>
      <c r="L27" s="36">
        <v>15</v>
      </c>
      <c r="M27" s="36">
        <v>13</v>
      </c>
      <c r="N27" s="41">
        <f>N19</f>
        <v>27</v>
      </c>
      <c r="O27" s="41">
        <f>O19</f>
        <v>25</v>
      </c>
      <c r="P27" s="41">
        <f>P19</f>
        <v>21</v>
      </c>
      <c r="Q27" s="30" t="s">
        <v>42</v>
      </c>
      <c r="R27" s="30" t="s">
        <v>112</v>
      </c>
      <c r="S27" s="76" t="s">
        <v>43</v>
      </c>
      <c r="T27" s="36"/>
      <c r="U27" s="31" t="s">
        <v>114</v>
      </c>
      <c r="V27" s="30" t="s">
        <v>141</v>
      </c>
      <c r="W27" s="30">
        <v>310100024</v>
      </c>
      <c r="X27" s="30" t="s">
        <v>142</v>
      </c>
      <c r="Y27" s="30"/>
      <c r="Z27" s="30"/>
      <c r="AA27" s="30" t="s">
        <v>129</v>
      </c>
      <c r="AB27" s="30"/>
      <c r="AC27" s="51">
        <v>60</v>
      </c>
      <c r="AD27" s="51">
        <v>54</v>
      </c>
      <c r="AE27" s="57">
        <v>44</v>
      </c>
      <c r="AF27" s="57">
        <v>40</v>
      </c>
      <c r="AG27" s="57">
        <v>34</v>
      </c>
      <c r="AH27" s="82" t="s">
        <v>42</v>
      </c>
      <c r="AI27" s="82" t="s">
        <v>43</v>
      </c>
      <c r="AJ27" s="76" t="s">
        <v>43</v>
      </c>
    </row>
    <row r="28" s="17" customFormat="1" ht="39" customHeight="1" spans="1:36">
      <c r="A28" s="29" t="s">
        <v>70</v>
      </c>
      <c r="B28" s="30" t="s">
        <v>143</v>
      </c>
      <c r="C28" s="30" t="s">
        <v>144</v>
      </c>
      <c r="D28" s="30" t="s">
        <v>37</v>
      </c>
      <c r="E28" s="31" t="s">
        <v>43</v>
      </c>
      <c r="F28" s="31" t="s">
        <v>43</v>
      </c>
      <c r="G28" s="30" t="s">
        <v>145</v>
      </c>
      <c r="H28" s="31" t="s">
        <v>146</v>
      </c>
      <c r="I28" s="37">
        <v>30</v>
      </c>
      <c r="J28" s="37">
        <v>27</v>
      </c>
      <c r="K28" s="36"/>
      <c r="L28" s="36"/>
      <c r="M28" s="36"/>
      <c r="N28" s="41">
        <f>N19</f>
        <v>27</v>
      </c>
      <c r="O28" s="41">
        <f>O19</f>
        <v>25</v>
      </c>
      <c r="P28" s="41">
        <f>P19</f>
        <v>21</v>
      </c>
      <c r="Q28" s="30" t="s">
        <v>42</v>
      </c>
      <c r="R28" s="30" t="s">
        <v>112</v>
      </c>
      <c r="S28" s="76" t="s">
        <v>43</v>
      </c>
      <c r="T28" s="36"/>
      <c r="U28" s="31"/>
      <c r="V28" s="30"/>
      <c r="W28" s="30"/>
      <c r="X28" s="30"/>
      <c r="Y28" s="30"/>
      <c r="Z28" s="30"/>
      <c r="AA28" s="30"/>
      <c r="AB28" s="30"/>
      <c r="AC28" s="51"/>
      <c r="AD28" s="51"/>
      <c r="AE28" s="57"/>
      <c r="AF28" s="57"/>
      <c r="AG28" s="57"/>
      <c r="AH28" s="82"/>
      <c r="AI28" s="82"/>
      <c r="AJ28" s="76"/>
    </row>
    <row r="29" s="17" customFormat="1" ht="60" customHeight="1" spans="1:36">
      <c r="A29" s="29">
        <v>4</v>
      </c>
      <c r="B29" s="30" t="s">
        <v>147</v>
      </c>
      <c r="C29" s="30" t="s">
        <v>148</v>
      </c>
      <c r="D29" s="30" t="s">
        <v>37</v>
      </c>
      <c r="E29" s="31" t="s">
        <v>149</v>
      </c>
      <c r="F29" s="31" t="s">
        <v>150</v>
      </c>
      <c r="G29" s="30" t="s">
        <v>151</v>
      </c>
      <c r="H29" s="31" t="s">
        <v>152</v>
      </c>
      <c r="I29" s="37">
        <v>22</v>
      </c>
      <c r="J29" s="37">
        <v>20</v>
      </c>
      <c r="K29" s="36">
        <v>22</v>
      </c>
      <c r="L29" s="36">
        <v>20</v>
      </c>
      <c r="M29" s="36">
        <v>17</v>
      </c>
      <c r="N29" s="41">
        <v>22</v>
      </c>
      <c r="O29" s="41">
        <v>20</v>
      </c>
      <c r="P29" s="41">
        <v>17</v>
      </c>
      <c r="Q29" s="30" t="s">
        <v>42</v>
      </c>
      <c r="R29" s="30" t="s">
        <v>43</v>
      </c>
      <c r="S29" s="76" t="s">
        <v>43</v>
      </c>
      <c r="T29" s="36" t="s">
        <v>153</v>
      </c>
      <c r="U29" s="31" t="s">
        <v>154</v>
      </c>
      <c r="V29" s="30" t="s">
        <v>155</v>
      </c>
      <c r="W29" s="30">
        <v>310100007</v>
      </c>
      <c r="X29" s="30" t="s">
        <v>156</v>
      </c>
      <c r="Y29" s="30" t="s">
        <v>157</v>
      </c>
      <c r="Z29" s="30"/>
      <c r="AA29" s="30" t="s">
        <v>158</v>
      </c>
      <c r="AB29" s="30" t="s">
        <v>43</v>
      </c>
      <c r="AC29" s="51">
        <v>22</v>
      </c>
      <c r="AD29" s="51">
        <v>20</v>
      </c>
      <c r="AE29" s="57">
        <v>22</v>
      </c>
      <c r="AF29" s="57">
        <v>20</v>
      </c>
      <c r="AG29" s="57">
        <v>17</v>
      </c>
      <c r="AH29" s="82" t="s">
        <v>42</v>
      </c>
      <c r="AI29" s="82" t="s">
        <v>43</v>
      </c>
      <c r="AJ29" s="76" t="s">
        <v>43</v>
      </c>
    </row>
    <row r="30" s="17" customFormat="1" ht="45" customHeight="1" spans="1:36">
      <c r="A30" s="29" t="s">
        <v>70</v>
      </c>
      <c r="B30" s="30" t="s">
        <v>159</v>
      </c>
      <c r="C30" s="30" t="s">
        <v>160</v>
      </c>
      <c r="D30" s="30" t="s">
        <v>37</v>
      </c>
      <c r="E30" s="31" t="s">
        <v>43</v>
      </c>
      <c r="F30" s="31" t="s">
        <v>43</v>
      </c>
      <c r="G30" s="30" t="s">
        <v>151</v>
      </c>
      <c r="H30" s="31" t="s">
        <v>43</v>
      </c>
      <c r="I30" s="37">
        <v>10</v>
      </c>
      <c r="J30" s="37">
        <v>9</v>
      </c>
      <c r="K30" s="36"/>
      <c r="L30" s="36"/>
      <c r="M30" s="36"/>
      <c r="N30" s="41">
        <v>9</v>
      </c>
      <c r="O30" s="41">
        <v>8</v>
      </c>
      <c r="P30" s="41">
        <v>7</v>
      </c>
      <c r="Q30" s="30" t="s">
        <v>42</v>
      </c>
      <c r="R30" s="30" t="s">
        <v>43</v>
      </c>
      <c r="S30" s="76" t="s">
        <v>43</v>
      </c>
      <c r="T30" s="36"/>
      <c r="U30" s="31" t="s">
        <v>73</v>
      </c>
      <c r="V30" s="30"/>
      <c r="W30" s="30"/>
      <c r="X30" s="30"/>
      <c r="Y30" s="30"/>
      <c r="Z30" s="30"/>
      <c r="AA30" s="30"/>
      <c r="AB30" s="30"/>
      <c r="AC30" s="51"/>
      <c r="AD30" s="51"/>
      <c r="AE30" s="57"/>
      <c r="AF30" s="57"/>
      <c r="AG30" s="57"/>
      <c r="AH30" s="82"/>
      <c r="AI30" s="82"/>
      <c r="AJ30" s="76"/>
    </row>
    <row r="31" s="17" customFormat="1" ht="45" customHeight="1" spans="1:36">
      <c r="A31" s="29" t="s">
        <v>70</v>
      </c>
      <c r="B31" s="30" t="s">
        <v>161</v>
      </c>
      <c r="C31" s="30" t="s">
        <v>162</v>
      </c>
      <c r="D31" s="30" t="s">
        <v>37</v>
      </c>
      <c r="E31" s="31" t="s">
        <v>43</v>
      </c>
      <c r="F31" s="31" t="s">
        <v>43</v>
      </c>
      <c r="G31" s="30" t="s">
        <v>40</v>
      </c>
      <c r="H31" s="31" t="s">
        <v>146</v>
      </c>
      <c r="I31" s="37">
        <v>100</v>
      </c>
      <c r="J31" s="37">
        <v>90</v>
      </c>
      <c r="K31" s="36"/>
      <c r="L31" s="36"/>
      <c r="M31" s="36"/>
      <c r="N31" s="41">
        <v>90</v>
      </c>
      <c r="O31" s="41">
        <v>82</v>
      </c>
      <c r="P31" s="41">
        <v>70</v>
      </c>
      <c r="Q31" s="30" t="s">
        <v>42</v>
      </c>
      <c r="R31" s="30" t="s">
        <v>43</v>
      </c>
      <c r="S31" s="76" t="s">
        <v>43</v>
      </c>
      <c r="T31" s="36"/>
      <c r="U31" s="31" t="s">
        <v>163</v>
      </c>
      <c r="V31" s="30"/>
      <c r="W31" s="30"/>
      <c r="X31" s="30"/>
      <c r="Y31" s="30"/>
      <c r="Z31" s="30"/>
      <c r="AA31" s="30"/>
      <c r="AB31" s="30"/>
      <c r="AC31" s="51"/>
      <c r="AD31" s="51"/>
      <c r="AE31" s="57"/>
      <c r="AF31" s="57"/>
      <c r="AG31" s="57"/>
      <c r="AH31" s="82"/>
      <c r="AI31" s="82"/>
      <c r="AJ31" s="76"/>
    </row>
    <row r="32" s="17" customFormat="1" ht="45" customHeight="1" spans="1:36">
      <c r="A32" s="29" t="s">
        <v>70</v>
      </c>
      <c r="B32" s="30" t="s">
        <v>164</v>
      </c>
      <c r="C32" s="30" t="s">
        <v>165</v>
      </c>
      <c r="D32" s="30" t="s">
        <v>37</v>
      </c>
      <c r="E32" s="31" t="s">
        <v>43</v>
      </c>
      <c r="F32" s="31" t="s">
        <v>43</v>
      </c>
      <c r="G32" s="30" t="s">
        <v>151</v>
      </c>
      <c r="H32" s="31" t="s">
        <v>166</v>
      </c>
      <c r="I32" s="37">
        <v>50</v>
      </c>
      <c r="J32" s="37">
        <v>45</v>
      </c>
      <c r="K32" s="36"/>
      <c r="L32" s="36"/>
      <c r="M32" s="36"/>
      <c r="N32" s="41">
        <v>45</v>
      </c>
      <c r="O32" s="41">
        <v>41</v>
      </c>
      <c r="P32" s="41">
        <v>35</v>
      </c>
      <c r="Q32" s="30" t="s">
        <v>42</v>
      </c>
      <c r="R32" s="30" t="s">
        <v>43</v>
      </c>
      <c r="S32" s="76" t="s">
        <v>43</v>
      </c>
      <c r="T32" s="36"/>
      <c r="U32" s="31" t="s">
        <v>163</v>
      </c>
      <c r="V32" s="30"/>
      <c r="W32" s="30"/>
      <c r="X32" s="30"/>
      <c r="Y32" s="30"/>
      <c r="Z32" s="30"/>
      <c r="AA32" s="30"/>
      <c r="AB32" s="30"/>
      <c r="AC32" s="51"/>
      <c r="AD32" s="51"/>
      <c r="AE32" s="57"/>
      <c r="AF32" s="57"/>
      <c r="AG32" s="57"/>
      <c r="AH32" s="82"/>
      <c r="AI32" s="82"/>
      <c r="AJ32" s="76"/>
    </row>
    <row r="33" s="17" customFormat="1" ht="77" customHeight="1" spans="1:36">
      <c r="A33" s="29">
        <v>5</v>
      </c>
      <c r="B33" s="30" t="s">
        <v>167</v>
      </c>
      <c r="C33" s="30" t="s">
        <v>168</v>
      </c>
      <c r="D33" s="30" t="s">
        <v>37</v>
      </c>
      <c r="E33" s="31" t="s">
        <v>169</v>
      </c>
      <c r="F33" s="31" t="s">
        <v>170</v>
      </c>
      <c r="G33" s="30" t="s">
        <v>40</v>
      </c>
      <c r="H33" s="31" t="s">
        <v>146</v>
      </c>
      <c r="I33" s="37">
        <v>120</v>
      </c>
      <c r="J33" s="37">
        <v>108</v>
      </c>
      <c r="K33" s="36">
        <v>110</v>
      </c>
      <c r="L33" s="36">
        <v>100</v>
      </c>
      <c r="M33" s="36">
        <v>85</v>
      </c>
      <c r="N33" s="41">
        <v>110</v>
      </c>
      <c r="O33" s="41">
        <v>100</v>
      </c>
      <c r="P33" s="41">
        <v>85</v>
      </c>
      <c r="Q33" s="30" t="s">
        <v>42</v>
      </c>
      <c r="R33" s="30" t="s">
        <v>43</v>
      </c>
      <c r="S33" s="76" t="s">
        <v>43</v>
      </c>
      <c r="T33" s="36" t="s">
        <v>153</v>
      </c>
      <c r="U33" s="31" t="s">
        <v>171</v>
      </c>
      <c r="V33" s="30" t="s">
        <v>172</v>
      </c>
      <c r="W33" s="30">
        <v>310100008</v>
      </c>
      <c r="X33" s="30" t="s">
        <v>173</v>
      </c>
      <c r="Y33" s="30" t="s">
        <v>174</v>
      </c>
      <c r="Z33" s="30"/>
      <c r="AA33" s="30" t="s">
        <v>158</v>
      </c>
      <c r="AB33" s="30" t="s">
        <v>43</v>
      </c>
      <c r="AC33" s="51">
        <v>30</v>
      </c>
      <c r="AD33" s="51">
        <v>27</v>
      </c>
      <c r="AE33" s="57">
        <v>22</v>
      </c>
      <c r="AF33" s="57">
        <v>20</v>
      </c>
      <c r="AG33" s="57">
        <v>17</v>
      </c>
      <c r="AH33" s="82" t="s">
        <v>42</v>
      </c>
      <c r="AI33" s="82" t="s">
        <v>43</v>
      </c>
      <c r="AJ33" s="76" t="s">
        <v>43</v>
      </c>
    </row>
    <row r="34" s="17" customFormat="1" ht="41" customHeight="1" spans="1:36">
      <c r="A34" s="29" t="s">
        <v>70</v>
      </c>
      <c r="B34" s="30" t="s">
        <v>175</v>
      </c>
      <c r="C34" s="30" t="s">
        <v>176</v>
      </c>
      <c r="D34" s="30" t="s">
        <v>37</v>
      </c>
      <c r="E34" s="31" t="s">
        <v>43</v>
      </c>
      <c r="F34" s="31" t="s">
        <v>43</v>
      </c>
      <c r="G34" s="30" t="s">
        <v>40</v>
      </c>
      <c r="H34" s="31" t="s">
        <v>43</v>
      </c>
      <c r="I34" s="37">
        <v>10</v>
      </c>
      <c r="J34" s="37">
        <v>9</v>
      </c>
      <c r="K34" s="36"/>
      <c r="L34" s="36"/>
      <c r="M34" s="36"/>
      <c r="N34" s="41">
        <v>9</v>
      </c>
      <c r="O34" s="41">
        <v>8</v>
      </c>
      <c r="P34" s="41">
        <v>7</v>
      </c>
      <c r="Q34" s="30" t="s">
        <v>42</v>
      </c>
      <c r="R34" s="30" t="s">
        <v>43</v>
      </c>
      <c r="S34" s="76" t="s">
        <v>43</v>
      </c>
      <c r="T34" s="36"/>
      <c r="U34" s="31" t="s">
        <v>73</v>
      </c>
      <c r="V34" s="30"/>
      <c r="W34" s="30"/>
      <c r="X34" s="30"/>
      <c r="Y34" s="30"/>
      <c r="Z34" s="30"/>
      <c r="AA34" s="30"/>
      <c r="AB34" s="30"/>
      <c r="AC34" s="51"/>
      <c r="AD34" s="51"/>
      <c r="AE34" s="57"/>
      <c r="AF34" s="57"/>
      <c r="AG34" s="57"/>
      <c r="AH34" s="82"/>
      <c r="AI34" s="82"/>
      <c r="AJ34" s="76"/>
    </row>
    <row r="35" s="17" customFormat="1" ht="64" customHeight="1" spans="1:36">
      <c r="A35" s="29">
        <v>6</v>
      </c>
      <c r="B35" s="30" t="s">
        <v>177</v>
      </c>
      <c r="C35" s="30" t="s">
        <v>178</v>
      </c>
      <c r="D35" s="30" t="s">
        <v>37</v>
      </c>
      <c r="E35" s="31" t="s">
        <v>179</v>
      </c>
      <c r="F35" s="31" t="s">
        <v>180</v>
      </c>
      <c r="G35" s="30" t="s">
        <v>40</v>
      </c>
      <c r="H35" s="31" t="s">
        <v>146</v>
      </c>
      <c r="I35" s="37">
        <v>47</v>
      </c>
      <c r="J35" s="37">
        <v>42</v>
      </c>
      <c r="K35" s="36"/>
      <c r="L35" s="36"/>
      <c r="M35" s="36"/>
      <c r="N35" s="41">
        <v>43</v>
      </c>
      <c r="O35" s="41">
        <v>39</v>
      </c>
      <c r="P35" s="41">
        <v>33</v>
      </c>
      <c r="Q35" s="30" t="s">
        <v>100</v>
      </c>
      <c r="R35" s="30" t="s">
        <v>43</v>
      </c>
      <c r="S35" s="76" t="s">
        <v>43</v>
      </c>
      <c r="T35" s="36" t="s">
        <v>101</v>
      </c>
      <c r="U35" s="31" t="s">
        <v>163</v>
      </c>
      <c r="V35" s="30"/>
      <c r="W35" s="30"/>
      <c r="X35" s="30"/>
      <c r="Y35" s="30"/>
      <c r="Z35" s="30"/>
      <c r="AA35" s="30"/>
      <c r="AB35" s="30"/>
      <c r="AC35" s="51"/>
      <c r="AD35" s="51"/>
      <c r="AE35" s="57"/>
      <c r="AF35" s="57"/>
      <c r="AG35" s="57"/>
      <c r="AH35" s="82"/>
      <c r="AI35" s="82"/>
      <c r="AJ35" s="76"/>
    </row>
    <row r="36" s="17" customFormat="1" ht="36" customHeight="1" spans="1:36">
      <c r="A36" s="29">
        <v>7</v>
      </c>
      <c r="B36" s="30" t="s">
        <v>181</v>
      </c>
      <c r="C36" s="28" t="s">
        <v>182</v>
      </c>
      <c r="D36" s="30" t="s">
        <v>37</v>
      </c>
      <c r="E36" s="31" t="s">
        <v>183</v>
      </c>
      <c r="F36" s="31" t="s">
        <v>180</v>
      </c>
      <c r="G36" s="30" t="s">
        <v>184</v>
      </c>
      <c r="H36" s="31" t="s">
        <v>185</v>
      </c>
      <c r="I36" s="37">
        <v>66</v>
      </c>
      <c r="J36" s="37">
        <v>59</v>
      </c>
      <c r="K36" s="36">
        <v>66</v>
      </c>
      <c r="L36" s="36">
        <v>60</v>
      </c>
      <c r="M36" s="36">
        <v>51</v>
      </c>
      <c r="N36" s="41">
        <v>66</v>
      </c>
      <c r="O36" s="41">
        <v>59</v>
      </c>
      <c r="P36" s="41">
        <v>51</v>
      </c>
      <c r="Q36" s="30" t="s">
        <v>42</v>
      </c>
      <c r="R36" s="30" t="s">
        <v>43</v>
      </c>
      <c r="S36" s="76" t="s">
        <v>43</v>
      </c>
      <c r="T36" s="36" t="s">
        <v>186</v>
      </c>
      <c r="U36" s="31" t="s">
        <v>187</v>
      </c>
      <c r="V36" s="30" t="s">
        <v>188</v>
      </c>
      <c r="W36" s="30">
        <v>310100011</v>
      </c>
      <c r="X36" s="30" t="s">
        <v>189</v>
      </c>
      <c r="Y36" s="30" t="s">
        <v>190</v>
      </c>
      <c r="Z36" s="30"/>
      <c r="AA36" s="30" t="s">
        <v>40</v>
      </c>
      <c r="AB36" s="30" t="s">
        <v>191</v>
      </c>
      <c r="AC36" s="51">
        <v>66</v>
      </c>
      <c r="AD36" s="51">
        <v>59</v>
      </c>
      <c r="AE36" s="57">
        <v>66</v>
      </c>
      <c r="AF36" s="57">
        <v>60</v>
      </c>
      <c r="AG36" s="57">
        <v>51</v>
      </c>
      <c r="AH36" s="82" t="s">
        <v>42</v>
      </c>
      <c r="AI36" s="82" t="s">
        <v>43</v>
      </c>
      <c r="AJ36" s="76" t="s">
        <v>43</v>
      </c>
    </row>
    <row r="37" s="17" customFormat="1" ht="36" customHeight="1" spans="1:36">
      <c r="A37" s="29"/>
      <c r="B37" s="30"/>
      <c r="C37" s="28" t="s">
        <v>182</v>
      </c>
      <c r="D37" s="30"/>
      <c r="E37" s="31"/>
      <c r="F37" s="31"/>
      <c r="G37" s="30"/>
      <c r="H37" s="31"/>
      <c r="I37" s="37"/>
      <c r="J37" s="37"/>
      <c r="K37" s="36"/>
      <c r="L37" s="36"/>
      <c r="M37" s="36"/>
      <c r="N37" s="41"/>
      <c r="O37" s="41"/>
      <c r="P37" s="41"/>
      <c r="Q37" s="30"/>
      <c r="R37" s="30"/>
      <c r="S37" s="76"/>
      <c r="T37" s="36"/>
      <c r="U37" s="31"/>
      <c r="V37" s="30" t="s">
        <v>192</v>
      </c>
      <c r="W37" s="30">
        <v>31010001101</v>
      </c>
      <c r="X37" s="30" t="s">
        <v>193</v>
      </c>
      <c r="Y37" s="30"/>
      <c r="Z37" s="30"/>
      <c r="AA37" s="30" t="s">
        <v>40</v>
      </c>
      <c r="AB37" s="30" t="s">
        <v>194</v>
      </c>
      <c r="AC37" s="51">
        <v>99</v>
      </c>
      <c r="AD37" s="51">
        <v>89</v>
      </c>
      <c r="AE37" s="57">
        <v>99</v>
      </c>
      <c r="AF37" s="57">
        <v>90</v>
      </c>
      <c r="AG37" s="57">
        <v>76.5</v>
      </c>
      <c r="AH37" s="82" t="s">
        <v>42</v>
      </c>
      <c r="AI37" s="82" t="s">
        <v>43</v>
      </c>
      <c r="AJ37" s="76" t="s">
        <v>43</v>
      </c>
    </row>
    <row r="38" s="17" customFormat="1" ht="55" customHeight="1" spans="1:36">
      <c r="A38" s="29">
        <v>8</v>
      </c>
      <c r="B38" s="30" t="s">
        <v>195</v>
      </c>
      <c r="C38" s="30" t="s">
        <v>196</v>
      </c>
      <c r="D38" s="30" t="s">
        <v>37</v>
      </c>
      <c r="E38" s="31" t="s">
        <v>197</v>
      </c>
      <c r="F38" s="31" t="s">
        <v>180</v>
      </c>
      <c r="G38" s="30" t="s">
        <v>40</v>
      </c>
      <c r="H38" s="31" t="s">
        <v>198</v>
      </c>
      <c r="I38" s="37">
        <v>66</v>
      </c>
      <c r="J38" s="37">
        <v>59</v>
      </c>
      <c r="K38" s="36">
        <v>66</v>
      </c>
      <c r="L38" s="36">
        <v>60</v>
      </c>
      <c r="M38" s="36">
        <v>51</v>
      </c>
      <c r="N38" s="41">
        <v>66</v>
      </c>
      <c r="O38" s="41">
        <v>59</v>
      </c>
      <c r="P38" s="41">
        <v>51</v>
      </c>
      <c r="Q38" s="30" t="s">
        <v>42</v>
      </c>
      <c r="R38" s="30" t="s">
        <v>43</v>
      </c>
      <c r="S38" s="76" t="s">
        <v>43</v>
      </c>
      <c r="T38" s="36" t="s">
        <v>186</v>
      </c>
      <c r="U38" s="31" t="s">
        <v>187</v>
      </c>
      <c r="V38" s="30" t="s">
        <v>199</v>
      </c>
      <c r="W38" s="30">
        <v>310100012</v>
      </c>
      <c r="X38" s="30" t="s">
        <v>200</v>
      </c>
      <c r="Y38" s="30"/>
      <c r="Z38" s="30"/>
      <c r="AA38" s="30" t="s">
        <v>40</v>
      </c>
      <c r="AB38" s="30" t="s">
        <v>43</v>
      </c>
      <c r="AC38" s="51">
        <v>66</v>
      </c>
      <c r="AD38" s="51">
        <v>59</v>
      </c>
      <c r="AE38" s="57">
        <v>66</v>
      </c>
      <c r="AF38" s="57">
        <v>60</v>
      </c>
      <c r="AG38" s="57">
        <v>51</v>
      </c>
      <c r="AH38" s="82" t="s">
        <v>42</v>
      </c>
      <c r="AI38" s="82" t="s">
        <v>43</v>
      </c>
      <c r="AJ38" s="76" t="s">
        <v>43</v>
      </c>
    </row>
    <row r="39" s="17" customFormat="1" ht="29" customHeight="1" spans="1:36">
      <c r="A39" s="29" t="s">
        <v>70</v>
      </c>
      <c r="B39" s="30" t="s">
        <v>201</v>
      </c>
      <c r="C39" s="30" t="s">
        <v>202</v>
      </c>
      <c r="D39" s="30" t="s">
        <v>37</v>
      </c>
      <c r="E39" s="31" t="s">
        <v>43</v>
      </c>
      <c r="F39" s="31" t="s">
        <v>43</v>
      </c>
      <c r="G39" s="30" t="s">
        <v>40</v>
      </c>
      <c r="H39" s="31" t="s">
        <v>43</v>
      </c>
      <c r="I39" s="37">
        <v>10</v>
      </c>
      <c r="J39" s="37">
        <v>9</v>
      </c>
      <c r="K39" s="36"/>
      <c r="L39" s="36"/>
      <c r="M39" s="36"/>
      <c r="N39" s="41">
        <v>9</v>
      </c>
      <c r="O39" s="41">
        <v>8</v>
      </c>
      <c r="P39" s="41">
        <v>7</v>
      </c>
      <c r="Q39" s="30" t="s">
        <v>42</v>
      </c>
      <c r="R39" s="30" t="s">
        <v>43</v>
      </c>
      <c r="S39" s="76" t="s">
        <v>43</v>
      </c>
      <c r="T39" s="36"/>
      <c r="U39" s="31" t="s">
        <v>73</v>
      </c>
      <c r="V39" s="30"/>
      <c r="W39" s="30"/>
      <c r="X39" s="30"/>
      <c r="Y39" s="30"/>
      <c r="Z39" s="30"/>
      <c r="AA39" s="30"/>
      <c r="AB39" s="30"/>
      <c r="AC39" s="51"/>
      <c r="AD39" s="51"/>
      <c r="AE39" s="57"/>
      <c r="AF39" s="57"/>
      <c r="AG39" s="57"/>
      <c r="AH39" s="82"/>
      <c r="AI39" s="82"/>
      <c r="AJ39" s="76"/>
    </row>
    <row r="40" s="17" customFormat="1" ht="35" customHeight="1" spans="1:36">
      <c r="A40" s="29">
        <v>9</v>
      </c>
      <c r="B40" s="30" t="s">
        <v>203</v>
      </c>
      <c r="C40" s="28" t="s">
        <v>204</v>
      </c>
      <c r="D40" s="30" t="s">
        <v>37</v>
      </c>
      <c r="E40" s="31" t="s">
        <v>205</v>
      </c>
      <c r="F40" s="31" t="s">
        <v>180</v>
      </c>
      <c r="G40" s="30" t="s">
        <v>206</v>
      </c>
      <c r="H40" s="31" t="s">
        <v>146</v>
      </c>
      <c r="I40" s="37">
        <v>96</v>
      </c>
      <c r="J40" s="37">
        <v>86</v>
      </c>
      <c r="K40" s="59">
        <v>88.0094471282877</v>
      </c>
      <c r="L40" s="59">
        <v>80.0402052141137</v>
      </c>
      <c r="M40" s="59">
        <v>68</v>
      </c>
      <c r="N40" s="41">
        <v>88</v>
      </c>
      <c r="O40" s="41">
        <v>80</v>
      </c>
      <c r="P40" s="41">
        <v>68</v>
      </c>
      <c r="Q40" s="30" t="s">
        <v>42</v>
      </c>
      <c r="R40" s="30" t="s">
        <v>43</v>
      </c>
      <c r="S40" s="76" t="s">
        <v>43</v>
      </c>
      <c r="T40" s="36" t="s">
        <v>44</v>
      </c>
      <c r="U40" s="31" t="s">
        <v>207</v>
      </c>
      <c r="V40" s="30" t="s">
        <v>208</v>
      </c>
      <c r="W40" s="30">
        <v>310100009</v>
      </c>
      <c r="X40" s="30" t="s">
        <v>209</v>
      </c>
      <c r="Y40" s="30" t="s">
        <v>210</v>
      </c>
      <c r="Z40" s="30"/>
      <c r="AA40" s="30" t="s">
        <v>206</v>
      </c>
      <c r="AB40" s="30" t="s">
        <v>211</v>
      </c>
      <c r="AC40" s="51">
        <v>88</v>
      </c>
      <c r="AD40" s="51">
        <v>79</v>
      </c>
      <c r="AE40" s="57">
        <v>88</v>
      </c>
      <c r="AF40" s="57">
        <v>80</v>
      </c>
      <c r="AG40" s="57">
        <v>68</v>
      </c>
      <c r="AH40" s="82" t="s">
        <v>42</v>
      </c>
      <c r="AI40" s="82" t="s">
        <v>43</v>
      </c>
      <c r="AJ40" s="76" t="s">
        <v>43</v>
      </c>
    </row>
    <row r="41" s="17" customFormat="1" ht="35" customHeight="1" spans="1:36">
      <c r="A41" s="29"/>
      <c r="B41" s="30"/>
      <c r="C41" s="28" t="s">
        <v>204</v>
      </c>
      <c r="D41" s="30"/>
      <c r="E41" s="31"/>
      <c r="F41" s="31"/>
      <c r="G41" s="30"/>
      <c r="H41" s="31"/>
      <c r="I41" s="37"/>
      <c r="J41" s="37"/>
      <c r="K41" s="59"/>
      <c r="L41" s="59"/>
      <c r="M41" s="59"/>
      <c r="N41" s="41"/>
      <c r="O41" s="41"/>
      <c r="P41" s="41"/>
      <c r="Q41" s="30"/>
      <c r="R41" s="30"/>
      <c r="S41" s="76"/>
      <c r="T41" s="36"/>
      <c r="U41" s="31"/>
      <c r="V41" s="30" t="s">
        <v>212</v>
      </c>
      <c r="W41" s="30">
        <v>31010000901</v>
      </c>
      <c r="X41" s="30" t="s">
        <v>213</v>
      </c>
      <c r="Y41" s="30"/>
      <c r="Z41" s="30"/>
      <c r="AA41" s="30" t="s">
        <v>206</v>
      </c>
      <c r="AB41" s="30" t="s">
        <v>214</v>
      </c>
      <c r="AC41" s="51">
        <v>105</v>
      </c>
      <c r="AD41" s="51">
        <v>95</v>
      </c>
      <c r="AE41" s="57">
        <v>105.6</v>
      </c>
      <c r="AF41" s="57">
        <v>96</v>
      </c>
      <c r="AG41" s="57">
        <v>81.6</v>
      </c>
      <c r="AH41" s="82" t="s">
        <v>42</v>
      </c>
      <c r="AI41" s="82" t="s">
        <v>43</v>
      </c>
      <c r="AJ41" s="76" t="s">
        <v>43</v>
      </c>
    </row>
    <row r="42" s="17" customFormat="1" ht="33" customHeight="1" spans="1:36">
      <c r="A42" s="29" t="s">
        <v>70</v>
      </c>
      <c r="B42" s="30" t="s">
        <v>215</v>
      </c>
      <c r="C42" s="30" t="s">
        <v>216</v>
      </c>
      <c r="D42" s="30" t="s">
        <v>37</v>
      </c>
      <c r="E42" s="31" t="s">
        <v>43</v>
      </c>
      <c r="F42" s="31" t="s">
        <v>43</v>
      </c>
      <c r="G42" s="30" t="s">
        <v>206</v>
      </c>
      <c r="H42" s="31" t="s">
        <v>43</v>
      </c>
      <c r="I42" s="37">
        <v>10</v>
      </c>
      <c r="J42" s="37">
        <v>9</v>
      </c>
      <c r="K42" s="36"/>
      <c r="L42" s="36"/>
      <c r="M42" s="36"/>
      <c r="N42" s="41">
        <v>9</v>
      </c>
      <c r="O42" s="41">
        <v>8</v>
      </c>
      <c r="P42" s="41">
        <v>7</v>
      </c>
      <c r="Q42" s="30" t="s">
        <v>42</v>
      </c>
      <c r="R42" s="30" t="s">
        <v>43</v>
      </c>
      <c r="S42" s="76" t="s">
        <v>43</v>
      </c>
      <c r="T42" s="36"/>
      <c r="U42" s="31" t="s">
        <v>73</v>
      </c>
      <c r="V42" s="30"/>
      <c r="W42" s="30"/>
      <c r="X42" s="30"/>
      <c r="Y42" s="30"/>
      <c r="Z42" s="30"/>
      <c r="AA42" s="30"/>
      <c r="AB42" s="30"/>
      <c r="AC42" s="51"/>
      <c r="AD42" s="51"/>
      <c r="AE42" s="57"/>
      <c r="AF42" s="57"/>
      <c r="AG42" s="57"/>
      <c r="AH42" s="82"/>
      <c r="AI42" s="82"/>
      <c r="AJ42" s="76"/>
    </row>
    <row r="43" s="17" customFormat="1" ht="89" customHeight="1" spans="1:36">
      <c r="A43" s="29">
        <v>10</v>
      </c>
      <c r="B43" s="87" t="s">
        <v>217</v>
      </c>
      <c r="C43" s="30" t="s">
        <v>218</v>
      </c>
      <c r="D43" s="30" t="s">
        <v>37</v>
      </c>
      <c r="E43" s="31" t="s">
        <v>219</v>
      </c>
      <c r="F43" s="31" t="s">
        <v>180</v>
      </c>
      <c r="G43" s="30" t="s">
        <v>206</v>
      </c>
      <c r="H43" s="31" t="s">
        <v>220</v>
      </c>
      <c r="I43" s="37">
        <v>60</v>
      </c>
      <c r="J43" s="37">
        <v>54</v>
      </c>
      <c r="K43" s="36">
        <v>54</v>
      </c>
      <c r="L43" s="36">
        <v>50</v>
      </c>
      <c r="M43" s="36">
        <v>42</v>
      </c>
      <c r="N43" s="41">
        <v>54</v>
      </c>
      <c r="O43" s="41">
        <v>50</v>
      </c>
      <c r="P43" s="41">
        <v>42</v>
      </c>
      <c r="Q43" s="30" t="s">
        <v>100</v>
      </c>
      <c r="R43" s="30" t="s">
        <v>43</v>
      </c>
      <c r="S43" s="76" t="s">
        <v>43</v>
      </c>
      <c r="T43" s="36" t="s">
        <v>153</v>
      </c>
      <c r="U43" s="31" t="s">
        <v>153</v>
      </c>
      <c r="V43" s="30" t="s">
        <v>221</v>
      </c>
      <c r="W43" s="30">
        <v>310100010</v>
      </c>
      <c r="X43" s="30" t="s">
        <v>222</v>
      </c>
      <c r="Y43" s="30" t="s">
        <v>223</v>
      </c>
      <c r="Z43" s="30"/>
      <c r="AA43" s="30" t="s">
        <v>40</v>
      </c>
      <c r="AB43" s="30" t="s">
        <v>224</v>
      </c>
      <c r="AC43" s="51">
        <v>60</v>
      </c>
      <c r="AD43" s="51">
        <v>54</v>
      </c>
      <c r="AE43" s="57">
        <v>54</v>
      </c>
      <c r="AF43" s="57">
        <v>50</v>
      </c>
      <c r="AG43" s="57">
        <v>42</v>
      </c>
      <c r="AH43" s="82" t="s">
        <v>42</v>
      </c>
      <c r="AI43" s="82" t="s">
        <v>43</v>
      </c>
      <c r="AJ43" s="76" t="s">
        <v>43</v>
      </c>
    </row>
    <row r="44" s="17" customFormat="1" ht="35" customHeight="1" spans="1:36">
      <c r="A44" s="30" t="s">
        <v>225</v>
      </c>
      <c r="B44" s="87" t="s">
        <v>217</v>
      </c>
      <c r="C44" s="30" t="s">
        <v>226</v>
      </c>
      <c r="D44" s="30"/>
      <c r="E44" s="31" t="s">
        <v>43</v>
      </c>
      <c r="F44" s="31" t="s">
        <v>43</v>
      </c>
      <c r="G44" s="30" t="s">
        <v>206</v>
      </c>
      <c r="H44" s="31" t="s">
        <v>43</v>
      </c>
      <c r="I44" s="37">
        <v>34</v>
      </c>
      <c r="J44" s="37">
        <v>31</v>
      </c>
      <c r="K44" s="36">
        <v>32</v>
      </c>
      <c r="L44" s="36">
        <v>32</v>
      </c>
      <c r="M44" s="36">
        <v>27.2</v>
      </c>
      <c r="N44" s="41">
        <v>32</v>
      </c>
      <c r="O44" s="41">
        <v>30</v>
      </c>
      <c r="P44" s="41">
        <v>27</v>
      </c>
      <c r="Q44" s="30" t="s">
        <v>100</v>
      </c>
      <c r="R44" s="30" t="s">
        <v>43</v>
      </c>
      <c r="S44" s="76" t="s">
        <v>43</v>
      </c>
      <c r="T44" s="36"/>
      <c r="U44" s="31" t="s">
        <v>227</v>
      </c>
      <c r="V44" s="30" t="s">
        <v>228</v>
      </c>
      <c r="W44" s="30">
        <v>340100007</v>
      </c>
      <c r="X44" s="30" t="s">
        <v>229</v>
      </c>
      <c r="Y44" s="30" t="s">
        <v>230</v>
      </c>
      <c r="Z44" s="30"/>
      <c r="AA44" s="30" t="s">
        <v>231</v>
      </c>
      <c r="AB44" s="30" t="s">
        <v>43</v>
      </c>
      <c r="AC44" s="51">
        <v>8.5</v>
      </c>
      <c r="AD44" s="51">
        <v>8.5</v>
      </c>
      <c r="AE44" s="57">
        <v>8</v>
      </c>
      <c r="AF44" s="57">
        <v>8</v>
      </c>
      <c r="AG44" s="57">
        <v>6.8</v>
      </c>
      <c r="AH44" s="82" t="s">
        <v>43</v>
      </c>
      <c r="AI44" s="82" t="s">
        <v>43</v>
      </c>
      <c r="AJ44" s="76" t="s">
        <v>43</v>
      </c>
    </row>
    <row r="45" s="17" customFormat="1" ht="75" customHeight="1" spans="1:36">
      <c r="A45" s="29">
        <v>11</v>
      </c>
      <c r="B45" s="30" t="s">
        <v>232</v>
      </c>
      <c r="C45" s="30" t="s">
        <v>233</v>
      </c>
      <c r="D45" s="30" t="s">
        <v>37</v>
      </c>
      <c r="E45" s="31" t="s">
        <v>234</v>
      </c>
      <c r="F45" s="31" t="s">
        <v>39</v>
      </c>
      <c r="G45" s="30" t="s">
        <v>40</v>
      </c>
      <c r="H45" s="31" t="s">
        <v>235</v>
      </c>
      <c r="I45" s="37">
        <v>420</v>
      </c>
      <c r="J45" s="37">
        <v>378</v>
      </c>
      <c r="K45" s="36"/>
      <c r="L45" s="36"/>
      <c r="M45" s="36"/>
      <c r="N45" s="41">
        <v>380</v>
      </c>
      <c r="O45" s="41">
        <v>345</v>
      </c>
      <c r="P45" s="41">
        <v>295</v>
      </c>
      <c r="Q45" s="30" t="s">
        <v>100</v>
      </c>
      <c r="R45" s="30" t="s">
        <v>43</v>
      </c>
      <c r="S45" s="76" t="s">
        <v>43</v>
      </c>
      <c r="T45" s="36" t="s">
        <v>236</v>
      </c>
      <c r="U45" s="31" t="s">
        <v>237</v>
      </c>
      <c r="V45" s="30"/>
      <c r="W45" s="30"/>
      <c r="X45" s="30"/>
      <c r="Y45" s="30"/>
      <c r="Z45" s="30"/>
      <c r="AA45" s="30"/>
      <c r="AB45" s="30"/>
      <c r="AC45" s="51"/>
      <c r="AD45" s="51"/>
      <c r="AE45" s="57"/>
      <c r="AF45" s="57"/>
      <c r="AG45" s="57"/>
      <c r="AH45" s="82"/>
      <c r="AI45" s="82"/>
      <c r="AJ45" s="76"/>
    </row>
    <row r="46" s="17" customFormat="1" ht="42" customHeight="1" spans="1:36">
      <c r="A46" s="29" t="s">
        <v>70</v>
      </c>
      <c r="B46" s="30" t="s">
        <v>238</v>
      </c>
      <c r="C46" s="30" t="s">
        <v>239</v>
      </c>
      <c r="D46" s="30" t="s">
        <v>37</v>
      </c>
      <c r="E46" s="31" t="s">
        <v>43</v>
      </c>
      <c r="F46" s="31" t="s">
        <v>43</v>
      </c>
      <c r="G46" s="30" t="s">
        <v>40</v>
      </c>
      <c r="H46" s="31" t="s">
        <v>146</v>
      </c>
      <c r="I46" s="37">
        <v>280</v>
      </c>
      <c r="J46" s="37">
        <v>252</v>
      </c>
      <c r="K46" s="36"/>
      <c r="L46" s="36"/>
      <c r="M46" s="36"/>
      <c r="N46" s="41">
        <v>255</v>
      </c>
      <c r="O46" s="41">
        <v>230</v>
      </c>
      <c r="P46" s="41">
        <v>196</v>
      </c>
      <c r="Q46" s="30" t="s">
        <v>100</v>
      </c>
      <c r="R46" s="30" t="s">
        <v>43</v>
      </c>
      <c r="S46" s="76" t="s">
        <v>43</v>
      </c>
      <c r="T46" s="36" t="s">
        <v>236</v>
      </c>
      <c r="U46" s="31" t="s">
        <v>237</v>
      </c>
      <c r="V46" s="30"/>
      <c r="W46" s="30"/>
      <c r="X46" s="30"/>
      <c r="Y46" s="30"/>
      <c r="Z46" s="30"/>
      <c r="AA46" s="30"/>
      <c r="AB46" s="30"/>
      <c r="AC46" s="51"/>
      <c r="AD46" s="51"/>
      <c r="AE46" s="57"/>
      <c r="AF46" s="57"/>
      <c r="AG46" s="57"/>
      <c r="AH46" s="82"/>
      <c r="AI46" s="82"/>
      <c r="AJ46" s="76"/>
    </row>
    <row r="47" s="17" customFormat="1" ht="49" customHeight="1" spans="1:36">
      <c r="A47" s="29">
        <v>12</v>
      </c>
      <c r="B47" s="30" t="s">
        <v>240</v>
      </c>
      <c r="C47" s="30" t="s">
        <v>241</v>
      </c>
      <c r="D47" s="30" t="s">
        <v>37</v>
      </c>
      <c r="E47" s="31" t="s">
        <v>242</v>
      </c>
      <c r="F47" s="31" t="s">
        <v>243</v>
      </c>
      <c r="G47" s="30" t="s">
        <v>68</v>
      </c>
      <c r="H47" s="31" t="s">
        <v>146</v>
      </c>
      <c r="I47" s="37">
        <v>6</v>
      </c>
      <c r="J47" s="37">
        <v>6</v>
      </c>
      <c r="K47" s="36"/>
      <c r="L47" s="36"/>
      <c r="M47" s="36"/>
      <c r="N47" s="41">
        <f>N48*2</f>
        <v>6</v>
      </c>
      <c r="O47" s="41">
        <f>O48*2</f>
        <v>5.8</v>
      </c>
      <c r="P47" s="41">
        <f>P48*2</f>
        <v>5.4</v>
      </c>
      <c r="Q47" s="30" t="s">
        <v>42</v>
      </c>
      <c r="R47" s="30" t="s">
        <v>43</v>
      </c>
      <c r="S47" s="76" t="s">
        <v>43</v>
      </c>
      <c r="T47" s="36" t="s">
        <v>236</v>
      </c>
      <c r="U47" s="31" t="s">
        <v>244</v>
      </c>
      <c r="V47" s="36" t="s">
        <v>245</v>
      </c>
      <c r="W47" s="36"/>
      <c r="X47" s="36"/>
      <c r="Y47" s="36"/>
      <c r="Z47" s="36"/>
      <c r="AA47" s="36"/>
      <c r="AB47" s="36"/>
      <c r="AC47" s="54"/>
      <c r="AD47" s="54"/>
      <c r="AE47" s="54"/>
      <c r="AF47" s="54"/>
      <c r="AG47" s="54"/>
      <c r="AH47" s="54" t="s">
        <v>42</v>
      </c>
      <c r="AI47" s="54" t="s">
        <v>43</v>
      </c>
      <c r="AJ47" s="83" t="s">
        <v>43</v>
      </c>
    </row>
    <row r="48" s="17" customFormat="1" ht="30" customHeight="1" spans="1:36">
      <c r="A48" s="29">
        <v>13</v>
      </c>
      <c r="B48" s="30" t="s">
        <v>246</v>
      </c>
      <c r="C48" s="28" t="s">
        <v>247</v>
      </c>
      <c r="D48" s="30" t="s">
        <v>37</v>
      </c>
      <c r="E48" s="31" t="s">
        <v>248</v>
      </c>
      <c r="F48" s="31" t="s">
        <v>243</v>
      </c>
      <c r="G48" s="30" t="s">
        <v>68</v>
      </c>
      <c r="H48" s="31" t="s">
        <v>146</v>
      </c>
      <c r="I48" s="37">
        <v>3</v>
      </c>
      <c r="J48" s="37">
        <v>3</v>
      </c>
      <c r="K48" s="36">
        <v>3.3</v>
      </c>
      <c r="L48" s="36">
        <v>3</v>
      </c>
      <c r="M48" s="36">
        <v>2.6</v>
      </c>
      <c r="N48" s="41">
        <v>3</v>
      </c>
      <c r="O48" s="41">
        <v>2.9</v>
      </c>
      <c r="P48" s="41">
        <v>2.7</v>
      </c>
      <c r="Q48" s="30" t="s">
        <v>42</v>
      </c>
      <c r="R48" s="30" t="s">
        <v>43</v>
      </c>
      <c r="S48" s="76" t="s">
        <v>43</v>
      </c>
      <c r="T48" s="36" t="s">
        <v>186</v>
      </c>
      <c r="U48" s="31" t="s">
        <v>249</v>
      </c>
      <c r="V48" s="46" t="s">
        <v>245</v>
      </c>
      <c r="W48" s="46">
        <v>310100014</v>
      </c>
      <c r="X48" s="48" t="s">
        <v>250</v>
      </c>
      <c r="Y48" s="48"/>
      <c r="Z48" s="48"/>
      <c r="AA48" s="48" t="s">
        <v>68</v>
      </c>
      <c r="AB48" s="30" t="s">
        <v>43</v>
      </c>
      <c r="AC48" s="55">
        <v>3</v>
      </c>
      <c r="AD48" s="51">
        <v>3</v>
      </c>
      <c r="AE48" s="57">
        <v>3.3</v>
      </c>
      <c r="AF48" s="57">
        <v>3</v>
      </c>
      <c r="AG48" s="57">
        <v>2.6</v>
      </c>
      <c r="AH48" s="82" t="s">
        <v>42</v>
      </c>
      <c r="AI48" s="82" t="s">
        <v>43</v>
      </c>
      <c r="AJ48" s="76" t="s">
        <v>43</v>
      </c>
    </row>
    <row r="49" s="17" customFormat="1" ht="30" customHeight="1" spans="1:36">
      <c r="A49" s="29"/>
      <c r="B49" s="30"/>
      <c r="C49" s="28" t="s">
        <v>247</v>
      </c>
      <c r="D49" s="30"/>
      <c r="E49" s="31"/>
      <c r="F49" s="31"/>
      <c r="G49" s="30"/>
      <c r="H49" s="31"/>
      <c r="I49" s="37"/>
      <c r="J49" s="37"/>
      <c r="K49" s="36"/>
      <c r="L49" s="36"/>
      <c r="M49" s="36"/>
      <c r="N49" s="41"/>
      <c r="O49" s="41"/>
      <c r="P49" s="41"/>
      <c r="Q49" s="30"/>
      <c r="R49" s="30"/>
      <c r="S49" s="76"/>
      <c r="T49" s="36"/>
      <c r="U49" s="31"/>
      <c r="V49" s="46" t="s">
        <v>251</v>
      </c>
      <c r="W49" s="46">
        <v>311202002</v>
      </c>
      <c r="X49" s="48" t="s">
        <v>252</v>
      </c>
      <c r="Y49" s="48"/>
      <c r="Z49" s="48"/>
      <c r="AA49" s="48" t="s">
        <v>40</v>
      </c>
      <c r="AB49" s="30" t="s">
        <v>43</v>
      </c>
      <c r="AC49" s="55"/>
      <c r="AD49" s="51" t="s">
        <v>43</v>
      </c>
      <c r="AE49" s="57" t="s">
        <v>43</v>
      </c>
      <c r="AF49" s="57" t="s">
        <v>43</v>
      </c>
      <c r="AG49" s="57" t="s">
        <v>43</v>
      </c>
      <c r="AH49" s="82" t="s">
        <v>42</v>
      </c>
      <c r="AI49" s="82" t="s">
        <v>253</v>
      </c>
      <c r="AJ49" s="76" t="s">
        <v>43</v>
      </c>
    </row>
    <row r="50" s="17" customFormat="1" ht="48" customHeight="1" spans="1:36">
      <c r="A50" s="29">
        <v>14</v>
      </c>
      <c r="B50" s="30" t="s">
        <v>254</v>
      </c>
      <c r="C50" s="28" t="s">
        <v>255</v>
      </c>
      <c r="D50" s="30" t="s">
        <v>37</v>
      </c>
      <c r="E50" s="31" t="s">
        <v>256</v>
      </c>
      <c r="F50" s="31" t="s">
        <v>257</v>
      </c>
      <c r="G50" s="30" t="s">
        <v>40</v>
      </c>
      <c r="H50" s="31" t="s">
        <v>258</v>
      </c>
      <c r="I50" s="37">
        <v>2250</v>
      </c>
      <c r="J50" s="37">
        <v>2025</v>
      </c>
      <c r="K50" s="59">
        <v>2090.625</v>
      </c>
      <c r="L50" s="59">
        <v>1884.375</v>
      </c>
      <c r="M50" s="59">
        <v>1509.375</v>
      </c>
      <c r="N50" s="41">
        <v>2090</v>
      </c>
      <c r="O50" s="41">
        <v>1885</v>
      </c>
      <c r="P50" s="41">
        <v>1510</v>
      </c>
      <c r="Q50" s="30" t="s">
        <v>42</v>
      </c>
      <c r="R50" s="30" t="s">
        <v>43</v>
      </c>
      <c r="S50" s="76">
        <v>0.2</v>
      </c>
      <c r="T50" s="36" t="s">
        <v>44</v>
      </c>
      <c r="U50" s="31" t="s">
        <v>259</v>
      </c>
      <c r="V50" s="30" t="s">
        <v>260</v>
      </c>
      <c r="W50" s="30">
        <v>320600001</v>
      </c>
      <c r="X50" s="30" t="s">
        <v>261</v>
      </c>
      <c r="Y50" s="30" t="s">
        <v>262</v>
      </c>
      <c r="Z50" s="30"/>
      <c r="AA50" s="30" t="s">
        <v>40</v>
      </c>
      <c r="AB50" s="30" t="s">
        <v>43</v>
      </c>
      <c r="AC50" s="51">
        <v>3600</v>
      </c>
      <c r="AD50" s="51">
        <v>3240</v>
      </c>
      <c r="AE50" s="57">
        <v>3345</v>
      </c>
      <c r="AF50" s="57">
        <v>3015</v>
      </c>
      <c r="AG50" s="57">
        <v>2415</v>
      </c>
      <c r="AH50" s="82" t="s">
        <v>42</v>
      </c>
      <c r="AI50" s="82" t="s">
        <v>43</v>
      </c>
      <c r="AJ50" s="76">
        <v>0.2</v>
      </c>
    </row>
    <row r="51" s="17" customFormat="1" ht="48" customHeight="1" spans="1:36">
      <c r="A51" s="29"/>
      <c r="B51" s="30"/>
      <c r="C51" s="28" t="s">
        <v>255</v>
      </c>
      <c r="D51" s="30"/>
      <c r="E51" s="31"/>
      <c r="F51" s="31"/>
      <c r="G51" s="30"/>
      <c r="H51" s="31"/>
      <c r="I51" s="37"/>
      <c r="J51" s="37"/>
      <c r="K51" s="59"/>
      <c r="L51" s="59"/>
      <c r="M51" s="59"/>
      <c r="N51" s="41"/>
      <c r="O51" s="41"/>
      <c r="P51" s="41"/>
      <c r="Q51" s="30"/>
      <c r="R51" s="30"/>
      <c r="S51" s="76"/>
      <c r="T51" s="36"/>
      <c r="U51" s="31"/>
      <c r="V51" s="30" t="s">
        <v>263</v>
      </c>
      <c r="W51" s="30">
        <v>32060000101</v>
      </c>
      <c r="X51" s="30" t="s">
        <v>264</v>
      </c>
      <c r="Y51" s="30"/>
      <c r="Z51" s="30"/>
      <c r="AA51" s="30" t="s">
        <v>40</v>
      </c>
      <c r="AB51" s="30"/>
      <c r="AC51" s="51">
        <v>4680</v>
      </c>
      <c r="AD51" s="51">
        <v>4210</v>
      </c>
      <c r="AE51" s="57">
        <v>4350</v>
      </c>
      <c r="AF51" s="57">
        <v>3920</v>
      </c>
      <c r="AG51" s="57">
        <v>3140</v>
      </c>
      <c r="AH51" s="82" t="s">
        <v>42</v>
      </c>
      <c r="AI51" s="82" t="s">
        <v>43</v>
      </c>
      <c r="AJ51" s="76">
        <v>0.2</v>
      </c>
    </row>
    <row r="52" s="17" customFormat="1" ht="51" customHeight="1" spans="1:36">
      <c r="A52" s="29">
        <v>15</v>
      </c>
      <c r="B52" s="30" t="s">
        <v>265</v>
      </c>
      <c r="C52" s="28" t="s">
        <v>266</v>
      </c>
      <c r="D52" s="30" t="s">
        <v>37</v>
      </c>
      <c r="E52" s="31" t="s">
        <v>267</v>
      </c>
      <c r="F52" s="31" t="s">
        <v>268</v>
      </c>
      <c r="G52" s="30" t="s">
        <v>40</v>
      </c>
      <c r="H52" s="31" t="s">
        <v>269</v>
      </c>
      <c r="I52" s="37">
        <v>2000</v>
      </c>
      <c r="J52" s="37">
        <v>1800</v>
      </c>
      <c r="K52" s="59">
        <v>1944</v>
      </c>
      <c r="L52" s="59">
        <v>1760</v>
      </c>
      <c r="M52" s="59">
        <v>1496</v>
      </c>
      <c r="N52" s="41">
        <v>1950</v>
      </c>
      <c r="O52" s="41">
        <v>1760</v>
      </c>
      <c r="P52" s="41">
        <v>1500</v>
      </c>
      <c r="Q52" s="30" t="s">
        <v>42</v>
      </c>
      <c r="R52" s="30" t="s">
        <v>43</v>
      </c>
      <c r="S52" s="76">
        <v>0.2</v>
      </c>
      <c r="T52" s="36" t="s">
        <v>44</v>
      </c>
      <c r="U52" s="31" t="s">
        <v>270</v>
      </c>
      <c r="V52" s="30" t="s">
        <v>271</v>
      </c>
      <c r="W52" s="30">
        <v>320600010</v>
      </c>
      <c r="X52" s="30" t="s">
        <v>272</v>
      </c>
      <c r="Y52" s="30"/>
      <c r="Z52" s="30"/>
      <c r="AA52" s="30" t="s">
        <v>40</v>
      </c>
      <c r="AB52" s="30" t="s">
        <v>43</v>
      </c>
      <c r="AC52" s="51">
        <v>2700</v>
      </c>
      <c r="AD52" s="51">
        <v>2430</v>
      </c>
      <c r="AE52" s="57">
        <v>2430</v>
      </c>
      <c r="AF52" s="57">
        <v>2200</v>
      </c>
      <c r="AG52" s="57">
        <v>1870</v>
      </c>
      <c r="AH52" s="82" t="s">
        <v>42</v>
      </c>
      <c r="AI52" s="82" t="s">
        <v>43</v>
      </c>
      <c r="AJ52" s="76">
        <v>0.2</v>
      </c>
    </row>
    <row r="53" s="17" customFormat="1" ht="51" customHeight="1" spans="1:36">
      <c r="A53" s="29"/>
      <c r="B53" s="30"/>
      <c r="C53" s="28" t="s">
        <v>266</v>
      </c>
      <c r="D53" s="30"/>
      <c r="E53" s="31"/>
      <c r="F53" s="31"/>
      <c r="G53" s="30"/>
      <c r="H53" s="31"/>
      <c r="I53" s="37"/>
      <c r="J53" s="37"/>
      <c r="K53" s="59"/>
      <c r="L53" s="59"/>
      <c r="M53" s="59"/>
      <c r="N53" s="41"/>
      <c r="O53" s="41"/>
      <c r="P53" s="41"/>
      <c r="Q53" s="30"/>
      <c r="R53" s="30"/>
      <c r="S53" s="76"/>
      <c r="T53" s="36"/>
      <c r="U53" s="31"/>
      <c r="V53" s="46" t="s">
        <v>273</v>
      </c>
      <c r="W53" s="46">
        <v>32060001001</v>
      </c>
      <c r="X53" s="48" t="s">
        <v>274</v>
      </c>
      <c r="Y53" s="46"/>
      <c r="Z53" s="46"/>
      <c r="AA53" s="46" t="s">
        <v>40</v>
      </c>
      <c r="AB53" s="30" t="s">
        <v>43</v>
      </c>
      <c r="AC53" s="52">
        <v>3510</v>
      </c>
      <c r="AD53" s="51">
        <v>3160</v>
      </c>
      <c r="AE53" s="57">
        <v>3160</v>
      </c>
      <c r="AF53" s="57">
        <v>2860</v>
      </c>
      <c r="AG53" s="57">
        <v>2430</v>
      </c>
      <c r="AH53" s="82" t="s">
        <v>42</v>
      </c>
      <c r="AI53" s="82" t="s">
        <v>43</v>
      </c>
      <c r="AJ53" s="76">
        <v>0.2</v>
      </c>
    </row>
    <row r="54" s="17" customFormat="1" ht="23" customHeight="1" spans="1:36">
      <c r="A54" s="29">
        <v>16</v>
      </c>
      <c r="B54" s="87" t="s">
        <v>275</v>
      </c>
      <c r="C54" s="28" t="s">
        <v>276</v>
      </c>
      <c r="D54" s="30" t="s">
        <v>37</v>
      </c>
      <c r="E54" s="31" t="s">
        <v>277</v>
      </c>
      <c r="F54" s="31" t="s">
        <v>278</v>
      </c>
      <c r="G54" s="30" t="s">
        <v>68</v>
      </c>
      <c r="H54" s="31" t="s">
        <v>279</v>
      </c>
      <c r="I54" s="37">
        <v>50</v>
      </c>
      <c r="J54" s="37">
        <v>45</v>
      </c>
      <c r="K54" s="59">
        <v>43.7106647537064</v>
      </c>
      <c r="L54" s="59">
        <v>64.2290748898678</v>
      </c>
      <c r="M54" s="59" t="e">
        <v>#DIV/0!</v>
      </c>
      <c r="N54" s="41">
        <v>48</v>
      </c>
      <c r="O54" s="41">
        <v>45</v>
      </c>
      <c r="P54" s="41">
        <v>40</v>
      </c>
      <c r="Q54" s="30" t="s">
        <v>42</v>
      </c>
      <c r="R54" s="30" t="s">
        <v>43</v>
      </c>
      <c r="S54" s="76" t="s">
        <v>43</v>
      </c>
      <c r="T54" s="36" t="s">
        <v>280</v>
      </c>
      <c r="U54" s="31" t="s">
        <v>281</v>
      </c>
      <c r="V54" s="30" t="s">
        <v>282</v>
      </c>
      <c r="W54" s="30">
        <v>310100013</v>
      </c>
      <c r="X54" s="30" t="s">
        <v>283</v>
      </c>
      <c r="Y54" s="30"/>
      <c r="Z54" s="30"/>
      <c r="AA54" s="30" t="s">
        <v>68</v>
      </c>
      <c r="AB54" s="30" t="s">
        <v>43</v>
      </c>
      <c r="AC54" s="51">
        <v>50</v>
      </c>
      <c r="AD54" s="51">
        <v>45</v>
      </c>
      <c r="AE54" s="57">
        <v>55</v>
      </c>
      <c r="AF54" s="57">
        <v>50</v>
      </c>
      <c r="AG54" s="57">
        <v>42.5</v>
      </c>
      <c r="AH54" s="82" t="s">
        <v>42</v>
      </c>
      <c r="AI54" s="82" t="s">
        <v>43</v>
      </c>
      <c r="AJ54" s="76" t="s">
        <v>43</v>
      </c>
    </row>
    <row r="55" s="17" customFormat="1" ht="23" customHeight="1" spans="1:36">
      <c r="A55" s="29"/>
      <c r="B55" s="30"/>
      <c r="C55" s="28" t="s">
        <v>276</v>
      </c>
      <c r="D55" s="30"/>
      <c r="E55" s="31"/>
      <c r="F55" s="31"/>
      <c r="G55" s="30"/>
      <c r="H55" s="31"/>
      <c r="I55" s="37"/>
      <c r="J55" s="37"/>
      <c r="K55" s="59"/>
      <c r="L55" s="59"/>
      <c r="M55" s="59"/>
      <c r="N55" s="41"/>
      <c r="O55" s="41"/>
      <c r="P55" s="41"/>
      <c r="Q55" s="30"/>
      <c r="R55" s="30"/>
      <c r="S55" s="76"/>
      <c r="T55" s="36"/>
      <c r="U55" s="31"/>
      <c r="V55" s="46" t="s">
        <v>284</v>
      </c>
      <c r="W55" s="46">
        <v>31010000102</v>
      </c>
      <c r="X55" s="48" t="s">
        <v>285</v>
      </c>
      <c r="Y55" s="46"/>
      <c r="Z55" s="46"/>
      <c r="AA55" s="46" t="s">
        <v>68</v>
      </c>
      <c r="AB55" s="30" t="s">
        <v>286</v>
      </c>
      <c r="AC55" s="52">
        <v>25</v>
      </c>
      <c r="AD55" s="51">
        <v>23</v>
      </c>
      <c r="AE55" s="57">
        <v>22</v>
      </c>
      <c r="AF55" s="57">
        <v>20</v>
      </c>
      <c r="AG55" s="57">
        <v>17</v>
      </c>
      <c r="AH55" s="82" t="s">
        <v>42</v>
      </c>
      <c r="AI55" s="82" t="s">
        <v>43</v>
      </c>
      <c r="AJ55" s="76" t="s">
        <v>43</v>
      </c>
    </row>
    <row r="56" s="17" customFormat="1" ht="23" customHeight="1" spans="1:36">
      <c r="A56" s="29"/>
      <c r="B56" s="30"/>
      <c r="C56" s="28" t="s">
        <v>276</v>
      </c>
      <c r="D56" s="30"/>
      <c r="E56" s="31"/>
      <c r="F56" s="31"/>
      <c r="G56" s="30"/>
      <c r="H56" s="31"/>
      <c r="I56" s="37"/>
      <c r="J56" s="37"/>
      <c r="K56" s="59"/>
      <c r="L56" s="59"/>
      <c r="M56" s="59"/>
      <c r="N56" s="41"/>
      <c r="O56" s="41"/>
      <c r="P56" s="41"/>
      <c r="Q56" s="30"/>
      <c r="R56" s="30"/>
      <c r="S56" s="76"/>
      <c r="T56" s="36"/>
      <c r="U56" s="31"/>
      <c r="V56" s="30" t="s">
        <v>287</v>
      </c>
      <c r="W56" s="30">
        <v>31010000902</v>
      </c>
      <c r="X56" s="30" t="s">
        <v>288</v>
      </c>
      <c r="Y56" s="30"/>
      <c r="Z56" s="30"/>
      <c r="AA56" s="30" t="s">
        <v>68</v>
      </c>
      <c r="AB56" s="30" t="s">
        <v>286</v>
      </c>
      <c r="AC56" s="51">
        <v>22</v>
      </c>
      <c r="AD56" s="51">
        <v>20</v>
      </c>
      <c r="AE56" s="57">
        <v>22</v>
      </c>
      <c r="AF56" s="57">
        <v>20</v>
      </c>
      <c r="AG56" s="57">
        <v>17</v>
      </c>
      <c r="AH56" s="82" t="s">
        <v>42</v>
      </c>
      <c r="AI56" s="82" t="s">
        <v>43</v>
      </c>
      <c r="AJ56" s="76" t="s">
        <v>43</v>
      </c>
    </row>
    <row r="57" s="17" customFormat="1" ht="23" customHeight="1" spans="1:36">
      <c r="A57" s="29"/>
      <c r="B57" s="30"/>
      <c r="C57" s="28" t="s">
        <v>276</v>
      </c>
      <c r="D57" s="30"/>
      <c r="E57" s="31"/>
      <c r="F57" s="31"/>
      <c r="G57" s="30"/>
      <c r="H57" s="31"/>
      <c r="I57" s="37"/>
      <c r="J57" s="37"/>
      <c r="K57" s="59"/>
      <c r="L57" s="59"/>
      <c r="M57" s="59"/>
      <c r="N57" s="41"/>
      <c r="O57" s="41"/>
      <c r="P57" s="41"/>
      <c r="Q57" s="30"/>
      <c r="R57" s="30"/>
      <c r="S57" s="76"/>
      <c r="T57" s="36"/>
      <c r="U57" s="31"/>
      <c r="V57" s="46" t="s">
        <v>289</v>
      </c>
      <c r="W57" s="46">
        <v>330202023</v>
      </c>
      <c r="X57" s="48" t="s">
        <v>290</v>
      </c>
      <c r="Y57" s="46" t="s">
        <v>291</v>
      </c>
      <c r="Z57" s="46"/>
      <c r="AA57" s="46" t="s">
        <v>292</v>
      </c>
      <c r="AB57" s="30" t="s">
        <v>43</v>
      </c>
      <c r="AC57" s="52">
        <v>100</v>
      </c>
      <c r="AD57" s="51">
        <v>90</v>
      </c>
      <c r="AE57" s="57">
        <v>100</v>
      </c>
      <c r="AF57" s="57">
        <v>100</v>
      </c>
      <c r="AG57" s="57">
        <v>85</v>
      </c>
      <c r="AH57" s="82" t="s">
        <v>42</v>
      </c>
      <c r="AI57" s="82" t="s">
        <v>43</v>
      </c>
      <c r="AJ57" s="76" t="s">
        <v>43</v>
      </c>
    </row>
    <row r="58" s="17" customFormat="1" ht="37" customHeight="1" spans="1:36">
      <c r="A58" s="30" t="s">
        <v>225</v>
      </c>
      <c r="B58" s="87" t="s">
        <v>275</v>
      </c>
      <c r="C58" s="30" t="s">
        <v>293</v>
      </c>
      <c r="D58" s="30"/>
      <c r="E58" s="31" t="s">
        <v>43</v>
      </c>
      <c r="F58" s="31" t="s">
        <v>43</v>
      </c>
      <c r="G58" s="30" t="s">
        <v>68</v>
      </c>
      <c r="H58" s="31"/>
      <c r="I58" s="37">
        <v>5</v>
      </c>
      <c r="J58" s="37">
        <v>5</v>
      </c>
      <c r="K58" s="36">
        <v>5.5</v>
      </c>
      <c r="L58" s="36">
        <v>5</v>
      </c>
      <c r="M58" s="36">
        <v>4.3</v>
      </c>
      <c r="N58" s="41">
        <v>5</v>
      </c>
      <c r="O58" s="41">
        <v>4.8</v>
      </c>
      <c r="P58" s="41">
        <v>4.5</v>
      </c>
      <c r="Q58" s="30" t="s">
        <v>42</v>
      </c>
      <c r="R58" s="30" t="s">
        <v>43</v>
      </c>
      <c r="S58" s="76" t="s">
        <v>43</v>
      </c>
      <c r="T58" s="36"/>
      <c r="U58" s="31" t="s">
        <v>249</v>
      </c>
      <c r="V58" s="30" t="s">
        <v>294</v>
      </c>
      <c r="W58" s="30">
        <v>310100025</v>
      </c>
      <c r="X58" s="30" t="s">
        <v>295</v>
      </c>
      <c r="Y58" s="30"/>
      <c r="Z58" s="30"/>
      <c r="AA58" s="30" t="s">
        <v>68</v>
      </c>
      <c r="AB58" s="30" t="s">
        <v>43</v>
      </c>
      <c r="AC58" s="51">
        <v>5</v>
      </c>
      <c r="AD58" s="51">
        <v>5</v>
      </c>
      <c r="AE58" s="57">
        <v>5.5</v>
      </c>
      <c r="AF58" s="57">
        <v>5</v>
      </c>
      <c r="AG58" s="57">
        <v>4.3</v>
      </c>
      <c r="AH58" s="82" t="s">
        <v>42</v>
      </c>
      <c r="AI58" s="82" t="s">
        <v>43</v>
      </c>
      <c r="AJ58" s="76" t="s">
        <v>43</v>
      </c>
    </row>
    <row r="59" s="17" customFormat="1" ht="83" customHeight="1" spans="1:36">
      <c r="A59" s="29">
        <v>17</v>
      </c>
      <c r="B59" s="30" t="s">
        <v>296</v>
      </c>
      <c r="C59" s="30" t="s">
        <v>297</v>
      </c>
      <c r="D59" s="30" t="s">
        <v>298</v>
      </c>
      <c r="E59" s="31" t="s">
        <v>299</v>
      </c>
      <c r="F59" s="31" t="s">
        <v>300</v>
      </c>
      <c r="G59" s="30" t="s">
        <v>40</v>
      </c>
      <c r="H59" s="31" t="s">
        <v>301</v>
      </c>
      <c r="I59" s="37">
        <v>960</v>
      </c>
      <c r="J59" s="37">
        <v>864</v>
      </c>
      <c r="K59" s="36"/>
      <c r="L59" s="36"/>
      <c r="M59" s="36"/>
      <c r="N59" s="41">
        <v>870</v>
      </c>
      <c r="O59" s="41">
        <v>785</v>
      </c>
      <c r="P59" s="41">
        <v>670</v>
      </c>
      <c r="Q59" s="30" t="s">
        <v>100</v>
      </c>
      <c r="R59" s="30" t="s">
        <v>43</v>
      </c>
      <c r="S59" s="76" t="s">
        <v>43</v>
      </c>
      <c r="T59" s="36" t="s">
        <v>236</v>
      </c>
      <c r="U59" s="31" t="s">
        <v>237</v>
      </c>
      <c r="V59" s="30"/>
      <c r="W59" s="30"/>
      <c r="X59" s="30"/>
      <c r="Y59" s="30"/>
      <c r="Z59" s="30"/>
      <c r="AA59" s="30"/>
      <c r="AB59" s="30"/>
      <c r="AC59" s="51"/>
      <c r="AD59" s="51"/>
      <c r="AE59" s="57"/>
      <c r="AF59" s="57"/>
      <c r="AG59" s="57"/>
      <c r="AH59" s="82"/>
      <c r="AI59" s="82"/>
      <c r="AJ59" s="76"/>
    </row>
    <row r="60" s="18" customFormat="1" ht="30" customHeight="1" spans="1:36">
      <c r="A60" s="30">
        <v>18</v>
      </c>
      <c r="B60" s="30" t="s">
        <v>302</v>
      </c>
      <c r="C60" s="28" t="s">
        <v>303</v>
      </c>
      <c r="D60" s="30" t="s">
        <v>298</v>
      </c>
      <c r="E60" s="31" t="s">
        <v>304</v>
      </c>
      <c r="F60" s="31" t="s">
        <v>305</v>
      </c>
      <c r="G60" s="30" t="s">
        <v>40</v>
      </c>
      <c r="H60" s="31" t="s">
        <v>146</v>
      </c>
      <c r="I60" s="37">
        <v>100</v>
      </c>
      <c r="J60" s="37">
        <v>90</v>
      </c>
      <c r="K60" s="36">
        <v>90</v>
      </c>
      <c r="L60" s="36">
        <v>81</v>
      </c>
      <c r="M60" s="36">
        <v>68.9</v>
      </c>
      <c r="N60" s="41">
        <v>90</v>
      </c>
      <c r="O60" s="41">
        <v>81</v>
      </c>
      <c r="P60" s="41">
        <v>69</v>
      </c>
      <c r="Q60" s="30" t="s">
        <v>42</v>
      </c>
      <c r="R60" s="30" t="s">
        <v>43</v>
      </c>
      <c r="S60" s="76">
        <v>0.2</v>
      </c>
      <c r="T60" s="36" t="s">
        <v>153</v>
      </c>
      <c r="U60" s="31" t="s">
        <v>306</v>
      </c>
      <c r="V60" s="46" t="s">
        <v>307</v>
      </c>
      <c r="W60" s="46">
        <v>310100031</v>
      </c>
      <c r="X60" s="48" t="s">
        <v>308</v>
      </c>
      <c r="Y60" s="46"/>
      <c r="Z60" s="46"/>
      <c r="AA60" s="46" t="s">
        <v>40</v>
      </c>
      <c r="AB60" s="30" t="s">
        <v>43</v>
      </c>
      <c r="AC60" s="52"/>
      <c r="AD60" s="51" t="s">
        <v>43</v>
      </c>
      <c r="AE60" s="57" t="s">
        <v>43</v>
      </c>
      <c r="AF60" s="57" t="s">
        <v>43</v>
      </c>
      <c r="AG60" s="57" t="s">
        <v>43</v>
      </c>
      <c r="AH60" s="82" t="s">
        <v>43</v>
      </c>
      <c r="AI60" s="82" t="s">
        <v>43</v>
      </c>
      <c r="AJ60" s="76" t="s">
        <v>43</v>
      </c>
    </row>
    <row r="61" s="18" customFormat="1" ht="30" customHeight="1" spans="1:36">
      <c r="A61" s="30"/>
      <c r="B61" s="30"/>
      <c r="C61" s="28" t="s">
        <v>303</v>
      </c>
      <c r="D61" s="30"/>
      <c r="E61" s="31"/>
      <c r="F61" s="31"/>
      <c r="G61" s="30"/>
      <c r="H61" s="31"/>
      <c r="I61" s="37"/>
      <c r="J61" s="37"/>
      <c r="K61" s="36"/>
      <c r="L61" s="36"/>
      <c r="M61" s="36"/>
      <c r="N61" s="41"/>
      <c r="O61" s="41"/>
      <c r="P61" s="41"/>
      <c r="Q61" s="30"/>
      <c r="R61" s="30"/>
      <c r="S61" s="76"/>
      <c r="T61" s="36"/>
      <c r="U61" s="31"/>
      <c r="V61" s="46" t="s">
        <v>309</v>
      </c>
      <c r="W61" s="46">
        <v>340100030</v>
      </c>
      <c r="X61" s="48" t="s">
        <v>310</v>
      </c>
      <c r="Y61" s="50" t="s">
        <v>311</v>
      </c>
      <c r="Z61" s="46"/>
      <c r="AA61" s="46" t="s">
        <v>40</v>
      </c>
      <c r="AB61" s="30" t="s">
        <v>43</v>
      </c>
      <c r="AC61" s="56">
        <v>105</v>
      </c>
      <c r="AD61" s="51">
        <v>95</v>
      </c>
      <c r="AE61" s="57">
        <v>90</v>
      </c>
      <c r="AF61" s="57">
        <v>81</v>
      </c>
      <c r="AG61" s="57">
        <v>68.9</v>
      </c>
      <c r="AH61" s="82" t="s">
        <v>42</v>
      </c>
      <c r="AI61" s="82" t="s">
        <v>43</v>
      </c>
      <c r="AJ61" s="76">
        <v>0.2</v>
      </c>
    </row>
    <row r="62" s="17" customFormat="1" ht="63" customHeight="1" spans="1:36">
      <c r="A62" s="29">
        <v>19</v>
      </c>
      <c r="B62" s="30" t="s">
        <v>312</v>
      </c>
      <c r="C62" s="30" t="s">
        <v>313</v>
      </c>
      <c r="D62" s="30" t="s">
        <v>298</v>
      </c>
      <c r="E62" s="31" t="s">
        <v>314</v>
      </c>
      <c r="F62" s="31" t="s">
        <v>315</v>
      </c>
      <c r="G62" s="30" t="s">
        <v>40</v>
      </c>
      <c r="H62" s="31" t="s">
        <v>43</v>
      </c>
      <c r="I62" s="37">
        <v>150</v>
      </c>
      <c r="J62" s="37">
        <v>135</v>
      </c>
      <c r="K62" s="36"/>
      <c r="L62" s="36"/>
      <c r="M62" s="36"/>
      <c r="N62" s="41">
        <v>135</v>
      </c>
      <c r="O62" s="41">
        <v>122</v>
      </c>
      <c r="P62" s="41">
        <v>105</v>
      </c>
      <c r="Q62" s="30" t="s">
        <v>100</v>
      </c>
      <c r="R62" s="30" t="s">
        <v>43</v>
      </c>
      <c r="S62" s="76" t="s">
        <v>43</v>
      </c>
      <c r="T62" s="36" t="s">
        <v>236</v>
      </c>
      <c r="U62" s="31" t="s">
        <v>237</v>
      </c>
      <c r="V62" s="30"/>
      <c r="W62" s="30"/>
      <c r="X62" s="30"/>
      <c r="Y62" s="30"/>
      <c r="Z62" s="30"/>
      <c r="AA62" s="30"/>
      <c r="AB62" s="30"/>
      <c r="AC62" s="51"/>
      <c r="AD62" s="51"/>
      <c r="AE62" s="57"/>
      <c r="AF62" s="57"/>
      <c r="AG62" s="57"/>
      <c r="AH62" s="82"/>
      <c r="AI62" s="82"/>
      <c r="AJ62" s="76"/>
    </row>
    <row r="63" s="17" customFormat="1" ht="63" customHeight="1" spans="1:36">
      <c r="A63" s="29">
        <v>20</v>
      </c>
      <c r="B63" s="30" t="s">
        <v>316</v>
      </c>
      <c r="C63" s="30" t="s">
        <v>317</v>
      </c>
      <c r="D63" s="30" t="s">
        <v>298</v>
      </c>
      <c r="E63" s="31" t="s">
        <v>318</v>
      </c>
      <c r="F63" s="31" t="s">
        <v>319</v>
      </c>
      <c r="G63" s="30" t="s">
        <v>40</v>
      </c>
      <c r="H63" s="31" t="s">
        <v>320</v>
      </c>
      <c r="I63" s="37">
        <v>150</v>
      </c>
      <c r="J63" s="37">
        <v>135</v>
      </c>
      <c r="K63" s="36"/>
      <c r="L63" s="36"/>
      <c r="M63" s="36"/>
      <c r="N63" s="41">
        <v>135</v>
      </c>
      <c r="O63" s="41">
        <v>122</v>
      </c>
      <c r="P63" s="41">
        <v>105</v>
      </c>
      <c r="Q63" s="30" t="s">
        <v>100</v>
      </c>
      <c r="R63" s="30" t="s">
        <v>43</v>
      </c>
      <c r="S63" s="76" t="s">
        <v>43</v>
      </c>
      <c r="T63" s="36" t="s">
        <v>101</v>
      </c>
      <c r="U63" s="31" t="s">
        <v>321</v>
      </c>
      <c r="V63" s="30" t="s">
        <v>322</v>
      </c>
      <c r="W63" s="30" t="s">
        <v>323</v>
      </c>
      <c r="X63" s="30" t="s">
        <v>324</v>
      </c>
      <c r="Y63" s="30" t="s">
        <v>325</v>
      </c>
      <c r="Z63" s="30"/>
      <c r="AA63" s="30" t="s">
        <v>40</v>
      </c>
      <c r="AB63" s="30" t="s">
        <v>43</v>
      </c>
      <c r="AC63" s="51"/>
      <c r="AD63" s="51"/>
      <c r="AE63" s="57" t="s">
        <v>326</v>
      </c>
      <c r="AF63" s="57" t="s">
        <v>326</v>
      </c>
      <c r="AG63" s="57" t="s">
        <v>326</v>
      </c>
      <c r="AH63" s="82" t="s">
        <v>43</v>
      </c>
      <c r="AI63" s="82" t="s">
        <v>43</v>
      </c>
      <c r="AJ63" s="76" t="s">
        <v>43</v>
      </c>
    </row>
    <row r="64" s="17" customFormat="1" ht="27" customHeight="1" spans="1:36">
      <c r="A64" s="29">
        <v>21</v>
      </c>
      <c r="B64" s="30" t="s">
        <v>327</v>
      </c>
      <c r="C64" s="28" t="s">
        <v>328</v>
      </c>
      <c r="D64" s="30" t="s">
        <v>298</v>
      </c>
      <c r="E64" s="31" t="s">
        <v>329</v>
      </c>
      <c r="F64" s="31" t="s">
        <v>330</v>
      </c>
      <c r="G64" s="30" t="s">
        <v>40</v>
      </c>
      <c r="H64" s="31" t="s">
        <v>146</v>
      </c>
      <c r="I64" s="37">
        <v>62</v>
      </c>
      <c r="J64" s="37">
        <v>56</v>
      </c>
      <c r="K64" s="59">
        <v>59.8021859106157</v>
      </c>
      <c r="L64" s="59">
        <v>53.7701926326462</v>
      </c>
      <c r="M64" s="59">
        <v>46.8049751243781</v>
      </c>
      <c r="N64" s="41">
        <v>60</v>
      </c>
      <c r="O64" s="41">
        <f>N64*0.9</f>
        <v>54</v>
      </c>
      <c r="P64" s="41">
        <v>47</v>
      </c>
      <c r="Q64" s="30" t="s">
        <v>42</v>
      </c>
      <c r="R64" s="30" t="s">
        <v>43</v>
      </c>
      <c r="S64" s="76" t="s">
        <v>43</v>
      </c>
      <c r="T64" s="36" t="s">
        <v>44</v>
      </c>
      <c r="U64" s="31" t="s">
        <v>207</v>
      </c>
      <c r="V64" s="30" t="s">
        <v>331</v>
      </c>
      <c r="W64" s="30">
        <v>310100027</v>
      </c>
      <c r="X64" s="30" t="s">
        <v>332</v>
      </c>
      <c r="Y64" s="30"/>
      <c r="Z64" s="30"/>
      <c r="AA64" s="30" t="s">
        <v>40</v>
      </c>
      <c r="AB64" s="30" t="s">
        <v>43</v>
      </c>
      <c r="AC64" s="51">
        <v>40</v>
      </c>
      <c r="AD64" s="51">
        <v>36</v>
      </c>
      <c r="AE64" s="57">
        <v>38</v>
      </c>
      <c r="AF64" s="57">
        <v>28</v>
      </c>
      <c r="AG64" s="57">
        <v>23.8</v>
      </c>
      <c r="AH64" s="82" t="s">
        <v>42</v>
      </c>
      <c r="AI64" s="82" t="s">
        <v>43</v>
      </c>
      <c r="AJ64" s="76" t="s">
        <v>43</v>
      </c>
    </row>
    <row r="65" s="17" customFormat="1" ht="27" customHeight="1" spans="1:36">
      <c r="A65" s="29"/>
      <c r="B65" s="30"/>
      <c r="C65" s="28" t="s">
        <v>328</v>
      </c>
      <c r="D65" s="30"/>
      <c r="E65" s="31"/>
      <c r="F65" s="31"/>
      <c r="G65" s="30"/>
      <c r="H65" s="31"/>
      <c r="I65" s="37"/>
      <c r="J65" s="37"/>
      <c r="K65" s="59"/>
      <c r="L65" s="59"/>
      <c r="M65" s="59"/>
      <c r="N65" s="41"/>
      <c r="O65" s="41"/>
      <c r="P65" s="41"/>
      <c r="Q65" s="30"/>
      <c r="R65" s="30"/>
      <c r="S65" s="76"/>
      <c r="T65" s="36"/>
      <c r="U65" s="31"/>
      <c r="V65" s="30" t="s">
        <v>333</v>
      </c>
      <c r="W65" s="30">
        <v>310100033</v>
      </c>
      <c r="X65" s="30" t="s">
        <v>334</v>
      </c>
      <c r="Y65" s="30" t="s">
        <v>335</v>
      </c>
      <c r="Z65" s="30"/>
      <c r="AA65" s="30" t="s">
        <v>40</v>
      </c>
      <c r="AB65" s="30" t="s">
        <v>336</v>
      </c>
      <c r="AC65" s="51">
        <v>390</v>
      </c>
      <c r="AD65" s="51">
        <v>350</v>
      </c>
      <c r="AE65" s="57">
        <v>330</v>
      </c>
      <c r="AF65" s="57">
        <v>300</v>
      </c>
      <c r="AG65" s="57">
        <v>255</v>
      </c>
      <c r="AH65" s="82" t="s">
        <v>42</v>
      </c>
      <c r="AI65" s="82" t="s">
        <v>43</v>
      </c>
      <c r="AJ65" s="76" t="s">
        <v>43</v>
      </c>
    </row>
    <row r="66" s="17" customFormat="1" ht="27" customHeight="1" spans="1:36">
      <c r="A66" s="29"/>
      <c r="B66" s="30"/>
      <c r="C66" s="28" t="s">
        <v>328</v>
      </c>
      <c r="D66" s="30"/>
      <c r="E66" s="31"/>
      <c r="F66" s="31"/>
      <c r="G66" s="30"/>
      <c r="H66" s="31"/>
      <c r="I66" s="37"/>
      <c r="J66" s="37"/>
      <c r="K66" s="59"/>
      <c r="L66" s="59"/>
      <c r="M66" s="59"/>
      <c r="N66" s="41"/>
      <c r="O66" s="41"/>
      <c r="P66" s="41"/>
      <c r="Q66" s="30"/>
      <c r="R66" s="30"/>
      <c r="S66" s="76"/>
      <c r="T66" s="36"/>
      <c r="U66" s="31"/>
      <c r="V66" s="30" t="s">
        <v>337</v>
      </c>
      <c r="W66" s="30">
        <v>310100034</v>
      </c>
      <c r="X66" s="30" t="s">
        <v>338</v>
      </c>
      <c r="Y66" s="30" t="s">
        <v>339</v>
      </c>
      <c r="Z66" s="30"/>
      <c r="AA66" s="30" t="s">
        <v>40</v>
      </c>
      <c r="AB66" s="30" t="s">
        <v>340</v>
      </c>
      <c r="AC66" s="51">
        <v>300</v>
      </c>
      <c r="AD66" s="51">
        <v>270</v>
      </c>
      <c r="AE66" s="57">
        <v>330</v>
      </c>
      <c r="AF66" s="57">
        <v>300</v>
      </c>
      <c r="AG66" s="57">
        <v>255</v>
      </c>
      <c r="AH66" s="82" t="s">
        <v>42</v>
      </c>
      <c r="AI66" s="82" t="s">
        <v>43</v>
      </c>
      <c r="AJ66" s="76" t="s">
        <v>43</v>
      </c>
    </row>
    <row r="67" s="17" customFormat="1" ht="27" customHeight="1" spans="1:36">
      <c r="A67" s="29"/>
      <c r="B67" s="30"/>
      <c r="C67" s="28" t="s">
        <v>328</v>
      </c>
      <c r="D67" s="30"/>
      <c r="E67" s="31"/>
      <c r="F67" s="31"/>
      <c r="G67" s="30"/>
      <c r="H67" s="31"/>
      <c r="I67" s="37"/>
      <c r="J67" s="37"/>
      <c r="K67" s="59"/>
      <c r="L67" s="59"/>
      <c r="M67" s="59"/>
      <c r="N67" s="41"/>
      <c r="O67" s="41"/>
      <c r="P67" s="41"/>
      <c r="Q67" s="30"/>
      <c r="R67" s="30"/>
      <c r="S67" s="76"/>
      <c r="T67" s="36"/>
      <c r="U67" s="31"/>
      <c r="V67" s="46" t="s">
        <v>341</v>
      </c>
      <c r="W67" s="46">
        <v>31010003401</v>
      </c>
      <c r="X67" s="48" t="s">
        <v>342</v>
      </c>
      <c r="Y67" s="46"/>
      <c r="Z67" s="46"/>
      <c r="AA67" s="46" t="s">
        <v>40</v>
      </c>
      <c r="AB67" s="30" t="s">
        <v>343</v>
      </c>
      <c r="AC67" s="52">
        <v>500</v>
      </c>
      <c r="AD67" s="51">
        <v>450</v>
      </c>
      <c r="AE67" s="57">
        <v>495</v>
      </c>
      <c r="AF67" s="57">
        <v>450</v>
      </c>
      <c r="AG67" s="57">
        <v>382.5</v>
      </c>
      <c r="AH67" s="82" t="s">
        <v>42</v>
      </c>
      <c r="AI67" s="82" t="s">
        <v>43</v>
      </c>
      <c r="AJ67" s="76" t="s">
        <v>43</v>
      </c>
    </row>
    <row r="68" s="17" customFormat="1" customHeight="1" spans="1:36">
      <c r="A68" s="29" t="s">
        <v>70</v>
      </c>
      <c r="B68" s="30" t="s">
        <v>344</v>
      </c>
      <c r="C68" s="28" t="s">
        <v>345</v>
      </c>
      <c r="D68" s="30" t="s">
        <v>298</v>
      </c>
      <c r="E68" s="31" t="s">
        <v>43</v>
      </c>
      <c r="F68" s="31" t="s">
        <v>43</v>
      </c>
      <c r="G68" s="30" t="s">
        <v>40</v>
      </c>
      <c r="H68" s="31" t="s">
        <v>146</v>
      </c>
      <c r="I68" s="37">
        <v>365</v>
      </c>
      <c r="J68" s="37">
        <v>329</v>
      </c>
      <c r="K68" s="36">
        <v>350</v>
      </c>
      <c r="L68" s="36">
        <v>315</v>
      </c>
      <c r="M68" s="36"/>
      <c r="N68" s="41">
        <v>350</v>
      </c>
      <c r="O68" s="41">
        <v>315</v>
      </c>
      <c r="P68" s="41">
        <v>270</v>
      </c>
      <c r="Q68" s="30" t="s">
        <v>42</v>
      </c>
      <c r="R68" s="30" t="s">
        <v>43</v>
      </c>
      <c r="S68" s="76" t="s">
        <v>43</v>
      </c>
      <c r="T68" s="36"/>
      <c r="U68" s="31" t="s">
        <v>346</v>
      </c>
      <c r="V68" s="30" t="s">
        <v>347</v>
      </c>
      <c r="W68" s="30">
        <v>310100028</v>
      </c>
      <c r="X68" s="30" t="s">
        <v>348</v>
      </c>
      <c r="Y68" s="30" t="s">
        <v>349</v>
      </c>
      <c r="Z68" s="30"/>
      <c r="AA68" s="30" t="s">
        <v>40</v>
      </c>
      <c r="AB68" s="30" t="s">
        <v>350</v>
      </c>
      <c r="AC68" s="51">
        <v>390</v>
      </c>
      <c r="AD68" s="51">
        <v>350</v>
      </c>
      <c r="AE68" s="57">
        <v>350</v>
      </c>
      <c r="AF68" s="57">
        <v>315</v>
      </c>
      <c r="AG68" s="57">
        <v>265</v>
      </c>
      <c r="AH68" s="82" t="s">
        <v>42</v>
      </c>
      <c r="AI68" s="82" t="s">
        <v>43</v>
      </c>
      <c r="AJ68" s="76" t="s">
        <v>43</v>
      </c>
    </row>
    <row r="69" s="17" customFormat="1" customHeight="1" spans="1:36">
      <c r="A69" s="29"/>
      <c r="B69" s="30"/>
      <c r="C69" s="28" t="s">
        <v>345</v>
      </c>
      <c r="D69" s="30"/>
      <c r="E69" s="31"/>
      <c r="F69" s="31"/>
      <c r="G69" s="30"/>
      <c r="H69" s="31"/>
      <c r="I69" s="37"/>
      <c r="J69" s="37"/>
      <c r="K69" s="36"/>
      <c r="L69" s="36"/>
      <c r="M69" s="36"/>
      <c r="N69" s="41"/>
      <c r="O69" s="41"/>
      <c r="P69" s="41"/>
      <c r="Q69" s="30"/>
      <c r="R69" s="30"/>
      <c r="S69" s="76"/>
      <c r="T69" s="36"/>
      <c r="U69" s="31"/>
      <c r="V69" s="46" t="s">
        <v>351</v>
      </c>
      <c r="W69" s="46">
        <v>31010002801</v>
      </c>
      <c r="X69" s="48" t="s">
        <v>352</v>
      </c>
      <c r="Y69" s="46"/>
      <c r="Z69" s="46"/>
      <c r="AA69" s="46" t="s">
        <v>40</v>
      </c>
      <c r="AB69" s="30" t="s">
        <v>43</v>
      </c>
      <c r="AC69" s="52">
        <v>505</v>
      </c>
      <c r="AD69" s="51">
        <v>455</v>
      </c>
      <c r="AE69" s="57">
        <v>455</v>
      </c>
      <c r="AF69" s="57">
        <v>410</v>
      </c>
      <c r="AG69" s="57">
        <v>345</v>
      </c>
      <c r="AH69" s="82" t="s">
        <v>42</v>
      </c>
      <c r="AI69" s="82" t="s">
        <v>43</v>
      </c>
      <c r="AJ69" s="76" t="s">
        <v>43</v>
      </c>
    </row>
    <row r="70" s="17" customFormat="1" customHeight="1" spans="1:36">
      <c r="A70" s="29"/>
      <c r="B70" s="30"/>
      <c r="C70" s="28" t="s">
        <v>345</v>
      </c>
      <c r="D70" s="30"/>
      <c r="E70" s="31"/>
      <c r="F70" s="31"/>
      <c r="G70" s="30"/>
      <c r="H70" s="31"/>
      <c r="I70" s="37"/>
      <c r="J70" s="37"/>
      <c r="K70" s="36"/>
      <c r="L70" s="36"/>
      <c r="M70" s="36"/>
      <c r="N70" s="41"/>
      <c r="O70" s="41"/>
      <c r="P70" s="41"/>
      <c r="Q70" s="30"/>
      <c r="R70" s="30"/>
      <c r="S70" s="76"/>
      <c r="T70" s="36"/>
      <c r="U70" s="31"/>
      <c r="V70" s="30" t="s">
        <v>353</v>
      </c>
      <c r="W70" s="30">
        <v>310100029</v>
      </c>
      <c r="X70" s="30" t="s">
        <v>354</v>
      </c>
      <c r="Y70" s="30" t="s">
        <v>355</v>
      </c>
      <c r="Z70" s="30"/>
      <c r="AA70" s="30" t="s">
        <v>40</v>
      </c>
      <c r="AB70" s="30" t="s">
        <v>350</v>
      </c>
      <c r="AC70" s="51">
        <v>390</v>
      </c>
      <c r="AD70" s="51">
        <v>350</v>
      </c>
      <c r="AE70" s="57">
        <v>350</v>
      </c>
      <c r="AF70" s="57">
        <v>315</v>
      </c>
      <c r="AG70" s="57">
        <v>265</v>
      </c>
      <c r="AH70" s="82" t="s">
        <v>42</v>
      </c>
      <c r="AI70" s="82" t="s">
        <v>43</v>
      </c>
      <c r="AJ70" s="76" t="s">
        <v>43</v>
      </c>
    </row>
    <row r="71" s="17" customFormat="1" customHeight="1" spans="1:36">
      <c r="A71" s="29"/>
      <c r="B71" s="30"/>
      <c r="C71" s="28" t="s">
        <v>345</v>
      </c>
      <c r="D71" s="30"/>
      <c r="E71" s="31"/>
      <c r="F71" s="31"/>
      <c r="G71" s="30"/>
      <c r="H71" s="31"/>
      <c r="I71" s="37"/>
      <c r="J71" s="37"/>
      <c r="K71" s="36"/>
      <c r="L71" s="36"/>
      <c r="M71" s="36"/>
      <c r="N71" s="41"/>
      <c r="O71" s="41"/>
      <c r="P71" s="41"/>
      <c r="Q71" s="30"/>
      <c r="R71" s="30"/>
      <c r="S71" s="76"/>
      <c r="T71" s="36"/>
      <c r="U71" s="31"/>
      <c r="V71" s="30" t="s">
        <v>356</v>
      </c>
      <c r="W71" s="30">
        <v>31010002901</v>
      </c>
      <c r="X71" s="30" t="s">
        <v>357</v>
      </c>
      <c r="Y71" s="30"/>
      <c r="Z71" s="30"/>
      <c r="AA71" s="30" t="s">
        <v>40</v>
      </c>
      <c r="AB71" s="30" t="s">
        <v>43</v>
      </c>
      <c r="AC71" s="51">
        <v>505</v>
      </c>
      <c r="AD71" s="51">
        <v>455</v>
      </c>
      <c r="AE71" s="57">
        <v>455</v>
      </c>
      <c r="AF71" s="57">
        <v>410</v>
      </c>
      <c r="AG71" s="57">
        <v>345</v>
      </c>
      <c r="AH71" s="82" t="s">
        <v>42</v>
      </c>
      <c r="AI71" s="82" t="s">
        <v>43</v>
      </c>
      <c r="AJ71" s="76" t="s">
        <v>43</v>
      </c>
    </row>
    <row r="72" s="17" customFormat="1" customHeight="1" spans="1:36">
      <c r="A72" s="29"/>
      <c r="B72" s="30"/>
      <c r="C72" s="28" t="s">
        <v>345</v>
      </c>
      <c r="D72" s="30"/>
      <c r="E72" s="31"/>
      <c r="F72" s="31"/>
      <c r="G72" s="30"/>
      <c r="H72" s="31"/>
      <c r="I72" s="37"/>
      <c r="J72" s="37"/>
      <c r="K72" s="36"/>
      <c r="L72" s="36"/>
      <c r="M72" s="36"/>
      <c r="N72" s="41"/>
      <c r="O72" s="41"/>
      <c r="P72" s="41"/>
      <c r="Q72" s="30"/>
      <c r="R72" s="30"/>
      <c r="S72" s="76"/>
      <c r="T72" s="36"/>
      <c r="U72" s="31"/>
      <c r="V72" s="30" t="s">
        <v>358</v>
      </c>
      <c r="W72" s="30">
        <v>310100030</v>
      </c>
      <c r="X72" s="30" t="s">
        <v>359</v>
      </c>
      <c r="Y72" s="30" t="s">
        <v>349</v>
      </c>
      <c r="Z72" s="30"/>
      <c r="AA72" s="30" t="s">
        <v>40</v>
      </c>
      <c r="AB72" s="30" t="s">
        <v>350</v>
      </c>
      <c r="AC72" s="51">
        <v>390</v>
      </c>
      <c r="AD72" s="51">
        <v>350</v>
      </c>
      <c r="AE72" s="57">
        <v>350</v>
      </c>
      <c r="AF72" s="57">
        <v>315</v>
      </c>
      <c r="AG72" s="57">
        <v>265</v>
      </c>
      <c r="AH72" s="82" t="s">
        <v>42</v>
      </c>
      <c r="AI72" s="82" t="s">
        <v>43</v>
      </c>
      <c r="AJ72" s="76" t="s">
        <v>43</v>
      </c>
    </row>
    <row r="73" s="17" customFormat="1" customHeight="1" spans="1:36">
      <c r="A73" s="29"/>
      <c r="B73" s="30"/>
      <c r="C73" s="28" t="s">
        <v>345</v>
      </c>
      <c r="D73" s="30"/>
      <c r="E73" s="31"/>
      <c r="F73" s="31"/>
      <c r="G73" s="30"/>
      <c r="H73" s="31"/>
      <c r="I73" s="37"/>
      <c r="J73" s="37"/>
      <c r="K73" s="36"/>
      <c r="L73" s="36"/>
      <c r="M73" s="36"/>
      <c r="N73" s="41"/>
      <c r="O73" s="41"/>
      <c r="P73" s="41"/>
      <c r="Q73" s="30"/>
      <c r="R73" s="30"/>
      <c r="S73" s="76"/>
      <c r="T73" s="36"/>
      <c r="U73" s="31"/>
      <c r="V73" s="46" t="s">
        <v>360</v>
      </c>
      <c r="W73" s="46">
        <v>31010003001</v>
      </c>
      <c r="X73" s="48" t="s">
        <v>361</v>
      </c>
      <c r="Y73" s="46"/>
      <c r="Z73" s="46"/>
      <c r="AA73" s="46" t="s">
        <v>40</v>
      </c>
      <c r="AB73" s="30" t="s">
        <v>43</v>
      </c>
      <c r="AC73" s="52">
        <v>505</v>
      </c>
      <c r="AD73" s="51">
        <v>455</v>
      </c>
      <c r="AE73" s="57">
        <v>455</v>
      </c>
      <c r="AF73" s="57">
        <v>410</v>
      </c>
      <c r="AG73" s="57">
        <v>345</v>
      </c>
      <c r="AH73" s="82" t="s">
        <v>42</v>
      </c>
      <c r="AI73" s="82" t="s">
        <v>43</v>
      </c>
      <c r="AJ73" s="76" t="s">
        <v>43</v>
      </c>
    </row>
    <row r="74" s="17" customFormat="1" customHeight="1" spans="1:36">
      <c r="A74" s="29"/>
      <c r="B74" s="30"/>
      <c r="C74" s="28" t="s">
        <v>345</v>
      </c>
      <c r="D74" s="30"/>
      <c r="E74" s="31"/>
      <c r="F74" s="31"/>
      <c r="G74" s="30"/>
      <c r="H74" s="31"/>
      <c r="I74" s="37"/>
      <c r="J74" s="37"/>
      <c r="K74" s="36"/>
      <c r="L74" s="36"/>
      <c r="M74" s="36"/>
      <c r="N74" s="41"/>
      <c r="O74" s="41"/>
      <c r="P74" s="41"/>
      <c r="Q74" s="30"/>
      <c r="R74" s="30"/>
      <c r="S74" s="76"/>
      <c r="T74" s="36"/>
      <c r="U74" s="31"/>
      <c r="V74" s="46" t="s">
        <v>362</v>
      </c>
      <c r="W74" s="46">
        <v>31010003301</v>
      </c>
      <c r="X74" s="48" t="s">
        <v>363</v>
      </c>
      <c r="Y74" s="46"/>
      <c r="Z74" s="46"/>
      <c r="AA74" s="46" t="s">
        <v>40</v>
      </c>
      <c r="AB74" s="30" t="s">
        <v>364</v>
      </c>
      <c r="AC74" s="52">
        <v>230</v>
      </c>
      <c r="AD74" s="51">
        <v>205</v>
      </c>
      <c r="AE74" s="57">
        <v>198</v>
      </c>
      <c r="AF74" s="57">
        <v>180</v>
      </c>
      <c r="AG74" s="57">
        <v>153</v>
      </c>
      <c r="AH74" s="82" t="s">
        <v>42</v>
      </c>
      <c r="AI74" s="82" t="s">
        <v>43</v>
      </c>
      <c r="AJ74" s="76" t="s">
        <v>43</v>
      </c>
    </row>
    <row r="75" s="17" customFormat="1" customHeight="1" spans="1:36">
      <c r="A75" s="29"/>
      <c r="B75" s="30"/>
      <c r="C75" s="28" t="s">
        <v>345</v>
      </c>
      <c r="D75" s="30"/>
      <c r="E75" s="31"/>
      <c r="F75" s="31"/>
      <c r="G75" s="30"/>
      <c r="H75" s="31"/>
      <c r="I75" s="37"/>
      <c r="J75" s="37"/>
      <c r="K75" s="36"/>
      <c r="L75" s="36"/>
      <c r="M75" s="36"/>
      <c r="N75" s="41"/>
      <c r="O75" s="41"/>
      <c r="P75" s="41"/>
      <c r="Q75" s="30"/>
      <c r="R75" s="30"/>
      <c r="S75" s="76"/>
      <c r="T75" s="36"/>
      <c r="U75" s="31"/>
      <c r="V75" s="46" t="s">
        <v>365</v>
      </c>
      <c r="W75" s="46">
        <v>31010003302</v>
      </c>
      <c r="X75" s="48" t="s">
        <v>366</v>
      </c>
      <c r="Y75" s="46"/>
      <c r="Z75" s="46"/>
      <c r="AA75" s="46" t="s">
        <v>40</v>
      </c>
      <c r="AB75" s="30" t="s">
        <v>367</v>
      </c>
      <c r="AC75" s="52">
        <v>470</v>
      </c>
      <c r="AD75" s="51">
        <v>425</v>
      </c>
      <c r="AE75" s="57">
        <v>396</v>
      </c>
      <c r="AF75" s="57">
        <v>360</v>
      </c>
      <c r="AG75" s="57">
        <v>306</v>
      </c>
      <c r="AH75" s="82" t="s">
        <v>42</v>
      </c>
      <c r="AI75" s="82" t="s">
        <v>43</v>
      </c>
      <c r="AJ75" s="76" t="s">
        <v>43</v>
      </c>
    </row>
    <row r="76" s="17" customFormat="1" customHeight="1" spans="1:36">
      <c r="A76" s="29"/>
      <c r="B76" s="30"/>
      <c r="C76" s="28" t="s">
        <v>345</v>
      </c>
      <c r="D76" s="30"/>
      <c r="E76" s="31"/>
      <c r="F76" s="31"/>
      <c r="G76" s="30"/>
      <c r="H76" s="31"/>
      <c r="I76" s="37"/>
      <c r="J76" s="37"/>
      <c r="K76" s="36"/>
      <c r="L76" s="36"/>
      <c r="M76" s="36"/>
      <c r="N76" s="41"/>
      <c r="O76" s="41"/>
      <c r="P76" s="41"/>
      <c r="Q76" s="30"/>
      <c r="R76" s="30"/>
      <c r="S76" s="76"/>
      <c r="T76" s="36"/>
      <c r="U76" s="31"/>
      <c r="V76" s="46" t="s">
        <v>368</v>
      </c>
      <c r="W76" s="46">
        <v>31010003303</v>
      </c>
      <c r="X76" s="48" t="s">
        <v>369</v>
      </c>
      <c r="Y76" s="46"/>
      <c r="Z76" s="46"/>
      <c r="AA76" s="46" t="s">
        <v>40</v>
      </c>
      <c r="AB76" s="30" t="s">
        <v>370</v>
      </c>
      <c r="AC76" s="52">
        <v>700</v>
      </c>
      <c r="AD76" s="51">
        <v>630</v>
      </c>
      <c r="AE76" s="57">
        <v>594</v>
      </c>
      <c r="AF76" s="57">
        <v>540</v>
      </c>
      <c r="AG76" s="57">
        <v>459</v>
      </c>
      <c r="AH76" s="82" t="s">
        <v>42</v>
      </c>
      <c r="AI76" s="82" t="s">
        <v>43</v>
      </c>
      <c r="AJ76" s="76" t="s">
        <v>43</v>
      </c>
    </row>
    <row r="77" s="17" customFormat="1" customHeight="1" spans="1:36">
      <c r="A77" s="29"/>
      <c r="B77" s="30"/>
      <c r="C77" s="28" t="s">
        <v>345</v>
      </c>
      <c r="D77" s="30"/>
      <c r="E77" s="31"/>
      <c r="F77" s="31"/>
      <c r="G77" s="30"/>
      <c r="H77" s="31"/>
      <c r="I77" s="37"/>
      <c r="J77" s="37"/>
      <c r="K77" s="36"/>
      <c r="L77" s="36"/>
      <c r="M77" s="36"/>
      <c r="N77" s="41"/>
      <c r="O77" s="41"/>
      <c r="P77" s="41"/>
      <c r="Q77" s="30"/>
      <c r="R77" s="30"/>
      <c r="S77" s="76"/>
      <c r="T77" s="36"/>
      <c r="U77" s="31"/>
      <c r="V77" s="30" t="s">
        <v>371</v>
      </c>
      <c r="W77" s="30">
        <v>330202004</v>
      </c>
      <c r="X77" s="30" t="s">
        <v>372</v>
      </c>
      <c r="Y77" s="30"/>
      <c r="Z77" s="30"/>
      <c r="AA77" s="30" t="s">
        <v>373</v>
      </c>
      <c r="AB77" s="30" t="s">
        <v>43</v>
      </c>
      <c r="AC77" s="51">
        <v>675</v>
      </c>
      <c r="AD77" s="51">
        <v>610</v>
      </c>
      <c r="AE77" s="57">
        <v>625</v>
      </c>
      <c r="AF77" s="57">
        <v>600</v>
      </c>
      <c r="AG77" s="57">
        <v>510</v>
      </c>
      <c r="AH77" s="82" t="s">
        <v>42</v>
      </c>
      <c r="AI77" s="82" t="s">
        <v>43</v>
      </c>
      <c r="AJ77" s="76" t="s">
        <v>43</v>
      </c>
    </row>
    <row r="78" s="17" customFormat="1" customHeight="1" spans="1:36">
      <c r="A78" s="29"/>
      <c r="B78" s="30"/>
      <c r="C78" s="28" t="s">
        <v>345</v>
      </c>
      <c r="D78" s="30"/>
      <c r="E78" s="31"/>
      <c r="F78" s="31"/>
      <c r="G78" s="30"/>
      <c r="H78" s="31"/>
      <c r="I78" s="37"/>
      <c r="J78" s="37"/>
      <c r="K78" s="36"/>
      <c r="L78" s="36"/>
      <c r="M78" s="36"/>
      <c r="N78" s="41"/>
      <c r="O78" s="41"/>
      <c r="P78" s="41"/>
      <c r="Q78" s="30"/>
      <c r="R78" s="30"/>
      <c r="S78" s="76"/>
      <c r="T78" s="36"/>
      <c r="U78" s="31"/>
      <c r="V78" s="46" t="s">
        <v>374</v>
      </c>
      <c r="W78" s="46">
        <v>33020200401</v>
      </c>
      <c r="X78" s="48" t="s">
        <v>375</v>
      </c>
      <c r="Y78" s="46"/>
      <c r="Z78" s="46"/>
      <c r="AA78" s="46" t="s">
        <v>373</v>
      </c>
      <c r="AB78" s="30" t="s">
        <v>43</v>
      </c>
      <c r="AC78" s="52">
        <v>880</v>
      </c>
      <c r="AD78" s="51">
        <v>795</v>
      </c>
      <c r="AE78" s="57">
        <v>815</v>
      </c>
      <c r="AF78" s="57">
        <v>780</v>
      </c>
      <c r="AG78" s="57">
        <v>665</v>
      </c>
      <c r="AH78" s="82" t="s">
        <v>42</v>
      </c>
      <c r="AI78" s="82" t="s">
        <v>43</v>
      </c>
      <c r="AJ78" s="76" t="s">
        <v>43</v>
      </c>
    </row>
    <row r="79" s="17" customFormat="1" ht="82" customHeight="1" spans="1:36">
      <c r="A79" s="29">
        <v>22</v>
      </c>
      <c r="B79" s="30" t="s">
        <v>376</v>
      </c>
      <c r="C79" s="30" t="s">
        <v>377</v>
      </c>
      <c r="D79" s="30" t="s">
        <v>378</v>
      </c>
      <c r="E79" s="31" t="s">
        <v>379</v>
      </c>
      <c r="F79" s="31" t="s">
        <v>380</v>
      </c>
      <c r="G79" s="30" t="s">
        <v>40</v>
      </c>
      <c r="H79" s="31" t="s">
        <v>381</v>
      </c>
      <c r="I79" s="37">
        <v>6500</v>
      </c>
      <c r="J79" s="37">
        <v>5850</v>
      </c>
      <c r="K79" s="36"/>
      <c r="L79" s="36"/>
      <c r="M79" s="36"/>
      <c r="N79" s="41">
        <v>5900</v>
      </c>
      <c r="O79" s="41">
        <v>5300</v>
      </c>
      <c r="P79" s="41">
        <v>4500</v>
      </c>
      <c r="Q79" s="30" t="s">
        <v>100</v>
      </c>
      <c r="R79" s="30" t="s">
        <v>43</v>
      </c>
      <c r="S79" s="76" t="s">
        <v>43</v>
      </c>
      <c r="T79" s="36" t="s">
        <v>236</v>
      </c>
      <c r="U79" s="31" t="s">
        <v>237</v>
      </c>
      <c r="V79" s="30"/>
      <c r="W79" s="30"/>
      <c r="X79" s="30"/>
      <c r="Y79" s="30"/>
      <c r="Z79" s="30"/>
      <c r="AA79" s="30"/>
      <c r="AB79" s="30"/>
      <c r="AC79" s="51"/>
      <c r="AD79" s="51"/>
      <c r="AE79" s="57"/>
      <c r="AF79" s="57"/>
      <c r="AG79" s="57"/>
      <c r="AH79" s="82"/>
      <c r="AI79" s="82"/>
      <c r="AJ79" s="76"/>
    </row>
    <row r="80" s="17" customFormat="1" ht="53" customHeight="1" spans="1:36">
      <c r="A80" s="29" t="s">
        <v>70</v>
      </c>
      <c r="B80" s="30" t="s">
        <v>382</v>
      </c>
      <c r="C80" s="30" t="s">
        <v>383</v>
      </c>
      <c r="D80" s="30" t="s">
        <v>378</v>
      </c>
      <c r="E80" s="31" t="s">
        <v>43</v>
      </c>
      <c r="F80" s="31" t="s">
        <v>43</v>
      </c>
      <c r="G80" s="30" t="s">
        <v>40</v>
      </c>
      <c r="H80" s="31" t="s">
        <v>43</v>
      </c>
      <c r="I80" s="37">
        <v>1950</v>
      </c>
      <c r="J80" s="37">
        <v>1755</v>
      </c>
      <c r="K80" s="36"/>
      <c r="L80" s="36"/>
      <c r="M80" s="36"/>
      <c r="N80" s="41">
        <f>N79*0.3</f>
        <v>1770</v>
      </c>
      <c r="O80" s="41">
        <f>O79*0.3</f>
        <v>1590</v>
      </c>
      <c r="P80" s="41">
        <f>P79*0.3</f>
        <v>1350</v>
      </c>
      <c r="Q80" s="30" t="s">
        <v>100</v>
      </c>
      <c r="R80" s="30" t="s">
        <v>43</v>
      </c>
      <c r="S80" s="76" t="s">
        <v>43</v>
      </c>
      <c r="T80" s="36"/>
      <c r="U80" s="31" t="s">
        <v>384</v>
      </c>
      <c r="V80" s="30"/>
      <c r="W80" s="30"/>
      <c r="X80" s="30"/>
      <c r="Y80" s="30"/>
      <c r="Z80" s="30"/>
      <c r="AA80" s="30"/>
      <c r="AB80" s="30"/>
      <c r="AC80" s="51"/>
      <c r="AD80" s="51"/>
      <c r="AE80" s="57"/>
      <c r="AF80" s="57"/>
      <c r="AG80" s="57"/>
      <c r="AH80" s="82"/>
      <c r="AI80" s="82"/>
      <c r="AJ80" s="76"/>
    </row>
    <row r="81" s="17" customFormat="1" ht="82" customHeight="1" spans="1:36">
      <c r="A81" s="29">
        <v>23</v>
      </c>
      <c r="B81" s="30" t="s">
        <v>385</v>
      </c>
      <c r="C81" s="30" t="s">
        <v>386</v>
      </c>
      <c r="D81" s="30" t="s">
        <v>378</v>
      </c>
      <c r="E81" s="31" t="s">
        <v>387</v>
      </c>
      <c r="F81" s="31" t="s">
        <v>388</v>
      </c>
      <c r="G81" s="30" t="s">
        <v>40</v>
      </c>
      <c r="H81" s="31" t="s">
        <v>43</v>
      </c>
      <c r="I81" s="37">
        <v>3100</v>
      </c>
      <c r="J81" s="37">
        <v>2790</v>
      </c>
      <c r="K81" s="36"/>
      <c r="L81" s="36"/>
      <c r="M81" s="36"/>
      <c r="N81" s="41">
        <v>2800</v>
      </c>
      <c r="O81" s="41">
        <v>2520</v>
      </c>
      <c r="P81" s="41">
        <v>2140</v>
      </c>
      <c r="Q81" s="30" t="s">
        <v>100</v>
      </c>
      <c r="R81" s="30" t="s">
        <v>43</v>
      </c>
      <c r="S81" s="76" t="s">
        <v>43</v>
      </c>
      <c r="T81" s="36" t="s">
        <v>236</v>
      </c>
      <c r="U81" s="31" t="s">
        <v>237</v>
      </c>
      <c r="V81" s="30"/>
      <c r="W81" s="30"/>
      <c r="X81" s="30"/>
      <c r="Y81" s="30"/>
      <c r="Z81" s="30"/>
      <c r="AA81" s="30"/>
      <c r="AB81" s="30"/>
      <c r="AC81" s="51"/>
      <c r="AD81" s="51"/>
      <c r="AE81" s="57"/>
      <c r="AF81" s="57"/>
      <c r="AG81" s="57"/>
      <c r="AH81" s="82"/>
      <c r="AI81" s="82"/>
      <c r="AJ81" s="76"/>
    </row>
    <row r="82" s="17" customFormat="1" ht="52" customHeight="1" spans="1:36">
      <c r="A82" s="29" t="s">
        <v>70</v>
      </c>
      <c r="B82" s="30" t="s">
        <v>389</v>
      </c>
      <c r="C82" s="30" t="s">
        <v>390</v>
      </c>
      <c r="D82" s="30" t="s">
        <v>378</v>
      </c>
      <c r="E82" s="31" t="s">
        <v>43</v>
      </c>
      <c r="F82" s="31" t="s">
        <v>43</v>
      </c>
      <c r="G82" s="30" t="s">
        <v>40</v>
      </c>
      <c r="H82" s="31" t="s">
        <v>43</v>
      </c>
      <c r="I82" s="37">
        <v>930</v>
      </c>
      <c r="J82" s="37">
        <v>837</v>
      </c>
      <c r="K82" s="36"/>
      <c r="L82" s="36"/>
      <c r="M82" s="36"/>
      <c r="N82" s="41">
        <f>N81*0.3</f>
        <v>840</v>
      </c>
      <c r="O82" s="41">
        <v>755</v>
      </c>
      <c r="P82" s="41">
        <v>640</v>
      </c>
      <c r="Q82" s="30" t="s">
        <v>100</v>
      </c>
      <c r="R82" s="30" t="s">
        <v>43</v>
      </c>
      <c r="S82" s="76" t="s">
        <v>43</v>
      </c>
      <c r="T82" s="36"/>
      <c r="U82" s="31"/>
      <c r="V82" s="46"/>
      <c r="W82" s="46"/>
      <c r="X82" s="48"/>
      <c r="Y82" s="46"/>
      <c r="Z82" s="46"/>
      <c r="AA82" s="46"/>
      <c r="AB82" s="30"/>
      <c r="AC82" s="52"/>
      <c r="AD82" s="51"/>
      <c r="AE82" s="57"/>
      <c r="AF82" s="57"/>
      <c r="AG82" s="57"/>
      <c r="AH82" s="82"/>
      <c r="AI82" s="82"/>
      <c r="AJ82" s="76"/>
    </row>
    <row r="83" s="17" customFormat="1" ht="101" customHeight="1" spans="1:36">
      <c r="A83" s="29">
        <v>24</v>
      </c>
      <c r="B83" s="30" t="s">
        <v>391</v>
      </c>
      <c r="C83" s="30" t="s">
        <v>392</v>
      </c>
      <c r="D83" s="30" t="s">
        <v>378</v>
      </c>
      <c r="E83" s="31" t="s">
        <v>393</v>
      </c>
      <c r="F83" s="31" t="s">
        <v>394</v>
      </c>
      <c r="G83" s="30" t="s">
        <v>395</v>
      </c>
      <c r="H83" s="31" t="s">
        <v>396</v>
      </c>
      <c r="I83" s="37">
        <v>3000</v>
      </c>
      <c r="J83" s="37">
        <v>2700</v>
      </c>
      <c r="K83" s="36">
        <v>2700</v>
      </c>
      <c r="L83" s="36">
        <v>2433.33333333333</v>
      </c>
      <c r="M83" s="36">
        <v>2066.66666666667</v>
      </c>
      <c r="N83" s="41">
        <v>2700</v>
      </c>
      <c r="O83" s="41">
        <v>2435</v>
      </c>
      <c r="P83" s="41">
        <v>2065</v>
      </c>
      <c r="Q83" s="30" t="s">
        <v>42</v>
      </c>
      <c r="R83" s="30" t="s">
        <v>43</v>
      </c>
      <c r="S83" s="76">
        <v>0.2</v>
      </c>
      <c r="T83" s="36" t="s">
        <v>44</v>
      </c>
      <c r="U83" s="31" t="s">
        <v>397</v>
      </c>
      <c r="V83" s="30" t="s">
        <v>398</v>
      </c>
      <c r="W83" s="30">
        <v>320600003</v>
      </c>
      <c r="X83" s="30" t="s">
        <v>399</v>
      </c>
      <c r="Y83" s="30"/>
      <c r="Z83" s="30"/>
      <c r="AA83" s="30" t="s">
        <v>40</v>
      </c>
      <c r="AB83" s="30" t="s">
        <v>43</v>
      </c>
      <c r="AC83" s="51">
        <v>3600</v>
      </c>
      <c r="AD83" s="51">
        <v>3240</v>
      </c>
      <c r="AE83" s="57">
        <v>3240</v>
      </c>
      <c r="AF83" s="57">
        <v>2920</v>
      </c>
      <c r="AG83" s="57">
        <v>2480</v>
      </c>
      <c r="AH83" s="82" t="s">
        <v>42</v>
      </c>
      <c r="AI83" s="82" t="s">
        <v>43</v>
      </c>
      <c r="AJ83" s="76">
        <v>0.2</v>
      </c>
    </row>
    <row r="84" s="17" customFormat="1" ht="39" customHeight="1" spans="1:36">
      <c r="A84" s="29" t="s">
        <v>70</v>
      </c>
      <c r="B84" s="30" t="s">
        <v>400</v>
      </c>
      <c r="C84" s="30" t="s">
        <v>401</v>
      </c>
      <c r="D84" s="30" t="s">
        <v>378</v>
      </c>
      <c r="E84" s="31" t="s">
        <v>43</v>
      </c>
      <c r="F84" s="31" t="s">
        <v>43</v>
      </c>
      <c r="G84" s="30" t="s">
        <v>395</v>
      </c>
      <c r="H84" s="31" t="s">
        <v>43</v>
      </c>
      <c r="I84" s="37">
        <v>900</v>
      </c>
      <c r="J84" s="37">
        <v>810</v>
      </c>
      <c r="K84" s="36"/>
      <c r="L84" s="36"/>
      <c r="M84" s="36"/>
      <c r="N84" s="41">
        <f>N83*0.3</f>
        <v>810</v>
      </c>
      <c r="O84" s="41">
        <v>730</v>
      </c>
      <c r="P84" s="41">
        <v>620</v>
      </c>
      <c r="Q84" s="30" t="s">
        <v>42</v>
      </c>
      <c r="R84" s="30" t="s">
        <v>43</v>
      </c>
      <c r="S84" s="76">
        <v>0.2</v>
      </c>
      <c r="T84" s="36"/>
      <c r="U84" s="31" t="s">
        <v>384</v>
      </c>
      <c r="V84" s="46" t="s">
        <v>402</v>
      </c>
      <c r="W84" s="46">
        <v>32060000301</v>
      </c>
      <c r="X84" s="48" t="s">
        <v>403</v>
      </c>
      <c r="Y84" s="46"/>
      <c r="Z84" s="46"/>
      <c r="AA84" s="46" t="s">
        <v>40</v>
      </c>
      <c r="AB84" s="30" t="s">
        <v>43</v>
      </c>
      <c r="AC84" s="52">
        <v>4680</v>
      </c>
      <c r="AD84" s="51">
        <v>4210</v>
      </c>
      <c r="AE84" s="57">
        <v>4210</v>
      </c>
      <c r="AF84" s="57">
        <v>3795</v>
      </c>
      <c r="AG84" s="57">
        <v>3225</v>
      </c>
      <c r="AH84" s="82" t="s">
        <v>42</v>
      </c>
      <c r="AI84" s="82" t="s">
        <v>43</v>
      </c>
      <c r="AJ84" s="76">
        <v>0.2</v>
      </c>
    </row>
    <row r="85" s="17" customFormat="1" ht="39" customHeight="1" spans="1:36">
      <c r="A85" s="29" t="s">
        <v>70</v>
      </c>
      <c r="B85" s="30" t="s">
        <v>404</v>
      </c>
      <c r="C85" s="30" t="s">
        <v>405</v>
      </c>
      <c r="D85" s="30" t="s">
        <v>378</v>
      </c>
      <c r="E85" s="31" t="s">
        <v>43</v>
      </c>
      <c r="F85" s="31" t="s">
        <v>43</v>
      </c>
      <c r="G85" s="30" t="s">
        <v>395</v>
      </c>
      <c r="H85" s="31" t="s">
        <v>43</v>
      </c>
      <c r="I85" s="37">
        <v>600</v>
      </c>
      <c r="J85" s="37">
        <v>540</v>
      </c>
      <c r="K85" s="36">
        <v>540</v>
      </c>
      <c r="L85" s="36">
        <v>485</v>
      </c>
      <c r="M85" s="36">
        <v>415</v>
      </c>
      <c r="N85" s="41">
        <v>540</v>
      </c>
      <c r="O85" s="41">
        <v>485</v>
      </c>
      <c r="P85" s="41">
        <v>415</v>
      </c>
      <c r="Q85" s="30" t="s">
        <v>42</v>
      </c>
      <c r="R85" s="30" t="s">
        <v>43</v>
      </c>
      <c r="S85" s="76">
        <v>0.2</v>
      </c>
      <c r="T85" s="36"/>
      <c r="U85" s="31" t="s">
        <v>406</v>
      </c>
      <c r="V85" s="30"/>
      <c r="W85" s="30"/>
      <c r="X85" s="30"/>
      <c r="Y85" s="30"/>
      <c r="Z85" s="30"/>
      <c r="AA85" s="30"/>
      <c r="AB85" s="30"/>
      <c r="AC85" s="51"/>
      <c r="AD85" s="51"/>
      <c r="AE85" s="57"/>
      <c r="AF85" s="57"/>
      <c r="AG85" s="57"/>
      <c r="AH85" s="82"/>
      <c r="AI85" s="82"/>
      <c r="AJ85" s="76"/>
    </row>
    <row r="86" s="17" customFormat="1" ht="120" customHeight="1" spans="1:36">
      <c r="A86" s="29">
        <v>25</v>
      </c>
      <c r="B86" s="30" t="s">
        <v>407</v>
      </c>
      <c r="C86" s="30" t="s">
        <v>408</v>
      </c>
      <c r="D86" s="30" t="s">
        <v>378</v>
      </c>
      <c r="E86" s="31" t="s">
        <v>409</v>
      </c>
      <c r="F86" s="31" t="s">
        <v>410</v>
      </c>
      <c r="G86" s="30" t="s">
        <v>395</v>
      </c>
      <c r="H86" s="31" t="s">
        <v>411</v>
      </c>
      <c r="I86" s="37">
        <v>3900</v>
      </c>
      <c r="J86" s="37">
        <v>3510</v>
      </c>
      <c r="K86" s="36">
        <v>3625</v>
      </c>
      <c r="L86" s="36">
        <v>3266.66666666667</v>
      </c>
      <c r="M86" s="36">
        <v>2616.66666666667</v>
      </c>
      <c r="N86" s="41">
        <v>3625</v>
      </c>
      <c r="O86" s="41">
        <v>3265</v>
      </c>
      <c r="P86" s="41">
        <v>2615</v>
      </c>
      <c r="Q86" s="30" t="s">
        <v>42</v>
      </c>
      <c r="R86" s="30" t="s">
        <v>43</v>
      </c>
      <c r="S86" s="76">
        <v>0.2</v>
      </c>
      <c r="T86" s="36" t="s">
        <v>44</v>
      </c>
      <c r="U86" s="31" t="s">
        <v>412</v>
      </c>
      <c r="V86" s="30" t="s">
        <v>413</v>
      </c>
      <c r="W86" s="30">
        <v>320600004</v>
      </c>
      <c r="X86" s="30" t="s">
        <v>414</v>
      </c>
      <c r="Y86" s="30"/>
      <c r="Z86" s="30"/>
      <c r="AA86" s="30" t="s">
        <v>40</v>
      </c>
      <c r="AB86" s="30" t="s">
        <v>43</v>
      </c>
      <c r="AC86" s="51">
        <v>4680</v>
      </c>
      <c r="AD86" s="51">
        <v>4210</v>
      </c>
      <c r="AE86" s="57">
        <v>4350</v>
      </c>
      <c r="AF86" s="57">
        <v>3920</v>
      </c>
      <c r="AG86" s="57">
        <v>3140</v>
      </c>
      <c r="AH86" s="82" t="s">
        <v>42</v>
      </c>
      <c r="AI86" s="82" t="s">
        <v>43</v>
      </c>
      <c r="AJ86" s="76">
        <v>0.2</v>
      </c>
    </row>
    <row r="87" s="17" customFormat="1" ht="35" customHeight="1" spans="1:36">
      <c r="A87" s="29" t="s">
        <v>70</v>
      </c>
      <c r="B87" s="30" t="s">
        <v>415</v>
      </c>
      <c r="C87" s="30" t="s">
        <v>416</v>
      </c>
      <c r="D87" s="30" t="s">
        <v>378</v>
      </c>
      <c r="E87" s="31" t="s">
        <v>43</v>
      </c>
      <c r="F87" s="31" t="s">
        <v>43</v>
      </c>
      <c r="G87" s="30" t="s">
        <v>395</v>
      </c>
      <c r="H87" s="31" t="s">
        <v>43</v>
      </c>
      <c r="I87" s="37">
        <v>1170</v>
      </c>
      <c r="J87" s="37">
        <v>1053</v>
      </c>
      <c r="K87" s="36"/>
      <c r="L87" s="36"/>
      <c r="M87" s="36"/>
      <c r="N87" s="41">
        <v>1090</v>
      </c>
      <c r="O87" s="41">
        <v>980</v>
      </c>
      <c r="P87" s="41">
        <v>785</v>
      </c>
      <c r="Q87" s="30" t="s">
        <v>42</v>
      </c>
      <c r="R87" s="30" t="s">
        <v>43</v>
      </c>
      <c r="S87" s="76">
        <v>0.2</v>
      </c>
      <c r="T87" s="36"/>
      <c r="U87" s="31"/>
      <c r="V87" s="46" t="s">
        <v>417</v>
      </c>
      <c r="W87" s="46">
        <v>32060000401</v>
      </c>
      <c r="X87" s="48" t="s">
        <v>418</v>
      </c>
      <c r="Y87" s="46"/>
      <c r="Z87" s="46"/>
      <c r="AA87" s="46" t="s">
        <v>40</v>
      </c>
      <c r="AB87" s="30" t="s">
        <v>43</v>
      </c>
      <c r="AC87" s="52">
        <v>6085</v>
      </c>
      <c r="AD87" s="51">
        <v>5475</v>
      </c>
      <c r="AE87" s="57">
        <v>5655</v>
      </c>
      <c r="AF87" s="57">
        <v>5095</v>
      </c>
      <c r="AG87" s="57">
        <v>4080</v>
      </c>
      <c r="AH87" s="82" t="s">
        <v>42</v>
      </c>
      <c r="AI87" s="82" t="s">
        <v>43</v>
      </c>
      <c r="AJ87" s="76">
        <v>0.2</v>
      </c>
    </row>
    <row r="88" s="17" customFormat="1" ht="35" customHeight="1" spans="1:36">
      <c r="A88" s="29" t="s">
        <v>70</v>
      </c>
      <c r="B88" s="30" t="s">
        <v>419</v>
      </c>
      <c r="C88" s="30" t="s">
        <v>420</v>
      </c>
      <c r="D88" s="30" t="s">
        <v>378</v>
      </c>
      <c r="E88" s="31" t="s">
        <v>43</v>
      </c>
      <c r="F88" s="31" t="s">
        <v>43</v>
      </c>
      <c r="G88" s="30" t="s">
        <v>395</v>
      </c>
      <c r="H88" s="31" t="s">
        <v>43</v>
      </c>
      <c r="I88" s="37">
        <v>780</v>
      </c>
      <c r="J88" s="37">
        <v>702</v>
      </c>
      <c r="K88" s="36">
        <v>725</v>
      </c>
      <c r="L88" s="36">
        <v>655</v>
      </c>
      <c r="M88" s="36">
        <v>525</v>
      </c>
      <c r="N88" s="41">
        <v>725</v>
      </c>
      <c r="O88" s="41">
        <v>655</v>
      </c>
      <c r="P88" s="41">
        <v>525</v>
      </c>
      <c r="Q88" s="30" t="s">
        <v>42</v>
      </c>
      <c r="R88" s="30" t="s">
        <v>43</v>
      </c>
      <c r="S88" s="76">
        <v>0.2</v>
      </c>
      <c r="T88" s="36"/>
      <c r="U88" s="31" t="s">
        <v>406</v>
      </c>
      <c r="V88" s="30"/>
      <c r="W88" s="30"/>
      <c r="X88" s="30"/>
      <c r="Y88" s="30"/>
      <c r="Z88" s="30"/>
      <c r="AA88" s="30"/>
      <c r="AB88" s="30"/>
      <c r="AC88" s="51"/>
      <c r="AD88" s="51"/>
      <c r="AE88" s="57"/>
      <c r="AF88" s="57"/>
      <c r="AG88" s="57"/>
      <c r="AH88" s="82"/>
      <c r="AI88" s="82"/>
      <c r="AJ88" s="76"/>
    </row>
    <row r="89" s="17" customFormat="1" ht="86" customHeight="1" spans="1:36">
      <c r="A89" s="29">
        <v>26</v>
      </c>
      <c r="B89" s="30" t="s">
        <v>421</v>
      </c>
      <c r="C89" s="30" t="s">
        <v>422</v>
      </c>
      <c r="D89" s="30" t="s">
        <v>378</v>
      </c>
      <c r="E89" s="31" t="s">
        <v>423</v>
      </c>
      <c r="F89" s="31" t="s">
        <v>424</v>
      </c>
      <c r="G89" s="30" t="s">
        <v>395</v>
      </c>
      <c r="H89" s="31" t="s">
        <v>43</v>
      </c>
      <c r="I89" s="37">
        <v>3900</v>
      </c>
      <c r="J89" s="37">
        <v>3510</v>
      </c>
      <c r="K89" s="36"/>
      <c r="L89" s="36"/>
      <c r="M89" s="36"/>
      <c r="N89" s="41">
        <f>N86</f>
        <v>3625</v>
      </c>
      <c r="O89" s="41">
        <f>O86</f>
        <v>3265</v>
      </c>
      <c r="P89" s="41">
        <f>P86</f>
        <v>2615</v>
      </c>
      <c r="Q89" s="30" t="s">
        <v>100</v>
      </c>
      <c r="R89" s="30" t="s">
        <v>43</v>
      </c>
      <c r="S89" s="76" t="s">
        <v>43</v>
      </c>
      <c r="T89" s="36" t="s">
        <v>236</v>
      </c>
      <c r="U89" s="31" t="s">
        <v>425</v>
      </c>
      <c r="V89" s="30"/>
      <c r="W89" s="30"/>
      <c r="X89" s="30"/>
      <c r="Y89" s="30"/>
      <c r="Z89" s="30"/>
      <c r="AA89" s="30"/>
      <c r="AB89" s="30"/>
      <c r="AC89" s="51"/>
      <c r="AD89" s="51"/>
      <c r="AE89" s="57"/>
      <c r="AF89" s="57"/>
      <c r="AG89" s="57"/>
      <c r="AH89" s="82"/>
      <c r="AI89" s="82"/>
      <c r="AJ89" s="76"/>
    </row>
    <row r="90" s="17" customFormat="1" ht="35" customHeight="1" spans="1:36">
      <c r="A90" s="29" t="s">
        <v>70</v>
      </c>
      <c r="B90" s="30" t="s">
        <v>426</v>
      </c>
      <c r="C90" s="30" t="s">
        <v>427</v>
      </c>
      <c r="D90" s="30" t="s">
        <v>378</v>
      </c>
      <c r="E90" s="31" t="s">
        <v>43</v>
      </c>
      <c r="F90" s="31" t="s">
        <v>43</v>
      </c>
      <c r="G90" s="30" t="s">
        <v>395</v>
      </c>
      <c r="H90" s="31" t="s">
        <v>43</v>
      </c>
      <c r="I90" s="37">
        <v>1170</v>
      </c>
      <c r="J90" s="37">
        <v>1053</v>
      </c>
      <c r="K90" s="36"/>
      <c r="L90" s="36"/>
      <c r="M90" s="36"/>
      <c r="N90" s="41">
        <f>N87</f>
        <v>1090</v>
      </c>
      <c r="O90" s="41">
        <f>O87</f>
        <v>980</v>
      </c>
      <c r="P90" s="41">
        <f>P87</f>
        <v>785</v>
      </c>
      <c r="Q90" s="30" t="s">
        <v>100</v>
      </c>
      <c r="R90" s="30" t="s">
        <v>43</v>
      </c>
      <c r="S90" s="76" t="s">
        <v>43</v>
      </c>
      <c r="T90" s="36"/>
      <c r="U90" s="31"/>
      <c r="V90" s="30"/>
      <c r="W90" s="30"/>
      <c r="X90" s="30"/>
      <c r="Y90" s="30"/>
      <c r="Z90" s="30"/>
      <c r="AA90" s="30"/>
      <c r="AB90" s="30"/>
      <c r="AC90" s="51"/>
      <c r="AD90" s="51"/>
      <c r="AE90" s="57"/>
      <c r="AF90" s="57"/>
      <c r="AG90" s="57"/>
      <c r="AH90" s="82"/>
      <c r="AI90" s="82"/>
      <c r="AJ90" s="76"/>
    </row>
    <row r="91" s="17" customFormat="1" ht="35" customHeight="1" spans="1:36">
      <c r="A91" s="29" t="s">
        <v>70</v>
      </c>
      <c r="B91" s="30" t="s">
        <v>428</v>
      </c>
      <c r="C91" s="30" t="s">
        <v>429</v>
      </c>
      <c r="D91" s="30" t="s">
        <v>378</v>
      </c>
      <c r="E91" s="31" t="s">
        <v>43</v>
      </c>
      <c r="F91" s="31" t="s">
        <v>43</v>
      </c>
      <c r="G91" s="30" t="s">
        <v>395</v>
      </c>
      <c r="H91" s="31" t="s">
        <v>43</v>
      </c>
      <c r="I91" s="37">
        <v>780</v>
      </c>
      <c r="J91" s="37">
        <v>702</v>
      </c>
      <c r="K91" s="36"/>
      <c r="L91" s="36"/>
      <c r="M91" s="36"/>
      <c r="N91" s="41">
        <f>N88</f>
        <v>725</v>
      </c>
      <c r="O91" s="41">
        <f>O88</f>
        <v>655</v>
      </c>
      <c r="P91" s="41">
        <f>P88</f>
        <v>525</v>
      </c>
      <c r="Q91" s="30" t="s">
        <v>100</v>
      </c>
      <c r="R91" s="30" t="s">
        <v>43</v>
      </c>
      <c r="S91" s="76" t="s">
        <v>43</v>
      </c>
      <c r="T91" s="36"/>
      <c r="U91" s="31"/>
      <c r="V91" s="30"/>
      <c r="W91" s="30"/>
      <c r="X91" s="30"/>
      <c r="Y91" s="30"/>
      <c r="Z91" s="30"/>
      <c r="AA91" s="30"/>
      <c r="AB91" s="30"/>
      <c r="AC91" s="51"/>
      <c r="AD91" s="51"/>
      <c r="AE91" s="57"/>
      <c r="AF91" s="57"/>
      <c r="AG91" s="57"/>
      <c r="AH91" s="82"/>
      <c r="AI91" s="82"/>
      <c r="AJ91" s="76"/>
    </row>
    <row r="92" s="17" customFormat="1" ht="99" customHeight="1" spans="1:36">
      <c r="A92" s="29">
        <v>27</v>
      </c>
      <c r="B92" s="30" t="s">
        <v>430</v>
      </c>
      <c r="C92" s="30" t="s">
        <v>431</v>
      </c>
      <c r="D92" s="30" t="s">
        <v>378</v>
      </c>
      <c r="E92" s="31" t="s">
        <v>432</v>
      </c>
      <c r="F92" s="31" t="s">
        <v>433</v>
      </c>
      <c r="G92" s="30" t="s">
        <v>395</v>
      </c>
      <c r="H92" s="31" t="s">
        <v>43</v>
      </c>
      <c r="I92" s="37">
        <v>4680</v>
      </c>
      <c r="J92" s="37">
        <v>4212</v>
      </c>
      <c r="K92" s="36">
        <v>4550</v>
      </c>
      <c r="L92" s="36">
        <v>4500</v>
      </c>
      <c r="M92" s="36">
        <v>4450</v>
      </c>
      <c r="N92" s="41">
        <v>4550</v>
      </c>
      <c r="O92" s="41">
        <v>4150</v>
      </c>
      <c r="P92" s="41">
        <v>3550</v>
      </c>
      <c r="Q92" s="30" t="s">
        <v>42</v>
      </c>
      <c r="R92" s="30" t="s">
        <v>43</v>
      </c>
      <c r="S92" s="76" t="s">
        <v>43</v>
      </c>
      <c r="T92" s="36" t="s">
        <v>280</v>
      </c>
      <c r="U92" s="31" t="s">
        <v>434</v>
      </c>
      <c r="V92" s="46" t="s">
        <v>435</v>
      </c>
      <c r="W92" s="50">
        <v>320600012</v>
      </c>
      <c r="X92" s="48" t="s">
        <v>436</v>
      </c>
      <c r="Y92" s="50" t="s">
        <v>437</v>
      </c>
      <c r="Z92" s="50"/>
      <c r="AA92" s="50" t="s">
        <v>40</v>
      </c>
      <c r="AB92" s="30" t="s">
        <v>43</v>
      </c>
      <c r="AC92" s="62">
        <v>4680</v>
      </c>
      <c r="AD92" s="51">
        <v>4212</v>
      </c>
      <c r="AE92" s="57">
        <v>4550</v>
      </c>
      <c r="AF92" s="57">
        <v>4500</v>
      </c>
      <c r="AG92" s="57">
        <v>4450</v>
      </c>
      <c r="AH92" s="82" t="s">
        <v>42</v>
      </c>
      <c r="AI92" s="82" t="s">
        <v>43</v>
      </c>
      <c r="AJ92" s="76" t="s">
        <v>43</v>
      </c>
    </row>
    <row r="93" s="17" customFormat="1" ht="39" customHeight="1" spans="1:36">
      <c r="A93" s="29" t="s">
        <v>70</v>
      </c>
      <c r="B93" s="30" t="s">
        <v>438</v>
      </c>
      <c r="C93" s="30" t="s">
        <v>439</v>
      </c>
      <c r="D93" s="30" t="s">
        <v>378</v>
      </c>
      <c r="E93" s="31" t="s">
        <v>43</v>
      </c>
      <c r="F93" s="31" t="s">
        <v>43</v>
      </c>
      <c r="G93" s="30" t="s">
        <v>395</v>
      </c>
      <c r="H93" s="31"/>
      <c r="I93" s="37">
        <v>1404</v>
      </c>
      <c r="J93" s="37">
        <v>1264</v>
      </c>
      <c r="K93" s="36"/>
      <c r="L93" s="36"/>
      <c r="M93" s="36"/>
      <c r="N93" s="41">
        <f>N92*0.3</f>
        <v>1365</v>
      </c>
      <c r="O93" s="41">
        <f>O92*0.3</f>
        <v>1245</v>
      </c>
      <c r="P93" s="41">
        <f>P92*0.3</f>
        <v>1065</v>
      </c>
      <c r="Q93" s="30" t="s">
        <v>42</v>
      </c>
      <c r="R93" s="30" t="s">
        <v>43</v>
      </c>
      <c r="S93" s="76" t="s">
        <v>43</v>
      </c>
      <c r="T93" s="36"/>
      <c r="U93" s="31"/>
      <c r="V93" s="46"/>
      <c r="W93" s="50"/>
      <c r="X93" s="48"/>
      <c r="Y93" s="50"/>
      <c r="Z93" s="50"/>
      <c r="AA93" s="50"/>
      <c r="AB93" s="30"/>
      <c r="AC93" s="62"/>
      <c r="AD93" s="51"/>
      <c r="AE93" s="57"/>
      <c r="AF93" s="57"/>
      <c r="AG93" s="57"/>
      <c r="AH93" s="82"/>
      <c r="AI93" s="82"/>
      <c r="AJ93" s="76"/>
    </row>
    <row r="94" s="17" customFormat="1" ht="96" customHeight="1" spans="1:36">
      <c r="A94" s="29">
        <v>28</v>
      </c>
      <c r="B94" s="30" t="s">
        <v>440</v>
      </c>
      <c r="C94" s="30" t="s">
        <v>441</v>
      </c>
      <c r="D94" s="30" t="s">
        <v>378</v>
      </c>
      <c r="E94" s="31" t="s">
        <v>442</v>
      </c>
      <c r="F94" s="31" t="s">
        <v>443</v>
      </c>
      <c r="G94" s="30" t="s">
        <v>40</v>
      </c>
      <c r="H94" s="31" t="s">
        <v>146</v>
      </c>
      <c r="I94" s="37">
        <v>3600</v>
      </c>
      <c r="J94" s="37">
        <v>3240</v>
      </c>
      <c r="K94" s="36">
        <v>3240</v>
      </c>
      <c r="L94" s="36">
        <v>2920</v>
      </c>
      <c r="M94" s="36">
        <v>2480</v>
      </c>
      <c r="N94" s="41">
        <f>N98</f>
        <v>3500</v>
      </c>
      <c r="O94" s="41">
        <f>O98</f>
        <v>3200</v>
      </c>
      <c r="P94" s="41">
        <f>P98</f>
        <v>2700</v>
      </c>
      <c r="Q94" s="30" t="s">
        <v>42</v>
      </c>
      <c r="R94" s="30" t="s">
        <v>43</v>
      </c>
      <c r="S94" s="76">
        <v>0.2</v>
      </c>
      <c r="T94" s="36" t="s">
        <v>113</v>
      </c>
      <c r="U94" s="31" t="s">
        <v>444</v>
      </c>
      <c r="V94" s="30" t="s">
        <v>445</v>
      </c>
      <c r="W94" s="30">
        <v>320600005</v>
      </c>
      <c r="X94" s="30" t="s">
        <v>446</v>
      </c>
      <c r="Y94" s="30"/>
      <c r="Z94" s="30"/>
      <c r="AA94" s="30" t="s">
        <v>40</v>
      </c>
      <c r="AB94" s="30" t="s">
        <v>43</v>
      </c>
      <c r="AC94" s="51">
        <v>3600</v>
      </c>
      <c r="AD94" s="51">
        <v>3240</v>
      </c>
      <c r="AE94" s="57">
        <v>3240</v>
      </c>
      <c r="AF94" s="57">
        <v>2920</v>
      </c>
      <c r="AG94" s="57">
        <v>2480</v>
      </c>
      <c r="AH94" s="82" t="s">
        <v>42</v>
      </c>
      <c r="AI94" s="82" t="s">
        <v>43</v>
      </c>
      <c r="AJ94" s="76">
        <v>0.2</v>
      </c>
    </row>
    <row r="95" s="17" customFormat="1" ht="32" customHeight="1" spans="1:36">
      <c r="A95" s="29" t="s">
        <v>70</v>
      </c>
      <c r="B95" s="30" t="s">
        <v>447</v>
      </c>
      <c r="C95" s="30" t="s">
        <v>448</v>
      </c>
      <c r="D95" s="30" t="s">
        <v>378</v>
      </c>
      <c r="E95" s="31" t="s">
        <v>43</v>
      </c>
      <c r="F95" s="31" t="s">
        <v>43</v>
      </c>
      <c r="G95" s="30" t="s">
        <v>40</v>
      </c>
      <c r="H95" s="31" t="s">
        <v>43</v>
      </c>
      <c r="I95" s="37">
        <v>1080</v>
      </c>
      <c r="J95" s="37">
        <v>972</v>
      </c>
      <c r="K95" s="36"/>
      <c r="L95" s="36"/>
      <c r="M95" s="36"/>
      <c r="N95" s="41">
        <f>N94*0.3</f>
        <v>1050</v>
      </c>
      <c r="O95" s="41">
        <f>O94*0.3</f>
        <v>960</v>
      </c>
      <c r="P95" s="41">
        <f>P94*0.3</f>
        <v>810</v>
      </c>
      <c r="Q95" s="30" t="s">
        <v>42</v>
      </c>
      <c r="R95" s="30" t="s">
        <v>43</v>
      </c>
      <c r="S95" s="76">
        <v>0.2</v>
      </c>
      <c r="T95" s="36"/>
      <c r="U95" s="31" t="s">
        <v>384</v>
      </c>
      <c r="V95" s="46" t="s">
        <v>449</v>
      </c>
      <c r="W95" s="46">
        <v>32060000501</v>
      </c>
      <c r="X95" s="48" t="s">
        <v>450</v>
      </c>
      <c r="Y95" s="46"/>
      <c r="Z95" s="46"/>
      <c r="AA95" s="46" t="s">
        <v>40</v>
      </c>
      <c r="AB95" s="30" t="s">
        <v>43</v>
      </c>
      <c r="AC95" s="52">
        <v>4680</v>
      </c>
      <c r="AD95" s="51">
        <v>4210</v>
      </c>
      <c r="AE95" s="57">
        <v>4210</v>
      </c>
      <c r="AF95" s="57">
        <v>3795</v>
      </c>
      <c r="AG95" s="57">
        <v>3225</v>
      </c>
      <c r="AH95" s="82" t="s">
        <v>42</v>
      </c>
      <c r="AI95" s="82" t="s">
        <v>43</v>
      </c>
      <c r="AJ95" s="76">
        <v>0.2</v>
      </c>
    </row>
    <row r="96" s="17" customFormat="1" ht="26" customHeight="1" spans="1:36">
      <c r="A96" s="29" t="s">
        <v>70</v>
      </c>
      <c r="B96" s="30" t="s">
        <v>451</v>
      </c>
      <c r="C96" s="28" t="s">
        <v>452</v>
      </c>
      <c r="D96" s="30" t="s">
        <v>378</v>
      </c>
      <c r="E96" s="31" t="s">
        <v>43</v>
      </c>
      <c r="F96" s="31" t="s">
        <v>43</v>
      </c>
      <c r="G96" s="30" t="s">
        <v>40</v>
      </c>
      <c r="H96" s="31" t="s">
        <v>146</v>
      </c>
      <c r="I96" s="37">
        <v>3600</v>
      </c>
      <c r="J96" s="37">
        <v>3240</v>
      </c>
      <c r="K96" s="36"/>
      <c r="L96" s="36"/>
      <c r="M96" s="36"/>
      <c r="N96" s="41">
        <f>N94</f>
        <v>3500</v>
      </c>
      <c r="O96" s="41">
        <f>O94</f>
        <v>3200</v>
      </c>
      <c r="P96" s="41">
        <f>P94</f>
        <v>2700</v>
      </c>
      <c r="Q96" s="30" t="s">
        <v>42</v>
      </c>
      <c r="R96" s="30" t="s">
        <v>43</v>
      </c>
      <c r="S96" s="76">
        <v>0.2</v>
      </c>
      <c r="T96" s="36"/>
      <c r="U96" s="31" t="s">
        <v>453</v>
      </c>
      <c r="V96" s="30" t="s">
        <v>454</v>
      </c>
      <c r="W96" s="30">
        <v>320600006</v>
      </c>
      <c r="X96" s="30" t="s">
        <v>455</v>
      </c>
      <c r="Y96" s="30"/>
      <c r="Z96" s="30"/>
      <c r="AA96" s="30" t="s">
        <v>40</v>
      </c>
      <c r="AB96" s="30" t="s">
        <v>43</v>
      </c>
      <c r="AC96" s="51">
        <v>3240</v>
      </c>
      <c r="AD96" s="51">
        <v>2920</v>
      </c>
      <c r="AE96" s="57">
        <v>2915</v>
      </c>
      <c r="AF96" s="57">
        <v>2625</v>
      </c>
      <c r="AG96" s="57">
        <v>2230</v>
      </c>
      <c r="AH96" s="82" t="s">
        <v>42</v>
      </c>
      <c r="AI96" s="82" t="s">
        <v>43</v>
      </c>
      <c r="AJ96" s="76">
        <v>0.2</v>
      </c>
    </row>
    <row r="97" s="17" customFormat="1" ht="26" customHeight="1" spans="1:36">
      <c r="A97" s="29"/>
      <c r="B97" s="30"/>
      <c r="C97" s="28" t="s">
        <v>452</v>
      </c>
      <c r="D97" s="30"/>
      <c r="E97" s="31"/>
      <c r="F97" s="31"/>
      <c r="G97" s="30"/>
      <c r="H97" s="31"/>
      <c r="I97" s="37"/>
      <c r="J97" s="37"/>
      <c r="K97" s="36"/>
      <c r="L97" s="36"/>
      <c r="M97" s="36"/>
      <c r="N97" s="41"/>
      <c r="O97" s="41"/>
      <c r="P97" s="41"/>
      <c r="Q97" s="30"/>
      <c r="R97" s="30"/>
      <c r="S97" s="76"/>
      <c r="T97" s="36"/>
      <c r="U97" s="31"/>
      <c r="V97" s="46" t="s">
        <v>456</v>
      </c>
      <c r="W97" s="46">
        <v>32060000601</v>
      </c>
      <c r="X97" s="48" t="s">
        <v>457</v>
      </c>
      <c r="Y97" s="46"/>
      <c r="Z97" s="46"/>
      <c r="AA97" s="46" t="s">
        <v>40</v>
      </c>
      <c r="AB97" s="30" t="s">
        <v>43</v>
      </c>
      <c r="AC97" s="52">
        <v>4210</v>
      </c>
      <c r="AD97" s="51">
        <v>3795</v>
      </c>
      <c r="AE97" s="57">
        <v>3790</v>
      </c>
      <c r="AF97" s="57">
        <v>3415</v>
      </c>
      <c r="AG97" s="57">
        <v>2900</v>
      </c>
      <c r="AH97" s="82" t="s">
        <v>42</v>
      </c>
      <c r="AI97" s="82" t="s">
        <v>43</v>
      </c>
      <c r="AJ97" s="76">
        <v>0.2</v>
      </c>
    </row>
    <row r="98" s="17" customFormat="1" ht="96" customHeight="1" spans="1:36">
      <c r="A98" s="29">
        <v>29</v>
      </c>
      <c r="B98" s="30" t="s">
        <v>458</v>
      </c>
      <c r="C98" s="30" t="s">
        <v>459</v>
      </c>
      <c r="D98" s="30" t="s">
        <v>378</v>
      </c>
      <c r="E98" s="31" t="s">
        <v>460</v>
      </c>
      <c r="F98" s="31" t="s">
        <v>461</v>
      </c>
      <c r="G98" s="30" t="s">
        <v>395</v>
      </c>
      <c r="H98" s="31" t="s">
        <v>43</v>
      </c>
      <c r="I98" s="37">
        <v>3600</v>
      </c>
      <c r="J98" s="37">
        <v>3240</v>
      </c>
      <c r="K98" s="36">
        <v>1.06666666666667</v>
      </c>
      <c r="L98" s="36"/>
      <c r="M98" s="36"/>
      <c r="N98" s="41">
        <v>3500</v>
      </c>
      <c r="O98" s="41">
        <v>3200</v>
      </c>
      <c r="P98" s="41">
        <v>2700</v>
      </c>
      <c r="Q98" s="30" t="s">
        <v>42</v>
      </c>
      <c r="R98" s="30" t="s">
        <v>43</v>
      </c>
      <c r="S98" s="76">
        <v>0.2</v>
      </c>
      <c r="T98" s="36" t="s">
        <v>236</v>
      </c>
      <c r="U98" s="31" t="s">
        <v>462</v>
      </c>
      <c r="V98" s="30"/>
      <c r="W98" s="30"/>
      <c r="X98" s="30"/>
      <c r="Y98" s="30"/>
      <c r="Z98" s="30"/>
      <c r="AA98" s="30"/>
      <c r="AB98" s="30"/>
      <c r="AC98" s="51"/>
      <c r="AD98" s="51"/>
      <c r="AE98" s="57"/>
      <c r="AF98" s="57"/>
      <c r="AG98" s="57"/>
      <c r="AH98" s="82" t="s">
        <v>42</v>
      </c>
      <c r="AI98" s="82" t="s">
        <v>43</v>
      </c>
      <c r="AJ98" s="76">
        <v>0.2</v>
      </c>
    </row>
    <row r="99" s="17" customFormat="1" ht="40" customHeight="1" spans="1:36">
      <c r="A99" s="29" t="s">
        <v>70</v>
      </c>
      <c r="B99" s="30" t="s">
        <v>463</v>
      </c>
      <c r="C99" s="30" t="s">
        <v>464</v>
      </c>
      <c r="D99" s="30" t="s">
        <v>378</v>
      </c>
      <c r="E99" s="31" t="s">
        <v>43</v>
      </c>
      <c r="F99" s="31" t="s">
        <v>43</v>
      </c>
      <c r="G99" s="30" t="s">
        <v>395</v>
      </c>
      <c r="H99" s="31"/>
      <c r="I99" s="37">
        <v>1080</v>
      </c>
      <c r="J99" s="37">
        <v>972</v>
      </c>
      <c r="K99" s="36"/>
      <c r="L99" s="36"/>
      <c r="M99" s="36"/>
      <c r="N99" s="41">
        <f>N98*0.3</f>
        <v>1050</v>
      </c>
      <c r="O99" s="41">
        <f>O98*0.3</f>
        <v>960</v>
      </c>
      <c r="P99" s="41">
        <f>P98*0.3</f>
        <v>810</v>
      </c>
      <c r="Q99" s="30" t="s">
        <v>42</v>
      </c>
      <c r="R99" s="30" t="s">
        <v>43</v>
      </c>
      <c r="S99" s="76">
        <v>0.2</v>
      </c>
      <c r="T99" s="36"/>
      <c r="U99" s="31" t="s">
        <v>384</v>
      </c>
      <c r="V99" s="46"/>
      <c r="W99" s="46"/>
      <c r="X99" s="48"/>
      <c r="Y99" s="46"/>
      <c r="Z99" s="46"/>
      <c r="AA99" s="46"/>
      <c r="AB99" s="30"/>
      <c r="AC99" s="52"/>
      <c r="AD99" s="51"/>
      <c r="AE99" s="57"/>
      <c r="AF99" s="57"/>
      <c r="AG99" s="57"/>
      <c r="AH99" s="82" t="s">
        <v>42</v>
      </c>
      <c r="AI99" s="82" t="s">
        <v>43</v>
      </c>
      <c r="AJ99" s="76">
        <v>0.2</v>
      </c>
    </row>
    <row r="100" s="17" customFormat="1" ht="24" customHeight="1" spans="1:36">
      <c r="A100" s="29" t="s">
        <v>70</v>
      </c>
      <c r="B100" s="30" t="s">
        <v>465</v>
      </c>
      <c r="C100" s="28" t="s">
        <v>466</v>
      </c>
      <c r="D100" s="30" t="s">
        <v>378</v>
      </c>
      <c r="E100" s="31" t="s">
        <v>43</v>
      </c>
      <c r="F100" s="31" t="s">
        <v>43</v>
      </c>
      <c r="G100" s="30" t="s">
        <v>395</v>
      </c>
      <c r="H100" s="31" t="s">
        <v>43</v>
      </c>
      <c r="I100" s="37">
        <v>360</v>
      </c>
      <c r="J100" s="37">
        <v>324</v>
      </c>
      <c r="K100" s="59">
        <v>493.341121495328</v>
      </c>
      <c r="L100" s="59">
        <v>36.3636363636365</v>
      </c>
      <c r="M100" s="59"/>
      <c r="N100" s="41">
        <f>N98*0.1</f>
        <v>350</v>
      </c>
      <c r="O100" s="41">
        <f>O98*0.1</f>
        <v>320</v>
      </c>
      <c r="P100" s="41">
        <f>P98*0.1</f>
        <v>270</v>
      </c>
      <c r="Q100" s="30" t="s">
        <v>42</v>
      </c>
      <c r="R100" s="30" t="s">
        <v>43</v>
      </c>
      <c r="S100" s="76">
        <v>0.2</v>
      </c>
      <c r="T100" s="36"/>
      <c r="U100" s="31" t="s">
        <v>467</v>
      </c>
      <c r="V100" s="30" t="s">
        <v>468</v>
      </c>
      <c r="W100" s="30">
        <v>320600002</v>
      </c>
      <c r="X100" s="30" t="s">
        <v>469</v>
      </c>
      <c r="Y100" s="30"/>
      <c r="Z100" s="30"/>
      <c r="AA100" s="30" t="s">
        <v>40</v>
      </c>
      <c r="AB100" s="30" t="s">
        <v>43</v>
      </c>
      <c r="AC100" s="51">
        <v>5040</v>
      </c>
      <c r="AD100" s="51">
        <v>4540</v>
      </c>
      <c r="AE100" s="57">
        <v>4535</v>
      </c>
      <c r="AF100" s="57">
        <v>4080</v>
      </c>
      <c r="AG100" s="57">
        <v>3470</v>
      </c>
      <c r="AH100" s="82" t="s">
        <v>42</v>
      </c>
      <c r="AI100" s="82" t="s">
        <v>43</v>
      </c>
      <c r="AJ100" s="76">
        <v>0.2</v>
      </c>
    </row>
    <row r="101" s="17" customFormat="1" ht="24" customHeight="1" spans="1:36">
      <c r="A101" s="29"/>
      <c r="B101" s="30"/>
      <c r="C101" s="28" t="s">
        <v>466</v>
      </c>
      <c r="D101" s="30"/>
      <c r="E101" s="31"/>
      <c r="F101" s="31"/>
      <c r="G101" s="30"/>
      <c r="H101" s="31"/>
      <c r="I101" s="37"/>
      <c r="J101" s="37"/>
      <c r="K101" s="59"/>
      <c r="L101" s="59"/>
      <c r="M101" s="59"/>
      <c r="N101" s="41"/>
      <c r="O101" s="41"/>
      <c r="P101" s="41"/>
      <c r="Q101" s="30"/>
      <c r="R101" s="30"/>
      <c r="S101" s="76"/>
      <c r="T101" s="36"/>
      <c r="U101" s="31"/>
      <c r="V101" s="46" t="s">
        <v>470</v>
      </c>
      <c r="W101" s="46">
        <v>32060000201</v>
      </c>
      <c r="X101" s="48" t="s">
        <v>471</v>
      </c>
      <c r="Y101" s="46"/>
      <c r="Z101" s="46"/>
      <c r="AA101" s="46" t="s">
        <v>40</v>
      </c>
      <c r="AB101" s="30" t="s">
        <v>43</v>
      </c>
      <c r="AC101" s="52">
        <v>6550</v>
      </c>
      <c r="AD101" s="51">
        <v>5900</v>
      </c>
      <c r="AE101" s="57">
        <v>5895</v>
      </c>
      <c r="AF101" s="57">
        <v>5305</v>
      </c>
      <c r="AG101" s="57">
        <v>4510</v>
      </c>
      <c r="AH101" s="82"/>
      <c r="AI101" s="82"/>
      <c r="AJ101" s="76"/>
    </row>
    <row r="102" s="17" customFormat="1" ht="24" customHeight="1" spans="1:36">
      <c r="A102" s="29"/>
      <c r="B102" s="30"/>
      <c r="C102" s="28" t="s">
        <v>466</v>
      </c>
      <c r="D102" s="30"/>
      <c r="E102" s="31"/>
      <c r="F102" s="31"/>
      <c r="G102" s="30"/>
      <c r="H102" s="31"/>
      <c r="I102" s="37"/>
      <c r="J102" s="37"/>
      <c r="K102" s="59"/>
      <c r="L102" s="59"/>
      <c r="M102" s="59"/>
      <c r="N102" s="41"/>
      <c r="O102" s="41"/>
      <c r="P102" s="41"/>
      <c r="Q102" s="30"/>
      <c r="R102" s="30"/>
      <c r="S102" s="76"/>
      <c r="T102" s="36"/>
      <c r="U102" s="31"/>
      <c r="V102" s="30" t="s">
        <v>472</v>
      </c>
      <c r="W102" s="30">
        <v>320600009</v>
      </c>
      <c r="X102" s="30" t="s">
        <v>473</v>
      </c>
      <c r="Y102" s="30"/>
      <c r="Z102" s="30"/>
      <c r="AA102" s="30" t="s">
        <v>40</v>
      </c>
      <c r="AB102" s="30" t="s">
        <v>43</v>
      </c>
      <c r="AC102" s="51">
        <v>3600</v>
      </c>
      <c r="AD102" s="51">
        <v>3240</v>
      </c>
      <c r="AE102" s="57">
        <v>3240</v>
      </c>
      <c r="AF102" s="57">
        <v>2920</v>
      </c>
      <c r="AG102" s="57">
        <v>2480</v>
      </c>
      <c r="AH102" s="82"/>
      <c r="AI102" s="82"/>
      <c r="AJ102" s="76"/>
    </row>
    <row r="103" s="17" customFormat="1" ht="24" customHeight="1" spans="1:36">
      <c r="A103" s="29"/>
      <c r="B103" s="30"/>
      <c r="C103" s="28" t="s">
        <v>466</v>
      </c>
      <c r="D103" s="30"/>
      <c r="E103" s="31"/>
      <c r="F103" s="31"/>
      <c r="G103" s="30"/>
      <c r="H103" s="31"/>
      <c r="I103" s="37"/>
      <c r="J103" s="37"/>
      <c r="K103" s="59"/>
      <c r="L103" s="59"/>
      <c r="M103" s="59"/>
      <c r="N103" s="41"/>
      <c r="O103" s="41"/>
      <c r="P103" s="41"/>
      <c r="Q103" s="30"/>
      <c r="R103" s="30"/>
      <c r="S103" s="76"/>
      <c r="T103" s="36"/>
      <c r="U103" s="31"/>
      <c r="V103" s="46" t="s">
        <v>474</v>
      </c>
      <c r="W103" s="46">
        <v>32060000901</v>
      </c>
      <c r="X103" s="48" t="s">
        <v>475</v>
      </c>
      <c r="Y103" s="46"/>
      <c r="Z103" s="46"/>
      <c r="AA103" s="46" t="s">
        <v>40</v>
      </c>
      <c r="AB103" s="30" t="s">
        <v>43</v>
      </c>
      <c r="AC103" s="52">
        <v>4680</v>
      </c>
      <c r="AD103" s="51">
        <v>4210</v>
      </c>
      <c r="AE103" s="57">
        <v>4210</v>
      </c>
      <c r="AF103" s="57">
        <v>3795</v>
      </c>
      <c r="AG103" s="57">
        <v>3225</v>
      </c>
      <c r="AH103" s="82" t="s">
        <v>42</v>
      </c>
      <c r="AI103" s="82" t="s">
        <v>43</v>
      </c>
      <c r="AJ103" s="76">
        <v>0.2</v>
      </c>
    </row>
    <row r="104" s="17" customFormat="1" ht="31" customHeight="1" spans="1:36">
      <c r="A104" s="29">
        <v>30</v>
      </c>
      <c r="B104" s="30" t="s">
        <v>476</v>
      </c>
      <c r="C104" s="28" t="s">
        <v>477</v>
      </c>
      <c r="D104" s="30" t="s">
        <v>378</v>
      </c>
      <c r="E104" s="31" t="s">
        <v>478</v>
      </c>
      <c r="F104" s="31" t="s">
        <v>461</v>
      </c>
      <c r="G104" s="30" t="s">
        <v>395</v>
      </c>
      <c r="H104" s="31" t="s">
        <v>43</v>
      </c>
      <c r="I104" s="37">
        <v>5040</v>
      </c>
      <c r="J104" s="37">
        <v>4536</v>
      </c>
      <c r="K104" s="36">
        <v>4690</v>
      </c>
      <c r="L104" s="36">
        <v>4220</v>
      </c>
      <c r="M104" s="36"/>
      <c r="N104" s="41">
        <v>4690</v>
      </c>
      <c r="O104" s="41">
        <v>4220</v>
      </c>
      <c r="P104" s="41">
        <v>3375</v>
      </c>
      <c r="Q104" s="30" t="s">
        <v>42</v>
      </c>
      <c r="R104" s="30" t="s">
        <v>43</v>
      </c>
      <c r="S104" s="76">
        <v>0.2</v>
      </c>
      <c r="T104" s="36" t="s">
        <v>153</v>
      </c>
      <c r="U104" s="31" t="s">
        <v>153</v>
      </c>
      <c r="V104" s="30" t="s">
        <v>479</v>
      </c>
      <c r="W104" s="30">
        <v>320600008</v>
      </c>
      <c r="X104" s="30" t="s">
        <v>480</v>
      </c>
      <c r="Y104" s="30"/>
      <c r="Z104" s="30"/>
      <c r="AA104" s="30" t="s">
        <v>40</v>
      </c>
      <c r="AB104" s="30" t="s">
        <v>43</v>
      </c>
      <c r="AC104" s="51">
        <v>5040</v>
      </c>
      <c r="AD104" s="51">
        <v>4540</v>
      </c>
      <c r="AE104" s="57">
        <v>4690</v>
      </c>
      <c r="AF104" s="57">
        <v>4220</v>
      </c>
      <c r="AG104" s="57">
        <v>3375</v>
      </c>
      <c r="AH104" s="82" t="s">
        <v>42</v>
      </c>
      <c r="AI104" s="82" t="s">
        <v>43</v>
      </c>
      <c r="AJ104" s="76">
        <v>0.2</v>
      </c>
    </row>
    <row r="105" s="17" customFormat="1" ht="31" customHeight="1" spans="1:36">
      <c r="A105" s="29"/>
      <c r="B105" s="30"/>
      <c r="C105" s="28" t="s">
        <v>477</v>
      </c>
      <c r="D105" s="30"/>
      <c r="E105" s="31"/>
      <c r="F105" s="31"/>
      <c r="G105" s="30"/>
      <c r="H105" s="31"/>
      <c r="I105" s="37"/>
      <c r="J105" s="37"/>
      <c r="K105" s="36"/>
      <c r="L105" s="36"/>
      <c r="M105" s="36"/>
      <c r="N105" s="41"/>
      <c r="O105" s="41"/>
      <c r="P105" s="41"/>
      <c r="Q105" s="30"/>
      <c r="R105" s="30"/>
      <c r="S105" s="76"/>
      <c r="T105" s="36"/>
      <c r="U105" s="31"/>
      <c r="V105" s="30" t="s">
        <v>481</v>
      </c>
      <c r="W105" s="30">
        <v>330203004</v>
      </c>
      <c r="X105" s="30" t="s">
        <v>482</v>
      </c>
      <c r="Y105" s="30" t="s">
        <v>483</v>
      </c>
      <c r="Z105" s="30" t="s">
        <v>484</v>
      </c>
      <c r="AA105" s="30" t="s">
        <v>40</v>
      </c>
      <c r="AB105" s="30" t="s">
        <v>43</v>
      </c>
      <c r="AC105" s="51">
        <v>9900</v>
      </c>
      <c r="AD105" s="51">
        <v>8320</v>
      </c>
      <c r="AE105" s="57">
        <v>7630</v>
      </c>
      <c r="AF105" s="57">
        <v>6870</v>
      </c>
      <c r="AG105" s="57">
        <v>5840</v>
      </c>
      <c r="AH105" s="82" t="s">
        <v>42</v>
      </c>
      <c r="AI105" s="82" t="s">
        <v>43</v>
      </c>
      <c r="AJ105" s="76" t="s">
        <v>43</v>
      </c>
    </row>
    <row r="106" s="17" customFormat="1" ht="31" customHeight="1" spans="1:36">
      <c r="A106" s="29"/>
      <c r="B106" s="30"/>
      <c r="C106" s="28" t="s">
        <v>477</v>
      </c>
      <c r="D106" s="30"/>
      <c r="E106" s="31"/>
      <c r="F106" s="31"/>
      <c r="G106" s="30"/>
      <c r="H106" s="31"/>
      <c r="I106" s="37"/>
      <c r="J106" s="37"/>
      <c r="K106" s="36"/>
      <c r="L106" s="36"/>
      <c r="M106" s="36"/>
      <c r="N106" s="41"/>
      <c r="O106" s="41"/>
      <c r="P106" s="41"/>
      <c r="Q106" s="30"/>
      <c r="R106" s="30"/>
      <c r="S106" s="76"/>
      <c r="T106" s="36"/>
      <c r="U106" s="31"/>
      <c r="V106" s="30" t="s">
        <v>485</v>
      </c>
      <c r="W106" s="30">
        <v>330203003</v>
      </c>
      <c r="X106" s="30" t="s">
        <v>486</v>
      </c>
      <c r="Y106" s="30" t="s">
        <v>487</v>
      </c>
      <c r="Z106" s="30" t="s">
        <v>488</v>
      </c>
      <c r="AA106" s="30" t="s">
        <v>40</v>
      </c>
      <c r="AB106" s="30" t="s">
        <v>43</v>
      </c>
      <c r="AC106" s="51">
        <v>4800</v>
      </c>
      <c r="AD106" s="51">
        <v>4320</v>
      </c>
      <c r="AE106" s="57">
        <v>4220</v>
      </c>
      <c r="AF106" s="57">
        <v>3800</v>
      </c>
      <c r="AG106" s="57">
        <v>3230</v>
      </c>
      <c r="AH106" s="82" t="s">
        <v>42</v>
      </c>
      <c r="AI106" s="82" t="s">
        <v>43</v>
      </c>
      <c r="AJ106" s="76" t="s">
        <v>43</v>
      </c>
    </row>
    <row r="107" s="17" customFormat="1" ht="21" customHeight="1" spans="1:36">
      <c r="A107" s="29" t="s">
        <v>70</v>
      </c>
      <c r="B107" s="30" t="s">
        <v>489</v>
      </c>
      <c r="C107" s="28" t="s">
        <v>490</v>
      </c>
      <c r="D107" s="30" t="s">
        <v>378</v>
      </c>
      <c r="E107" s="31" t="s">
        <v>43</v>
      </c>
      <c r="F107" s="31" t="s">
        <v>43</v>
      </c>
      <c r="G107" s="30" t="s">
        <v>395</v>
      </c>
      <c r="H107" s="31" t="s">
        <v>43</v>
      </c>
      <c r="I107" s="37">
        <v>1512</v>
      </c>
      <c r="J107" s="37">
        <v>1361</v>
      </c>
      <c r="K107" s="36"/>
      <c r="L107" s="36"/>
      <c r="M107" s="36"/>
      <c r="N107" s="41">
        <v>1405</v>
      </c>
      <c r="O107" s="41">
        <v>1265</v>
      </c>
      <c r="P107" s="41">
        <v>1015</v>
      </c>
      <c r="Q107" s="30" t="s">
        <v>42</v>
      </c>
      <c r="R107" s="30" t="s">
        <v>43</v>
      </c>
      <c r="S107" s="76">
        <v>0.2</v>
      </c>
      <c r="T107" s="36"/>
      <c r="U107" s="31"/>
      <c r="V107" s="30" t="s">
        <v>491</v>
      </c>
      <c r="W107" s="30">
        <v>33020300401</v>
      </c>
      <c r="X107" s="30" t="s">
        <v>492</v>
      </c>
      <c r="Y107" s="30"/>
      <c r="Z107" s="30"/>
      <c r="AA107" s="30" t="s">
        <v>40</v>
      </c>
      <c r="AB107" s="30" t="s">
        <v>43</v>
      </c>
      <c r="AC107" s="51">
        <v>12870</v>
      </c>
      <c r="AD107" s="51">
        <v>10815</v>
      </c>
      <c r="AE107" s="57">
        <v>9920</v>
      </c>
      <c r="AF107" s="57">
        <v>8930</v>
      </c>
      <c r="AG107" s="57">
        <v>7590</v>
      </c>
      <c r="AH107" s="82"/>
      <c r="AI107" s="82"/>
      <c r="AJ107" s="76"/>
    </row>
    <row r="108" s="17" customFormat="1" ht="21" customHeight="1" spans="1:36">
      <c r="A108" s="29"/>
      <c r="B108" s="30"/>
      <c r="C108" s="28" t="s">
        <v>490</v>
      </c>
      <c r="D108" s="30"/>
      <c r="E108" s="31"/>
      <c r="F108" s="31"/>
      <c r="G108" s="30"/>
      <c r="H108" s="31"/>
      <c r="I108" s="37"/>
      <c r="J108" s="37"/>
      <c r="K108" s="36"/>
      <c r="L108" s="36"/>
      <c r="M108" s="36"/>
      <c r="N108" s="41"/>
      <c r="O108" s="41"/>
      <c r="P108" s="41"/>
      <c r="Q108" s="30"/>
      <c r="R108" s="30"/>
      <c r="S108" s="76"/>
      <c r="T108" s="36"/>
      <c r="U108" s="31"/>
      <c r="V108" s="30" t="s">
        <v>493</v>
      </c>
      <c r="W108" s="30">
        <v>33020300301</v>
      </c>
      <c r="X108" s="30" t="s">
        <v>494</v>
      </c>
      <c r="Y108" s="30"/>
      <c r="Z108" s="30"/>
      <c r="AA108" s="30" t="s">
        <v>40</v>
      </c>
      <c r="AB108" s="30" t="s">
        <v>43</v>
      </c>
      <c r="AC108" s="51">
        <v>6240</v>
      </c>
      <c r="AD108" s="51">
        <v>5615</v>
      </c>
      <c r="AE108" s="57">
        <v>5485</v>
      </c>
      <c r="AF108" s="57">
        <v>4940</v>
      </c>
      <c r="AG108" s="57">
        <v>4200</v>
      </c>
      <c r="AH108" s="82"/>
      <c r="AI108" s="82"/>
      <c r="AJ108" s="76"/>
    </row>
    <row r="109" s="17" customFormat="1" ht="21" customHeight="1" spans="1:36">
      <c r="A109" s="29" t="s">
        <v>70</v>
      </c>
      <c r="B109" s="30" t="s">
        <v>489</v>
      </c>
      <c r="C109" s="28" t="s">
        <v>490</v>
      </c>
      <c r="D109" s="30" t="s">
        <v>378</v>
      </c>
      <c r="E109" s="31" t="s">
        <v>43</v>
      </c>
      <c r="F109" s="31" t="s">
        <v>43</v>
      </c>
      <c r="G109" s="30" t="s">
        <v>395</v>
      </c>
      <c r="H109" s="31" t="s">
        <v>43</v>
      </c>
      <c r="I109" s="37">
        <v>1512</v>
      </c>
      <c r="J109" s="37">
        <v>1361</v>
      </c>
      <c r="K109" s="36"/>
      <c r="L109" s="36"/>
      <c r="M109" s="36"/>
      <c r="N109" s="41"/>
      <c r="O109" s="41"/>
      <c r="P109" s="41"/>
      <c r="Q109" s="30" t="s">
        <v>42</v>
      </c>
      <c r="R109" s="30" t="s">
        <v>43</v>
      </c>
      <c r="S109" s="76">
        <v>0.2</v>
      </c>
      <c r="T109" s="36"/>
      <c r="U109" s="31"/>
      <c r="V109" s="46" t="s">
        <v>495</v>
      </c>
      <c r="W109" s="46">
        <v>32060000801</v>
      </c>
      <c r="X109" s="48" t="s">
        <v>496</v>
      </c>
      <c r="Y109" s="46"/>
      <c r="Z109" s="46"/>
      <c r="AA109" s="46" t="s">
        <v>40</v>
      </c>
      <c r="AB109" s="30" t="s">
        <v>43</v>
      </c>
      <c r="AC109" s="52">
        <v>6550</v>
      </c>
      <c r="AD109" s="51">
        <v>5900</v>
      </c>
      <c r="AE109" s="57">
        <v>6095</v>
      </c>
      <c r="AF109" s="57">
        <v>5485</v>
      </c>
      <c r="AG109" s="57">
        <v>4390</v>
      </c>
      <c r="AH109" s="82"/>
      <c r="AI109" s="82"/>
      <c r="AJ109" s="76"/>
    </row>
    <row r="110" s="17" customFormat="1" ht="113" customHeight="1" spans="1:36">
      <c r="A110" s="29">
        <v>31</v>
      </c>
      <c r="B110" s="30" t="s">
        <v>497</v>
      </c>
      <c r="C110" s="30" t="s">
        <v>498</v>
      </c>
      <c r="D110" s="30" t="s">
        <v>378</v>
      </c>
      <c r="E110" s="31" t="s">
        <v>499</v>
      </c>
      <c r="F110" s="31" t="s">
        <v>500</v>
      </c>
      <c r="G110" s="30" t="s">
        <v>395</v>
      </c>
      <c r="H110" s="31"/>
      <c r="I110" s="37">
        <v>3750</v>
      </c>
      <c r="J110" s="37">
        <v>3375</v>
      </c>
      <c r="K110" s="36"/>
      <c r="L110" s="36"/>
      <c r="M110" s="36"/>
      <c r="N110" s="41">
        <v>3650</v>
      </c>
      <c r="O110" s="41">
        <v>3350</v>
      </c>
      <c r="P110" s="41">
        <v>2800</v>
      </c>
      <c r="Q110" s="30" t="s">
        <v>42</v>
      </c>
      <c r="R110" s="30" t="s">
        <v>43</v>
      </c>
      <c r="S110" s="76">
        <v>0.2</v>
      </c>
      <c r="T110" s="36" t="s">
        <v>236</v>
      </c>
      <c r="U110" s="31" t="s">
        <v>501</v>
      </c>
      <c r="V110" s="30"/>
      <c r="W110" s="30"/>
      <c r="X110" s="30"/>
      <c r="Y110" s="30"/>
      <c r="Z110" s="30"/>
      <c r="AA110" s="30"/>
      <c r="AB110" s="30"/>
      <c r="AC110" s="51"/>
      <c r="AD110" s="51"/>
      <c r="AE110" s="57"/>
      <c r="AF110" s="57"/>
      <c r="AG110" s="57"/>
      <c r="AH110" s="82" t="s">
        <v>42</v>
      </c>
      <c r="AI110" s="82" t="s">
        <v>43</v>
      </c>
      <c r="AJ110" s="76">
        <v>0.2</v>
      </c>
    </row>
    <row r="111" s="17" customFormat="1" ht="40" customHeight="1" spans="1:36">
      <c r="A111" s="29" t="s">
        <v>70</v>
      </c>
      <c r="B111" s="30" t="s">
        <v>502</v>
      </c>
      <c r="C111" s="30" t="s">
        <v>503</v>
      </c>
      <c r="D111" s="30" t="s">
        <v>378</v>
      </c>
      <c r="E111" s="31" t="s">
        <v>43</v>
      </c>
      <c r="F111" s="31" t="s">
        <v>43</v>
      </c>
      <c r="G111" s="30" t="s">
        <v>395</v>
      </c>
      <c r="H111" s="31" t="s">
        <v>43</v>
      </c>
      <c r="I111" s="37">
        <v>1125</v>
      </c>
      <c r="J111" s="37">
        <v>1013</v>
      </c>
      <c r="K111" s="36"/>
      <c r="L111" s="36"/>
      <c r="M111" s="36"/>
      <c r="N111" s="41">
        <f>N110*0.3</f>
        <v>1095</v>
      </c>
      <c r="O111" s="41">
        <v>970</v>
      </c>
      <c r="P111" s="41">
        <v>830</v>
      </c>
      <c r="Q111" s="30" t="s">
        <v>42</v>
      </c>
      <c r="R111" s="30" t="s">
        <v>43</v>
      </c>
      <c r="S111" s="76">
        <v>0.2</v>
      </c>
      <c r="T111" s="36"/>
      <c r="U111" s="31" t="s">
        <v>384</v>
      </c>
      <c r="V111" s="46" t="s">
        <v>504</v>
      </c>
      <c r="W111" s="46">
        <v>32060001101</v>
      </c>
      <c r="X111" s="48" t="s">
        <v>505</v>
      </c>
      <c r="Y111" s="46"/>
      <c r="Z111" s="46"/>
      <c r="AA111" s="46" t="s">
        <v>40</v>
      </c>
      <c r="AB111" s="30" t="s">
        <v>43</v>
      </c>
      <c r="AC111" s="52">
        <v>5850</v>
      </c>
      <c r="AD111" s="51">
        <v>5265</v>
      </c>
      <c r="AE111" s="57">
        <v>5265</v>
      </c>
      <c r="AF111" s="57">
        <v>4740</v>
      </c>
      <c r="AG111" s="57">
        <v>4025</v>
      </c>
      <c r="AH111" s="82" t="s">
        <v>42</v>
      </c>
      <c r="AI111" s="82" t="s">
        <v>43</v>
      </c>
      <c r="AJ111" s="76">
        <v>0.2</v>
      </c>
    </row>
    <row r="112" s="17" customFormat="1" ht="40" customHeight="1" spans="1:36">
      <c r="A112" s="29" t="s">
        <v>70</v>
      </c>
      <c r="B112" s="30" t="s">
        <v>506</v>
      </c>
      <c r="C112" s="30" t="s">
        <v>507</v>
      </c>
      <c r="D112" s="30" t="s">
        <v>378</v>
      </c>
      <c r="E112" s="31" t="s">
        <v>43</v>
      </c>
      <c r="F112" s="31" t="s">
        <v>43</v>
      </c>
      <c r="G112" s="30" t="s">
        <v>395</v>
      </c>
      <c r="H112" s="31"/>
      <c r="I112" s="37">
        <v>750</v>
      </c>
      <c r="J112" s="37">
        <v>675</v>
      </c>
      <c r="K112" s="36">
        <v>400</v>
      </c>
      <c r="L112" s="36">
        <v>295</v>
      </c>
      <c r="M112" s="36">
        <v>295</v>
      </c>
      <c r="N112" s="41">
        <f>N110*0.2</f>
        <v>730</v>
      </c>
      <c r="O112" s="41">
        <f>O110*0.2</f>
        <v>670</v>
      </c>
      <c r="P112" s="41">
        <f>P110*0.2</f>
        <v>560</v>
      </c>
      <c r="Q112" s="30" t="s">
        <v>42</v>
      </c>
      <c r="R112" s="30" t="s">
        <v>43</v>
      </c>
      <c r="S112" s="76">
        <v>0.2</v>
      </c>
      <c r="T112" s="36"/>
      <c r="U112" s="31" t="s">
        <v>508</v>
      </c>
      <c r="V112" s="30" t="s">
        <v>509</v>
      </c>
      <c r="W112" s="30">
        <v>320600011</v>
      </c>
      <c r="X112" s="30" t="s">
        <v>510</v>
      </c>
      <c r="Y112" s="30"/>
      <c r="Z112" s="30"/>
      <c r="AA112" s="30" t="s">
        <v>40</v>
      </c>
      <c r="AB112" s="30" t="s">
        <v>43</v>
      </c>
      <c r="AC112" s="51">
        <v>4500</v>
      </c>
      <c r="AD112" s="51">
        <v>4050</v>
      </c>
      <c r="AE112" s="57">
        <v>4050</v>
      </c>
      <c r="AF112" s="57">
        <v>3645</v>
      </c>
      <c r="AG112" s="57">
        <v>3095</v>
      </c>
      <c r="AH112" s="82"/>
      <c r="AI112" s="82"/>
      <c r="AJ112" s="76"/>
    </row>
    <row r="113" s="17" customFormat="1" ht="39" customHeight="1" spans="1:36">
      <c r="A113" s="29">
        <v>32</v>
      </c>
      <c r="B113" s="30" t="s">
        <v>511</v>
      </c>
      <c r="C113" s="28" t="s">
        <v>512</v>
      </c>
      <c r="D113" s="30" t="s">
        <v>378</v>
      </c>
      <c r="E113" s="31" t="s">
        <v>513</v>
      </c>
      <c r="F113" s="31" t="s">
        <v>514</v>
      </c>
      <c r="G113" s="30" t="s">
        <v>40</v>
      </c>
      <c r="H113" s="31" t="s">
        <v>515</v>
      </c>
      <c r="I113" s="37">
        <v>4000</v>
      </c>
      <c r="J113" s="37">
        <v>3600</v>
      </c>
      <c r="K113" s="36">
        <v>4300</v>
      </c>
      <c r="L113" s="36">
        <v>4300</v>
      </c>
      <c r="M113" s="36">
        <v>3655</v>
      </c>
      <c r="N113" s="41">
        <v>3800</v>
      </c>
      <c r="O113" s="41">
        <v>3450</v>
      </c>
      <c r="P113" s="41">
        <v>2950</v>
      </c>
      <c r="Q113" s="30" t="s">
        <v>100</v>
      </c>
      <c r="R113" s="30" t="s">
        <v>43</v>
      </c>
      <c r="S113" s="76" t="s">
        <v>43</v>
      </c>
      <c r="T113" s="36" t="s">
        <v>186</v>
      </c>
      <c r="U113" s="31" t="s">
        <v>516</v>
      </c>
      <c r="V113" s="46" t="s">
        <v>517</v>
      </c>
      <c r="W113" s="46">
        <v>330202021</v>
      </c>
      <c r="X113" s="48" t="s">
        <v>518</v>
      </c>
      <c r="Y113" s="46" t="s">
        <v>519</v>
      </c>
      <c r="Z113" s="46"/>
      <c r="AA113" s="46" t="s">
        <v>40</v>
      </c>
      <c r="AB113" s="30" t="s">
        <v>520</v>
      </c>
      <c r="AC113" s="52">
        <v>4300</v>
      </c>
      <c r="AD113" s="51">
        <v>3870</v>
      </c>
      <c r="AE113" s="57">
        <v>4300</v>
      </c>
      <c r="AF113" s="57">
        <v>4300</v>
      </c>
      <c r="AG113" s="57">
        <v>3655</v>
      </c>
      <c r="AH113" s="82" t="s">
        <v>43</v>
      </c>
      <c r="AI113" s="82" t="s">
        <v>43</v>
      </c>
      <c r="AJ113" s="76" t="s">
        <v>43</v>
      </c>
    </row>
    <row r="114" s="17" customFormat="1" ht="38" customHeight="1" spans="1:36">
      <c r="A114" s="29"/>
      <c r="B114" s="30"/>
      <c r="C114" s="28" t="s">
        <v>512</v>
      </c>
      <c r="D114" s="30"/>
      <c r="E114" s="31"/>
      <c r="F114" s="31"/>
      <c r="G114" s="30"/>
      <c r="H114" s="31"/>
      <c r="I114" s="37"/>
      <c r="J114" s="37"/>
      <c r="K114" s="36"/>
      <c r="L114" s="36"/>
      <c r="M114" s="36"/>
      <c r="N114" s="41"/>
      <c r="O114" s="41"/>
      <c r="P114" s="41"/>
      <c r="Q114" s="30"/>
      <c r="R114" s="30"/>
      <c r="S114" s="76"/>
      <c r="T114" s="36"/>
      <c r="U114" s="31"/>
      <c r="V114" s="46" t="s">
        <v>521</v>
      </c>
      <c r="W114" s="46">
        <v>330202022</v>
      </c>
      <c r="X114" s="48" t="s">
        <v>522</v>
      </c>
      <c r="Y114" s="46" t="s">
        <v>519</v>
      </c>
      <c r="Z114" s="46"/>
      <c r="AA114" s="46" t="s">
        <v>40</v>
      </c>
      <c r="AB114" s="30" t="s">
        <v>43</v>
      </c>
      <c r="AC114" s="52">
        <v>6450</v>
      </c>
      <c r="AD114" s="51">
        <v>5805</v>
      </c>
      <c r="AE114" s="57">
        <v>6450</v>
      </c>
      <c r="AF114" s="57">
        <v>6450</v>
      </c>
      <c r="AG114" s="57">
        <v>5482.5</v>
      </c>
      <c r="AH114" s="82" t="s">
        <v>43</v>
      </c>
      <c r="AI114" s="82" t="s">
        <v>43</v>
      </c>
      <c r="AJ114" s="76" t="s">
        <v>43</v>
      </c>
    </row>
    <row r="115" s="17" customFormat="1" ht="46" customHeight="1" spans="1:36">
      <c r="A115" s="29" t="s">
        <v>70</v>
      </c>
      <c r="B115" s="30" t="s">
        <v>523</v>
      </c>
      <c r="C115" s="30" t="s">
        <v>524</v>
      </c>
      <c r="D115" s="30" t="s">
        <v>378</v>
      </c>
      <c r="E115" s="31" t="s">
        <v>43</v>
      </c>
      <c r="F115" s="31" t="s">
        <v>43</v>
      </c>
      <c r="G115" s="30" t="s">
        <v>40</v>
      </c>
      <c r="H115" s="31" t="s">
        <v>43</v>
      </c>
      <c r="I115" s="37">
        <v>1200</v>
      </c>
      <c r="J115" s="37">
        <v>1080</v>
      </c>
      <c r="K115" s="36"/>
      <c r="L115" s="36"/>
      <c r="M115" s="36"/>
      <c r="N115" s="41">
        <f>N113*0.3</f>
        <v>1140</v>
      </c>
      <c r="O115" s="41">
        <v>970</v>
      </c>
      <c r="P115" s="41">
        <v>825</v>
      </c>
      <c r="Q115" s="30" t="s">
        <v>100</v>
      </c>
      <c r="R115" s="30" t="s">
        <v>43</v>
      </c>
      <c r="S115" s="76" t="s">
        <v>43</v>
      </c>
      <c r="T115" s="36"/>
      <c r="U115" s="31" t="s">
        <v>384</v>
      </c>
      <c r="V115" s="46"/>
      <c r="W115" s="46"/>
      <c r="X115" s="48"/>
      <c r="Y115" s="46"/>
      <c r="Z115" s="46"/>
      <c r="AA115" s="46"/>
      <c r="AB115" s="30"/>
      <c r="AC115" s="52"/>
      <c r="AD115" s="51"/>
      <c r="AE115" s="57"/>
      <c r="AF115" s="57"/>
      <c r="AG115" s="57"/>
      <c r="AH115" s="82"/>
      <c r="AI115" s="82"/>
      <c r="AJ115" s="76"/>
    </row>
    <row r="116" s="17" customFormat="1" ht="47" customHeight="1" spans="1:36">
      <c r="A116" s="29">
        <v>33</v>
      </c>
      <c r="B116" s="30" t="s">
        <v>525</v>
      </c>
      <c r="C116" s="28" t="s">
        <v>526</v>
      </c>
      <c r="D116" s="30" t="s">
        <v>378</v>
      </c>
      <c r="E116" s="31" t="s">
        <v>513</v>
      </c>
      <c r="F116" s="31" t="s">
        <v>514</v>
      </c>
      <c r="G116" s="30" t="s">
        <v>40</v>
      </c>
      <c r="H116" s="31" t="s">
        <v>527</v>
      </c>
      <c r="I116" s="37">
        <v>4320</v>
      </c>
      <c r="J116" s="37">
        <v>3888</v>
      </c>
      <c r="K116" s="36">
        <v>3710</v>
      </c>
      <c r="L116" s="36">
        <v>3340</v>
      </c>
      <c r="M116" s="36">
        <v>2840</v>
      </c>
      <c r="N116" s="41">
        <v>4100</v>
      </c>
      <c r="O116" s="41">
        <v>3700</v>
      </c>
      <c r="P116" s="41">
        <v>3150</v>
      </c>
      <c r="Q116" s="30" t="s">
        <v>42</v>
      </c>
      <c r="R116" s="30" t="s">
        <v>43</v>
      </c>
      <c r="S116" s="76" t="s">
        <v>43</v>
      </c>
      <c r="T116" s="36" t="s">
        <v>113</v>
      </c>
      <c r="U116" s="31" t="s">
        <v>528</v>
      </c>
      <c r="V116" s="30" t="s">
        <v>529</v>
      </c>
      <c r="W116" s="30">
        <v>330201035</v>
      </c>
      <c r="X116" s="30" t="s">
        <v>530</v>
      </c>
      <c r="Y116" s="30"/>
      <c r="Z116" s="30" t="s">
        <v>531</v>
      </c>
      <c r="AA116" s="30" t="s">
        <v>40</v>
      </c>
      <c r="AB116" s="30" t="s">
        <v>43</v>
      </c>
      <c r="AC116" s="51">
        <v>4320</v>
      </c>
      <c r="AD116" s="51">
        <v>3890</v>
      </c>
      <c r="AE116" s="57">
        <v>3710</v>
      </c>
      <c r="AF116" s="57">
        <v>3340</v>
      </c>
      <c r="AG116" s="57">
        <v>2840</v>
      </c>
      <c r="AH116" s="82" t="s">
        <v>42</v>
      </c>
      <c r="AI116" s="82" t="s">
        <v>43</v>
      </c>
      <c r="AJ116" s="76" t="s">
        <v>43</v>
      </c>
    </row>
    <row r="117" s="17" customFormat="1" ht="47" customHeight="1" spans="1:36">
      <c r="A117" s="29"/>
      <c r="B117" s="30"/>
      <c r="C117" s="28" t="s">
        <v>526</v>
      </c>
      <c r="D117" s="30"/>
      <c r="E117" s="31"/>
      <c r="F117" s="31"/>
      <c r="G117" s="30"/>
      <c r="H117" s="31"/>
      <c r="I117" s="37"/>
      <c r="J117" s="37"/>
      <c r="K117" s="36"/>
      <c r="L117" s="36"/>
      <c r="M117" s="36"/>
      <c r="N117" s="41"/>
      <c r="O117" s="41"/>
      <c r="P117" s="41"/>
      <c r="Q117" s="30"/>
      <c r="R117" s="30"/>
      <c r="S117" s="76"/>
      <c r="T117" s="36"/>
      <c r="U117" s="31"/>
      <c r="V117" s="46" t="s">
        <v>532</v>
      </c>
      <c r="W117" s="46">
        <v>330202020</v>
      </c>
      <c r="X117" s="48" t="s">
        <v>533</v>
      </c>
      <c r="Y117" s="46" t="s">
        <v>534</v>
      </c>
      <c r="Z117" s="46" t="s">
        <v>535</v>
      </c>
      <c r="AA117" s="46" t="s">
        <v>40</v>
      </c>
      <c r="AB117" s="30" t="s">
        <v>43</v>
      </c>
      <c r="AC117" s="52">
        <v>3300</v>
      </c>
      <c r="AD117" s="51">
        <v>2970</v>
      </c>
      <c r="AE117" s="57">
        <v>3300</v>
      </c>
      <c r="AF117" s="57">
        <v>3300</v>
      </c>
      <c r="AG117" s="57">
        <v>2805</v>
      </c>
      <c r="AH117" s="82" t="s">
        <v>43</v>
      </c>
      <c r="AI117" s="82"/>
      <c r="AJ117" s="76"/>
    </row>
    <row r="118" s="17" customFormat="1" ht="47" customHeight="1" spans="1:36">
      <c r="A118" s="29"/>
      <c r="B118" s="30"/>
      <c r="C118" s="28" t="s">
        <v>526</v>
      </c>
      <c r="D118" s="30"/>
      <c r="E118" s="31"/>
      <c r="F118" s="31"/>
      <c r="G118" s="30"/>
      <c r="H118" s="31"/>
      <c r="I118" s="37"/>
      <c r="J118" s="37"/>
      <c r="K118" s="36"/>
      <c r="L118" s="36"/>
      <c r="M118" s="36"/>
      <c r="N118" s="41"/>
      <c r="O118" s="41"/>
      <c r="P118" s="41"/>
      <c r="Q118" s="30"/>
      <c r="R118" s="30"/>
      <c r="S118" s="76"/>
      <c r="T118" s="36"/>
      <c r="U118" s="31"/>
      <c r="V118" s="30" t="s">
        <v>536</v>
      </c>
      <c r="W118" s="30" t="s">
        <v>537</v>
      </c>
      <c r="X118" s="30" t="s">
        <v>538</v>
      </c>
      <c r="Y118" s="30" t="s">
        <v>539</v>
      </c>
      <c r="Z118" s="30" t="s">
        <v>540</v>
      </c>
      <c r="AA118" s="30" t="s">
        <v>40</v>
      </c>
      <c r="AB118" s="30" t="s">
        <v>43</v>
      </c>
      <c r="AC118" s="51"/>
      <c r="AD118" s="51"/>
      <c r="AE118" s="57" t="s">
        <v>326</v>
      </c>
      <c r="AF118" s="57" t="s">
        <v>326</v>
      </c>
      <c r="AG118" s="57" t="s">
        <v>326</v>
      </c>
      <c r="AH118" s="82" t="s">
        <v>43</v>
      </c>
      <c r="AI118" s="82" t="s">
        <v>43</v>
      </c>
      <c r="AJ118" s="76" t="s">
        <v>43</v>
      </c>
    </row>
    <row r="119" s="17" customFormat="1" ht="55" customHeight="1" spans="1:36">
      <c r="A119" s="29" t="s">
        <v>70</v>
      </c>
      <c r="B119" s="30" t="s">
        <v>541</v>
      </c>
      <c r="C119" s="30" t="s">
        <v>542</v>
      </c>
      <c r="D119" s="30" t="s">
        <v>378</v>
      </c>
      <c r="E119" s="31" t="s">
        <v>43</v>
      </c>
      <c r="F119" s="31" t="s">
        <v>43</v>
      </c>
      <c r="G119" s="30" t="s">
        <v>40</v>
      </c>
      <c r="H119" s="31" t="s">
        <v>43</v>
      </c>
      <c r="I119" s="37">
        <v>1296</v>
      </c>
      <c r="J119" s="37">
        <v>1166</v>
      </c>
      <c r="K119" s="36"/>
      <c r="L119" s="36"/>
      <c r="M119" s="36"/>
      <c r="N119" s="41">
        <f>N116*0.3</f>
        <v>1230</v>
      </c>
      <c r="O119" s="41">
        <f>O116*0.3</f>
        <v>1110</v>
      </c>
      <c r="P119" s="41">
        <f>P116*0.3</f>
        <v>945</v>
      </c>
      <c r="Q119" s="30" t="s">
        <v>42</v>
      </c>
      <c r="R119" s="30" t="s">
        <v>43</v>
      </c>
      <c r="S119" s="76" t="s">
        <v>43</v>
      </c>
      <c r="T119" s="36"/>
      <c r="U119" s="31" t="s">
        <v>384</v>
      </c>
      <c r="V119" s="46" t="s">
        <v>543</v>
      </c>
      <c r="W119" s="46">
        <v>33020103501</v>
      </c>
      <c r="X119" s="48" t="s">
        <v>544</v>
      </c>
      <c r="Y119" s="46"/>
      <c r="Z119" s="46"/>
      <c r="AA119" s="46" t="s">
        <v>40</v>
      </c>
      <c r="AB119" s="30" t="s">
        <v>43</v>
      </c>
      <c r="AC119" s="52">
        <v>5615</v>
      </c>
      <c r="AD119" s="51">
        <v>5055</v>
      </c>
      <c r="AE119" s="57">
        <v>4825</v>
      </c>
      <c r="AF119" s="57">
        <v>4340</v>
      </c>
      <c r="AG119" s="57">
        <v>3690</v>
      </c>
      <c r="AH119" s="82" t="s">
        <v>42</v>
      </c>
      <c r="AI119" s="82" t="s">
        <v>43</v>
      </c>
      <c r="AJ119" s="76" t="s">
        <v>43</v>
      </c>
    </row>
    <row r="120" s="17" customFormat="1" ht="55" customHeight="1" spans="1:36">
      <c r="A120" s="29">
        <v>34</v>
      </c>
      <c r="B120" s="30" t="s">
        <v>545</v>
      </c>
      <c r="C120" s="30" t="s">
        <v>546</v>
      </c>
      <c r="D120" s="30" t="s">
        <v>378</v>
      </c>
      <c r="E120" s="31" t="s">
        <v>547</v>
      </c>
      <c r="F120" s="31" t="s">
        <v>548</v>
      </c>
      <c r="G120" s="30" t="s">
        <v>40</v>
      </c>
      <c r="H120" s="31" t="s">
        <v>146</v>
      </c>
      <c r="I120" s="37">
        <v>1295</v>
      </c>
      <c r="J120" s="37">
        <v>1165</v>
      </c>
      <c r="K120" s="36"/>
      <c r="L120" s="36"/>
      <c r="M120" s="36"/>
      <c r="N120" s="41">
        <f>N119</f>
        <v>1230</v>
      </c>
      <c r="O120" s="41">
        <f>O119</f>
        <v>1110</v>
      </c>
      <c r="P120" s="41">
        <f>P119</f>
        <v>945</v>
      </c>
      <c r="Q120" s="30" t="s">
        <v>100</v>
      </c>
      <c r="R120" s="30" t="s">
        <v>43</v>
      </c>
      <c r="S120" s="76" t="s">
        <v>43</v>
      </c>
      <c r="T120" s="36" t="s">
        <v>101</v>
      </c>
      <c r="U120" s="31" t="s">
        <v>549</v>
      </c>
      <c r="V120" s="30" t="s">
        <v>550</v>
      </c>
      <c r="W120" s="30" t="s">
        <v>551</v>
      </c>
      <c r="X120" s="30" t="s">
        <v>552</v>
      </c>
      <c r="Y120" s="30" t="s">
        <v>553</v>
      </c>
      <c r="Z120" s="30"/>
      <c r="AA120" s="30" t="s">
        <v>40</v>
      </c>
      <c r="AB120" s="30" t="s">
        <v>43</v>
      </c>
      <c r="AC120" s="51"/>
      <c r="AD120" s="51"/>
      <c r="AE120" s="57" t="s">
        <v>326</v>
      </c>
      <c r="AF120" s="57" t="s">
        <v>326</v>
      </c>
      <c r="AG120" s="57" t="s">
        <v>326</v>
      </c>
      <c r="AH120" s="82" t="s">
        <v>43</v>
      </c>
      <c r="AI120" s="82" t="s">
        <v>43</v>
      </c>
      <c r="AJ120" s="76" t="s">
        <v>43</v>
      </c>
    </row>
    <row r="121" s="17" customFormat="1" ht="60" customHeight="1" spans="1:36">
      <c r="A121" s="29" t="s">
        <v>70</v>
      </c>
      <c r="B121" s="30" t="s">
        <v>554</v>
      </c>
      <c r="C121" s="30" t="s">
        <v>555</v>
      </c>
      <c r="D121" s="30" t="s">
        <v>378</v>
      </c>
      <c r="E121" s="31" t="s">
        <v>43</v>
      </c>
      <c r="F121" s="31" t="s">
        <v>43</v>
      </c>
      <c r="G121" s="30" t="s">
        <v>40</v>
      </c>
      <c r="H121" s="31" t="s">
        <v>43</v>
      </c>
      <c r="I121" s="37">
        <v>389</v>
      </c>
      <c r="J121" s="37">
        <v>350</v>
      </c>
      <c r="K121" s="36"/>
      <c r="L121" s="36"/>
      <c r="M121" s="36"/>
      <c r="N121" s="41">
        <v>350</v>
      </c>
      <c r="O121" s="41">
        <v>335</v>
      </c>
      <c r="P121" s="41">
        <v>285</v>
      </c>
      <c r="Q121" s="30" t="s">
        <v>100</v>
      </c>
      <c r="R121" s="30" t="s">
        <v>43</v>
      </c>
      <c r="S121" s="76" t="s">
        <v>43</v>
      </c>
      <c r="T121" s="36"/>
      <c r="U121" s="31" t="s">
        <v>384</v>
      </c>
      <c r="V121" s="30"/>
      <c r="W121" s="30"/>
      <c r="X121" s="30"/>
      <c r="Y121" s="30"/>
      <c r="Z121" s="30"/>
      <c r="AA121" s="30"/>
      <c r="AB121" s="30"/>
      <c r="AC121" s="51"/>
      <c r="AD121" s="51"/>
      <c r="AE121" s="57"/>
      <c r="AF121" s="57"/>
      <c r="AG121" s="57"/>
      <c r="AH121" s="82"/>
      <c r="AI121" s="82"/>
      <c r="AJ121" s="76"/>
    </row>
    <row r="122" s="17" customFormat="1" ht="130" customHeight="1" spans="1:36">
      <c r="A122" s="29">
        <v>35</v>
      </c>
      <c r="B122" s="30" t="s">
        <v>556</v>
      </c>
      <c r="C122" s="30" t="s">
        <v>557</v>
      </c>
      <c r="D122" s="30" t="s">
        <v>378</v>
      </c>
      <c r="E122" s="31" t="s">
        <v>558</v>
      </c>
      <c r="F122" s="31" t="s">
        <v>514</v>
      </c>
      <c r="G122" s="30" t="s">
        <v>40</v>
      </c>
      <c r="H122" s="31" t="s">
        <v>559</v>
      </c>
      <c r="I122" s="37">
        <v>3500</v>
      </c>
      <c r="J122" s="37">
        <v>3150</v>
      </c>
      <c r="K122" s="36">
        <v>3300</v>
      </c>
      <c r="L122" s="36">
        <v>3200</v>
      </c>
      <c r="M122" s="36">
        <v>3100</v>
      </c>
      <c r="N122" s="41">
        <v>3300</v>
      </c>
      <c r="O122" s="41">
        <v>3100</v>
      </c>
      <c r="P122" s="41">
        <v>2750</v>
      </c>
      <c r="Q122" s="30" t="s">
        <v>42</v>
      </c>
      <c r="R122" s="30" t="s">
        <v>43</v>
      </c>
      <c r="S122" s="76" t="s">
        <v>43</v>
      </c>
      <c r="T122" s="36" t="s">
        <v>280</v>
      </c>
      <c r="U122" s="31" t="s">
        <v>560</v>
      </c>
      <c r="V122" s="46" t="s">
        <v>561</v>
      </c>
      <c r="W122" s="50">
        <v>310100036</v>
      </c>
      <c r="X122" s="48" t="s">
        <v>562</v>
      </c>
      <c r="Y122" s="50" t="s">
        <v>563</v>
      </c>
      <c r="Z122" s="50" t="s">
        <v>564</v>
      </c>
      <c r="AA122" s="50" t="s">
        <v>40</v>
      </c>
      <c r="AB122" s="30" t="s">
        <v>565</v>
      </c>
      <c r="AC122" s="52">
        <v>3500</v>
      </c>
      <c r="AD122" s="51">
        <v>3150</v>
      </c>
      <c r="AE122" s="57">
        <v>3300</v>
      </c>
      <c r="AF122" s="57">
        <v>3200</v>
      </c>
      <c r="AG122" s="57">
        <v>3100</v>
      </c>
      <c r="AH122" s="82" t="s">
        <v>42</v>
      </c>
      <c r="AI122" s="82" t="s">
        <v>43</v>
      </c>
      <c r="AJ122" s="76" t="s">
        <v>43</v>
      </c>
    </row>
    <row r="123" s="17" customFormat="1" ht="51" customHeight="1" spans="1:36">
      <c r="A123" s="29" t="s">
        <v>70</v>
      </c>
      <c r="B123" s="30" t="s">
        <v>566</v>
      </c>
      <c r="C123" s="30" t="s">
        <v>567</v>
      </c>
      <c r="D123" s="30" t="s">
        <v>378</v>
      </c>
      <c r="E123" s="31" t="s">
        <v>43</v>
      </c>
      <c r="F123" s="31" t="s">
        <v>43</v>
      </c>
      <c r="G123" s="30" t="s">
        <v>40</v>
      </c>
      <c r="H123" s="31" t="s">
        <v>43</v>
      </c>
      <c r="I123" s="37">
        <v>1050</v>
      </c>
      <c r="J123" s="37">
        <v>945</v>
      </c>
      <c r="K123" s="36"/>
      <c r="L123" s="36"/>
      <c r="M123" s="36"/>
      <c r="N123" s="41">
        <f>N122*0.3</f>
        <v>990</v>
      </c>
      <c r="O123" s="41">
        <f>O122*0.3</f>
        <v>930</v>
      </c>
      <c r="P123" s="41">
        <f>P122*0.3</f>
        <v>825</v>
      </c>
      <c r="Q123" s="30" t="s">
        <v>42</v>
      </c>
      <c r="R123" s="30" t="s">
        <v>43</v>
      </c>
      <c r="S123" s="76" t="s">
        <v>43</v>
      </c>
      <c r="T123" s="36"/>
      <c r="U123" s="31"/>
      <c r="V123" s="30"/>
      <c r="W123" s="30"/>
      <c r="X123" s="30"/>
      <c r="Y123" s="30"/>
      <c r="Z123" s="30"/>
      <c r="AA123" s="30"/>
      <c r="AB123" s="30"/>
      <c r="AC123" s="51"/>
      <c r="AD123" s="51"/>
      <c r="AE123" s="57"/>
      <c r="AF123" s="57"/>
      <c r="AG123" s="57"/>
      <c r="AH123" s="82"/>
      <c r="AI123" s="82"/>
      <c r="AJ123" s="76"/>
    </row>
    <row r="124" s="17" customFormat="1" ht="51" customHeight="1" spans="1:36">
      <c r="A124" s="29">
        <v>36</v>
      </c>
      <c r="B124" s="30" t="s">
        <v>568</v>
      </c>
      <c r="C124" s="30" t="s">
        <v>569</v>
      </c>
      <c r="D124" s="30" t="s">
        <v>378</v>
      </c>
      <c r="E124" s="31" t="s">
        <v>570</v>
      </c>
      <c r="F124" s="31" t="s">
        <v>548</v>
      </c>
      <c r="G124" s="30" t="s">
        <v>40</v>
      </c>
      <c r="H124" s="31" t="s">
        <v>43</v>
      </c>
      <c r="I124" s="37">
        <v>1000</v>
      </c>
      <c r="J124" s="37">
        <v>900</v>
      </c>
      <c r="K124" s="36">
        <v>900</v>
      </c>
      <c r="L124" s="36">
        <v>850</v>
      </c>
      <c r="M124" s="36">
        <v>800</v>
      </c>
      <c r="N124" s="41">
        <v>940</v>
      </c>
      <c r="O124" s="41">
        <v>885</v>
      </c>
      <c r="P124" s="41">
        <v>785</v>
      </c>
      <c r="Q124" s="30" t="s">
        <v>42</v>
      </c>
      <c r="R124" s="30" t="s">
        <v>43</v>
      </c>
      <c r="S124" s="76" t="s">
        <v>43</v>
      </c>
      <c r="T124" s="36" t="s">
        <v>280</v>
      </c>
      <c r="U124" s="31" t="s">
        <v>571</v>
      </c>
      <c r="V124" s="46" t="s">
        <v>572</v>
      </c>
      <c r="W124" s="50">
        <v>330204025</v>
      </c>
      <c r="X124" s="48" t="s">
        <v>573</v>
      </c>
      <c r="Y124" s="50" t="s">
        <v>574</v>
      </c>
      <c r="Z124" s="50"/>
      <c r="AA124" s="50" t="s">
        <v>40</v>
      </c>
      <c r="AB124" s="30" t="s">
        <v>43</v>
      </c>
      <c r="AC124" s="52">
        <v>1000</v>
      </c>
      <c r="AD124" s="51">
        <v>900</v>
      </c>
      <c r="AE124" s="57">
        <v>900</v>
      </c>
      <c r="AF124" s="57">
        <v>850</v>
      </c>
      <c r="AG124" s="57">
        <v>800</v>
      </c>
      <c r="AH124" s="82" t="s">
        <v>42</v>
      </c>
      <c r="AI124" s="82" t="s">
        <v>43</v>
      </c>
      <c r="AJ124" s="76" t="s">
        <v>43</v>
      </c>
    </row>
    <row r="125" s="17" customFormat="1" ht="65" customHeight="1" spans="1:36">
      <c r="A125" s="29" t="s">
        <v>70</v>
      </c>
      <c r="B125" s="30" t="s">
        <v>575</v>
      </c>
      <c r="C125" s="30" t="s">
        <v>576</v>
      </c>
      <c r="D125" s="30" t="s">
        <v>378</v>
      </c>
      <c r="E125" s="31" t="s">
        <v>43</v>
      </c>
      <c r="F125" s="31" t="s">
        <v>43</v>
      </c>
      <c r="G125" s="30" t="s">
        <v>40</v>
      </c>
      <c r="H125" s="31" t="s">
        <v>43</v>
      </c>
      <c r="I125" s="37">
        <v>300</v>
      </c>
      <c r="J125" s="37">
        <v>270</v>
      </c>
      <c r="K125" s="36">
        <v>3.5</v>
      </c>
      <c r="L125" s="36"/>
      <c r="M125" s="36"/>
      <c r="N125" s="41">
        <f>N124*0.3</f>
        <v>282</v>
      </c>
      <c r="O125" s="41">
        <f>O124*0.3</f>
        <v>265.5</v>
      </c>
      <c r="P125" s="41">
        <v>220</v>
      </c>
      <c r="Q125" s="30" t="s">
        <v>42</v>
      </c>
      <c r="R125" s="30" t="s">
        <v>43</v>
      </c>
      <c r="S125" s="76" t="s">
        <v>43</v>
      </c>
      <c r="T125" s="36"/>
      <c r="U125" s="31" t="s">
        <v>384</v>
      </c>
      <c r="V125" s="46"/>
      <c r="W125" s="50"/>
      <c r="X125" s="48"/>
      <c r="Y125" s="50"/>
      <c r="Z125" s="50"/>
      <c r="AA125" s="50"/>
      <c r="AB125" s="30"/>
      <c r="AC125" s="52"/>
      <c r="AD125" s="51"/>
      <c r="AE125" s="57"/>
      <c r="AF125" s="57"/>
      <c r="AG125" s="57"/>
      <c r="AH125" s="82"/>
      <c r="AI125" s="82"/>
      <c r="AJ125" s="76"/>
    </row>
    <row r="126" s="17" customFormat="1" ht="90" customHeight="1" spans="1:36">
      <c r="A126" s="29">
        <v>37</v>
      </c>
      <c r="B126" s="30" t="s">
        <v>577</v>
      </c>
      <c r="C126" s="30" t="s">
        <v>578</v>
      </c>
      <c r="D126" s="30" t="s">
        <v>378</v>
      </c>
      <c r="E126" s="31" t="s">
        <v>579</v>
      </c>
      <c r="F126" s="31" t="s">
        <v>514</v>
      </c>
      <c r="G126" s="30" t="s">
        <v>40</v>
      </c>
      <c r="H126" s="31" t="s">
        <v>580</v>
      </c>
      <c r="I126" s="37">
        <v>1600</v>
      </c>
      <c r="J126" s="37">
        <v>1440</v>
      </c>
      <c r="K126" s="36"/>
      <c r="L126" s="36"/>
      <c r="M126" s="36"/>
      <c r="N126" s="41">
        <v>1500</v>
      </c>
      <c r="O126" s="41">
        <v>1400</v>
      </c>
      <c r="P126" s="41">
        <v>1200</v>
      </c>
      <c r="Q126" s="30" t="s">
        <v>42</v>
      </c>
      <c r="R126" s="30" t="s">
        <v>43</v>
      </c>
      <c r="S126" s="76" t="s">
        <v>43</v>
      </c>
      <c r="T126" s="36" t="s">
        <v>236</v>
      </c>
      <c r="U126" s="31" t="s">
        <v>581</v>
      </c>
      <c r="V126" s="46"/>
      <c r="W126" s="50"/>
      <c r="X126" s="48"/>
      <c r="Y126" s="50"/>
      <c r="Z126" s="50"/>
      <c r="AA126" s="50"/>
      <c r="AB126" s="30"/>
      <c r="AC126" s="52"/>
      <c r="AD126" s="51"/>
      <c r="AE126" s="57"/>
      <c r="AF126" s="57"/>
      <c r="AG126" s="57"/>
      <c r="AH126" s="82"/>
      <c r="AI126" s="82"/>
      <c r="AJ126" s="76"/>
    </row>
    <row r="127" s="17" customFormat="1" ht="43" customHeight="1" spans="1:36">
      <c r="A127" s="29" t="s">
        <v>70</v>
      </c>
      <c r="B127" s="30" t="s">
        <v>582</v>
      </c>
      <c r="C127" s="30" t="s">
        <v>583</v>
      </c>
      <c r="D127" s="30" t="s">
        <v>378</v>
      </c>
      <c r="E127" s="31" t="s">
        <v>43</v>
      </c>
      <c r="F127" s="31" t="s">
        <v>43</v>
      </c>
      <c r="G127" s="30" t="s">
        <v>40</v>
      </c>
      <c r="H127" s="31"/>
      <c r="I127" s="37">
        <v>480</v>
      </c>
      <c r="J127" s="37">
        <v>432</v>
      </c>
      <c r="K127" s="36"/>
      <c r="L127" s="36"/>
      <c r="M127" s="36"/>
      <c r="N127" s="41">
        <f>N126*0.3</f>
        <v>450</v>
      </c>
      <c r="O127" s="41">
        <f>O126*0.3</f>
        <v>420</v>
      </c>
      <c r="P127" s="41">
        <f>P126*0.3</f>
        <v>360</v>
      </c>
      <c r="Q127" s="30" t="s">
        <v>42</v>
      </c>
      <c r="R127" s="30" t="s">
        <v>43</v>
      </c>
      <c r="S127" s="76" t="s">
        <v>43</v>
      </c>
      <c r="T127" s="36"/>
      <c r="U127" s="31" t="s">
        <v>384</v>
      </c>
      <c r="V127" s="30"/>
      <c r="W127" s="30"/>
      <c r="X127" s="30"/>
      <c r="Y127" s="30"/>
      <c r="Z127" s="30"/>
      <c r="AA127" s="30"/>
      <c r="AB127" s="30"/>
      <c r="AC127" s="51"/>
      <c r="AD127" s="51"/>
      <c r="AE127" s="57"/>
      <c r="AF127" s="57"/>
      <c r="AG127" s="57"/>
      <c r="AH127" s="82"/>
      <c r="AI127" s="82"/>
      <c r="AJ127" s="76"/>
    </row>
    <row r="128" s="17" customFormat="1" ht="43" customHeight="1" spans="1:36">
      <c r="A128" s="29" t="s">
        <v>70</v>
      </c>
      <c r="B128" s="30" t="s">
        <v>584</v>
      </c>
      <c r="C128" s="30" t="s">
        <v>585</v>
      </c>
      <c r="D128" s="30" t="s">
        <v>378</v>
      </c>
      <c r="E128" s="31" t="s">
        <v>43</v>
      </c>
      <c r="F128" s="31" t="s">
        <v>43</v>
      </c>
      <c r="G128" s="30" t="s">
        <v>40</v>
      </c>
      <c r="H128" s="31"/>
      <c r="I128" s="37">
        <v>1600</v>
      </c>
      <c r="J128" s="37">
        <v>1440</v>
      </c>
      <c r="K128" s="36"/>
      <c r="L128" s="36"/>
      <c r="M128" s="36"/>
      <c r="N128" s="41">
        <f>N126</f>
        <v>1500</v>
      </c>
      <c r="O128" s="41">
        <f>O126</f>
        <v>1400</v>
      </c>
      <c r="P128" s="41">
        <f>P126</f>
        <v>1200</v>
      </c>
      <c r="Q128" s="30" t="s">
        <v>42</v>
      </c>
      <c r="R128" s="30" t="s">
        <v>43</v>
      </c>
      <c r="S128" s="76" t="s">
        <v>43</v>
      </c>
      <c r="T128" s="36"/>
      <c r="U128" s="31" t="s">
        <v>453</v>
      </c>
      <c r="V128" s="30"/>
      <c r="W128" s="30"/>
      <c r="X128" s="30"/>
      <c r="Y128" s="30"/>
      <c r="Z128" s="30"/>
      <c r="AA128" s="30"/>
      <c r="AB128" s="30"/>
      <c r="AC128" s="51"/>
      <c r="AD128" s="51"/>
      <c r="AE128" s="57"/>
      <c r="AF128" s="57"/>
      <c r="AG128" s="57"/>
      <c r="AH128" s="82"/>
      <c r="AI128" s="82"/>
      <c r="AJ128" s="76"/>
    </row>
    <row r="129" s="17" customFormat="1" ht="43" customHeight="1" spans="1:36">
      <c r="A129" s="29" t="s">
        <v>70</v>
      </c>
      <c r="B129" s="30" t="s">
        <v>586</v>
      </c>
      <c r="C129" s="30" t="s">
        <v>587</v>
      </c>
      <c r="D129" s="30" t="s">
        <v>378</v>
      </c>
      <c r="E129" s="31" t="s">
        <v>43</v>
      </c>
      <c r="F129" s="31" t="s">
        <v>43</v>
      </c>
      <c r="G129" s="30" t="s">
        <v>40</v>
      </c>
      <c r="H129" s="31" t="s">
        <v>146</v>
      </c>
      <c r="I129" s="37">
        <v>1600</v>
      </c>
      <c r="J129" s="37">
        <v>1440</v>
      </c>
      <c r="K129" s="36"/>
      <c r="L129" s="36"/>
      <c r="M129" s="36"/>
      <c r="N129" s="41">
        <f>N126</f>
        <v>1500</v>
      </c>
      <c r="O129" s="41">
        <f>O126</f>
        <v>1400</v>
      </c>
      <c r="P129" s="41">
        <f>P126</f>
        <v>1200</v>
      </c>
      <c r="Q129" s="30" t="s">
        <v>42</v>
      </c>
      <c r="R129" s="30" t="s">
        <v>43</v>
      </c>
      <c r="S129" s="76" t="s">
        <v>43</v>
      </c>
      <c r="T129" s="36"/>
      <c r="U129" s="31" t="s">
        <v>453</v>
      </c>
      <c r="V129" s="30"/>
      <c r="W129" s="30"/>
      <c r="X129" s="30"/>
      <c r="Y129" s="30"/>
      <c r="Z129" s="30"/>
      <c r="AA129" s="30"/>
      <c r="AB129" s="30"/>
      <c r="AC129" s="51"/>
      <c r="AD129" s="51"/>
      <c r="AE129" s="57"/>
      <c r="AF129" s="57"/>
      <c r="AG129" s="57"/>
      <c r="AH129" s="82"/>
      <c r="AI129" s="82"/>
      <c r="AJ129" s="76"/>
    </row>
    <row r="130" s="17" customFormat="1" ht="75" customHeight="1" spans="1:36">
      <c r="A130" s="29">
        <v>38</v>
      </c>
      <c r="B130" s="30" t="s">
        <v>588</v>
      </c>
      <c r="C130" s="30" t="s">
        <v>589</v>
      </c>
      <c r="D130" s="30" t="s">
        <v>378</v>
      </c>
      <c r="E130" s="31" t="s">
        <v>590</v>
      </c>
      <c r="F130" s="31" t="s">
        <v>548</v>
      </c>
      <c r="G130" s="30" t="s">
        <v>40</v>
      </c>
      <c r="H130" s="31" t="s">
        <v>146</v>
      </c>
      <c r="I130" s="37">
        <v>800</v>
      </c>
      <c r="J130" s="37">
        <v>720</v>
      </c>
      <c r="K130" s="36"/>
      <c r="L130" s="36"/>
      <c r="M130" s="36"/>
      <c r="N130" s="41">
        <f>N126/2</f>
        <v>750</v>
      </c>
      <c r="O130" s="41">
        <f>O126/2</f>
        <v>700</v>
      </c>
      <c r="P130" s="41">
        <f>P126/2</f>
        <v>600</v>
      </c>
      <c r="Q130" s="30" t="s">
        <v>100</v>
      </c>
      <c r="R130" s="30" t="s">
        <v>43</v>
      </c>
      <c r="S130" s="76" t="s">
        <v>43</v>
      </c>
      <c r="T130" s="36" t="s">
        <v>236</v>
      </c>
      <c r="U130" s="31" t="s">
        <v>591</v>
      </c>
      <c r="V130" s="30"/>
      <c r="W130" s="30"/>
      <c r="X130" s="30"/>
      <c r="Y130" s="30"/>
      <c r="Z130" s="30"/>
      <c r="AA130" s="30"/>
      <c r="AB130" s="30"/>
      <c r="AC130" s="51"/>
      <c r="AD130" s="51"/>
      <c r="AE130" s="57"/>
      <c r="AF130" s="57"/>
      <c r="AG130" s="57"/>
      <c r="AH130" s="82"/>
      <c r="AI130" s="82"/>
      <c r="AJ130" s="76"/>
    </row>
    <row r="131" s="17" customFormat="1" ht="34" customHeight="1" spans="1:36">
      <c r="A131" s="29" t="s">
        <v>70</v>
      </c>
      <c r="B131" s="30" t="s">
        <v>592</v>
      </c>
      <c r="C131" s="30" t="s">
        <v>593</v>
      </c>
      <c r="D131" s="30" t="s">
        <v>378</v>
      </c>
      <c r="E131" s="31" t="s">
        <v>43</v>
      </c>
      <c r="F131" s="31" t="s">
        <v>43</v>
      </c>
      <c r="G131" s="30" t="s">
        <v>40</v>
      </c>
      <c r="H131" s="31" t="s">
        <v>43</v>
      </c>
      <c r="I131" s="37">
        <v>240</v>
      </c>
      <c r="J131" s="37">
        <v>216</v>
      </c>
      <c r="K131" s="36"/>
      <c r="L131" s="36"/>
      <c r="M131" s="36"/>
      <c r="N131" s="41">
        <f>N130*0.3</f>
        <v>225</v>
      </c>
      <c r="O131" s="41">
        <f>O130*0.3</f>
        <v>210</v>
      </c>
      <c r="P131" s="41">
        <f>P130*0.3</f>
        <v>180</v>
      </c>
      <c r="Q131" s="30" t="s">
        <v>100</v>
      </c>
      <c r="R131" s="30" t="s">
        <v>43</v>
      </c>
      <c r="S131" s="76" t="s">
        <v>43</v>
      </c>
      <c r="T131" s="36"/>
      <c r="U131" s="31" t="s">
        <v>384</v>
      </c>
      <c r="V131" s="30"/>
      <c r="W131" s="30"/>
      <c r="X131" s="30"/>
      <c r="Y131" s="30"/>
      <c r="Z131" s="30"/>
      <c r="AA131" s="30"/>
      <c r="AB131" s="30"/>
      <c r="AC131" s="51"/>
      <c r="AD131" s="51"/>
      <c r="AE131" s="57"/>
      <c r="AF131" s="57"/>
      <c r="AG131" s="57"/>
      <c r="AH131" s="82"/>
      <c r="AI131" s="82"/>
      <c r="AJ131" s="76"/>
    </row>
    <row r="132" s="17" customFormat="1" ht="29" customHeight="1" spans="1:36">
      <c r="A132" s="29">
        <v>39</v>
      </c>
      <c r="B132" s="30" t="s">
        <v>594</v>
      </c>
      <c r="C132" s="28" t="s">
        <v>595</v>
      </c>
      <c r="D132" s="30" t="s">
        <v>378</v>
      </c>
      <c r="E132" s="31" t="s">
        <v>596</v>
      </c>
      <c r="F132" s="31" t="s">
        <v>597</v>
      </c>
      <c r="G132" s="30" t="s">
        <v>40</v>
      </c>
      <c r="H132" s="31" t="s">
        <v>598</v>
      </c>
      <c r="I132" s="37">
        <v>1080</v>
      </c>
      <c r="J132" s="37">
        <v>972</v>
      </c>
      <c r="K132" s="36">
        <v>1000</v>
      </c>
      <c r="L132" s="36">
        <v>960</v>
      </c>
      <c r="M132" s="36"/>
      <c r="N132" s="41">
        <v>1000</v>
      </c>
      <c r="O132" s="41">
        <v>960</v>
      </c>
      <c r="P132" s="41">
        <v>816</v>
      </c>
      <c r="Q132" s="30" t="s">
        <v>42</v>
      </c>
      <c r="R132" s="30" t="s">
        <v>43</v>
      </c>
      <c r="S132" s="76" t="s">
        <v>43</v>
      </c>
      <c r="T132" s="36" t="s">
        <v>153</v>
      </c>
      <c r="U132" s="31" t="s">
        <v>153</v>
      </c>
      <c r="V132" s="30" t="s">
        <v>599</v>
      </c>
      <c r="W132" s="30">
        <v>330201010</v>
      </c>
      <c r="X132" s="30" t="s">
        <v>600</v>
      </c>
      <c r="Y132" s="30"/>
      <c r="Z132" s="30"/>
      <c r="AA132" s="30" t="s">
        <v>40</v>
      </c>
      <c r="AB132" s="30" t="s">
        <v>601</v>
      </c>
      <c r="AC132" s="51">
        <v>1080</v>
      </c>
      <c r="AD132" s="51">
        <v>970</v>
      </c>
      <c r="AE132" s="57">
        <v>1000</v>
      </c>
      <c r="AF132" s="57">
        <v>960</v>
      </c>
      <c r="AG132" s="57">
        <v>816</v>
      </c>
      <c r="AH132" s="82" t="s">
        <v>42</v>
      </c>
      <c r="AI132" s="82" t="s">
        <v>43</v>
      </c>
      <c r="AJ132" s="76" t="s">
        <v>43</v>
      </c>
    </row>
    <row r="133" s="17" customFormat="1" ht="29" customHeight="1" spans="1:36">
      <c r="A133" s="29"/>
      <c r="B133" s="30"/>
      <c r="C133" s="28" t="s">
        <v>595</v>
      </c>
      <c r="D133" s="30"/>
      <c r="E133" s="31"/>
      <c r="F133" s="31"/>
      <c r="G133" s="30"/>
      <c r="H133" s="31"/>
      <c r="I133" s="37"/>
      <c r="J133" s="37"/>
      <c r="K133" s="36"/>
      <c r="L133" s="36"/>
      <c r="M133" s="36"/>
      <c r="N133" s="41"/>
      <c r="O133" s="41"/>
      <c r="P133" s="41"/>
      <c r="Q133" s="30"/>
      <c r="R133" s="30"/>
      <c r="S133" s="76"/>
      <c r="T133" s="36"/>
      <c r="U133" s="31"/>
      <c r="V133" s="46" t="s">
        <v>602</v>
      </c>
      <c r="W133" s="46">
        <v>33020101001</v>
      </c>
      <c r="X133" s="48" t="s">
        <v>603</v>
      </c>
      <c r="Y133" s="46"/>
      <c r="Z133" s="46"/>
      <c r="AA133" s="46" t="s">
        <v>40</v>
      </c>
      <c r="AB133" s="30" t="s">
        <v>604</v>
      </c>
      <c r="AC133" s="52">
        <v>1350</v>
      </c>
      <c r="AD133" s="51">
        <v>1215</v>
      </c>
      <c r="AE133" s="57">
        <v>1250</v>
      </c>
      <c r="AF133" s="57">
        <v>1200</v>
      </c>
      <c r="AG133" s="57">
        <v>1020</v>
      </c>
      <c r="AH133" s="82" t="s">
        <v>42</v>
      </c>
      <c r="AI133" s="82" t="s">
        <v>43</v>
      </c>
      <c r="AJ133" s="76" t="s">
        <v>43</v>
      </c>
    </row>
    <row r="134" s="17" customFormat="1" ht="29" customHeight="1" spans="1:36">
      <c r="A134" s="29" t="s">
        <v>70</v>
      </c>
      <c r="B134" s="30" t="s">
        <v>605</v>
      </c>
      <c r="C134" s="28" t="s">
        <v>606</v>
      </c>
      <c r="D134" s="30" t="s">
        <v>378</v>
      </c>
      <c r="E134" s="31" t="s">
        <v>43</v>
      </c>
      <c r="F134" s="31" t="s">
        <v>43</v>
      </c>
      <c r="G134" s="30" t="s">
        <v>40</v>
      </c>
      <c r="H134" s="31" t="s">
        <v>43</v>
      </c>
      <c r="I134" s="37">
        <v>324</v>
      </c>
      <c r="J134" s="37">
        <v>292</v>
      </c>
      <c r="K134" s="36"/>
      <c r="L134" s="36"/>
      <c r="M134" s="36"/>
      <c r="N134" s="41">
        <f>N132*0.3</f>
        <v>300</v>
      </c>
      <c r="O134" s="41">
        <v>290</v>
      </c>
      <c r="P134" s="41">
        <v>245</v>
      </c>
      <c r="Q134" s="30" t="s">
        <v>42</v>
      </c>
      <c r="R134" s="30" t="s">
        <v>43</v>
      </c>
      <c r="S134" s="76" t="s">
        <v>43</v>
      </c>
      <c r="T134" s="36"/>
      <c r="U134" s="31"/>
      <c r="V134" s="46" t="s">
        <v>607</v>
      </c>
      <c r="W134" s="46">
        <v>33020101002</v>
      </c>
      <c r="X134" s="48" t="s">
        <v>608</v>
      </c>
      <c r="Y134" s="46"/>
      <c r="Z134" s="46"/>
      <c r="AA134" s="46" t="s">
        <v>40</v>
      </c>
      <c r="AB134" s="30" t="s">
        <v>43</v>
      </c>
      <c r="AC134" s="52">
        <v>1405</v>
      </c>
      <c r="AD134" s="51">
        <v>1260</v>
      </c>
      <c r="AE134" s="57">
        <v>1300</v>
      </c>
      <c r="AF134" s="57">
        <v>1250</v>
      </c>
      <c r="AG134" s="57">
        <v>1065</v>
      </c>
      <c r="AH134" s="82" t="s">
        <v>42</v>
      </c>
      <c r="AI134" s="82" t="s">
        <v>43</v>
      </c>
      <c r="AJ134" s="76" t="s">
        <v>43</v>
      </c>
    </row>
    <row r="135" s="17" customFormat="1" ht="29" customHeight="1" spans="1:36">
      <c r="A135" s="29"/>
      <c r="B135" s="30"/>
      <c r="C135" s="28" t="s">
        <v>606</v>
      </c>
      <c r="D135" s="30"/>
      <c r="E135" s="31"/>
      <c r="F135" s="31"/>
      <c r="G135" s="30"/>
      <c r="H135" s="31"/>
      <c r="I135" s="37"/>
      <c r="J135" s="37"/>
      <c r="K135" s="36"/>
      <c r="L135" s="36"/>
      <c r="M135" s="36"/>
      <c r="N135" s="41"/>
      <c r="O135" s="41"/>
      <c r="P135" s="41"/>
      <c r="Q135" s="30"/>
      <c r="R135" s="30"/>
      <c r="S135" s="76"/>
      <c r="T135" s="36"/>
      <c r="U135" s="31"/>
      <c r="V135" s="46" t="s">
        <v>609</v>
      </c>
      <c r="W135" s="46">
        <v>33020101003</v>
      </c>
      <c r="X135" s="48" t="s">
        <v>610</v>
      </c>
      <c r="Y135" s="46"/>
      <c r="Z135" s="46"/>
      <c r="AA135" s="46" t="s">
        <v>40</v>
      </c>
      <c r="AB135" s="30" t="s">
        <v>604</v>
      </c>
      <c r="AC135" s="52">
        <v>1755</v>
      </c>
      <c r="AD135" s="51">
        <v>1580</v>
      </c>
      <c r="AE135" s="57">
        <v>1625</v>
      </c>
      <c r="AF135" s="57">
        <v>1560</v>
      </c>
      <c r="AG135" s="57">
        <v>1325</v>
      </c>
      <c r="AH135" s="82" t="s">
        <v>42</v>
      </c>
      <c r="AI135" s="82" t="s">
        <v>43</v>
      </c>
      <c r="AJ135" s="76" t="s">
        <v>43</v>
      </c>
    </row>
    <row r="136" s="17" customFormat="1" ht="16" customHeight="1" spans="1:36">
      <c r="A136" s="29">
        <v>40</v>
      </c>
      <c r="B136" s="30" t="s">
        <v>611</v>
      </c>
      <c r="C136" s="28" t="s">
        <v>612</v>
      </c>
      <c r="D136" s="30" t="s">
        <v>378</v>
      </c>
      <c r="E136" s="31" t="s">
        <v>613</v>
      </c>
      <c r="F136" s="31" t="s">
        <v>614</v>
      </c>
      <c r="G136" s="30" t="s">
        <v>40</v>
      </c>
      <c r="H136" s="31" t="s">
        <v>615</v>
      </c>
      <c r="I136" s="37">
        <v>1100</v>
      </c>
      <c r="J136" s="37">
        <v>990</v>
      </c>
      <c r="K136" s="36">
        <v>1930.76599326599</v>
      </c>
      <c r="L136" s="36">
        <v>1775.02262443439</v>
      </c>
      <c r="M136" s="36">
        <v>1530</v>
      </c>
      <c r="N136" s="41">
        <v>1050</v>
      </c>
      <c r="O136" s="41">
        <v>950</v>
      </c>
      <c r="P136" s="41">
        <v>810</v>
      </c>
      <c r="Q136" s="30" t="s">
        <v>42</v>
      </c>
      <c r="R136" s="30" t="s">
        <v>43</v>
      </c>
      <c r="S136" s="76" t="s">
        <v>43</v>
      </c>
      <c r="T136" s="36" t="s">
        <v>186</v>
      </c>
      <c r="U136" s="31" t="s">
        <v>616</v>
      </c>
      <c r="V136" s="30" t="s">
        <v>617</v>
      </c>
      <c r="W136" s="30">
        <v>310100019</v>
      </c>
      <c r="X136" s="30" t="s">
        <v>618</v>
      </c>
      <c r="Y136" s="30"/>
      <c r="Z136" s="30"/>
      <c r="AA136" s="30" t="s">
        <v>40</v>
      </c>
      <c r="AB136" s="30" t="s">
        <v>350</v>
      </c>
      <c r="AC136" s="51">
        <v>195</v>
      </c>
      <c r="AD136" s="51">
        <v>175</v>
      </c>
      <c r="AE136" s="57">
        <v>165</v>
      </c>
      <c r="AF136" s="57">
        <v>150</v>
      </c>
      <c r="AG136" s="57">
        <v>127.5</v>
      </c>
      <c r="AH136" s="82" t="s">
        <v>42</v>
      </c>
      <c r="AI136" s="82" t="s">
        <v>43</v>
      </c>
      <c r="AJ136" s="76" t="s">
        <v>43</v>
      </c>
    </row>
    <row r="137" s="17" customFormat="1" ht="16" customHeight="1" spans="1:36">
      <c r="A137" s="29"/>
      <c r="B137" s="30"/>
      <c r="C137" s="28" t="s">
        <v>612</v>
      </c>
      <c r="D137" s="30"/>
      <c r="E137" s="31"/>
      <c r="F137" s="31"/>
      <c r="G137" s="30"/>
      <c r="H137" s="31"/>
      <c r="I137" s="37"/>
      <c r="J137" s="37"/>
      <c r="K137" s="36"/>
      <c r="L137" s="36"/>
      <c r="M137" s="36"/>
      <c r="N137" s="41"/>
      <c r="O137" s="41"/>
      <c r="P137" s="41"/>
      <c r="Q137" s="30"/>
      <c r="R137" s="30"/>
      <c r="S137" s="76"/>
      <c r="T137" s="36"/>
      <c r="U137" s="31"/>
      <c r="V137" s="30" t="s">
        <v>619</v>
      </c>
      <c r="W137" s="30">
        <v>330201004</v>
      </c>
      <c r="X137" s="30" t="s">
        <v>620</v>
      </c>
      <c r="Y137" s="30" t="s">
        <v>621</v>
      </c>
      <c r="Z137" s="30"/>
      <c r="AA137" s="30" t="s">
        <v>40</v>
      </c>
      <c r="AB137" s="30" t="s">
        <v>43</v>
      </c>
      <c r="AC137" s="51">
        <v>875</v>
      </c>
      <c r="AD137" s="51">
        <v>790</v>
      </c>
      <c r="AE137" s="57">
        <v>875</v>
      </c>
      <c r="AF137" s="57">
        <v>840</v>
      </c>
      <c r="AG137" s="57">
        <v>714</v>
      </c>
      <c r="AH137" s="82" t="s">
        <v>42</v>
      </c>
      <c r="AI137" s="82" t="s">
        <v>43</v>
      </c>
      <c r="AJ137" s="76" t="s">
        <v>43</v>
      </c>
    </row>
    <row r="138" s="17" customFormat="1" ht="16" customHeight="1" spans="1:36">
      <c r="A138" s="29"/>
      <c r="B138" s="30"/>
      <c r="C138" s="28" t="s">
        <v>612</v>
      </c>
      <c r="D138" s="30"/>
      <c r="E138" s="31"/>
      <c r="F138" s="31"/>
      <c r="G138" s="30"/>
      <c r="H138" s="31"/>
      <c r="I138" s="37"/>
      <c r="J138" s="37"/>
      <c r="K138" s="36"/>
      <c r="L138" s="36"/>
      <c r="M138" s="36"/>
      <c r="N138" s="41"/>
      <c r="O138" s="41"/>
      <c r="P138" s="41"/>
      <c r="Q138" s="30"/>
      <c r="R138" s="30"/>
      <c r="S138" s="76"/>
      <c r="T138" s="36"/>
      <c r="U138" s="31"/>
      <c r="V138" s="30" t="s">
        <v>622</v>
      </c>
      <c r="W138" s="30">
        <v>33020100401</v>
      </c>
      <c r="X138" s="30" t="s">
        <v>623</v>
      </c>
      <c r="Y138" s="30"/>
      <c r="Z138" s="30"/>
      <c r="AA138" s="30" t="s">
        <v>40</v>
      </c>
      <c r="AB138" s="30" t="s">
        <v>43</v>
      </c>
      <c r="AC138" s="51">
        <v>875</v>
      </c>
      <c r="AD138" s="51">
        <v>790</v>
      </c>
      <c r="AE138" s="57">
        <v>875</v>
      </c>
      <c r="AF138" s="57">
        <v>840</v>
      </c>
      <c r="AG138" s="57">
        <v>714</v>
      </c>
      <c r="AH138" s="82" t="s">
        <v>42</v>
      </c>
      <c r="AI138" s="82" t="s">
        <v>43</v>
      </c>
      <c r="AJ138" s="76" t="s">
        <v>43</v>
      </c>
    </row>
    <row r="139" s="17" customFormat="1" ht="16" customHeight="1" spans="1:36">
      <c r="A139" s="29"/>
      <c r="B139" s="30"/>
      <c r="C139" s="28" t="s">
        <v>612</v>
      </c>
      <c r="D139" s="30"/>
      <c r="E139" s="31"/>
      <c r="F139" s="31"/>
      <c r="G139" s="30"/>
      <c r="H139" s="31"/>
      <c r="I139" s="37"/>
      <c r="J139" s="37"/>
      <c r="K139" s="36"/>
      <c r="L139" s="36"/>
      <c r="M139" s="36"/>
      <c r="N139" s="41"/>
      <c r="O139" s="41"/>
      <c r="P139" s="41"/>
      <c r="Q139" s="30"/>
      <c r="R139" s="30"/>
      <c r="S139" s="76"/>
      <c r="T139" s="36"/>
      <c r="U139" s="31"/>
      <c r="V139" s="46" t="s">
        <v>624</v>
      </c>
      <c r="W139" s="46">
        <v>310100018</v>
      </c>
      <c r="X139" s="48" t="s">
        <v>625</v>
      </c>
      <c r="Y139" s="46"/>
      <c r="Z139" s="46"/>
      <c r="AA139" s="46" t="s">
        <v>40</v>
      </c>
      <c r="AB139" s="30" t="s">
        <v>43</v>
      </c>
      <c r="AC139" s="52"/>
      <c r="AD139" s="51" t="s">
        <v>43</v>
      </c>
      <c r="AE139" s="57" t="s">
        <v>43</v>
      </c>
      <c r="AF139" s="57" t="s">
        <v>43</v>
      </c>
      <c r="AG139" s="57" t="s">
        <v>43</v>
      </c>
      <c r="AH139" s="82" t="s">
        <v>43</v>
      </c>
      <c r="AI139" s="82" t="s">
        <v>43</v>
      </c>
      <c r="AJ139" s="76" t="s">
        <v>43</v>
      </c>
    </row>
    <row r="140" s="17" customFormat="1" ht="16" customHeight="1" spans="1:36">
      <c r="A140" s="29"/>
      <c r="B140" s="30"/>
      <c r="C140" s="28" t="s">
        <v>612</v>
      </c>
      <c r="D140" s="30"/>
      <c r="E140" s="31"/>
      <c r="F140" s="31"/>
      <c r="G140" s="30"/>
      <c r="H140" s="31"/>
      <c r="I140" s="37"/>
      <c r="J140" s="37"/>
      <c r="K140" s="36"/>
      <c r="L140" s="36"/>
      <c r="M140" s="36"/>
      <c r="N140" s="41"/>
      <c r="O140" s="41"/>
      <c r="P140" s="41"/>
      <c r="Q140" s="30"/>
      <c r="R140" s="30"/>
      <c r="S140" s="76"/>
      <c r="T140" s="36"/>
      <c r="U140" s="31"/>
      <c r="V140" s="30" t="s">
        <v>626</v>
      </c>
      <c r="W140" s="30">
        <v>330201013</v>
      </c>
      <c r="X140" s="30" t="s">
        <v>627</v>
      </c>
      <c r="Y140" s="30" t="s">
        <v>628</v>
      </c>
      <c r="Z140" s="30"/>
      <c r="AA140" s="30" t="s">
        <v>40</v>
      </c>
      <c r="AB140" s="30" t="s">
        <v>43</v>
      </c>
      <c r="AC140" s="51">
        <v>2030</v>
      </c>
      <c r="AD140" s="51">
        <v>1820</v>
      </c>
      <c r="AE140" s="57">
        <v>1875</v>
      </c>
      <c r="AF140" s="57">
        <v>1800</v>
      </c>
      <c r="AG140" s="57">
        <v>1530</v>
      </c>
      <c r="AH140" s="82" t="s">
        <v>42</v>
      </c>
      <c r="AI140" s="82" t="s">
        <v>43</v>
      </c>
      <c r="AJ140" s="76" t="s">
        <v>43</v>
      </c>
    </row>
    <row r="141" s="17" customFormat="1" ht="16" customHeight="1" spans="1:36">
      <c r="A141" s="29"/>
      <c r="B141" s="30"/>
      <c r="C141" s="28" t="s">
        <v>612</v>
      </c>
      <c r="D141" s="30"/>
      <c r="E141" s="31"/>
      <c r="F141" s="31"/>
      <c r="G141" s="30"/>
      <c r="H141" s="31"/>
      <c r="I141" s="37"/>
      <c r="J141" s="37"/>
      <c r="K141" s="36"/>
      <c r="L141" s="36"/>
      <c r="M141" s="36"/>
      <c r="N141" s="41"/>
      <c r="O141" s="41"/>
      <c r="P141" s="41"/>
      <c r="Q141" s="30"/>
      <c r="R141" s="30"/>
      <c r="S141" s="76"/>
      <c r="T141" s="36"/>
      <c r="U141" s="31"/>
      <c r="V141" s="46" t="s">
        <v>629</v>
      </c>
      <c r="W141" s="46">
        <v>33020101302</v>
      </c>
      <c r="X141" s="48" t="s">
        <v>630</v>
      </c>
      <c r="Y141" s="46"/>
      <c r="Z141" s="46"/>
      <c r="AA141" s="46" t="s">
        <v>40</v>
      </c>
      <c r="AB141" s="30" t="s">
        <v>43</v>
      </c>
      <c r="AC141" s="52">
        <v>2830</v>
      </c>
      <c r="AD141" s="51">
        <v>2540</v>
      </c>
      <c r="AE141" s="57">
        <v>2250</v>
      </c>
      <c r="AF141" s="57">
        <v>2160</v>
      </c>
      <c r="AG141" s="57">
        <v>1656</v>
      </c>
      <c r="AH141" s="82" t="s">
        <v>42</v>
      </c>
      <c r="AI141" s="82" t="s">
        <v>43</v>
      </c>
      <c r="AJ141" s="76" t="s">
        <v>43</v>
      </c>
    </row>
    <row r="142" s="17" customFormat="1" ht="16" customHeight="1" spans="1:36">
      <c r="A142" s="29" t="s">
        <v>70</v>
      </c>
      <c r="B142" s="30" t="s">
        <v>631</v>
      </c>
      <c r="C142" s="28" t="s">
        <v>632</v>
      </c>
      <c r="D142" s="30" t="s">
        <v>378</v>
      </c>
      <c r="E142" s="31" t="s">
        <v>43</v>
      </c>
      <c r="F142" s="31" t="s">
        <v>43</v>
      </c>
      <c r="G142" s="30" t="s">
        <v>40</v>
      </c>
      <c r="H142" s="31" t="s">
        <v>43</v>
      </c>
      <c r="I142" s="37">
        <v>330</v>
      </c>
      <c r="J142" s="37">
        <v>297</v>
      </c>
      <c r="K142" s="36"/>
      <c r="L142" s="36"/>
      <c r="M142" s="36"/>
      <c r="N142" s="41">
        <f>N136*0.3</f>
        <v>315</v>
      </c>
      <c r="O142" s="41">
        <f>O136*0.3</f>
        <v>285</v>
      </c>
      <c r="P142" s="41">
        <v>245</v>
      </c>
      <c r="Q142" s="30" t="s">
        <v>42</v>
      </c>
      <c r="R142" s="30" t="s">
        <v>43</v>
      </c>
      <c r="S142" s="76" t="s">
        <v>43</v>
      </c>
      <c r="T142" s="36"/>
      <c r="U142" s="31" t="s">
        <v>384</v>
      </c>
      <c r="V142" s="46" t="s">
        <v>633</v>
      </c>
      <c r="W142" s="46">
        <v>31010001901</v>
      </c>
      <c r="X142" s="48" t="s">
        <v>634</v>
      </c>
      <c r="Y142" s="46"/>
      <c r="Z142" s="46"/>
      <c r="AA142" s="46" t="s">
        <v>40</v>
      </c>
      <c r="AB142" s="30" t="s">
        <v>43</v>
      </c>
      <c r="AC142" s="52">
        <v>255</v>
      </c>
      <c r="AD142" s="51">
        <v>230</v>
      </c>
      <c r="AE142" s="57">
        <v>215</v>
      </c>
      <c r="AF142" s="57">
        <v>195</v>
      </c>
      <c r="AG142" s="57">
        <v>165</v>
      </c>
      <c r="AH142" s="82" t="s">
        <v>42</v>
      </c>
      <c r="AI142" s="82" t="s">
        <v>43</v>
      </c>
      <c r="AJ142" s="76" t="s">
        <v>43</v>
      </c>
    </row>
    <row r="143" s="17" customFormat="1" ht="16" customHeight="1" spans="1:36">
      <c r="A143" s="29"/>
      <c r="B143" s="30"/>
      <c r="C143" s="28" t="s">
        <v>632</v>
      </c>
      <c r="D143" s="30"/>
      <c r="E143" s="31"/>
      <c r="F143" s="31"/>
      <c r="G143" s="30"/>
      <c r="H143" s="31"/>
      <c r="I143" s="37"/>
      <c r="J143" s="37"/>
      <c r="K143" s="36"/>
      <c r="L143" s="36"/>
      <c r="M143" s="36"/>
      <c r="N143" s="41"/>
      <c r="O143" s="41"/>
      <c r="P143" s="41"/>
      <c r="Q143" s="30"/>
      <c r="R143" s="30"/>
      <c r="S143" s="76"/>
      <c r="T143" s="36"/>
      <c r="U143" s="31"/>
      <c r="V143" s="46" t="s">
        <v>635</v>
      </c>
      <c r="W143" s="46">
        <v>33020100402</v>
      </c>
      <c r="X143" s="48" t="s">
        <v>636</v>
      </c>
      <c r="Y143" s="46"/>
      <c r="Z143" s="46"/>
      <c r="AA143" s="46" t="s">
        <v>40</v>
      </c>
      <c r="AB143" s="30" t="s">
        <v>43</v>
      </c>
      <c r="AC143" s="52">
        <v>1140</v>
      </c>
      <c r="AD143" s="51">
        <v>1025</v>
      </c>
      <c r="AE143" s="57">
        <v>1140</v>
      </c>
      <c r="AF143" s="57">
        <v>1090</v>
      </c>
      <c r="AG143" s="57">
        <v>925</v>
      </c>
      <c r="AH143" s="82" t="s">
        <v>42</v>
      </c>
      <c r="AI143" s="82" t="s">
        <v>43</v>
      </c>
      <c r="AJ143" s="76" t="s">
        <v>43</v>
      </c>
    </row>
    <row r="144" s="17" customFormat="1" ht="16" customHeight="1" spans="1:36">
      <c r="A144" s="29"/>
      <c r="B144" s="30"/>
      <c r="C144" s="28" t="s">
        <v>632</v>
      </c>
      <c r="D144" s="30"/>
      <c r="E144" s="31"/>
      <c r="F144" s="31"/>
      <c r="G144" s="30"/>
      <c r="H144" s="31"/>
      <c r="I144" s="37"/>
      <c r="J144" s="37"/>
      <c r="K144" s="36"/>
      <c r="L144" s="36"/>
      <c r="M144" s="36"/>
      <c r="N144" s="41"/>
      <c r="O144" s="41"/>
      <c r="P144" s="41"/>
      <c r="Q144" s="30"/>
      <c r="R144" s="30"/>
      <c r="S144" s="76"/>
      <c r="T144" s="36"/>
      <c r="U144" s="31"/>
      <c r="V144" s="30" t="s">
        <v>637</v>
      </c>
      <c r="W144" s="30">
        <v>33020101301</v>
      </c>
      <c r="X144" s="30" t="s">
        <v>638</v>
      </c>
      <c r="Y144" s="30"/>
      <c r="Z144" s="30"/>
      <c r="AA144" s="30" t="s">
        <v>40</v>
      </c>
      <c r="AB144" s="30" t="s">
        <v>43</v>
      </c>
      <c r="AC144" s="51">
        <v>2640</v>
      </c>
      <c r="AD144" s="51">
        <v>2365</v>
      </c>
      <c r="AE144" s="57">
        <v>2440</v>
      </c>
      <c r="AF144" s="57">
        <v>2340</v>
      </c>
      <c r="AG144" s="57">
        <v>1990</v>
      </c>
      <c r="AH144" s="82" t="s">
        <v>42</v>
      </c>
      <c r="AI144" s="82" t="s">
        <v>43</v>
      </c>
      <c r="AJ144" s="76" t="s">
        <v>43</v>
      </c>
    </row>
    <row r="145" s="17" customFormat="1" ht="16" customHeight="1" spans="1:36">
      <c r="A145" s="29"/>
      <c r="B145" s="30"/>
      <c r="C145" s="28" t="s">
        <v>632</v>
      </c>
      <c r="D145" s="30"/>
      <c r="E145" s="31"/>
      <c r="F145" s="31"/>
      <c r="G145" s="30"/>
      <c r="H145" s="31"/>
      <c r="I145" s="37"/>
      <c r="J145" s="37"/>
      <c r="K145" s="36"/>
      <c r="L145" s="36"/>
      <c r="M145" s="36"/>
      <c r="N145" s="41"/>
      <c r="O145" s="41"/>
      <c r="P145" s="41"/>
      <c r="Q145" s="30"/>
      <c r="R145" s="30"/>
      <c r="S145" s="76"/>
      <c r="T145" s="36"/>
      <c r="U145" s="31"/>
      <c r="V145" s="46" t="s">
        <v>639</v>
      </c>
      <c r="W145" s="46">
        <v>33020101303</v>
      </c>
      <c r="X145" s="48" t="s">
        <v>640</v>
      </c>
      <c r="Y145" s="46"/>
      <c r="Z145" s="46"/>
      <c r="AA145" s="46" t="s">
        <v>40</v>
      </c>
      <c r="AB145" s="30" t="s">
        <v>43</v>
      </c>
      <c r="AC145" s="52">
        <v>3440</v>
      </c>
      <c r="AD145" s="51">
        <v>3085</v>
      </c>
      <c r="AE145" s="57">
        <v>2815</v>
      </c>
      <c r="AF145" s="57">
        <v>2700</v>
      </c>
      <c r="AG145" s="57">
        <v>2295</v>
      </c>
      <c r="AH145" s="82" t="s">
        <v>42</v>
      </c>
      <c r="AI145" s="82" t="s">
        <v>43</v>
      </c>
      <c r="AJ145" s="76" t="s">
        <v>43</v>
      </c>
    </row>
    <row r="146" s="17" customFormat="1" ht="20" customHeight="1" spans="1:36">
      <c r="A146" s="29" t="s">
        <v>70</v>
      </c>
      <c r="B146" s="30" t="s">
        <v>641</v>
      </c>
      <c r="C146" s="28" t="s">
        <v>642</v>
      </c>
      <c r="D146" s="30" t="s">
        <v>378</v>
      </c>
      <c r="E146" s="31" t="s">
        <v>43</v>
      </c>
      <c r="F146" s="31" t="s">
        <v>43</v>
      </c>
      <c r="G146" s="30" t="s">
        <v>40</v>
      </c>
      <c r="H146" s="31" t="s">
        <v>43</v>
      </c>
      <c r="I146" s="37">
        <v>220</v>
      </c>
      <c r="J146" s="37">
        <v>198</v>
      </c>
      <c r="K146" s="59">
        <v>-450.920107719928</v>
      </c>
      <c r="L146" s="59">
        <v>-21.2222222222222</v>
      </c>
      <c r="M146" s="59"/>
      <c r="N146" s="41">
        <f>N136*0.2</f>
        <v>210</v>
      </c>
      <c r="O146" s="41">
        <f>O136*0.2</f>
        <v>190</v>
      </c>
      <c r="P146" s="41">
        <f>P136*0.2</f>
        <v>162</v>
      </c>
      <c r="Q146" s="30" t="s">
        <v>42</v>
      </c>
      <c r="R146" s="30" t="s">
        <v>43</v>
      </c>
      <c r="S146" s="76" t="s">
        <v>43</v>
      </c>
      <c r="T146" s="36"/>
      <c r="U146" s="31" t="s">
        <v>643</v>
      </c>
      <c r="V146" s="30" t="s">
        <v>644</v>
      </c>
      <c r="W146" s="30">
        <v>310100017</v>
      </c>
      <c r="X146" s="30" t="s">
        <v>645</v>
      </c>
      <c r="Y146" s="30" t="s">
        <v>646</v>
      </c>
      <c r="Z146" s="30"/>
      <c r="AA146" s="30" t="s">
        <v>40</v>
      </c>
      <c r="AB146" s="30" t="s">
        <v>350</v>
      </c>
      <c r="AC146" s="51">
        <v>195</v>
      </c>
      <c r="AD146" s="51">
        <v>175</v>
      </c>
      <c r="AE146" s="57">
        <v>165</v>
      </c>
      <c r="AF146" s="57">
        <v>150</v>
      </c>
      <c r="AG146" s="57">
        <v>127.5</v>
      </c>
      <c r="AH146" s="82" t="s">
        <v>42</v>
      </c>
      <c r="AI146" s="82" t="s">
        <v>43</v>
      </c>
      <c r="AJ146" s="76" t="s">
        <v>43</v>
      </c>
    </row>
    <row r="147" s="17" customFormat="1" ht="20" customHeight="1" spans="1:36">
      <c r="A147" s="29"/>
      <c r="B147" s="30"/>
      <c r="C147" s="28" t="s">
        <v>642</v>
      </c>
      <c r="D147" s="30"/>
      <c r="E147" s="31"/>
      <c r="F147" s="31"/>
      <c r="G147" s="30"/>
      <c r="H147" s="31"/>
      <c r="I147" s="37"/>
      <c r="J147" s="37"/>
      <c r="K147" s="59"/>
      <c r="L147" s="59"/>
      <c r="M147" s="59"/>
      <c r="N147" s="41"/>
      <c r="O147" s="41"/>
      <c r="P147" s="41"/>
      <c r="Q147" s="30"/>
      <c r="R147" s="30"/>
      <c r="S147" s="76"/>
      <c r="T147" s="36"/>
      <c r="U147" s="31"/>
      <c r="V147" s="46" t="s">
        <v>647</v>
      </c>
      <c r="W147" s="46">
        <v>31010001702</v>
      </c>
      <c r="X147" s="48" t="s">
        <v>648</v>
      </c>
      <c r="Y147" s="46"/>
      <c r="Z147" s="46"/>
      <c r="AA147" s="46" t="s">
        <v>40</v>
      </c>
      <c r="AB147" s="30" t="s">
        <v>649</v>
      </c>
      <c r="AC147" s="52">
        <v>195</v>
      </c>
      <c r="AD147" s="51">
        <v>175</v>
      </c>
      <c r="AE147" s="57">
        <v>165</v>
      </c>
      <c r="AF147" s="57">
        <v>150</v>
      </c>
      <c r="AG147" s="57">
        <v>127.5</v>
      </c>
      <c r="AH147" s="82" t="s">
        <v>42</v>
      </c>
      <c r="AI147" s="82" t="s">
        <v>43</v>
      </c>
      <c r="AJ147" s="76" t="s">
        <v>43</v>
      </c>
    </row>
    <row r="148" s="17" customFormat="1" ht="20" customHeight="1" spans="1:36">
      <c r="A148" s="29"/>
      <c r="B148" s="30"/>
      <c r="C148" s="28" t="s">
        <v>642</v>
      </c>
      <c r="D148" s="30"/>
      <c r="E148" s="31"/>
      <c r="F148" s="31"/>
      <c r="G148" s="30"/>
      <c r="H148" s="31"/>
      <c r="I148" s="37"/>
      <c r="J148" s="37"/>
      <c r="K148" s="59"/>
      <c r="L148" s="59"/>
      <c r="M148" s="59"/>
      <c r="N148" s="41"/>
      <c r="O148" s="41"/>
      <c r="P148" s="41"/>
      <c r="Q148" s="30"/>
      <c r="R148" s="30"/>
      <c r="S148" s="76"/>
      <c r="T148" s="36"/>
      <c r="U148" s="31"/>
      <c r="V148" s="46" t="s">
        <v>650</v>
      </c>
      <c r="W148" s="46">
        <v>31010001703</v>
      </c>
      <c r="X148" s="48" t="s">
        <v>651</v>
      </c>
      <c r="Y148" s="46"/>
      <c r="Z148" s="46"/>
      <c r="AA148" s="46" t="s">
        <v>40</v>
      </c>
      <c r="AB148" s="30" t="s">
        <v>43</v>
      </c>
      <c r="AC148" s="52">
        <v>255</v>
      </c>
      <c r="AD148" s="51">
        <v>230</v>
      </c>
      <c r="AE148" s="57">
        <v>215</v>
      </c>
      <c r="AF148" s="57">
        <v>195</v>
      </c>
      <c r="AG148" s="57">
        <v>165</v>
      </c>
      <c r="AH148" s="82" t="s">
        <v>42</v>
      </c>
      <c r="AI148" s="82" t="s">
        <v>43</v>
      </c>
      <c r="AJ148" s="76" t="s">
        <v>43</v>
      </c>
    </row>
    <row r="149" s="17" customFormat="1" ht="20" customHeight="1" spans="1:36">
      <c r="A149" s="29"/>
      <c r="B149" s="30"/>
      <c r="C149" s="28" t="s">
        <v>642</v>
      </c>
      <c r="D149" s="30"/>
      <c r="E149" s="31"/>
      <c r="F149" s="31"/>
      <c r="G149" s="30"/>
      <c r="H149" s="31"/>
      <c r="I149" s="37"/>
      <c r="J149" s="37"/>
      <c r="K149" s="59"/>
      <c r="L149" s="59"/>
      <c r="M149" s="59"/>
      <c r="N149" s="41"/>
      <c r="O149" s="41"/>
      <c r="P149" s="41"/>
      <c r="Q149" s="30"/>
      <c r="R149" s="30"/>
      <c r="S149" s="76"/>
      <c r="T149" s="36"/>
      <c r="U149" s="31"/>
      <c r="V149" s="30" t="s">
        <v>652</v>
      </c>
      <c r="W149" s="30">
        <v>31010001701</v>
      </c>
      <c r="X149" s="30" t="s">
        <v>653</v>
      </c>
      <c r="Y149" s="30"/>
      <c r="Z149" s="30"/>
      <c r="AA149" s="30" t="s">
        <v>40</v>
      </c>
      <c r="AB149" s="30" t="s">
        <v>654</v>
      </c>
      <c r="AC149" s="51">
        <v>195</v>
      </c>
      <c r="AD149" s="51">
        <v>175</v>
      </c>
      <c r="AE149" s="57">
        <v>165</v>
      </c>
      <c r="AF149" s="57">
        <v>150</v>
      </c>
      <c r="AG149" s="57">
        <v>127.5</v>
      </c>
      <c r="AH149" s="82" t="s">
        <v>42</v>
      </c>
      <c r="AI149" s="82" t="s">
        <v>43</v>
      </c>
      <c r="AJ149" s="76" t="s">
        <v>43</v>
      </c>
    </row>
    <row r="150" s="17" customFormat="1" ht="20" customHeight="1" spans="1:36">
      <c r="A150" s="29"/>
      <c r="B150" s="30"/>
      <c r="C150" s="28" t="s">
        <v>642</v>
      </c>
      <c r="D150" s="30"/>
      <c r="E150" s="31"/>
      <c r="F150" s="31"/>
      <c r="G150" s="30"/>
      <c r="H150" s="31"/>
      <c r="I150" s="37"/>
      <c r="J150" s="37"/>
      <c r="K150" s="59"/>
      <c r="L150" s="59"/>
      <c r="M150" s="59"/>
      <c r="N150" s="41"/>
      <c r="O150" s="41"/>
      <c r="P150" s="41"/>
      <c r="Q150" s="30"/>
      <c r="R150" s="30"/>
      <c r="S150" s="76"/>
      <c r="T150" s="36"/>
      <c r="U150" s="31"/>
      <c r="V150" s="30" t="s">
        <v>655</v>
      </c>
      <c r="W150" s="30">
        <v>330201005</v>
      </c>
      <c r="X150" s="30" t="s">
        <v>656</v>
      </c>
      <c r="Y150" s="30" t="s">
        <v>657</v>
      </c>
      <c r="Z150" s="30"/>
      <c r="AA150" s="30" t="s">
        <v>40</v>
      </c>
      <c r="AB150" s="30" t="s">
        <v>43</v>
      </c>
      <c r="AC150" s="51">
        <v>1220</v>
      </c>
      <c r="AD150" s="51">
        <v>1090</v>
      </c>
      <c r="AE150" s="57">
        <v>1125</v>
      </c>
      <c r="AF150" s="57">
        <v>1080</v>
      </c>
      <c r="AG150" s="57">
        <v>918</v>
      </c>
      <c r="AH150" s="82" t="s">
        <v>42</v>
      </c>
      <c r="AI150" s="82" t="s">
        <v>43</v>
      </c>
      <c r="AJ150" s="76" t="s">
        <v>43</v>
      </c>
    </row>
    <row r="151" s="17" customFormat="1" ht="20" customHeight="1" spans="1:36">
      <c r="A151" s="29"/>
      <c r="B151" s="30"/>
      <c r="C151" s="28" t="s">
        <v>642</v>
      </c>
      <c r="D151" s="30"/>
      <c r="E151" s="31"/>
      <c r="F151" s="31"/>
      <c r="G151" s="30"/>
      <c r="H151" s="31"/>
      <c r="I151" s="37"/>
      <c r="J151" s="37"/>
      <c r="K151" s="59"/>
      <c r="L151" s="59"/>
      <c r="M151" s="59"/>
      <c r="N151" s="41"/>
      <c r="O151" s="41"/>
      <c r="P151" s="41"/>
      <c r="Q151" s="30"/>
      <c r="R151" s="30"/>
      <c r="S151" s="76"/>
      <c r="T151" s="36"/>
      <c r="U151" s="31"/>
      <c r="V151" s="46" t="s">
        <v>658</v>
      </c>
      <c r="W151" s="46">
        <v>33020100501</v>
      </c>
      <c r="X151" s="48" t="s">
        <v>659</v>
      </c>
      <c r="Y151" s="46"/>
      <c r="Z151" s="46"/>
      <c r="AA151" s="46" t="s">
        <v>40</v>
      </c>
      <c r="AB151" s="30" t="s">
        <v>43</v>
      </c>
      <c r="AC151" s="52">
        <v>1585</v>
      </c>
      <c r="AD151" s="51">
        <v>1415</v>
      </c>
      <c r="AE151" s="57">
        <v>1465</v>
      </c>
      <c r="AF151" s="57">
        <v>1405</v>
      </c>
      <c r="AG151" s="57">
        <v>1195</v>
      </c>
      <c r="AH151" s="82" t="s">
        <v>42</v>
      </c>
      <c r="AI151" s="82" t="s">
        <v>43</v>
      </c>
      <c r="AJ151" s="76" t="s">
        <v>43</v>
      </c>
    </row>
    <row r="152" s="17" customFormat="1" ht="20" customHeight="1" spans="1:36">
      <c r="A152" s="29"/>
      <c r="B152" s="30"/>
      <c r="C152" s="28" t="s">
        <v>642</v>
      </c>
      <c r="D152" s="30"/>
      <c r="E152" s="31"/>
      <c r="F152" s="31"/>
      <c r="G152" s="30"/>
      <c r="H152" s="31"/>
      <c r="I152" s="37"/>
      <c r="J152" s="37"/>
      <c r="K152" s="59"/>
      <c r="L152" s="59"/>
      <c r="M152" s="59"/>
      <c r="N152" s="41"/>
      <c r="O152" s="41"/>
      <c r="P152" s="41"/>
      <c r="Q152" s="30"/>
      <c r="R152" s="30"/>
      <c r="S152" s="76"/>
      <c r="T152" s="36"/>
      <c r="U152" s="31"/>
      <c r="V152" s="30" t="s">
        <v>660</v>
      </c>
      <c r="W152" s="30">
        <v>330201020</v>
      </c>
      <c r="X152" s="30" t="s">
        <v>661</v>
      </c>
      <c r="Y152" s="30"/>
      <c r="Z152" s="30"/>
      <c r="AA152" s="30" t="s">
        <v>40</v>
      </c>
      <c r="AB152" s="30" t="s">
        <v>43</v>
      </c>
      <c r="AC152" s="51">
        <v>1000</v>
      </c>
      <c r="AD152" s="51">
        <v>900</v>
      </c>
      <c r="AE152" s="57">
        <v>1000</v>
      </c>
      <c r="AF152" s="57">
        <v>960</v>
      </c>
      <c r="AG152" s="57">
        <v>816</v>
      </c>
      <c r="AH152" s="82" t="s">
        <v>42</v>
      </c>
      <c r="AI152" s="82" t="s">
        <v>43</v>
      </c>
      <c r="AJ152" s="76" t="s">
        <v>43</v>
      </c>
    </row>
    <row r="153" s="17" customFormat="1" ht="20" customHeight="1" spans="1:36">
      <c r="A153" s="29"/>
      <c r="B153" s="30"/>
      <c r="C153" s="28" t="s">
        <v>642</v>
      </c>
      <c r="D153" s="30"/>
      <c r="E153" s="31"/>
      <c r="F153" s="31"/>
      <c r="G153" s="30"/>
      <c r="H153" s="31"/>
      <c r="I153" s="37"/>
      <c r="J153" s="37"/>
      <c r="K153" s="59"/>
      <c r="L153" s="59"/>
      <c r="M153" s="59"/>
      <c r="N153" s="41"/>
      <c r="O153" s="41"/>
      <c r="P153" s="41"/>
      <c r="Q153" s="30"/>
      <c r="R153" s="30"/>
      <c r="S153" s="76"/>
      <c r="T153" s="36"/>
      <c r="U153" s="31"/>
      <c r="V153" s="46" t="s">
        <v>662</v>
      </c>
      <c r="W153" s="46">
        <v>33020102001</v>
      </c>
      <c r="X153" s="48" t="s">
        <v>663</v>
      </c>
      <c r="Y153" s="46"/>
      <c r="Z153" s="46"/>
      <c r="AA153" s="46" t="s">
        <v>40</v>
      </c>
      <c r="AB153" s="30" t="s">
        <v>43</v>
      </c>
      <c r="AC153" s="52">
        <v>1300</v>
      </c>
      <c r="AD153" s="51">
        <v>1170</v>
      </c>
      <c r="AE153" s="57">
        <v>1300</v>
      </c>
      <c r="AF153" s="57">
        <v>1250</v>
      </c>
      <c r="AG153" s="57">
        <v>1065</v>
      </c>
      <c r="AH153" s="82" t="s">
        <v>42</v>
      </c>
      <c r="AI153" s="82" t="s">
        <v>43</v>
      </c>
      <c r="AJ153" s="76" t="s">
        <v>43</v>
      </c>
    </row>
    <row r="154" s="17" customFormat="1" ht="20" customHeight="1" spans="1:36">
      <c r="A154" s="29"/>
      <c r="B154" s="30"/>
      <c r="C154" s="28" t="s">
        <v>642</v>
      </c>
      <c r="D154" s="30"/>
      <c r="E154" s="31"/>
      <c r="F154" s="31"/>
      <c r="G154" s="30"/>
      <c r="H154" s="31"/>
      <c r="I154" s="37"/>
      <c r="J154" s="37"/>
      <c r="K154" s="59"/>
      <c r="L154" s="59"/>
      <c r="M154" s="59"/>
      <c r="N154" s="41"/>
      <c r="O154" s="41"/>
      <c r="P154" s="41"/>
      <c r="Q154" s="30"/>
      <c r="R154" s="30"/>
      <c r="S154" s="76"/>
      <c r="T154" s="36"/>
      <c r="U154" s="31"/>
      <c r="V154" s="30" t="s">
        <v>664</v>
      </c>
      <c r="W154" s="30">
        <v>330201021</v>
      </c>
      <c r="X154" s="30" t="s">
        <v>665</v>
      </c>
      <c r="Y154" s="30" t="s">
        <v>666</v>
      </c>
      <c r="Z154" s="30"/>
      <c r="AA154" s="30" t="s">
        <v>40</v>
      </c>
      <c r="AB154" s="30" t="s">
        <v>43</v>
      </c>
      <c r="AC154" s="51">
        <v>2160</v>
      </c>
      <c r="AD154" s="51">
        <v>1940</v>
      </c>
      <c r="AE154" s="57">
        <v>2000</v>
      </c>
      <c r="AF154" s="57">
        <v>1920</v>
      </c>
      <c r="AG154" s="57">
        <v>1632</v>
      </c>
      <c r="AH154" s="82" t="s">
        <v>42</v>
      </c>
      <c r="AI154" s="82" t="s">
        <v>43</v>
      </c>
      <c r="AJ154" s="76" t="s">
        <v>43</v>
      </c>
    </row>
    <row r="155" s="17" customFormat="1" ht="20" customHeight="1" spans="1:36">
      <c r="A155" s="29"/>
      <c r="B155" s="30"/>
      <c r="C155" s="28" t="s">
        <v>642</v>
      </c>
      <c r="D155" s="30"/>
      <c r="E155" s="31"/>
      <c r="F155" s="31"/>
      <c r="G155" s="30"/>
      <c r="H155" s="31"/>
      <c r="I155" s="37"/>
      <c r="J155" s="37"/>
      <c r="K155" s="59"/>
      <c r="L155" s="59"/>
      <c r="M155" s="59"/>
      <c r="N155" s="41"/>
      <c r="O155" s="41"/>
      <c r="P155" s="41"/>
      <c r="Q155" s="30"/>
      <c r="R155" s="30"/>
      <c r="S155" s="76"/>
      <c r="T155" s="36"/>
      <c r="U155" s="31"/>
      <c r="V155" s="46" t="s">
        <v>667</v>
      </c>
      <c r="W155" s="46">
        <v>33020102101</v>
      </c>
      <c r="X155" s="48" t="s">
        <v>668</v>
      </c>
      <c r="Y155" s="46"/>
      <c r="Z155" s="46"/>
      <c r="AA155" s="46" t="s">
        <v>40</v>
      </c>
      <c r="AB155" s="30" t="s">
        <v>43</v>
      </c>
      <c r="AC155" s="52">
        <v>2810</v>
      </c>
      <c r="AD155" s="51">
        <v>2520</v>
      </c>
      <c r="AE155" s="57">
        <v>2600</v>
      </c>
      <c r="AF155" s="57">
        <v>2495</v>
      </c>
      <c r="AG155" s="57">
        <v>2120</v>
      </c>
      <c r="AH155" s="82" t="s">
        <v>42</v>
      </c>
      <c r="AI155" s="82" t="s">
        <v>43</v>
      </c>
      <c r="AJ155" s="76" t="s">
        <v>43</v>
      </c>
    </row>
    <row r="156" s="17" customFormat="1" ht="20" customHeight="1" spans="1:36">
      <c r="A156" s="29"/>
      <c r="B156" s="30"/>
      <c r="C156" s="28" t="s">
        <v>642</v>
      </c>
      <c r="D156" s="30"/>
      <c r="E156" s="31"/>
      <c r="F156" s="31"/>
      <c r="G156" s="30"/>
      <c r="H156" s="31"/>
      <c r="I156" s="37"/>
      <c r="J156" s="37"/>
      <c r="K156" s="59"/>
      <c r="L156" s="59"/>
      <c r="M156" s="59"/>
      <c r="N156" s="41"/>
      <c r="O156" s="41"/>
      <c r="P156" s="41"/>
      <c r="Q156" s="30"/>
      <c r="R156" s="30"/>
      <c r="S156" s="76"/>
      <c r="T156" s="36"/>
      <c r="U156" s="31"/>
      <c r="V156" s="46" t="s">
        <v>669</v>
      </c>
      <c r="W156" s="46">
        <v>33020102102</v>
      </c>
      <c r="X156" s="48" t="s">
        <v>670</v>
      </c>
      <c r="Y156" s="46"/>
      <c r="Z156" s="46"/>
      <c r="AA156" s="46" t="s">
        <v>40</v>
      </c>
      <c r="AB156" s="30" t="s">
        <v>43</v>
      </c>
      <c r="AC156" s="52">
        <v>2960</v>
      </c>
      <c r="AD156" s="51">
        <v>2660</v>
      </c>
      <c r="AE156" s="57">
        <v>2375</v>
      </c>
      <c r="AF156" s="57">
        <v>2280</v>
      </c>
      <c r="AG156" s="57">
        <v>1938</v>
      </c>
      <c r="AH156" s="82" t="s">
        <v>42</v>
      </c>
      <c r="AI156" s="82" t="s">
        <v>43</v>
      </c>
      <c r="AJ156" s="76" t="s">
        <v>43</v>
      </c>
    </row>
    <row r="157" s="17" customFormat="1" ht="20" customHeight="1" spans="1:36">
      <c r="A157" s="29"/>
      <c r="B157" s="30"/>
      <c r="C157" s="28" t="s">
        <v>642</v>
      </c>
      <c r="D157" s="30"/>
      <c r="E157" s="31"/>
      <c r="F157" s="31"/>
      <c r="G157" s="30"/>
      <c r="H157" s="31"/>
      <c r="I157" s="37"/>
      <c r="J157" s="37"/>
      <c r="K157" s="59"/>
      <c r="L157" s="59"/>
      <c r="M157" s="59"/>
      <c r="N157" s="41"/>
      <c r="O157" s="41"/>
      <c r="P157" s="41"/>
      <c r="Q157" s="30"/>
      <c r="R157" s="30"/>
      <c r="S157" s="76"/>
      <c r="T157" s="36"/>
      <c r="U157" s="31"/>
      <c r="V157" s="46" t="s">
        <v>671</v>
      </c>
      <c r="W157" s="46">
        <v>33020102103</v>
      </c>
      <c r="X157" s="48" t="s">
        <v>672</v>
      </c>
      <c r="Y157" s="46"/>
      <c r="Z157" s="46"/>
      <c r="AA157" s="46" t="s">
        <v>40</v>
      </c>
      <c r="AB157" s="30" t="s">
        <v>43</v>
      </c>
      <c r="AC157" s="52">
        <v>3610</v>
      </c>
      <c r="AD157" s="51">
        <v>3240</v>
      </c>
      <c r="AE157" s="57">
        <v>2975</v>
      </c>
      <c r="AF157" s="57">
        <v>2855</v>
      </c>
      <c r="AG157" s="57">
        <v>2425</v>
      </c>
      <c r="AH157" s="82" t="s">
        <v>42</v>
      </c>
      <c r="AI157" s="82" t="s">
        <v>43</v>
      </c>
      <c r="AJ157" s="76" t="s">
        <v>43</v>
      </c>
    </row>
    <row r="158" s="17" customFormat="1" ht="20" customHeight="1" spans="1:36">
      <c r="A158" s="29" t="s">
        <v>70</v>
      </c>
      <c r="B158" s="30" t="s">
        <v>673</v>
      </c>
      <c r="C158" s="28" t="s">
        <v>674</v>
      </c>
      <c r="D158" s="30" t="s">
        <v>378</v>
      </c>
      <c r="E158" s="31" t="s">
        <v>43</v>
      </c>
      <c r="F158" s="31" t="s">
        <v>43</v>
      </c>
      <c r="G158" s="30" t="s">
        <v>40</v>
      </c>
      <c r="H158" s="31" t="s">
        <v>43</v>
      </c>
      <c r="I158" s="37">
        <v>1100</v>
      </c>
      <c r="J158" s="37">
        <v>990</v>
      </c>
      <c r="K158" s="36"/>
      <c r="L158" s="36"/>
      <c r="M158" s="36"/>
      <c r="N158" s="41">
        <f>N136</f>
        <v>1050</v>
      </c>
      <c r="O158" s="41">
        <f>O136</f>
        <v>950</v>
      </c>
      <c r="P158" s="41">
        <f>P136</f>
        <v>810</v>
      </c>
      <c r="Q158" s="30" t="s">
        <v>42</v>
      </c>
      <c r="R158" s="30" t="s">
        <v>43</v>
      </c>
      <c r="S158" s="76" t="s">
        <v>43</v>
      </c>
      <c r="T158" s="36"/>
      <c r="U158" s="31" t="s">
        <v>453</v>
      </c>
      <c r="V158" s="30" t="s">
        <v>675</v>
      </c>
      <c r="W158" s="30">
        <v>330204018</v>
      </c>
      <c r="X158" s="30" t="s">
        <v>676</v>
      </c>
      <c r="Y158" s="30"/>
      <c r="Z158" s="30"/>
      <c r="AA158" s="30" t="s">
        <v>40</v>
      </c>
      <c r="AB158" s="30" t="s">
        <v>43</v>
      </c>
      <c r="AC158" s="51">
        <v>880</v>
      </c>
      <c r="AD158" s="51">
        <v>790</v>
      </c>
      <c r="AE158" s="57">
        <v>795</v>
      </c>
      <c r="AF158" s="57">
        <v>715</v>
      </c>
      <c r="AG158" s="57">
        <v>605</v>
      </c>
      <c r="AH158" s="82" t="s">
        <v>42</v>
      </c>
      <c r="AI158" s="82" t="s">
        <v>43</v>
      </c>
      <c r="AJ158" s="76" t="s">
        <v>43</v>
      </c>
    </row>
    <row r="159" s="17" customFormat="1" ht="20" customHeight="1" spans="1:36">
      <c r="A159" s="29"/>
      <c r="B159" s="30"/>
      <c r="C159" s="28" t="s">
        <v>674</v>
      </c>
      <c r="D159" s="30"/>
      <c r="E159" s="31"/>
      <c r="F159" s="31"/>
      <c r="G159" s="30"/>
      <c r="H159" s="31"/>
      <c r="I159" s="37"/>
      <c r="J159" s="37"/>
      <c r="K159" s="36"/>
      <c r="L159" s="36"/>
      <c r="M159" s="36"/>
      <c r="N159" s="41"/>
      <c r="O159" s="41"/>
      <c r="P159" s="41"/>
      <c r="Q159" s="30"/>
      <c r="R159" s="30"/>
      <c r="S159" s="76"/>
      <c r="T159" s="36"/>
      <c r="U159" s="31"/>
      <c r="V159" s="46" t="s">
        <v>677</v>
      </c>
      <c r="W159" s="46">
        <v>33020401801</v>
      </c>
      <c r="X159" s="48" t="s">
        <v>678</v>
      </c>
      <c r="Y159" s="50"/>
      <c r="Z159" s="50"/>
      <c r="AA159" s="50" t="s">
        <v>40</v>
      </c>
      <c r="AB159" s="30" t="s">
        <v>43</v>
      </c>
      <c r="AC159" s="62">
        <v>1140</v>
      </c>
      <c r="AD159" s="51">
        <v>1030</v>
      </c>
      <c r="AE159" s="57">
        <v>1035</v>
      </c>
      <c r="AF159" s="57">
        <v>930</v>
      </c>
      <c r="AG159" s="57">
        <v>785</v>
      </c>
      <c r="AH159" s="82" t="s">
        <v>42</v>
      </c>
      <c r="AI159" s="82" t="s">
        <v>43</v>
      </c>
      <c r="AJ159" s="76" t="s">
        <v>43</v>
      </c>
    </row>
    <row r="160" s="17" customFormat="1" ht="20" customHeight="1" spans="1:36">
      <c r="A160" s="29"/>
      <c r="B160" s="30"/>
      <c r="C160" s="28" t="s">
        <v>674</v>
      </c>
      <c r="D160" s="30"/>
      <c r="E160" s="31"/>
      <c r="F160" s="31"/>
      <c r="G160" s="30"/>
      <c r="H160" s="31"/>
      <c r="I160" s="37"/>
      <c r="J160" s="37"/>
      <c r="K160" s="36"/>
      <c r="L160" s="36"/>
      <c r="M160" s="36"/>
      <c r="N160" s="41"/>
      <c r="O160" s="41"/>
      <c r="P160" s="41"/>
      <c r="Q160" s="30"/>
      <c r="R160" s="30"/>
      <c r="S160" s="76"/>
      <c r="T160" s="36"/>
      <c r="U160" s="31"/>
      <c r="V160" s="46" t="s">
        <v>679</v>
      </c>
      <c r="W160" s="46">
        <v>31010001606</v>
      </c>
      <c r="X160" s="48" t="s">
        <v>680</v>
      </c>
      <c r="Y160" s="60"/>
      <c r="Z160" s="46"/>
      <c r="AA160" s="46" t="s">
        <v>40</v>
      </c>
      <c r="AB160" s="30" t="s">
        <v>43</v>
      </c>
      <c r="AC160" s="52">
        <v>200</v>
      </c>
      <c r="AD160" s="51">
        <v>180</v>
      </c>
      <c r="AE160" s="57">
        <v>180</v>
      </c>
      <c r="AF160" s="57">
        <v>165</v>
      </c>
      <c r="AG160" s="57">
        <v>140</v>
      </c>
      <c r="AH160" s="82" t="s">
        <v>42</v>
      </c>
      <c r="AI160" s="82" t="s">
        <v>43</v>
      </c>
      <c r="AJ160" s="76" t="s">
        <v>43</v>
      </c>
    </row>
    <row r="161" s="17" customFormat="1" ht="20" customHeight="1" spans="1:36">
      <c r="A161" s="29"/>
      <c r="B161" s="30"/>
      <c r="C161" s="28" t="s">
        <v>674</v>
      </c>
      <c r="D161" s="30"/>
      <c r="E161" s="31"/>
      <c r="F161" s="31"/>
      <c r="G161" s="30"/>
      <c r="H161" s="31"/>
      <c r="I161" s="37"/>
      <c r="J161" s="37"/>
      <c r="K161" s="36"/>
      <c r="L161" s="36"/>
      <c r="M161" s="36"/>
      <c r="N161" s="41"/>
      <c r="O161" s="41"/>
      <c r="P161" s="41"/>
      <c r="Q161" s="30"/>
      <c r="R161" s="30"/>
      <c r="S161" s="76"/>
      <c r="T161" s="36"/>
      <c r="U161" s="31"/>
      <c r="V161" s="46" t="s">
        <v>681</v>
      </c>
      <c r="W161" s="46">
        <v>31010001607</v>
      </c>
      <c r="X161" s="48" t="s">
        <v>682</v>
      </c>
      <c r="Y161" s="60"/>
      <c r="Z161" s="46"/>
      <c r="AA161" s="46" t="s">
        <v>40</v>
      </c>
      <c r="AB161" s="30" t="s">
        <v>43</v>
      </c>
      <c r="AC161" s="52">
        <v>260</v>
      </c>
      <c r="AD161" s="51">
        <v>234</v>
      </c>
      <c r="AE161" s="57">
        <v>235</v>
      </c>
      <c r="AF161" s="57">
        <v>215</v>
      </c>
      <c r="AG161" s="57">
        <v>180</v>
      </c>
      <c r="AH161" s="82" t="s">
        <v>42</v>
      </c>
      <c r="AI161" s="82" t="s">
        <v>43</v>
      </c>
      <c r="AJ161" s="76" t="s">
        <v>43</v>
      </c>
    </row>
    <row r="162" s="17" customFormat="1" ht="103" customHeight="1" spans="1:36">
      <c r="A162" s="29">
        <v>41</v>
      </c>
      <c r="B162" s="30" t="s">
        <v>683</v>
      </c>
      <c r="C162" s="30" t="s">
        <v>684</v>
      </c>
      <c r="D162" s="30" t="s">
        <v>378</v>
      </c>
      <c r="E162" s="31" t="s">
        <v>685</v>
      </c>
      <c r="F162" s="31" t="s">
        <v>686</v>
      </c>
      <c r="G162" s="30" t="s">
        <v>40</v>
      </c>
      <c r="H162" s="31" t="s">
        <v>146</v>
      </c>
      <c r="I162" s="37">
        <v>700</v>
      </c>
      <c r="J162" s="37">
        <v>630</v>
      </c>
      <c r="K162" s="36">
        <v>250</v>
      </c>
      <c r="L162" s="36">
        <v>240</v>
      </c>
      <c r="M162" s="36">
        <v>204</v>
      </c>
      <c r="N162" s="41">
        <v>620</v>
      </c>
      <c r="O162" s="41">
        <v>560</v>
      </c>
      <c r="P162" s="41">
        <v>580</v>
      </c>
      <c r="Q162" s="30" t="s">
        <v>42</v>
      </c>
      <c r="R162" s="30" t="s">
        <v>43</v>
      </c>
      <c r="S162" s="76" t="s">
        <v>43</v>
      </c>
      <c r="T162" s="36" t="s">
        <v>687</v>
      </c>
      <c r="U162" s="31" t="s">
        <v>688</v>
      </c>
      <c r="V162" s="30" t="s">
        <v>689</v>
      </c>
      <c r="W162" s="30">
        <v>330204020</v>
      </c>
      <c r="X162" s="30" t="s">
        <v>690</v>
      </c>
      <c r="Y162" s="30"/>
      <c r="Z162" s="30"/>
      <c r="AA162" s="30" t="s">
        <v>40</v>
      </c>
      <c r="AB162" s="30" t="s">
        <v>43</v>
      </c>
      <c r="AC162" s="51">
        <v>270</v>
      </c>
      <c r="AD162" s="51">
        <v>245</v>
      </c>
      <c r="AE162" s="57">
        <v>250</v>
      </c>
      <c r="AF162" s="57">
        <v>240</v>
      </c>
      <c r="AG162" s="57">
        <v>204</v>
      </c>
      <c r="AH162" s="82" t="s">
        <v>42</v>
      </c>
      <c r="AI162" s="82" t="s">
        <v>43</v>
      </c>
      <c r="AJ162" s="76" t="s">
        <v>43</v>
      </c>
    </row>
    <row r="163" s="17" customFormat="1" ht="45" customHeight="1" spans="1:36">
      <c r="A163" s="29" t="s">
        <v>70</v>
      </c>
      <c r="B163" s="30" t="s">
        <v>691</v>
      </c>
      <c r="C163" s="30" t="s">
        <v>692</v>
      </c>
      <c r="D163" s="30" t="s">
        <v>378</v>
      </c>
      <c r="E163" s="31" t="s">
        <v>43</v>
      </c>
      <c r="F163" s="31" t="s">
        <v>43</v>
      </c>
      <c r="G163" s="30" t="s">
        <v>40</v>
      </c>
      <c r="H163" s="31" t="s">
        <v>43</v>
      </c>
      <c r="I163" s="37">
        <v>210</v>
      </c>
      <c r="J163" s="37">
        <v>189</v>
      </c>
      <c r="K163" s="36"/>
      <c r="L163" s="36"/>
      <c r="M163" s="36"/>
      <c r="N163" s="41">
        <v>190</v>
      </c>
      <c r="O163" s="41">
        <v>170</v>
      </c>
      <c r="P163" s="41">
        <v>145</v>
      </c>
      <c r="Q163" s="30" t="s">
        <v>42</v>
      </c>
      <c r="R163" s="30" t="s">
        <v>43</v>
      </c>
      <c r="S163" s="76" t="s">
        <v>43</v>
      </c>
      <c r="T163" s="36"/>
      <c r="U163" s="31" t="s">
        <v>384</v>
      </c>
      <c r="V163" s="46" t="s">
        <v>693</v>
      </c>
      <c r="W163" s="46">
        <v>33020402001</v>
      </c>
      <c r="X163" s="48" t="s">
        <v>694</v>
      </c>
      <c r="Y163" s="46"/>
      <c r="Z163" s="46"/>
      <c r="AA163" s="46" t="s">
        <v>40</v>
      </c>
      <c r="AB163" s="30" t="s">
        <v>43</v>
      </c>
      <c r="AC163" s="52">
        <v>350</v>
      </c>
      <c r="AD163" s="51">
        <v>320</v>
      </c>
      <c r="AE163" s="57">
        <v>325</v>
      </c>
      <c r="AF163" s="57">
        <v>310</v>
      </c>
      <c r="AG163" s="57">
        <v>265</v>
      </c>
      <c r="AH163" s="82" t="s">
        <v>42</v>
      </c>
      <c r="AI163" s="82" t="s">
        <v>43</v>
      </c>
      <c r="AJ163" s="76" t="s">
        <v>43</v>
      </c>
    </row>
    <row r="164" s="17" customFormat="1" ht="51" customHeight="1" spans="1:36">
      <c r="A164" s="29">
        <v>42</v>
      </c>
      <c r="B164" s="30" t="s">
        <v>695</v>
      </c>
      <c r="C164" s="28" t="s">
        <v>696</v>
      </c>
      <c r="D164" s="30" t="s">
        <v>378</v>
      </c>
      <c r="E164" s="31" t="s">
        <v>697</v>
      </c>
      <c r="F164" s="31" t="s">
        <v>698</v>
      </c>
      <c r="G164" s="30" t="s">
        <v>40</v>
      </c>
      <c r="H164" s="31" t="s">
        <v>699</v>
      </c>
      <c r="I164" s="37">
        <v>1620</v>
      </c>
      <c r="J164" s="37">
        <v>1458</v>
      </c>
      <c r="K164" s="59">
        <v>1517.44186046512</v>
      </c>
      <c r="L164" s="36">
        <v>1440</v>
      </c>
      <c r="M164" s="36"/>
      <c r="N164" s="41">
        <v>1520</v>
      </c>
      <c r="O164" s="41">
        <v>1440</v>
      </c>
      <c r="P164" s="41">
        <v>1225</v>
      </c>
      <c r="Q164" s="30" t="s">
        <v>42</v>
      </c>
      <c r="R164" s="30" t="s">
        <v>43</v>
      </c>
      <c r="S164" s="76" t="s">
        <v>43</v>
      </c>
      <c r="T164" s="36" t="s">
        <v>44</v>
      </c>
      <c r="U164" s="31" t="s">
        <v>44</v>
      </c>
      <c r="V164" s="30" t="s">
        <v>700</v>
      </c>
      <c r="W164" s="30">
        <v>330204021</v>
      </c>
      <c r="X164" s="30" t="s">
        <v>701</v>
      </c>
      <c r="Y164" s="30"/>
      <c r="Z164" s="30" t="s">
        <v>702</v>
      </c>
      <c r="AA164" s="30" t="s">
        <v>40</v>
      </c>
      <c r="AB164" s="30" t="s">
        <v>703</v>
      </c>
      <c r="AC164" s="51">
        <v>1620</v>
      </c>
      <c r="AD164" s="51">
        <v>1460</v>
      </c>
      <c r="AE164" s="57">
        <v>1500</v>
      </c>
      <c r="AF164" s="57">
        <v>1440</v>
      </c>
      <c r="AG164" s="57">
        <v>1224</v>
      </c>
      <c r="AH164" s="82" t="s">
        <v>42</v>
      </c>
      <c r="AI164" s="82" t="s">
        <v>43</v>
      </c>
      <c r="AJ164" s="76" t="s">
        <v>43</v>
      </c>
    </row>
    <row r="165" s="17" customFormat="1" ht="51" customHeight="1" spans="1:36">
      <c r="A165" s="29"/>
      <c r="B165" s="30"/>
      <c r="C165" s="28" t="s">
        <v>696</v>
      </c>
      <c r="D165" s="30"/>
      <c r="E165" s="31"/>
      <c r="F165" s="31"/>
      <c r="G165" s="30"/>
      <c r="H165" s="31"/>
      <c r="I165" s="37"/>
      <c r="J165" s="37"/>
      <c r="K165" s="59"/>
      <c r="L165" s="36"/>
      <c r="M165" s="36"/>
      <c r="N165" s="41"/>
      <c r="O165" s="41"/>
      <c r="P165" s="41"/>
      <c r="Q165" s="30"/>
      <c r="R165" s="30"/>
      <c r="S165" s="76"/>
      <c r="T165" s="36"/>
      <c r="U165" s="31"/>
      <c r="V165" s="46" t="s">
        <v>704</v>
      </c>
      <c r="W165" s="46">
        <v>33020402102</v>
      </c>
      <c r="X165" s="48" t="s">
        <v>705</v>
      </c>
      <c r="Y165" s="46"/>
      <c r="Z165" s="46"/>
      <c r="AA165" s="46" t="s">
        <v>40</v>
      </c>
      <c r="AB165" s="30" t="s">
        <v>43</v>
      </c>
      <c r="AC165" s="52">
        <v>2420</v>
      </c>
      <c r="AD165" s="51">
        <v>2180</v>
      </c>
      <c r="AE165" s="57">
        <v>1875</v>
      </c>
      <c r="AF165" s="57">
        <v>1800</v>
      </c>
      <c r="AG165" s="57">
        <v>1530</v>
      </c>
      <c r="AH165" s="82" t="s">
        <v>42</v>
      </c>
      <c r="AI165" s="82" t="s">
        <v>43</v>
      </c>
      <c r="AJ165" s="76" t="s">
        <v>43</v>
      </c>
    </row>
    <row r="166" s="17" customFormat="1" ht="28" customHeight="1" spans="1:36">
      <c r="A166" s="29" t="s">
        <v>70</v>
      </c>
      <c r="B166" s="30" t="s">
        <v>706</v>
      </c>
      <c r="C166" s="28" t="s">
        <v>707</v>
      </c>
      <c r="D166" s="30" t="s">
        <v>378</v>
      </c>
      <c r="E166" s="31" t="s">
        <v>43</v>
      </c>
      <c r="F166" s="31" t="s">
        <v>43</v>
      </c>
      <c r="G166" s="30" t="s">
        <v>40</v>
      </c>
      <c r="H166" s="31" t="s">
        <v>43</v>
      </c>
      <c r="I166" s="37">
        <v>486</v>
      </c>
      <c r="J166" s="37">
        <v>437</v>
      </c>
      <c r="K166" s="36">
        <v>430</v>
      </c>
      <c r="L166" s="36"/>
      <c r="M166" s="36"/>
      <c r="N166" s="41">
        <v>455</v>
      </c>
      <c r="O166" s="41">
        <v>430</v>
      </c>
      <c r="P166" s="41">
        <v>370</v>
      </c>
      <c r="Q166" s="30" t="s">
        <v>42</v>
      </c>
      <c r="R166" s="30" t="s">
        <v>43</v>
      </c>
      <c r="S166" s="76" t="s">
        <v>43</v>
      </c>
      <c r="T166" s="36"/>
      <c r="U166" s="31" t="s">
        <v>384</v>
      </c>
      <c r="V166" s="46" t="s">
        <v>708</v>
      </c>
      <c r="W166" s="61">
        <v>33020402101</v>
      </c>
      <c r="X166" s="48" t="s">
        <v>709</v>
      </c>
      <c r="Y166" s="46"/>
      <c r="Z166" s="46"/>
      <c r="AA166" s="46" t="s">
        <v>40</v>
      </c>
      <c r="AB166" s="30" t="s">
        <v>43</v>
      </c>
      <c r="AC166" s="52">
        <v>2105</v>
      </c>
      <c r="AD166" s="51">
        <v>1900</v>
      </c>
      <c r="AE166" s="57">
        <v>1950</v>
      </c>
      <c r="AF166" s="57">
        <v>1870</v>
      </c>
      <c r="AG166" s="57">
        <v>1590</v>
      </c>
      <c r="AH166" s="82" t="s">
        <v>42</v>
      </c>
      <c r="AI166" s="82" t="s">
        <v>43</v>
      </c>
      <c r="AJ166" s="76" t="s">
        <v>43</v>
      </c>
    </row>
    <row r="167" s="17" customFormat="1" ht="28" customHeight="1" spans="1:36">
      <c r="A167" s="29"/>
      <c r="B167" s="30"/>
      <c r="C167" s="28" t="s">
        <v>707</v>
      </c>
      <c r="D167" s="30"/>
      <c r="E167" s="31"/>
      <c r="F167" s="31"/>
      <c r="G167" s="30"/>
      <c r="H167" s="31"/>
      <c r="I167" s="37"/>
      <c r="J167" s="37"/>
      <c r="K167" s="36"/>
      <c r="L167" s="36"/>
      <c r="M167" s="36"/>
      <c r="N167" s="41"/>
      <c r="O167" s="41"/>
      <c r="P167" s="41"/>
      <c r="Q167" s="30"/>
      <c r="R167" s="30"/>
      <c r="S167" s="76"/>
      <c r="T167" s="36"/>
      <c r="U167" s="31"/>
      <c r="V167" s="46" t="s">
        <v>710</v>
      </c>
      <c r="W167" s="46">
        <v>33020402103</v>
      </c>
      <c r="X167" s="48" t="s">
        <v>711</v>
      </c>
      <c r="Y167" s="46"/>
      <c r="Z167" s="46"/>
      <c r="AA167" s="46" t="s">
        <v>40</v>
      </c>
      <c r="AB167" s="30" t="s">
        <v>43</v>
      </c>
      <c r="AC167" s="52">
        <v>2905</v>
      </c>
      <c r="AD167" s="51">
        <v>2620</v>
      </c>
      <c r="AE167" s="57">
        <v>2325</v>
      </c>
      <c r="AF167" s="57">
        <v>2230</v>
      </c>
      <c r="AG167" s="57">
        <v>1895</v>
      </c>
      <c r="AH167" s="82" t="s">
        <v>42</v>
      </c>
      <c r="AI167" s="82" t="s">
        <v>43</v>
      </c>
      <c r="AJ167" s="76" t="s">
        <v>43</v>
      </c>
    </row>
    <row r="168" s="17" customFormat="1" ht="76" customHeight="1" spans="1:36">
      <c r="A168" s="29">
        <v>43</v>
      </c>
      <c r="B168" s="30" t="s">
        <v>712</v>
      </c>
      <c r="C168" s="30" t="s">
        <v>713</v>
      </c>
      <c r="D168" s="30" t="s">
        <v>378</v>
      </c>
      <c r="E168" s="31" t="s">
        <v>714</v>
      </c>
      <c r="F168" s="31" t="s">
        <v>548</v>
      </c>
      <c r="G168" s="30" t="s">
        <v>40</v>
      </c>
      <c r="H168" s="31" t="s">
        <v>146</v>
      </c>
      <c r="I168" s="37">
        <v>486</v>
      </c>
      <c r="J168" s="37">
        <v>437</v>
      </c>
      <c r="K168" s="36"/>
      <c r="L168" s="36"/>
      <c r="M168" s="36"/>
      <c r="N168" s="41">
        <v>455</v>
      </c>
      <c r="O168" s="41">
        <v>430</v>
      </c>
      <c r="P168" s="41">
        <v>365</v>
      </c>
      <c r="Q168" s="30" t="s">
        <v>100</v>
      </c>
      <c r="R168" s="30" t="s">
        <v>43</v>
      </c>
      <c r="S168" s="76" t="s">
        <v>43</v>
      </c>
      <c r="T168" s="36" t="s">
        <v>236</v>
      </c>
      <c r="U168" s="31" t="s">
        <v>715</v>
      </c>
      <c r="V168" s="30"/>
      <c r="W168" s="30"/>
      <c r="X168" s="30"/>
      <c r="Y168" s="30"/>
      <c r="Z168" s="30"/>
      <c r="AA168" s="30"/>
      <c r="AB168" s="30"/>
      <c r="AC168" s="51"/>
      <c r="AD168" s="51"/>
      <c r="AE168" s="57"/>
      <c r="AF168" s="57"/>
      <c r="AG168" s="57"/>
      <c r="AH168" s="82"/>
      <c r="AI168" s="82"/>
      <c r="AJ168" s="76"/>
    </row>
    <row r="169" s="17" customFormat="1" ht="51" customHeight="1" spans="1:36">
      <c r="A169" s="29" t="s">
        <v>70</v>
      </c>
      <c r="B169" s="30" t="s">
        <v>716</v>
      </c>
      <c r="C169" s="30" t="s">
        <v>717</v>
      </c>
      <c r="D169" s="30" t="s">
        <v>378</v>
      </c>
      <c r="E169" s="31" t="s">
        <v>43</v>
      </c>
      <c r="F169" s="31" t="s">
        <v>43</v>
      </c>
      <c r="G169" s="30" t="s">
        <v>40</v>
      </c>
      <c r="H169" s="31" t="s">
        <v>43</v>
      </c>
      <c r="I169" s="37">
        <v>146</v>
      </c>
      <c r="J169" s="37">
        <v>131</v>
      </c>
      <c r="K169" s="36"/>
      <c r="L169" s="36"/>
      <c r="M169" s="36"/>
      <c r="N169" s="41">
        <v>135</v>
      </c>
      <c r="O169" s="41">
        <v>130</v>
      </c>
      <c r="P169" s="41">
        <v>110</v>
      </c>
      <c r="Q169" s="30" t="s">
        <v>100</v>
      </c>
      <c r="R169" s="30" t="s">
        <v>43</v>
      </c>
      <c r="S169" s="76" t="s">
        <v>43</v>
      </c>
      <c r="T169" s="36"/>
      <c r="U169" s="31"/>
      <c r="V169" s="30"/>
      <c r="W169" s="30"/>
      <c r="X169" s="30"/>
      <c r="Y169" s="30"/>
      <c r="Z169" s="30"/>
      <c r="AA169" s="30"/>
      <c r="AB169" s="30"/>
      <c r="AC169" s="51"/>
      <c r="AD169" s="51"/>
      <c r="AE169" s="57"/>
      <c r="AF169" s="57"/>
      <c r="AG169" s="57"/>
      <c r="AH169" s="82"/>
      <c r="AI169" s="82"/>
      <c r="AJ169" s="76"/>
    </row>
    <row r="170" s="17" customFormat="1" ht="83" customHeight="1" spans="1:36">
      <c r="A170" s="29">
        <v>44</v>
      </c>
      <c r="B170" s="30" t="s">
        <v>718</v>
      </c>
      <c r="C170" s="30" t="s">
        <v>719</v>
      </c>
      <c r="D170" s="30" t="s">
        <v>378</v>
      </c>
      <c r="E170" s="31" t="s">
        <v>720</v>
      </c>
      <c r="F170" s="31" t="s">
        <v>721</v>
      </c>
      <c r="G170" s="30" t="s">
        <v>40</v>
      </c>
      <c r="H170" s="31" t="s">
        <v>722</v>
      </c>
      <c r="I170" s="37">
        <v>1620</v>
      </c>
      <c r="J170" s="37">
        <v>1458</v>
      </c>
      <c r="K170" s="36"/>
      <c r="L170" s="36"/>
      <c r="M170" s="36"/>
      <c r="N170" s="41">
        <f>N164</f>
        <v>1520</v>
      </c>
      <c r="O170" s="41">
        <f>O164</f>
        <v>1440</v>
      </c>
      <c r="P170" s="41">
        <f>P164</f>
        <v>1225</v>
      </c>
      <c r="Q170" s="30" t="s">
        <v>100</v>
      </c>
      <c r="R170" s="30" t="s">
        <v>43</v>
      </c>
      <c r="S170" s="76" t="s">
        <v>43</v>
      </c>
      <c r="T170" s="36" t="s">
        <v>236</v>
      </c>
      <c r="U170" s="31" t="s">
        <v>723</v>
      </c>
      <c r="V170" s="30"/>
      <c r="W170" s="30"/>
      <c r="X170" s="30"/>
      <c r="Y170" s="30"/>
      <c r="Z170" s="30"/>
      <c r="AA170" s="30"/>
      <c r="AB170" s="30"/>
      <c r="AC170" s="51"/>
      <c r="AD170" s="51"/>
      <c r="AE170" s="57"/>
      <c r="AF170" s="57"/>
      <c r="AG170" s="57"/>
      <c r="AH170" s="82"/>
      <c r="AI170" s="82"/>
      <c r="AJ170" s="76"/>
    </row>
    <row r="171" s="17" customFormat="1" ht="56" customHeight="1" spans="1:36">
      <c r="A171" s="29" t="s">
        <v>70</v>
      </c>
      <c r="B171" s="30" t="s">
        <v>724</v>
      </c>
      <c r="C171" s="30" t="s">
        <v>725</v>
      </c>
      <c r="D171" s="30" t="s">
        <v>378</v>
      </c>
      <c r="E171" s="31" t="s">
        <v>43</v>
      </c>
      <c r="F171" s="31" t="s">
        <v>43</v>
      </c>
      <c r="G171" s="30" t="s">
        <v>40</v>
      </c>
      <c r="H171" s="31" t="s">
        <v>43</v>
      </c>
      <c r="I171" s="37">
        <v>486</v>
      </c>
      <c r="J171" s="37">
        <v>437</v>
      </c>
      <c r="K171" s="36"/>
      <c r="L171" s="36"/>
      <c r="M171" s="36"/>
      <c r="N171" s="41">
        <v>455</v>
      </c>
      <c r="O171" s="41">
        <v>430</v>
      </c>
      <c r="P171" s="41">
        <v>365</v>
      </c>
      <c r="Q171" s="30" t="s">
        <v>100</v>
      </c>
      <c r="R171" s="30" t="s">
        <v>43</v>
      </c>
      <c r="S171" s="76" t="s">
        <v>43</v>
      </c>
      <c r="T171" s="36"/>
      <c r="U171" s="31" t="s">
        <v>384</v>
      </c>
      <c r="V171" s="30"/>
      <c r="W171" s="30"/>
      <c r="X171" s="30"/>
      <c r="Y171" s="30"/>
      <c r="Z171" s="30"/>
      <c r="AA171" s="30"/>
      <c r="AB171" s="30"/>
      <c r="AC171" s="51"/>
      <c r="AD171" s="51"/>
      <c r="AE171" s="57"/>
      <c r="AF171" s="57"/>
      <c r="AG171" s="57"/>
      <c r="AH171" s="82"/>
      <c r="AI171" s="82"/>
      <c r="AJ171" s="76"/>
    </row>
    <row r="172" s="17" customFormat="1" ht="33" customHeight="1" spans="1:36">
      <c r="A172" s="29">
        <v>45</v>
      </c>
      <c r="B172" s="30" t="s">
        <v>726</v>
      </c>
      <c r="C172" s="28" t="s">
        <v>727</v>
      </c>
      <c r="D172" s="30" t="s">
        <v>378</v>
      </c>
      <c r="E172" s="31" t="s">
        <v>728</v>
      </c>
      <c r="F172" s="31" t="s">
        <v>729</v>
      </c>
      <c r="G172" s="30" t="s">
        <v>40</v>
      </c>
      <c r="H172" s="31" t="s">
        <v>146</v>
      </c>
      <c r="I172" s="37">
        <v>2610</v>
      </c>
      <c r="J172" s="37">
        <v>2349</v>
      </c>
      <c r="K172" s="59">
        <v>2000.94594594595</v>
      </c>
      <c r="L172" s="59">
        <v>2283.00395256917</v>
      </c>
      <c r="M172" s="36">
        <v>1530</v>
      </c>
      <c r="N172" s="41">
        <v>2450</v>
      </c>
      <c r="O172" s="41">
        <v>2250</v>
      </c>
      <c r="P172" s="41">
        <v>1950</v>
      </c>
      <c r="Q172" s="30" t="s">
        <v>42</v>
      </c>
      <c r="R172" s="30" t="s">
        <v>43</v>
      </c>
      <c r="S172" s="76" t="s">
        <v>43</v>
      </c>
      <c r="T172" s="36" t="s">
        <v>280</v>
      </c>
      <c r="U172" s="31" t="s">
        <v>730</v>
      </c>
      <c r="V172" s="30" t="s">
        <v>731</v>
      </c>
      <c r="W172" s="30">
        <v>330201008</v>
      </c>
      <c r="X172" s="30" t="s">
        <v>732</v>
      </c>
      <c r="Y172" s="30"/>
      <c r="Z172" s="30"/>
      <c r="AA172" s="30" t="s">
        <v>40</v>
      </c>
      <c r="AB172" s="30" t="s">
        <v>43</v>
      </c>
      <c r="AC172" s="51">
        <v>2030</v>
      </c>
      <c r="AD172" s="51">
        <v>1820</v>
      </c>
      <c r="AE172" s="57">
        <v>1875</v>
      </c>
      <c r="AF172" s="57">
        <v>1800</v>
      </c>
      <c r="AG172" s="57">
        <v>1530</v>
      </c>
      <c r="AH172" s="82" t="s">
        <v>42</v>
      </c>
      <c r="AI172" s="82" t="s">
        <v>43</v>
      </c>
      <c r="AJ172" s="76" t="s">
        <v>43</v>
      </c>
    </row>
    <row r="173" s="17" customFormat="1" ht="33" customHeight="1" spans="1:36">
      <c r="A173" s="29"/>
      <c r="B173" s="30"/>
      <c r="C173" s="28" t="s">
        <v>727</v>
      </c>
      <c r="D173" s="30"/>
      <c r="E173" s="31"/>
      <c r="F173" s="31"/>
      <c r="G173" s="30"/>
      <c r="H173" s="31"/>
      <c r="I173" s="37"/>
      <c r="J173" s="37"/>
      <c r="K173" s="59"/>
      <c r="L173" s="59"/>
      <c r="M173" s="36"/>
      <c r="N173" s="41"/>
      <c r="O173" s="41"/>
      <c r="P173" s="41"/>
      <c r="Q173" s="30"/>
      <c r="R173" s="30"/>
      <c r="S173" s="76"/>
      <c r="T173" s="36"/>
      <c r="U173" s="31"/>
      <c r="V173" s="30" t="s">
        <v>733</v>
      </c>
      <c r="W173" s="30">
        <v>330201016</v>
      </c>
      <c r="X173" s="30" t="s">
        <v>734</v>
      </c>
      <c r="Y173" s="30" t="s">
        <v>735</v>
      </c>
      <c r="Z173" s="30"/>
      <c r="AA173" s="30" t="s">
        <v>40</v>
      </c>
      <c r="AB173" s="30" t="s">
        <v>43</v>
      </c>
      <c r="AC173" s="51">
        <v>3460</v>
      </c>
      <c r="AD173" s="51">
        <v>3110</v>
      </c>
      <c r="AE173" s="57">
        <v>3040</v>
      </c>
      <c r="AF173" s="57">
        <v>2740</v>
      </c>
      <c r="AG173" s="57">
        <v>2330</v>
      </c>
      <c r="AH173" s="82" t="s">
        <v>42</v>
      </c>
      <c r="AI173" s="82" t="s">
        <v>43</v>
      </c>
      <c r="AJ173" s="76" t="s">
        <v>43</v>
      </c>
    </row>
    <row r="174" s="17" customFormat="1" ht="37" customHeight="1" spans="1:36">
      <c r="A174" s="29"/>
      <c r="B174" s="30"/>
      <c r="C174" s="28" t="s">
        <v>727</v>
      </c>
      <c r="D174" s="30"/>
      <c r="E174" s="31"/>
      <c r="F174" s="31"/>
      <c r="G174" s="30"/>
      <c r="H174" s="31"/>
      <c r="I174" s="37"/>
      <c r="J174" s="37"/>
      <c r="K174" s="59"/>
      <c r="L174" s="59"/>
      <c r="M174" s="36"/>
      <c r="N174" s="41"/>
      <c r="O174" s="41"/>
      <c r="P174" s="41"/>
      <c r="Q174" s="30"/>
      <c r="R174" s="30"/>
      <c r="S174" s="76"/>
      <c r="T174" s="36"/>
      <c r="U174" s="31"/>
      <c r="V174" s="30" t="s">
        <v>736</v>
      </c>
      <c r="W174" s="30">
        <v>330201053</v>
      </c>
      <c r="X174" s="30" t="s">
        <v>737</v>
      </c>
      <c r="Y174" s="30" t="s">
        <v>738</v>
      </c>
      <c r="Z174" s="30"/>
      <c r="AA174" s="30" t="s">
        <v>40</v>
      </c>
      <c r="AB174" s="30" t="s">
        <v>43</v>
      </c>
      <c r="AC174" s="51">
        <v>4610</v>
      </c>
      <c r="AD174" s="51">
        <v>4150</v>
      </c>
      <c r="AE174" s="57">
        <v>4050</v>
      </c>
      <c r="AF174" s="57">
        <v>3650</v>
      </c>
      <c r="AG174" s="57">
        <v>3100</v>
      </c>
      <c r="AH174" s="82" t="s">
        <v>42</v>
      </c>
      <c r="AI174" s="82" t="s">
        <v>43</v>
      </c>
      <c r="AJ174" s="76" t="s">
        <v>43</v>
      </c>
    </row>
    <row r="175" s="17" customFormat="1" ht="29" customHeight="1" spans="1:36">
      <c r="A175" s="29" t="s">
        <v>70</v>
      </c>
      <c r="B175" s="30" t="s">
        <v>739</v>
      </c>
      <c r="C175" s="28" t="s">
        <v>740</v>
      </c>
      <c r="D175" s="30" t="s">
        <v>378</v>
      </c>
      <c r="E175" s="31" t="s">
        <v>43</v>
      </c>
      <c r="F175" s="31" t="s">
        <v>43</v>
      </c>
      <c r="G175" s="30" t="s">
        <v>40</v>
      </c>
      <c r="H175" s="31" t="s">
        <v>43</v>
      </c>
      <c r="I175" s="37">
        <v>783</v>
      </c>
      <c r="J175" s="37">
        <v>705</v>
      </c>
      <c r="K175" s="36"/>
      <c r="L175" s="36"/>
      <c r="M175" s="36"/>
      <c r="N175" s="41">
        <f>N172*0.3</f>
        <v>735</v>
      </c>
      <c r="O175" s="41">
        <f>O172*0.3</f>
        <v>675</v>
      </c>
      <c r="P175" s="41">
        <f>P172*0.3</f>
        <v>585</v>
      </c>
      <c r="Q175" s="30" t="s">
        <v>42</v>
      </c>
      <c r="R175" s="30" t="s">
        <v>43</v>
      </c>
      <c r="S175" s="76" t="s">
        <v>43</v>
      </c>
      <c r="T175" s="36"/>
      <c r="U175" s="31"/>
      <c r="V175" s="46" t="s">
        <v>741</v>
      </c>
      <c r="W175" s="46">
        <v>33020100802</v>
      </c>
      <c r="X175" s="48" t="s">
        <v>742</v>
      </c>
      <c r="Y175" s="46"/>
      <c r="Z175" s="46"/>
      <c r="AA175" s="46" t="s">
        <v>40</v>
      </c>
      <c r="AB175" s="30" t="s">
        <v>43</v>
      </c>
      <c r="AC175" s="52">
        <v>2640</v>
      </c>
      <c r="AD175" s="51">
        <v>2365</v>
      </c>
      <c r="AE175" s="57">
        <v>2440</v>
      </c>
      <c r="AF175" s="57">
        <v>2340</v>
      </c>
      <c r="AG175" s="57">
        <v>1990</v>
      </c>
      <c r="AH175" s="82" t="s">
        <v>42</v>
      </c>
      <c r="AI175" s="82" t="s">
        <v>43</v>
      </c>
      <c r="AJ175" s="76" t="s">
        <v>43</v>
      </c>
    </row>
    <row r="176" s="17" customFormat="1" ht="29" customHeight="1" spans="1:36">
      <c r="A176" s="29"/>
      <c r="B176" s="30"/>
      <c r="C176" s="28" t="s">
        <v>740</v>
      </c>
      <c r="D176" s="30"/>
      <c r="E176" s="31"/>
      <c r="F176" s="31"/>
      <c r="G176" s="30"/>
      <c r="H176" s="31"/>
      <c r="I176" s="37"/>
      <c r="J176" s="37"/>
      <c r="K176" s="36"/>
      <c r="L176" s="36"/>
      <c r="M176" s="36"/>
      <c r="N176" s="41"/>
      <c r="O176" s="41"/>
      <c r="P176" s="41"/>
      <c r="Q176" s="30"/>
      <c r="R176" s="30"/>
      <c r="S176" s="76"/>
      <c r="T176" s="36"/>
      <c r="U176" s="31"/>
      <c r="V176" s="30" t="s">
        <v>743</v>
      </c>
      <c r="W176" s="30">
        <v>33020101601</v>
      </c>
      <c r="X176" s="30" t="s">
        <v>744</v>
      </c>
      <c r="Y176" s="30"/>
      <c r="Z176" s="30"/>
      <c r="AA176" s="30" t="s">
        <v>40</v>
      </c>
      <c r="AB176" s="30" t="s">
        <v>43</v>
      </c>
      <c r="AC176" s="51">
        <v>4500</v>
      </c>
      <c r="AD176" s="51">
        <v>4045</v>
      </c>
      <c r="AE176" s="57">
        <v>3950</v>
      </c>
      <c r="AF176" s="57">
        <v>3560</v>
      </c>
      <c r="AG176" s="57">
        <v>3025</v>
      </c>
      <c r="AH176" s="82" t="s">
        <v>42</v>
      </c>
      <c r="AI176" s="82" t="s">
        <v>43</v>
      </c>
      <c r="AJ176" s="76" t="s">
        <v>43</v>
      </c>
    </row>
    <row r="177" s="17" customFormat="1" ht="29" customHeight="1" spans="1:36">
      <c r="A177" s="29"/>
      <c r="B177" s="30"/>
      <c r="C177" s="28" t="s">
        <v>740</v>
      </c>
      <c r="D177" s="30"/>
      <c r="E177" s="31"/>
      <c r="F177" s="31"/>
      <c r="G177" s="30"/>
      <c r="H177" s="31"/>
      <c r="I177" s="37"/>
      <c r="J177" s="37"/>
      <c r="K177" s="36"/>
      <c r="L177" s="36"/>
      <c r="M177" s="36"/>
      <c r="N177" s="41"/>
      <c r="O177" s="41"/>
      <c r="P177" s="41"/>
      <c r="Q177" s="30"/>
      <c r="R177" s="30"/>
      <c r="S177" s="76"/>
      <c r="T177" s="36"/>
      <c r="U177" s="31"/>
      <c r="V177" s="46" t="s">
        <v>745</v>
      </c>
      <c r="W177" s="46">
        <v>33020105301</v>
      </c>
      <c r="X177" s="48" t="s">
        <v>746</v>
      </c>
      <c r="Y177" s="46"/>
      <c r="Z177" s="46"/>
      <c r="AA177" s="46" t="s">
        <v>40</v>
      </c>
      <c r="AB177" s="30" t="s">
        <v>43</v>
      </c>
      <c r="AC177" s="52">
        <v>5995</v>
      </c>
      <c r="AD177" s="51">
        <v>5395</v>
      </c>
      <c r="AE177" s="57">
        <v>5265</v>
      </c>
      <c r="AF177" s="57">
        <v>4745</v>
      </c>
      <c r="AG177" s="57">
        <v>4035</v>
      </c>
      <c r="AH177" s="82" t="s">
        <v>42</v>
      </c>
      <c r="AI177" s="82" t="s">
        <v>43</v>
      </c>
      <c r="AJ177" s="76" t="s">
        <v>43</v>
      </c>
    </row>
    <row r="178" s="17" customFormat="1" customHeight="1" spans="1:36">
      <c r="A178" s="29">
        <v>46</v>
      </c>
      <c r="B178" s="30" t="s">
        <v>747</v>
      </c>
      <c r="C178" s="28" t="s">
        <v>748</v>
      </c>
      <c r="D178" s="30" t="s">
        <v>378</v>
      </c>
      <c r="E178" s="31" t="s">
        <v>749</v>
      </c>
      <c r="F178" s="31" t="s">
        <v>750</v>
      </c>
      <c r="G178" s="30" t="s">
        <v>40</v>
      </c>
      <c r="H178" s="31"/>
      <c r="I178" s="37">
        <v>3400</v>
      </c>
      <c r="J178" s="37">
        <v>3060</v>
      </c>
      <c r="K178" s="59">
        <v>3252.14114832536</v>
      </c>
      <c r="L178" s="59">
        <v>2673.59561752988</v>
      </c>
      <c r="M178" s="59">
        <v>2119.71428571429</v>
      </c>
      <c r="N178" s="41">
        <v>3250</v>
      </c>
      <c r="O178" s="41">
        <v>2900</v>
      </c>
      <c r="P178" s="41">
        <v>2450</v>
      </c>
      <c r="Q178" s="30" t="s">
        <v>42</v>
      </c>
      <c r="R178" s="30" t="s">
        <v>43</v>
      </c>
      <c r="S178" s="76" t="s">
        <v>43</v>
      </c>
      <c r="T178" s="36" t="s">
        <v>280</v>
      </c>
      <c r="U178" s="31" t="s">
        <v>751</v>
      </c>
      <c r="V178" s="30" t="s">
        <v>752</v>
      </c>
      <c r="W178" s="30">
        <v>330201014</v>
      </c>
      <c r="X178" s="30" t="s">
        <v>753</v>
      </c>
      <c r="Y178" s="30" t="s">
        <v>754</v>
      </c>
      <c r="Z178" s="30"/>
      <c r="AA178" s="30" t="s">
        <v>40</v>
      </c>
      <c r="AB178" s="30" t="s">
        <v>755</v>
      </c>
      <c r="AC178" s="51">
        <v>2430</v>
      </c>
      <c r="AD178" s="51">
        <v>2190</v>
      </c>
      <c r="AE178" s="57">
        <v>2250</v>
      </c>
      <c r="AF178" s="57">
        <v>2160</v>
      </c>
      <c r="AG178" s="57">
        <v>1836</v>
      </c>
      <c r="AH178" s="82" t="s">
        <v>42</v>
      </c>
      <c r="AI178" s="82" t="s">
        <v>43</v>
      </c>
      <c r="AJ178" s="76" t="s">
        <v>43</v>
      </c>
    </row>
    <row r="179" s="17" customFormat="1" customHeight="1" spans="1:36">
      <c r="A179" s="29"/>
      <c r="B179" s="30"/>
      <c r="C179" s="28" t="s">
        <v>748</v>
      </c>
      <c r="D179" s="30"/>
      <c r="E179" s="31"/>
      <c r="F179" s="31"/>
      <c r="G179" s="30"/>
      <c r="H179" s="31"/>
      <c r="I179" s="37"/>
      <c r="J179" s="37"/>
      <c r="K179" s="59"/>
      <c r="L179" s="59"/>
      <c r="M179" s="59"/>
      <c r="N179" s="41"/>
      <c r="O179" s="41"/>
      <c r="P179" s="41"/>
      <c r="Q179" s="30"/>
      <c r="R179" s="30"/>
      <c r="S179" s="76"/>
      <c r="T179" s="36"/>
      <c r="U179" s="31"/>
      <c r="V179" s="46" t="s">
        <v>756</v>
      </c>
      <c r="W179" s="46">
        <v>33020101401</v>
      </c>
      <c r="X179" s="48" t="s">
        <v>757</v>
      </c>
      <c r="Y179" s="46"/>
      <c r="Z179" s="46"/>
      <c r="AA179" s="46" t="s">
        <v>40</v>
      </c>
      <c r="AB179" s="30" t="s">
        <v>758</v>
      </c>
      <c r="AC179" s="52">
        <v>3375</v>
      </c>
      <c r="AD179" s="51">
        <v>3040</v>
      </c>
      <c r="AE179" s="57">
        <v>3125</v>
      </c>
      <c r="AF179" s="57">
        <v>3000</v>
      </c>
      <c r="AG179" s="57">
        <v>2550</v>
      </c>
      <c r="AH179" s="82" t="s">
        <v>42</v>
      </c>
      <c r="AI179" s="82" t="s">
        <v>43</v>
      </c>
      <c r="AJ179" s="76" t="s">
        <v>43</v>
      </c>
    </row>
    <row r="180" s="17" customFormat="1" customHeight="1" spans="1:36">
      <c r="A180" s="29"/>
      <c r="B180" s="30"/>
      <c r="C180" s="28" t="s">
        <v>748</v>
      </c>
      <c r="D180" s="30"/>
      <c r="E180" s="31"/>
      <c r="F180" s="31"/>
      <c r="G180" s="30"/>
      <c r="H180" s="31"/>
      <c r="I180" s="37"/>
      <c r="J180" s="37"/>
      <c r="K180" s="59"/>
      <c r="L180" s="59"/>
      <c r="M180" s="59"/>
      <c r="N180" s="41"/>
      <c r="O180" s="41"/>
      <c r="P180" s="41"/>
      <c r="Q180" s="30"/>
      <c r="R180" s="30"/>
      <c r="S180" s="76"/>
      <c r="T180" s="36"/>
      <c r="U180" s="31"/>
      <c r="V180" s="30" t="s">
        <v>759</v>
      </c>
      <c r="W180" s="30">
        <v>330201015</v>
      </c>
      <c r="X180" s="30" t="s">
        <v>760</v>
      </c>
      <c r="Y180" s="30" t="s">
        <v>761</v>
      </c>
      <c r="Z180" s="30"/>
      <c r="AA180" s="30" t="s">
        <v>40</v>
      </c>
      <c r="AB180" s="30" t="s">
        <v>43</v>
      </c>
      <c r="AC180" s="51">
        <v>2430</v>
      </c>
      <c r="AD180" s="51">
        <v>2190</v>
      </c>
      <c r="AE180" s="57">
        <v>2250</v>
      </c>
      <c r="AF180" s="57">
        <v>2160</v>
      </c>
      <c r="AG180" s="57">
        <v>1836</v>
      </c>
      <c r="AH180" s="82" t="s">
        <v>42</v>
      </c>
      <c r="AI180" s="82" t="s">
        <v>43</v>
      </c>
      <c r="AJ180" s="76" t="s">
        <v>43</v>
      </c>
    </row>
    <row r="181" s="17" customFormat="1" customHeight="1" spans="1:36">
      <c r="A181" s="29"/>
      <c r="B181" s="30"/>
      <c r="C181" s="28" t="s">
        <v>748</v>
      </c>
      <c r="D181" s="30"/>
      <c r="E181" s="31"/>
      <c r="F181" s="31"/>
      <c r="G181" s="30"/>
      <c r="H181" s="31"/>
      <c r="I181" s="37"/>
      <c r="J181" s="37"/>
      <c r="K181" s="59"/>
      <c r="L181" s="59"/>
      <c r="M181" s="59"/>
      <c r="N181" s="41"/>
      <c r="O181" s="41"/>
      <c r="P181" s="41"/>
      <c r="Q181" s="30"/>
      <c r="R181" s="30"/>
      <c r="S181" s="76"/>
      <c r="T181" s="36"/>
      <c r="U181" s="31"/>
      <c r="V181" s="30" t="s">
        <v>762</v>
      </c>
      <c r="W181" s="30">
        <v>330201022</v>
      </c>
      <c r="X181" s="30" t="s">
        <v>763</v>
      </c>
      <c r="Y181" s="30" t="s">
        <v>764</v>
      </c>
      <c r="Z181" s="30" t="s">
        <v>765</v>
      </c>
      <c r="AA181" s="30" t="s">
        <v>40</v>
      </c>
      <c r="AB181" s="30" t="s">
        <v>43</v>
      </c>
      <c r="AC181" s="51">
        <v>3110</v>
      </c>
      <c r="AD181" s="51">
        <v>2795</v>
      </c>
      <c r="AE181" s="57">
        <v>3000</v>
      </c>
      <c r="AF181" s="57">
        <v>2850</v>
      </c>
      <c r="AG181" s="57">
        <v>2280</v>
      </c>
      <c r="AH181" s="82" t="s">
        <v>42</v>
      </c>
      <c r="AI181" s="82" t="s">
        <v>43</v>
      </c>
      <c r="AJ181" s="76" t="s">
        <v>43</v>
      </c>
    </row>
    <row r="182" s="17" customFormat="1" customHeight="1" spans="1:36">
      <c r="A182" s="29"/>
      <c r="B182" s="30"/>
      <c r="C182" s="28" t="s">
        <v>748</v>
      </c>
      <c r="D182" s="30"/>
      <c r="E182" s="31"/>
      <c r="F182" s="31"/>
      <c r="G182" s="30"/>
      <c r="H182" s="31"/>
      <c r="I182" s="37"/>
      <c r="J182" s="37"/>
      <c r="K182" s="59"/>
      <c r="L182" s="59"/>
      <c r="M182" s="59"/>
      <c r="N182" s="41"/>
      <c r="O182" s="41"/>
      <c r="P182" s="41"/>
      <c r="Q182" s="30"/>
      <c r="R182" s="30"/>
      <c r="S182" s="76"/>
      <c r="T182" s="36"/>
      <c r="U182" s="31"/>
      <c r="V182" s="30" t="s">
        <v>766</v>
      </c>
      <c r="W182" s="30">
        <v>330201025</v>
      </c>
      <c r="X182" s="30" t="s">
        <v>767</v>
      </c>
      <c r="Y182" s="30" t="s">
        <v>768</v>
      </c>
      <c r="Z182" s="30"/>
      <c r="AA182" s="30" t="s">
        <v>40</v>
      </c>
      <c r="AB182" s="30" t="s">
        <v>43</v>
      </c>
      <c r="AC182" s="51">
        <v>7680</v>
      </c>
      <c r="AD182" s="51">
        <v>6910</v>
      </c>
      <c r="AE182" s="57">
        <v>6600</v>
      </c>
      <c r="AF182" s="57">
        <v>5940</v>
      </c>
      <c r="AG182" s="57">
        <v>5050</v>
      </c>
      <c r="AH182" s="82" t="s">
        <v>42</v>
      </c>
      <c r="AI182" s="82" t="s">
        <v>43</v>
      </c>
      <c r="AJ182" s="76" t="s">
        <v>43</v>
      </c>
    </row>
    <row r="183" s="17" customFormat="1" customHeight="1" spans="1:36">
      <c r="A183" s="29"/>
      <c r="B183" s="30"/>
      <c r="C183" s="28" t="s">
        <v>748</v>
      </c>
      <c r="D183" s="30"/>
      <c r="E183" s="31"/>
      <c r="F183" s="31"/>
      <c r="G183" s="30"/>
      <c r="H183" s="31"/>
      <c r="I183" s="37"/>
      <c r="J183" s="37"/>
      <c r="K183" s="59"/>
      <c r="L183" s="59"/>
      <c r="M183" s="59"/>
      <c r="N183" s="41"/>
      <c r="O183" s="41"/>
      <c r="P183" s="41"/>
      <c r="Q183" s="30"/>
      <c r="R183" s="30"/>
      <c r="S183" s="76"/>
      <c r="T183" s="36"/>
      <c r="U183" s="31"/>
      <c r="V183" s="30" t="s">
        <v>769</v>
      </c>
      <c r="W183" s="30">
        <v>330201026</v>
      </c>
      <c r="X183" s="30" t="s">
        <v>770</v>
      </c>
      <c r="Y183" s="30"/>
      <c r="Z183" s="30"/>
      <c r="AA183" s="30" t="s">
        <v>40</v>
      </c>
      <c r="AB183" s="30" t="s">
        <v>43</v>
      </c>
      <c r="AC183" s="51">
        <v>5760</v>
      </c>
      <c r="AD183" s="51">
        <v>5180</v>
      </c>
      <c r="AE183" s="57">
        <v>5060</v>
      </c>
      <c r="AF183" s="57">
        <v>4550</v>
      </c>
      <c r="AG183" s="57">
        <v>3870</v>
      </c>
      <c r="AH183" s="82" t="s">
        <v>42</v>
      </c>
      <c r="AI183" s="82" t="s">
        <v>43</v>
      </c>
      <c r="AJ183" s="76" t="s">
        <v>43</v>
      </c>
    </row>
    <row r="184" s="17" customFormat="1" customHeight="1" spans="1:36">
      <c r="A184" s="29"/>
      <c r="B184" s="30"/>
      <c r="C184" s="28" t="s">
        <v>748</v>
      </c>
      <c r="D184" s="30"/>
      <c r="E184" s="31"/>
      <c r="F184" s="31"/>
      <c r="G184" s="30"/>
      <c r="H184" s="31"/>
      <c r="I184" s="37"/>
      <c r="J184" s="37"/>
      <c r="K184" s="59"/>
      <c r="L184" s="59"/>
      <c r="M184" s="59"/>
      <c r="N184" s="41"/>
      <c r="O184" s="41"/>
      <c r="P184" s="41"/>
      <c r="Q184" s="30"/>
      <c r="R184" s="30"/>
      <c r="S184" s="76"/>
      <c r="T184" s="36"/>
      <c r="U184" s="31"/>
      <c r="V184" s="30" t="s">
        <v>771</v>
      </c>
      <c r="W184" s="30">
        <v>330201028</v>
      </c>
      <c r="X184" s="30" t="s">
        <v>772</v>
      </c>
      <c r="Y184" s="30"/>
      <c r="Z184" s="30"/>
      <c r="AA184" s="30" t="s">
        <v>40</v>
      </c>
      <c r="AB184" s="30" t="s">
        <v>43</v>
      </c>
      <c r="AC184" s="51">
        <v>3460</v>
      </c>
      <c r="AD184" s="51">
        <v>3110</v>
      </c>
      <c r="AE184" s="57">
        <v>3040</v>
      </c>
      <c r="AF184" s="57">
        <v>2740</v>
      </c>
      <c r="AG184" s="57">
        <v>2330</v>
      </c>
      <c r="AH184" s="82" t="s">
        <v>42</v>
      </c>
      <c r="AI184" s="82" t="s">
        <v>43</v>
      </c>
      <c r="AJ184" s="76" t="s">
        <v>43</v>
      </c>
    </row>
    <row r="185" s="17" customFormat="1" customHeight="1" spans="1:36">
      <c r="A185" s="29"/>
      <c r="B185" s="30"/>
      <c r="C185" s="28" t="s">
        <v>748</v>
      </c>
      <c r="D185" s="30"/>
      <c r="E185" s="31"/>
      <c r="F185" s="31"/>
      <c r="G185" s="30"/>
      <c r="H185" s="31"/>
      <c r="I185" s="37"/>
      <c r="J185" s="37"/>
      <c r="K185" s="59"/>
      <c r="L185" s="59"/>
      <c r="M185" s="59"/>
      <c r="N185" s="41"/>
      <c r="O185" s="41"/>
      <c r="P185" s="41"/>
      <c r="Q185" s="30"/>
      <c r="R185" s="30"/>
      <c r="S185" s="76"/>
      <c r="T185" s="36"/>
      <c r="U185" s="31"/>
      <c r="V185" s="30" t="s">
        <v>773</v>
      </c>
      <c r="W185" s="30">
        <v>330201029</v>
      </c>
      <c r="X185" s="30" t="s">
        <v>774</v>
      </c>
      <c r="Y185" s="30" t="s">
        <v>775</v>
      </c>
      <c r="Z185" s="30"/>
      <c r="AA185" s="30" t="s">
        <v>40</v>
      </c>
      <c r="AB185" s="30" t="s">
        <v>43</v>
      </c>
      <c r="AC185" s="51">
        <v>7500</v>
      </c>
      <c r="AD185" s="51">
        <v>6300</v>
      </c>
      <c r="AE185" s="57">
        <v>5780</v>
      </c>
      <c r="AF185" s="57">
        <v>5200</v>
      </c>
      <c r="AG185" s="57">
        <v>4420</v>
      </c>
      <c r="AH185" s="82" t="s">
        <v>42</v>
      </c>
      <c r="AI185" s="82" t="s">
        <v>43</v>
      </c>
      <c r="AJ185" s="76" t="s">
        <v>43</v>
      </c>
    </row>
    <row r="186" s="17" customFormat="1" customHeight="1" spans="1:36">
      <c r="A186" s="29"/>
      <c r="B186" s="30"/>
      <c r="C186" s="28" t="s">
        <v>748</v>
      </c>
      <c r="D186" s="30"/>
      <c r="E186" s="31"/>
      <c r="F186" s="31"/>
      <c r="G186" s="30"/>
      <c r="H186" s="31"/>
      <c r="I186" s="37"/>
      <c r="J186" s="37"/>
      <c r="K186" s="59"/>
      <c r="L186" s="59"/>
      <c r="M186" s="59"/>
      <c r="N186" s="41"/>
      <c r="O186" s="41"/>
      <c r="P186" s="41"/>
      <c r="Q186" s="30"/>
      <c r="R186" s="30"/>
      <c r="S186" s="76"/>
      <c r="T186" s="36"/>
      <c r="U186" s="31"/>
      <c r="V186" s="30" t="s">
        <v>776</v>
      </c>
      <c r="W186" s="30">
        <v>330201030</v>
      </c>
      <c r="X186" s="30" t="s">
        <v>777</v>
      </c>
      <c r="Y186" s="30"/>
      <c r="Z186" s="30"/>
      <c r="AA186" s="30" t="s">
        <v>40</v>
      </c>
      <c r="AB186" s="30" t="s">
        <v>43</v>
      </c>
      <c r="AC186" s="51">
        <v>9000</v>
      </c>
      <c r="AD186" s="51">
        <v>7560</v>
      </c>
      <c r="AE186" s="57">
        <v>6940</v>
      </c>
      <c r="AF186" s="57">
        <v>6250</v>
      </c>
      <c r="AG186" s="57">
        <v>5310</v>
      </c>
      <c r="AH186" s="82" t="s">
        <v>42</v>
      </c>
      <c r="AI186" s="82" t="s">
        <v>43</v>
      </c>
      <c r="AJ186" s="76" t="s">
        <v>43</v>
      </c>
    </row>
    <row r="187" s="17" customFormat="1" customHeight="1" spans="1:36">
      <c r="A187" s="29"/>
      <c r="B187" s="30"/>
      <c r="C187" s="28" t="s">
        <v>748</v>
      </c>
      <c r="D187" s="30"/>
      <c r="E187" s="31"/>
      <c r="F187" s="31"/>
      <c r="G187" s="30"/>
      <c r="H187" s="31"/>
      <c r="I187" s="37"/>
      <c r="J187" s="37"/>
      <c r="K187" s="59"/>
      <c r="L187" s="59"/>
      <c r="M187" s="59"/>
      <c r="N187" s="41"/>
      <c r="O187" s="41"/>
      <c r="P187" s="41"/>
      <c r="Q187" s="30"/>
      <c r="R187" s="30"/>
      <c r="S187" s="76"/>
      <c r="T187" s="36"/>
      <c r="U187" s="31"/>
      <c r="V187" s="30" t="s">
        <v>778</v>
      </c>
      <c r="W187" s="30">
        <v>330201031</v>
      </c>
      <c r="X187" s="30" t="s">
        <v>779</v>
      </c>
      <c r="Y187" s="30" t="s">
        <v>780</v>
      </c>
      <c r="Z187" s="30"/>
      <c r="AA187" s="30" t="s">
        <v>40</v>
      </c>
      <c r="AB187" s="30" t="s">
        <v>43</v>
      </c>
      <c r="AC187" s="51">
        <v>6000</v>
      </c>
      <c r="AD187" s="51">
        <v>5040</v>
      </c>
      <c r="AE187" s="57">
        <v>4625</v>
      </c>
      <c r="AF187" s="57">
        <v>4160</v>
      </c>
      <c r="AG187" s="57">
        <v>3540</v>
      </c>
      <c r="AH187" s="82" t="s">
        <v>42</v>
      </c>
      <c r="AI187" s="82" t="s">
        <v>43</v>
      </c>
      <c r="AJ187" s="76" t="s">
        <v>43</v>
      </c>
    </row>
    <row r="188" s="17" customFormat="1" customHeight="1" spans="1:36">
      <c r="A188" s="29"/>
      <c r="B188" s="30"/>
      <c r="C188" s="28" t="s">
        <v>748</v>
      </c>
      <c r="D188" s="30"/>
      <c r="E188" s="31"/>
      <c r="F188" s="31"/>
      <c r="G188" s="30"/>
      <c r="H188" s="31"/>
      <c r="I188" s="37"/>
      <c r="J188" s="37"/>
      <c r="K188" s="59"/>
      <c r="L188" s="59"/>
      <c r="M188" s="59"/>
      <c r="N188" s="41"/>
      <c r="O188" s="41"/>
      <c r="P188" s="41"/>
      <c r="Q188" s="30"/>
      <c r="R188" s="30"/>
      <c r="S188" s="76"/>
      <c r="T188" s="36"/>
      <c r="U188" s="31"/>
      <c r="V188" s="30" t="s">
        <v>781</v>
      </c>
      <c r="W188" s="30">
        <v>330201032</v>
      </c>
      <c r="X188" s="30" t="s">
        <v>782</v>
      </c>
      <c r="Y188" s="30"/>
      <c r="Z188" s="30"/>
      <c r="AA188" s="30" t="s">
        <v>40</v>
      </c>
      <c r="AB188" s="30" t="s">
        <v>43</v>
      </c>
      <c r="AC188" s="51">
        <v>4320</v>
      </c>
      <c r="AD188" s="51">
        <v>3890</v>
      </c>
      <c r="AE188" s="57">
        <v>3710</v>
      </c>
      <c r="AF188" s="57">
        <v>3340</v>
      </c>
      <c r="AG188" s="57">
        <v>2840</v>
      </c>
      <c r="AH188" s="82" t="s">
        <v>42</v>
      </c>
      <c r="AI188" s="82" t="s">
        <v>43</v>
      </c>
      <c r="AJ188" s="76" t="s">
        <v>43</v>
      </c>
    </row>
    <row r="189" s="17" customFormat="1" customHeight="1" spans="1:36">
      <c r="A189" s="29"/>
      <c r="B189" s="30"/>
      <c r="C189" s="28" t="s">
        <v>748</v>
      </c>
      <c r="D189" s="30"/>
      <c r="E189" s="31"/>
      <c r="F189" s="31"/>
      <c r="G189" s="30"/>
      <c r="H189" s="31"/>
      <c r="I189" s="37"/>
      <c r="J189" s="37"/>
      <c r="K189" s="59"/>
      <c r="L189" s="59"/>
      <c r="M189" s="59"/>
      <c r="N189" s="41"/>
      <c r="O189" s="41"/>
      <c r="P189" s="41"/>
      <c r="Q189" s="30"/>
      <c r="R189" s="30"/>
      <c r="S189" s="76"/>
      <c r="T189" s="36"/>
      <c r="U189" s="31"/>
      <c r="V189" s="30" t="s">
        <v>783</v>
      </c>
      <c r="W189" s="30">
        <v>330201033</v>
      </c>
      <c r="X189" s="30" t="s">
        <v>784</v>
      </c>
      <c r="Y189" s="30" t="s">
        <v>785</v>
      </c>
      <c r="Z189" s="30"/>
      <c r="AA189" s="30" t="s">
        <v>40</v>
      </c>
      <c r="AB189" s="30" t="s">
        <v>786</v>
      </c>
      <c r="AC189" s="51">
        <v>5520</v>
      </c>
      <c r="AD189" s="51">
        <v>4970</v>
      </c>
      <c r="AE189" s="57">
        <v>4740</v>
      </c>
      <c r="AF189" s="57">
        <v>4270</v>
      </c>
      <c r="AG189" s="57">
        <v>3630</v>
      </c>
      <c r="AH189" s="82" t="s">
        <v>42</v>
      </c>
      <c r="AI189" s="82" t="s">
        <v>43</v>
      </c>
      <c r="AJ189" s="76" t="s">
        <v>43</v>
      </c>
    </row>
    <row r="190" s="17" customFormat="1" customHeight="1" spans="1:36">
      <c r="A190" s="29"/>
      <c r="B190" s="30"/>
      <c r="C190" s="28" t="s">
        <v>748</v>
      </c>
      <c r="D190" s="30"/>
      <c r="E190" s="31"/>
      <c r="F190" s="31"/>
      <c r="G190" s="30"/>
      <c r="H190" s="31"/>
      <c r="I190" s="37"/>
      <c r="J190" s="37"/>
      <c r="K190" s="59"/>
      <c r="L190" s="59"/>
      <c r="M190" s="59"/>
      <c r="N190" s="41"/>
      <c r="O190" s="41"/>
      <c r="P190" s="41"/>
      <c r="Q190" s="30"/>
      <c r="R190" s="30"/>
      <c r="S190" s="76"/>
      <c r="T190" s="36"/>
      <c r="U190" s="31"/>
      <c r="V190" s="46" t="s">
        <v>787</v>
      </c>
      <c r="W190" s="46">
        <v>330201034</v>
      </c>
      <c r="X190" s="48" t="s">
        <v>788</v>
      </c>
      <c r="Y190" s="46" t="s">
        <v>789</v>
      </c>
      <c r="Z190" s="46"/>
      <c r="AA190" s="46" t="s">
        <v>40</v>
      </c>
      <c r="AB190" s="30" t="s">
        <v>790</v>
      </c>
      <c r="AC190" s="52"/>
      <c r="AD190" s="51" t="s">
        <v>43</v>
      </c>
      <c r="AE190" s="57" t="s">
        <v>43</v>
      </c>
      <c r="AF190" s="57" t="s">
        <v>43</v>
      </c>
      <c r="AG190" s="57" t="s">
        <v>43</v>
      </c>
      <c r="AH190" s="82" t="s">
        <v>43</v>
      </c>
      <c r="AI190" s="82" t="s">
        <v>43</v>
      </c>
      <c r="AJ190" s="76" t="s">
        <v>43</v>
      </c>
    </row>
    <row r="191" s="17" customFormat="1" customHeight="1" spans="1:36">
      <c r="A191" s="29"/>
      <c r="B191" s="30"/>
      <c r="C191" s="28" t="s">
        <v>748</v>
      </c>
      <c r="D191" s="30"/>
      <c r="E191" s="31"/>
      <c r="F191" s="31"/>
      <c r="G191" s="30"/>
      <c r="H191" s="31"/>
      <c r="I191" s="37"/>
      <c r="J191" s="37"/>
      <c r="K191" s="59"/>
      <c r="L191" s="59"/>
      <c r="M191" s="59"/>
      <c r="N191" s="41"/>
      <c r="O191" s="41"/>
      <c r="P191" s="41"/>
      <c r="Q191" s="30"/>
      <c r="R191" s="30"/>
      <c r="S191" s="76"/>
      <c r="T191" s="36"/>
      <c r="U191" s="31"/>
      <c r="V191" s="30" t="s">
        <v>791</v>
      </c>
      <c r="W191" s="30">
        <v>330201036</v>
      </c>
      <c r="X191" s="30" t="s">
        <v>792</v>
      </c>
      <c r="Y191" s="30" t="s">
        <v>793</v>
      </c>
      <c r="Z191" s="30"/>
      <c r="AA191" s="30" t="s">
        <v>40</v>
      </c>
      <c r="AB191" s="30" t="s">
        <v>43</v>
      </c>
      <c r="AC191" s="51">
        <v>5520</v>
      </c>
      <c r="AD191" s="51">
        <v>4970</v>
      </c>
      <c r="AE191" s="57">
        <v>4740</v>
      </c>
      <c r="AF191" s="57">
        <v>4270</v>
      </c>
      <c r="AG191" s="57">
        <v>3630</v>
      </c>
      <c r="AH191" s="82" t="s">
        <v>42</v>
      </c>
      <c r="AI191" s="82" t="s">
        <v>43</v>
      </c>
      <c r="AJ191" s="76" t="s">
        <v>43</v>
      </c>
    </row>
    <row r="192" s="17" customFormat="1" customHeight="1" spans="1:36">
      <c r="A192" s="29"/>
      <c r="B192" s="30"/>
      <c r="C192" s="28" t="s">
        <v>748</v>
      </c>
      <c r="D192" s="30"/>
      <c r="E192" s="31"/>
      <c r="F192" s="31"/>
      <c r="G192" s="30"/>
      <c r="H192" s="31"/>
      <c r="I192" s="37"/>
      <c r="J192" s="37"/>
      <c r="K192" s="59"/>
      <c r="L192" s="59"/>
      <c r="M192" s="59"/>
      <c r="N192" s="41"/>
      <c r="O192" s="41"/>
      <c r="P192" s="41"/>
      <c r="Q192" s="30"/>
      <c r="R192" s="30"/>
      <c r="S192" s="76"/>
      <c r="T192" s="36"/>
      <c r="U192" s="31"/>
      <c r="V192" s="30" t="s">
        <v>794</v>
      </c>
      <c r="W192" s="30">
        <v>330201038</v>
      </c>
      <c r="X192" s="30" t="s">
        <v>795</v>
      </c>
      <c r="Y192" s="30" t="s">
        <v>796</v>
      </c>
      <c r="Z192" s="30"/>
      <c r="AA192" s="30" t="s">
        <v>40</v>
      </c>
      <c r="AB192" s="30" t="s">
        <v>43</v>
      </c>
      <c r="AC192" s="51">
        <v>9900</v>
      </c>
      <c r="AD192" s="51">
        <v>8320</v>
      </c>
      <c r="AE192" s="57">
        <v>9400</v>
      </c>
      <c r="AF192" s="57">
        <v>8950</v>
      </c>
      <c r="AG192" s="57">
        <v>7150</v>
      </c>
      <c r="AH192" s="82" t="s">
        <v>42</v>
      </c>
      <c r="AI192" s="82" t="s">
        <v>43</v>
      </c>
      <c r="AJ192" s="76" t="s">
        <v>43</v>
      </c>
    </row>
    <row r="193" s="17" customFormat="1" customHeight="1" spans="1:36">
      <c r="A193" s="29"/>
      <c r="B193" s="30"/>
      <c r="C193" s="28" t="s">
        <v>748</v>
      </c>
      <c r="D193" s="30"/>
      <c r="E193" s="31"/>
      <c r="F193" s="31"/>
      <c r="G193" s="30"/>
      <c r="H193" s="31"/>
      <c r="I193" s="37"/>
      <c r="J193" s="37"/>
      <c r="K193" s="59"/>
      <c r="L193" s="59"/>
      <c r="M193" s="59"/>
      <c r="N193" s="41"/>
      <c r="O193" s="41"/>
      <c r="P193" s="41"/>
      <c r="Q193" s="30"/>
      <c r="R193" s="30"/>
      <c r="S193" s="76"/>
      <c r="T193" s="36"/>
      <c r="U193" s="31"/>
      <c r="V193" s="30" t="s">
        <v>797</v>
      </c>
      <c r="W193" s="30">
        <v>33020103802</v>
      </c>
      <c r="X193" s="30" t="s">
        <v>798</v>
      </c>
      <c r="Y193" s="30"/>
      <c r="Z193" s="30"/>
      <c r="AA193" s="30" t="s">
        <v>40</v>
      </c>
      <c r="AB193" s="30" t="s">
        <v>43</v>
      </c>
      <c r="AC193" s="51">
        <v>10700</v>
      </c>
      <c r="AD193" s="51">
        <v>9040</v>
      </c>
      <c r="AE193" s="57">
        <v>9775</v>
      </c>
      <c r="AF193" s="57">
        <v>9310</v>
      </c>
      <c r="AG193" s="57">
        <v>7456</v>
      </c>
      <c r="AH193" s="82" t="s">
        <v>42</v>
      </c>
      <c r="AI193" s="82" t="s">
        <v>43</v>
      </c>
      <c r="AJ193" s="76" t="s">
        <v>43</v>
      </c>
    </row>
    <row r="194" s="17" customFormat="1" customHeight="1" spans="1:36">
      <c r="A194" s="29"/>
      <c r="B194" s="30"/>
      <c r="C194" s="28" t="s">
        <v>748</v>
      </c>
      <c r="D194" s="30"/>
      <c r="E194" s="31"/>
      <c r="F194" s="31"/>
      <c r="G194" s="30"/>
      <c r="H194" s="31"/>
      <c r="I194" s="37"/>
      <c r="J194" s="37"/>
      <c r="K194" s="59"/>
      <c r="L194" s="59"/>
      <c r="M194" s="59"/>
      <c r="N194" s="41"/>
      <c r="O194" s="41"/>
      <c r="P194" s="41"/>
      <c r="Q194" s="30"/>
      <c r="R194" s="30"/>
      <c r="S194" s="76"/>
      <c r="T194" s="36"/>
      <c r="U194" s="31"/>
      <c r="V194" s="30" t="s">
        <v>799</v>
      </c>
      <c r="W194" s="30">
        <v>330201039</v>
      </c>
      <c r="X194" s="30" t="s">
        <v>800</v>
      </c>
      <c r="Y194" s="30" t="s">
        <v>801</v>
      </c>
      <c r="Z194" s="30" t="s">
        <v>488</v>
      </c>
      <c r="AA194" s="30" t="s">
        <v>40</v>
      </c>
      <c r="AB194" s="30" t="s">
        <v>43</v>
      </c>
      <c r="AC194" s="51">
        <v>6900</v>
      </c>
      <c r="AD194" s="51">
        <v>5800</v>
      </c>
      <c r="AE194" s="57">
        <v>5320</v>
      </c>
      <c r="AF194" s="57">
        <v>4790</v>
      </c>
      <c r="AG194" s="57">
        <v>4070</v>
      </c>
      <c r="AH194" s="82" t="s">
        <v>42</v>
      </c>
      <c r="AI194" s="82" t="s">
        <v>43</v>
      </c>
      <c r="AJ194" s="76" t="s">
        <v>43</v>
      </c>
    </row>
    <row r="195" s="17" customFormat="1" customHeight="1" spans="1:36">
      <c r="A195" s="29"/>
      <c r="B195" s="30"/>
      <c r="C195" s="28" t="s">
        <v>748</v>
      </c>
      <c r="D195" s="30"/>
      <c r="E195" s="31"/>
      <c r="F195" s="31"/>
      <c r="G195" s="30"/>
      <c r="H195" s="31"/>
      <c r="I195" s="37"/>
      <c r="J195" s="37"/>
      <c r="K195" s="59"/>
      <c r="L195" s="59"/>
      <c r="M195" s="59"/>
      <c r="N195" s="41"/>
      <c r="O195" s="41"/>
      <c r="P195" s="41"/>
      <c r="Q195" s="30"/>
      <c r="R195" s="30"/>
      <c r="S195" s="76"/>
      <c r="T195" s="36"/>
      <c r="U195" s="31"/>
      <c r="V195" s="30" t="s">
        <v>802</v>
      </c>
      <c r="W195" s="30">
        <v>33020103902</v>
      </c>
      <c r="X195" s="30" t="s">
        <v>803</v>
      </c>
      <c r="Y195" s="30"/>
      <c r="Z195" s="30"/>
      <c r="AA195" s="30" t="s">
        <v>40</v>
      </c>
      <c r="AB195" s="30" t="s">
        <v>43</v>
      </c>
      <c r="AC195" s="51">
        <v>7700</v>
      </c>
      <c r="AD195" s="51">
        <v>6520</v>
      </c>
      <c r="AE195" s="57">
        <v>5695</v>
      </c>
      <c r="AF195" s="57">
        <v>5150</v>
      </c>
      <c r="AG195" s="57">
        <v>4376</v>
      </c>
      <c r="AH195" s="82" t="s">
        <v>42</v>
      </c>
      <c r="AI195" s="82" t="s">
        <v>43</v>
      </c>
      <c r="AJ195" s="76" t="s">
        <v>43</v>
      </c>
    </row>
    <row r="196" s="17" customFormat="1" customHeight="1" spans="1:36">
      <c r="A196" s="29"/>
      <c r="B196" s="30"/>
      <c r="C196" s="28" t="s">
        <v>748</v>
      </c>
      <c r="D196" s="30"/>
      <c r="E196" s="31"/>
      <c r="F196" s="31"/>
      <c r="G196" s="30"/>
      <c r="H196" s="31"/>
      <c r="I196" s="37"/>
      <c r="J196" s="37"/>
      <c r="K196" s="59"/>
      <c r="L196" s="59"/>
      <c r="M196" s="59"/>
      <c r="N196" s="41"/>
      <c r="O196" s="41"/>
      <c r="P196" s="41"/>
      <c r="Q196" s="30"/>
      <c r="R196" s="30"/>
      <c r="S196" s="76"/>
      <c r="T196" s="36"/>
      <c r="U196" s="31"/>
      <c r="V196" s="30" t="s">
        <v>804</v>
      </c>
      <c r="W196" s="30">
        <v>330201043</v>
      </c>
      <c r="X196" s="30" t="s">
        <v>805</v>
      </c>
      <c r="Y196" s="30"/>
      <c r="Z196" s="30"/>
      <c r="AA196" s="30" t="s">
        <v>40</v>
      </c>
      <c r="AB196" s="30" t="s">
        <v>43</v>
      </c>
      <c r="AC196" s="51">
        <v>4800</v>
      </c>
      <c r="AD196" s="51">
        <v>4320</v>
      </c>
      <c r="AE196" s="57">
        <v>4220</v>
      </c>
      <c r="AF196" s="57">
        <v>3800</v>
      </c>
      <c r="AG196" s="57">
        <v>3230</v>
      </c>
      <c r="AH196" s="82" t="s">
        <v>42</v>
      </c>
      <c r="AI196" s="82" t="s">
        <v>43</v>
      </c>
      <c r="AJ196" s="76" t="s">
        <v>43</v>
      </c>
    </row>
    <row r="197" s="17" customFormat="1" customHeight="1" spans="1:36">
      <c r="A197" s="29"/>
      <c r="B197" s="30"/>
      <c r="C197" s="28" t="s">
        <v>748</v>
      </c>
      <c r="D197" s="30"/>
      <c r="E197" s="31"/>
      <c r="F197" s="31"/>
      <c r="G197" s="30"/>
      <c r="H197" s="31"/>
      <c r="I197" s="37"/>
      <c r="J197" s="37"/>
      <c r="K197" s="59"/>
      <c r="L197" s="59"/>
      <c r="M197" s="59"/>
      <c r="N197" s="41"/>
      <c r="O197" s="41"/>
      <c r="P197" s="41"/>
      <c r="Q197" s="30"/>
      <c r="R197" s="30"/>
      <c r="S197" s="76"/>
      <c r="T197" s="36"/>
      <c r="U197" s="31"/>
      <c r="V197" s="46" t="s">
        <v>806</v>
      </c>
      <c r="W197" s="46">
        <v>33020104302</v>
      </c>
      <c r="X197" s="48" t="s">
        <v>807</v>
      </c>
      <c r="Y197" s="46"/>
      <c r="Z197" s="46"/>
      <c r="AA197" s="46" t="s">
        <v>40</v>
      </c>
      <c r="AB197" s="30" t="s">
        <v>43</v>
      </c>
      <c r="AC197" s="52">
        <v>5600</v>
      </c>
      <c r="AD197" s="51">
        <v>5040</v>
      </c>
      <c r="AE197" s="57">
        <v>4595</v>
      </c>
      <c r="AF197" s="57">
        <v>4160</v>
      </c>
      <c r="AG197" s="57">
        <v>3536</v>
      </c>
      <c r="AH197" s="82" t="s">
        <v>42</v>
      </c>
      <c r="AI197" s="82" t="s">
        <v>43</v>
      </c>
      <c r="AJ197" s="76" t="s">
        <v>43</v>
      </c>
    </row>
    <row r="198" s="17" customFormat="1" customHeight="1" spans="1:36">
      <c r="A198" s="29"/>
      <c r="B198" s="30"/>
      <c r="C198" s="28" t="s">
        <v>748</v>
      </c>
      <c r="D198" s="30"/>
      <c r="E198" s="31"/>
      <c r="F198" s="31"/>
      <c r="G198" s="30"/>
      <c r="H198" s="31"/>
      <c r="I198" s="37"/>
      <c r="J198" s="37"/>
      <c r="K198" s="59"/>
      <c r="L198" s="59"/>
      <c r="M198" s="59"/>
      <c r="N198" s="41"/>
      <c r="O198" s="41"/>
      <c r="P198" s="41"/>
      <c r="Q198" s="30"/>
      <c r="R198" s="30"/>
      <c r="S198" s="76"/>
      <c r="T198" s="36"/>
      <c r="U198" s="31"/>
      <c r="V198" s="30" t="s">
        <v>808</v>
      </c>
      <c r="W198" s="30">
        <v>330201044</v>
      </c>
      <c r="X198" s="30" t="s">
        <v>809</v>
      </c>
      <c r="Y198" s="30"/>
      <c r="Z198" s="30"/>
      <c r="AA198" s="30" t="s">
        <v>40</v>
      </c>
      <c r="AB198" s="30" t="s">
        <v>43</v>
      </c>
      <c r="AC198" s="51">
        <v>3840</v>
      </c>
      <c r="AD198" s="51">
        <v>3460</v>
      </c>
      <c r="AE198" s="57">
        <v>3380</v>
      </c>
      <c r="AF198" s="57">
        <v>3040</v>
      </c>
      <c r="AG198" s="57">
        <v>2580</v>
      </c>
      <c r="AH198" s="82" t="s">
        <v>42</v>
      </c>
      <c r="AI198" s="82" t="s">
        <v>43</v>
      </c>
      <c r="AJ198" s="76" t="s">
        <v>43</v>
      </c>
    </row>
    <row r="199" s="17" customFormat="1" customHeight="1" spans="1:36">
      <c r="A199" s="29"/>
      <c r="B199" s="30"/>
      <c r="C199" s="28" t="s">
        <v>748</v>
      </c>
      <c r="D199" s="30"/>
      <c r="E199" s="31"/>
      <c r="F199" s="31"/>
      <c r="G199" s="30"/>
      <c r="H199" s="31"/>
      <c r="I199" s="37"/>
      <c r="J199" s="37"/>
      <c r="K199" s="59"/>
      <c r="L199" s="59"/>
      <c r="M199" s="59"/>
      <c r="N199" s="41"/>
      <c r="O199" s="41"/>
      <c r="P199" s="41"/>
      <c r="Q199" s="30"/>
      <c r="R199" s="30"/>
      <c r="S199" s="76"/>
      <c r="T199" s="36"/>
      <c r="U199" s="31"/>
      <c r="V199" s="30" t="s">
        <v>810</v>
      </c>
      <c r="W199" s="30">
        <v>330201045</v>
      </c>
      <c r="X199" s="30" t="s">
        <v>811</v>
      </c>
      <c r="Y199" s="30"/>
      <c r="Z199" s="30"/>
      <c r="AA199" s="30" t="s">
        <v>40</v>
      </c>
      <c r="AB199" s="30" t="s">
        <v>43</v>
      </c>
      <c r="AC199" s="51">
        <v>8400</v>
      </c>
      <c r="AD199" s="51">
        <v>7060</v>
      </c>
      <c r="AE199" s="57">
        <v>6480</v>
      </c>
      <c r="AF199" s="57">
        <v>5830</v>
      </c>
      <c r="AG199" s="57">
        <v>4960</v>
      </c>
      <c r="AH199" s="82" t="s">
        <v>42</v>
      </c>
      <c r="AI199" s="82" t="s">
        <v>43</v>
      </c>
      <c r="AJ199" s="76" t="s">
        <v>43</v>
      </c>
    </row>
    <row r="200" s="17" customFormat="1" customHeight="1" spans="1:36">
      <c r="A200" s="29"/>
      <c r="B200" s="30"/>
      <c r="C200" s="28" t="s">
        <v>748</v>
      </c>
      <c r="D200" s="30"/>
      <c r="E200" s="31"/>
      <c r="F200" s="31"/>
      <c r="G200" s="30"/>
      <c r="H200" s="31"/>
      <c r="I200" s="37"/>
      <c r="J200" s="37"/>
      <c r="K200" s="59"/>
      <c r="L200" s="59"/>
      <c r="M200" s="59"/>
      <c r="N200" s="41"/>
      <c r="O200" s="41"/>
      <c r="P200" s="41"/>
      <c r="Q200" s="30"/>
      <c r="R200" s="30"/>
      <c r="S200" s="76"/>
      <c r="T200" s="36"/>
      <c r="U200" s="31"/>
      <c r="V200" s="30" t="s">
        <v>812</v>
      </c>
      <c r="W200" s="30">
        <v>330201046</v>
      </c>
      <c r="X200" s="30" t="s">
        <v>813</v>
      </c>
      <c r="Y200" s="30"/>
      <c r="Z200" s="30"/>
      <c r="AA200" s="30" t="s">
        <v>40</v>
      </c>
      <c r="AB200" s="30" t="s">
        <v>43</v>
      </c>
      <c r="AC200" s="51">
        <v>4800</v>
      </c>
      <c r="AD200" s="51">
        <v>4320</v>
      </c>
      <c r="AE200" s="57">
        <v>4220</v>
      </c>
      <c r="AF200" s="57">
        <v>3800</v>
      </c>
      <c r="AG200" s="57">
        <v>3230</v>
      </c>
      <c r="AH200" s="82" t="s">
        <v>42</v>
      </c>
      <c r="AI200" s="82" t="s">
        <v>43</v>
      </c>
      <c r="AJ200" s="76" t="s">
        <v>43</v>
      </c>
    </row>
    <row r="201" s="17" customFormat="1" customHeight="1" spans="1:36">
      <c r="A201" s="29"/>
      <c r="B201" s="30"/>
      <c r="C201" s="28" t="s">
        <v>748</v>
      </c>
      <c r="D201" s="30"/>
      <c r="E201" s="31"/>
      <c r="F201" s="31"/>
      <c r="G201" s="30"/>
      <c r="H201" s="31"/>
      <c r="I201" s="37"/>
      <c r="J201" s="37"/>
      <c r="K201" s="59"/>
      <c r="L201" s="59"/>
      <c r="M201" s="59"/>
      <c r="N201" s="41"/>
      <c r="O201" s="41"/>
      <c r="P201" s="41"/>
      <c r="Q201" s="30"/>
      <c r="R201" s="30"/>
      <c r="S201" s="76"/>
      <c r="T201" s="36"/>
      <c r="U201" s="31"/>
      <c r="V201" s="30" t="s">
        <v>814</v>
      </c>
      <c r="W201" s="30">
        <v>330201047</v>
      </c>
      <c r="X201" s="30" t="s">
        <v>815</v>
      </c>
      <c r="Y201" s="30"/>
      <c r="Z201" s="30"/>
      <c r="AA201" s="30" t="s">
        <v>40</v>
      </c>
      <c r="AB201" s="30" t="s">
        <v>816</v>
      </c>
      <c r="AC201" s="51">
        <v>4800</v>
      </c>
      <c r="AD201" s="51">
        <v>4320</v>
      </c>
      <c r="AE201" s="57">
        <v>4220</v>
      </c>
      <c r="AF201" s="57">
        <v>3800</v>
      </c>
      <c r="AG201" s="57">
        <v>3230</v>
      </c>
      <c r="AH201" s="82" t="s">
        <v>42</v>
      </c>
      <c r="AI201" s="82" t="s">
        <v>43</v>
      </c>
      <c r="AJ201" s="76" t="s">
        <v>43</v>
      </c>
    </row>
    <row r="202" s="17" customFormat="1" customHeight="1" spans="1:36">
      <c r="A202" s="29"/>
      <c r="B202" s="30"/>
      <c r="C202" s="28" t="s">
        <v>748</v>
      </c>
      <c r="D202" s="30"/>
      <c r="E202" s="31"/>
      <c r="F202" s="31"/>
      <c r="G202" s="30"/>
      <c r="H202" s="31"/>
      <c r="I202" s="37"/>
      <c r="J202" s="37"/>
      <c r="K202" s="59"/>
      <c r="L202" s="59"/>
      <c r="M202" s="59"/>
      <c r="N202" s="41"/>
      <c r="O202" s="41"/>
      <c r="P202" s="41"/>
      <c r="Q202" s="30"/>
      <c r="R202" s="30"/>
      <c r="S202" s="76"/>
      <c r="T202" s="36"/>
      <c r="U202" s="31"/>
      <c r="V202" s="30" t="s">
        <v>817</v>
      </c>
      <c r="W202" s="30">
        <v>330201060</v>
      </c>
      <c r="X202" s="30" t="s">
        <v>818</v>
      </c>
      <c r="Y202" s="30" t="s">
        <v>819</v>
      </c>
      <c r="Z202" s="30"/>
      <c r="AA202" s="30" t="s">
        <v>820</v>
      </c>
      <c r="AB202" s="30" t="s">
        <v>821</v>
      </c>
      <c r="AC202" s="51">
        <v>5760</v>
      </c>
      <c r="AD202" s="51">
        <v>5180</v>
      </c>
      <c r="AE202" s="57">
        <v>5060</v>
      </c>
      <c r="AF202" s="57">
        <v>4550</v>
      </c>
      <c r="AG202" s="57">
        <v>3870</v>
      </c>
      <c r="AH202" s="82" t="s">
        <v>42</v>
      </c>
      <c r="AI202" s="82" t="s">
        <v>43</v>
      </c>
      <c r="AJ202" s="76" t="s">
        <v>43</v>
      </c>
    </row>
    <row r="203" s="17" customFormat="1" customHeight="1" spans="1:36">
      <c r="A203" s="29"/>
      <c r="B203" s="30"/>
      <c r="C203" s="28" t="s">
        <v>748</v>
      </c>
      <c r="D203" s="30"/>
      <c r="E203" s="31"/>
      <c r="F203" s="31"/>
      <c r="G203" s="30"/>
      <c r="H203" s="31"/>
      <c r="I203" s="37"/>
      <c r="J203" s="37"/>
      <c r="K203" s="59"/>
      <c r="L203" s="59"/>
      <c r="M203" s="59"/>
      <c r="N203" s="41"/>
      <c r="O203" s="41"/>
      <c r="P203" s="41"/>
      <c r="Q203" s="30"/>
      <c r="R203" s="30"/>
      <c r="S203" s="76"/>
      <c r="T203" s="36"/>
      <c r="U203" s="31"/>
      <c r="V203" s="30" t="s">
        <v>822</v>
      </c>
      <c r="W203" s="30">
        <v>33020106001</v>
      </c>
      <c r="X203" s="30" t="s">
        <v>823</v>
      </c>
      <c r="Y203" s="30"/>
      <c r="Z203" s="30"/>
      <c r="AA203" s="30" t="s">
        <v>820</v>
      </c>
      <c r="AB203" s="30" t="s">
        <v>824</v>
      </c>
      <c r="AC203" s="51">
        <v>8160</v>
      </c>
      <c r="AD203" s="51">
        <v>7340</v>
      </c>
      <c r="AE203" s="57">
        <v>7220</v>
      </c>
      <c r="AF203" s="57">
        <v>6490</v>
      </c>
      <c r="AG203" s="57">
        <v>5520</v>
      </c>
      <c r="AH203" s="82" t="s">
        <v>42</v>
      </c>
      <c r="AI203" s="82" t="s">
        <v>43</v>
      </c>
      <c r="AJ203" s="76" t="s">
        <v>43</v>
      </c>
    </row>
    <row r="204" s="17" customFormat="1" customHeight="1" spans="1:36">
      <c r="A204" s="29"/>
      <c r="B204" s="30"/>
      <c r="C204" s="28" t="s">
        <v>748</v>
      </c>
      <c r="D204" s="30"/>
      <c r="E204" s="31"/>
      <c r="F204" s="31"/>
      <c r="G204" s="30"/>
      <c r="H204" s="31"/>
      <c r="I204" s="37"/>
      <c r="J204" s="37"/>
      <c r="K204" s="59"/>
      <c r="L204" s="59"/>
      <c r="M204" s="59"/>
      <c r="N204" s="41"/>
      <c r="O204" s="41"/>
      <c r="P204" s="41"/>
      <c r="Q204" s="30"/>
      <c r="R204" s="30"/>
      <c r="S204" s="76"/>
      <c r="T204" s="36"/>
      <c r="U204" s="31"/>
      <c r="V204" s="30" t="s">
        <v>825</v>
      </c>
      <c r="W204" s="30">
        <v>330201059</v>
      </c>
      <c r="X204" s="30" t="s">
        <v>826</v>
      </c>
      <c r="Y204" s="30" t="s">
        <v>827</v>
      </c>
      <c r="Z204" s="30" t="s">
        <v>828</v>
      </c>
      <c r="AA204" s="30" t="s">
        <v>40</v>
      </c>
      <c r="AB204" s="30" t="s">
        <v>43</v>
      </c>
      <c r="AC204" s="51">
        <v>4800</v>
      </c>
      <c r="AD204" s="51">
        <v>4320</v>
      </c>
      <c r="AE204" s="57">
        <v>4130</v>
      </c>
      <c r="AF204" s="57">
        <v>3720</v>
      </c>
      <c r="AG204" s="57">
        <v>3160</v>
      </c>
      <c r="AH204" s="82" t="s">
        <v>42</v>
      </c>
      <c r="AI204" s="82" t="s">
        <v>43</v>
      </c>
      <c r="AJ204" s="76" t="s">
        <v>43</v>
      </c>
    </row>
    <row r="205" s="17" customFormat="1" customHeight="1" spans="1:36">
      <c r="A205" s="29"/>
      <c r="B205" s="30"/>
      <c r="C205" s="28" t="s">
        <v>748</v>
      </c>
      <c r="D205" s="30"/>
      <c r="E205" s="31"/>
      <c r="F205" s="31"/>
      <c r="G205" s="30"/>
      <c r="H205" s="31"/>
      <c r="I205" s="37"/>
      <c r="J205" s="37"/>
      <c r="K205" s="59"/>
      <c r="L205" s="59"/>
      <c r="M205" s="59"/>
      <c r="N205" s="41"/>
      <c r="O205" s="41"/>
      <c r="P205" s="41"/>
      <c r="Q205" s="30"/>
      <c r="R205" s="30"/>
      <c r="S205" s="76"/>
      <c r="T205" s="36"/>
      <c r="U205" s="31"/>
      <c r="V205" s="30" t="s">
        <v>829</v>
      </c>
      <c r="W205" s="30">
        <v>33020105902</v>
      </c>
      <c r="X205" s="30" t="s">
        <v>830</v>
      </c>
      <c r="Y205" s="30"/>
      <c r="Z205" s="30"/>
      <c r="AA205" s="30" t="s">
        <v>40</v>
      </c>
      <c r="AB205" s="30" t="s">
        <v>43</v>
      </c>
      <c r="AC205" s="51">
        <v>5600</v>
      </c>
      <c r="AD205" s="51">
        <v>5040</v>
      </c>
      <c r="AE205" s="57">
        <v>4505</v>
      </c>
      <c r="AF205" s="57">
        <v>4080</v>
      </c>
      <c r="AG205" s="57">
        <v>3466</v>
      </c>
      <c r="AH205" s="82" t="s">
        <v>42</v>
      </c>
      <c r="AI205" s="82" t="s">
        <v>43</v>
      </c>
      <c r="AJ205" s="76" t="s">
        <v>43</v>
      </c>
    </row>
    <row r="206" s="17" customFormat="1" customHeight="1" spans="1:36">
      <c r="A206" s="29"/>
      <c r="B206" s="30"/>
      <c r="C206" s="28" t="s">
        <v>748</v>
      </c>
      <c r="D206" s="30"/>
      <c r="E206" s="31"/>
      <c r="F206" s="31"/>
      <c r="G206" s="30"/>
      <c r="H206" s="31"/>
      <c r="I206" s="37"/>
      <c r="J206" s="37"/>
      <c r="K206" s="59"/>
      <c r="L206" s="59"/>
      <c r="M206" s="59"/>
      <c r="N206" s="41"/>
      <c r="O206" s="41"/>
      <c r="P206" s="41"/>
      <c r="Q206" s="30"/>
      <c r="R206" s="30"/>
      <c r="S206" s="76"/>
      <c r="T206" s="36"/>
      <c r="U206" s="31"/>
      <c r="V206" s="30" t="s">
        <v>831</v>
      </c>
      <c r="W206" s="30">
        <v>330201006</v>
      </c>
      <c r="X206" s="30" t="s">
        <v>832</v>
      </c>
      <c r="Y206" s="30" t="s">
        <v>833</v>
      </c>
      <c r="Z206" s="30" t="s">
        <v>834</v>
      </c>
      <c r="AA206" s="30" t="s">
        <v>40</v>
      </c>
      <c r="AB206" s="30" t="s">
        <v>835</v>
      </c>
      <c r="AC206" s="51">
        <v>2430</v>
      </c>
      <c r="AD206" s="51">
        <v>2190</v>
      </c>
      <c r="AE206" s="57">
        <v>2250</v>
      </c>
      <c r="AF206" s="57">
        <v>2160</v>
      </c>
      <c r="AG206" s="57">
        <v>1836</v>
      </c>
      <c r="AH206" s="82" t="s">
        <v>42</v>
      </c>
      <c r="AI206" s="82" t="s">
        <v>43</v>
      </c>
      <c r="AJ206" s="76" t="s">
        <v>43</v>
      </c>
    </row>
    <row r="207" s="17" customFormat="1" customHeight="1" spans="1:36">
      <c r="A207" s="29" t="s">
        <v>70</v>
      </c>
      <c r="B207" s="30" t="s">
        <v>836</v>
      </c>
      <c r="C207" s="28" t="s">
        <v>837</v>
      </c>
      <c r="D207" s="30" t="s">
        <v>378</v>
      </c>
      <c r="E207" s="31" t="s">
        <v>43</v>
      </c>
      <c r="F207" s="31" t="s">
        <v>43</v>
      </c>
      <c r="G207" s="30" t="s">
        <v>40</v>
      </c>
      <c r="H207" s="31" t="s">
        <v>43</v>
      </c>
      <c r="I207" s="37">
        <v>1020</v>
      </c>
      <c r="J207" s="37">
        <v>918</v>
      </c>
      <c r="K207" s="36">
        <v>727.5</v>
      </c>
      <c r="L207" s="36"/>
      <c r="M207" s="36"/>
      <c r="N207" s="41">
        <f>N178*0.3</f>
        <v>975</v>
      </c>
      <c r="O207" s="41">
        <f>O178*0.3</f>
        <v>870</v>
      </c>
      <c r="P207" s="41">
        <f>P178*0.3</f>
        <v>735</v>
      </c>
      <c r="Q207" s="30" t="s">
        <v>42</v>
      </c>
      <c r="R207" s="30" t="s">
        <v>43</v>
      </c>
      <c r="S207" s="76" t="s">
        <v>43</v>
      </c>
      <c r="T207" s="36"/>
      <c r="U207" s="31" t="s">
        <v>384</v>
      </c>
      <c r="V207" s="46" t="s">
        <v>838</v>
      </c>
      <c r="W207" s="46">
        <v>33020101402</v>
      </c>
      <c r="X207" s="48" t="s">
        <v>839</v>
      </c>
      <c r="Y207" s="46"/>
      <c r="Z207" s="46"/>
      <c r="AA207" s="46" t="s">
        <v>40</v>
      </c>
      <c r="AB207" s="30" t="s">
        <v>43</v>
      </c>
      <c r="AC207" s="52">
        <v>3160</v>
      </c>
      <c r="AD207" s="51">
        <v>2845</v>
      </c>
      <c r="AE207" s="57">
        <v>2925</v>
      </c>
      <c r="AF207" s="57">
        <v>2810</v>
      </c>
      <c r="AG207" s="57">
        <v>2390</v>
      </c>
      <c r="AH207" s="82" t="s">
        <v>42</v>
      </c>
      <c r="AI207" s="82" t="s">
        <v>43</v>
      </c>
      <c r="AJ207" s="76" t="s">
        <v>43</v>
      </c>
    </row>
    <row r="208" s="17" customFormat="1" customHeight="1" spans="1:36">
      <c r="A208" s="29"/>
      <c r="B208" s="30"/>
      <c r="C208" s="28" t="s">
        <v>837</v>
      </c>
      <c r="D208" s="30"/>
      <c r="E208" s="31"/>
      <c r="F208" s="31"/>
      <c r="G208" s="30"/>
      <c r="H208" s="31"/>
      <c r="I208" s="37"/>
      <c r="J208" s="37"/>
      <c r="K208" s="36"/>
      <c r="L208" s="36"/>
      <c r="M208" s="36"/>
      <c r="N208" s="41"/>
      <c r="O208" s="41"/>
      <c r="P208" s="41"/>
      <c r="Q208" s="30"/>
      <c r="R208" s="30"/>
      <c r="S208" s="76"/>
      <c r="T208" s="36"/>
      <c r="U208" s="31"/>
      <c r="V208" s="46" t="s">
        <v>840</v>
      </c>
      <c r="W208" s="46">
        <v>33020101403</v>
      </c>
      <c r="X208" s="48" t="s">
        <v>841</v>
      </c>
      <c r="Y208" s="46"/>
      <c r="Z208" s="46"/>
      <c r="AA208" s="46" t="s">
        <v>40</v>
      </c>
      <c r="AB208" s="30" t="s">
        <v>758</v>
      </c>
      <c r="AC208" s="52">
        <v>4390</v>
      </c>
      <c r="AD208" s="51">
        <v>3950</v>
      </c>
      <c r="AE208" s="57">
        <v>4065</v>
      </c>
      <c r="AF208" s="57">
        <v>3900</v>
      </c>
      <c r="AG208" s="57">
        <v>3315</v>
      </c>
      <c r="AH208" s="82" t="s">
        <v>42</v>
      </c>
      <c r="AI208" s="82" t="s">
        <v>43</v>
      </c>
      <c r="AJ208" s="76" t="s">
        <v>43</v>
      </c>
    </row>
    <row r="209" s="17" customFormat="1" customHeight="1" spans="1:36">
      <c r="A209" s="29"/>
      <c r="B209" s="30"/>
      <c r="C209" s="28" t="s">
        <v>837</v>
      </c>
      <c r="D209" s="30"/>
      <c r="E209" s="31"/>
      <c r="F209" s="31"/>
      <c r="G209" s="30"/>
      <c r="H209" s="31"/>
      <c r="I209" s="37"/>
      <c r="J209" s="37"/>
      <c r="K209" s="36"/>
      <c r="L209" s="36"/>
      <c r="M209" s="36"/>
      <c r="N209" s="41"/>
      <c r="O209" s="41"/>
      <c r="P209" s="41"/>
      <c r="Q209" s="30"/>
      <c r="R209" s="30"/>
      <c r="S209" s="76"/>
      <c r="T209" s="36"/>
      <c r="U209" s="31"/>
      <c r="V209" s="30" t="s">
        <v>842</v>
      </c>
      <c r="W209" s="30">
        <v>33020101501</v>
      </c>
      <c r="X209" s="30" t="s">
        <v>843</v>
      </c>
      <c r="Y209" s="30"/>
      <c r="Z209" s="30"/>
      <c r="AA209" s="30" t="s">
        <v>40</v>
      </c>
      <c r="AB209" s="30" t="s">
        <v>43</v>
      </c>
      <c r="AC209" s="51">
        <v>3160</v>
      </c>
      <c r="AD209" s="51">
        <v>2845</v>
      </c>
      <c r="AE209" s="57">
        <v>2925</v>
      </c>
      <c r="AF209" s="57">
        <v>2810</v>
      </c>
      <c r="AG209" s="57">
        <v>2390</v>
      </c>
      <c r="AH209" s="82" t="s">
        <v>42</v>
      </c>
      <c r="AI209" s="82" t="s">
        <v>43</v>
      </c>
      <c r="AJ209" s="76" t="s">
        <v>43</v>
      </c>
    </row>
    <row r="210" s="17" customFormat="1" customHeight="1" spans="1:36">
      <c r="A210" s="29"/>
      <c r="B210" s="30"/>
      <c r="C210" s="28" t="s">
        <v>837</v>
      </c>
      <c r="D210" s="30"/>
      <c r="E210" s="31"/>
      <c r="F210" s="31"/>
      <c r="G210" s="30"/>
      <c r="H210" s="31"/>
      <c r="I210" s="37"/>
      <c r="J210" s="37"/>
      <c r="K210" s="36"/>
      <c r="L210" s="36"/>
      <c r="M210" s="36"/>
      <c r="N210" s="41"/>
      <c r="O210" s="41"/>
      <c r="P210" s="41"/>
      <c r="Q210" s="30"/>
      <c r="R210" s="30"/>
      <c r="S210" s="76"/>
      <c r="T210" s="36"/>
      <c r="U210" s="31"/>
      <c r="V210" s="30" t="s">
        <v>844</v>
      </c>
      <c r="W210" s="30">
        <v>33020102201</v>
      </c>
      <c r="X210" s="30" t="s">
        <v>845</v>
      </c>
      <c r="Y210" s="30"/>
      <c r="Z210" s="30"/>
      <c r="AA210" s="30" t="s">
        <v>40</v>
      </c>
      <c r="AB210" s="30" t="s">
        <v>43</v>
      </c>
      <c r="AC210" s="51">
        <v>4045</v>
      </c>
      <c r="AD210" s="51">
        <v>3635</v>
      </c>
      <c r="AE210" s="57">
        <v>3900</v>
      </c>
      <c r="AF210" s="57">
        <v>3705</v>
      </c>
      <c r="AG210" s="57">
        <v>2965</v>
      </c>
      <c r="AH210" s="82" t="s">
        <v>42</v>
      </c>
      <c r="AI210" s="82" t="s">
        <v>43</v>
      </c>
      <c r="AJ210" s="76" t="s">
        <v>43</v>
      </c>
    </row>
    <row r="211" s="17" customFormat="1" customHeight="1" spans="1:36">
      <c r="A211" s="29"/>
      <c r="B211" s="30"/>
      <c r="C211" s="28" t="s">
        <v>837</v>
      </c>
      <c r="D211" s="30"/>
      <c r="E211" s="31"/>
      <c r="F211" s="31"/>
      <c r="G211" s="30"/>
      <c r="H211" s="31"/>
      <c r="I211" s="37"/>
      <c r="J211" s="37"/>
      <c r="K211" s="36"/>
      <c r="L211" s="36"/>
      <c r="M211" s="36"/>
      <c r="N211" s="41"/>
      <c r="O211" s="41"/>
      <c r="P211" s="41"/>
      <c r="Q211" s="30"/>
      <c r="R211" s="30"/>
      <c r="S211" s="76"/>
      <c r="T211" s="36"/>
      <c r="U211" s="31"/>
      <c r="V211" s="30" t="s">
        <v>846</v>
      </c>
      <c r="W211" s="30">
        <v>33020102501</v>
      </c>
      <c r="X211" s="30" t="s">
        <v>847</v>
      </c>
      <c r="Y211" s="30"/>
      <c r="Z211" s="30"/>
      <c r="AA211" s="30" t="s">
        <v>40</v>
      </c>
      <c r="AB211" s="30" t="s">
        <v>43</v>
      </c>
      <c r="AC211" s="51">
        <v>9985</v>
      </c>
      <c r="AD211" s="51">
        <v>8985</v>
      </c>
      <c r="AE211" s="57">
        <v>8580</v>
      </c>
      <c r="AF211" s="57">
        <v>7720</v>
      </c>
      <c r="AG211" s="57">
        <v>6560</v>
      </c>
      <c r="AH211" s="82" t="s">
        <v>42</v>
      </c>
      <c r="AI211" s="82" t="s">
        <v>43</v>
      </c>
      <c r="AJ211" s="76" t="s">
        <v>43</v>
      </c>
    </row>
    <row r="212" s="17" customFormat="1" customHeight="1" spans="1:36">
      <c r="A212" s="29"/>
      <c r="B212" s="30"/>
      <c r="C212" s="28" t="s">
        <v>837</v>
      </c>
      <c r="D212" s="30"/>
      <c r="E212" s="31"/>
      <c r="F212" s="31"/>
      <c r="G212" s="30"/>
      <c r="H212" s="31"/>
      <c r="I212" s="37"/>
      <c r="J212" s="37"/>
      <c r="K212" s="36"/>
      <c r="L212" s="36"/>
      <c r="M212" s="36"/>
      <c r="N212" s="41"/>
      <c r="O212" s="41"/>
      <c r="P212" s="41"/>
      <c r="Q212" s="30"/>
      <c r="R212" s="30"/>
      <c r="S212" s="76"/>
      <c r="T212" s="36"/>
      <c r="U212" s="31"/>
      <c r="V212" s="46" t="s">
        <v>848</v>
      </c>
      <c r="W212" s="46">
        <v>33020102601</v>
      </c>
      <c r="X212" s="48" t="s">
        <v>849</v>
      </c>
      <c r="Y212" s="46"/>
      <c r="Z212" s="46"/>
      <c r="AA212" s="46" t="s">
        <v>40</v>
      </c>
      <c r="AB212" s="30" t="s">
        <v>43</v>
      </c>
      <c r="AC212" s="52">
        <v>7490</v>
      </c>
      <c r="AD212" s="51">
        <v>6735</v>
      </c>
      <c r="AE212" s="57">
        <v>6580</v>
      </c>
      <c r="AF212" s="57">
        <v>5915</v>
      </c>
      <c r="AG212" s="57">
        <v>5030</v>
      </c>
      <c r="AH212" s="82" t="s">
        <v>42</v>
      </c>
      <c r="AI212" s="82" t="s">
        <v>43</v>
      </c>
      <c r="AJ212" s="76" t="s">
        <v>43</v>
      </c>
    </row>
    <row r="213" s="17" customFormat="1" customHeight="1" spans="1:36">
      <c r="A213" s="29"/>
      <c r="B213" s="30"/>
      <c r="C213" s="28" t="s">
        <v>837</v>
      </c>
      <c r="D213" s="30"/>
      <c r="E213" s="31"/>
      <c r="F213" s="31"/>
      <c r="G213" s="30"/>
      <c r="H213" s="31"/>
      <c r="I213" s="37"/>
      <c r="J213" s="37"/>
      <c r="K213" s="36"/>
      <c r="L213" s="36"/>
      <c r="M213" s="36"/>
      <c r="N213" s="41"/>
      <c r="O213" s="41"/>
      <c r="P213" s="41"/>
      <c r="Q213" s="30"/>
      <c r="R213" s="30"/>
      <c r="S213" s="76"/>
      <c r="T213" s="36"/>
      <c r="U213" s="31"/>
      <c r="V213" s="46" t="s">
        <v>850</v>
      </c>
      <c r="W213" s="46">
        <v>33020102801</v>
      </c>
      <c r="X213" s="48" t="s">
        <v>851</v>
      </c>
      <c r="Y213" s="46"/>
      <c r="Z213" s="46"/>
      <c r="AA213" s="46" t="s">
        <v>40</v>
      </c>
      <c r="AB213" s="30" t="s">
        <v>43</v>
      </c>
      <c r="AC213" s="52">
        <v>4500</v>
      </c>
      <c r="AD213" s="51">
        <v>4045</v>
      </c>
      <c r="AE213" s="57">
        <v>3950</v>
      </c>
      <c r="AF213" s="57">
        <v>3560</v>
      </c>
      <c r="AG213" s="57">
        <v>3025</v>
      </c>
      <c r="AH213" s="82" t="s">
        <v>42</v>
      </c>
      <c r="AI213" s="82" t="s">
        <v>43</v>
      </c>
      <c r="AJ213" s="76" t="s">
        <v>43</v>
      </c>
    </row>
    <row r="214" s="17" customFormat="1" customHeight="1" spans="1:36">
      <c r="A214" s="29"/>
      <c r="B214" s="30"/>
      <c r="C214" s="28" t="s">
        <v>837</v>
      </c>
      <c r="D214" s="30"/>
      <c r="E214" s="31"/>
      <c r="F214" s="31"/>
      <c r="G214" s="30"/>
      <c r="H214" s="31"/>
      <c r="I214" s="37"/>
      <c r="J214" s="37"/>
      <c r="K214" s="36"/>
      <c r="L214" s="36"/>
      <c r="M214" s="36"/>
      <c r="N214" s="41"/>
      <c r="O214" s="41"/>
      <c r="P214" s="41"/>
      <c r="Q214" s="30"/>
      <c r="R214" s="30"/>
      <c r="S214" s="76"/>
      <c r="T214" s="36"/>
      <c r="U214" s="31"/>
      <c r="V214" s="46" t="s">
        <v>852</v>
      </c>
      <c r="W214" s="46">
        <v>33020102901</v>
      </c>
      <c r="X214" s="48" t="s">
        <v>853</v>
      </c>
      <c r="Y214" s="46"/>
      <c r="Z214" s="46"/>
      <c r="AA214" s="46" t="s">
        <v>40</v>
      </c>
      <c r="AB214" s="30" t="s">
        <v>43</v>
      </c>
      <c r="AC214" s="52">
        <v>9750</v>
      </c>
      <c r="AD214" s="51">
        <v>8190</v>
      </c>
      <c r="AE214" s="57">
        <v>7515</v>
      </c>
      <c r="AF214" s="57">
        <v>6760</v>
      </c>
      <c r="AG214" s="57">
        <v>5745</v>
      </c>
      <c r="AH214" s="82" t="s">
        <v>42</v>
      </c>
      <c r="AI214" s="82" t="s">
        <v>43</v>
      </c>
      <c r="AJ214" s="76" t="s">
        <v>43</v>
      </c>
    </row>
    <row r="215" s="17" customFormat="1" customHeight="1" spans="1:36">
      <c r="A215" s="29"/>
      <c r="B215" s="30"/>
      <c r="C215" s="28" t="s">
        <v>837</v>
      </c>
      <c r="D215" s="30"/>
      <c r="E215" s="31"/>
      <c r="F215" s="31"/>
      <c r="G215" s="30"/>
      <c r="H215" s="31"/>
      <c r="I215" s="37"/>
      <c r="J215" s="37"/>
      <c r="K215" s="36"/>
      <c r="L215" s="36"/>
      <c r="M215" s="36"/>
      <c r="N215" s="41"/>
      <c r="O215" s="41"/>
      <c r="P215" s="41"/>
      <c r="Q215" s="30"/>
      <c r="R215" s="30"/>
      <c r="S215" s="76"/>
      <c r="T215" s="36"/>
      <c r="U215" s="31"/>
      <c r="V215" s="46" t="s">
        <v>854</v>
      </c>
      <c r="W215" s="46">
        <v>33020103001</v>
      </c>
      <c r="X215" s="48" t="s">
        <v>855</v>
      </c>
      <c r="Y215" s="46"/>
      <c r="Z215" s="46"/>
      <c r="AA215" s="46" t="s">
        <v>40</v>
      </c>
      <c r="AB215" s="30" t="s">
        <v>43</v>
      </c>
      <c r="AC215" s="52">
        <v>11700</v>
      </c>
      <c r="AD215" s="51">
        <v>9830</v>
      </c>
      <c r="AE215" s="57">
        <v>9020</v>
      </c>
      <c r="AF215" s="57">
        <v>8125</v>
      </c>
      <c r="AG215" s="57">
        <v>6905</v>
      </c>
      <c r="AH215" s="82" t="s">
        <v>42</v>
      </c>
      <c r="AI215" s="82" t="s">
        <v>43</v>
      </c>
      <c r="AJ215" s="76" t="s">
        <v>43</v>
      </c>
    </row>
    <row r="216" s="17" customFormat="1" customHeight="1" spans="1:36">
      <c r="A216" s="29"/>
      <c r="B216" s="30"/>
      <c r="C216" s="28" t="s">
        <v>837</v>
      </c>
      <c r="D216" s="30"/>
      <c r="E216" s="31"/>
      <c r="F216" s="31"/>
      <c r="G216" s="30"/>
      <c r="H216" s="31"/>
      <c r="I216" s="37"/>
      <c r="J216" s="37"/>
      <c r="K216" s="36"/>
      <c r="L216" s="36"/>
      <c r="M216" s="36"/>
      <c r="N216" s="41"/>
      <c r="O216" s="41"/>
      <c r="P216" s="41"/>
      <c r="Q216" s="30"/>
      <c r="R216" s="30"/>
      <c r="S216" s="76"/>
      <c r="T216" s="36"/>
      <c r="U216" s="31"/>
      <c r="V216" s="46" t="s">
        <v>856</v>
      </c>
      <c r="W216" s="46">
        <v>33020103101</v>
      </c>
      <c r="X216" s="48" t="s">
        <v>857</v>
      </c>
      <c r="Y216" s="46"/>
      <c r="Z216" s="46"/>
      <c r="AA216" s="46" t="s">
        <v>40</v>
      </c>
      <c r="AB216" s="30" t="s">
        <v>43</v>
      </c>
      <c r="AC216" s="52">
        <v>7800</v>
      </c>
      <c r="AD216" s="51">
        <v>6550</v>
      </c>
      <c r="AE216" s="57">
        <v>6015</v>
      </c>
      <c r="AF216" s="57">
        <v>5410</v>
      </c>
      <c r="AG216" s="57">
        <v>4600</v>
      </c>
      <c r="AH216" s="82" t="s">
        <v>42</v>
      </c>
      <c r="AI216" s="82" t="s">
        <v>43</v>
      </c>
      <c r="AJ216" s="76" t="s">
        <v>43</v>
      </c>
    </row>
    <row r="217" s="17" customFormat="1" customHeight="1" spans="1:36">
      <c r="A217" s="29"/>
      <c r="B217" s="30"/>
      <c r="C217" s="28" t="s">
        <v>837</v>
      </c>
      <c r="D217" s="30"/>
      <c r="E217" s="31"/>
      <c r="F217" s="31"/>
      <c r="G217" s="30"/>
      <c r="H217" s="31"/>
      <c r="I217" s="37"/>
      <c r="J217" s="37"/>
      <c r="K217" s="36"/>
      <c r="L217" s="36"/>
      <c r="M217" s="36"/>
      <c r="N217" s="41"/>
      <c r="O217" s="41"/>
      <c r="P217" s="41"/>
      <c r="Q217" s="30"/>
      <c r="R217" s="30"/>
      <c r="S217" s="76"/>
      <c r="T217" s="36"/>
      <c r="U217" s="31"/>
      <c r="V217" s="46" t="s">
        <v>858</v>
      </c>
      <c r="W217" s="46">
        <v>33020103201</v>
      </c>
      <c r="X217" s="48" t="s">
        <v>859</v>
      </c>
      <c r="Y217" s="46"/>
      <c r="Z217" s="46"/>
      <c r="AA217" s="46" t="s">
        <v>40</v>
      </c>
      <c r="AB217" s="30" t="s">
        <v>43</v>
      </c>
      <c r="AC217" s="52">
        <v>5615</v>
      </c>
      <c r="AD217" s="51">
        <v>5055</v>
      </c>
      <c r="AE217" s="57">
        <v>4825</v>
      </c>
      <c r="AF217" s="57">
        <v>4340</v>
      </c>
      <c r="AG217" s="57">
        <v>3690</v>
      </c>
      <c r="AH217" s="82" t="s">
        <v>42</v>
      </c>
      <c r="AI217" s="82" t="s">
        <v>43</v>
      </c>
      <c r="AJ217" s="76" t="s">
        <v>43</v>
      </c>
    </row>
    <row r="218" s="17" customFormat="1" customHeight="1" spans="1:36">
      <c r="A218" s="29"/>
      <c r="B218" s="30"/>
      <c r="C218" s="28" t="s">
        <v>837</v>
      </c>
      <c r="D218" s="30"/>
      <c r="E218" s="31"/>
      <c r="F218" s="31"/>
      <c r="G218" s="30"/>
      <c r="H218" s="31"/>
      <c r="I218" s="37"/>
      <c r="J218" s="37"/>
      <c r="K218" s="36"/>
      <c r="L218" s="36"/>
      <c r="M218" s="36"/>
      <c r="N218" s="41"/>
      <c r="O218" s="41"/>
      <c r="P218" s="41"/>
      <c r="Q218" s="30"/>
      <c r="R218" s="30"/>
      <c r="S218" s="76"/>
      <c r="T218" s="36"/>
      <c r="U218" s="31"/>
      <c r="V218" s="30" t="s">
        <v>860</v>
      </c>
      <c r="W218" s="30">
        <v>33020103301</v>
      </c>
      <c r="X218" s="30" t="s">
        <v>861</v>
      </c>
      <c r="Y218" s="30"/>
      <c r="Z218" s="30"/>
      <c r="AA218" s="30" t="s">
        <v>40</v>
      </c>
      <c r="AB218" s="30" t="s">
        <v>43</v>
      </c>
      <c r="AC218" s="51">
        <v>7175</v>
      </c>
      <c r="AD218" s="51">
        <v>6460</v>
      </c>
      <c r="AE218" s="57">
        <v>6160</v>
      </c>
      <c r="AF218" s="57">
        <v>5550</v>
      </c>
      <c r="AG218" s="57">
        <v>4720</v>
      </c>
      <c r="AH218" s="82" t="s">
        <v>42</v>
      </c>
      <c r="AI218" s="82" t="s">
        <v>43</v>
      </c>
      <c r="AJ218" s="76" t="s">
        <v>43</v>
      </c>
    </row>
    <row r="219" s="17" customFormat="1" customHeight="1" spans="1:36">
      <c r="A219" s="29"/>
      <c r="B219" s="30"/>
      <c r="C219" s="28" t="s">
        <v>837</v>
      </c>
      <c r="D219" s="30"/>
      <c r="E219" s="31"/>
      <c r="F219" s="31"/>
      <c r="G219" s="30"/>
      <c r="H219" s="31"/>
      <c r="I219" s="37"/>
      <c r="J219" s="37"/>
      <c r="K219" s="36"/>
      <c r="L219" s="36"/>
      <c r="M219" s="36"/>
      <c r="N219" s="41"/>
      <c r="O219" s="41"/>
      <c r="P219" s="41"/>
      <c r="Q219" s="30"/>
      <c r="R219" s="30"/>
      <c r="S219" s="76"/>
      <c r="T219" s="36"/>
      <c r="U219" s="31"/>
      <c r="V219" s="46" t="s">
        <v>862</v>
      </c>
      <c r="W219" s="46">
        <v>33020103401</v>
      </c>
      <c r="X219" s="48" t="s">
        <v>863</v>
      </c>
      <c r="Y219" s="46"/>
      <c r="Z219" s="46"/>
      <c r="AA219" s="46" t="s">
        <v>40</v>
      </c>
      <c r="AB219" s="30" t="s">
        <v>43</v>
      </c>
      <c r="AC219" s="52"/>
      <c r="AD219" s="51" t="s">
        <v>43</v>
      </c>
      <c r="AE219" s="57" t="s">
        <v>43</v>
      </c>
      <c r="AF219" s="57" t="s">
        <v>43</v>
      </c>
      <c r="AG219" s="57" t="s">
        <v>43</v>
      </c>
      <c r="AH219" s="82" t="s">
        <v>43</v>
      </c>
      <c r="AI219" s="82" t="s">
        <v>43</v>
      </c>
      <c r="AJ219" s="76" t="s">
        <v>43</v>
      </c>
    </row>
    <row r="220" s="17" customFormat="1" customHeight="1" spans="1:36">
      <c r="A220" s="29"/>
      <c r="B220" s="30"/>
      <c r="C220" s="28" t="s">
        <v>837</v>
      </c>
      <c r="D220" s="30"/>
      <c r="E220" s="31"/>
      <c r="F220" s="31"/>
      <c r="G220" s="30"/>
      <c r="H220" s="31"/>
      <c r="I220" s="37"/>
      <c r="J220" s="37"/>
      <c r="K220" s="36"/>
      <c r="L220" s="36"/>
      <c r="M220" s="36"/>
      <c r="N220" s="41"/>
      <c r="O220" s="41"/>
      <c r="P220" s="41"/>
      <c r="Q220" s="30"/>
      <c r="R220" s="30"/>
      <c r="S220" s="76"/>
      <c r="T220" s="36"/>
      <c r="U220" s="31"/>
      <c r="V220" s="30" t="s">
        <v>864</v>
      </c>
      <c r="W220" s="30">
        <v>33020103601</v>
      </c>
      <c r="X220" s="30" t="s">
        <v>865</v>
      </c>
      <c r="Y220" s="30"/>
      <c r="Z220" s="30"/>
      <c r="AA220" s="30" t="s">
        <v>40</v>
      </c>
      <c r="AB220" s="30" t="s">
        <v>43</v>
      </c>
      <c r="AC220" s="51">
        <v>7175</v>
      </c>
      <c r="AD220" s="51">
        <v>6460</v>
      </c>
      <c r="AE220" s="57">
        <v>6160</v>
      </c>
      <c r="AF220" s="57">
        <v>5550</v>
      </c>
      <c r="AG220" s="57">
        <v>4720</v>
      </c>
      <c r="AH220" s="82" t="s">
        <v>42</v>
      </c>
      <c r="AI220" s="82" t="s">
        <v>43</v>
      </c>
      <c r="AJ220" s="76" t="s">
        <v>43</v>
      </c>
    </row>
    <row r="221" s="17" customFormat="1" customHeight="1" spans="1:36">
      <c r="A221" s="29"/>
      <c r="B221" s="30"/>
      <c r="C221" s="28" t="s">
        <v>837</v>
      </c>
      <c r="D221" s="30"/>
      <c r="E221" s="31"/>
      <c r="F221" s="31"/>
      <c r="G221" s="30"/>
      <c r="H221" s="31"/>
      <c r="I221" s="37"/>
      <c r="J221" s="37"/>
      <c r="K221" s="36"/>
      <c r="L221" s="36"/>
      <c r="M221" s="36"/>
      <c r="N221" s="41"/>
      <c r="O221" s="41"/>
      <c r="P221" s="41"/>
      <c r="Q221" s="30"/>
      <c r="R221" s="30"/>
      <c r="S221" s="76"/>
      <c r="T221" s="36"/>
      <c r="U221" s="31"/>
      <c r="V221" s="30" t="s">
        <v>866</v>
      </c>
      <c r="W221" s="30">
        <v>33020103801</v>
      </c>
      <c r="X221" s="30" t="s">
        <v>867</v>
      </c>
      <c r="Y221" s="30"/>
      <c r="Z221" s="30"/>
      <c r="AA221" s="30" t="s">
        <v>40</v>
      </c>
      <c r="AB221" s="30" t="s">
        <v>43</v>
      </c>
      <c r="AC221" s="51">
        <v>12870</v>
      </c>
      <c r="AD221" s="51">
        <v>10815</v>
      </c>
      <c r="AE221" s="57">
        <v>12220</v>
      </c>
      <c r="AF221" s="57">
        <v>11635</v>
      </c>
      <c r="AG221" s="57">
        <v>9295</v>
      </c>
      <c r="AH221" s="82" t="s">
        <v>42</v>
      </c>
      <c r="AI221" s="82" t="s">
        <v>43</v>
      </c>
      <c r="AJ221" s="76" t="s">
        <v>43</v>
      </c>
    </row>
    <row r="222" s="17" customFormat="1" customHeight="1" spans="1:36">
      <c r="A222" s="29"/>
      <c r="B222" s="30"/>
      <c r="C222" s="28" t="s">
        <v>837</v>
      </c>
      <c r="D222" s="30"/>
      <c r="E222" s="31"/>
      <c r="F222" s="31"/>
      <c r="G222" s="30"/>
      <c r="H222" s="31"/>
      <c r="I222" s="37"/>
      <c r="J222" s="37"/>
      <c r="K222" s="36"/>
      <c r="L222" s="36"/>
      <c r="M222" s="36"/>
      <c r="N222" s="41"/>
      <c r="O222" s="41"/>
      <c r="P222" s="41"/>
      <c r="Q222" s="30"/>
      <c r="R222" s="30"/>
      <c r="S222" s="76"/>
      <c r="T222" s="36"/>
      <c r="U222" s="31"/>
      <c r="V222" s="30" t="s">
        <v>868</v>
      </c>
      <c r="W222" s="30">
        <v>33020103803</v>
      </c>
      <c r="X222" s="30" t="s">
        <v>869</v>
      </c>
      <c r="Y222" s="30"/>
      <c r="Z222" s="30"/>
      <c r="AA222" s="30" t="s">
        <v>40</v>
      </c>
      <c r="AB222" s="30" t="s">
        <v>43</v>
      </c>
      <c r="AC222" s="51">
        <v>13670</v>
      </c>
      <c r="AD222" s="51">
        <v>11535</v>
      </c>
      <c r="AE222" s="57">
        <v>12595</v>
      </c>
      <c r="AF222" s="57">
        <v>11995</v>
      </c>
      <c r="AG222" s="57">
        <v>9601</v>
      </c>
      <c r="AH222" s="82" t="s">
        <v>42</v>
      </c>
      <c r="AI222" s="82" t="s">
        <v>43</v>
      </c>
      <c r="AJ222" s="76" t="s">
        <v>43</v>
      </c>
    </row>
    <row r="223" s="17" customFormat="1" customHeight="1" spans="1:36">
      <c r="A223" s="29"/>
      <c r="B223" s="30"/>
      <c r="C223" s="28" t="s">
        <v>837</v>
      </c>
      <c r="D223" s="30"/>
      <c r="E223" s="31"/>
      <c r="F223" s="31"/>
      <c r="G223" s="30"/>
      <c r="H223" s="31"/>
      <c r="I223" s="37"/>
      <c r="J223" s="37"/>
      <c r="K223" s="36"/>
      <c r="L223" s="36"/>
      <c r="M223" s="36"/>
      <c r="N223" s="41"/>
      <c r="O223" s="41"/>
      <c r="P223" s="41"/>
      <c r="Q223" s="30"/>
      <c r="R223" s="30"/>
      <c r="S223" s="76"/>
      <c r="T223" s="36"/>
      <c r="U223" s="31"/>
      <c r="V223" s="30" t="s">
        <v>870</v>
      </c>
      <c r="W223" s="30">
        <v>33020103901</v>
      </c>
      <c r="X223" s="30" t="s">
        <v>871</v>
      </c>
      <c r="Y223" s="30"/>
      <c r="Z223" s="30"/>
      <c r="AA223" s="30" t="s">
        <v>40</v>
      </c>
      <c r="AB223" s="30" t="s">
        <v>43</v>
      </c>
      <c r="AC223" s="51">
        <v>8970</v>
      </c>
      <c r="AD223" s="51">
        <v>7540</v>
      </c>
      <c r="AE223" s="57">
        <v>6915</v>
      </c>
      <c r="AF223" s="57">
        <v>6225</v>
      </c>
      <c r="AG223" s="57">
        <v>5290</v>
      </c>
      <c r="AH223" s="82" t="s">
        <v>42</v>
      </c>
      <c r="AI223" s="82" t="s">
        <v>43</v>
      </c>
      <c r="AJ223" s="76" t="s">
        <v>43</v>
      </c>
    </row>
    <row r="224" s="17" customFormat="1" customHeight="1" spans="1:36">
      <c r="A224" s="29"/>
      <c r="B224" s="30"/>
      <c r="C224" s="28" t="s">
        <v>837</v>
      </c>
      <c r="D224" s="30"/>
      <c r="E224" s="31"/>
      <c r="F224" s="31"/>
      <c r="G224" s="30"/>
      <c r="H224" s="31"/>
      <c r="I224" s="37"/>
      <c r="J224" s="37"/>
      <c r="K224" s="36"/>
      <c r="L224" s="36"/>
      <c r="M224" s="36"/>
      <c r="N224" s="41"/>
      <c r="O224" s="41"/>
      <c r="P224" s="41"/>
      <c r="Q224" s="30"/>
      <c r="R224" s="30"/>
      <c r="S224" s="76"/>
      <c r="T224" s="36"/>
      <c r="U224" s="31"/>
      <c r="V224" s="46" t="s">
        <v>872</v>
      </c>
      <c r="W224" s="46">
        <v>33020103903</v>
      </c>
      <c r="X224" s="48" t="s">
        <v>873</v>
      </c>
      <c r="Y224" s="46"/>
      <c r="Z224" s="46"/>
      <c r="AA224" s="46" t="s">
        <v>40</v>
      </c>
      <c r="AB224" s="30" t="s">
        <v>43</v>
      </c>
      <c r="AC224" s="52">
        <v>9770</v>
      </c>
      <c r="AD224" s="51">
        <v>8260</v>
      </c>
      <c r="AE224" s="57">
        <v>7290</v>
      </c>
      <c r="AF224" s="57">
        <v>6585</v>
      </c>
      <c r="AG224" s="57">
        <v>5595</v>
      </c>
      <c r="AH224" s="82" t="s">
        <v>42</v>
      </c>
      <c r="AI224" s="82" t="s">
        <v>43</v>
      </c>
      <c r="AJ224" s="76" t="s">
        <v>43</v>
      </c>
    </row>
    <row r="225" s="17" customFormat="1" customHeight="1" spans="1:36">
      <c r="A225" s="29"/>
      <c r="B225" s="30"/>
      <c r="C225" s="28" t="s">
        <v>837</v>
      </c>
      <c r="D225" s="30"/>
      <c r="E225" s="31"/>
      <c r="F225" s="31"/>
      <c r="G225" s="30"/>
      <c r="H225" s="31"/>
      <c r="I225" s="37"/>
      <c r="J225" s="37"/>
      <c r="K225" s="36"/>
      <c r="L225" s="36"/>
      <c r="M225" s="36"/>
      <c r="N225" s="41"/>
      <c r="O225" s="41"/>
      <c r="P225" s="41"/>
      <c r="Q225" s="30"/>
      <c r="R225" s="30"/>
      <c r="S225" s="76"/>
      <c r="T225" s="36"/>
      <c r="U225" s="31"/>
      <c r="V225" s="46" t="s">
        <v>874</v>
      </c>
      <c r="W225" s="46">
        <v>33020104301</v>
      </c>
      <c r="X225" s="48" t="s">
        <v>875</v>
      </c>
      <c r="Y225" s="46"/>
      <c r="Z225" s="46"/>
      <c r="AA225" s="46" t="s">
        <v>40</v>
      </c>
      <c r="AB225" s="30" t="s">
        <v>43</v>
      </c>
      <c r="AC225" s="52">
        <v>6240</v>
      </c>
      <c r="AD225" s="51">
        <v>5615</v>
      </c>
      <c r="AE225" s="57">
        <v>5485</v>
      </c>
      <c r="AF225" s="57">
        <v>4940</v>
      </c>
      <c r="AG225" s="57">
        <v>4200</v>
      </c>
      <c r="AH225" s="82" t="s">
        <v>42</v>
      </c>
      <c r="AI225" s="82" t="s">
        <v>43</v>
      </c>
      <c r="AJ225" s="76" t="s">
        <v>43</v>
      </c>
    </row>
    <row r="226" s="17" customFormat="1" customHeight="1" spans="1:36">
      <c r="A226" s="29"/>
      <c r="B226" s="30"/>
      <c r="C226" s="28" t="s">
        <v>837</v>
      </c>
      <c r="D226" s="30"/>
      <c r="E226" s="31"/>
      <c r="F226" s="31"/>
      <c r="G226" s="30"/>
      <c r="H226" s="31"/>
      <c r="I226" s="37"/>
      <c r="J226" s="37"/>
      <c r="K226" s="36"/>
      <c r="L226" s="36"/>
      <c r="M226" s="36"/>
      <c r="N226" s="41"/>
      <c r="O226" s="41"/>
      <c r="P226" s="41"/>
      <c r="Q226" s="30"/>
      <c r="R226" s="30"/>
      <c r="S226" s="76"/>
      <c r="T226" s="36"/>
      <c r="U226" s="31"/>
      <c r="V226" s="46" t="s">
        <v>876</v>
      </c>
      <c r="W226" s="46">
        <v>33020104303</v>
      </c>
      <c r="X226" s="48" t="s">
        <v>877</v>
      </c>
      <c r="Y226" s="46"/>
      <c r="Z226" s="46"/>
      <c r="AA226" s="46" t="s">
        <v>40</v>
      </c>
      <c r="AB226" s="30" t="s">
        <v>43</v>
      </c>
      <c r="AC226" s="52">
        <v>7040</v>
      </c>
      <c r="AD226" s="51">
        <v>6335</v>
      </c>
      <c r="AE226" s="57">
        <v>5860</v>
      </c>
      <c r="AF226" s="57">
        <v>5300</v>
      </c>
      <c r="AG226" s="57">
        <v>4505</v>
      </c>
      <c r="AH226" s="82" t="s">
        <v>42</v>
      </c>
      <c r="AI226" s="82" t="s">
        <v>43</v>
      </c>
      <c r="AJ226" s="76" t="s">
        <v>43</v>
      </c>
    </row>
    <row r="227" s="17" customFormat="1" customHeight="1" spans="1:36">
      <c r="A227" s="29"/>
      <c r="B227" s="30"/>
      <c r="C227" s="28" t="s">
        <v>837</v>
      </c>
      <c r="D227" s="30"/>
      <c r="E227" s="31"/>
      <c r="F227" s="31"/>
      <c r="G227" s="30"/>
      <c r="H227" s="31"/>
      <c r="I227" s="37"/>
      <c r="J227" s="37"/>
      <c r="K227" s="36"/>
      <c r="L227" s="36"/>
      <c r="M227" s="36"/>
      <c r="N227" s="41"/>
      <c r="O227" s="41"/>
      <c r="P227" s="41"/>
      <c r="Q227" s="30"/>
      <c r="R227" s="30"/>
      <c r="S227" s="76"/>
      <c r="T227" s="36"/>
      <c r="U227" s="31"/>
      <c r="V227" s="46" t="s">
        <v>878</v>
      </c>
      <c r="W227" s="46">
        <v>33020104401</v>
      </c>
      <c r="X227" s="48" t="s">
        <v>879</v>
      </c>
      <c r="Y227" s="46"/>
      <c r="Z227" s="46"/>
      <c r="AA227" s="46" t="s">
        <v>40</v>
      </c>
      <c r="AB227" s="30" t="s">
        <v>43</v>
      </c>
      <c r="AC227" s="52">
        <v>4990</v>
      </c>
      <c r="AD227" s="51">
        <v>4500</v>
      </c>
      <c r="AE227" s="57">
        <v>4395</v>
      </c>
      <c r="AF227" s="57">
        <v>3950</v>
      </c>
      <c r="AG227" s="57">
        <v>3360</v>
      </c>
      <c r="AH227" s="82" t="s">
        <v>42</v>
      </c>
      <c r="AI227" s="82" t="s">
        <v>43</v>
      </c>
      <c r="AJ227" s="76" t="s">
        <v>43</v>
      </c>
    </row>
    <row r="228" s="17" customFormat="1" customHeight="1" spans="1:36">
      <c r="A228" s="29"/>
      <c r="B228" s="30"/>
      <c r="C228" s="28" t="s">
        <v>837</v>
      </c>
      <c r="D228" s="30"/>
      <c r="E228" s="31"/>
      <c r="F228" s="31"/>
      <c r="G228" s="30"/>
      <c r="H228" s="31"/>
      <c r="I228" s="37"/>
      <c r="J228" s="37"/>
      <c r="K228" s="36"/>
      <c r="L228" s="36"/>
      <c r="M228" s="36"/>
      <c r="N228" s="41"/>
      <c r="O228" s="41"/>
      <c r="P228" s="41"/>
      <c r="Q228" s="30"/>
      <c r="R228" s="30"/>
      <c r="S228" s="76"/>
      <c r="T228" s="36"/>
      <c r="U228" s="31"/>
      <c r="V228" s="46" t="s">
        <v>880</v>
      </c>
      <c r="W228" s="46">
        <v>33020104501</v>
      </c>
      <c r="X228" s="48" t="s">
        <v>881</v>
      </c>
      <c r="Y228" s="46"/>
      <c r="Z228" s="46"/>
      <c r="AA228" s="46" t="s">
        <v>40</v>
      </c>
      <c r="AB228" s="30" t="s">
        <v>43</v>
      </c>
      <c r="AC228" s="52">
        <v>10920</v>
      </c>
      <c r="AD228" s="51">
        <v>9180</v>
      </c>
      <c r="AE228" s="57">
        <v>8425</v>
      </c>
      <c r="AF228" s="57">
        <v>7580</v>
      </c>
      <c r="AG228" s="57">
        <v>6445</v>
      </c>
      <c r="AH228" s="82" t="s">
        <v>42</v>
      </c>
      <c r="AI228" s="82" t="s">
        <v>43</v>
      </c>
      <c r="AJ228" s="76" t="s">
        <v>43</v>
      </c>
    </row>
    <row r="229" s="17" customFormat="1" customHeight="1" spans="1:36">
      <c r="A229" s="29"/>
      <c r="B229" s="30"/>
      <c r="C229" s="28" t="s">
        <v>837</v>
      </c>
      <c r="D229" s="30"/>
      <c r="E229" s="31"/>
      <c r="F229" s="31"/>
      <c r="G229" s="30"/>
      <c r="H229" s="31"/>
      <c r="I229" s="37"/>
      <c r="J229" s="37"/>
      <c r="K229" s="36"/>
      <c r="L229" s="36"/>
      <c r="M229" s="36"/>
      <c r="N229" s="41"/>
      <c r="O229" s="41"/>
      <c r="P229" s="41"/>
      <c r="Q229" s="30"/>
      <c r="R229" s="30"/>
      <c r="S229" s="76"/>
      <c r="T229" s="36"/>
      <c r="U229" s="31"/>
      <c r="V229" s="46" t="s">
        <v>882</v>
      </c>
      <c r="W229" s="46">
        <v>33020104601</v>
      </c>
      <c r="X229" s="48" t="s">
        <v>883</v>
      </c>
      <c r="Y229" s="46"/>
      <c r="Z229" s="46"/>
      <c r="AA229" s="46" t="s">
        <v>40</v>
      </c>
      <c r="AB229" s="30" t="s">
        <v>43</v>
      </c>
      <c r="AC229" s="52">
        <v>6240</v>
      </c>
      <c r="AD229" s="51">
        <v>5615</v>
      </c>
      <c r="AE229" s="57">
        <v>5485</v>
      </c>
      <c r="AF229" s="57">
        <v>4940</v>
      </c>
      <c r="AG229" s="57">
        <v>4200</v>
      </c>
      <c r="AH229" s="82" t="s">
        <v>42</v>
      </c>
      <c r="AI229" s="82" t="s">
        <v>43</v>
      </c>
      <c r="AJ229" s="76" t="s">
        <v>43</v>
      </c>
    </row>
    <row r="230" s="17" customFormat="1" customHeight="1" spans="1:36">
      <c r="A230" s="29"/>
      <c r="B230" s="30"/>
      <c r="C230" s="28" t="s">
        <v>837</v>
      </c>
      <c r="D230" s="30"/>
      <c r="E230" s="31"/>
      <c r="F230" s="31"/>
      <c r="G230" s="30"/>
      <c r="H230" s="31"/>
      <c r="I230" s="37"/>
      <c r="J230" s="37"/>
      <c r="K230" s="36"/>
      <c r="L230" s="36"/>
      <c r="M230" s="36"/>
      <c r="N230" s="41"/>
      <c r="O230" s="41"/>
      <c r="P230" s="41"/>
      <c r="Q230" s="30"/>
      <c r="R230" s="30"/>
      <c r="S230" s="76"/>
      <c r="T230" s="36"/>
      <c r="U230" s="31"/>
      <c r="V230" s="46" t="s">
        <v>884</v>
      </c>
      <c r="W230" s="46">
        <v>33020104701</v>
      </c>
      <c r="X230" s="48" t="s">
        <v>885</v>
      </c>
      <c r="Y230" s="46"/>
      <c r="Z230" s="46"/>
      <c r="AA230" s="46" t="s">
        <v>40</v>
      </c>
      <c r="AB230" s="30" t="s">
        <v>43</v>
      </c>
      <c r="AC230" s="52">
        <v>6240</v>
      </c>
      <c r="AD230" s="51">
        <v>5615</v>
      </c>
      <c r="AE230" s="57">
        <v>5485</v>
      </c>
      <c r="AF230" s="57">
        <v>4940</v>
      </c>
      <c r="AG230" s="57">
        <v>4200</v>
      </c>
      <c r="AH230" s="82" t="s">
        <v>42</v>
      </c>
      <c r="AI230" s="82" t="s">
        <v>43</v>
      </c>
      <c r="AJ230" s="76" t="s">
        <v>43</v>
      </c>
    </row>
    <row r="231" s="17" customFormat="1" customHeight="1" spans="1:36">
      <c r="A231" s="29"/>
      <c r="B231" s="30"/>
      <c r="C231" s="28" t="s">
        <v>837</v>
      </c>
      <c r="D231" s="30"/>
      <c r="E231" s="31"/>
      <c r="F231" s="31"/>
      <c r="G231" s="30"/>
      <c r="H231" s="31"/>
      <c r="I231" s="37"/>
      <c r="J231" s="37"/>
      <c r="K231" s="36"/>
      <c r="L231" s="36"/>
      <c r="M231" s="36"/>
      <c r="N231" s="41"/>
      <c r="O231" s="41"/>
      <c r="P231" s="41"/>
      <c r="Q231" s="30"/>
      <c r="R231" s="30"/>
      <c r="S231" s="76"/>
      <c r="T231" s="36"/>
      <c r="U231" s="31"/>
      <c r="V231" s="30" t="s">
        <v>886</v>
      </c>
      <c r="W231" s="30">
        <v>33020105901</v>
      </c>
      <c r="X231" s="30" t="s">
        <v>887</v>
      </c>
      <c r="Y231" s="30"/>
      <c r="Z231" s="30"/>
      <c r="AA231" s="30" t="s">
        <v>40</v>
      </c>
      <c r="AB231" s="30" t="s">
        <v>43</v>
      </c>
      <c r="AC231" s="51">
        <v>6240</v>
      </c>
      <c r="AD231" s="51">
        <v>5615</v>
      </c>
      <c r="AE231" s="57">
        <v>5370</v>
      </c>
      <c r="AF231" s="57">
        <v>4835</v>
      </c>
      <c r="AG231" s="57">
        <v>4110</v>
      </c>
      <c r="AH231" s="82" t="s">
        <v>42</v>
      </c>
      <c r="AI231" s="82" t="s">
        <v>43</v>
      </c>
      <c r="AJ231" s="76" t="s">
        <v>43</v>
      </c>
    </row>
    <row r="232" s="17" customFormat="1" customHeight="1" spans="1:36">
      <c r="A232" s="29"/>
      <c r="B232" s="30"/>
      <c r="C232" s="28" t="s">
        <v>837</v>
      </c>
      <c r="D232" s="30"/>
      <c r="E232" s="31"/>
      <c r="F232" s="31"/>
      <c r="G232" s="30"/>
      <c r="H232" s="31"/>
      <c r="I232" s="37"/>
      <c r="J232" s="37"/>
      <c r="K232" s="36"/>
      <c r="L232" s="36"/>
      <c r="M232" s="36"/>
      <c r="N232" s="41"/>
      <c r="O232" s="41"/>
      <c r="P232" s="41"/>
      <c r="Q232" s="30"/>
      <c r="R232" s="30"/>
      <c r="S232" s="76"/>
      <c r="T232" s="36"/>
      <c r="U232" s="31"/>
      <c r="V232" s="30" t="s">
        <v>888</v>
      </c>
      <c r="W232" s="30">
        <v>33020105903</v>
      </c>
      <c r="X232" s="30" t="s">
        <v>889</v>
      </c>
      <c r="Y232" s="30"/>
      <c r="Z232" s="30"/>
      <c r="AA232" s="30" t="s">
        <v>40</v>
      </c>
      <c r="AB232" s="30" t="s">
        <v>43</v>
      </c>
      <c r="AC232" s="51">
        <v>7040</v>
      </c>
      <c r="AD232" s="51">
        <v>6335</v>
      </c>
      <c r="AE232" s="57">
        <v>5745</v>
      </c>
      <c r="AF232" s="57">
        <v>5195</v>
      </c>
      <c r="AG232" s="57">
        <v>4415</v>
      </c>
      <c r="AH232" s="82" t="s">
        <v>42</v>
      </c>
      <c r="AI232" s="82" t="s">
        <v>43</v>
      </c>
      <c r="AJ232" s="76" t="s">
        <v>43</v>
      </c>
    </row>
    <row r="233" s="17" customFormat="1" customHeight="1" spans="1:36">
      <c r="A233" s="29"/>
      <c r="B233" s="30"/>
      <c r="C233" s="28" t="s">
        <v>837</v>
      </c>
      <c r="D233" s="30"/>
      <c r="E233" s="31"/>
      <c r="F233" s="31"/>
      <c r="G233" s="30"/>
      <c r="H233" s="31"/>
      <c r="I233" s="37"/>
      <c r="J233" s="37"/>
      <c r="K233" s="36"/>
      <c r="L233" s="36"/>
      <c r="M233" s="36"/>
      <c r="N233" s="41"/>
      <c r="O233" s="41"/>
      <c r="P233" s="41"/>
      <c r="Q233" s="30"/>
      <c r="R233" s="30"/>
      <c r="S233" s="76"/>
      <c r="T233" s="36"/>
      <c r="U233" s="31"/>
      <c r="V233" s="30" t="s">
        <v>890</v>
      </c>
      <c r="W233" s="30">
        <v>33020106002</v>
      </c>
      <c r="X233" s="30" t="s">
        <v>891</v>
      </c>
      <c r="Y233" s="30"/>
      <c r="Z233" s="30"/>
      <c r="AA233" s="30" t="s">
        <v>820</v>
      </c>
      <c r="AB233" s="30" t="s">
        <v>43</v>
      </c>
      <c r="AC233" s="51">
        <v>7490</v>
      </c>
      <c r="AD233" s="51">
        <v>6735</v>
      </c>
      <c r="AE233" s="57">
        <v>6580</v>
      </c>
      <c r="AF233" s="57">
        <v>5915</v>
      </c>
      <c r="AG233" s="57">
        <v>5030</v>
      </c>
      <c r="AH233" s="82" t="s">
        <v>42</v>
      </c>
      <c r="AI233" s="82" t="s">
        <v>43</v>
      </c>
      <c r="AJ233" s="76" t="s">
        <v>43</v>
      </c>
    </row>
    <row r="234" s="17" customFormat="1" customHeight="1" spans="1:36">
      <c r="A234" s="29"/>
      <c r="B234" s="30"/>
      <c r="C234" s="28" t="s">
        <v>837</v>
      </c>
      <c r="D234" s="30"/>
      <c r="E234" s="31"/>
      <c r="F234" s="31"/>
      <c r="G234" s="30"/>
      <c r="H234" s="31"/>
      <c r="I234" s="37"/>
      <c r="J234" s="37"/>
      <c r="K234" s="36"/>
      <c r="L234" s="36"/>
      <c r="M234" s="36"/>
      <c r="N234" s="41"/>
      <c r="O234" s="41"/>
      <c r="P234" s="41"/>
      <c r="Q234" s="30"/>
      <c r="R234" s="30"/>
      <c r="S234" s="76"/>
      <c r="T234" s="36"/>
      <c r="U234" s="31"/>
      <c r="V234" s="30" t="s">
        <v>892</v>
      </c>
      <c r="W234" s="30">
        <v>33020106003</v>
      </c>
      <c r="X234" s="30" t="s">
        <v>893</v>
      </c>
      <c r="Y234" s="30"/>
      <c r="Z234" s="30"/>
      <c r="AA234" s="30" t="s">
        <v>820</v>
      </c>
      <c r="AB234" s="30" t="s">
        <v>824</v>
      </c>
      <c r="AC234" s="51">
        <v>10610</v>
      </c>
      <c r="AD234" s="51">
        <v>9540</v>
      </c>
      <c r="AE234" s="57">
        <v>9385</v>
      </c>
      <c r="AF234" s="57">
        <v>8435</v>
      </c>
      <c r="AG234" s="57">
        <v>7170</v>
      </c>
      <c r="AH234" s="82" t="s">
        <v>42</v>
      </c>
      <c r="AI234" s="82" t="s">
        <v>43</v>
      </c>
      <c r="AJ234" s="76" t="s">
        <v>43</v>
      </c>
    </row>
    <row r="235" s="17" customFormat="1" customHeight="1" spans="1:36">
      <c r="A235" s="29"/>
      <c r="B235" s="30"/>
      <c r="C235" s="28" t="s">
        <v>837</v>
      </c>
      <c r="D235" s="30"/>
      <c r="E235" s="31"/>
      <c r="F235" s="31"/>
      <c r="G235" s="30"/>
      <c r="H235" s="31"/>
      <c r="I235" s="37"/>
      <c r="J235" s="37"/>
      <c r="K235" s="36"/>
      <c r="L235" s="36"/>
      <c r="M235" s="36"/>
      <c r="N235" s="41"/>
      <c r="O235" s="41"/>
      <c r="P235" s="41"/>
      <c r="Q235" s="30"/>
      <c r="R235" s="30"/>
      <c r="S235" s="76"/>
      <c r="T235" s="36"/>
      <c r="U235" s="31"/>
      <c r="V235" s="46" t="s">
        <v>894</v>
      </c>
      <c r="W235" s="46">
        <v>33020100602</v>
      </c>
      <c r="X235" s="48" t="s">
        <v>895</v>
      </c>
      <c r="Y235" s="46"/>
      <c r="Z235" s="46"/>
      <c r="AA235" s="46" t="s">
        <v>40</v>
      </c>
      <c r="AB235" s="30" t="s">
        <v>43</v>
      </c>
      <c r="AC235" s="52">
        <v>3160</v>
      </c>
      <c r="AD235" s="51">
        <v>2845</v>
      </c>
      <c r="AE235" s="57">
        <v>2925</v>
      </c>
      <c r="AF235" s="57">
        <v>2810</v>
      </c>
      <c r="AG235" s="57">
        <v>2390</v>
      </c>
      <c r="AH235" s="82" t="s">
        <v>42</v>
      </c>
      <c r="AI235" s="82" t="s">
        <v>43</v>
      </c>
      <c r="AJ235" s="76" t="s">
        <v>43</v>
      </c>
    </row>
    <row r="236" s="17" customFormat="1" customHeight="1" spans="1:36">
      <c r="A236" s="29">
        <v>47</v>
      </c>
      <c r="B236" s="30" t="s">
        <v>896</v>
      </c>
      <c r="C236" s="28" t="s">
        <v>897</v>
      </c>
      <c r="D236" s="30" t="s">
        <v>378</v>
      </c>
      <c r="E236" s="31" t="s">
        <v>898</v>
      </c>
      <c r="F236" s="31" t="s">
        <v>750</v>
      </c>
      <c r="G236" s="30" t="s">
        <v>40</v>
      </c>
      <c r="H236" s="31" t="s">
        <v>899</v>
      </c>
      <c r="I236" s="37">
        <v>8670</v>
      </c>
      <c r="J236" s="37">
        <v>7803</v>
      </c>
      <c r="K236" s="59">
        <v>7685.36697247706</v>
      </c>
      <c r="L236" s="59">
        <v>7792.05479452055</v>
      </c>
      <c r="M236" s="36"/>
      <c r="N236" s="41">
        <v>8290</v>
      </c>
      <c r="O236" s="41">
        <f>O178*2.55</f>
        <v>7395</v>
      </c>
      <c r="P236" s="41">
        <v>6250</v>
      </c>
      <c r="Q236" s="30" t="s">
        <v>42</v>
      </c>
      <c r="R236" s="30" t="s">
        <v>43</v>
      </c>
      <c r="S236" s="76" t="s">
        <v>43</v>
      </c>
      <c r="T236" s="36" t="s">
        <v>280</v>
      </c>
      <c r="U236" s="31" t="s">
        <v>900</v>
      </c>
      <c r="V236" s="30" t="s">
        <v>901</v>
      </c>
      <c r="W236" s="30">
        <v>330201023</v>
      </c>
      <c r="X236" s="30" t="s">
        <v>902</v>
      </c>
      <c r="Y236" s="30" t="s">
        <v>903</v>
      </c>
      <c r="Z236" s="30" t="s">
        <v>904</v>
      </c>
      <c r="AA236" s="30" t="s">
        <v>40</v>
      </c>
      <c r="AB236" s="30" t="s">
        <v>43</v>
      </c>
      <c r="AC236" s="51">
        <v>6340</v>
      </c>
      <c r="AD236" s="51">
        <v>5700</v>
      </c>
      <c r="AE236" s="57">
        <v>5570</v>
      </c>
      <c r="AF236" s="57">
        <v>5010</v>
      </c>
      <c r="AG236" s="57">
        <v>4260</v>
      </c>
      <c r="AH236" s="82" t="s">
        <v>42</v>
      </c>
      <c r="AI236" s="82" t="s">
        <v>43</v>
      </c>
      <c r="AJ236" s="76" t="s">
        <v>43</v>
      </c>
    </row>
    <row r="237" s="17" customFormat="1" customHeight="1" spans="1:36">
      <c r="A237" s="29"/>
      <c r="B237" s="30"/>
      <c r="C237" s="28" t="s">
        <v>897</v>
      </c>
      <c r="D237" s="30"/>
      <c r="E237" s="31"/>
      <c r="F237" s="31"/>
      <c r="G237" s="30"/>
      <c r="H237" s="31"/>
      <c r="I237" s="37"/>
      <c r="J237" s="37"/>
      <c r="K237" s="59"/>
      <c r="L237" s="59"/>
      <c r="M237" s="36"/>
      <c r="N237" s="41"/>
      <c r="O237" s="41"/>
      <c r="P237" s="41"/>
      <c r="Q237" s="30"/>
      <c r="R237" s="30"/>
      <c r="S237" s="76"/>
      <c r="T237" s="36"/>
      <c r="U237" s="31"/>
      <c r="V237" s="30" t="s">
        <v>905</v>
      </c>
      <c r="W237" s="30">
        <v>330201024</v>
      </c>
      <c r="X237" s="30" t="s">
        <v>906</v>
      </c>
      <c r="Y237" s="30" t="s">
        <v>907</v>
      </c>
      <c r="Z237" s="30"/>
      <c r="AA237" s="30" t="s">
        <v>40</v>
      </c>
      <c r="AB237" s="30" t="s">
        <v>43</v>
      </c>
      <c r="AC237" s="51">
        <v>9900</v>
      </c>
      <c r="AD237" s="51">
        <v>8320</v>
      </c>
      <c r="AE237" s="57">
        <v>9400</v>
      </c>
      <c r="AF237" s="57">
        <v>8950</v>
      </c>
      <c r="AG237" s="57">
        <v>7150</v>
      </c>
      <c r="AH237" s="82" t="s">
        <v>42</v>
      </c>
      <c r="AI237" s="82" t="s">
        <v>43</v>
      </c>
      <c r="AJ237" s="76" t="s">
        <v>43</v>
      </c>
    </row>
    <row r="238" s="17" customFormat="1" customHeight="1" spans="1:36">
      <c r="A238" s="29"/>
      <c r="B238" s="30"/>
      <c r="C238" s="28" t="s">
        <v>897</v>
      </c>
      <c r="D238" s="30"/>
      <c r="E238" s="31"/>
      <c r="F238" s="31"/>
      <c r="G238" s="30"/>
      <c r="H238" s="31"/>
      <c r="I238" s="37"/>
      <c r="J238" s="37"/>
      <c r="K238" s="59"/>
      <c r="L238" s="59"/>
      <c r="M238" s="36"/>
      <c r="N238" s="41"/>
      <c r="O238" s="41"/>
      <c r="P238" s="41"/>
      <c r="Q238" s="30"/>
      <c r="R238" s="30"/>
      <c r="S238" s="76"/>
      <c r="T238" s="36"/>
      <c r="U238" s="31"/>
      <c r="V238" s="30" t="s">
        <v>908</v>
      </c>
      <c r="W238" s="30">
        <v>330201037</v>
      </c>
      <c r="X238" s="30" t="s">
        <v>909</v>
      </c>
      <c r="Y238" s="30" t="s">
        <v>910</v>
      </c>
      <c r="Z238" s="30"/>
      <c r="AA238" s="30" t="s">
        <v>40</v>
      </c>
      <c r="AB238" s="30" t="s">
        <v>43</v>
      </c>
      <c r="AC238" s="51">
        <v>9000</v>
      </c>
      <c r="AD238" s="51">
        <v>7560</v>
      </c>
      <c r="AE238" s="57">
        <v>6940</v>
      </c>
      <c r="AF238" s="57">
        <v>6250</v>
      </c>
      <c r="AG238" s="57">
        <v>5310</v>
      </c>
      <c r="AH238" s="82" t="s">
        <v>42</v>
      </c>
      <c r="AI238" s="82" t="s">
        <v>43</v>
      </c>
      <c r="AJ238" s="76" t="s">
        <v>43</v>
      </c>
    </row>
    <row r="239" s="17" customFormat="1" customHeight="1" spans="1:36">
      <c r="A239" s="29"/>
      <c r="B239" s="30"/>
      <c r="C239" s="28" t="s">
        <v>897</v>
      </c>
      <c r="D239" s="30"/>
      <c r="E239" s="31"/>
      <c r="F239" s="31"/>
      <c r="G239" s="30"/>
      <c r="H239" s="31"/>
      <c r="I239" s="37"/>
      <c r="J239" s="37"/>
      <c r="K239" s="59"/>
      <c r="L239" s="59"/>
      <c r="M239" s="36"/>
      <c r="N239" s="41"/>
      <c r="O239" s="41"/>
      <c r="P239" s="41"/>
      <c r="Q239" s="30"/>
      <c r="R239" s="30"/>
      <c r="S239" s="76"/>
      <c r="T239" s="36"/>
      <c r="U239" s="31"/>
      <c r="V239" s="30" t="s">
        <v>911</v>
      </c>
      <c r="W239" s="30">
        <v>330201048</v>
      </c>
      <c r="X239" s="30" t="s">
        <v>912</v>
      </c>
      <c r="Y239" s="30"/>
      <c r="Z239" s="30"/>
      <c r="AA239" s="30" t="s">
        <v>40</v>
      </c>
      <c r="AB239" s="30" t="s">
        <v>43</v>
      </c>
      <c r="AC239" s="51">
        <v>4800</v>
      </c>
      <c r="AD239" s="51">
        <v>4320</v>
      </c>
      <c r="AE239" s="57">
        <v>4220</v>
      </c>
      <c r="AF239" s="57">
        <v>3800</v>
      </c>
      <c r="AG239" s="57">
        <v>3230</v>
      </c>
      <c r="AH239" s="82" t="s">
        <v>42</v>
      </c>
      <c r="AI239" s="82" t="s">
        <v>43</v>
      </c>
      <c r="AJ239" s="76" t="s">
        <v>43</v>
      </c>
    </row>
    <row r="240" s="17" customFormat="1" customHeight="1" spans="1:36">
      <c r="A240" s="29"/>
      <c r="B240" s="30"/>
      <c r="C240" s="28" t="s">
        <v>897</v>
      </c>
      <c r="D240" s="30"/>
      <c r="E240" s="31"/>
      <c r="F240" s="31"/>
      <c r="G240" s="30"/>
      <c r="H240" s="31"/>
      <c r="I240" s="37"/>
      <c r="J240" s="37"/>
      <c r="K240" s="59"/>
      <c r="L240" s="59"/>
      <c r="M240" s="36"/>
      <c r="N240" s="41"/>
      <c r="O240" s="41"/>
      <c r="P240" s="41"/>
      <c r="Q240" s="30"/>
      <c r="R240" s="30"/>
      <c r="S240" s="76"/>
      <c r="T240" s="36"/>
      <c r="U240" s="31"/>
      <c r="V240" s="30" t="s">
        <v>913</v>
      </c>
      <c r="W240" s="30">
        <v>330203005</v>
      </c>
      <c r="X240" s="30" t="s">
        <v>914</v>
      </c>
      <c r="Y240" s="30" t="s">
        <v>915</v>
      </c>
      <c r="Z240" s="30"/>
      <c r="AA240" s="30" t="s">
        <v>40</v>
      </c>
      <c r="AB240" s="30" t="s">
        <v>43</v>
      </c>
      <c r="AC240" s="51">
        <v>5380</v>
      </c>
      <c r="AD240" s="51">
        <v>4840</v>
      </c>
      <c r="AE240" s="57">
        <v>4730</v>
      </c>
      <c r="AF240" s="57">
        <v>4260</v>
      </c>
      <c r="AG240" s="57">
        <v>3620</v>
      </c>
      <c r="AH240" s="82" t="s">
        <v>42</v>
      </c>
      <c r="AI240" s="82" t="s">
        <v>43</v>
      </c>
      <c r="AJ240" s="76" t="s">
        <v>43</v>
      </c>
    </row>
    <row r="241" s="17" customFormat="1" customHeight="1" spans="1:36">
      <c r="A241" s="29"/>
      <c r="B241" s="30"/>
      <c r="C241" s="28" t="s">
        <v>897</v>
      </c>
      <c r="D241" s="30"/>
      <c r="E241" s="31"/>
      <c r="F241" s="31"/>
      <c r="G241" s="30"/>
      <c r="H241" s="31"/>
      <c r="I241" s="37"/>
      <c r="J241" s="37"/>
      <c r="K241" s="59"/>
      <c r="L241" s="59"/>
      <c r="M241" s="36"/>
      <c r="N241" s="41"/>
      <c r="O241" s="41"/>
      <c r="P241" s="41"/>
      <c r="Q241" s="30"/>
      <c r="R241" s="30"/>
      <c r="S241" s="76"/>
      <c r="T241" s="36"/>
      <c r="U241" s="31"/>
      <c r="V241" s="30" t="s">
        <v>916</v>
      </c>
      <c r="W241" s="30">
        <v>330203006</v>
      </c>
      <c r="X241" s="30" t="s">
        <v>917</v>
      </c>
      <c r="Y241" s="30" t="s">
        <v>918</v>
      </c>
      <c r="Z241" s="30"/>
      <c r="AA241" s="30" t="s">
        <v>40</v>
      </c>
      <c r="AB241" s="30" t="s">
        <v>919</v>
      </c>
      <c r="AC241" s="51">
        <v>5760</v>
      </c>
      <c r="AD241" s="51">
        <v>5180</v>
      </c>
      <c r="AE241" s="57">
        <v>5060</v>
      </c>
      <c r="AF241" s="57">
        <v>4550</v>
      </c>
      <c r="AG241" s="57">
        <v>3870</v>
      </c>
      <c r="AH241" s="82" t="s">
        <v>42</v>
      </c>
      <c r="AI241" s="82" t="s">
        <v>43</v>
      </c>
      <c r="AJ241" s="76" t="s">
        <v>43</v>
      </c>
    </row>
    <row r="242" s="17" customFormat="1" customHeight="1" spans="1:36">
      <c r="A242" s="29"/>
      <c r="B242" s="30"/>
      <c r="C242" s="28" t="s">
        <v>897</v>
      </c>
      <c r="D242" s="30"/>
      <c r="E242" s="31"/>
      <c r="F242" s="31"/>
      <c r="G242" s="30"/>
      <c r="H242" s="31"/>
      <c r="I242" s="37"/>
      <c r="J242" s="37"/>
      <c r="K242" s="59"/>
      <c r="L242" s="59"/>
      <c r="M242" s="36"/>
      <c r="N242" s="41"/>
      <c r="O242" s="41"/>
      <c r="P242" s="41"/>
      <c r="Q242" s="30"/>
      <c r="R242" s="30"/>
      <c r="S242" s="76"/>
      <c r="T242" s="36"/>
      <c r="U242" s="31"/>
      <c r="V242" s="46" t="s">
        <v>920</v>
      </c>
      <c r="W242" s="46">
        <v>33020300601</v>
      </c>
      <c r="X242" s="48" t="s">
        <v>921</v>
      </c>
      <c r="Y242" s="46"/>
      <c r="Z242" s="46"/>
      <c r="AA242" s="46" t="s">
        <v>40</v>
      </c>
      <c r="AB242" s="30" t="s">
        <v>922</v>
      </c>
      <c r="AC242" s="52">
        <v>6720</v>
      </c>
      <c r="AD242" s="51">
        <v>6045</v>
      </c>
      <c r="AE242" s="57">
        <v>5925</v>
      </c>
      <c r="AF242" s="57">
        <v>5330</v>
      </c>
      <c r="AG242" s="57">
        <v>4535</v>
      </c>
      <c r="AH242" s="82" t="s">
        <v>42</v>
      </c>
      <c r="AI242" s="82" t="s">
        <v>43</v>
      </c>
      <c r="AJ242" s="76" t="s">
        <v>43</v>
      </c>
    </row>
    <row r="243" s="17" customFormat="1" customHeight="1" spans="1:36">
      <c r="A243" s="29"/>
      <c r="B243" s="30"/>
      <c r="C243" s="28" t="s">
        <v>897</v>
      </c>
      <c r="D243" s="30"/>
      <c r="E243" s="31"/>
      <c r="F243" s="31"/>
      <c r="G243" s="30"/>
      <c r="H243" s="31"/>
      <c r="I243" s="37"/>
      <c r="J243" s="37"/>
      <c r="K243" s="59"/>
      <c r="L243" s="59"/>
      <c r="M243" s="36"/>
      <c r="N243" s="41"/>
      <c r="O243" s="41"/>
      <c r="P243" s="41"/>
      <c r="Q243" s="30"/>
      <c r="R243" s="30"/>
      <c r="S243" s="76"/>
      <c r="T243" s="36"/>
      <c r="U243" s="31"/>
      <c r="V243" s="30" t="s">
        <v>481</v>
      </c>
      <c r="W243" s="30">
        <v>330203004</v>
      </c>
      <c r="X243" s="30" t="s">
        <v>482</v>
      </c>
      <c r="Y243" s="30" t="s">
        <v>483</v>
      </c>
      <c r="Z243" s="30" t="s">
        <v>484</v>
      </c>
      <c r="AA243" s="30" t="s">
        <v>40</v>
      </c>
      <c r="AB243" s="30" t="s">
        <v>43</v>
      </c>
      <c r="AC243" s="51">
        <v>9900</v>
      </c>
      <c r="AD243" s="51">
        <v>8320</v>
      </c>
      <c r="AE243" s="57">
        <v>7630</v>
      </c>
      <c r="AF243" s="57">
        <v>6870</v>
      </c>
      <c r="AG243" s="57">
        <v>5840</v>
      </c>
      <c r="AH243" s="82" t="s">
        <v>42</v>
      </c>
      <c r="AI243" s="82" t="s">
        <v>43</v>
      </c>
      <c r="AJ243" s="76" t="s">
        <v>43</v>
      </c>
    </row>
    <row r="244" s="17" customFormat="1" customHeight="1" spans="1:36">
      <c r="A244" s="29"/>
      <c r="B244" s="30"/>
      <c r="C244" s="28" t="s">
        <v>897</v>
      </c>
      <c r="D244" s="30"/>
      <c r="E244" s="31"/>
      <c r="F244" s="31"/>
      <c r="G244" s="30"/>
      <c r="H244" s="31"/>
      <c r="I244" s="37"/>
      <c r="J244" s="37"/>
      <c r="K244" s="59"/>
      <c r="L244" s="59"/>
      <c r="M244" s="36"/>
      <c r="N244" s="41"/>
      <c r="O244" s="41"/>
      <c r="P244" s="41"/>
      <c r="Q244" s="30"/>
      <c r="R244" s="30"/>
      <c r="S244" s="76"/>
      <c r="T244" s="36"/>
      <c r="U244" s="31"/>
      <c r="V244" s="30" t="s">
        <v>485</v>
      </c>
      <c r="W244" s="30">
        <v>330203003</v>
      </c>
      <c r="X244" s="30" t="s">
        <v>486</v>
      </c>
      <c r="Y244" s="30" t="s">
        <v>487</v>
      </c>
      <c r="Z244" s="30" t="s">
        <v>488</v>
      </c>
      <c r="AA244" s="30" t="s">
        <v>40</v>
      </c>
      <c r="AB244" s="30" t="s">
        <v>43</v>
      </c>
      <c r="AC244" s="51">
        <v>4800</v>
      </c>
      <c r="AD244" s="51">
        <v>4320</v>
      </c>
      <c r="AE244" s="57">
        <v>4220</v>
      </c>
      <c r="AF244" s="57">
        <v>3800</v>
      </c>
      <c r="AG244" s="57">
        <v>3230</v>
      </c>
      <c r="AH244" s="82" t="s">
        <v>42</v>
      </c>
      <c r="AI244" s="82" t="s">
        <v>43</v>
      </c>
      <c r="AJ244" s="76" t="s">
        <v>43</v>
      </c>
    </row>
    <row r="245" s="17" customFormat="1" customHeight="1" spans="1:36">
      <c r="A245" s="29" t="s">
        <v>70</v>
      </c>
      <c r="B245" s="30" t="s">
        <v>923</v>
      </c>
      <c r="C245" s="28" t="s">
        <v>924</v>
      </c>
      <c r="D245" s="30" t="s">
        <v>378</v>
      </c>
      <c r="E245" s="31" t="s">
        <v>43</v>
      </c>
      <c r="F245" s="31" t="s">
        <v>43</v>
      </c>
      <c r="G245" s="30" t="s">
        <v>40</v>
      </c>
      <c r="H245" s="31"/>
      <c r="I245" s="37">
        <v>2601</v>
      </c>
      <c r="J245" s="37">
        <v>2341</v>
      </c>
      <c r="K245" s="36"/>
      <c r="L245" s="36"/>
      <c r="M245" s="36"/>
      <c r="N245" s="41">
        <v>2485</v>
      </c>
      <c r="O245" s="41">
        <v>2220</v>
      </c>
      <c r="P245" s="41">
        <f>P236*0.3</f>
        <v>1875</v>
      </c>
      <c r="Q245" s="30" t="s">
        <v>42</v>
      </c>
      <c r="R245" s="30" t="s">
        <v>43</v>
      </c>
      <c r="S245" s="76" t="s">
        <v>43</v>
      </c>
      <c r="T245" s="36"/>
      <c r="U245" s="31" t="s">
        <v>384</v>
      </c>
      <c r="V245" s="30" t="s">
        <v>925</v>
      </c>
      <c r="W245" s="30">
        <v>33020102301</v>
      </c>
      <c r="X245" s="30" t="s">
        <v>926</v>
      </c>
      <c r="Y245" s="30"/>
      <c r="Z245" s="30"/>
      <c r="AA245" s="30" t="s">
        <v>40</v>
      </c>
      <c r="AB245" s="30" t="s">
        <v>43</v>
      </c>
      <c r="AC245" s="51">
        <v>8240</v>
      </c>
      <c r="AD245" s="51">
        <v>7410</v>
      </c>
      <c r="AE245" s="57">
        <v>7240</v>
      </c>
      <c r="AF245" s="57">
        <v>6515</v>
      </c>
      <c r="AG245" s="57">
        <v>5540</v>
      </c>
      <c r="AH245" s="82" t="s">
        <v>42</v>
      </c>
      <c r="AI245" s="82" t="s">
        <v>43</v>
      </c>
      <c r="AJ245" s="76" t="s">
        <v>43</v>
      </c>
    </row>
    <row r="246" s="17" customFormat="1" customHeight="1" spans="1:36">
      <c r="A246" s="29"/>
      <c r="B246" s="30"/>
      <c r="C246" s="28" t="s">
        <v>924</v>
      </c>
      <c r="D246" s="30"/>
      <c r="E246" s="31"/>
      <c r="F246" s="31"/>
      <c r="G246" s="30"/>
      <c r="H246" s="31"/>
      <c r="I246" s="37"/>
      <c r="J246" s="37"/>
      <c r="K246" s="36"/>
      <c r="L246" s="36"/>
      <c r="M246" s="36"/>
      <c r="N246" s="41"/>
      <c r="O246" s="41"/>
      <c r="P246" s="41"/>
      <c r="Q246" s="30"/>
      <c r="R246" s="30"/>
      <c r="S246" s="76"/>
      <c r="T246" s="36"/>
      <c r="U246" s="31"/>
      <c r="V246" s="30" t="s">
        <v>927</v>
      </c>
      <c r="W246" s="30">
        <v>33020102401</v>
      </c>
      <c r="X246" s="30" t="s">
        <v>928</v>
      </c>
      <c r="Y246" s="30"/>
      <c r="Z246" s="30"/>
      <c r="AA246" s="30" t="s">
        <v>40</v>
      </c>
      <c r="AB246" s="30" t="s">
        <v>43</v>
      </c>
      <c r="AC246" s="51">
        <v>12870</v>
      </c>
      <c r="AD246" s="51">
        <v>10815</v>
      </c>
      <c r="AE246" s="57">
        <v>12220</v>
      </c>
      <c r="AF246" s="57">
        <v>11635</v>
      </c>
      <c r="AG246" s="57">
        <v>9295</v>
      </c>
      <c r="AH246" s="82" t="s">
        <v>42</v>
      </c>
      <c r="AI246" s="82" t="s">
        <v>43</v>
      </c>
      <c r="AJ246" s="76" t="s">
        <v>43</v>
      </c>
    </row>
    <row r="247" s="17" customFormat="1" customHeight="1" spans="1:36">
      <c r="A247" s="29"/>
      <c r="B247" s="30"/>
      <c r="C247" s="28" t="s">
        <v>924</v>
      </c>
      <c r="D247" s="30"/>
      <c r="E247" s="31"/>
      <c r="F247" s="31"/>
      <c r="G247" s="30"/>
      <c r="H247" s="31"/>
      <c r="I247" s="37"/>
      <c r="J247" s="37"/>
      <c r="K247" s="36"/>
      <c r="L247" s="36"/>
      <c r="M247" s="36"/>
      <c r="N247" s="41"/>
      <c r="O247" s="41"/>
      <c r="P247" s="41"/>
      <c r="Q247" s="30"/>
      <c r="R247" s="30"/>
      <c r="S247" s="76"/>
      <c r="T247" s="36"/>
      <c r="U247" s="31"/>
      <c r="V247" s="30" t="s">
        <v>929</v>
      </c>
      <c r="W247" s="30">
        <v>33020103701</v>
      </c>
      <c r="X247" s="30" t="s">
        <v>930</v>
      </c>
      <c r="Y247" s="30"/>
      <c r="Z247" s="30"/>
      <c r="AA247" s="30" t="s">
        <v>40</v>
      </c>
      <c r="AB247" s="30" t="s">
        <v>43</v>
      </c>
      <c r="AC247" s="51">
        <v>11700</v>
      </c>
      <c r="AD247" s="51">
        <v>9830</v>
      </c>
      <c r="AE247" s="57">
        <v>9020</v>
      </c>
      <c r="AF247" s="57">
        <v>8125</v>
      </c>
      <c r="AG247" s="57">
        <v>6905</v>
      </c>
      <c r="AH247" s="82" t="s">
        <v>42</v>
      </c>
      <c r="AI247" s="82" t="s">
        <v>43</v>
      </c>
      <c r="AJ247" s="76" t="s">
        <v>43</v>
      </c>
    </row>
    <row r="248" s="17" customFormat="1" customHeight="1" spans="1:36">
      <c r="A248" s="29"/>
      <c r="B248" s="30"/>
      <c r="C248" s="28" t="s">
        <v>924</v>
      </c>
      <c r="D248" s="30"/>
      <c r="E248" s="31"/>
      <c r="F248" s="31"/>
      <c r="G248" s="30"/>
      <c r="H248" s="31"/>
      <c r="I248" s="37"/>
      <c r="J248" s="37"/>
      <c r="K248" s="36"/>
      <c r="L248" s="36"/>
      <c r="M248" s="36"/>
      <c r="N248" s="41"/>
      <c r="O248" s="41"/>
      <c r="P248" s="41"/>
      <c r="Q248" s="30"/>
      <c r="R248" s="30"/>
      <c r="S248" s="76"/>
      <c r="T248" s="36"/>
      <c r="U248" s="31"/>
      <c r="V248" s="46" t="s">
        <v>931</v>
      </c>
      <c r="W248" s="46">
        <v>33020104801</v>
      </c>
      <c r="X248" s="48" t="s">
        <v>932</v>
      </c>
      <c r="Y248" s="46"/>
      <c r="Z248" s="46"/>
      <c r="AA248" s="46" t="s">
        <v>40</v>
      </c>
      <c r="AB248" s="30" t="s">
        <v>43</v>
      </c>
      <c r="AC248" s="52">
        <v>6240</v>
      </c>
      <c r="AD248" s="51">
        <v>5615</v>
      </c>
      <c r="AE248" s="57">
        <v>5485</v>
      </c>
      <c r="AF248" s="57">
        <v>4940</v>
      </c>
      <c r="AG248" s="57">
        <v>4200</v>
      </c>
      <c r="AH248" s="82" t="s">
        <v>42</v>
      </c>
      <c r="AI248" s="82" t="s">
        <v>43</v>
      </c>
      <c r="AJ248" s="76" t="s">
        <v>43</v>
      </c>
    </row>
    <row r="249" s="17" customFormat="1" customHeight="1" spans="1:36">
      <c r="A249" s="29"/>
      <c r="B249" s="30"/>
      <c r="C249" s="28" t="s">
        <v>924</v>
      </c>
      <c r="D249" s="30"/>
      <c r="E249" s="31"/>
      <c r="F249" s="31"/>
      <c r="G249" s="30"/>
      <c r="H249" s="31"/>
      <c r="I249" s="37"/>
      <c r="J249" s="37"/>
      <c r="K249" s="36"/>
      <c r="L249" s="36"/>
      <c r="M249" s="36"/>
      <c r="N249" s="41"/>
      <c r="O249" s="41"/>
      <c r="P249" s="41"/>
      <c r="Q249" s="30"/>
      <c r="R249" s="30"/>
      <c r="S249" s="76"/>
      <c r="T249" s="36"/>
      <c r="U249" s="31"/>
      <c r="V249" s="46" t="s">
        <v>933</v>
      </c>
      <c r="W249" s="46">
        <v>33020300501</v>
      </c>
      <c r="X249" s="48" t="s">
        <v>934</v>
      </c>
      <c r="Y249" s="46"/>
      <c r="Z249" s="46"/>
      <c r="AA249" s="46" t="s">
        <v>40</v>
      </c>
      <c r="AB249" s="30" t="s">
        <v>43</v>
      </c>
      <c r="AC249" s="52">
        <v>6995</v>
      </c>
      <c r="AD249" s="51">
        <v>6290</v>
      </c>
      <c r="AE249" s="57">
        <v>6150</v>
      </c>
      <c r="AF249" s="57">
        <v>5540</v>
      </c>
      <c r="AG249" s="57">
        <v>4710</v>
      </c>
      <c r="AH249" s="82" t="s">
        <v>42</v>
      </c>
      <c r="AI249" s="82" t="s">
        <v>43</v>
      </c>
      <c r="AJ249" s="76"/>
    </row>
    <row r="250" s="17" customFormat="1" customHeight="1" spans="1:36">
      <c r="A250" s="29"/>
      <c r="B250" s="30"/>
      <c r="C250" s="28" t="s">
        <v>924</v>
      </c>
      <c r="D250" s="30"/>
      <c r="E250" s="31"/>
      <c r="F250" s="31"/>
      <c r="G250" s="30"/>
      <c r="H250" s="31"/>
      <c r="I250" s="37"/>
      <c r="J250" s="37"/>
      <c r="K250" s="36"/>
      <c r="L250" s="36"/>
      <c r="M250" s="36"/>
      <c r="N250" s="41"/>
      <c r="O250" s="41"/>
      <c r="P250" s="41"/>
      <c r="Q250" s="30"/>
      <c r="R250" s="30"/>
      <c r="S250" s="76"/>
      <c r="T250" s="36"/>
      <c r="U250" s="31"/>
      <c r="V250" s="46" t="s">
        <v>935</v>
      </c>
      <c r="W250" s="46">
        <v>33020300602</v>
      </c>
      <c r="X250" s="48" t="s">
        <v>936</v>
      </c>
      <c r="Y250" s="46"/>
      <c r="Z250" s="46"/>
      <c r="AA250" s="46" t="s">
        <v>40</v>
      </c>
      <c r="AB250" s="30" t="s">
        <v>43</v>
      </c>
      <c r="AC250" s="52">
        <v>7490</v>
      </c>
      <c r="AD250" s="51">
        <v>6735</v>
      </c>
      <c r="AE250" s="57">
        <v>6580</v>
      </c>
      <c r="AF250" s="57">
        <v>5915</v>
      </c>
      <c r="AG250" s="57">
        <v>5030</v>
      </c>
      <c r="AH250" s="82" t="s">
        <v>42</v>
      </c>
      <c r="AI250" s="82" t="s">
        <v>43</v>
      </c>
      <c r="AJ250" s="76"/>
    </row>
    <row r="251" s="17" customFormat="1" customHeight="1" spans="1:36">
      <c r="A251" s="29"/>
      <c r="B251" s="30"/>
      <c r="C251" s="28" t="s">
        <v>924</v>
      </c>
      <c r="D251" s="30"/>
      <c r="E251" s="31"/>
      <c r="F251" s="31"/>
      <c r="G251" s="30"/>
      <c r="H251" s="31"/>
      <c r="I251" s="37"/>
      <c r="J251" s="37"/>
      <c r="K251" s="36"/>
      <c r="L251" s="36"/>
      <c r="M251" s="36"/>
      <c r="N251" s="41"/>
      <c r="O251" s="41"/>
      <c r="P251" s="41"/>
      <c r="Q251" s="30"/>
      <c r="R251" s="30"/>
      <c r="S251" s="76"/>
      <c r="T251" s="36"/>
      <c r="U251" s="31"/>
      <c r="V251" s="46" t="s">
        <v>937</v>
      </c>
      <c r="W251" s="46">
        <v>33020300603</v>
      </c>
      <c r="X251" s="48" t="s">
        <v>938</v>
      </c>
      <c r="Y251" s="46"/>
      <c r="Z251" s="46"/>
      <c r="AA251" s="46" t="s">
        <v>40</v>
      </c>
      <c r="AB251" s="30" t="s">
        <v>922</v>
      </c>
      <c r="AC251" s="52">
        <v>8735</v>
      </c>
      <c r="AD251" s="51">
        <v>7860</v>
      </c>
      <c r="AE251" s="57">
        <v>7705</v>
      </c>
      <c r="AF251" s="57">
        <v>6930</v>
      </c>
      <c r="AG251" s="57">
        <v>5890</v>
      </c>
      <c r="AH251" s="82" t="s">
        <v>42</v>
      </c>
      <c r="AI251" s="82" t="s">
        <v>43</v>
      </c>
      <c r="AJ251" s="76" t="s">
        <v>43</v>
      </c>
    </row>
    <row r="252" s="17" customFormat="1" customHeight="1" spans="1:36">
      <c r="A252" s="29"/>
      <c r="B252" s="30"/>
      <c r="C252" s="28" t="s">
        <v>924</v>
      </c>
      <c r="D252" s="30"/>
      <c r="E252" s="31"/>
      <c r="F252" s="31"/>
      <c r="G252" s="30"/>
      <c r="H252" s="31"/>
      <c r="I252" s="37"/>
      <c r="J252" s="37"/>
      <c r="K252" s="36"/>
      <c r="L252" s="36"/>
      <c r="M252" s="36"/>
      <c r="N252" s="41"/>
      <c r="O252" s="41"/>
      <c r="P252" s="41"/>
      <c r="Q252" s="30"/>
      <c r="R252" s="30"/>
      <c r="S252" s="76"/>
      <c r="T252" s="36"/>
      <c r="U252" s="31"/>
      <c r="V252" s="46" t="s">
        <v>491</v>
      </c>
      <c r="W252" s="46">
        <v>33020300401</v>
      </c>
      <c r="X252" s="48" t="s">
        <v>492</v>
      </c>
      <c r="Y252" s="46"/>
      <c r="Z252" s="46"/>
      <c r="AA252" s="46" t="s">
        <v>40</v>
      </c>
      <c r="AB252" s="30" t="s">
        <v>43</v>
      </c>
      <c r="AC252" s="52">
        <v>12870</v>
      </c>
      <c r="AD252" s="51">
        <v>10815</v>
      </c>
      <c r="AE252" s="57">
        <v>9920</v>
      </c>
      <c r="AF252" s="57">
        <v>8930</v>
      </c>
      <c r="AG252" s="57">
        <v>7590</v>
      </c>
      <c r="AH252" s="82" t="s">
        <v>42</v>
      </c>
      <c r="AI252" s="82" t="s">
        <v>43</v>
      </c>
      <c r="AJ252" s="76" t="s">
        <v>43</v>
      </c>
    </row>
    <row r="253" s="17" customFormat="1" customHeight="1" spans="1:36">
      <c r="A253" s="29"/>
      <c r="B253" s="30"/>
      <c r="C253" s="28" t="s">
        <v>924</v>
      </c>
      <c r="D253" s="30"/>
      <c r="E253" s="31"/>
      <c r="F253" s="31"/>
      <c r="G253" s="30"/>
      <c r="H253" s="31"/>
      <c r="I253" s="37"/>
      <c r="J253" s="37"/>
      <c r="K253" s="36"/>
      <c r="L253" s="36"/>
      <c r="M253" s="36"/>
      <c r="N253" s="41"/>
      <c r="O253" s="41"/>
      <c r="P253" s="41"/>
      <c r="Q253" s="30"/>
      <c r="R253" s="30"/>
      <c r="S253" s="76"/>
      <c r="T253" s="36"/>
      <c r="U253" s="31"/>
      <c r="V253" s="30" t="s">
        <v>493</v>
      </c>
      <c r="W253" s="30">
        <v>33020300301</v>
      </c>
      <c r="X253" s="30" t="s">
        <v>494</v>
      </c>
      <c r="Y253" s="30"/>
      <c r="Z253" s="30"/>
      <c r="AA253" s="30" t="s">
        <v>40</v>
      </c>
      <c r="AB253" s="30" t="s">
        <v>43</v>
      </c>
      <c r="AC253" s="51">
        <v>6240</v>
      </c>
      <c r="AD253" s="51">
        <v>5615</v>
      </c>
      <c r="AE253" s="57">
        <v>5485</v>
      </c>
      <c r="AF253" s="57">
        <v>4940</v>
      </c>
      <c r="AG253" s="57">
        <v>4200</v>
      </c>
      <c r="AH253" s="82" t="s">
        <v>42</v>
      </c>
      <c r="AI253" s="82" t="s">
        <v>43</v>
      </c>
      <c r="AJ253" s="76" t="s">
        <v>43</v>
      </c>
    </row>
    <row r="254" s="17" customFormat="1" ht="41" customHeight="1" spans="1:36">
      <c r="A254" s="29">
        <v>48</v>
      </c>
      <c r="B254" s="30" t="s">
        <v>939</v>
      </c>
      <c r="C254" s="28" t="s">
        <v>940</v>
      </c>
      <c r="D254" s="30" t="s">
        <v>378</v>
      </c>
      <c r="E254" s="31" t="s">
        <v>941</v>
      </c>
      <c r="F254" s="31" t="s">
        <v>750</v>
      </c>
      <c r="G254" s="30" t="s">
        <v>40</v>
      </c>
      <c r="H254" s="31" t="s">
        <v>146</v>
      </c>
      <c r="I254" s="37">
        <v>5000</v>
      </c>
      <c r="J254" s="37">
        <v>4500</v>
      </c>
      <c r="K254" s="36"/>
      <c r="L254" s="36"/>
      <c r="M254" s="36"/>
      <c r="N254" s="41">
        <v>4700</v>
      </c>
      <c r="O254" s="41">
        <v>4350</v>
      </c>
      <c r="P254" s="41">
        <v>3700</v>
      </c>
      <c r="Q254" s="30" t="s">
        <v>42</v>
      </c>
      <c r="R254" s="30" t="s">
        <v>43</v>
      </c>
      <c r="S254" s="76" t="s">
        <v>43</v>
      </c>
      <c r="T254" s="36" t="s">
        <v>280</v>
      </c>
      <c r="U254" s="31" t="s">
        <v>942</v>
      </c>
      <c r="V254" s="30" t="s">
        <v>943</v>
      </c>
      <c r="W254" s="30">
        <v>330201054</v>
      </c>
      <c r="X254" s="30" t="s">
        <v>944</v>
      </c>
      <c r="Y254" s="30"/>
      <c r="Z254" s="30"/>
      <c r="AA254" s="30" t="s">
        <v>40</v>
      </c>
      <c r="AB254" s="30" t="s">
        <v>43</v>
      </c>
      <c r="AC254" s="51">
        <v>4800</v>
      </c>
      <c r="AD254" s="51">
        <v>4320</v>
      </c>
      <c r="AE254" s="57">
        <v>4220</v>
      </c>
      <c r="AF254" s="57">
        <v>3800</v>
      </c>
      <c r="AG254" s="57">
        <v>3230</v>
      </c>
      <c r="AH254" s="82" t="s">
        <v>42</v>
      </c>
      <c r="AI254" s="82" t="s">
        <v>43</v>
      </c>
      <c r="AJ254" s="76" t="s">
        <v>43</v>
      </c>
    </row>
    <row r="255" s="17" customFormat="1" ht="41" customHeight="1" spans="1:36">
      <c r="A255" s="29"/>
      <c r="B255" s="30"/>
      <c r="C255" s="28" t="s">
        <v>940</v>
      </c>
      <c r="D255" s="30"/>
      <c r="E255" s="31"/>
      <c r="F255" s="31"/>
      <c r="G255" s="30"/>
      <c r="H255" s="31"/>
      <c r="I255" s="37"/>
      <c r="J255" s="37"/>
      <c r="K255" s="36"/>
      <c r="L255" s="36"/>
      <c r="M255" s="36"/>
      <c r="N255" s="41"/>
      <c r="O255" s="41"/>
      <c r="P255" s="41"/>
      <c r="Q255" s="30"/>
      <c r="R255" s="30"/>
      <c r="S255" s="76"/>
      <c r="T255" s="36"/>
      <c r="U255" s="31"/>
      <c r="V255" s="30" t="s">
        <v>945</v>
      </c>
      <c r="W255" s="30">
        <v>330201056</v>
      </c>
      <c r="X255" s="30" t="s">
        <v>946</v>
      </c>
      <c r="Y255" s="30"/>
      <c r="Z255" s="30" t="s">
        <v>947</v>
      </c>
      <c r="AA255" s="30" t="s">
        <v>40</v>
      </c>
      <c r="AB255" s="30" t="s">
        <v>43</v>
      </c>
      <c r="AC255" s="51">
        <v>4030</v>
      </c>
      <c r="AD255" s="51">
        <v>3620</v>
      </c>
      <c r="AE255" s="57">
        <v>3540</v>
      </c>
      <c r="AF255" s="57">
        <v>3190</v>
      </c>
      <c r="AG255" s="57">
        <v>2710</v>
      </c>
      <c r="AH255" s="82" t="s">
        <v>42</v>
      </c>
      <c r="AI255" s="82" t="s">
        <v>43</v>
      </c>
      <c r="AJ255" s="76"/>
    </row>
    <row r="256" s="17" customFormat="1" ht="27" customHeight="1" spans="1:36">
      <c r="A256" s="29" t="s">
        <v>70</v>
      </c>
      <c r="B256" s="30" t="s">
        <v>948</v>
      </c>
      <c r="C256" s="28" t="s">
        <v>949</v>
      </c>
      <c r="D256" s="30" t="s">
        <v>378</v>
      </c>
      <c r="E256" s="31" t="s">
        <v>43</v>
      </c>
      <c r="F256" s="31" t="s">
        <v>43</v>
      </c>
      <c r="G256" s="30" t="s">
        <v>40</v>
      </c>
      <c r="H256" s="31" t="s">
        <v>43</v>
      </c>
      <c r="I256" s="37">
        <v>1500</v>
      </c>
      <c r="J256" s="37">
        <v>1350</v>
      </c>
      <c r="K256" s="36"/>
      <c r="L256" s="36"/>
      <c r="M256" s="36"/>
      <c r="N256" s="41">
        <f>N254*0.3</f>
        <v>1410</v>
      </c>
      <c r="O256" s="41">
        <f>O254*0.3</f>
        <v>1305</v>
      </c>
      <c r="P256" s="41">
        <f>P254*0.3</f>
        <v>1110</v>
      </c>
      <c r="Q256" s="30" t="s">
        <v>42</v>
      </c>
      <c r="R256" s="30" t="s">
        <v>43</v>
      </c>
      <c r="S256" s="76" t="s">
        <v>43</v>
      </c>
      <c r="T256" s="36"/>
      <c r="U256" s="31" t="s">
        <v>384</v>
      </c>
      <c r="V256" s="46" t="s">
        <v>950</v>
      </c>
      <c r="W256" s="46">
        <v>33020105401</v>
      </c>
      <c r="X256" s="48" t="s">
        <v>951</v>
      </c>
      <c r="Y256" s="46"/>
      <c r="Z256" s="46"/>
      <c r="AA256" s="46" t="s">
        <v>40</v>
      </c>
      <c r="AB256" s="30" t="s">
        <v>43</v>
      </c>
      <c r="AC256" s="52">
        <v>6240</v>
      </c>
      <c r="AD256" s="51">
        <v>5615</v>
      </c>
      <c r="AE256" s="57">
        <v>5485</v>
      </c>
      <c r="AF256" s="57">
        <v>4940</v>
      </c>
      <c r="AG256" s="57">
        <v>4200</v>
      </c>
      <c r="AH256" s="82" t="s">
        <v>42</v>
      </c>
      <c r="AI256" s="82" t="s">
        <v>43</v>
      </c>
      <c r="AJ256" s="76" t="s">
        <v>43</v>
      </c>
    </row>
    <row r="257" s="17" customFormat="1" ht="27" customHeight="1" spans="1:36">
      <c r="A257" s="29"/>
      <c r="B257" s="30"/>
      <c r="C257" s="28" t="s">
        <v>949</v>
      </c>
      <c r="D257" s="30"/>
      <c r="E257" s="31"/>
      <c r="F257" s="31"/>
      <c r="G257" s="30"/>
      <c r="H257" s="31"/>
      <c r="I257" s="37"/>
      <c r="J257" s="37"/>
      <c r="K257" s="36"/>
      <c r="L257" s="36"/>
      <c r="M257" s="36"/>
      <c r="N257" s="41"/>
      <c r="O257" s="41"/>
      <c r="P257" s="41"/>
      <c r="Q257" s="30"/>
      <c r="R257" s="30"/>
      <c r="S257" s="76"/>
      <c r="T257" s="36"/>
      <c r="U257" s="31"/>
      <c r="V257" s="46" t="s">
        <v>952</v>
      </c>
      <c r="W257" s="46">
        <v>33020105601</v>
      </c>
      <c r="X257" s="48" t="s">
        <v>953</v>
      </c>
      <c r="Y257" s="46"/>
      <c r="Z257" s="46"/>
      <c r="AA257" s="46" t="s">
        <v>40</v>
      </c>
      <c r="AB257" s="30" t="s">
        <v>43</v>
      </c>
      <c r="AC257" s="52">
        <v>5240</v>
      </c>
      <c r="AD257" s="51">
        <v>4705</v>
      </c>
      <c r="AE257" s="57">
        <v>4600</v>
      </c>
      <c r="AF257" s="57">
        <v>4145</v>
      </c>
      <c r="AG257" s="57">
        <v>3525</v>
      </c>
      <c r="AH257" s="82" t="s">
        <v>42</v>
      </c>
      <c r="AI257" s="82" t="s">
        <v>43</v>
      </c>
      <c r="AJ257" s="76" t="s">
        <v>43</v>
      </c>
    </row>
    <row r="258" s="17" customFormat="1" ht="25" customHeight="1" spans="1:36">
      <c r="A258" s="29">
        <v>49</v>
      </c>
      <c r="B258" s="30" t="s">
        <v>954</v>
      </c>
      <c r="C258" s="28" t="s">
        <v>955</v>
      </c>
      <c r="D258" s="30" t="s">
        <v>378</v>
      </c>
      <c r="E258" s="31" t="s">
        <v>956</v>
      </c>
      <c r="F258" s="31" t="s">
        <v>750</v>
      </c>
      <c r="G258" s="30" t="s">
        <v>40</v>
      </c>
      <c r="H258" s="31" t="s">
        <v>957</v>
      </c>
      <c r="I258" s="37">
        <v>9500</v>
      </c>
      <c r="J258" s="37">
        <v>8550</v>
      </c>
      <c r="K258" s="59">
        <v>8302.53012048193</v>
      </c>
      <c r="L258" s="59">
        <v>8028.57142857143</v>
      </c>
      <c r="M258" s="36" t="e">
        <v>#DIV/0!</v>
      </c>
      <c r="N258" s="41">
        <f>N254*1.9</f>
        <v>8930</v>
      </c>
      <c r="O258" s="41">
        <f>O254*1.9</f>
        <v>8265</v>
      </c>
      <c r="P258" s="41">
        <f>P254*1.9</f>
        <v>7030</v>
      </c>
      <c r="Q258" s="30" t="s">
        <v>42</v>
      </c>
      <c r="R258" s="30" t="s">
        <v>43</v>
      </c>
      <c r="S258" s="76" t="s">
        <v>43</v>
      </c>
      <c r="T258" s="36" t="s">
        <v>113</v>
      </c>
      <c r="U258" s="31" t="s">
        <v>958</v>
      </c>
      <c r="V258" s="30" t="s">
        <v>959</v>
      </c>
      <c r="W258" s="30">
        <v>330201027</v>
      </c>
      <c r="X258" s="30" t="s">
        <v>960</v>
      </c>
      <c r="Y258" s="30" t="s">
        <v>961</v>
      </c>
      <c r="Z258" s="30"/>
      <c r="AA258" s="30" t="s">
        <v>40</v>
      </c>
      <c r="AB258" s="30" t="s">
        <v>43</v>
      </c>
      <c r="AC258" s="51">
        <v>8400</v>
      </c>
      <c r="AD258" s="51">
        <v>7060</v>
      </c>
      <c r="AE258" s="57">
        <v>8000</v>
      </c>
      <c r="AF258" s="57">
        <v>7600</v>
      </c>
      <c r="AG258" s="57">
        <v>6050</v>
      </c>
      <c r="AH258" s="82" t="s">
        <v>42</v>
      </c>
      <c r="AI258" s="82"/>
      <c r="AJ258" s="76" t="s">
        <v>43</v>
      </c>
    </row>
    <row r="259" s="17" customFormat="1" ht="25" customHeight="1" spans="1:36">
      <c r="A259" s="29"/>
      <c r="B259" s="30"/>
      <c r="C259" s="28" t="s">
        <v>955</v>
      </c>
      <c r="D259" s="30"/>
      <c r="E259" s="31"/>
      <c r="F259" s="31"/>
      <c r="G259" s="30"/>
      <c r="H259" s="31"/>
      <c r="I259" s="37"/>
      <c r="J259" s="37"/>
      <c r="K259" s="59"/>
      <c r="L259" s="59"/>
      <c r="M259" s="36"/>
      <c r="N259" s="41"/>
      <c r="O259" s="41"/>
      <c r="P259" s="41"/>
      <c r="Q259" s="30"/>
      <c r="R259" s="30"/>
      <c r="S259" s="76"/>
      <c r="T259" s="36"/>
      <c r="U259" s="31"/>
      <c r="V259" s="30" t="s">
        <v>962</v>
      </c>
      <c r="W259" s="30">
        <v>330201040</v>
      </c>
      <c r="X259" s="30" t="s">
        <v>963</v>
      </c>
      <c r="Y259" s="30" t="s">
        <v>964</v>
      </c>
      <c r="Z259" s="30"/>
      <c r="AA259" s="30" t="s">
        <v>40</v>
      </c>
      <c r="AB259" s="30" t="s">
        <v>43</v>
      </c>
      <c r="AC259" s="51">
        <v>9900</v>
      </c>
      <c r="AD259" s="51">
        <v>8320</v>
      </c>
      <c r="AE259" s="57">
        <v>7630</v>
      </c>
      <c r="AF259" s="57">
        <v>6870</v>
      </c>
      <c r="AG259" s="57">
        <v>5840</v>
      </c>
      <c r="AH259" s="82"/>
      <c r="AI259" s="82"/>
      <c r="AJ259" s="76"/>
    </row>
    <row r="260" s="17" customFormat="1" ht="25" customHeight="1" spans="1:36">
      <c r="A260" s="29"/>
      <c r="B260" s="30"/>
      <c r="C260" s="28" t="s">
        <v>955</v>
      </c>
      <c r="D260" s="30"/>
      <c r="E260" s="31"/>
      <c r="F260" s="31"/>
      <c r="G260" s="30"/>
      <c r="H260" s="31"/>
      <c r="I260" s="37"/>
      <c r="J260" s="37"/>
      <c r="K260" s="59"/>
      <c r="L260" s="59"/>
      <c r="M260" s="36"/>
      <c r="N260" s="41"/>
      <c r="O260" s="41"/>
      <c r="P260" s="41"/>
      <c r="Q260" s="30"/>
      <c r="R260" s="30"/>
      <c r="S260" s="76"/>
      <c r="T260" s="36"/>
      <c r="U260" s="31"/>
      <c r="V260" s="30" t="s">
        <v>965</v>
      </c>
      <c r="W260" s="30">
        <v>33020104001</v>
      </c>
      <c r="X260" s="30" t="s">
        <v>966</v>
      </c>
      <c r="Y260" s="30"/>
      <c r="Z260" s="30"/>
      <c r="AA260" s="30" t="s">
        <v>40</v>
      </c>
      <c r="AB260" s="30" t="s">
        <v>967</v>
      </c>
      <c r="AC260" s="51">
        <v>9900</v>
      </c>
      <c r="AD260" s="51">
        <v>8320</v>
      </c>
      <c r="AE260" s="57">
        <v>7630</v>
      </c>
      <c r="AF260" s="57">
        <v>6870</v>
      </c>
      <c r="AG260" s="57">
        <v>5840</v>
      </c>
      <c r="AH260" s="82" t="s">
        <v>42</v>
      </c>
      <c r="AI260" s="82" t="s">
        <v>43</v>
      </c>
      <c r="AJ260" s="76" t="s">
        <v>43</v>
      </c>
    </row>
    <row r="261" s="17" customFormat="1" ht="25" customHeight="1" spans="1:36">
      <c r="A261" s="29"/>
      <c r="B261" s="30"/>
      <c r="C261" s="28" t="s">
        <v>955</v>
      </c>
      <c r="D261" s="30"/>
      <c r="E261" s="31"/>
      <c r="F261" s="31"/>
      <c r="G261" s="30"/>
      <c r="H261" s="31"/>
      <c r="I261" s="37"/>
      <c r="J261" s="37"/>
      <c r="K261" s="59"/>
      <c r="L261" s="59"/>
      <c r="M261" s="36"/>
      <c r="N261" s="41"/>
      <c r="O261" s="41"/>
      <c r="P261" s="41"/>
      <c r="Q261" s="30"/>
      <c r="R261" s="30"/>
      <c r="S261" s="76"/>
      <c r="T261" s="36"/>
      <c r="U261" s="31"/>
      <c r="V261" s="30" t="s">
        <v>968</v>
      </c>
      <c r="W261" s="30">
        <v>33020104101</v>
      </c>
      <c r="X261" s="30" t="s">
        <v>969</v>
      </c>
      <c r="Y261" s="30"/>
      <c r="Z261" s="30"/>
      <c r="AA261" s="30" t="s">
        <v>40</v>
      </c>
      <c r="AB261" s="30" t="s">
        <v>970</v>
      </c>
      <c r="AC261" s="51">
        <v>9000</v>
      </c>
      <c r="AD261" s="51">
        <v>7560</v>
      </c>
      <c r="AE261" s="57">
        <v>8550</v>
      </c>
      <c r="AF261" s="57">
        <v>8100</v>
      </c>
      <c r="AG261" s="57">
        <v>6500</v>
      </c>
      <c r="AH261" s="82" t="s">
        <v>42</v>
      </c>
      <c r="AI261" s="82" t="s">
        <v>43</v>
      </c>
      <c r="AJ261" s="76" t="s">
        <v>43</v>
      </c>
    </row>
    <row r="262" s="17" customFormat="1" ht="25" customHeight="1" spans="1:36">
      <c r="A262" s="29"/>
      <c r="B262" s="30"/>
      <c r="C262" s="28" t="s">
        <v>955</v>
      </c>
      <c r="D262" s="30"/>
      <c r="E262" s="31"/>
      <c r="F262" s="31"/>
      <c r="G262" s="30"/>
      <c r="H262" s="31"/>
      <c r="I262" s="37"/>
      <c r="J262" s="37"/>
      <c r="K262" s="59"/>
      <c r="L262" s="59"/>
      <c r="M262" s="36"/>
      <c r="N262" s="41"/>
      <c r="O262" s="41"/>
      <c r="P262" s="41"/>
      <c r="Q262" s="30"/>
      <c r="R262" s="30"/>
      <c r="S262" s="76"/>
      <c r="T262" s="36"/>
      <c r="U262" s="31"/>
      <c r="V262" s="30" t="s">
        <v>971</v>
      </c>
      <c r="W262" s="30">
        <v>330201041</v>
      </c>
      <c r="X262" s="30" t="s">
        <v>972</v>
      </c>
      <c r="Y262" s="30" t="s">
        <v>973</v>
      </c>
      <c r="Z262" s="30"/>
      <c r="AA262" s="30" t="s">
        <v>40</v>
      </c>
      <c r="AB262" s="30" t="s">
        <v>974</v>
      </c>
      <c r="AC262" s="51">
        <v>9000</v>
      </c>
      <c r="AD262" s="51">
        <v>7560</v>
      </c>
      <c r="AE262" s="57">
        <v>8550</v>
      </c>
      <c r="AF262" s="57">
        <v>8100</v>
      </c>
      <c r="AG262" s="57">
        <v>6500</v>
      </c>
      <c r="AH262" s="82" t="s">
        <v>42</v>
      </c>
      <c r="AI262" s="82" t="s">
        <v>43</v>
      </c>
      <c r="AJ262" s="76" t="s">
        <v>43</v>
      </c>
    </row>
    <row r="263" s="17" customFormat="1" ht="25" customHeight="1" spans="1:36">
      <c r="A263" s="29" t="s">
        <v>70</v>
      </c>
      <c r="B263" s="30" t="s">
        <v>975</v>
      </c>
      <c r="C263" s="28" t="s">
        <v>976</v>
      </c>
      <c r="D263" s="30" t="s">
        <v>378</v>
      </c>
      <c r="E263" s="31" t="s">
        <v>43</v>
      </c>
      <c r="F263" s="31" t="s">
        <v>43</v>
      </c>
      <c r="G263" s="30" t="s">
        <v>40</v>
      </c>
      <c r="H263" s="31" t="s">
        <v>43</v>
      </c>
      <c r="I263" s="37">
        <v>2850</v>
      </c>
      <c r="J263" s="37">
        <v>2565</v>
      </c>
      <c r="K263" s="36"/>
      <c r="L263" s="36"/>
      <c r="M263" s="36"/>
      <c r="N263" s="41">
        <v>2680</v>
      </c>
      <c r="O263" s="41">
        <v>2480</v>
      </c>
      <c r="P263" s="41">
        <v>2110</v>
      </c>
      <c r="Q263" s="30" t="s">
        <v>42</v>
      </c>
      <c r="R263" s="30" t="s">
        <v>43</v>
      </c>
      <c r="S263" s="76" t="s">
        <v>43</v>
      </c>
      <c r="T263" s="36"/>
      <c r="U263" s="31" t="s">
        <v>384</v>
      </c>
      <c r="V263" s="30" t="s">
        <v>977</v>
      </c>
      <c r="W263" s="30">
        <v>33020102701</v>
      </c>
      <c r="X263" s="30" t="s">
        <v>978</v>
      </c>
      <c r="Y263" s="30"/>
      <c r="Z263" s="30"/>
      <c r="AA263" s="30" t="s">
        <v>40</v>
      </c>
      <c r="AB263" s="30" t="s">
        <v>43</v>
      </c>
      <c r="AC263" s="51">
        <v>10920</v>
      </c>
      <c r="AD263" s="51">
        <v>9180</v>
      </c>
      <c r="AE263" s="57">
        <v>10400</v>
      </c>
      <c r="AF263" s="57">
        <v>9880</v>
      </c>
      <c r="AG263" s="57">
        <v>7865</v>
      </c>
      <c r="AH263" s="82" t="s">
        <v>42</v>
      </c>
      <c r="AI263" s="82" t="s">
        <v>43</v>
      </c>
      <c r="AJ263" s="76" t="s">
        <v>43</v>
      </c>
    </row>
    <row r="264" s="17" customFormat="1" ht="25" customHeight="1" spans="1:36">
      <c r="A264" s="29"/>
      <c r="B264" s="30"/>
      <c r="C264" s="28" t="s">
        <v>976</v>
      </c>
      <c r="D264" s="30"/>
      <c r="E264" s="31"/>
      <c r="F264" s="31"/>
      <c r="G264" s="30"/>
      <c r="H264" s="31"/>
      <c r="I264" s="37"/>
      <c r="J264" s="37"/>
      <c r="K264" s="36"/>
      <c r="L264" s="36"/>
      <c r="M264" s="36"/>
      <c r="N264" s="41"/>
      <c r="O264" s="41"/>
      <c r="P264" s="41"/>
      <c r="Q264" s="30"/>
      <c r="R264" s="30"/>
      <c r="S264" s="76"/>
      <c r="T264" s="36"/>
      <c r="U264" s="31"/>
      <c r="V264" s="46" t="s">
        <v>979</v>
      </c>
      <c r="W264" s="46">
        <v>33020104002</v>
      </c>
      <c r="X264" s="48" t="s">
        <v>980</v>
      </c>
      <c r="Y264" s="46"/>
      <c r="Z264" s="46"/>
      <c r="AA264" s="46" t="s">
        <v>40</v>
      </c>
      <c r="AB264" s="30" t="s">
        <v>43</v>
      </c>
      <c r="AC264" s="52">
        <v>12870</v>
      </c>
      <c r="AD264" s="51">
        <v>10815</v>
      </c>
      <c r="AE264" s="57">
        <v>9920</v>
      </c>
      <c r="AF264" s="57">
        <v>8930</v>
      </c>
      <c r="AG264" s="57">
        <v>7590</v>
      </c>
      <c r="AH264" s="82"/>
      <c r="AI264" s="82"/>
      <c r="AJ264" s="76"/>
    </row>
    <row r="265" s="17" customFormat="1" ht="25" customHeight="1" spans="1:36">
      <c r="A265" s="29"/>
      <c r="B265" s="30"/>
      <c r="C265" s="28" t="s">
        <v>976</v>
      </c>
      <c r="D265" s="30"/>
      <c r="E265" s="31"/>
      <c r="F265" s="31"/>
      <c r="G265" s="30"/>
      <c r="H265" s="31"/>
      <c r="I265" s="37"/>
      <c r="J265" s="37"/>
      <c r="K265" s="36"/>
      <c r="L265" s="36"/>
      <c r="M265" s="36"/>
      <c r="N265" s="41"/>
      <c r="O265" s="41"/>
      <c r="P265" s="41"/>
      <c r="Q265" s="30"/>
      <c r="R265" s="30"/>
      <c r="S265" s="76"/>
      <c r="T265" s="36"/>
      <c r="U265" s="31"/>
      <c r="V265" s="30" t="s">
        <v>981</v>
      </c>
      <c r="W265" s="30">
        <v>33020104102</v>
      </c>
      <c r="X265" s="30" t="s">
        <v>982</v>
      </c>
      <c r="Y265" s="30"/>
      <c r="Z265" s="30"/>
      <c r="AA265" s="30" t="s">
        <v>40</v>
      </c>
      <c r="AB265" s="30" t="s">
        <v>43</v>
      </c>
      <c r="AC265" s="51">
        <v>11700</v>
      </c>
      <c r="AD265" s="51">
        <v>9830</v>
      </c>
      <c r="AE265" s="57">
        <v>11115</v>
      </c>
      <c r="AF265" s="57">
        <v>10530</v>
      </c>
      <c r="AG265" s="57">
        <v>8450</v>
      </c>
      <c r="AH265" s="82" t="s">
        <v>42</v>
      </c>
      <c r="AI265" s="82" t="s">
        <v>43</v>
      </c>
      <c r="AJ265" s="76" t="s">
        <v>43</v>
      </c>
    </row>
    <row r="266" s="17" customFormat="1" ht="81" customHeight="1" spans="1:36">
      <c r="A266" s="29">
        <v>50</v>
      </c>
      <c r="B266" s="30" t="s">
        <v>983</v>
      </c>
      <c r="C266" s="30" t="s">
        <v>984</v>
      </c>
      <c r="D266" s="30" t="s">
        <v>378</v>
      </c>
      <c r="E266" s="31" t="s">
        <v>985</v>
      </c>
      <c r="F266" s="31" t="s">
        <v>986</v>
      </c>
      <c r="G266" s="30" t="s">
        <v>40</v>
      </c>
      <c r="H266" s="31" t="s">
        <v>987</v>
      </c>
      <c r="I266" s="37">
        <v>1000</v>
      </c>
      <c r="J266" s="37">
        <v>900</v>
      </c>
      <c r="K266" s="36">
        <v>750</v>
      </c>
      <c r="L266" s="36">
        <v>720</v>
      </c>
      <c r="M266" s="36">
        <v>612</v>
      </c>
      <c r="N266" s="41">
        <v>900</v>
      </c>
      <c r="O266" s="41">
        <v>850</v>
      </c>
      <c r="P266" s="41">
        <v>730</v>
      </c>
      <c r="Q266" s="30" t="s">
        <v>42</v>
      </c>
      <c r="R266" s="30" t="s">
        <v>43</v>
      </c>
      <c r="S266" s="76" t="s">
        <v>43</v>
      </c>
      <c r="T266" s="36" t="s">
        <v>687</v>
      </c>
      <c r="U266" s="31" t="s">
        <v>988</v>
      </c>
      <c r="V266" s="30" t="s">
        <v>989</v>
      </c>
      <c r="W266" s="30">
        <v>330201002</v>
      </c>
      <c r="X266" s="30" t="s">
        <v>990</v>
      </c>
      <c r="Y266" s="30"/>
      <c r="Z266" s="30" t="s">
        <v>991</v>
      </c>
      <c r="AA266" s="30" t="s">
        <v>40</v>
      </c>
      <c r="AB266" s="30" t="s">
        <v>43</v>
      </c>
      <c r="AC266" s="51">
        <v>750</v>
      </c>
      <c r="AD266" s="51">
        <v>675</v>
      </c>
      <c r="AE266" s="57">
        <v>750</v>
      </c>
      <c r="AF266" s="57">
        <v>720</v>
      </c>
      <c r="AG266" s="57">
        <v>612</v>
      </c>
      <c r="AH266" s="82" t="s">
        <v>42</v>
      </c>
      <c r="AI266" s="82" t="s">
        <v>43</v>
      </c>
      <c r="AJ266" s="76" t="s">
        <v>43</v>
      </c>
    </row>
    <row r="267" s="17" customFormat="1" ht="36" customHeight="1" spans="1:36">
      <c r="A267" s="29" t="s">
        <v>70</v>
      </c>
      <c r="B267" s="30" t="s">
        <v>992</v>
      </c>
      <c r="C267" s="30" t="s">
        <v>993</v>
      </c>
      <c r="D267" s="30" t="s">
        <v>378</v>
      </c>
      <c r="E267" s="31" t="s">
        <v>43</v>
      </c>
      <c r="F267" s="31" t="s">
        <v>43</v>
      </c>
      <c r="G267" s="30" t="s">
        <v>40</v>
      </c>
      <c r="H267" s="31" t="s">
        <v>43</v>
      </c>
      <c r="I267" s="37">
        <v>300</v>
      </c>
      <c r="J267" s="37">
        <v>270</v>
      </c>
      <c r="K267" s="36">
        <v>75</v>
      </c>
      <c r="L267" s="36"/>
      <c r="M267" s="36"/>
      <c r="N267" s="41">
        <f>N266*0.3</f>
        <v>270</v>
      </c>
      <c r="O267" s="41">
        <f>O266*0.3</f>
        <v>255</v>
      </c>
      <c r="P267" s="41">
        <v>220</v>
      </c>
      <c r="Q267" s="30" t="s">
        <v>42</v>
      </c>
      <c r="R267" s="30" t="s">
        <v>43</v>
      </c>
      <c r="S267" s="76" t="s">
        <v>43</v>
      </c>
      <c r="T267" s="36"/>
      <c r="U267" s="31"/>
      <c r="V267" s="46" t="s">
        <v>994</v>
      </c>
      <c r="W267" s="46">
        <v>33020100201</v>
      </c>
      <c r="X267" s="48" t="s">
        <v>995</v>
      </c>
      <c r="Y267" s="46"/>
      <c r="Z267" s="46"/>
      <c r="AA267" s="46" t="s">
        <v>40</v>
      </c>
      <c r="AB267" s="30" t="s">
        <v>43</v>
      </c>
      <c r="AC267" s="52">
        <v>975</v>
      </c>
      <c r="AD267" s="51">
        <v>880</v>
      </c>
      <c r="AE267" s="57">
        <v>975</v>
      </c>
      <c r="AF267" s="57">
        <v>935</v>
      </c>
      <c r="AG267" s="57">
        <v>795</v>
      </c>
      <c r="AH267" s="82" t="s">
        <v>42</v>
      </c>
      <c r="AI267" s="82" t="s">
        <v>43</v>
      </c>
      <c r="AJ267" s="76" t="s">
        <v>43</v>
      </c>
    </row>
    <row r="268" s="17" customFormat="1" ht="26" customHeight="1" spans="1:36">
      <c r="A268" s="29">
        <v>51</v>
      </c>
      <c r="B268" s="30" t="s">
        <v>996</v>
      </c>
      <c r="C268" s="28" t="s">
        <v>997</v>
      </c>
      <c r="D268" s="30" t="s">
        <v>378</v>
      </c>
      <c r="E268" s="31" t="s">
        <v>998</v>
      </c>
      <c r="F268" s="31" t="s">
        <v>999</v>
      </c>
      <c r="G268" s="30" t="s">
        <v>40</v>
      </c>
      <c r="H268" s="31" t="s">
        <v>1000</v>
      </c>
      <c r="I268" s="37">
        <v>2030</v>
      </c>
      <c r="J268" s="37">
        <v>1827</v>
      </c>
      <c r="K268" s="36">
        <v>1875</v>
      </c>
      <c r="L268" s="36">
        <v>1800</v>
      </c>
      <c r="M268" s="36">
        <v>1530</v>
      </c>
      <c r="N268" s="41">
        <v>1875</v>
      </c>
      <c r="O268" s="41">
        <v>1800</v>
      </c>
      <c r="P268" s="41">
        <v>1530</v>
      </c>
      <c r="Q268" s="30" t="s">
        <v>42</v>
      </c>
      <c r="R268" s="30" t="s">
        <v>43</v>
      </c>
      <c r="S268" s="76" t="s">
        <v>43</v>
      </c>
      <c r="T268" s="36" t="s">
        <v>153</v>
      </c>
      <c r="U268" s="31" t="s">
        <v>153</v>
      </c>
      <c r="V268" s="30" t="s">
        <v>1001</v>
      </c>
      <c r="W268" s="30">
        <v>330201007</v>
      </c>
      <c r="X268" s="30" t="s">
        <v>1002</v>
      </c>
      <c r="Y268" s="30" t="s">
        <v>1003</v>
      </c>
      <c r="Z268" s="30"/>
      <c r="AA268" s="30" t="s">
        <v>40</v>
      </c>
      <c r="AB268" s="30" t="s">
        <v>43</v>
      </c>
      <c r="AC268" s="51">
        <v>2030</v>
      </c>
      <c r="AD268" s="51">
        <v>1820</v>
      </c>
      <c r="AE268" s="57">
        <v>1875</v>
      </c>
      <c r="AF268" s="57">
        <v>1800</v>
      </c>
      <c r="AG268" s="57">
        <v>1530</v>
      </c>
      <c r="AH268" s="82" t="s">
        <v>42</v>
      </c>
      <c r="AI268" s="82" t="s">
        <v>43</v>
      </c>
      <c r="AJ268" s="76" t="s">
        <v>43</v>
      </c>
    </row>
    <row r="269" s="17" customFormat="1" ht="26" customHeight="1" spans="1:36">
      <c r="A269" s="29"/>
      <c r="B269" s="30"/>
      <c r="C269" s="28" t="s">
        <v>997</v>
      </c>
      <c r="D269" s="30"/>
      <c r="E269" s="31"/>
      <c r="F269" s="31"/>
      <c r="G269" s="30"/>
      <c r="H269" s="31"/>
      <c r="I269" s="37"/>
      <c r="J269" s="37"/>
      <c r="K269" s="36"/>
      <c r="L269" s="36"/>
      <c r="M269" s="36"/>
      <c r="N269" s="41"/>
      <c r="O269" s="41"/>
      <c r="P269" s="41"/>
      <c r="Q269" s="30"/>
      <c r="R269" s="30"/>
      <c r="S269" s="76"/>
      <c r="T269" s="36"/>
      <c r="U269" s="31"/>
      <c r="V269" s="30" t="s">
        <v>1004</v>
      </c>
      <c r="W269" s="30">
        <v>330201009</v>
      </c>
      <c r="X269" s="30" t="s">
        <v>1005</v>
      </c>
      <c r="Y269" s="30" t="s">
        <v>1006</v>
      </c>
      <c r="Z269" s="30" t="s">
        <v>765</v>
      </c>
      <c r="AA269" s="30" t="s">
        <v>40</v>
      </c>
      <c r="AB269" s="30" t="s">
        <v>43</v>
      </c>
      <c r="AC269" s="51">
        <v>2030</v>
      </c>
      <c r="AD269" s="51">
        <v>1820</v>
      </c>
      <c r="AE269" s="57">
        <v>1875</v>
      </c>
      <c r="AF269" s="57">
        <v>1800</v>
      </c>
      <c r="AG269" s="57">
        <v>1530</v>
      </c>
      <c r="AH269" s="82" t="s">
        <v>42</v>
      </c>
      <c r="AI269" s="82" t="s">
        <v>43</v>
      </c>
      <c r="AJ269" s="76" t="s">
        <v>43</v>
      </c>
    </row>
    <row r="270" s="17" customFormat="1" ht="26" customHeight="1" spans="1:36">
      <c r="A270" s="29"/>
      <c r="B270" s="30"/>
      <c r="C270" s="28" t="s">
        <v>997</v>
      </c>
      <c r="D270" s="30"/>
      <c r="E270" s="31"/>
      <c r="F270" s="31"/>
      <c r="G270" s="30"/>
      <c r="H270" s="31"/>
      <c r="I270" s="37"/>
      <c r="J270" s="37"/>
      <c r="K270" s="36"/>
      <c r="L270" s="36"/>
      <c r="M270" s="36"/>
      <c r="N270" s="41"/>
      <c r="O270" s="41"/>
      <c r="P270" s="41"/>
      <c r="Q270" s="30"/>
      <c r="R270" s="30"/>
      <c r="S270" s="76"/>
      <c r="T270" s="36"/>
      <c r="U270" s="31"/>
      <c r="V270" s="30" t="s">
        <v>1007</v>
      </c>
      <c r="W270" s="30">
        <v>330201055</v>
      </c>
      <c r="X270" s="30" t="s">
        <v>1008</v>
      </c>
      <c r="Y270" s="30"/>
      <c r="Z270" s="30" t="s">
        <v>1009</v>
      </c>
      <c r="AA270" s="30" t="s">
        <v>40</v>
      </c>
      <c r="AB270" s="30" t="s">
        <v>43</v>
      </c>
      <c r="AC270" s="51">
        <v>6000</v>
      </c>
      <c r="AD270" s="51">
        <v>5040</v>
      </c>
      <c r="AE270" s="57">
        <v>4630</v>
      </c>
      <c r="AF270" s="57">
        <v>4170</v>
      </c>
      <c r="AG270" s="57">
        <v>3540</v>
      </c>
      <c r="AH270" s="82" t="s">
        <v>42</v>
      </c>
      <c r="AI270" s="82" t="s">
        <v>43</v>
      </c>
      <c r="AJ270" s="76" t="s">
        <v>43</v>
      </c>
    </row>
    <row r="271" s="17" customFormat="1" ht="14" customHeight="1" spans="1:36">
      <c r="A271" s="29" t="s">
        <v>70</v>
      </c>
      <c r="B271" s="30" t="s">
        <v>1010</v>
      </c>
      <c r="C271" s="28" t="s">
        <v>1011</v>
      </c>
      <c r="D271" s="30" t="s">
        <v>378</v>
      </c>
      <c r="E271" s="31" t="s">
        <v>43</v>
      </c>
      <c r="F271" s="31" t="s">
        <v>43</v>
      </c>
      <c r="G271" s="30" t="s">
        <v>40</v>
      </c>
      <c r="H271" s="31" t="s">
        <v>43</v>
      </c>
      <c r="I271" s="37">
        <v>609</v>
      </c>
      <c r="J271" s="37">
        <v>548</v>
      </c>
      <c r="K271" s="36"/>
      <c r="L271" s="36"/>
      <c r="M271" s="36"/>
      <c r="N271" s="41">
        <v>565</v>
      </c>
      <c r="O271" s="41">
        <f>O268*0.3</f>
        <v>540</v>
      </c>
      <c r="P271" s="41">
        <v>460</v>
      </c>
      <c r="Q271" s="30" t="s">
        <v>42</v>
      </c>
      <c r="R271" s="30" t="s">
        <v>43</v>
      </c>
      <c r="S271" s="76" t="s">
        <v>43</v>
      </c>
      <c r="T271" s="36"/>
      <c r="U271" s="31" t="s">
        <v>384</v>
      </c>
      <c r="V271" s="46" t="s">
        <v>1012</v>
      </c>
      <c r="W271" s="46">
        <v>33020100701</v>
      </c>
      <c r="X271" s="48" t="s">
        <v>1013</v>
      </c>
      <c r="Y271" s="46"/>
      <c r="Z271" s="46"/>
      <c r="AA271" s="46" t="s">
        <v>40</v>
      </c>
      <c r="AB271" s="30" t="s">
        <v>43</v>
      </c>
      <c r="AC271" s="52">
        <v>2640</v>
      </c>
      <c r="AD271" s="51">
        <v>2365</v>
      </c>
      <c r="AE271" s="57">
        <v>2440</v>
      </c>
      <c r="AF271" s="57">
        <v>2340</v>
      </c>
      <c r="AG271" s="57">
        <v>1990</v>
      </c>
      <c r="AH271" s="82" t="s">
        <v>42</v>
      </c>
      <c r="AI271" s="82" t="s">
        <v>43</v>
      </c>
      <c r="AJ271" s="76" t="s">
        <v>43</v>
      </c>
    </row>
    <row r="272" s="17" customFormat="1" ht="14" customHeight="1" spans="1:36">
      <c r="A272" s="29"/>
      <c r="B272" s="30"/>
      <c r="C272" s="28" t="s">
        <v>1011</v>
      </c>
      <c r="D272" s="30"/>
      <c r="E272" s="31"/>
      <c r="F272" s="31"/>
      <c r="G272" s="30"/>
      <c r="H272" s="31"/>
      <c r="I272" s="37"/>
      <c r="J272" s="37"/>
      <c r="K272" s="36"/>
      <c r="L272" s="36"/>
      <c r="M272" s="36"/>
      <c r="N272" s="41"/>
      <c r="O272" s="41"/>
      <c r="P272" s="41"/>
      <c r="Q272" s="30"/>
      <c r="R272" s="30"/>
      <c r="S272" s="76"/>
      <c r="T272" s="36"/>
      <c r="U272" s="31"/>
      <c r="V272" s="46" t="s">
        <v>1014</v>
      </c>
      <c r="W272" s="46">
        <v>33020100903</v>
      </c>
      <c r="X272" s="48" t="s">
        <v>1015</v>
      </c>
      <c r="Y272" s="46"/>
      <c r="Z272" s="46"/>
      <c r="AA272" s="46" t="s">
        <v>40</v>
      </c>
      <c r="AB272" s="30" t="s">
        <v>43</v>
      </c>
      <c r="AC272" s="52">
        <v>2640</v>
      </c>
      <c r="AD272" s="51">
        <v>2365</v>
      </c>
      <c r="AE272" s="57">
        <v>2440</v>
      </c>
      <c r="AF272" s="57">
        <v>2340</v>
      </c>
      <c r="AG272" s="57">
        <v>1990</v>
      </c>
      <c r="AH272" s="82" t="s">
        <v>42</v>
      </c>
      <c r="AI272" s="82" t="s">
        <v>43</v>
      </c>
      <c r="AJ272" s="76" t="s">
        <v>43</v>
      </c>
    </row>
    <row r="273" s="17" customFormat="1" ht="14" customHeight="1" spans="1:36">
      <c r="A273" s="29"/>
      <c r="B273" s="30"/>
      <c r="C273" s="28" t="s">
        <v>1011</v>
      </c>
      <c r="D273" s="30"/>
      <c r="E273" s="31"/>
      <c r="F273" s="31"/>
      <c r="G273" s="30"/>
      <c r="H273" s="31"/>
      <c r="I273" s="37"/>
      <c r="J273" s="37"/>
      <c r="K273" s="36"/>
      <c r="L273" s="36"/>
      <c r="M273" s="36"/>
      <c r="N273" s="41"/>
      <c r="O273" s="41"/>
      <c r="P273" s="41"/>
      <c r="Q273" s="30"/>
      <c r="R273" s="30"/>
      <c r="S273" s="76"/>
      <c r="T273" s="36"/>
      <c r="U273" s="31"/>
      <c r="V273" s="46" t="s">
        <v>1016</v>
      </c>
      <c r="W273" s="46">
        <v>33020105501</v>
      </c>
      <c r="X273" s="48" t="s">
        <v>1017</v>
      </c>
      <c r="Y273" s="46"/>
      <c r="Z273" s="46"/>
      <c r="AA273" s="46" t="s">
        <v>40</v>
      </c>
      <c r="AB273" s="30" t="s">
        <v>43</v>
      </c>
      <c r="AC273" s="52">
        <v>7800</v>
      </c>
      <c r="AD273" s="51">
        <v>6550</v>
      </c>
      <c r="AE273" s="57">
        <v>6020</v>
      </c>
      <c r="AF273" s="57">
        <v>5420</v>
      </c>
      <c r="AG273" s="57">
        <v>4605</v>
      </c>
      <c r="AH273" s="82" t="s">
        <v>42</v>
      </c>
      <c r="AI273" s="76" t="s">
        <v>43</v>
      </c>
      <c r="AJ273" s="76"/>
    </row>
    <row r="274" s="17" customFormat="1" ht="68" customHeight="1" spans="1:36">
      <c r="A274" s="29">
        <v>52</v>
      </c>
      <c r="B274" s="30" t="s">
        <v>1018</v>
      </c>
      <c r="C274" s="30" t="s">
        <v>1019</v>
      </c>
      <c r="D274" s="30" t="s">
        <v>378</v>
      </c>
      <c r="E274" s="31" t="s">
        <v>1020</v>
      </c>
      <c r="F274" s="31" t="s">
        <v>1021</v>
      </c>
      <c r="G274" s="30" t="s">
        <v>40</v>
      </c>
      <c r="H274" s="31" t="s">
        <v>1022</v>
      </c>
      <c r="I274" s="37">
        <v>3415</v>
      </c>
      <c r="J274" s="37">
        <v>3074</v>
      </c>
      <c r="K274" s="36">
        <v>4630</v>
      </c>
      <c r="L274" s="36">
        <v>4170</v>
      </c>
      <c r="M274" s="36">
        <v>3540</v>
      </c>
      <c r="N274" s="41">
        <v>3100</v>
      </c>
      <c r="O274" s="41">
        <v>2800</v>
      </c>
      <c r="P274" s="41">
        <f>O274*0.85</f>
        <v>2380</v>
      </c>
      <c r="Q274" s="30" t="s">
        <v>42</v>
      </c>
      <c r="R274" s="30" t="s">
        <v>43</v>
      </c>
      <c r="S274" s="76" t="s">
        <v>43</v>
      </c>
      <c r="T274" s="36" t="s">
        <v>1023</v>
      </c>
      <c r="U274" s="31" t="s">
        <v>1024</v>
      </c>
      <c r="V274" s="30" t="s">
        <v>1025</v>
      </c>
      <c r="W274" s="30">
        <v>330201057</v>
      </c>
      <c r="X274" s="30" t="s">
        <v>1026</v>
      </c>
      <c r="Y274" s="30"/>
      <c r="Z274" s="30"/>
      <c r="AA274" s="30" t="s">
        <v>40</v>
      </c>
      <c r="AB274" s="30" t="s">
        <v>43</v>
      </c>
      <c r="AC274" s="51">
        <v>6000</v>
      </c>
      <c r="AD274" s="51">
        <v>5040</v>
      </c>
      <c r="AE274" s="57">
        <v>4630</v>
      </c>
      <c r="AF274" s="57">
        <v>4170</v>
      </c>
      <c r="AG274" s="57">
        <v>3540</v>
      </c>
      <c r="AH274" s="82" t="s">
        <v>42</v>
      </c>
      <c r="AI274" s="82" t="s">
        <v>43</v>
      </c>
      <c r="AJ274" s="76" t="s">
        <v>43</v>
      </c>
    </row>
    <row r="275" s="17" customFormat="1" ht="40" customHeight="1" spans="1:36">
      <c r="A275" s="29" t="s">
        <v>70</v>
      </c>
      <c r="B275" s="30" t="s">
        <v>1027</v>
      </c>
      <c r="C275" s="30" t="s">
        <v>1028</v>
      </c>
      <c r="D275" s="30" t="s">
        <v>378</v>
      </c>
      <c r="E275" s="31" t="s">
        <v>43</v>
      </c>
      <c r="F275" s="31" t="s">
        <v>43</v>
      </c>
      <c r="G275" s="30" t="s">
        <v>40</v>
      </c>
      <c r="H275" s="31" t="s">
        <v>43</v>
      </c>
      <c r="I275" s="37">
        <v>1025</v>
      </c>
      <c r="J275" s="37">
        <v>922</v>
      </c>
      <c r="K275" s="36"/>
      <c r="L275" s="36"/>
      <c r="M275" s="36"/>
      <c r="N275" s="41">
        <f>N274*0.3</f>
        <v>930</v>
      </c>
      <c r="O275" s="41">
        <f>O274*0.3</f>
        <v>840</v>
      </c>
      <c r="P275" s="41">
        <v>715</v>
      </c>
      <c r="Q275" s="30" t="s">
        <v>42</v>
      </c>
      <c r="R275" s="30" t="s">
        <v>43</v>
      </c>
      <c r="S275" s="76" t="s">
        <v>43</v>
      </c>
      <c r="T275" s="36"/>
      <c r="U275" s="31" t="s">
        <v>384</v>
      </c>
      <c r="V275" s="46" t="s">
        <v>1029</v>
      </c>
      <c r="W275" s="46">
        <v>33020105701</v>
      </c>
      <c r="X275" s="48" t="s">
        <v>1030</v>
      </c>
      <c r="Y275" s="46"/>
      <c r="Z275" s="46"/>
      <c r="AA275" s="46" t="s">
        <v>40</v>
      </c>
      <c r="AB275" s="30" t="s">
        <v>43</v>
      </c>
      <c r="AC275" s="52">
        <v>7800</v>
      </c>
      <c r="AD275" s="51">
        <v>6550</v>
      </c>
      <c r="AE275" s="57">
        <v>6020</v>
      </c>
      <c r="AF275" s="57">
        <v>5420</v>
      </c>
      <c r="AG275" s="57">
        <v>4605</v>
      </c>
      <c r="AH275" s="82" t="s">
        <v>42</v>
      </c>
      <c r="AI275" s="82" t="s">
        <v>43</v>
      </c>
      <c r="AJ275" s="76" t="s">
        <v>43</v>
      </c>
    </row>
    <row r="276" s="17" customFormat="1" ht="34" customHeight="1" spans="1:36">
      <c r="A276" s="29">
        <v>53</v>
      </c>
      <c r="B276" s="30" t="s">
        <v>1031</v>
      </c>
      <c r="C276" s="28" t="s">
        <v>1032</v>
      </c>
      <c r="D276" s="30" t="s">
        <v>378</v>
      </c>
      <c r="E276" s="31" t="s">
        <v>1033</v>
      </c>
      <c r="F276" s="31" t="s">
        <v>1034</v>
      </c>
      <c r="G276" s="30" t="s">
        <v>40</v>
      </c>
      <c r="H276" s="31" t="s">
        <v>146</v>
      </c>
      <c r="I276" s="37">
        <v>4800</v>
      </c>
      <c r="J276" s="37">
        <v>4320</v>
      </c>
      <c r="K276" s="36">
        <v>4550</v>
      </c>
      <c r="L276" s="36">
        <v>4320</v>
      </c>
      <c r="M276" s="36">
        <v>3670</v>
      </c>
      <c r="N276" s="41">
        <v>4550</v>
      </c>
      <c r="O276" s="41">
        <v>4150</v>
      </c>
      <c r="P276" s="41">
        <v>3550</v>
      </c>
      <c r="Q276" s="30" t="s">
        <v>42</v>
      </c>
      <c r="R276" s="30" t="s">
        <v>43</v>
      </c>
      <c r="S276" s="76" t="s">
        <v>43</v>
      </c>
      <c r="T276" s="36" t="s">
        <v>153</v>
      </c>
      <c r="U276" s="31" t="s">
        <v>1035</v>
      </c>
      <c r="V276" s="63" t="s">
        <v>1036</v>
      </c>
      <c r="W276" s="63">
        <v>330603003</v>
      </c>
      <c r="X276" s="63" t="s">
        <v>1037</v>
      </c>
      <c r="Y276" s="63" t="s">
        <v>1038</v>
      </c>
      <c r="Z276" s="63"/>
      <c r="AA276" s="63" t="s">
        <v>40</v>
      </c>
      <c r="AB276" s="30" t="s">
        <v>1039</v>
      </c>
      <c r="AC276" s="65">
        <v>4800</v>
      </c>
      <c r="AD276" s="51">
        <v>4030</v>
      </c>
      <c r="AE276" s="57">
        <v>4550</v>
      </c>
      <c r="AF276" s="57">
        <v>4320</v>
      </c>
      <c r="AG276" s="57">
        <v>3670</v>
      </c>
      <c r="AH276" s="82" t="s">
        <v>42</v>
      </c>
      <c r="AI276" s="82" t="s">
        <v>43</v>
      </c>
      <c r="AJ276" s="76" t="s">
        <v>43</v>
      </c>
    </row>
    <row r="277" s="17" customFormat="1" ht="34" customHeight="1" spans="1:36">
      <c r="A277" s="29"/>
      <c r="B277" s="30"/>
      <c r="C277" s="28" t="s">
        <v>1032</v>
      </c>
      <c r="D277" s="30"/>
      <c r="E277" s="31"/>
      <c r="F277" s="31"/>
      <c r="G277" s="30"/>
      <c r="H277" s="31"/>
      <c r="I277" s="37"/>
      <c r="J277" s="37"/>
      <c r="K277" s="36"/>
      <c r="L277" s="36"/>
      <c r="M277" s="36"/>
      <c r="N277" s="41"/>
      <c r="O277" s="41"/>
      <c r="P277" s="41"/>
      <c r="Q277" s="30"/>
      <c r="R277" s="30"/>
      <c r="S277" s="76"/>
      <c r="T277" s="36"/>
      <c r="U277" s="31"/>
      <c r="V277" s="63" t="s">
        <v>1040</v>
      </c>
      <c r="W277" s="63">
        <v>33060300302</v>
      </c>
      <c r="X277" s="64" t="s">
        <v>1041</v>
      </c>
      <c r="Y277" s="63"/>
      <c r="Z277" s="63"/>
      <c r="AA277" s="63" t="s">
        <v>40</v>
      </c>
      <c r="AB277" s="30" t="s">
        <v>43</v>
      </c>
      <c r="AC277" s="65">
        <v>1000</v>
      </c>
      <c r="AD277" s="51">
        <v>900</v>
      </c>
      <c r="AE277" s="57">
        <v>900</v>
      </c>
      <c r="AF277" s="57">
        <v>810</v>
      </c>
      <c r="AG277" s="57">
        <v>690</v>
      </c>
      <c r="AH277" s="82" t="s">
        <v>42</v>
      </c>
      <c r="AI277" s="82" t="s">
        <v>43</v>
      </c>
      <c r="AJ277" s="76" t="s">
        <v>43</v>
      </c>
    </row>
    <row r="278" s="17" customFormat="1" ht="40" customHeight="1" spans="1:36">
      <c r="A278" s="29" t="s">
        <v>70</v>
      </c>
      <c r="B278" s="30" t="s">
        <v>1042</v>
      </c>
      <c r="C278" s="30" t="s">
        <v>1043</v>
      </c>
      <c r="D278" s="30" t="s">
        <v>378</v>
      </c>
      <c r="E278" s="31" t="s">
        <v>43</v>
      </c>
      <c r="F278" s="31" t="s">
        <v>43</v>
      </c>
      <c r="G278" s="30" t="s">
        <v>40</v>
      </c>
      <c r="H278" s="31" t="s">
        <v>43</v>
      </c>
      <c r="I278" s="37">
        <v>1440</v>
      </c>
      <c r="J278" s="37">
        <v>1296</v>
      </c>
      <c r="K278" s="36"/>
      <c r="L278" s="36"/>
      <c r="M278" s="36"/>
      <c r="N278" s="41">
        <f>N276*0.3</f>
        <v>1365</v>
      </c>
      <c r="O278" s="41">
        <f>O276*0.3</f>
        <v>1245</v>
      </c>
      <c r="P278" s="41">
        <f>P276*0.3</f>
        <v>1065</v>
      </c>
      <c r="Q278" s="30" t="s">
        <v>42</v>
      </c>
      <c r="R278" s="30" t="s">
        <v>43</v>
      </c>
      <c r="S278" s="76" t="s">
        <v>43</v>
      </c>
      <c r="T278" s="36"/>
      <c r="U278" s="31" t="s">
        <v>384</v>
      </c>
      <c r="V278" s="63" t="s">
        <v>1044</v>
      </c>
      <c r="W278" s="63">
        <v>33060300301</v>
      </c>
      <c r="X278" s="64" t="s">
        <v>1045</v>
      </c>
      <c r="Y278" s="63"/>
      <c r="Z278" s="63"/>
      <c r="AA278" s="63" t="s">
        <v>40</v>
      </c>
      <c r="AB278" s="30" t="s">
        <v>43</v>
      </c>
      <c r="AC278" s="65">
        <v>6240</v>
      </c>
      <c r="AD278" s="51">
        <v>5240</v>
      </c>
      <c r="AE278" s="57">
        <v>5915</v>
      </c>
      <c r="AF278" s="57">
        <v>5615</v>
      </c>
      <c r="AG278" s="57">
        <v>4770</v>
      </c>
      <c r="AH278" s="82" t="s">
        <v>42</v>
      </c>
      <c r="AI278" s="82" t="s">
        <v>43</v>
      </c>
      <c r="AJ278" s="76" t="s">
        <v>43</v>
      </c>
    </row>
    <row r="279" s="17" customFormat="1" customHeight="1" spans="1:36">
      <c r="A279" s="29" t="s">
        <v>70</v>
      </c>
      <c r="B279" s="30" t="s">
        <v>1046</v>
      </c>
      <c r="C279" s="28" t="s">
        <v>1047</v>
      </c>
      <c r="D279" s="30" t="s">
        <v>378</v>
      </c>
      <c r="E279" s="31" t="s">
        <v>43</v>
      </c>
      <c r="F279" s="31" t="s">
        <v>43</v>
      </c>
      <c r="G279" s="30" t="s">
        <v>40</v>
      </c>
      <c r="H279" s="31" t="s">
        <v>146</v>
      </c>
      <c r="I279" s="37">
        <v>4800</v>
      </c>
      <c r="J279" s="37">
        <v>4320</v>
      </c>
      <c r="K279" s="36">
        <v>3380</v>
      </c>
      <c r="L279" s="36">
        <v>3040</v>
      </c>
      <c r="M279" s="36"/>
      <c r="N279" s="41">
        <f>N276</f>
        <v>4550</v>
      </c>
      <c r="O279" s="41">
        <f>O276</f>
        <v>4150</v>
      </c>
      <c r="P279" s="41">
        <f>P276</f>
        <v>3550</v>
      </c>
      <c r="Q279" s="30" t="s">
        <v>42</v>
      </c>
      <c r="R279" s="30" t="s">
        <v>43</v>
      </c>
      <c r="S279" s="76" t="s">
        <v>43</v>
      </c>
      <c r="T279" s="36"/>
      <c r="U279" s="31" t="s">
        <v>1048</v>
      </c>
      <c r="V279" s="46" t="s">
        <v>1049</v>
      </c>
      <c r="W279" s="46">
        <v>330201051</v>
      </c>
      <c r="X279" s="48" t="s">
        <v>1050</v>
      </c>
      <c r="Y279" s="46" t="s">
        <v>1051</v>
      </c>
      <c r="Z279" s="46" t="s">
        <v>1052</v>
      </c>
      <c r="AA279" s="46" t="s">
        <v>40</v>
      </c>
      <c r="AB279" s="30" t="s">
        <v>43</v>
      </c>
      <c r="AC279" s="52">
        <v>3840</v>
      </c>
      <c r="AD279" s="51">
        <v>3460</v>
      </c>
      <c r="AE279" s="57">
        <v>3380</v>
      </c>
      <c r="AF279" s="57">
        <v>3040</v>
      </c>
      <c r="AG279" s="57">
        <v>2580</v>
      </c>
      <c r="AH279" s="82" t="s">
        <v>42</v>
      </c>
      <c r="AI279" s="82" t="s">
        <v>43</v>
      </c>
      <c r="AJ279" s="76" t="s">
        <v>43</v>
      </c>
    </row>
    <row r="280" s="17" customFormat="1" customHeight="1" spans="1:36">
      <c r="A280" s="29"/>
      <c r="B280" s="30"/>
      <c r="C280" s="28" t="s">
        <v>1047</v>
      </c>
      <c r="D280" s="30"/>
      <c r="E280" s="31"/>
      <c r="F280" s="31"/>
      <c r="G280" s="30"/>
      <c r="H280" s="31"/>
      <c r="I280" s="37"/>
      <c r="J280" s="37"/>
      <c r="K280" s="36"/>
      <c r="L280" s="36"/>
      <c r="M280" s="36"/>
      <c r="N280" s="41"/>
      <c r="O280" s="41"/>
      <c r="P280" s="41"/>
      <c r="Q280" s="30"/>
      <c r="R280" s="30"/>
      <c r="S280" s="76"/>
      <c r="T280" s="36"/>
      <c r="U280" s="31"/>
      <c r="V280" s="46" t="s">
        <v>1053</v>
      </c>
      <c r="W280" s="46">
        <v>33020105101</v>
      </c>
      <c r="X280" s="48" t="s">
        <v>1054</v>
      </c>
      <c r="Y280" s="46"/>
      <c r="Z280" s="46"/>
      <c r="AA280" s="46" t="s">
        <v>40</v>
      </c>
      <c r="AB280" s="30" t="s">
        <v>43</v>
      </c>
      <c r="AC280" s="52">
        <v>4990</v>
      </c>
      <c r="AD280" s="51">
        <v>4500</v>
      </c>
      <c r="AE280" s="57">
        <v>4395</v>
      </c>
      <c r="AF280" s="57">
        <v>3950</v>
      </c>
      <c r="AG280" s="57">
        <v>3360</v>
      </c>
      <c r="AH280" s="82" t="s">
        <v>42</v>
      </c>
      <c r="AI280" s="82" t="s">
        <v>43</v>
      </c>
      <c r="AJ280" s="76" t="s">
        <v>43</v>
      </c>
    </row>
    <row r="281" s="17" customFormat="1" customHeight="1" spans="1:36">
      <c r="A281" s="29"/>
      <c r="B281" s="30"/>
      <c r="C281" s="28" t="s">
        <v>1047</v>
      </c>
      <c r="D281" s="30"/>
      <c r="E281" s="31"/>
      <c r="F281" s="31"/>
      <c r="G281" s="30"/>
      <c r="H281" s="31"/>
      <c r="I281" s="37"/>
      <c r="J281" s="37"/>
      <c r="K281" s="36"/>
      <c r="L281" s="36"/>
      <c r="M281" s="36"/>
      <c r="N281" s="41"/>
      <c r="O281" s="41"/>
      <c r="P281" s="41"/>
      <c r="Q281" s="30"/>
      <c r="R281" s="30"/>
      <c r="S281" s="76"/>
      <c r="T281" s="36"/>
      <c r="U281" s="31"/>
      <c r="V281" s="46" t="s">
        <v>1055</v>
      </c>
      <c r="W281" s="46">
        <v>330202018</v>
      </c>
      <c r="X281" s="48" t="s">
        <v>1056</v>
      </c>
      <c r="Y281" s="46"/>
      <c r="Z281" s="46"/>
      <c r="AA281" s="46" t="s">
        <v>40</v>
      </c>
      <c r="AB281" s="30" t="s">
        <v>43</v>
      </c>
      <c r="AC281" s="52">
        <v>4420</v>
      </c>
      <c r="AD281" s="51">
        <v>3970</v>
      </c>
      <c r="AE281" s="57">
        <v>3880</v>
      </c>
      <c r="AF281" s="57">
        <v>3490</v>
      </c>
      <c r="AG281" s="57">
        <v>2970</v>
      </c>
      <c r="AH281" s="82" t="s">
        <v>42</v>
      </c>
      <c r="AI281" s="82" t="s">
        <v>43</v>
      </c>
      <c r="AJ281" s="76" t="s">
        <v>43</v>
      </c>
    </row>
    <row r="282" s="17" customFormat="1" customHeight="1" spans="1:36">
      <c r="A282" s="29"/>
      <c r="B282" s="30"/>
      <c r="C282" s="28" t="s">
        <v>1047</v>
      </c>
      <c r="D282" s="30"/>
      <c r="E282" s="31"/>
      <c r="F282" s="31"/>
      <c r="G282" s="30"/>
      <c r="H282" s="31"/>
      <c r="I282" s="37"/>
      <c r="J282" s="37"/>
      <c r="K282" s="36"/>
      <c r="L282" s="36"/>
      <c r="M282" s="36"/>
      <c r="N282" s="41"/>
      <c r="O282" s="41"/>
      <c r="P282" s="41"/>
      <c r="Q282" s="30"/>
      <c r="R282" s="30"/>
      <c r="S282" s="76"/>
      <c r="T282" s="36"/>
      <c r="U282" s="31"/>
      <c r="V282" s="46" t="s">
        <v>1057</v>
      </c>
      <c r="W282" s="46">
        <v>33020201801</v>
      </c>
      <c r="X282" s="48" t="s">
        <v>1058</v>
      </c>
      <c r="Y282" s="46"/>
      <c r="Z282" s="46"/>
      <c r="AA282" s="46" t="s">
        <v>40</v>
      </c>
      <c r="AB282" s="30" t="s">
        <v>43</v>
      </c>
      <c r="AC282" s="52">
        <v>5745</v>
      </c>
      <c r="AD282" s="51">
        <v>5160</v>
      </c>
      <c r="AE282" s="57">
        <v>5045</v>
      </c>
      <c r="AF282" s="57">
        <v>4535</v>
      </c>
      <c r="AG282" s="57">
        <v>3855</v>
      </c>
      <c r="AH282" s="82" t="s">
        <v>42</v>
      </c>
      <c r="AI282" s="82" t="s">
        <v>43</v>
      </c>
      <c r="AJ282" s="76" t="s">
        <v>43</v>
      </c>
    </row>
    <row r="283" s="17" customFormat="1" ht="81" customHeight="1" spans="1:36">
      <c r="A283" s="29">
        <v>54</v>
      </c>
      <c r="B283" s="30" t="s">
        <v>1059</v>
      </c>
      <c r="C283" s="30" t="s">
        <v>1060</v>
      </c>
      <c r="D283" s="30" t="s">
        <v>378</v>
      </c>
      <c r="E283" s="31" t="s">
        <v>1061</v>
      </c>
      <c r="F283" s="31" t="s">
        <v>1062</v>
      </c>
      <c r="G283" s="30" t="s">
        <v>1063</v>
      </c>
      <c r="H283" s="31" t="s">
        <v>146</v>
      </c>
      <c r="I283" s="37">
        <v>4800</v>
      </c>
      <c r="J283" s="37">
        <v>4320</v>
      </c>
      <c r="K283" s="36">
        <v>4220</v>
      </c>
      <c r="L283" s="36"/>
      <c r="M283" s="36"/>
      <c r="N283" s="41">
        <f>N276</f>
        <v>4550</v>
      </c>
      <c r="O283" s="41">
        <f>O276</f>
        <v>4150</v>
      </c>
      <c r="P283" s="41">
        <f>P276</f>
        <v>3550</v>
      </c>
      <c r="Q283" s="30" t="s">
        <v>42</v>
      </c>
      <c r="R283" s="30" t="s">
        <v>43</v>
      </c>
      <c r="S283" s="76" t="s">
        <v>43</v>
      </c>
      <c r="T283" s="36" t="s">
        <v>113</v>
      </c>
      <c r="U283" s="31" t="s">
        <v>1064</v>
      </c>
      <c r="V283" s="30" t="s">
        <v>1065</v>
      </c>
      <c r="W283" s="30">
        <v>330201042</v>
      </c>
      <c r="X283" s="30" t="s">
        <v>1066</v>
      </c>
      <c r="Y283" s="30"/>
      <c r="Z283" s="30"/>
      <c r="AA283" s="30" t="s">
        <v>40</v>
      </c>
      <c r="AB283" s="30" t="s">
        <v>43</v>
      </c>
      <c r="AC283" s="51">
        <v>4800</v>
      </c>
      <c r="AD283" s="51">
        <v>4320</v>
      </c>
      <c r="AE283" s="57">
        <v>4220</v>
      </c>
      <c r="AF283" s="57">
        <v>3800</v>
      </c>
      <c r="AG283" s="57">
        <v>3230</v>
      </c>
      <c r="AH283" s="82" t="s">
        <v>42</v>
      </c>
      <c r="AI283" s="82" t="s">
        <v>43</v>
      </c>
      <c r="AJ283" s="76" t="s">
        <v>43</v>
      </c>
    </row>
    <row r="284" s="17" customFormat="1" ht="38" customHeight="1" spans="1:36">
      <c r="A284" s="29" t="s">
        <v>70</v>
      </c>
      <c r="B284" s="30" t="s">
        <v>1067</v>
      </c>
      <c r="C284" s="30" t="s">
        <v>1068</v>
      </c>
      <c r="D284" s="30" t="s">
        <v>378</v>
      </c>
      <c r="E284" s="31" t="s">
        <v>43</v>
      </c>
      <c r="F284" s="31" t="s">
        <v>43</v>
      </c>
      <c r="G284" s="30" t="s">
        <v>1063</v>
      </c>
      <c r="H284" s="31" t="s">
        <v>43</v>
      </c>
      <c r="I284" s="37">
        <v>1440</v>
      </c>
      <c r="J284" s="37">
        <v>1296</v>
      </c>
      <c r="K284" s="36"/>
      <c r="L284" s="36"/>
      <c r="M284" s="36"/>
      <c r="N284" s="41">
        <f>N283*0.3</f>
        <v>1365</v>
      </c>
      <c r="O284" s="41">
        <f>O283*0.3</f>
        <v>1245</v>
      </c>
      <c r="P284" s="41">
        <f>P283*0.3</f>
        <v>1065</v>
      </c>
      <c r="Q284" s="30" t="s">
        <v>42</v>
      </c>
      <c r="R284" s="30" t="s">
        <v>43</v>
      </c>
      <c r="S284" s="76" t="s">
        <v>43</v>
      </c>
      <c r="T284" s="36"/>
      <c r="U284" s="31" t="s">
        <v>384</v>
      </c>
      <c r="V284" s="46" t="s">
        <v>1069</v>
      </c>
      <c r="W284" s="46">
        <v>33020104201</v>
      </c>
      <c r="X284" s="48" t="s">
        <v>1070</v>
      </c>
      <c r="Y284" s="46"/>
      <c r="Z284" s="46"/>
      <c r="AA284" s="46" t="s">
        <v>40</v>
      </c>
      <c r="AB284" s="30" t="s">
        <v>43</v>
      </c>
      <c r="AC284" s="52">
        <v>6240</v>
      </c>
      <c r="AD284" s="51">
        <v>5615</v>
      </c>
      <c r="AE284" s="57">
        <v>5485</v>
      </c>
      <c r="AF284" s="57">
        <v>4940</v>
      </c>
      <c r="AG284" s="57">
        <v>4200</v>
      </c>
      <c r="AH284" s="82" t="s">
        <v>42</v>
      </c>
      <c r="AI284" s="82" t="s">
        <v>43</v>
      </c>
      <c r="AJ284" s="76" t="s">
        <v>43</v>
      </c>
    </row>
    <row r="285" s="17" customFormat="1" customHeight="1" spans="1:36">
      <c r="A285" s="29" t="s">
        <v>70</v>
      </c>
      <c r="B285" s="30" t="s">
        <v>1071</v>
      </c>
      <c r="C285" s="28" t="s">
        <v>1072</v>
      </c>
      <c r="D285" s="30" t="s">
        <v>378</v>
      </c>
      <c r="E285" s="31" t="s">
        <v>43</v>
      </c>
      <c r="F285" s="31" t="s">
        <v>43</v>
      </c>
      <c r="G285" s="30" t="s">
        <v>1063</v>
      </c>
      <c r="H285" s="31" t="s">
        <v>146</v>
      </c>
      <c r="I285" s="37">
        <v>4800</v>
      </c>
      <c r="J285" s="37">
        <v>4320</v>
      </c>
      <c r="K285" s="36">
        <v>4220</v>
      </c>
      <c r="L285" s="36"/>
      <c r="M285" s="36"/>
      <c r="N285" s="41">
        <f>N283</f>
        <v>4550</v>
      </c>
      <c r="O285" s="41">
        <f>O283</f>
        <v>4150</v>
      </c>
      <c r="P285" s="41">
        <f>P283</f>
        <v>3550</v>
      </c>
      <c r="Q285" s="30" t="s">
        <v>42</v>
      </c>
      <c r="R285" s="30" t="s">
        <v>43</v>
      </c>
      <c r="S285" s="76" t="s">
        <v>43</v>
      </c>
      <c r="T285" s="36"/>
      <c r="U285" s="31" t="s">
        <v>1048</v>
      </c>
      <c r="V285" s="30" t="s">
        <v>1073</v>
      </c>
      <c r="W285" s="30">
        <v>330201049</v>
      </c>
      <c r="X285" s="30" t="s">
        <v>1074</v>
      </c>
      <c r="Y285" s="30"/>
      <c r="Z285" s="30"/>
      <c r="AA285" s="30" t="s">
        <v>40</v>
      </c>
      <c r="AB285" s="30" t="s">
        <v>43</v>
      </c>
      <c r="AC285" s="51">
        <v>4800</v>
      </c>
      <c r="AD285" s="51">
        <v>4320</v>
      </c>
      <c r="AE285" s="57">
        <v>4220</v>
      </c>
      <c r="AF285" s="57">
        <v>3800</v>
      </c>
      <c r="AG285" s="57">
        <v>3230</v>
      </c>
      <c r="AH285" s="82" t="s">
        <v>42</v>
      </c>
      <c r="AI285" s="82" t="s">
        <v>43</v>
      </c>
      <c r="AJ285" s="76" t="s">
        <v>43</v>
      </c>
    </row>
    <row r="286" s="17" customFormat="1" customHeight="1" spans="1:36">
      <c r="A286" s="29"/>
      <c r="B286" s="30"/>
      <c r="C286" s="28" t="s">
        <v>1072</v>
      </c>
      <c r="D286" s="30"/>
      <c r="E286" s="31"/>
      <c r="F286" s="31"/>
      <c r="G286" s="30"/>
      <c r="H286" s="31"/>
      <c r="I286" s="37"/>
      <c r="J286" s="37"/>
      <c r="K286" s="36"/>
      <c r="L286" s="36"/>
      <c r="M286" s="36"/>
      <c r="N286" s="41"/>
      <c r="O286" s="41"/>
      <c r="P286" s="41"/>
      <c r="Q286" s="30"/>
      <c r="R286" s="30"/>
      <c r="S286" s="76"/>
      <c r="T286" s="36"/>
      <c r="U286" s="31"/>
      <c r="V286" s="46" t="s">
        <v>1075</v>
      </c>
      <c r="W286" s="46">
        <v>33020104901</v>
      </c>
      <c r="X286" s="48" t="s">
        <v>1076</v>
      </c>
      <c r="Y286" s="46"/>
      <c r="Z286" s="46"/>
      <c r="AA286" s="46" t="s">
        <v>40</v>
      </c>
      <c r="AB286" s="30" t="s">
        <v>43</v>
      </c>
      <c r="AC286" s="52">
        <v>6240</v>
      </c>
      <c r="AD286" s="51">
        <v>5615</v>
      </c>
      <c r="AE286" s="57">
        <v>5485</v>
      </c>
      <c r="AF286" s="57">
        <v>4940</v>
      </c>
      <c r="AG286" s="57">
        <v>4200</v>
      </c>
      <c r="AH286" s="82" t="s">
        <v>42</v>
      </c>
      <c r="AI286" s="82" t="s">
        <v>43</v>
      </c>
      <c r="AJ286" s="76" t="s">
        <v>43</v>
      </c>
    </row>
    <row r="287" s="17" customFormat="1" customHeight="1" spans="1:36">
      <c r="A287" s="29"/>
      <c r="B287" s="30"/>
      <c r="C287" s="28" t="s">
        <v>1072</v>
      </c>
      <c r="D287" s="30"/>
      <c r="E287" s="31"/>
      <c r="F287" s="31"/>
      <c r="G287" s="30"/>
      <c r="H287" s="31"/>
      <c r="I287" s="37"/>
      <c r="J287" s="37"/>
      <c r="K287" s="36"/>
      <c r="L287" s="36"/>
      <c r="M287" s="36"/>
      <c r="N287" s="41"/>
      <c r="O287" s="41"/>
      <c r="P287" s="41"/>
      <c r="Q287" s="30"/>
      <c r="R287" s="30"/>
      <c r="S287" s="76"/>
      <c r="T287" s="36"/>
      <c r="U287" s="31"/>
      <c r="V287" s="46" t="s">
        <v>1077</v>
      </c>
      <c r="W287" s="46">
        <v>33020104902</v>
      </c>
      <c r="X287" s="48" t="s">
        <v>1078</v>
      </c>
      <c r="Y287" s="46"/>
      <c r="Z287" s="46"/>
      <c r="AA287" s="46" t="s">
        <v>40</v>
      </c>
      <c r="AB287" s="30" t="s">
        <v>43</v>
      </c>
      <c r="AC287" s="52">
        <v>5600</v>
      </c>
      <c r="AD287" s="51">
        <v>5040</v>
      </c>
      <c r="AE287" s="57">
        <v>4595</v>
      </c>
      <c r="AF287" s="57">
        <v>4160</v>
      </c>
      <c r="AG287" s="57">
        <v>3536</v>
      </c>
      <c r="AH287" s="82" t="s">
        <v>42</v>
      </c>
      <c r="AI287" s="82" t="s">
        <v>43</v>
      </c>
      <c r="AJ287" s="76" t="s">
        <v>43</v>
      </c>
    </row>
    <row r="288" s="17" customFormat="1" customHeight="1" spans="1:36">
      <c r="A288" s="29"/>
      <c r="B288" s="30"/>
      <c r="C288" s="28" t="s">
        <v>1072</v>
      </c>
      <c r="D288" s="30"/>
      <c r="E288" s="31"/>
      <c r="F288" s="31"/>
      <c r="G288" s="30"/>
      <c r="H288" s="31"/>
      <c r="I288" s="37"/>
      <c r="J288" s="37"/>
      <c r="K288" s="36"/>
      <c r="L288" s="36"/>
      <c r="M288" s="36"/>
      <c r="N288" s="41"/>
      <c r="O288" s="41"/>
      <c r="P288" s="41"/>
      <c r="Q288" s="30"/>
      <c r="R288" s="30"/>
      <c r="S288" s="76"/>
      <c r="T288" s="36"/>
      <c r="U288" s="31"/>
      <c r="V288" s="46" t="s">
        <v>1079</v>
      </c>
      <c r="W288" s="46">
        <v>33020104903</v>
      </c>
      <c r="X288" s="48" t="s">
        <v>1080</v>
      </c>
      <c r="Y288" s="46"/>
      <c r="Z288" s="46"/>
      <c r="AA288" s="46" t="s">
        <v>40</v>
      </c>
      <c r="AB288" s="30" t="s">
        <v>43</v>
      </c>
      <c r="AC288" s="52">
        <v>7040</v>
      </c>
      <c r="AD288" s="51">
        <v>6335</v>
      </c>
      <c r="AE288" s="57">
        <v>5860</v>
      </c>
      <c r="AF288" s="57">
        <v>5300</v>
      </c>
      <c r="AG288" s="57">
        <v>4505</v>
      </c>
      <c r="AH288" s="82" t="s">
        <v>42</v>
      </c>
      <c r="AI288" s="82" t="s">
        <v>43</v>
      </c>
      <c r="AJ288" s="76" t="s">
        <v>43</v>
      </c>
    </row>
    <row r="289" s="17" customFormat="1" ht="44" customHeight="1" spans="1:36">
      <c r="A289" s="29" t="s">
        <v>70</v>
      </c>
      <c r="B289" s="30" t="s">
        <v>1081</v>
      </c>
      <c r="C289" s="30" t="s">
        <v>1082</v>
      </c>
      <c r="D289" s="30" t="s">
        <v>378</v>
      </c>
      <c r="E289" s="31" t="s">
        <v>43</v>
      </c>
      <c r="F289" s="31" t="s">
        <v>43</v>
      </c>
      <c r="G289" s="30" t="s">
        <v>1063</v>
      </c>
      <c r="H289" s="31" t="s">
        <v>146</v>
      </c>
      <c r="I289" s="37">
        <v>4800</v>
      </c>
      <c r="J289" s="37">
        <v>4320</v>
      </c>
      <c r="K289" s="36"/>
      <c r="L289" s="36"/>
      <c r="M289" s="36"/>
      <c r="N289" s="41">
        <f>N283</f>
        <v>4550</v>
      </c>
      <c r="O289" s="41">
        <f>O283</f>
        <v>4150</v>
      </c>
      <c r="P289" s="41">
        <f>P283</f>
        <v>3550</v>
      </c>
      <c r="Q289" s="30" t="s">
        <v>42</v>
      </c>
      <c r="R289" s="30" t="s">
        <v>43</v>
      </c>
      <c r="S289" s="76" t="s">
        <v>43</v>
      </c>
      <c r="T289" s="36"/>
      <c r="U289" s="31" t="s">
        <v>1048</v>
      </c>
      <c r="V289" s="30" t="s">
        <v>1083</v>
      </c>
      <c r="W289" s="30" t="s">
        <v>1084</v>
      </c>
      <c r="X289" s="30" t="s">
        <v>1085</v>
      </c>
      <c r="Y289" s="30" t="s">
        <v>1086</v>
      </c>
      <c r="Z289" s="30" t="s">
        <v>1087</v>
      </c>
      <c r="AA289" s="30" t="s">
        <v>40</v>
      </c>
      <c r="AB289" s="30" t="s">
        <v>43</v>
      </c>
      <c r="AC289" s="51"/>
      <c r="AD289" s="51"/>
      <c r="AE289" s="57" t="s">
        <v>326</v>
      </c>
      <c r="AF289" s="57" t="s">
        <v>326</v>
      </c>
      <c r="AG289" s="57" t="s">
        <v>326</v>
      </c>
      <c r="AH289" s="82" t="s">
        <v>43</v>
      </c>
      <c r="AI289" s="82" t="s">
        <v>43</v>
      </c>
      <c r="AJ289" s="76" t="s">
        <v>43</v>
      </c>
    </row>
    <row r="290" s="17" customFormat="1" ht="69" customHeight="1" spans="1:36">
      <c r="A290" s="29">
        <v>55</v>
      </c>
      <c r="B290" s="30" t="s">
        <v>1088</v>
      </c>
      <c r="C290" s="30" t="s">
        <v>1089</v>
      </c>
      <c r="D290" s="30" t="s">
        <v>378</v>
      </c>
      <c r="E290" s="31" t="s">
        <v>1090</v>
      </c>
      <c r="F290" s="31" t="s">
        <v>1091</v>
      </c>
      <c r="G290" s="30" t="s">
        <v>40</v>
      </c>
      <c r="H290" s="31" t="s">
        <v>146</v>
      </c>
      <c r="I290" s="37">
        <v>3460</v>
      </c>
      <c r="J290" s="37">
        <v>3114</v>
      </c>
      <c r="K290" s="36"/>
      <c r="L290" s="36"/>
      <c r="M290" s="36"/>
      <c r="N290" s="41">
        <v>3150</v>
      </c>
      <c r="O290" s="41">
        <v>2850</v>
      </c>
      <c r="P290" s="41">
        <v>2450</v>
      </c>
      <c r="Q290" s="30" t="s">
        <v>42</v>
      </c>
      <c r="R290" s="30" t="s">
        <v>43</v>
      </c>
      <c r="S290" s="76" t="s">
        <v>43</v>
      </c>
      <c r="T290" s="36" t="s">
        <v>113</v>
      </c>
      <c r="U290" s="31" t="s">
        <v>1092</v>
      </c>
      <c r="V290" s="30" t="s">
        <v>1093</v>
      </c>
      <c r="W290" s="30">
        <v>330201052</v>
      </c>
      <c r="X290" s="30" t="s">
        <v>1094</v>
      </c>
      <c r="Y290" s="30" t="s">
        <v>1095</v>
      </c>
      <c r="Z290" s="30" t="s">
        <v>1096</v>
      </c>
      <c r="AA290" s="30" t="s">
        <v>40</v>
      </c>
      <c r="AB290" s="30" t="s">
        <v>43</v>
      </c>
      <c r="AC290" s="51">
        <v>3460</v>
      </c>
      <c r="AD290" s="51">
        <v>3110</v>
      </c>
      <c r="AE290" s="57">
        <v>3040</v>
      </c>
      <c r="AF290" s="57">
        <v>2740</v>
      </c>
      <c r="AG290" s="57">
        <v>2330</v>
      </c>
      <c r="AH290" s="82" t="s">
        <v>42</v>
      </c>
      <c r="AI290" s="82" t="s">
        <v>43</v>
      </c>
      <c r="AJ290" s="76" t="s">
        <v>43</v>
      </c>
    </row>
    <row r="291" s="17" customFormat="1" ht="43" customHeight="1" spans="1:36">
      <c r="A291" s="29" t="s">
        <v>70</v>
      </c>
      <c r="B291" s="30" t="s">
        <v>1097</v>
      </c>
      <c r="C291" s="30" t="s">
        <v>1098</v>
      </c>
      <c r="D291" s="30" t="s">
        <v>378</v>
      </c>
      <c r="E291" s="31" t="s">
        <v>43</v>
      </c>
      <c r="F291" s="31" t="s">
        <v>43</v>
      </c>
      <c r="G291" s="30" t="s">
        <v>40</v>
      </c>
      <c r="H291" s="31" t="s">
        <v>43</v>
      </c>
      <c r="I291" s="37">
        <v>1038</v>
      </c>
      <c r="J291" s="37">
        <v>934</v>
      </c>
      <c r="K291" s="36"/>
      <c r="L291" s="36"/>
      <c r="M291" s="36"/>
      <c r="N291" s="41">
        <f>N290*0.3</f>
        <v>945</v>
      </c>
      <c r="O291" s="41">
        <f>O290*0.3</f>
        <v>855</v>
      </c>
      <c r="P291" s="41">
        <f>P290*0.3</f>
        <v>735</v>
      </c>
      <c r="Q291" s="30" t="s">
        <v>42</v>
      </c>
      <c r="R291" s="30" t="s">
        <v>43</v>
      </c>
      <c r="S291" s="76" t="s">
        <v>43</v>
      </c>
      <c r="T291" s="36"/>
      <c r="U291" s="31" t="s">
        <v>384</v>
      </c>
      <c r="V291" s="46" t="s">
        <v>1099</v>
      </c>
      <c r="W291" s="46">
        <v>33020105201</v>
      </c>
      <c r="X291" s="48" t="s">
        <v>1100</v>
      </c>
      <c r="Y291" s="46"/>
      <c r="Z291" s="46"/>
      <c r="AA291" s="46" t="s">
        <v>40</v>
      </c>
      <c r="AB291" s="30" t="s">
        <v>43</v>
      </c>
      <c r="AC291" s="52">
        <v>4500</v>
      </c>
      <c r="AD291" s="51">
        <v>4045</v>
      </c>
      <c r="AE291" s="57">
        <v>3950</v>
      </c>
      <c r="AF291" s="57">
        <v>3560</v>
      </c>
      <c r="AG291" s="57">
        <v>3025</v>
      </c>
      <c r="AH291" s="82" t="s">
        <v>42</v>
      </c>
      <c r="AI291" s="82" t="s">
        <v>43</v>
      </c>
      <c r="AJ291" s="76" t="s">
        <v>43</v>
      </c>
    </row>
    <row r="292" s="17" customFormat="1" ht="61" customHeight="1" spans="1:36">
      <c r="A292" s="29">
        <v>56</v>
      </c>
      <c r="B292" s="30" t="s">
        <v>1101</v>
      </c>
      <c r="C292" s="30" t="s">
        <v>1102</v>
      </c>
      <c r="D292" s="28" t="s">
        <v>378</v>
      </c>
      <c r="E292" s="28" t="s">
        <v>1103</v>
      </c>
      <c r="F292" s="28" t="s">
        <v>1104</v>
      </c>
      <c r="G292" s="30" t="s">
        <v>40</v>
      </c>
      <c r="H292" s="28" t="s">
        <v>1105</v>
      </c>
      <c r="I292" s="37">
        <v>9000</v>
      </c>
      <c r="J292" s="37">
        <v>8100</v>
      </c>
      <c r="K292" s="36">
        <v>8800</v>
      </c>
      <c r="L292" s="36">
        <v>8360</v>
      </c>
      <c r="M292" s="36"/>
      <c r="N292" s="41">
        <v>8800</v>
      </c>
      <c r="O292" s="41">
        <v>8100</v>
      </c>
      <c r="P292" s="41">
        <v>6900</v>
      </c>
      <c r="Q292" s="30" t="s">
        <v>42</v>
      </c>
      <c r="R292" s="30" t="s">
        <v>43</v>
      </c>
      <c r="S292" s="76" t="s">
        <v>43</v>
      </c>
      <c r="T292" s="36" t="s">
        <v>186</v>
      </c>
      <c r="U292" s="28" t="s">
        <v>434</v>
      </c>
      <c r="V292" s="30" t="s">
        <v>1106</v>
      </c>
      <c r="W292" s="30">
        <v>330203002</v>
      </c>
      <c r="X292" s="30" t="s">
        <v>1107</v>
      </c>
      <c r="Y292" s="30" t="s">
        <v>1108</v>
      </c>
      <c r="Z292" s="30" t="s">
        <v>1109</v>
      </c>
      <c r="AA292" s="30" t="s">
        <v>40</v>
      </c>
      <c r="AB292" s="30" t="s">
        <v>1110</v>
      </c>
      <c r="AC292" s="51">
        <v>9000</v>
      </c>
      <c r="AD292" s="51">
        <v>7560</v>
      </c>
      <c r="AE292" s="57">
        <v>8800</v>
      </c>
      <c r="AF292" s="57">
        <v>8360</v>
      </c>
      <c r="AG292" s="57">
        <v>7520</v>
      </c>
      <c r="AH292" s="82" t="s">
        <v>42</v>
      </c>
      <c r="AI292" s="82" t="s">
        <v>43</v>
      </c>
      <c r="AJ292" s="76" t="s">
        <v>43</v>
      </c>
    </row>
    <row r="293" s="17" customFormat="1" ht="29" customHeight="1" spans="1:36">
      <c r="A293" s="29"/>
      <c r="B293" s="30"/>
      <c r="C293" s="30" t="s">
        <v>1111</v>
      </c>
      <c r="D293" s="28"/>
      <c r="E293" s="28"/>
      <c r="F293" s="28"/>
      <c r="G293" s="30" t="s">
        <v>40</v>
      </c>
      <c r="H293" s="28"/>
      <c r="I293" s="37">
        <f>I292*0.05</f>
        <v>450</v>
      </c>
      <c r="J293" s="37">
        <f>J292*0.05</f>
        <v>405</v>
      </c>
      <c r="K293" s="36">
        <v>600</v>
      </c>
      <c r="L293" s="36">
        <v>540</v>
      </c>
      <c r="M293" s="36"/>
      <c r="N293" s="41">
        <f>N292*0.05</f>
        <v>440</v>
      </c>
      <c r="O293" s="41">
        <f>O292*0.05</f>
        <v>405</v>
      </c>
      <c r="P293" s="41">
        <f>P292*0.05</f>
        <v>345</v>
      </c>
      <c r="Q293" s="30"/>
      <c r="R293" s="30"/>
      <c r="S293" s="76"/>
      <c r="T293" s="36"/>
      <c r="U293" s="28" t="s">
        <v>1112</v>
      </c>
      <c r="V293" s="46" t="s">
        <v>1113</v>
      </c>
      <c r="W293" s="46">
        <v>33020300201</v>
      </c>
      <c r="X293" s="48" t="s">
        <v>1114</v>
      </c>
      <c r="Y293" s="46"/>
      <c r="Z293" s="46"/>
      <c r="AA293" s="46" t="s">
        <v>40</v>
      </c>
      <c r="AB293" s="30" t="s">
        <v>1115</v>
      </c>
      <c r="AC293" s="52">
        <v>600</v>
      </c>
      <c r="AD293" s="51">
        <v>540</v>
      </c>
      <c r="AE293" s="57">
        <v>600</v>
      </c>
      <c r="AF293" s="57">
        <v>540</v>
      </c>
      <c r="AG293" s="57">
        <v>460</v>
      </c>
      <c r="AH293" s="82" t="s">
        <v>42</v>
      </c>
      <c r="AI293" s="82" t="s">
        <v>43</v>
      </c>
      <c r="AJ293" s="76" t="s">
        <v>43</v>
      </c>
    </row>
    <row r="294" s="17" customFormat="1" ht="27" customHeight="1" spans="1:36">
      <c r="A294" s="29" t="s">
        <v>70</v>
      </c>
      <c r="B294" s="30" t="s">
        <v>1116</v>
      </c>
      <c r="C294" s="28" t="s">
        <v>1117</v>
      </c>
      <c r="D294" s="30" t="s">
        <v>378</v>
      </c>
      <c r="E294" s="31" t="s">
        <v>43</v>
      </c>
      <c r="F294" s="31" t="s">
        <v>43</v>
      </c>
      <c r="G294" s="30" t="s">
        <v>40</v>
      </c>
      <c r="H294" s="31" t="s">
        <v>43</v>
      </c>
      <c r="I294" s="37">
        <v>2700</v>
      </c>
      <c r="J294" s="37">
        <v>2430</v>
      </c>
      <c r="K294" s="36"/>
      <c r="L294" s="36"/>
      <c r="M294" s="36"/>
      <c r="N294" s="41">
        <f>N292*0.3</f>
        <v>2640</v>
      </c>
      <c r="O294" s="41">
        <f>O292*0.3</f>
        <v>2430</v>
      </c>
      <c r="P294" s="41">
        <f>P292*0.3</f>
        <v>2070</v>
      </c>
      <c r="Q294" s="30" t="s">
        <v>42</v>
      </c>
      <c r="R294" s="30" t="s">
        <v>43</v>
      </c>
      <c r="S294" s="76" t="s">
        <v>43</v>
      </c>
      <c r="T294" s="36"/>
      <c r="U294" s="31" t="s">
        <v>384</v>
      </c>
      <c r="V294" s="46" t="s">
        <v>1118</v>
      </c>
      <c r="W294" s="46">
        <v>33020300202</v>
      </c>
      <c r="X294" s="48" t="s">
        <v>1119</v>
      </c>
      <c r="Y294" s="46"/>
      <c r="Z294" s="46"/>
      <c r="AA294" s="46" t="s">
        <v>40</v>
      </c>
      <c r="AB294" s="30" t="s">
        <v>43</v>
      </c>
      <c r="AC294" s="52">
        <v>11700</v>
      </c>
      <c r="AD294" s="51">
        <v>9830</v>
      </c>
      <c r="AE294" s="57">
        <v>11440</v>
      </c>
      <c r="AF294" s="57">
        <v>10865</v>
      </c>
      <c r="AG294" s="57">
        <v>9775</v>
      </c>
      <c r="AH294" s="82" t="s">
        <v>42</v>
      </c>
      <c r="AI294" s="82" t="s">
        <v>43</v>
      </c>
      <c r="AJ294" s="76" t="s">
        <v>43</v>
      </c>
    </row>
    <row r="295" s="17" customFormat="1" ht="27" customHeight="1" spans="1:36">
      <c r="A295" s="29"/>
      <c r="B295" s="30"/>
      <c r="C295" s="28" t="s">
        <v>1117</v>
      </c>
      <c r="D295" s="30"/>
      <c r="E295" s="31"/>
      <c r="F295" s="31"/>
      <c r="G295" s="30"/>
      <c r="H295" s="31"/>
      <c r="I295" s="37"/>
      <c r="J295" s="37"/>
      <c r="K295" s="36"/>
      <c r="L295" s="36"/>
      <c r="M295" s="36"/>
      <c r="N295" s="41"/>
      <c r="O295" s="41"/>
      <c r="P295" s="41"/>
      <c r="Q295" s="30"/>
      <c r="R295" s="30"/>
      <c r="S295" s="76"/>
      <c r="T295" s="36"/>
      <c r="U295" s="31"/>
      <c r="V295" s="46" t="s">
        <v>1120</v>
      </c>
      <c r="W295" s="46">
        <v>33020300203</v>
      </c>
      <c r="X295" s="48" t="s">
        <v>1121</v>
      </c>
      <c r="Y295" s="46"/>
      <c r="Z295" s="46"/>
      <c r="AA295" s="46" t="s">
        <v>40</v>
      </c>
      <c r="AB295" s="30" t="s">
        <v>1122</v>
      </c>
      <c r="AC295" s="52">
        <v>780</v>
      </c>
      <c r="AD295" s="51">
        <v>700</v>
      </c>
      <c r="AE295" s="57">
        <v>780</v>
      </c>
      <c r="AF295" s="57">
        <v>700</v>
      </c>
      <c r="AG295" s="57">
        <v>595</v>
      </c>
      <c r="AH295" s="82" t="s">
        <v>42</v>
      </c>
      <c r="AI295" s="82" t="s">
        <v>43</v>
      </c>
      <c r="AJ295" s="76" t="s">
        <v>43</v>
      </c>
    </row>
    <row r="296" s="17" customFormat="1" customHeight="1" spans="1:36">
      <c r="A296" s="29" t="s">
        <v>70</v>
      </c>
      <c r="B296" s="30" t="s">
        <v>1123</v>
      </c>
      <c r="C296" s="28" t="s">
        <v>1124</v>
      </c>
      <c r="D296" s="30" t="s">
        <v>378</v>
      </c>
      <c r="E296" s="31" t="s">
        <v>43</v>
      </c>
      <c r="F296" s="31" t="s">
        <v>43</v>
      </c>
      <c r="G296" s="30" t="s">
        <v>40</v>
      </c>
      <c r="H296" s="31" t="s">
        <v>43</v>
      </c>
      <c r="I296" s="37">
        <v>900</v>
      </c>
      <c r="J296" s="37">
        <v>810</v>
      </c>
      <c r="K296" s="36"/>
      <c r="L296" s="36"/>
      <c r="M296" s="36"/>
      <c r="N296" s="41">
        <f>N292*0.1</f>
        <v>880</v>
      </c>
      <c r="O296" s="41">
        <f>O292*0.1</f>
        <v>810</v>
      </c>
      <c r="P296" s="41">
        <f>P292*0.1</f>
        <v>690</v>
      </c>
      <c r="Q296" s="30" t="s">
        <v>42</v>
      </c>
      <c r="R296" s="30" t="s">
        <v>43</v>
      </c>
      <c r="S296" s="76" t="s">
        <v>43</v>
      </c>
      <c r="T296" s="36"/>
      <c r="U296" s="31" t="s">
        <v>1125</v>
      </c>
      <c r="V296" s="30" t="s">
        <v>1126</v>
      </c>
      <c r="W296" s="30">
        <v>330203001</v>
      </c>
      <c r="X296" s="30" t="s">
        <v>1127</v>
      </c>
      <c r="Y296" s="30" t="s">
        <v>1128</v>
      </c>
      <c r="Z296" s="30" t="s">
        <v>1109</v>
      </c>
      <c r="AA296" s="30" t="s">
        <v>40</v>
      </c>
      <c r="AB296" s="30" t="s">
        <v>1129</v>
      </c>
      <c r="AC296" s="51">
        <v>9900</v>
      </c>
      <c r="AD296" s="51">
        <v>8320</v>
      </c>
      <c r="AE296" s="57">
        <v>7630</v>
      </c>
      <c r="AF296" s="57">
        <v>6870</v>
      </c>
      <c r="AG296" s="57">
        <v>5840</v>
      </c>
      <c r="AH296" s="82" t="s">
        <v>42</v>
      </c>
      <c r="AI296" s="82" t="s">
        <v>43</v>
      </c>
      <c r="AJ296" s="76" t="s">
        <v>43</v>
      </c>
    </row>
    <row r="297" s="17" customFormat="1" customHeight="1" spans="1:36">
      <c r="A297" s="29"/>
      <c r="B297" s="30"/>
      <c r="C297" s="28" t="s">
        <v>1124</v>
      </c>
      <c r="D297" s="30"/>
      <c r="E297" s="31"/>
      <c r="F297" s="31"/>
      <c r="G297" s="30"/>
      <c r="H297" s="31"/>
      <c r="I297" s="37"/>
      <c r="J297" s="37"/>
      <c r="K297" s="36"/>
      <c r="L297" s="36"/>
      <c r="M297" s="36"/>
      <c r="N297" s="41"/>
      <c r="O297" s="41"/>
      <c r="P297" s="41"/>
      <c r="Q297" s="30"/>
      <c r="R297" s="30"/>
      <c r="S297" s="76"/>
      <c r="T297" s="36"/>
      <c r="U297" s="31"/>
      <c r="V297" s="30" t="s">
        <v>1130</v>
      </c>
      <c r="W297" s="30">
        <v>33020300102</v>
      </c>
      <c r="X297" s="30" t="s">
        <v>1131</v>
      </c>
      <c r="Y297" s="30"/>
      <c r="Z297" s="30"/>
      <c r="AA297" s="30" t="s">
        <v>40</v>
      </c>
      <c r="AB297" s="30" t="s">
        <v>43</v>
      </c>
      <c r="AC297" s="51">
        <v>12870</v>
      </c>
      <c r="AD297" s="51">
        <v>10815</v>
      </c>
      <c r="AE297" s="57">
        <v>9920</v>
      </c>
      <c r="AF297" s="57">
        <v>8930</v>
      </c>
      <c r="AG297" s="57">
        <v>7590</v>
      </c>
      <c r="AH297" s="82" t="s">
        <v>42</v>
      </c>
      <c r="AI297" s="82" t="s">
        <v>43</v>
      </c>
      <c r="AJ297" s="76" t="s">
        <v>43</v>
      </c>
    </row>
    <row r="298" s="17" customFormat="1" customHeight="1" spans="1:36">
      <c r="A298" s="29"/>
      <c r="B298" s="30"/>
      <c r="C298" s="28" t="s">
        <v>1124</v>
      </c>
      <c r="D298" s="30"/>
      <c r="E298" s="31"/>
      <c r="F298" s="31"/>
      <c r="G298" s="30"/>
      <c r="H298" s="31"/>
      <c r="I298" s="37"/>
      <c r="J298" s="37"/>
      <c r="K298" s="36"/>
      <c r="L298" s="36"/>
      <c r="M298" s="36"/>
      <c r="N298" s="41"/>
      <c r="O298" s="41"/>
      <c r="P298" s="41"/>
      <c r="Q298" s="30"/>
      <c r="R298" s="30"/>
      <c r="S298" s="76"/>
      <c r="T298" s="36"/>
      <c r="U298" s="31"/>
      <c r="V298" s="30" t="s">
        <v>1132</v>
      </c>
      <c r="W298" s="30">
        <v>33020300101</v>
      </c>
      <c r="X298" s="30" t="s">
        <v>1133</v>
      </c>
      <c r="Y298" s="30"/>
      <c r="Z298" s="30"/>
      <c r="AA298" s="30" t="s">
        <v>40</v>
      </c>
      <c r="AB298" s="30" t="s">
        <v>1134</v>
      </c>
      <c r="AC298" s="51">
        <v>1250</v>
      </c>
      <c r="AD298" s="51">
        <v>1050</v>
      </c>
      <c r="AE298" s="57">
        <v>1120</v>
      </c>
      <c r="AF298" s="57">
        <v>1010</v>
      </c>
      <c r="AG298" s="57">
        <v>860</v>
      </c>
      <c r="AH298" s="82" t="s">
        <v>42</v>
      </c>
      <c r="AI298" s="82" t="s">
        <v>43</v>
      </c>
      <c r="AJ298" s="76" t="s">
        <v>43</v>
      </c>
    </row>
    <row r="299" s="17" customFormat="1" customHeight="1" spans="1:36">
      <c r="A299" s="29"/>
      <c r="B299" s="30"/>
      <c r="C299" s="28" t="s">
        <v>1124</v>
      </c>
      <c r="D299" s="30"/>
      <c r="E299" s="31"/>
      <c r="F299" s="31"/>
      <c r="G299" s="30"/>
      <c r="H299" s="31"/>
      <c r="I299" s="37"/>
      <c r="J299" s="37"/>
      <c r="K299" s="36"/>
      <c r="L299" s="36"/>
      <c r="M299" s="36"/>
      <c r="N299" s="41"/>
      <c r="O299" s="41"/>
      <c r="P299" s="41"/>
      <c r="Q299" s="30"/>
      <c r="R299" s="30"/>
      <c r="S299" s="76"/>
      <c r="T299" s="36"/>
      <c r="U299" s="31"/>
      <c r="V299" s="46" t="s">
        <v>1135</v>
      </c>
      <c r="W299" s="46">
        <v>33020300103</v>
      </c>
      <c r="X299" s="48" t="s">
        <v>1136</v>
      </c>
      <c r="Y299" s="46"/>
      <c r="Z299" s="46"/>
      <c r="AA299" s="46" t="s">
        <v>40</v>
      </c>
      <c r="AB299" s="30" t="s">
        <v>1137</v>
      </c>
      <c r="AC299" s="52">
        <v>1625</v>
      </c>
      <c r="AD299" s="51">
        <v>1365</v>
      </c>
      <c r="AE299" s="57">
        <v>1455</v>
      </c>
      <c r="AF299" s="57">
        <v>1315</v>
      </c>
      <c r="AG299" s="57">
        <v>1120</v>
      </c>
      <c r="AH299" s="82" t="s">
        <v>42</v>
      </c>
      <c r="AI299" s="82" t="s">
        <v>43</v>
      </c>
      <c r="AJ299" s="76" t="s">
        <v>43</v>
      </c>
    </row>
    <row r="300" s="17" customFormat="1" ht="37" customHeight="1" spans="1:36">
      <c r="A300" s="29" t="s">
        <v>70</v>
      </c>
      <c r="B300" s="30" t="s">
        <v>1138</v>
      </c>
      <c r="C300" s="30" t="s">
        <v>1139</v>
      </c>
      <c r="D300" s="30" t="s">
        <v>378</v>
      </c>
      <c r="E300" s="31" t="s">
        <v>43</v>
      </c>
      <c r="F300" s="31" t="s">
        <v>43</v>
      </c>
      <c r="G300" s="30" t="s">
        <v>40</v>
      </c>
      <c r="H300" s="31" t="s">
        <v>43</v>
      </c>
      <c r="I300" s="37">
        <v>900</v>
      </c>
      <c r="J300" s="37">
        <v>810</v>
      </c>
      <c r="K300" s="36"/>
      <c r="L300" s="36"/>
      <c r="M300" s="36"/>
      <c r="N300" s="41">
        <f>N296</f>
        <v>880</v>
      </c>
      <c r="O300" s="41">
        <f>O296</f>
        <v>810</v>
      </c>
      <c r="P300" s="41">
        <f>P296</f>
        <v>690</v>
      </c>
      <c r="Q300" s="30" t="s">
        <v>42</v>
      </c>
      <c r="R300" s="30" t="s">
        <v>43</v>
      </c>
      <c r="S300" s="76" t="s">
        <v>43</v>
      </c>
      <c r="T300" s="36"/>
      <c r="U300" s="31" t="s">
        <v>1140</v>
      </c>
      <c r="V300" s="30"/>
      <c r="W300" s="30"/>
      <c r="X300" s="30"/>
      <c r="Y300" s="30"/>
      <c r="Z300" s="30"/>
      <c r="AA300" s="30"/>
      <c r="AB300" s="30"/>
      <c r="AC300" s="51"/>
      <c r="AD300" s="51"/>
      <c r="AE300" s="57"/>
      <c r="AF300" s="57"/>
      <c r="AG300" s="57"/>
      <c r="AH300" s="82"/>
      <c r="AI300" s="82"/>
      <c r="AJ300" s="76"/>
    </row>
    <row r="301" s="17" customFormat="1" ht="42" customHeight="1" spans="1:36">
      <c r="A301" s="29">
        <v>57</v>
      </c>
      <c r="B301" s="30" t="s">
        <v>1141</v>
      </c>
      <c r="C301" s="28" t="s">
        <v>1142</v>
      </c>
      <c r="D301" s="30" t="s">
        <v>378</v>
      </c>
      <c r="E301" s="31" t="s">
        <v>1143</v>
      </c>
      <c r="F301" s="31" t="s">
        <v>1144</v>
      </c>
      <c r="G301" s="30" t="s">
        <v>40</v>
      </c>
      <c r="H301" s="31" t="s">
        <v>1145</v>
      </c>
      <c r="I301" s="37">
        <v>5760</v>
      </c>
      <c r="J301" s="37">
        <v>5184</v>
      </c>
      <c r="K301" s="36">
        <v>5060</v>
      </c>
      <c r="L301" s="36"/>
      <c r="M301" s="36"/>
      <c r="N301" s="41">
        <v>5200</v>
      </c>
      <c r="O301" s="41">
        <v>4700</v>
      </c>
      <c r="P301" s="41">
        <v>4000</v>
      </c>
      <c r="Q301" s="30" t="s">
        <v>42</v>
      </c>
      <c r="R301" s="30" t="s">
        <v>43</v>
      </c>
      <c r="S301" s="76" t="s">
        <v>43</v>
      </c>
      <c r="T301" s="36" t="s">
        <v>113</v>
      </c>
      <c r="U301" s="31" t="s">
        <v>1146</v>
      </c>
      <c r="V301" s="30" t="s">
        <v>1147</v>
      </c>
      <c r="W301" s="30">
        <v>330203011</v>
      </c>
      <c r="X301" s="30" t="s">
        <v>1148</v>
      </c>
      <c r="Y301" s="30" t="s">
        <v>1149</v>
      </c>
      <c r="Z301" s="30"/>
      <c r="AA301" s="30" t="s">
        <v>40</v>
      </c>
      <c r="AB301" s="30" t="s">
        <v>1150</v>
      </c>
      <c r="AC301" s="51">
        <v>5760</v>
      </c>
      <c r="AD301" s="51">
        <v>5180</v>
      </c>
      <c r="AE301" s="57">
        <v>5060</v>
      </c>
      <c r="AF301" s="57">
        <v>4550</v>
      </c>
      <c r="AG301" s="57">
        <v>3870</v>
      </c>
      <c r="AH301" s="82" t="s">
        <v>42</v>
      </c>
      <c r="AI301" s="82" t="s">
        <v>43</v>
      </c>
      <c r="AJ301" s="76" t="s">
        <v>43</v>
      </c>
    </row>
    <row r="302" s="17" customFormat="1" ht="42" customHeight="1" spans="1:36">
      <c r="A302" s="29"/>
      <c r="B302" s="30"/>
      <c r="C302" s="28" t="s">
        <v>1142</v>
      </c>
      <c r="D302" s="30"/>
      <c r="E302" s="31"/>
      <c r="F302" s="31"/>
      <c r="G302" s="30"/>
      <c r="H302" s="31"/>
      <c r="I302" s="37"/>
      <c r="J302" s="37"/>
      <c r="K302" s="36"/>
      <c r="L302" s="36"/>
      <c r="M302" s="36"/>
      <c r="N302" s="41"/>
      <c r="O302" s="41"/>
      <c r="P302" s="41"/>
      <c r="Q302" s="30"/>
      <c r="R302" s="30"/>
      <c r="S302" s="76"/>
      <c r="T302" s="36"/>
      <c r="U302" s="31"/>
      <c r="V302" s="30" t="s">
        <v>1151</v>
      </c>
      <c r="W302" s="30">
        <v>330203012</v>
      </c>
      <c r="X302" s="30" t="s">
        <v>1152</v>
      </c>
      <c r="Y302" s="30"/>
      <c r="Z302" s="30"/>
      <c r="AA302" s="30" t="s">
        <v>40</v>
      </c>
      <c r="AB302" s="30" t="s">
        <v>43</v>
      </c>
      <c r="AC302" s="51">
        <v>5760</v>
      </c>
      <c r="AD302" s="51">
        <v>5180</v>
      </c>
      <c r="AE302" s="57">
        <v>5060</v>
      </c>
      <c r="AF302" s="57">
        <v>4550</v>
      </c>
      <c r="AG302" s="57">
        <v>3870</v>
      </c>
      <c r="AH302" s="82" t="s">
        <v>42</v>
      </c>
      <c r="AI302" s="82" t="s">
        <v>43</v>
      </c>
      <c r="AJ302" s="76" t="s">
        <v>43</v>
      </c>
    </row>
    <row r="303" s="17" customFormat="1" ht="23" customHeight="1" spans="1:36">
      <c r="A303" s="29" t="s">
        <v>70</v>
      </c>
      <c r="B303" s="30" t="s">
        <v>1153</v>
      </c>
      <c r="C303" s="28" t="s">
        <v>1154</v>
      </c>
      <c r="D303" s="30" t="s">
        <v>378</v>
      </c>
      <c r="E303" s="31" t="s">
        <v>43</v>
      </c>
      <c r="F303" s="31" t="s">
        <v>43</v>
      </c>
      <c r="G303" s="30" t="s">
        <v>40</v>
      </c>
      <c r="H303" s="31" t="s">
        <v>43</v>
      </c>
      <c r="I303" s="37">
        <v>1728</v>
      </c>
      <c r="J303" s="37">
        <v>1555</v>
      </c>
      <c r="K303" s="36"/>
      <c r="L303" s="36"/>
      <c r="M303" s="36"/>
      <c r="N303" s="41">
        <f>N301*0.3</f>
        <v>1560</v>
      </c>
      <c r="O303" s="41">
        <f>O301*0.3</f>
        <v>1410</v>
      </c>
      <c r="P303" s="41">
        <f>P301*0.3</f>
        <v>1200</v>
      </c>
      <c r="Q303" s="30" t="s">
        <v>42</v>
      </c>
      <c r="R303" s="30" t="s">
        <v>43</v>
      </c>
      <c r="S303" s="76" t="s">
        <v>43</v>
      </c>
      <c r="T303" s="36"/>
      <c r="U303" s="31" t="s">
        <v>384</v>
      </c>
      <c r="V303" s="46" t="s">
        <v>1155</v>
      </c>
      <c r="W303" s="46">
        <v>33020301102</v>
      </c>
      <c r="X303" s="48" t="s">
        <v>1156</v>
      </c>
      <c r="Y303" s="46"/>
      <c r="Z303" s="46"/>
      <c r="AA303" s="46" t="s">
        <v>40</v>
      </c>
      <c r="AB303" s="30" t="s">
        <v>43</v>
      </c>
      <c r="AC303" s="52">
        <v>7490</v>
      </c>
      <c r="AD303" s="51">
        <v>6735</v>
      </c>
      <c r="AE303" s="57">
        <v>6580</v>
      </c>
      <c r="AF303" s="57">
        <v>5915</v>
      </c>
      <c r="AG303" s="57">
        <v>5030</v>
      </c>
      <c r="AH303" s="82" t="s">
        <v>42</v>
      </c>
      <c r="AI303" s="82" t="s">
        <v>43</v>
      </c>
      <c r="AJ303" s="76" t="s">
        <v>43</v>
      </c>
    </row>
    <row r="304" s="17" customFormat="1" ht="23" customHeight="1" spans="1:36">
      <c r="A304" s="29"/>
      <c r="B304" s="30"/>
      <c r="C304" s="28" t="s">
        <v>1154</v>
      </c>
      <c r="D304" s="30"/>
      <c r="E304" s="31"/>
      <c r="F304" s="31"/>
      <c r="G304" s="30"/>
      <c r="H304" s="31"/>
      <c r="I304" s="37"/>
      <c r="J304" s="37"/>
      <c r="K304" s="36"/>
      <c r="L304" s="36"/>
      <c r="M304" s="36"/>
      <c r="N304" s="41"/>
      <c r="O304" s="41"/>
      <c r="P304" s="41"/>
      <c r="Q304" s="30"/>
      <c r="R304" s="30"/>
      <c r="S304" s="76"/>
      <c r="T304" s="36"/>
      <c r="U304" s="31"/>
      <c r="V304" s="46" t="s">
        <v>1157</v>
      </c>
      <c r="W304" s="46">
        <v>33020301201</v>
      </c>
      <c r="X304" s="48" t="s">
        <v>1158</v>
      </c>
      <c r="Y304" s="46"/>
      <c r="Z304" s="46"/>
      <c r="AA304" s="46" t="s">
        <v>40</v>
      </c>
      <c r="AB304" s="30" t="s">
        <v>43</v>
      </c>
      <c r="AC304" s="52">
        <v>7490</v>
      </c>
      <c r="AD304" s="51">
        <v>6735</v>
      </c>
      <c r="AE304" s="57">
        <v>6580</v>
      </c>
      <c r="AF304" s="57">
        <v>5915</v>
      </c>
      <c r="AG304" s="57">
        <v>5030</v>
      </c>
      <c r="AH304" s="82" t="s">
        <v>42</v>
      </c>
      <c r="AI304" s="82" t="s">
        <v>43</v>
      </c>
      <c r="AJ304" s="76" t="s">
        <v>43</v>
      </c>
    </row>
    <row r="305" s="17" customFormat="1" ht="29" customHeight="1" spans="1:36">
      <c r="A305" s="29" t="s">
        <v>70</v>
      </c>
      <c r="B305" s="30" t="s">
        <v>1159</v>
      </c>
      <c r="C305" s="28" t="s">
        <v>1160</v>
      </c>
      <c r="D305" s="30" t="s">
        <v>378</v>
      </c>
      <c r="E305" s="31" t="s">
        <v>43</v>
      </c>
      <c r="F305" s="31" t="s">
        <v>43</v>
      </c>
      <c r="G305" s="30" t="s">
        <v>40</v>
      </c>
      <c r="H305" s="31"/>
      <c r="I305" s="37">
        <v>480</v>
      </c>
      <c r="J305" s="37">
        <v>432</v>
      </c>
      <c r="K305" s="36"/>
      <c r="L305" s="36"/>
      <c r="M305" s="36"/>
      <c r="N305" s="41">
        <v>435</v>
      </c>
      <c r="O305" s="41">
        <v>390</v>
      </c>
      <c r="P305" s="41">
        <v>335</v>
      </c>
      <c r="Q305" s="30" t="s">
        <v>42</v>
      </c>
      <c r="R305" s="30" t="s">
        <v>43</v>
      </c>
      <c r="S305" s="76" t="s">
        <v>43</v>
      </c>
      <c r="T305" s="36"/>
      <c r="U305" s="31" t="s">
        <v>1161</v>
      </c>
      <c r="V305" s="30" t="s">
        <v>1162</v>
      </c>
      <c r="W305" s="30">
        <v>33020301101</v>
      </c>
      <c r="X305" s="30" t="s">
        <v>1163</v>
      </c>
      <c r="Y305" s="30"/>
      <c r="Z305" s="30"/>
      <c r="AA305" s="30" t="s">
        <v>40</v>
      </c>
      <c r="AB305" s="30" t="s">
        <v>1164</v>
      </c>
      <c r="AC305" s="51">
        <v>6240</v>
      </c>
      <c r="AD305" s="51">
        <v>5610</v>
      </c>
      <c r="AE305" s="57">
        <v>5490</v>
      </c>
      <c r="AF305" s="57">
        <v>4935</v>
      </c>
      <c r="AG305" s="57">
        <v>4195</v>
      </c>
      <c r="AH305" s="82" t="s">
        <v>42</v>
      </c>
      <c r="AI305" s="82" t="s">
        <v>43</v>
      </c>
      <c r="AJ305" s="76" t="s">
        <v>43</v>
      </c>
    </row>
    <row r="306" s="17" customFormat="1" ht="29" customHeight="1" spans="1:36">
      <c r="A306" s="29"/>
      <c r="B306" s="30"/>
      <c r="C306" s="28" t="s">
        <v>1160</v>
      </c>
      <c r="D306" s="30"/>
      <c r="E306" s="31"/>
      <c r="F306" s="31"/>
      <c r="G306" s="30"/>
      <c r="H306" s="31"/>
      <c r="I306" s="37"/>
      <c r="J306" s="37"/>
      <c r="K306" s="36"/>
      <c r="L306" s="36"/>
      <c r="M306" s="36"/>
      <c r="N306" s="41"/>
      <c r="O306" s="41"/>
      <c r="P306" s="41"/>
      <c r="Q306" s="30"/>
      <c r="R306" s="30"/>
      <c r="S306" s="76"/>
      <c r="T306" s="36"/>
      <c r="U306" s="31"/>
      <c r="V306" s="46" t="s">
        <v>1165</v>
      </c>
      <c r="W306" s="46">
        <v>33020301103</v>
      </c>
      <c r="X306" s="48" t="s">
        <v>1166</v>
      </c>
      <c r="Y306" s="46"/>
      <c r="Z306" s="46"/>
      <c r="AA306" s="46" t="s">
        <v>40</v>
      </c>
      <c r="AB306" s="30" t="s">
        <v>1164</v>
      </c>
      <c r="AC306" s="52">
        <v>8110</v>
      </c>
      <c r="AD306" s="51">
        <v>7295</v>
      </c>
      <c r="AE306" s="57">
        <v>7135</v>
      </c>
      <c r="AF306" s="57">
        <v>6415</v>
      </c>
      <c r="AG306" s="57">
        <v>5455</v>
      </c>
      <c r="AH306" s="82" t="s">
        <v>42</v>
      </c>
      <c r="AI306" s="82" t="s">
        <v>43</v>
      </c>
      <c r="AJ306" s="76" t="s">
        <v>43</v>
      </c>
    </row>
    <row r="307" s="17" customFormat="1" ht="20" customHeight="1" spans="1:36">
      <c r="A307" s="29">
        <v>58</v>
      </c>
      <c r="B307" s="30" t="s">
        <v>1167</v>
      </c>
      <c r="C307" s="28" t="s">
        <v>1168</v>
      </c>
      <c r="D307" s="30" t="s">
        <v>378</v>
      </c>
      <c r="E307" s="31" t="s">
        <v>1169</v>
      </c>
      <c r="F307" s="31" t="s">
        <v>1170</v>
      </c>
      <c r="G307" s="30" t="s">
        <v>40</v>
      </c>
      <c r="H307" s="31"/>
      <c r="I307" s="37">
        <v>5760</v>
      </c>
      <c r="J307" s="37">
        <v>5184</v>
      </c>
      <c r="K307" s="36"/>
      <c r="L307" s="36"/>
      <c r="M307" s="36"/>
      <c r="N307" s="41">
        <f>N301</f>
        <v>5200</v>
      </c>
      <c r="O307" s="41">
        <f>O301</f>
        <v>4700</v>
      </c>
      <c r="P307" s="41">
        <f>P301</f>
        <v>4000</v>
      </c>
      <c r="Q307" s="30" t="s">
        <v>42</v>
      </c>
      <c r="R307" s="30" t="s">
        <v>43</v>
      </c>
      <c r="S307" s="76" t="s">
        <v>43</v>
      </c>
      <c r="T307" s="36" t="s">
        <v>280</v>
      </c>
      <c r="U307" s="31" t="s">
        <v>1171</v>
      </c>
      <c r="V307" s="30" t="s">
        <v>1172</v>
      </c>
      <c r="W307" s="30">
        <v>330203015</v>
      </c>
      <c r="X307" s="30" t="s">
        <v>1173</v>
      </c>
      <c r="Y307" s="30"/>
      <c r="Z307" s="30"/>
      <c r="AA307" s="30" t="s">
        <v>40</v>
      </c>
      <c r="AB307" s="30" t="s">
        <v>43</v>
      </c>
      <c r="AC307" s="51">
        <v>5760</v>
      </c>
      <c r="AD307" s="51">
        <v>5180</v>
      </c>
      <c r="AE307" s="57">
        <v>5060</v>
      </c>
      <c r="AF307" s="57">
        <v>4550</v>
      </c>
      <c r="AG307" s="57">
        <v>3870</v>
      </c>
      <c r="AH307" s="82" t="s">
        <v>42</v>
      </c>
      <c r="AI307" s="82" t="s">
        <v>43</v>
      </c>
      <c r="AJ307" s="76" t="s">
        <v>43</v>
      </c>
    </row>
    <row r="308" s="17" customFormat="1" ht="20" customHeight="1" spans="1:36">
      <c r="A308" s="29"/>
      <c r="B308" s="30"/>
      <c r="C308" s="28" t="s">
        <v>1168</v>
      </c>
      <c r="D308" s="30"/>
      <c r="E308" s="31"/>
      <c r="F308" s="31"/>
      <c r="G308" s="30"/>
      <c r="H308" s="31"/>
      <c r="I308" s="37"/>
      <c r="J308" s="37"/>
      <c r="K308" s="36"/>
      <c r="L308" s="36"/>
      <c r="M308" s="36"/>
      <c r="N308" s="41"/>
      <c r="O308" s="41"/>
      <c r="P308" s="41"/>
      <c r="Q308" s="30"/>
      <c r="R308" s="30"/>
      <c r="S308" s="76"/>
      <c r="T308" s="36"/>
      <c r="U308" s="31"/>
      <c r="V308" s="30" t="s">
        <v>1174</v>
      </c>
      <c r="W308" s="30">
        <v>330201050</v>
      </c>
      <c r="X308" s="30" t="s">
        <v>1175</v>
      </c>
      <c r="Y308" s="30"/>
      <c r="Z308" s="30" t="s">
        <v>1176</v>
      </c>
      <c r="AA308" s="30" t="s">
        <v>40</v>
      </c>
      <c r="AB308" s="30" t="s">
        <v>43</v>
      </c>
      <c r="AC308" s="51">
        <v>6000</v>
      </c>
      <c r="AD308" s="51">
        <v>5400</v>
      </c>
      <c r="AE308" s="57">
        <v>5160</v>
      </c>
      <c r="AF308" s="57">
        <v>4640</v>
      </c>
      <c r="AG308" s="57">
        <v>3940</v>
      </c>
      <c r="AH308" s="82" t="s">
        <v>42</v>
      </c>
      <c r="AI308" s="82" t="s">
        <v>43</v>
      </c>
      <c r="AJ308" s="76" t="s">
        <v>43</v>
      </c>
    </row>
    <row r="309" s="17" customFormat="1" ht="20" customHeight="1" spans="1:36">
      <c r="A309" s="29"/>
      <c r="B309" s="30"/>
      <c r="C309" s="28" t="s">
        <v>1168</v>
      </c>
      <c r="D309" s="30"/>
      <c r="E309" s="31"/>
      <c r="F309" s="31"/>
      <c r="G309" s="30"/>
      <c r="H309" s="31"/>
      <c r="I309" s="37"/>
      <c r="J309" s="37"/>
      <c r="K309" s="36"/>
      <c r="L309" s="36"/>
      <c r="M309" s="36"/>
      <c r="N309" s="41"/>
      <c r="O309" s="41"/>
      <c r="P309" s="41"/>
      <c r="Q309" s="30"/>
      <c r="R309" s="30"/>
      <c r="S309" s="76"/>
      <c r="T309" s="36"/>
      <c r="U309" s="31"/>
      <c r="V309" s="30" t="s">
        <v>1177</v>
      </c>
      <c r="W309" s="30">
        <v>330201058</v>
      </c>
      <c r="X309" s="30" t="s">
        <v>1178</v>
      </c>
      <c r="Y309" s="30" t="s">
        <v>1179</v>
      </c>
      <c r="Z309" s="30"/>
      <c r="AA309" s="30" t="s">
        <v>40</v>
      </c>
      <c r="AB309" s="30" t="s">
        <v>43</v>
      </c>
      <c r="AC309" s="51">
        <v>3840</v>
      </c>
      <c r="AD309" s="51">
        <v>3460</v>
      </c>
      <c r="AE309" s="57">
        <v>3380</v>
      </c>
      <c r="AF309" s="57">
        <v>3040</v>
      </c>
      <c r="AG309" s="57">
        <v>2580</v>
      </c>
      <c r="AH309" s="82" t="s">
        <v>42</v>
      </c>
      <c r="AI309" s="82" t="s">
        <v>43</v>
      </c>
      <c r="AJ309" s="76" t="s">
        <v>43</v>
      </c>
    </row>
    <row r="310" s="17" customFormat="1" ht="20" customHeight="1" spans="1:36">
      <c r="A310" s="29"/>
      <c r="B310" s="30"/>
      <c r="C310" s="28" t="s">
        <v>1168</v>
      </c>
      <c r="D310" s="30"/>
      <c r="E310" s="31"/>
      <c r="F310" s="31"/>
      <c r="G310" s="30"/>
      <c r="H310" s="31"/>
      <c r="I310" s="37"/>
      <c r="J310" s="37"/>
      <c r="K310" s="36"/>
      <c r="L310" s="36"/>
      <c r="M310" s="36"/>
      <c r="N310" s="41"/>
      <c r="O310" s="41"/>
      <c r="P310" s="41"/>
      <c r="Q310" s="30"/>
      <c r="R310" s="30"/>
      <c r="S310" s="76"/>
      <c r="T310" s="36"/>
      <c r="U310" s="31"/>
      <c r="V310" s="36" t="s">
        <v>1180</v>
      </c>
      <c r="W310" s="36">
        <v>33020100601</v>
      </c>
      <c r="X310" s="36" t="s">
        <v>1181</v>
      </c>
      <c r="Y310" s="36"/>
      <c r="Z310" s="36"/>
      <c r="AA310" s="36" t="s">
        <v>40</v>
      </c>
      <c r="AB310" s="36" t="s">
        <v>43</v>
      </c>
      <c r="AC310" s="54">
        <v>2835</v>
      </c>
      <c r="AD310" s="54">
        <v>2555</v>
      </c>
      <c r="AE310" s="54">
        <v>2625</v>
      </c>
      <c r="AF310" s="54">
        <v>2520</v>
      </c>
      <c r="AG310" s="54">
        <v>2142</v>
      </c>
      <c r="AH310" s="54" t="s">
        <v>42</v>
      </c>
      <c r="AI310" s="54" t="s">
        <v>43</v>
      </c>
      <c r="AJ310" s="83" t="s">
        <v>43</v>
      </c>
    </row>
    <row r="311" s="17" customFormat="1" customHeight="1" spans="1:36">
      <c r="A311" s="29" t="s">
        <v>70</v>
      </c>
      <c r="B311" s="30" t="s">
        <v>1182</v>
      </c>
      <c r="C311" s="28" t="s">
        <v>1183</v>
      </c>
      <c r="D311" s="30" t="s">
        <v>378</v>
      </c>
      <c r="E311" s="31" t="s">
        <v>43</v>
      </c>
      <c r="F311" s="31" t="s">
        <v>43</v>
      </c>
      <c r="G311" s="30" t="s">
        <v>40</v>
      </c>
      <c r="H311" s="31" t="s">
        <v>43</v>
      </c>
      <c r="I311" s="37">
        <v>1728</v>
      </c>
      <c r="J311" s="37">
        <v>1555</v>
      </c>
      <c r="K311" s="36"/>
      <c r="L311" s="36"/>
      <c r="M311" s="36"/>
      <c r="N311" s="41">
        <f>N307*0.3</f>
        <v>1560</v>
      </c>
      <c r="O311" s="41">
        <f>O307*0.3</f>
        <v>1410</v>
      </c>
      <c r="P311" s="41">
        <f>P307*0.3</f>
        <v>1200</v>
      </c>
      <c r="Q311" s="30" t="s">
        <v>42</v>
      </c>
      <c r="R311" s="30" t="s">
        <v>43</v>
      </c>
      <c r="S311" s="76" t="s">
        <v>43</v>
      </c>
      <c r="T311" s="36"/>
      <c r="U311" s="31" t="s">
        <v>384</v>
      </c>
      <c r="V311" s="46" t="s">
        <v>1184</v>
      </c>
      <c r="W311" s="46">
        <v>33020301501</v>
      </c>
      <c r="X311" s="48" t="s">
        <v>1185</v>
      </c>
      <c r="Y311" s="46"/>
      <c r="Z311" s="46"/>
      <c r="AA311" s="46" t="s">
        <v>40</v>
      </c>
      <c r="AB311" s="30" t="s">
        <v>43</v>
      </c>
      <c r="AC311" s="52">
        <v>7490</v>
      </c>
      <c r="AD311" s="51">
        <v>6735</v>
      </c>
      <c r="AE311" s="57">
        <v>6580</v>
      </c>
      <c r="AF311" s="57">
        <v>5915</v>
      </c>
      <c r="AG311" s="57">
        <v>5030</v>
      </c>
      <c r="AH311" s="82" t="s">
        <v>42</v>
      </c>
      <c r="AI311" s="82" t="s">
        <v>43</v>
      </c>
      <c r="AJ311" s="76" t="s">
        <v>43</v>
      </c>
    </row>
    <row r="312" s="17" customFormat="1" customHeight="1" spans="1:36">
      <c r="A312" s="29"/>
      <c r="B312" s="30"/>
      <c r="C312" s="28" t="s">
        <v>1183</v>
      </c>
      <c r="D312" s="30"/>
      <c r="E312" s="31"/>
      <c r="F312" s="31"/>
      <c r="G312" s="30"/>
      <c r="H312" s="31"/>
      <c r="I312" s="37"/>
      <c r="J312" s="37"/>
      <c r="K312" s="36"/>
      <c r="L312" s="36"/>
      <c r="M312" s="36"/>
      <c r="N312" s="41"/>
      <c r="O312" s="41"/>
      <c r="P312" s="41"/>
      <c r="Q312" s="30"/>
      <c r="R312" s="30"/>
      <c r="S312" s="76"/>
      <c r="T312" s="36"/>
      <c r="U312" s="31"/>
      <c r="V312" s="46" t="s">
        <v>1186</v>
      </c>
      <c r="W312" s="46">
        <v>33020105001</v>
      </c>
      <c r="X312" s="48" t="s">
        <v>1187</v>
      </c>
      <c r="Y312" s="46"/>
      <c r="Z312" s="46"/>
      <c r="AA312" s="46" t="s">
        <v>40</v>
      </c>
      <c r="AB312" s="30" t="s">
        <v>43</v>
      </c>
      <c r="AC312" s="52">
        <v>7800</v>
      </c>
      <c r="AD312" s="51">
        <v>7020</v>
      </c>
      <c r="AE312" s="57">
        <v>6710</v>
      </c>
      <c r="AF312" s="57">
        <v>6030</v>
      </c>
      <c r="AG312" s="57">
        <v>5125</v>
      </c>
      <c r="AH312" s="82" t="s">
        <v>42</v>
      </c>
      <c r="AI312" s="82" t="s">
        <v>43</v>
      </c>
      <c r="AJ312" s="76" t="s">
        <v>43</v>
      </c>
    </row>
    <row r="313" s="17" customFormat="1" customHeight="1" spans="1:36">
      <c r="A313" s="29"/>
      <c r="B313" s="30"/>
      <c r="C313" s="28" t="s">
        <v>1183</v>
      </c>
      <c r="D313" s="30"/>
      <c r="E313" s="31"/>
      <c r="F313" s="31"/>
      <c r="G313" s="30"/>
      <c r="H313" s="31"/>
      <c r="I313" s="37"/>
      <c r="J313" s="37"/>
      <c r="K313" s="36"/>
      <c r="L313" s="36"/>
      <c r="M313" s="36"/>
      <c r="N313" s="41"/>
      <c r="O313" s="41"/>
      <c r="P313" s="41"/>
      <c r="Q313" s="30"/>
      <c r="R313" s="30"/>
      <c r="S313" s="76"/>
      <c r="T313" s="36"/>
      <c r="U313" s="31"/>
      <c r="V313" s="46" t="s">
        <v>1188</v>
      </c>
      <c r="W313" s="46">
        <v>33020105801</v>
      </c>
      <c r="X313" s="48" t="s">
        <v>1189</v>
      </c>
      <c r="Y313" s="46"/>
      <c r="Z313" s="46"/>
      <c r="AA313" s="46" t="s">
        <v>40</v>
      </c>
      <c r="AB313" s="30" t="s">
        <v>43</v>
      </c>
      <c r="AC313" s="52">
        <v>4990</v>
      </c>
      <c r="AD313" s="51">
        <v>4500</v>
      </c>
      <c r="AE313" s="57">
        <v>4395</v>
      </c>
      <c r="AF313" s="57">
        <v>3950</v>
      </c>
      <c r="AG313" s="57">
        <v>3360</v>
      </c>
      <c r="AH313" s="82" t="s">
        <v>42</v>
      </c>
      <c r="AI313" s="82" t="s">
        <v>43</v>
      </c>
      <c r="AJ313" s="76" t="s">
        <v>43</v>
      </c>
    </row>
    <row r="314" s="17" customFormat="1" customHeight="1" spans="1:36">
      <c r="A314" s="29"/>
      <c r="B314" s="30"/>
      <c r="C314" s="28" t="s">
        <v>1183</v>
      </c>
      <c r="D314" s="30"/>
      <c r="E314" s="31"/>
      <c r="F314" s="31"/>
      <c r="G314" s="30"/>
      <c r="H314" s="31"/>
      <c r="I314" s="37"/>
      <c r="J314" s="37"/>
      <c r="K314" s="36"/>
      <c r="L314" s="36"/>
      <c r="M314" s="36"/>
      <c r="N314" s="41"/>
      <c r="O314" s="41"/>
      <c r="P314" s="41"/>
      <c r="Q314" s="30"/>
      <c r="R314" s="30"/>
      <c r="S314" s="76"/>
      <c r="T314" s="36"/>
      <c r="U314" s="31"/>
      <c r="V314" s="69" t="s">
        <v>1190</v>
      </c>
      <c r="W314" s="69">
        <v>33020100603</v>
      </c>
      <c r="X314" s="70" t="s">
        <v>1191</v>
      </c>
      <c r="Y314" s="69"/>
      <c r="Z314" s="69"/>
      <c r="AA314" s="69" t="s">
        <v>40</v>
      </c>
      <c r="AB314" s="36" t="s">
        <v>43</v>
      </c>
      <c r="AC314" s="72">
        <v>3685</v>
      </c>
      <c r="AD314" s="54">
        <v>3320</v>
      </c>
      <c r="AE314" s="54">
        <v>3415</v>
      </c>
      <c r="AF314" s="54">
        <v>3275</v>
      </c>
      <c r="AG314" s="54">
        <v>2785</v>
      </c>
      <c r="AH314" s="54" t="s">
        <v>42</v>
      </c>
      <c r="AI314" s="54" t="s">
        <v>43</v>
      </c>
      <c r="AJ314" s="83" t="s">
        <v>43</v>
      </c>
    </row>
    <row r="315" s="17" customFormat="1" customHeight="1" spans="1:36">
      <c r="A315" s="29">
        <v>59</v>
      </c>
      <c r="B315" s="30" t="s">
        <v>1192</v>
      </c>
      <c r="C315" s="28" t="s">
        <v>1193</v>
      </c>
      <c r="D315" s="30" t="s">
        <v>378</v>
      </c>
      <c r="E315" s="31" t="s">
        <v>1194</v>
      </c>
      <c r="F315" s="31" t="s">
        <v>1195</v>
      </c>
      <c r="G315" s="30" t="s">
        <v>40</v>
      </c>
      <c r="H315" s="31" t="s">
        <v>1196</v>
      </c>
      <c r="I315" s="37">
        <v>2175</v>
      </c>
      <c r="J315" s="37">
        <v>1958</v>
      </c>
      <c r="K315" s="59">
        <v>2044.32624113475</v>
      </c>
      <c r="L315" s="59">
        <v>1936.36363636364</v>
      </c>
      <c r="M315" s="36">
        <v>1224</v>
      </c>
      <c r="N315" s="41">
        <v>2050</v>
      </c>
      <c r="O315" s="41">
        <v>1940</v>
      </c>
      <c r="P315" s="41">
        <v>1650</v>
      </c>
      <c r="Q315" s="30" t="s">
        <v>42</v>
      </c>
      <c r="R315" s="30" t="s">
        <v>43</v>
      </c>
      <c r="S315" s="76" t="s">
        <v>43</v>
      </c>
      <c r="T315" s="36" t="s">
        <v>44</v>
      </c>
      <c r="U315" s="31" t="s">
        <v>1197</v>
      </c>
      <c r="V315" s="30" t="s">
        <v>1198</v>
      </c>
      <c r="W315" s="30">
        <v>330201019</v>
      </c>
      <c r="X315" s="30" t="s">
        <v>1199</v>
      </c>
      <c r="Y315" s="30" t="s">
        <v>1200</v>
      </c>
      <c r="Z315" s="30" t="s">
        <v>1201</v>
      </c>
      <c r="AA315" s="30" t="s">
        <v>40</v>
      </c>
      <c r="AB315" s="30" t="s">
        <v>43</v>
      </c>
      <c r="AC315" s="51">
        <v>2160</v>
      </c>
      <c r="AD315" s="51">
        <v>1940</v>
      </c>
      <c r="AE315" s="57">
        <v>2000</v>
      </c>
      <c r="AF315" s="57">
        <v>1920</v>
      </c>
      <c r="AG315" s="57">
        <v>1632</v>
      </c>
      <c r="AH315" s="82" t="s">
        <v>42</v>
      </c>
      <c r="AI315" s="82" t="s">
        <v>43</v>
      </c>
      <c r="AJ315" s="76" t="s">
        <v>43</v>
      </c>
    </row>
    <row r="316" s="17" customFormat="1" customHeight="1" spans="1:36">
      <c r="A316" s="29"/>
      <c r="B316" s="30"/>
      <c r="C316" s="28" t="s">
        <v>1193</v>
      </c>
      <c r="D316" s="30"/>
      <c r="E316" s="31"/>
      <c r="F316" s="31"/>
      <c r="G316" s="30"/>
      <c r="H316" s="31"/>
      <c r="I316" s="37"/>
      <c r="J316" s="37"/>
      <c r="K316" s="59"/>
      <c r="L316" s="59"/>
      <c r="M316" s="36"/>
      <c r="N316" s="41"/>
      <c r="O316" s="41"/>
      <c r="P316" s="41"/>
      <c r="Q316" s="30"/>
      <c r="R316" s="30"/>
      <c r="S316" s="76"/>
      <c r="T316" s="36"/>
      <c r="U316" s="31"/>
      <c r="V316" s="30" t="s">
        <v>1202</v>
      </c>
      <c r="W316" s="30">
        <v>33020101902</v>
      </c>
      <c r="X316" s="30" t="s">
        <v>1203</v>
      </c>
      <c r="Y316" s="30"/>
      <c r="Z316" s="30"/>
      <c r="AA316" s="30" t="s">
        <v>40</v>
      </c>
      <c r="AB316" s="30" t="s">
        <v>43</v>
      </c>
      <c r="AC316" s="51">
        <v>2960</v>
      </c>
      <c r="AD316" s="51">
        <v>2660</v>
      </c>
      <c r="AE316" s="57">
        <v>2375</v>
      </c>
      <c r="AF316" s="57">
        <v>2280</v>
      </c>
      <c r="AG316" s="57">
        <v>1938</v>
      </c>
      <c r="AH316" s="82" t="s">
        <v>42</v>
      </c>
      <c r="AI316" s="82" t="s">
        <v>43</v>
      </c>
      <c r="AJ316" s="76" t="s">
        <v>43</v>
      </c>
    </row>
    <row r="317" s="17" customFormat="1" customHeight="1" spans="1:36">
      <c r="A317" s="29"/>
      <c r="B317" s="30"/>
      <c r="C317" s="28" t="s">
        <v>1193</v>
      </c>
      <c r="D317" s="30"/>
      <c r="E317" s="31"/>
      <c r="F317" s="31"/>
      <c r="G317" s="30"/>
      <c r="H317" s="31"/>
      <c r="I317" s="37"/>
      <c r="J317" s="37"/>
      <c r="K317" s="59"/>
      <c r="L317" s="59"/>
      <c r="M317" s="36"/>
      <c r="N317" s="41"/>
      <c r="O317" s="41"/>
      <c r="P317" s="41"/>
      <c r="Q317" s="30"/>
      <c r="R317" s="30"/>
      <c r="S317" s="76"/>
      <c r="T317" s="36"/>
      <c r="U317" s="31"/>
      <c r="V317" s="30" t="s">
        <v>1204</v>
      </c>
      <c r="W317" s="30">
        <v>330204012</v>
      </c>
      <c r="X317" s="30" t="s">
        <v>1205</v>
      </c>
      <c r="Y317" s="30"/>
      <c r="Z317" s="30" t="s">
        <v>1201</v>
      </c>
      <c r="AA317" s="30" t="s">
        <v>40</v>
      </c>
      <c r="AB317" s="30" t="s">
        <v>43</v>
      </c>
      <c r="AC317" s="51">
        <v>1620</v>
      </c>
      <c r="AD317" s="51">
        <v>1460</v>
      </c>
      <c r="AE317" s="57">
        <v>1500</v>
      </c>
      <c r="AF317" s="57">
        <v>1440</v>
      </c>
      <c r="AG317" s="57">
        <v>1224</v>
      </c>
      <c r="AH317" s="82" t="s">
        <v>42</v>
      </c>
      <c r="AI317" s="82" t="s">
        <v>43</v>
      </c>
      <c r="AJ317" s="76" t="s">
        <v>43</v>
      </c>
    </row>
    <row r="318" s="17" customFormat="1" customHeight="1" spans="1:36">
      <c r="A318" s="29"/>
      <c r="B318" s="30"/>
      <c r="C318" s="28" t="s">
        <v>1193</v>
      </c>
      <c r="D318" s="30"/>
      <c r="E318" s="31"/>
      <c r="F318" s="31"/>
      <c r="G318" s="30"/>
      <c r="H318" s="31"/>
      <c r="I318" s="37"/>
      <c r="J318" s="37"/>
      <c r="K318" s="59"/>
      <c r="L318" s="59"/>
      <c r="M318" s="36"/>
      <c r="N318" s="41"/>
      <c r="O318" s="41"/>
      <c r="P318" s="41"/>
      <c r="Q318" s="30"/>
      <c r="R318" s="30"/>
      <c r="S318" s="76"/>
      <c r="T318" s="36"/>
      <c r="U318" s="31"/>
      <c r="V318" s="46" t="s">
        <v>1206</v>
      </c>
      <c r="W318" s="46">
        <v>33020401202</v>
      </c>
      <c r="X318" s="48" t="s">
        <v>1207</v>
      </c>
      <c r="Y318" s="46"/>
      <c r="Z318" s="46"/>
      <c r="AA318" s="46" t="s">
        <v>40</v>
      </c>
      <c r="AB318" s="30" t="s">
        <v>43</v>
      </c>
      <c r="AC318" s="52">
        <v>2420</v>
      </c>
      <c r="AD318" s="51">
        <v>2180</v>
      </c>
      <c r="AE318" s="57">
        <v>1875</v>
      </c>
      <c r="AF318" s="57">
        <v>1800</v>
      </c>
      <c r="AG318" s="57">
        <v>1530</v>
      </c>
      <c r="AH318" s="82" t="s">
        <v>42</v>
      </c>
      <c r="AI318" s="82" t="s">
        <v>43</v>
      </c>
      <c r="AJ318" s="76" t="s">
        <v>43</v>
      </c>
    </row>
    <row r="319" s="17" customFormat="1" customHeight="1" spans="1:36">
      <c r="A319" s="29"/>
      <c r="B319" s="30"/>
      <c r="C319" s="28" t="s">
        <v>1193</v>
      </c>
      <c r="D319" s="30"/>
      <c r="E319" s="31"/>
      <c r="F319" s="31"/>
      <c r="G319" s="30"/>
      <c r="H319" s="31"/>
      <c r="I319" s="37"/>
      <c r="J319" s="37"/>
      <c r="K319" s="59"/>
      <c r="L319" s="59"/>
      <c r="M319" s="36"/>
      <c r="N319" s="41"/>
      <c r="O319" s="41"/>
      <c r="P319" s="41"/>
      <c r="Q319" s="30"/>
      <c r="R319" s="30"/>
      <c r="S319" s="76"/>
      <c r="T319" s="36"/>
      <c r="U319" s="31"/>
      <c r="V319" s="30" t="s">
        <v>1208</v>
      </c>
      <c r="W319" s="30">
        <v>330204013</v>
      </c>
      <c r="X319" s="30" t="s">
        <v>1209</v>
      </c>
      <c r="Y319" s="30"/>
      <c r="Z319" s="30" t="s">
        <v>1201</v>
      </c>
      <c r="AA319" s="30" t="s">
        <v>40</v>
      </c>
      <c r="AB319" s="30" t="s">
        <v>43</v>
      </c>
      <c r="AC319" s="51">
        <v>2300</v>
      </c>
      <c r="AD319" s="51">
        <v>2080</v>
      </c>
      <c r="AE319" s="57">
        <v>2030</v>
      </c>
      <c r="AF319" s="57">
        <v>1830</v>
      </c>
      <c r="AG319" s="57">
        <v>1560</v>
      </c>
      <c r="AH319" s="82" t="s">
        <v>42</v>
      </c>
      <c r="AI319" s="82" t="s">
        <v>43</v>
      </c>
      <c r="AJ319" s="76" t="s">
        <v>43</v>
      </c>
    </row>
    <row r="320" s="17" customFormat="1" customHeight="1" spans="1:36">
      <c r="A320" s="29"/>
      <c r="B320" s="30"/>
      <c r="C320" s="28" t="s">
        <v>1193</v>
      </c>
      <c r="D320" s="30"/>
      <c r="E320" s="31"/>
      <c r="F320" s="31"/>
      <c r="G320" s="30"/>
      <c r="H320" s="31"/>
      <c r="I320" s="37"/>
      <c r="J320" s="37"/>
      <c r="K320" s="59"/>
      <c r="L320" s="59"/>
      <c r="M320" s="36"/>
      <c r="N320" s="41"/>
      <c r="O320" s="41"/>
      <c r="P320" s="41"/>
      <c r="Q320" s="30"/>
      <c r="R320" s="30"/>
      <c r="S320" s="76"/>
      <c r="T320" s="36"/>
      <c r="U320" s="31"/>
      <c r="V320" s="46" t="s">
        <v>1210</v>
      </c>
      <c r="W320" s="46">
        <v>33020401302</v>
      </c>
      <c r="X320" s="48" t="s">
        <v>1211</v>
      </c>
      <c r="Y320" s="46"/>
      <c r="Z320" s="46"/>
      <c r="AA320" s="46" t="s">
        <v>40</v>
      </c>
      <c r="AB320" s="30" t="s">
        <v>43</v>
      </c>
      <c r="AC320" s="52">
        <v>3100</v>
      </c>
      <c r="AD320" s="51">
        <v>2800</v>
      </c>
      <c r="AE320" s="57">
        <v>2405</v>
      </c>
      <c r="AF320" s="57">
        <v>2190</v>
      </c>
      <c r="AG320" s="57">
        <v>1866</v>
      </c>
      <c r="AH320" s="82" t="s">
        <v>42</v>
      </c>
      <c r="AI320" s="82" t="s">
        <v>43</v>
      </c>
      <c r="AJ320" s="76" t="s">
        <v>43</v>
      </c>
    </row>
    <row r="321" s="17" customFormat="1" customHeight="1" spans="1:36">
      <c r="A321" s="29"/>
      <c r="B321" s="30"/>
      <c r="C321" s="28" t="s">
        <v>1193</v>
      </c>
      <c r="D321" s="30"/>
      <c r="E321" s="31"/>
      <c r="F321" s="31"/>
      <c r="G321" s="30"/>
      <c r="H321" s="31"/>
      <c r="I321" s="37"/>
      <c r="J321" s="37"/>
      <c r="K321" s="59"/>
      <c r="L321" s="59"/>
      <c r="M321" s="36"/>
      <c r="N321" s="41"/>
      <c r="O321" s="41"/>
      <c r="P321" s="41"/>
      <c r="Q321" s="30"/>
      <c r="R321" s="30"/>
      <c r="S321" s="76"/>
      <c r="T321" s="36"/>
      <c r="U321" s="31"/>
      <c r="V321" s="69" t="s">
        <v>1212</v>
      </c>
      <c r="W321" s="69">
        <v>31010001604</v>
      </c>
      <c r="X321" s="70" t="s">
        <v>1213</v>
      </c>
      <c r="Y321" s="71"/>
      <c r="Z321" s="69"/>
      <c r="AA321" s="69" t="s">
        <v>40</v>
      </c>
      <c r="AB321" s="36" t="s">
        <v>43</v>
      </c>
      <c r="AC321" s="72">
        <v>200</v>
      </c>
      <c r="AD321" s="54">
        <v>180</v>
      </c>
      <c r="AE321" s="54">
        <v>180</v>
      </c>
      <c r="AF321" s="54">
        <v>165</v>
      </c>
      <c r="AG321" s="54">
        <v>140</v>
      </c>
      <c r="AH321" s="54" t="s">
        <v>42</v>
      </c>
      <c r="AI321" s="54" t="s">
        <v>43</v>
      </c>
      <c r="AJ321" s="83" t="s">
        <v>43</v>
      </c>
    </row>
    <row r="322" s="17" customFormat="1" customHeight="1" spans="1:36">
      <c r="A322" s="29" t="s">
        <v>70</v>
      </c>
      <c r="B322" s="30" t="s">
        <v>1214</v>
      </c>
      <c r="C322" s="28" t="s">
        <v>1215</v>
      </c>
      <c r="D322" s="30" t="s">
        <v>378</v>
      </c>
      <c r="E322" s="31" t="s">
        <v>43</v>
      </c>
      <c r="F322" s="31" t="s">
        <v>43</v>
      </c>
      <c r="G322" s="30" t="s">
        <v>40</v>
      </c>
      <c r="H322" s="31" t="s">
        <v>43</v>
      </c>
      <c r="I322" s="37">
        <v>653</v>
      </c>
      <c r="J322" s="37">
        <v>587</v>
      </c>
      <c r="K322" s="36">
        <v>550</v>
      </c>
      <c r="L322" s="36"/>
      <c r="M322" s="36"/>
      <c r="N322" s="41">
        <f>N315*0.3</f>
        <v>615</v>
      </c>
      <c r="O322" s="41">
        <v>580</v>
      </c>
      <c r="P322" s="41">
        <f>P315*0.3</f>
        <v>495</v>
      </c>
      <c r="Q322" s="30" t="s">
        <v>42</v>
      </c>
      <c r="R322" s="30" t="s">
        <v>43</v>
      </c>
      <c r="S322" s="76" t="s">
        <v>43</v>
      </c>
      <c r="T322" s="36"/>
      <c r="U322" s="31" t="s">
        <v>384</v>
      </c>
      <c r="V322" s="30" t="s">
        <v>1216</v>
      </c>
      <c r="W322" s="30">
        <v>33020101901</v>
      </c>
      <c r="X322" s="30" t="s">
        <v>1217</v>
      </c>
      <c r="Y322" s="30"/>
      <c r="Z322" s="30"/>
      <c r="AA322" s="30" t="s">
        <v>40</v>
      </c>
      <c r="AB322" s="30" t="s">
        <v>43</v>
      </c>
      <c r="AC322" s="51">
        <v>2810</v>
      </c>
      <c r="AD322" s="51">
        <v>2520</v>
      </c>
      <c r="AE322" s="57">
        <v>2600</v>
      </c>
      <c r="AF322" s="57">
        <v>2495</v>
      </c>
      <c r="AG322" s="57">
        <v>2120</v>
      </c>
      <c r="AH322" s="82" t="s">
        <v>42</v>
      </c>
      <c r="AI322" s="82" t="s">
        <v>43</v>
      </c>
      <c r="AJ322" s="76" t="s">
        <v>43</v>
      </c>
    </row>
    <row r="323" s="17" customFormat="1" customHeight="1" spans="1:36">
      <c r="A323" s="29"/>
      <c r="B323" s="30"/>
      <c r="C323" s="28" t="s">
        <v>1215</v>
      </c>
      <c r="D323" s="30"/>
      <c r="E323" s="31"/>
      <c r="F323" s="31"/>
      <c r="G323" s="30"/>
      <c r="H323" s="31"/>
      <c r="I323" s="37"/>
      <c r="J323" s="37"/>
      <c r="K323" s="36"/>
      <c r="L323" s="36"/>
      <c r="M323" s="36"/>
      <c r="N323" s="41"/>
      <c r="O323" s="41"/>
      <c r="P323" s="41"/>
      <c r="Q323" s="30"/>
      <c r="R323" s="30"/>
      <c r="S323" s="76"/>
      <c r="T323" s="36"/>
      <c r="U323" s="31"/>
      <c r="V323" s="30" t="s">
        <v>1218</v>
      </c>
      <c r="W323" s="30">
        <v>33020101903</v>
      </c>
      <c r="X323" s="30" t="s">
        <v>1219</v>
      </c>
      <c r="Y323" s="30"/>
      <c r="Z323" s="30"/>
      <c r="AA323" s="30" t="s">
        <v>40</v>
      </c>
      <c r="AB323" s="30" t="s">
        <v>43</v>
      </c>
      <c r="AC323" s="51">
        <v>3610</v>
      </c>
      <c r="AD323" s="51">
        <v>3240</v>
      </c>
      <c r="AE323" s="57">
        <v>2975</v>
      </c>
      <c r="AF323" s="57">
        <v>2855</v>
      </c>
      <c r="AG323" s="57">
        <v>2425</v>
      </c>
      <c r="AH323" s="82" t="s">
        <v>42</v>
      </c>
      <c r="AI323" s="82" t="s">
        <v>43</v>
      </c>
      <c r="AJ323" s="76" t="s">
        <v>43</v>
      </c>
    </row>
    <row r="324" s="17" customFormat="1" customHeight="1" spans="1:36">
      <c r="A324" s="29"/>
      <c r="B324" s="30"/>
      <c r="C324" s="28" t="s">
        <v>1215</v>
      </c>
      <c r="D324" s="30"/>
      <c r="E324" s="31"/>
      <c r="F324" s="31"/>
      <c r="G324" s="30"/>
      <c r="H324" s="31"/>
      <c r="I324" s="37"/>
      <c r="J324" s="37"/>
      <c r="K324" s="36"/>
      <c r="L324" s="36"/>
      <c r="M324" s="36"/>
      <c r="N324" s="41"/>
      <c r="O324" s="41"/>
      <c r="P324" s="41"/>
      <c r="Q324" s="30"/>
      <c r="R324" s="30"/>
      <c r="S324" s="76"/>
      <c r="T324" s="36"/>
      <c r="U324" s="31"/>
      <c r="V324" s="46" t="s">
        <v>1220</v>
      </c>
      <c r="W324" s="46">
        <v>33020401201</v>
      </c>
      <c r="X324" s="48" t="s">
        <v>1221</v>
      </c>
      <c r="Y324" s="46"/>
      <c r="Z324" s="46"/>
      <c r="AA324" s="46" t="s">
        <v>40</v>
      </c>
      <c r="AB324" s="30" t="s">
        <v>43</v>
      </c>
      <c r="AC324" s="52">
        <v>2105</v>
      </c>
      <c r="AD324" s="51">
        <v>1900</v>
      </c>
      <c r="AE324" s="57">
        <v>1950</v>
      </c>
      <c r="AF324" s="57">
        <v>1870</v>
      </c>
      <c r="AG324" s="57">
        <v>1590</v>
      </c>
      <c r="AH324" s="82" t="s">
        <v>42</v>
      </c>
      <c r="AI324" s="82" t="s">
        <v>43</v>
      </c>
      <c r="AJ324" s="76" t="s">
        <v>43</v>
      </c>
    </row>
    <row r="325" s="17" customFormat="1" customHeight="1" spans="1:36">
      <c r="A325" s="29"/>
      <c r="B325" s="30"/>
      <c r="C325" s="28" t="s">
        <v>1215</v>
      </c>
      <c r="D325" s="30"/>
      <c r="E325" s="31"/>
      <c r="F325" s="31"/>
      <c r="G325" s="30"/>
      <c r="H325" s="31"/>
      <c r="I325" s="37"/>
      <c r="J325" s="37"/>
      <c r="K325" s="36"/>
      <c r="L325" s="36"/>
      <c r="M325" s="36"/>
      <c r="N325" s="41"/>
      <c r="O325" s="41"/>
      <c r="P325" s="41"/>
      <c r="Q325" s="30"/>
      <c r="R325" s="30"/>
      <c r="S325" s="76"/>
      <c r="T325" s="36"/>
      <c r="U325" s="31"/>
      <c r="V325" s="46" t="s">
        <v>1222</v>
      </c>
      <c r="W325" s="46">
        <v>33020401203</v>
      </c>
      <c r="X325" s="48" t="s">
        <v>1223</v>
      </c>
      <c r="Y325" s="46"/>
      <c r="Z325" s="46"/>
      <c r="AA325" s="46" t="s">
        <v>40</v>
      </c>
      <c r="AB325" s="30" t="s">
        <v>43</v>
      </c>
      <c r="AC325" s="52">
        <v>2905</v>
      </c>
      <c r="AD325" s="51">
        <v>2620</v>
      </c>
      <c r="AE325" s="57">
        <v>2325</v>
      </c>
      <c r="AF325" s="57">
        <v>2230</v>
      </c>
      <c r="AG325" s="57">
        <v>1895</v>
      </c>
      <c r="AH325" s="82" t="s">
        <v>42</v>
      </c>
      <c r="AI325" s="82" t="s">
        <v>43</v>
      </c>
      <c r="AJ325" s="76" t="s">
        <v>43</v>
      </c>
    </row>
    <row r="326" s="17" customFormat="1" customHeight="1" spans="1:36">
      <c r="A326" s="29"/>
      <c r="B326" s="30"/>
      <c r="C326" s="28" t="s">
        <v>1215</v>
      </c>
      <c r="D326" s="30"/>
      <c r="E326" s="31"/>
      <c r="F326" s="31"/>
      <c r="G326" s="30"/>
      <c r="H326" s="31"/>
      <c r="I326" s="37"/>
      <c r="J326" s="37"/>
      <c r="K326" s="36"/>
      <c r="L326" s="36"/>
      <c r="M326" s="36"/>
      <c r="N326" s="41"/>
      <c r="O326" s="41"/>
      <c r="P326" s="41"/>
      <c r="Q326" s="30"/>
      <c r="R326" s="30"/>
      <c r="S326" s="76"/>
      <c r="T326" s="36"/>
      <c r="U326" s="31"/>
      <c r="V326" s="46" t="s">
        <v>1224</v>
      </c>
      <c r="W326" s="46">
        <v>33020401301</v>
      </c>
      <c r="X326" s="48" t="s">
        <v>1225</v>
      </c>
      <c r="Y326" s="46"/>
      <c r="Z326" s="46"/>
      <c r="AA326" s="46" t="s">
        <v>40</v>
      </c>
      <c r="AB326" s="30" t="s">
        <v>43</v>
      </c>
      <c r="AC326" s="52">
        <v>2990</v>
      </c>
      <c r="AD326" s="51">
        <v>2705</v>
      </c>
      <c r="AE326" s="57">
        <v>2640</v>
      </c>
      <c r="AF326" s="57">
        <v>2380</v>
      </c>
      <c r="AG326" s="57">
        <v>2025</v>
      </c>
      <c r="AH326" s="82" t="s">
        <v>42</v>
      </c>
      <c r="AI326" s="82" t="s">
        <v>43</v>
      </c>
      <c r="AJ326" s="76" t="s">
        <v>43</v>
      </c>
    </row>
    <row r="327" s="17" customFormat="1" customHeight="1" spans="1:36">
      <c r="A327" s="29"/>
      <c r="B327" s="30"/>
      <c r="C327" s="28" t="s">
        <v>1215</v>
      </c>
      <c r="D327" s="30"/>
      <c r="E327" s="31"/>
      <c r="F327" s="31"/>
      <c r="G327" s="30"/>
      <c r="H327" s="31"/>
      <c r="I327" s="37"/>
      <c r="J327" s="37"/>
      <c r="K327" s="36"/>
      <c r="L327" s="36"/>
      <c r="M327" s="36"/>
      <c r="N327" s="41"/>
      <c r="O327" s="41"/>
      <c r="P327" s="41"/>
      <c r="Q327" s="30"/>
      <c r="R327" s="30"/>
      <c r="S327" s="76"/>
      <c r="T327" s="36"/>
      <c r="U327" s="31"/>
      <c r="V327" s="46" t="s">
        <v>1226</v>
      </c>
      <c r="W327" s="46">
        <v>33020401303</v>
      </c>
      <c r="X327" s="48" t="s">
        <v>1227</v>
      </c>
      <c r="Y327" s="46"/>
      <c r="Z327" s="46"/>
      <c r="AA327" s="46" t="s">
        <v>40</v>
      </c>
      <c r="AB327" s="30" t="s">
        <v>43</v>
      </c>
      <c r="AC327" s="52">
        <v>3790</v>
      </c>
      <c r="AD327" s="51">
        <v>3425</v>
      </c>
      <c r="AE327" s="57">
        <v>3015</v>
      </c>
      <c r="AF327" s="57">
        <v>2740</v>
      </c>
      <c r="AG327" s="57">
        <v>2330</v>
      </c>
      <c r="AH327" s="82" t="s">
        <v>42</v>
      </c>
      <c r="AI327" s="82" t="s">
        <v>43</v>
      </c>
      <c r="AJ327" s="76" t="s">
        <v>43</v>
      </c>
    </row>
    <row r="328" s="17" customFormat="1" customHeight="1" spans="1:36">
      <c r="A328" s="29"/>
      <c r="B328" s="30"/>
      <c r="C328" s="28" t="s">
        <v>1215</v>
      </c>
      <c r="D328" s="30"/>
      <c r="E328" s="31"/>
      <c r="F328" s="31"/>
      <c r="G328" s="30"/>
      <c r="H328" s="31"/>
      <c r="I328" s="37"/>
      <c r="J328" s="37"/>
      <c r="K328" s="36"/>
      <c r="L328" s="36"/>
      <c r="M328" s="36"/>
      <c r="N328" s="41"/>
      <c r="O328" s="41"/>
      <c r="P328" s="41"/>
      <c r="Q328" s="30"/>
      <c r="R328" s="30"/>
      <c r="S328" s="76"/>
      <c r="T328" s="36"/>
      <c r="U328" s="31"/>
      <c r="V328" s="69" t="s">
        <v>1228</v>
      </c>
      <c r="W328" s="69">
        <v>31010001605</v>
      </c>
      <c r="X328" s="70" t="s">
        <v>1229</v>
      </c>
      <c r="Y328" s="71"/>
      <c r="Z328" s="69"/>
      <c r="AA328" s="69" t="s">
        <v>40</v>
      </c>
      <c r="AB328" s="36" t="s">
        <v>43</v>
      </c>
      <c r="AC328" s="72">
        <v>260</v>
      </c>
      <c r="AD328" s="54">
        <v>234</v>
      </c>
      <c r="AE328" s="54">
        <v>235</v>
      </c>
      <c r="AF328" s="54">
        <v>215</v>
      </c>
      <c r="AG328" s="54">
        <v>180</v>
      </c>
      <c r="AH328" s="54" t="s">
        <v>42</v>
      </c>
      <c r="AI328" s="54" t="s">
        <v>43</v>
      </c>
      <c r="AJ328" s="83" t="s">
        <v>43</v>
      </c>
    </row>
    <row r="329" s="17" customFormat="1" ht="39" customHeight="1" spans="1:36">
      <c r="A329" s="29" t="s">
        <v>70</v>
      </c>
      <c r="B329" s="30" t="s">
        <v>1230</v>
      </c>
      <c r="C329" s="30" t="s">
        <v>1231</v>
      </c>
      <c r="D329" s="30" t="s">
        <v>378</v>
      </c>
      <c r="E329" s="31" t="s">
        <v>43</v>
      </c>
      <c r="F329" s="31" t="s">
        <v>43</v>
      </c>
      <c r="G329" s="30" t="s">
        <v>40</v>
      </c>
      <c r="H329" s="31" t="s">
        <v>146</v>
      </c>
      <c r="I329" s="37">
        <v>2175</v>
      </c>
      <c r="J329" s="37">
        <v>1958</v>
      </c>
      <c r="K329" s="36"/>
      <c r="L329" s="36"/>
      <c r="M329" s="36"/>
      <c r="N329" s="41">
        <f>N315</f>
        <v>2050</v>
      </c>
      <c r="O329" s="41">
        <f>O315</f>
        <v>1940</v>
      </c>
      <c r="P329" s="41">
        <f>P315</f>
        <v>1650</v>
      </c>
      <c r="Q329" s="30" t="s">
        <v>42</v>
      </c>
      <c r="R329" s="30" t="s">
        <v>43</v>
      </c>
      <c r="S329" s="76" t="s">
        <v>43</v>
      </c>
      <c r="T329" s="36"/>
      <c r="U329" s="31" t="s">
        <v>1048</v>
      </c>
      <c r="V329" s="30"/>
      <c r="W329" s="30"/>
      <c r="X329" s="30"/>
      <c r="Y329" s="30"/>
      <c r="Z329" s="30"/>
      <c r="AA329" s="30"/>
      <c r="AB329" s="30"/>
      <c r="AC329" s="51"/>
      <c r="AD329" s="51"/>
      <c r="AE329" s="57"/>
      <c r="AF329" s="57"/>
      <c r="AG329" s="57"/>
      <c r="AH329" s="82"/>
      <c r="AI329" s="82"/>
      <c r="AJ329" s="76"/>
    </row>
    <row r="330" s="17" customFormat="1" ht="83" customHeight="1" spans="1:36">
      <c r="A330" s="29">
        <v>60</v>
      </c>
      <c r="B330" s="30" t="s">
        <v>1232</v>
      </c>
      <c r="C330" s="30" t="s">
        <v>1233</v>
      </c>
      <c r="D330" s="30" t="s">
        <v>378</v>
      </c>
      <c r="E330" s="31" t="s">
        <v>1234</v>
      </c>
      <c r="F330" s="31" t="s">
        <v>548</v>
      </c>
      <c r="G330" s="30" t="s">
        <v>40</v>
      </c>
      <c r="H330" s="31" t="s">
        <v>146</v>
      </c>
      <c r="I330" s="37">
        <v>1088</v>
      </c>
      <c r="J330" s="37">
        <v>979</v>
      </c>
      <c r="K330" s="36"/>
      <c r="L330" s="36"/>
      <c r="M330" s="36"/>
      <c r="N330" s="41">
        <f>N315/2</f>
        <v>1025</v>
      </c>
      <c r="O330" s="41">
        <f>O315/2</f>
        <v>970</v>
      </c>
      <c r="P330" s="41">
        <f>P315/2</f>
        <v>825</v>
      </c>
      <c r="Q330" s="30" t="s">
        <v>100</v>
      </c>
      <c r="R330" s="30" t="s">
        <v>43</v>
      </c>
      <c r="S330" s="76" t="s">
        <v>43</v>
      </c>
      <c r="T330" s="36" t="s">
        <v>236</v>
      </c>
      <c r="U330" s="31" t="s">
        <v>1235</v>
      </c>
      <c r="V330" s="30"/>
      <c r="W330" s="30"/>
      <c r="X330" s="30"/>
      <c r="Y330" s="30"/>
      <c r="Z330" s="30"/>
      <c r="AA330" s="30"/>
      <c r="AB330" s="30"/>
      <c r="AC330" s="51"/>
      <c r="AD330" s="51"/>
      <c r="AE330" s="57"/>
      <c r="AF330" s="57"/>
      <c r="AG330" s="57"/>
      <c r="AH330" s="82"/>
      <c r="AI330" s="82"/>
      <c r="AJ330" s="76"/>
    </row>
    <row r="331" s="17" customFormat="1" ht="44" customHeight="1" spans="1:36">
      <c r="A331" s="29" t="s">
        <v>70</v>
      </c>
      <c r="B331" s="30" t="s">
        <v>1236</v>
      </c>
      <c r="C331" s="30" t="s">
        <v>1237</v>
      </c>
      <c r="D331" s="30" t="s">
        <v>378</v>
      </c>
      <c r="E331" s="31" t="s">
        <v>43</v>
      </c>
      <c r="F331" s="31" t="s">
        <v>43</v>
      </c>
      <c r="G331" s="30" t="s">
        <v>40</v>
      </c>
      <c r="H331" s="31" t="s">
        <v>43</v>
      </c>
      <c r="I331" s="37">
        <v>326</v>
      </c>
      <c r="J331" s="37">
        <v>294</v>
      </c>
      <c r="K331" s="36"/>
      <c r="L331" s="36"/>
      <c r="M331" s="36"/>
      <c r="N331" s="41">
        <v>310</v>
      </c>
      <c r="O331" s="41">
        <v>290</v>
      </c>
      <c r="P331" s="41">
        <v>250</v>
      </c>
      <c r="Q331" s="30" t="s">
        <v>100</v>
      </c>
      <c r="R331" s="30" t="s">
        <v>43</v>
      </c>
      <c r="S331" s="76" t="s">
        <v>43</v>
      </c>
      <c r="T331" s="36"/>
      <c r="U331" s="31" t="s">
        <v>384</v>
      </c>
      <c r="V331" s="30"/>
      <c r="W331" s="30"/>
      <c r="X331" s="30"/>
      <c r="Y331" s="30"/>
      <c r="Z331" s="30"/>
      <c r="AA331" s="30"/>
      <c r="AB331" s="30"/>
      <c r="AC331" s="51"/>
      <c r="AD331" s="51"/>
      <c r="AE331" s="57"/>
      <c r="AF331" s="57"/>
      <c r="AG331" s="57"/>
      <c r="AH331" s="82"/>
      <c r="AI331" s="82"/>
      <c r="AJ331" s="76"/>
    </row>
    <row r="332" s="17" customFormat="1" ht="65" customHeight="1" spans="1:36">
      <c r="A332" s="29">
        <v>61</v>
      </c>
      <c r="B332" s="30" t="s">
        <v>1238</v>
      </c>
      <c r="C332" s="30" t="s">
        <v>1239</v>
      </c>
      <c r="D332" s="30" t="s">
        <v>378</v>
      </c>
      <c r="E332" s="31" t="s">
        <v>1240</v>
      </c>
      <c r="F332" s="31" t="s">
        <v>1241</v>
      </c>
      <c r="G332" s="30" t="s">
        <v>40</v>
      </c>
      <c r="H332" s="31" t="s">
        <v>1242</v>
      </c>
      <c r="I332" s="37">
        <v>1220</v>
      </c>
      <c r="J332" s="37">
        <v>1098</v>
      </c>
      <c r="K332" s="36">
        <v>1125</v>
      </c>
      <c r="L332" s="36">
        <v>1080</v>
      </c>
      <c r="M332" s="36">
        <v>918</v>
      </c>
      <c r="N332" s="41">
        <v>1125</v>
      </c>
      <c r="O332" s="41">
        <v>1080</v>
      </c>
      <c r="P332" s="41">
        <v>918</v>
      </c>
      <c r="Q332" s="30" t="s">
        <v>42</v>
      </c>
      <c r="R332" s="30" t="s">
        <v>43</v>
      </c>
      <c r="S332" s="76" t="s">
        <v>43</v>
      </c>
      <c r="T332" s="36" t="s">
        <v>153</v>
      </c>
      <c r="U332" s="31" t="s">
        <v>153</v>
      </c>
      <c r="V332" s="30" t="s">
        <v>1243</v>
      </c>
      <c r="W332" s="30">
        <v>330201018</v>
      </c>
      <c r="X332" s="30" t="s">
        <v>1244</v>
      </c>
      <c r="Y332" s="30" t="s">
        <v>1245</v>
      </c>
      <c r="Z332" s="30" t="s">
        <v>1246</v>
      </c>
      <c r="AA332" s="30" t="s">
        <v>40</v>
      </c>
      <c r="AB332" s="30" t="s">
        <v>43</v>
      </c>
      <c r="AC332" s="51">
        <v>1220</v>
      </c>
      <c r="AD332" s="51">
        <v>1090</v>
      </c>
      <c r="AE332" s="57">
        <v>1125</v>
      </c>
      <c r="AF332" s="57">
        <v>1080</v>
      </c>
      <c r="AG332" s="57">
        <v>918</v>
      </c>
      <c r="AH332" s="82" t="s">
        <v>42</v>
      </c>
      <c r="AI332" s="82" t="s">
        <v>43</v>
      </c>
      <c r="AJ332" s="76" t="s">
        <v>43</v>
      </c>
    </row>
    <row r="333" s="17" customFormat="1" ht="60" customHeight="1" spans="1:36">
      <c r="A333" s="29" t="s">
        <v>70</v>
      </c>
      <c r="B333" s="30" t="s">
        <v>1247</v>
      </c>
      <c r="C333" s="30" t="s">
        <v>1248</v>
      </c>
      <c r="D333" s="30" t="s">
        <v>378</v>
      </c>
      <c r="E333" s="31" t="s">
        <v>43</v>
      </c>
      <c r="F333" s="31" t="s">
        <v>43</v>
      </c>
      <c r="G333" s="30" t="s">
        <v>40</v>
      </c>
      <c r="H333" s="31" t="s">
        <v>43</v>
      </c>
      <c r="I333" s="37">
        <v>366</v>
      </c>
      <c r="J333" s="37">
        <v>329</v>
      </c>
      <c r="K333" s="36"/>
      <c r="L333" s="36"/>
      <c r="M333" s="36"/>
      <c r="N333" s="41">
        <v>340</v>
      </c>
      <c r="O333" s="41">
        <v>325</v>
      </c>
      <c r="P333" s="41">
        <v>275</v>
      </c>
      <c r="Q333" s="30" t="s">
        <v>42</v>
      </c>
      <c r="R333" s="30" t="s">
        <v>43</v>
      </c>
      <c r="S333" s="76" t="s">
        <v>43</v>
      </c>
      <c r="T333" s="36"/>
      <c r="U333" s="31" t="s">
        <v>384</v>
      </c>
      <c r="V333" s="30" t="s">
        <v>1249</v>
      </c>
      <c r="W333" s="30">
        <v>33020101801</v>
      </c>
      <c r="X333" s="30" t="s">
        <v>1250</v>
      </c>
      <c r="Y333" s="30"/>
      <c r="Z333" s="30"/>
      <c r="AA333" s="30" t="s">
        <v>40</v>
      </c>
      <c r="AB333" s="30"/>
      <c r="AC333" s="51">
        <v>1585</v>
      </c>
      <c r="AD333" s="51">
        <v>1415</v>
      </c>
      <c r="AE333" s="57">
        <v>1465</v>
      </c>
      <c r="AF333" s="57">
        <v>1405</v>
      </c>
      <c r="AG333" s="57">
        <v>1195</v>
      </c>
      <c r="AH333" s="82" t="s">
        <v>42</v>
      </c>
      <c r="AI333" s="82" t="s">
        <v>43</v>
      </c>
      <c r="AJ333" s="76" t="s">
        <v>43</v>
      </c>
    </row>
    <row r="334" s="17" customFormat="1" ht="64" customHeight="1" spans="1:36">
      <c r="A334" s="29">
        <v>62</v>
      </c>
      <c r="B334" s="30" t="s">
        <v>1251</v>
      </c>
      <c r="C334" s="30" t="s">
        <v>1252</v>
      </c>
      <c r="D334" s="30" t="s">
        <v>378</v>
      </c>
      <c r="E334" s="31" t="s">
        <v>1253</v>
      </c>
      <c r="F334" s="31" t="s">
        <v>548</v>
      </c>
      <c r="G334" s="30" t="s">
        <v>40</v>
      </c>
      <c r="H334" s="31" t="s">
        <v>146</v>
      </c>
      <c r="I334" s="37">
        <v>610</v>
      </c>
      <c r="J334" s="37">
        <v>549</v>
      </c>
      <c r="K334" s="36"/>
      <c r="L334" s="36"/>
      <c r="M334" s="36"/>
      <c r="N334" s="41">
        <v>563</v>
      </c>
      <c r="O334" s="41">
        <f>O332/2</f>
        <v>540</v>
      </c>
      <c r="P334" s="41">
        <f>P332/2</f>
        <v>459</v>
      </c>
      <c r="Q334" s="30" t="s">
        <v>100</v>
      </c>
      <c r="R334" s="30" t="s">
        <v>43</v>
      </c>
      <c r="S334" s="76" t="s">
        <v>43</v>
      </c>
      <c r="T334" s="36" t="s">
        <v>236</v>
      </c>
      <c r="U334" s="31" t="s">
        <v>591</v>
      </c>
      <c r="V334" s="30"/>
      <c r="W334" s="30"/>
      <c r="X334" s="30"/>
      <c r="Y334" s="30"/>
      <c r="Z334" s="30"/>
      <c r="AA334" s="30"/>
      <c r="AB334" s="30"/>
      <c r="AC334" s="51"/>
      <c r="AD334" s="51"/>
      <c r="AE334" s="57"/>
      <c r="AF334" s="57"/>
      <c r="AG334" s="57"/>
      <c r="AH334" s="82"/>
      <c r="AI334" s="82"/>
      <c r="AJ334" s="76"/>
    </row>
    <row r="335" s="17" customFormat="1" ht="66" customHeight="1" spans="1:36">
      <c r="A335" s="29" t="s">
        <v>70</v>
      </c>
      <c r="B335" s="30" t="s">
        <v>1254</v>
      </c>
      <c r="C335" s="30" t="s">
        <v>1255</v>
      </c>
      <c r="D335" s="30" t="s">
        <v>378</v>
      </c>
      <c r="E335" s="31" t="s">
        <v>43</v>
      </c>
      <c r="F335" s="31" t="s">
        <v>43</v>
      </c>
      <c r="G335" s="30" t="s">
        <v>40</v>
      </c>
      <c r="H335" s="31" t="s">
        <v>43</v>
      </c>
      <c r="I335" s="37">
        <v>183</v>
      </c>
      <c r="J335" s="37">
        <v>165</v>
      </c>
      <c r="K335" s="36"/>
      <c r="L335" s="36"/>
      <c r="M335" s="36"/>
      <c r="N335" s="41">
        <v>170</v>
      </c>
      <c r="O335" s="41">
        <v>160</v>
      </c>
      <c r="P335" s="41">
        <v>140</v>
      </c>
      <c r="Q335" s="30" t="s">
        <v>100</v>
      </c>
      <c r="R335" s="30" t="s">
        <v>43</v>
      </c>
      <c r="S335" s="76" t="s">
        <v>43</v>
      </c>
      <c r="T335" s="36"/>
      <c r="U335" s="31" t="s">
        <v>384</v>
      </c>
      <c r="V335" s="30"/>
      <c r="W335" s="30"/>
      <c r="X335" s="30"/>
      <c r="Y335" s="30"/>
      <c r="Z335" s="30"/>
      <c r="AA335" s="30"/>
      <c r="AB335" s="30"/>
      <c r="AC335" s="51"/>
      <c r="AD335" s="51"/>
      <c r="AE335" s="57"/>
      <c r="AF335" s="57"/>
      <c r="AG335" s="57"/>
      <c r="AH335" s="82"/>
      <c r="AI335" s="82"/>
      <c r="AJ335" s="76"/>
    </row>
    <row r="336" s="17" customFormat="1" ht="51" customHeight="1" spans="1:36">
      <c r="A336" s="29">
        <v>63</v>
      </c>
      <c r="B336" s="30" t="s">
        <v>1256</v>
      </c>
      <c r="C336" s="30" t="s">
        <v>1257</v>
      </c>
      <c r="D336" s="30" t="s">
        <v>378</v>
      </c>
      <c r="E336" s="31" t="s">
        <v>1258</v>
      </c>
      <c r="F336" s="31" t="s">
        <v>1259</v>
      </c>
      <c r="G336" s="30" t="s">
        <v>40</v>
      </c>
      <c r="H336" s="31" t="s">
        <v>146</v>
      </c>
      <c r="I336" s="37">
        <v>2430</v>
      </c>
      <c r="J336" s="37">
        <v>2187</v>
      </c>
      <c r="K336" s="36">
        <v>2250</v>
      </c>
      <c r="L336" s="36">
        <v>2160</v>
      </c>
      <c r="M336" s="36">
        <v>1836</v>
      </c>
      <c r="N336" s="41">
        <v>2250</v>
      </c>
      <c r="O336" s="41">
        <v>2160</v>
      </c>
      <c r="P336" s="41">
        <v>1836</v>
      </c>
      <c r="Q336" s="30" t="s">
        <v>42</v>
      </c>
      <c r="R336" s="30" t="s">
        <v>43</v>
      </c>
      <c r="S336" s="76" t="s">
        <v>43</v>
      </c>
      <c r="T336" s="36" t="s">
        <v>153</v>
      </c>
      <c r="U336" s="31" t="s">
        <v>153</v>
      </c>
      <c r="V336" s="30" t="s">
        <v>1260</v>
      </c>
      <c r="W336" s="30">
        <v>330204006</v>
      </c>
      <c r="X336" s="30" t="s">
        <v>1261</v>
      </c>
      <c r="Y336" s="30" t="s">
        <v>1262</v>
      </c>
      <c r="Z336" s="30"/>
      <c r="AA336" s="30" t="s">
        <v>40</v>
      </c>
      <c r="AB336" s="30" t="s">
        <v>43</v>
      </c>
      <c r="AC336" s="51">
        <v>2430</v>
      </c>
      <c r="AD336" s="51">
        <v>2190</v>
      </c>
      <c r="AE336" s="57">
        <v>2250</v>
      </c>
      <c r="AF336" s="57">
        <v>2160</v>
      </c>
      <c r="AG336" s="57">
        <v>1836</v>
      </c>
      <c r="AH336" s="82" t="s">
        <v>42</v>
      </c>
      <c r="AI336" s="82" t="s">
        <v>43</v>
      </c>
      <c r="AJ336" s="76" t="s">
        <v>43</v>
      </c>
    </row>
    <row r="337" s="17" customFormat="1" ht="66" customHeight="1" spans="1:36">
      <c r="A337" s="29" t="s">
        <v>70</v>
      </c>
      <c r="B337" s="30" t="s">
        <v>1263</v>
      </c>
      <c r="C337" s="30" t="s">
        <v>1264</v>
      </c>
      <c r="D337" s="30" t="s">
        <v>378</v>
      </c>
      <c r="E337" s="31" t="s">
        <v>43</v>
      </c>
      <c r="F337" s="31" t="s">
        <v>43</v>
      </c>
      <c r="G337" s="30" t="s">
        <v>40</v>
      </c>
      <c r="H337" s="31" t="s">
        <v>43</v>
      </c>
      <c r="I337" s="37">
        <v>729</v>
      </c>
      <c r="J337" s="37">
        <v>656</v>
      </c>
      <c r="K337" s="36"/>
      <c r="L337" s="36"/>
      <c r="M337" s="36"/>
      <c r="N337" s="41">
        <f>N336*0.3</f>
        <v>675</v>
      </c>
      <c r="O337" s="41">
        <v>650</v>
      </c>
      <c r="P337" s="41">
        <v>550</v>
      </c>
      <c r="Q337" s="30" t="s">
        <v>42</v>
      </c>
      <c r="R337" s="30" t="s">
        <v>43</v>
      </c>
      <c r="S337" s="76" t="s">
        <v>43</v>
      </c>
      <c r="T337" s="36"/>
      <c r="U337" s="31" t="s">
        <v>384</v>
      </c>
      <c r="V337" s="30" t="s">
        <v>1265</v>
      </c>
      <c r="W337" s="30">
        <v>33020400601</v>
      </c>
      <c r="X337" s="30" t="s">
        <v>1266</v>
      </c>
      <c r="Y337" s="30"/>
      <c r="Z337" s="30"/>
      <c r="AA337" s="30" t="s">
        <v>40</v>
      </c>
      <c r="AB337" s="30" t="s">
        <v>43</v>
      </c>
      <c r="AC337" s="51">
        <v>3160</v>
      </c>
      <c r="AD337" s="51">
        <v>2845</v>
      </c>
      <c r="AE337" s="57">
        <v>2925</v>
      </c>
      <c r="AF337" s="57">
        <v>2810</v>
      </c>
      <c r="AG337" s="57">
        <v>2390</v>
      </c>
      <c r="AH337" s="82" t="s">
        <v>42</v>
      </c>
      <c r="AI337" s="82" t="s">
        <v>43</v>
      </c>
      <c r="AJ337" s="76" t="s">
        <v>43</v>
      </c>
    </row>
    <row r="338" s="17" customFormat="1" ht="70" customHeight="1" spans="1:36">
      <c r="A338" s="29">
        <v>64</v>
      </c>
      <c r="B338" s="30" t="s">
        <v>1267</v>
      </c>
      <c r="C338" s="30" t="s">
        <v>1268</v>
      </c>
      <c r="D338" s="30" t="s">
        <v>378</v>
      </c>
      <c r="E338" s="31" t="s">
        <v>1269</v>
      </c>
      <c r="F338" s="31" t="s">
        <v>1270</v>
      </c>
      <c r="G338" s="30" t="s">
        <v>40</v>
      </c>
      <c r="H338" s="31" t="s">
        <v>43</v>
      </c>
      <c r="I338" s="37">
        <v>3460</v>
      </c>
      <c r="J338" s="37">
        <v>3114</v>
      </c>
      <c r="K338" s="36">
        <v>3040</v>
      </c>
      <c r="L338" s="36"/>
      <c r="M338" s="36"/>
      <c r="N338" s="41">
        <f>N290</f>
        <v>3150</v>
      </c>
      <c r="O338" s="41">
        <f>O290</f>
        <v>2850</v>
      </c>
      <c r="P338" s="41">
        <f>P290</f>
        <v>2450</v>
      </c>
      <c r="Q338" s="30" t="s">
        <v>42</v>
      </c>
      <c r="R338" s="30" t="s">
        <v>43</v>
      </c>
      <c r="S338" s="76" t="s">
        <v>43</v>
      </c>
      <c r="T338" s="36" t="s">
        <v>113</v>
      </c>
      <c r="U338" s="31" t="s">
        <v>1271</v>
      </c>
      <c r="V338" s="30" t="s">
        <v>1272</v>
      </c>
      <c r="W338" s="30">
        <v>330204002</v>
      </c>
      <c r="X338" s="30" t="s">
        <v>1273</v>
      </c>
      <c r="Y338" s="30"/>
      <c r="Z338" s="30" t="s">
        <v>1201</v>
      </c>
      <c r="AA338" s="30" t="s">
        <v>40</v>
      </c>
      <c r="AB338" s="30" t="s">
        <v>43</v>
      </c>
      <c r="AC338" s="51">
        <v>3460</v>
      </c>
      <c r="AD338" s="51">
        <v>3110</v>
      </c>
      <c r="AE338" s="57">
        <v>3040</v>
      </c>
      <c r="AF338" s="57">
        <v>2740</v>
      </c>
      <c r="AG338" s="57">
        <v>2330</v>
      </c>
      <c r="AH338" s="82" t="s">
        <v>42</v>
      </c>
      <c r="AI338" s="82" t="s">
        <v>43</v>
      </c>
      <c r="AJ338" s="76" t="s">
        <v>43</v>
      </c>
    </row>
    <row r="339" s="17" customFormat="1" ht="45" customHeight="1" spans="1:36">
      <c r="A339" s="29" t="s">
        <v>70</v>
      </c>
      <c r="B339" s="30" t="s">
        <v>1274</v>
      </c>
      <c r="C339" s="30" t="s">
        <v>1275</v>
      </c>
      <c r="D339" s="30" t="s">
        <v>378</v>
      </c>
      <c r="E339" s="31" t="s">
        <v>43</v>
      </c>
      <c r="F339" s="31" t="s">
        <v>43</v>
      </c>
      <c r="G339" s="30" t="s">
        <v>40</v>
      </c>
      <c r="H339" s="31" t="s">
        <v>43</v>
      </c>
      <c r="I339" s="37">
        <v>1038</v>
      </c>
      <c r="J339" s="37">
        <v>934</v>
      </c>
      <c r="K339" s="36"/>
      <c r="L339" s="36"/>
      <c r="M339" s="36"/>
      <c r="N339" s="41">
        <f>N338*0.3</f>
        <v>945</v>
      </c>
      <c r="O339" s="41">
        <f>O338*0.3</f>
        <v>855</v>
      </c>
      <c r="P339" s="41">
        <f>P338*0.3</f>
        <v>735</v>
      </c>
      <c r="Q339" s="30" t="s">
        <v>42</v>
      </c>
      <c r="R339" s="30" t="s">
        <v>43</v>
      </c>
      <c r="S339" s="76" t="s">
        <v>43</v>
      </c>
      <c r="T339" s="36"/>
      <c r="U339" s="31" t="s">
        <v>384</v>
      </c>
      <c r="V339" s="46" t="s">
        <v>1276</v>
      </c>
      <c r="W339" s="46">
        <v>33020400201</v>
      </c>
      <c r="X339" s="48" t="s">
        <v>1277</v>
      </c>
      <c r="Y339" s="46"/>
      <c r="Z339" s="46"/>
      <c r="AA339" s="46" t="s">
        <v>40</v>
      </c>
      <c r="AB339" s="30" t="s">
        <v>43</v>
      </c>
      <c r="AC339" s="52">
        <v>4500</v>
      </c>
      <c r="AD339" s="51">
        <v>4045</v>
      </c>
      <c r="AE339" s="57">
        <v>3950</v>
      </c>
      <c r="AF339" s="57">
        <v>3560</v>
      </c>
      <c r="AG339" s="57">
        <v>3025</v>
      </c>
      <c r="AH339" s="82" t="s">
        <v>42</v>
      </c>
      <c r="AI339" s="82" t="s">
        <v>43</v>
      </c>
      <c r="AJ339" s="76" t="s">
        <v>43</v>
      </c>
    </row>
    <row r="340" s="17" customFormat="1" ht="31" customHeight="1" spans="1:36">
      <c r="A340" s="29">
        <v>65</v>
      </c>
      <c r="B340" s="30" t="s">
        <v>1278</v>
      </c>
      <c r="C340" s="28" t="s">
        <v>1279</v>
      </c>
      <c r="D340" s="30" t="s">
        <v>378</v>
      </c>
      <c r="E340" s="31" t="s">
        <v>1280</v>
      </c>
      <c r="F340" s="31" t="s">
        <v>1281</v>
      </c>
      <c r="G340" s="30" t="s">
        <v>40</v>
      </c>
      <c r="H340" s="31" t="s">
        <v>43</v>
      </c>
      <c r="I340" s="37">
        <v>5200</v>
      </c>
      <c r="J340" s="37">
        <v>4680</v>
      </c>
      <c r="K340" s="36">
        <v>4730</v>
      </c>
      <c r="L340" s="36">
        <v>4260</v>
      </c>
      <c r="M340" s="36"/>
      <c r="N340" s="41">
        <v>4730</v>
      </c>
      <c r="O340" s="41">
        <v>4260</v>
      </c>
      <c r="P340" s="41">
        <v>3620</v>
      </c>
      <c r="Q340" s="30" t="s">
        <v>42</v>
      </c>
      <c r="R340" s="30" t="s">
        <v>43</v>
      </c>
      <c r="S340" s="76" t="s">
        <v>43</v>
      </c>
      <c r="T340" s="36" t="s">
        <v>153</v>
      </c>
      <c r="U340" s="31" t="s">
        <v>153</v>
      </c>
      <c r="V340" s="30" t="s">
        <v>1282</v>
      </c>
      <c r="W340" s="30">
        <v>330204007</v>
      </c>
      <c r="X340" s="30" t="s">
        <v>1283</v>
      </c>
      <c r="Y340" s="30" t="s">
        <v>1284</v>
      </c>
      <c r="Z340" s="30"/>
      <c r="AA340" s="30" t="s">
        <v>40</v>
      </c>
      <c r="AB340" s="30" t="s">
        <v>1285</v>
      </c>
      <c r="AC340" s="51">
        <v>5380</v>
      </c>
      <c r="AD340" s="51">
        <v>4840</v>
      </c>
      <c r="AE340" s="57">
        <v>4730</v>
      </c>
      <c r="AF340" s="57">
        <v>4260</v>
      </c>
      <c r="AG340" s="57">
        <v>3620</v>
      </c>
      <c r="AH340" s="82" t="s">
        <v>42</v>
      </c>
      <c r="AI340" s="82" t="s">
        <v>43</v>
      </c>
      <c r="AJ340" s="76" t="s">
        <v>43</v>
      </c>
    </row>
    <row r="341" s="17" customFormat="1" ht="31" customHeight="1" spans="1:36">
      <c r="A341" s="29"/>
      <c r="B341" s="30"/>
      <c r="C341" s="28" t="s">
        <v>1279</v>
      </c>
      <c r="D341" s="30"/>
      <c r="E341" s="31"/>
      <c r="F341" s="31"/>
      <c r="G341" s="30"/>
      <c r="H341" s="31"/>
      <c r="I341" s="37"/>
      <c r="J341" s="37"/>
      <c r="K341" s="36"/>
      <c r="L341" s="36"/>
      <c r="M341" s="36"/>
      <c r="N341" s="41"/>
      <c r="O341" s="41"/>
      <c r="P341" s="41"/>
      <c r="Q341" s="30"/>
      <c r="R341" s="30"/>
      <c r="S341" s="76"/>
      <c r="T341" s="36"/>
      <c r="U341" s="31"/>
      <c r="V341" s="30" t="s">
        <v>1286</v>
      </c>
      <c r="W341" s="30">
        <v>330204010</v>
      </c>
      <c r="X341" s="30" t="s">
        <v>1287</v>
      </c>
      <c r="Y341" s="30"/>
      <c r="Z341" s="30" t="s">
        <v>765</v>
      </c>
      <c r="AA341" s="30" t="s">
        <v>40</v>
      </c>
      <c r="AB341" s="30" t="s">
        <v>43</v>
      </c>
      <c r="AC341" s="51">
        <v>3460</v>
      </c>
      <c r="AD341" s="51">
        <v>3110</v>
      </c>
      <c r="AE341" s="57">
        <v>3040</v>
      </c>
      <c r="AF341" s="57">
        <v>2740</v>
      </c>
      <c r="AG341" s="57">
        <v>2330</v>
      </c>
      <c r="AH341" s="82" t="s">
        <v>42</v>
      </c>
      <c r="AI341" s="82" t="s">
        <v>43</v>
      </c>
      <c r="AJ341" s="76" t="s">
        <v>43</v>
      </c>
    </row>
    <row r="342" s="17" customFormat="1" ht="31" customHeight="1" spans="1:36">
      <c r="A342" s="29" t="s">
        <v>70</v>
      </c>
      <c r="B342" s="30" t="s">
        <v>1288</v>
      </c>
      <c r="C342" s="28" t="s">
        <v>1289</v>
      </c>
      <c r="D342" s="30" t="s">
        <v>378</v>
      </c>
      <c r="E342" s="31" t="s">
        <v>43</v>
      </c>
      <c r="F342" s="31" t="s">
        <v>43</v>
      </c>
      <c r="G342" s="30" t="s">
        <v>40</v>
      </c>
      <c r="H342" s="31" t="s">
        <v>43</v>
      </c>
      <c r="I342" s="37">
        <v>1560</v>
      </c>
      <c r="J342" s="37">
        <v>1404</v>
      </c>
      <c r="K342" s="36">
        <v>1420</v>
      </c>
      <c r="L342" s="36"/>
      <c r="M342" s="36"/>
      <c r="N342" s="41">
        <v>1420</v>
      </c>
      <c r="O342" s="41">
        <v>1280</v>
      </c>
      <c r="P342" s="41">
        <v>1085</v>
      </c>
      <c r="Q342" s="30" t="s">
        <v>42</v>
      </c>
      <c r="R342" s="30" t="s">
        <v>43</v>
      </c>
      <c r="S342" s="76" t="s">
        <v>43</v>
      </c>
      <c r="T342" s="36"/>
      <c r="U342" s="31" t="s">
        <v>384</v>
      </c>
      <c r="V342" s="46" t="s">
        <v>1290</v>
      </c>
      <c r="W342" s="46">
        <v>33020401001</v>
      </c>
      <c r="X342" s="48" t="s">
        <v>1291</v>
      </c>
      <c r="Y342" s="46"/>
      <c r="Z342" s="46"/>
      <c r="AA342" s="46" t="s">
        <v>40</v>
      </c>
      <c r="AB342" s="30" t="s">
        <v>43</v>
      </c>
      <c r="AC342" s="52">
        <v>4500</v>
      </c>
      <c r="AD342" s="51">
        <v>4045</v>
      </c>
      <c r="AE342" s="57">
        <v>3950</v>
      </c>
      <c r="AF342" s="57">
        <v>3560</v>
      </c>
      <c r="AG342" s="57">
        <v>3025</v>
      </c>
      <c r="AH342" s="82" t="s">
        <v>42</v>
      </c>
      <c r="AI342" s="82" t="s">
        <v>43</v>
      </c>
      <c r="AJ342" s="76" t="s">
        <v>43</v>
      </c>
    </row>
    <row r="343" s="17" customFormat="1" ht="31" customHeight="1" spans="1:36">
      <c r="A343" s="29"/>
      <c r="B343" s="30"/>
      <c r="C343" s="28" t="s">
        <v>1289</v>
      </c>
      <c r="D343" s="30"/>
      <c r="E343" s="31"/>
      <c r="F343" s="31"/>
      <c r="G343" s="30"/>
      <c r="H343" s="31"/>
      <c r="I343" s="37"/>
      <c r="J343" s="37"/>
      <c r="K343" s="36"/>
      <c r="L343" s="36"/>
      <c r="M343" s="36"/>
      <c r="N343" s="41"/>
      <c r="O343" s="41"/>
      <c r="P343" s="41"/>
      <c r="Q343" s="30"/>
      <c r="R343" s="30"/>
      <c r="S343" s="76"/>
      <c r="T343" s="36"/>
      <c r="U343" s="31"/>
      <c r="V343" s="30" t="s">
        <v>1292</v>
      </c>
      <c r="W343" s="30">
        <v>33020400702</v>
      </c>
      <c r="X343" s="30" t="s">
        <v>1293</v>
      </c>
      <c r="Y343" s="30"/>
      <c r="Z343" s="30"/>
      <c r="AA343" s="30" t="s">
        <v>40</v>
      </c>
      <c r="AB343" s="30" t="s">
        <v>43</v>
      </c>
      <c r="AC343" s="51">
        <v>6995</v>
      </c>
      <c r="AD343" s="51">
        <v>6290</v>
      </c>
      <c r="AE343" s="57">
        <v>6150</v>
      </c>
      <c r="AF343" s="57">
        <v>5540</v>
      </c>
      <c r="AG343" s="57">
        <v>4710</v>
      </c>
      <c r="AH343" s="82"/>
      <c r="AI343" s="82"/>
      <c r="AJ343" s="76"/>
    </row>
    <row r="344" s="17" customFormat="1" ht="40" customHeight="1" spans="1:36">
      <c r="A344" s="29">
        <v>66</v>
      </c>
      <c r="B344" s="30" t="s">
        <v>1294</v>
      </c>
      <c r="C344" s="28" t="s">
        <v>1295</v>
      </c>
      <c r="D344" s="30" t="s">
        <v>378</v>
      </c>
      <c r="E344" s="31" t="s">
        <v>1296</v>
      </c>
      <c r="F344" s="31" t="s">
        <v>1281</v>
      </c>
      <c r="G344" s="30" t="s">
        <v>40</v>
      </c>
      <c r="H344" s="31" t="s">
        <v>1297</v>
      </c>
      <c r="I344" s="37">
        <v>7230</v>
      </c>
      <c r="J344" s="37">
        <v>6507</v>
      </c>
      <c r="K344" s="36">
        <v>5335</v>
      </c>
      <c r="L344" s="36">
        <v>6250</v>
      </c>
      <c r="M344" s="36"/>
      <c r="N344" s="41">
        <v>6575</v>
      </c>
      <c r="O344" s="41">
        <v>5925</v>
      </c>
      <c r="P344" s="41">
        <v>5035</v>
      </c>
      <c r="Q344" s="30" t="s">
        <v>42</v>
      </c>
      <c r="R344" s="30" t="s">
        <v>43</v>
      </c>
      <c r="S344" s="76" t="s">
        <v>43</v>
      </c>
      <c r="T344" s="36" t="s">
        <v>280</v>
      </c>
      <c r="U344" s="31" t="s">
        <v>1298</v>
      </c>
      <c r="V344" s="30" t="s">
        <v>1299</v>
      </c>
      <c r="W344" s="30">
        <v>330204011</v>
      </c>
      <c r="X344" s="30" t="s">
        <v>1300</v>
      </c>
      <c r="Y344" s="30"/>
      <c r="Z344" s="30" t="s">
        <v>1301</v>
      </c>
      <c r="AA344" s="30" t="s">
        <v>40</v>
      </c>
      <c r="AB344" s="30" t="s">
        <v>43</v>
      </c>
      <c r="AC344" s="51">
        <v>9000</v>
      </c>
      <c r="AD344" s="51">
        <v>7560</v>
      </c>
      <c r="AE344" s="57">
        <v>6940</v>
      </c>
      <c r="AF344" s="57">
        <v>6250</v>
      </c>
      <c r="AG344" s="57">
        <v>5310</v>
      </c>
      <c r="AH344" s="82" t="s">
        <v>42</v>
      </c>
      <c r="AI344" s="82" t="s">
        <v>43</v>
      </c>
      <c r="AJ344" s="76" t="s">
        <v>43</v>
      </c>
    </row>
    <row r="345" s="17" customFormat="1" ht="40" customHeight="1" spans="1:36">
      <c r="A345" s="29"/>
      <c r="B345" s="30"/>
      <c r="C345" s="28" t="s">
        <v>1295</v>
      </c>
      <c r="D345" s="30"/>
      <c r="E345" s="31"/>
      <c r="F345" s="31"/>
      <c r="G345" s="30"/>
      <c r="H345" s="31"/>
      <c r="I345" s="37"/>
      <c r="J345" s="37"/>
      <c r="K345" s="36"/>
      <c r="L345" s="36"/>
      <c r="M345" s="36"/>
      <c r="N345" s="41"/>
      <c r="O345" s="41"/>
      <c r="P345" s="41"/>
      <c r="Q345" s="30"/>
      <c r="R345" s="30"/>
      <c r="S345" s="76"/>
      <c r="T345" s="36"/>
      <c r="U345" s="31"/>
      <c r="V345" s="30" t="s">
        <v>1302</v>
      </c>
      <c r="W345" s="30">
        <v>33020400701</v>
      </c>
      <c r="X345" s="30" t="s">
        <v>1303</v>
      </c>
      <c r="Y345" s="30"/>
      <c r="Z345" s="30"/>
      <c r="AA345" s="30" t="s">
        <v>40</v>
      </c>
      <c r="AB345" s="30" t="s">
        <v>1304</v>
      </c>
      <c r="AC345" s="51">
        <v>6050</v>
      </c>
      <c r="AD345" s="51">
        <v>5445</v>
      </c>
      <c r="AE345" s="57">
        <v>5335</v>
      </c>
      <c r="AF345" s="57">
        <v>4805</v>
      </c>
      <c r="AG345" s="57">
        <v>4085</v>
      </c>
      <c r="AH345" s="82" t="s">
        <v>42</v>
      </c>
      <c r="AI345" s="82" t="s">
        <v>43</v>
      </c>
      <c r="AJ345" s="76" t="s">
        <v>43</v>
      </c>
    </row>
    <row r="346" s="17" customFormat="1" ht="40" customHeight="1" spans="1:36">
      <c r="A346" s="29" t="s">
        <v>70</v>
      </c>
      <c r="B346" s="30" t="s">
        <v>1305</v>
      </c>
      <c r="C346" s="28" t="s">
        <v>1306</v>
      </c>
      <c r="D346" s="30" t="s">
        <v>378</v>
      </c>
      <c r="E346" s="31" t="s">
        <v>43</v>
      </c>
      <c r="F346" s="31" t="s">
        <v>43</v>
      </c>
      <c r="G346" s="30" t="s">
        <v>40</v>
      </c>
      <c r="H346" s="31"/>
      <c r="I346" s="37">
        <v>2169</v>
      </c>
      <c r="J346" s="37">
        <v>1952</v>
      </c>
      <c r="K346" s="36"/>
      <c r="L346" s="36"/>
      <c r="M346" s="36"/>
      <c r="N346" s="41">
        <v>1975</v>
      </c>
      <c r="O346" s="41">
        <v>1780</v>
      </c>
      <c r="P346" s="41">
        <v>1510</v>
      </c>
      <c r="Q346" s="30" t="s">
        <v>42</v>
      </c>
      <c r="R346" s="30" t="s">
        <v>43</v>
      </c>
      <c r="S346" s="76" t="s">
        <v>43</v>
      </c>
      <c r="T346" s="36"/>
      <c r="U346" s="31" t="s">
        <v>384</v>
      </c>
      <c r="V346" s="46" t="s">
        <v>1307</v>
      </c>
      <c r="W346" s="46">
        <v>33020401101</v>
      </c>
      <c r="X346" s="48" t="s">
        <v>1308</v>
      </c>
      <c r="Y346" s="46"/>
      <c r="Z346" s="46"/>
      <c r="AA346" s="46" t="s">
        <v>40</v>
      </c>
      <c r="AB346" s="30" t="s">
        <v>43</v>
      </c>
      <c r="AC346" s="52">
        <v>11700</v>
      </c>
      <c r="AD346" s="51">
        <v>9830</v>
      </c>
      <c r="AE346" s="57">
        <v>9020</v>
      </c>
      <c r="AF346" s="57">
        <v>8125</v>
      </c>
      <c r="AG346" s="57">
        <v>6905</v>
      </c>
      <c r="AH346" s="82" t="s">
        <v>42</v>
      </c>
      <c r="AI346" s="82" t="s">
        <v>43</v>
      </c>
      <c r="AJ346" s="76" t="s">
        <v>43</v>
      </c>
    </row>
    <row r="347" s="17" customFormat="1" ht="40" customHeight="1" spans="1:36">
      <c r="A347" s="29"/>
      <c r="B347" s="30"/>
      <c r="C347" s="28" t="s">
        <v>1306</v>
      </c>
      <c r="D347" s="30"/>
      <c r="E347" s="31"/>
      <c r="F347" s="31"/>
      <c r="G347" s="30"/>
      <c r="H347" s="31"/>
      <c r="I347" s="37"/>
      <c r="J347" s="37"/>
      <c r="K347" s="36"/>
      <c r="L347" s="36"/>
      <c r="M347" s="36"/>
      <c r="N347" s="41"/>
      <c r="O347" s="41"/>
      <c r="P347" s="41"/>
      <c r="Q347" s="30"/>
      <c r="R347" s="30"/>
      <c r="S347" s="76"/>
      <c r="T347" s="36"/>
      <c r="U347" s="31"/>
      <c r="V347" s="46" t="s">
        <v>1309</v>
      </c>
      <c r="W347" s="46">
        <v>33020400703</v>
      </c>
      <c r="X347" s="48" t="s">
        <v>1310</v>
      </c>
      <c r="Y347" s="46"/>
      <c r="Z347" s="46"/>
      <c r="AA347" s="46" t="s">
        <v>40</v>
      </c>
      <c r="AB347" s="30" t="s">
        <v>1304</v>
      </c>
      <c r="AC347" s="52">
        <v>7865</v>
      </c>
      <c r="AD347" s="51">
        <v>7080</v>
      </c>
      <c r="AE347" s="57">
        <v>6935</v>
      </c>
      <c r="AF347" s="57">
        <v>6245</v>
      </c>
      <c r="AG347" s="57">
        <v>5310</v>
      </c>
      <c r="AH347" s="82" t="s">
        <v>42</v>
      </c>
      <c r="AI347" s="82" t="s">
        <v>43</v>
      </c>
      <c r="AJ347" s="76" t="s">
        <v>43</v>
      </c>
    </row>
    <row r="348" s="17" customFormat="1" ht="40" customHeight="1" spans="1:36">
      <c r="A348" s="29">
        <v>67</v>
      </c>
      <c r="B348" s="30" t="s">
        <v>1311</v>
      </c>
      <c r="C348" s="28" t="s">
        <v>1312</v>
      </c>
      <c r="D348" s="30" t="s">
        <v>378</v>
      </c>
      <c r="E348" s="31" t="s">
        <v>1313</v>
      </c>
      <c r="F348" s="31" t="s">
        <v>1281</v>
      </c>
      <c r="G348" s="30" t="s">
        <v>40</v>
      </c>
      <c r="H348" s="31" t="s">
        <v>146</v>
      </c>
      <c r="I348" s="37">
        <v>3510</v>
      </c>
      <c r="J348" s="37">
        <v>3159</v>
      </c>
      <c r="K348" s="36">
        <v>3160</v>
      </c>
      <c r="L348" s="36">
        <v>2850</v>
      </c>
      <c r="M348" s="36">
        <v>2420</v>
      </c>
      <c r="N348" s="41">
        <v>3160</v>
      </c>
      <c r="O348" s="41">
        <v>2850</v>
      </c>
      <c r="P348" s="41">
        <v>2420</v>
      </c>
      <c r="Q348" s="30" t="s">
        <v>42</v>
      </c>
      <c r="R348" s="30" t="s">
        <v>43</v>
      </c>
      <c r="S348" s="76" t="s">
        <v>43</v>
      </c>
      <c r="T348" s="36" t="s">
        <v>153</v>
      </c>
      <c r="U348" s="31" t="s">
        <v>153</v>
      </c>
      <c r="V348" s="30" t="s">
        <v>1314</v>
      </c>
      <c r="W348" s="30">
        <v>330204008</v>
      </c>
      <c r="X348" s="30" t="s">
        <v>1315</v>
      </c>
      <c r="Y348" s="30" t="s">
        <v>1316</v>
      </c>
      <c r="Z348" s="30"/>
      <c r="AA348" s="30" t="s">
        <v>40</v>
      </c>
      <c r="AB348" s="30" t="s">
        <v>43</v>
      </c>
      <c r="AC348" s="51">
        <v>3510</v>
      </c>
      <c r="AD348" s="51">
        <v>3160</v>
      </c>
      <c r="AE348" s="57">
        <v>3160</v>
      </c>
      <c r="AF348" s="57">
        <v>2850</v>
      </c>
      <c r="AG348" s="57">
        <v>2420</v>
      </c>
      <c r="AH348" s="82" t="s">
        <v>42</v>
      </c>
      <c r="AI348" s="82" t="s">
        <v>43</v>
      </c>
      <c r="AJ348" s="76" t="s">
        <v>43</v>
      </c>
    </row>
    <row r="349" s="17" customFormat="1" ht="51" customHeight="1" spans="1:36">
      <c r="A349" s="29"/>
      <c r="B349" s="30"/>
      <c r="C349" s="28" t="s">
        <v>1312</v>
      </c>
      <c r="D349" s="30"/>
      <c r="E349" s="31"/>
      <c r="F349" s="31"/>
      <c r="G349" s="30"/>
      <c r="H349" s="31"/>
      <c r="I349" s="37"/>
      <c r="J349" s="37"/>
      <c r="K349" s="36"/>
      <c r="L349" s="36"/>
      <c r="M349" s="36"/>
      <c r="N349" s="41"/>
      <c r="O349" s="41"/>
      <c r="P349" s="41"/>
      <c r="Q349" s="30"/>
      <c r="R349" s="30"/>
      <c r="S349" s="76"/>
      <c r="T349" s="36"/>
      <c r="U349" s="31"/>
      <c r="V349" s="30" t="s">
        <v>1317</v>
      </c>
      <c r="W349" s="30">
        <v>330204009</v>
      </c>
      <c r="X349" s="30" t="s">
        <v>1318</v>
      </c>
      <c r="Y349" s="30" t="s">
        <v>1319</v>
      </c>
      <c r="Z349" s="30"/>
      <c r="AA349" s="30" t="s">
        <v>40</v>
      </c>
      <c r="AB349" s="30" t="s">
        <v>1320</v>
      </c>
      <c r="AC349" s="51">
        <v>3510</v>
      </c>
      <c r="AD349" s="51">
        <v>3160</v>
      </c>
      <c r="AE349" s="57">
        <v>3160</v>
      </c>
      <c r="AF349" s="57">
        <v>2850</v>
      </c>
      <c r="AG349" s="57">
        <v>2420</v>
      </c>
      <c r="AH349" s="82" t="s">
        <v>42</v>
      </c>
      <c r="AI349" s="82" t="s">
        <v>43</v>
      </c>
      <c r="AJ349" s="76" t="s">
        <v>43</v>
      </c>
    </row>
    <row r="350" s="17" customFormat="1" ht="33" customHeight="1" spans="1:36">
      <c r="A350" s="29" t="s">
        <v>70</v>
      </c>
      <c r="B350" s="30" t="s">
        <v>1321</v>
      </c>
      <c r="C350" s="28" t="s">
        <v>1322</v>
      </c>
      <c r="D350" s="30" t="s">
        <v>378</v>
      </c>
      <c r="E350" s="31" t="s">
        <v>43</v>
      </c>
      <c r="F350" s="31" t="s">
        <v>43</v>
      </c>
      <c r="G350" s="30" t="s">
        <v>40</v>
      </c>
      <c r="H350" s="31" t="s">
        <v>43</v>
      </c>
      <c r="I350" s="37">
        <v>1053</v>
      </c>
      <c r="J350" s="37">
        <v>948</v>
      </c>
      <c r="K350" s="36"/>
      <c r="L350" s="36"/>
      <c r="M350" s="36"/>
      <c r="N350" s="41">
        <v>950</v>
      </c>
      <c r="O350" s="41">
        <f>O348*0.3</f>
        <v>855</v>
      </c>
      <c r="P350" s="41">
        <v>725</v>
      </c>
      <c r="Q350" s="30" t="s">
        <v>42</v>
      </c>
      <c r="R350" s="30" t="s">
        <v>43</v>
      </c>
      <c r="S350" s="76" t="s">
        <v>43</v>
      </c>
      <c r="T350" s="36"/>
      <c r="U350" s="31" t="s">
        <v>384</v>
      </c>
      <c r="V350" s="30" t="s">
        <v>1323</v>
      </c>
      <c r="W350" s="30">
        <v>33020400801</v>
      </c>
      <c r="X350" s="30" t="s">
        <v>1324</v>
      </c>
      <c r="Y350" s="30"/>
      <c r="Z350" s="30"/>
      <c r="AA350" s="30" t="s">
        <v>40</v>
      </c>
      <c r="AB350" s="30" t="s">
        <v>43</v>
      </c>
      <c r="AC350" s="51">
        <v>4560</v>
      </c>
      <c r="AD350" s="51">
        <v>4110</v>
      </c>
      <c r="AE350" s="57">
        <v>4110</v>
      </c>
      <c r="AF350" s="57">
        <v>3705</v>
      </c>
      <c r="AG350" s="57">
        <v>3145</v>
      </c>
      <c r="AH350" s="82" t="s">
        <v>42</v>
      </c>
      <c r="AI350" s="82" t="s">
        <v>43</v>
      </c>
      <c r="AJ350" s="76" t="s">
        <v>43</v>
      </c>
    </row>
    <row r="351" s="17" customFormat="1" ht="33" customHeight="1" spans="1:36">
      <c r="A351" s="29"/>
      <c r="B351" s="30"/>
      <c r="C351" s="28" t="s">
        <v>1322</v>
      </c>
      <c r="D351" s="30"/>
      <c r="E351" s="31"/>
      <c r="F351" s="31"/>
      <c r="G351" s="30"/>
      <c r="H351" s="31"/>
      <c r="I351" s="37"/>
      <c r="J351" s="37"/>
      <c r="K351" s="36"/>
      <c r="L351" s="36"/>
      <c r="M351" s="36"/>
      <c r="N351" s="41"/>
      <c r="O351" s="41"/>
      <c r="P351" s="41"/>
      <c r="Q351" s="30"/>
      <c r="R351" s="30"/>
      <c r="S351" s="76"/>
      <c r="T351" s="36"/>
      <c r="U351" s="31"/>
      <c r="V351" s="30" t="s">
        <v>1325</v>
      </c>
      <c r="W351" s="30">
        <v>33020400902</v>
      </c>
      <c r="X351" s="30" t="s">
        <v>1326</v>
      </c>
      <c r="Y351" s="30"/>
      <c r="Z351" s="30"/>
      <c r="AA351" s="30" t="s">
        <v>40</v>
      </c>
      <c r="AB351" s="30" t="s">
        <v>43</v>
      </c>
      <c r="AC351" s="51">
        <v>4560</v>
      </c>
      <c r="AD351" s="51">
        <v>4110</v>
      </c>
      <c r="AE351" s="57">
        <v>4110</v>
      </c>
      <c r="AF351" s="57">
        <v>3705</v>
      </c>
      <c r="AG351" s="57">
        <v>3145</v>
      </c>
      <c r="AH351" s="82" t="s">
        <v>42</v>
      </c>
      <c r="AI351" s="82" t="s">
        <v>43</v>
      </c>
      <c r="AJ351" s="76" t="s">
        <v>43</v>
      </c>
    </row>
    <row r="352" s="17" customFormat="1" ht="80" customHeight="1" spans="1:36">
      <c r="A352" s="29">
        <v>68</v>
      </c>
      <c r="B352" s="30" t="s">
        <v>1327</v>
      </c>
      <c r="C352" s="30" t="s">
        <v>1328</v>
      </c>
      <c r="D352" s="30" t="s">
        <v>378</v>
      </c>
      <c r="E352" s="31" t="s">
        <v>1329</v>
      </c>
      <c r="F352" s="31" t="s">
        <v>1281</v>
      </c>
      <c r="G352" s="30" t="s">
        <v>40</v>
      </c>
      <c r="H352" s="31" t="s">
        <v>1330</v>
      </c>
      <c r="I352" s="37">
        <v>4030</v>
      </c>
      <c r="J352" s="37">
        <v>3627</v>
      </c>
      <c r="K352" s="36">
        <v>3630</v>
      </c>
      <c r="L352" s="36">
        <v>3270</v>
      </c>
      <c r="M352" s="36">
        <v>2780</v>
      </c>
      <c r="N352" s="41">
        <v>3630</v>
      </c>
      <c r="O352" s="41">
        <v>3270</v>
      </c>
      <c r="P352" s="41">
        <v>2780</v>
      </c>
      <c r="Q352" s="30" t="s">
        <v>42</v>
      </c>
      <c r="R352" s="30" t="s">
        <v>43</v>
      </c>
      <c r="S352" s="76" t="s">
        <v>43</v>
      </c>
      <c r="T352" s="36" t="s">
        <v>153</v>
      </c>
      <c r="U352" s="31" t="s">
        <v>153</v>
      </c>
      <c r="V352" s="30" t="s">
        <v>1331</v>
      </c>
      <c r="W352" s="30">
        <v>33020400901</v>
      </c>
      <c r="X352" s="30" t="s">
        <v>1332</v>
      </c>
      <c r="Y352" s="30"/>
      <c r="Z352" s="30"/>
      <c r="AA352" s="30" t="s">
        <v>40</v>
      </c>
      <c r="AB352" s="30" t="s">
        <v>1304</v>
      </c>
      <c r="AC352" s="51">
        <v>4030</v>
      </c>
      <c r="AD352" s="51">
        <v>3630</v>
      </c>
      <c r="AE352" s="57">
        <v>3630</v>
      </c>
      <c r="AF352" s="57">
        <v>3270</v>
      </c>
      <c r="AG352" s="57">
        <v>2780</v>
      </c>
      <c r="AH352" s="82" t="s">
        <v>42</v>
      </c>
      <c r="AI352" s="82" t="s">
        <v>43</v>
      </c>
      <c r="AJ352" s="76" t="s">
        <v>43</v>
      </c>
    </row>
    <row r="353" s="17" customFormat="1" ht="36" customHeight="1" spans="1:36">
      <c r="A353" s="29" t="s">
        <v>70</v>
      </c>
      <c r="B353" s="30" t="s">
        <v>1333</v>
      </c>
      <c r="C353" s="30" t="s">
        <v>1334</v>
      </c>
      <c r="D353" s="30" t="s">
        <v>378</v>
      </c>
      <c r="E353" s="31" t="s">
        <v>43</v>
      </c>
      <c r="F353" s="31" t="s">
        <v>43</v>
      </c>
      <c r="G353" s="30" t="s">
        <v>40</v>
      </c>
      <c r="H353" s="31"/>
      <c r="I353" s="37">
        <v>1209</v>
      </c>
      <c r="J353" s="37">
        <v>1088</v>
      </c>
      <c r="K353" s="36"/>
      <c r="L353" s="36"/>
      <c r="M353" s="36"/>
      <c r="N353" s="41">
        <v>1090</v>
      </c>
      <c r="O353" s="41">
        <v>980</v>
      </c>
      <c r="P353" s="41">
        <v>835</v>
      </c>
      <c r="Q353" s="30" t="s">
        <v>42</v>
      </c>
      <c r="R353" s="30" t="s">
        <v>43</v>
      </c>
      <c r="S353" s="76" t="s">
        <v>43</v>
      </c>
      <c r="T353" s="36"/>
      <c r="U353" s="31" t="s">
        <v>384</v>
      </c>
      <c r="V353" s="46" t="s">
        <v>1335</v>
      </c>
      <c r="W353" s="46">
        <v>33020400903</v>
      </c>
      <c r="X353" s="48" t="s">
        <v>1336</v>
      </c>
      <c r="Y353" s="50"/>
      <c r="Z353" s="50"/>
      <c r="AA353" s="50" t="s">
        <v>40</v>
      </c>
      <c r="AB353" s="30" t="s">
        <v>1304</v>
      </c>
      <c r="AC353" s="62">
        <v>5240</v>
      </c>
      <c r="AD353" s="51">
        <v>4720</v>
      </c>
      <c r="AE353" s="57">
        <v>4730</v>
      </c>
      <c r="AF353" s="57">
        <v>4250</v>
      </c>
      <c r="AG353" s="57">
        <v>3615</v>
      </c>
      <c r="AH353" s="82" t="s">
        <v>42</v>
      </c>
      <c r="AI353" s="82" t="s">
        <v>43</v>
      </c>
      <c r="AJ353" s="76" t="s">
        <v>43</v>
      </c>
    </row>
    <row r="354" s="17" customFormat="1" ht="24" customHeight="1" spans="1:36">
      <c r="A354" s="29">
        <v>69</v>
      </c>
      <c r="B354" s="30" t="s">
        <v>1337</v>
      </c>
      <c r="C354" s="28" t="s">
        <v>1338</v>
      </c>
      <c r="D354" s="30" t="s">
        <v>378</v>
      </c>
      <c r="E354" s="31" t="s">
        <v>1339</v>
      </c>
      <c r="F354" s="31" t="s">
        <v>1340</v>
      </c>
      <c r="G354" s="30" t="s">
        <v>40</v>
      </c>
      <c r="H354" s="31" t="s">
        <v>43</v>
      </c>
      <c r="I354" s="37">
        <v>5000</v>
      </c>
      <c r="J354" s="37">
        <v>4500</v>
      </c>
      <c r="K354" s="36">
        <v>4640</v>
      </c>
      <c r="L354" s="36">
        <v>3261.33333333333</v>
      </c>
      <c r="M354" s="36"/>
      <c r="N354" s="41">
        <f>N254</f>
        <v>4700</v>
      </c>
      <c r="O354" s="41">
        <f>O254</f>
        <v>4350</v>
      </c>
      <c r="P354" s="41">
        <f>P254</f>
        <v>3700</v>
      </c>
      <c r="Q354" s="30" t="s">
        <v>42</v>
      </c>
      <c r="R354" s="30" t="s">
        <v>43</v>
      </c>
      <c r="S354" s="76" t="s">
        <v>43</v>
      </c>
      <c r="T354" s="36" t="s">
        <v>113</v>
      </c>
      <c r="U354" s="31" t="s">
        <v>1341</v>
      </c>
      <c r="V354" s="30" t="s">
        <v>1342</v>
      </c>
      <c r="W354" s="30">
        <v>330203007</v>
      </c>
      <c r="X354" s="30" t="s">
        <v>1343</v>
      </c>
      <c r="Y354" s="30" t="s">
        <v>1344</v>
      </c>
      <c r="Z354" s="30"/>
      <c r="AA354" s="30" t="s">
        <v>40</v>
      </c>
      <c r="AB354" s="30" t="s">
        <v>1345</v>
      </c>
      <c r="AC354" s="51">
        <v>4800</v>
      </c>
      <c r="AD354" s="51">
        <v>4320</v>
      </c>
      <c r="AE354" s="57">
        <v>4220</v>
      </c>
      <c r="AF354" s="57">
        <v>3800</v>
      </c>
      <c r="AG354" s="57">
        <v>3230</v>
      </c>
      <c r="AH354" s="82" t="s">
        <v>42</v>
      </c>
      <c r="AI354" s="82" t="s">
        <v>43</v>
      </c>
      <c r="AJ354" s="76" t="s">
        <v>43</v>
      </c>
    </row>
    <row r="355" s="17" customFormat="1" ht="24" customHeight="1" spans="1:36">
      <c r="A355" s="29"/>
      <c r="B355" s="30"/>
      <c r="C355" s="28" t="s">
        <v>1338</v>
      </c>
      <c r="D355" s="30"/>
      <c r="E355" s="31"/>
      <c r="F355" s="31"/>
      <c r="G355" s="30"/>
      <c r="H355" s="31"/>
      <c r="I355" s="37"/>
      <c r="J355" s="37"/>
      <c r="K355" s="36"/>
      <c r="L355" s="36"/>
      <c r="M355" s="36"/>
      <c r="N355" s="41"/>
      <c r="O355" s="41"/>
      <c r="P355" s="41"/>
      <c r="Q355" s="30"/>
      <c r="R355" s="30"/>
      <c r="S355" s="76"/>
      <c r="T355" s="36"/>
      <c r="U355" s="31"/>
      <c r="V355" s="46" t="s">
        <v>1346</v>
      </c>
      <c r="W355" s="46">
        <v>33020300701</v>
      </c>
      <c r="X355" s="48" t="s">
        <v>1347</v>
      </c>
      <c r="Y355" s="46"/>
      <c r="Z355" s="46"/>
      <c r="AA355" s="46" t="s">
        <v>40</v>
      </c>
      <c r="AB355" s="30" t="s">
        <v>1348</v>
      </c>
      <c r="AC355" s="52">
        <v>5280</v>
      </c>
      <c r="AD355" s="51">
        <v>4752</v>
      </c>
      <c r="AE355" s="57">
        <v>3960</v>
      </c>
      <c r="AF355" s="57">
        <v>3560</v>
      </c>
      <c r="AG355" s="57">
        <v>3030</v>
      </c>
      <c r="AH355" s="82" t="s">
        <v>42</v>
      </c>
      <c r="AI355" s="82" t="s">
        <v>43</v>
      </c>
      <c r="AJ355" s="76" t="s">
        <v>43</v>
      </c>
    </row>
    <row r="356" s="17" customFormat="1" ht="24" customHeight="1" spans="1:36">
      <c r="A356" s="29"/>
      <c r="B356" s="30"/>
      <c r="C356" s="28" t="s">
        <v>1338</v>
      </c>
      <c r="D356" s="30"/>
      <c r="E356" s="31"/>
      <c r="F356" s="31"/>
      <c r="G356" s="30"/>
      <c r="H356" s="31"/>
      <c r="I356" s="37"/>
      <c r="J356" s="37"/>
      <c r="K356" s="36"/>
      <c r="L356" s="36"/>
      <c r="M356" s="36"/>
      <c r="N356" s="41"/>
      <c r="O356" s="41"/>
      <c r="P356" s="41"/>
      <c r="Q356" s="30"/>
      <c r="R356" s="30"/>
      <c r="S356" s="76"/>
      <c r="T356" s="36"/>
      <c r="U356" s="31"/>
      <c r="V356" s="30" t="s">
        <v>1349</v>
      </c>
      <c r="W356" s="30">
        <v>330203010</v>
      </c>
      <c r="X356" s="30" t="s">
        <v>1350</v>
      </c>
      <c r="Y356" s="30" t="s">
        <v>1351</v>
      </c>
      <c r="Z356" s="30"/>
      <c r="AA356" s="30" t="s">
        <v>145</v>
      </c>
      <c r="AB356" s="30" t="s">
        <v>1352</v>
      </c>
      <c r="AC356" s="51">
        <v>2880</v>
      </c>
      <c r="AD356" s="51">
        <v>2590</v>
      </c>
      <c r="AE356" s="57">
        <v>2530</v>
      </c>
      <c r="AF356" s="57">
        <v>2280</v>
      </c>
      <c r="AG356" s="57">
        <v>1940</v>
      </c>
      <c r="AH356" s="82" t="s">
        <v>42</v>
      </c>
      <c r="AI356" s="82" t="s">
        <v>43</v>
      </c>
      <c r="AJ356" s="76" t="s">
        <v>43</v>
      </c>
    </row>
    <row r="357" s="17" customFormat="1" ht="24" customHeight="1" spans="1:36">
      <c r="A357" s="29"/>
      <c r="B357" s="30"/>
      <c r="C357" s="28" t="s">
        <v>1338</v>
      </c>
      <c r="D357" s="30"/>
      <c r="E357" s="31"/>
      <c r="F357" s="31"/>
      <c r="G357" s="30"/>
      <c r="H357" s="31"/>
      <c r="I357" s="37"/>
      <c r="J357" s="37"/>
      <c r="K357" s="36"/>
      <c r="L357" s="36"/>
      <c r="M357" s="36"/>
      <c r="N357" s="41"/>
      <c r="O357" s="41"/>
      <c r="P357" s="41"/>
      <c r="Q357" s="30"/>
      <c r="R357" s="30"/>
      <c r="S357" s="76"/>
      <c r="T357" s="36"/>
      <c r="U357" s="31"/>
      <c r="V357" s="30" t="s">
        <v>1353</v>
      </c>
      <c r="W357" s="30">
        <v>33020301001</v>
      </c>
      <c r="X357" s="30" t="s">
        <v>1354</v>
      </c>
      <c r="Y357" s="30"/>
      <c r="Z357" s="30"/>
      <c r="AA357" s="30" t="s">
        <v>1355</v>
      </c>
      <c r="AB357" s="30" t="s">
        <v>1355</v>
      </c>
      <c r="AC357" s="51">
        <v>5760</v>
      </c>
      <c r="AD357" s="51">
        <v>5180</v>
      </c>
      <c r="AE357" s="57">
        <v>5060</v>
      </c>
      <c r="AF357" s="57">
        <v>4560</v>
      </c>
      <c r="AG357" s="57">
        <v>3880</v>
      </c>
      <c r="AH357" s="82" t="s">
        <v>42</v>
      </c>
      <c r="AI357" s="82" t="s">
        <v>43</v>
      </c>
      <c r="AJ357" s="76" t="s">
        <v>43</v>
      </c>
    </row>
    <row r="358" s="17" customFormat="1" ht="24" customHeight="1" spans="1:36">
      <c r="A358" s="29" t="s">
        <v>70</v>
      </c>
      <c r="B358" s="30" t="s">
        <v>1356</v>
      </c>
      <c r="C358" s="28" t="s">
        <v>1357</v>
      </c>
      <c r="D358" s="84" t="s">
        <v>378</v>
      </c>
      <c r="E358" s="31" t="s">
        <v>43</v>
      </c>
      <c r="F358" s="31" t="s">
        <v>43</v>
      </c>
      <c r="G358" s="30" t="s">
        <v>40</v>
      </c>
      <c r="H358" s="31" t="s">
        <v>43</v>
      </c>
      <c r="I358" s="37">
        <v>1500</v>
      </c>
      <c r="J358" s="37">
        <v>1350</v>
      </c>
      <c r="K358" s="36"/>
      <c r="L358" s="36"/>
      <c r="M358" s="36"/>
      <c r="N358" s="41">
        <f>N354*0.3</f>
        <v>1410</v>
      </c>
      <c r="O358" s="41">
        <f>O354*0.3</f>
        <v>1305</v>
      </c>
      <c r="P358" s="41">
        <f>P354*0.3</f>
        <v>1110</v>
      </c>
      <c r="Q358" s="30" t="s">
        <v>42</v>
      </c>
      <c r="R358" s="30" t="s">
        <v>43</v>
      </c>
      <c r="S358" s="76" t="s">
        <v>43</v>
      </c>
      <c r="T358" s="36"/>
      <c r="U358" s="31" t="s">
        <v>384</v>
      </c>
      <c r="V358" s="46" t="s">
        <v>1358</v>
      </c>
      <c r="W358" s="46">
        <v>33020300702</v>
      </c>
      <c r="X358" s="48" t="s">
        <v>1359</v>
      </c>
      <c r="Y358" s="46"/>
      <c r="Z358" s="46"/>
      <c r="AA358" s="46" t="s">
        <v>40</v>
      </c>
      <c r="AB358" s="30" t="s">
        <v>43</v>
      </c>
      <c r="AC358" s="52">
        <v>6240</v>
      </c>
      <c r="AD358" s="51">
        <v>5615</v>
      </c>
      <c r="AE358" s="57">
        <v>5485</v>
      </c>
      <c r="AF358" s="57">
        <v>4940</v>
      </c>
      <c r="AG358" s="57">
        <v>4200</v>
      </c>
      <c r="AH358" s="82" t="s">
        <v>42</v>
      </c>
      <c r="AI358" s="82" t="s">
        <v>43</v>
      </c>
      <c r="AJ358" s="76" t="s">
        <v>43</v>
      </c>
    </row>
    <row r="359" s="17" customFormat="1" ht="24" customHeight="1" spans="1:36">
      <c r="A359" s="29"/>
      <c r="B359" s="30"/>
      <c r="C359" s="28" t="s">
        <v>1357</v>
      </c>
      <c r="D359" s="85"/>
      <c r="E359" s="31"/>
      <c r="F359" s="31"/>
      <c r="G359" s="30"/>
      <c r="H359" s="31"/>
      <c r="I359" s="37"/>
      <c r="J359" s="37"/>
      <c r="K359" s="36"/>
      <c r="L359" s="36"/>
      <c r="M359" s="36"/>
      <c r="N359" s="41"/>
      <c r="O359" s="41"/>
      <c r="P359" s="41"/>
      <c r="Q359" s="30"/>
      <c r="R359" s="30"/>
      <c r="S359" s="76"/>
      <c r="T359" s="36"/>
      <c r="U359" s="31"/>
      <c r="V359" s="46" t="s">
        <v>1360</v>
      </c>
      <c r="W359" s="46">
        <v>33020300703</v>
      </c>
      <c r="X359" s="48" t="s">
        <v>1361</v>
      </c>
      <c r="Y359" s="46"/>
      <c r="Z359" s="46"/>
      <c r="AA359" s="46" t="s">
        <v>40</v>
      </c>
      <c r="AB359" s="30" t="s">
        <v>1348</v>
      </c>
      <c r="AC359" s="52">
        <v>6865</v>
      </c>
      <c r="AD359" s="51">
        <v>6180</v>
      </c>
      <c r="AE359" s="57">
        <v>5150</v>
      </c>
      <c r="AF359" s="57">
        <v>4630</v>
      </c>
      <c r="AG359" s="57">
        <v>3935</v>
      </c>
      <c r="AH359" s="82" t="s">
        <v>42</v>
      </c>
      <c r="AI359" s="82" t="s">
        <v>43</v>
      </c>
      <c r="AJ359" s="76" t="s">
        <v>43</v>
      </c>
    </row>
    <row r="360" s="17" customFormat="1" ht="24" customHeight="1" spans="1:36">
      <c r="A360" s="29"/>
      <c r="B360" s="30"/>
      <c r="C360" s="28" t="s">
        <v>1357</v>
      </c>
      <c r="D360" s="85"/>
      <c r="E360" s="31"/>
      <c r="F360" s="31"/>
      <c r="G360" s="30"/>
      <c r="H360" s="31"/>
      <c r="I360" s="37"/>
      <c r="J360" s="37"/>
      <c r="K360" s="36"/>
      <c r="L360" s="36"/>
      <c r="M360" s="36"/>
      <c r="N360" s="41"/>
      <c r="O360" s="41"/>
      <c r="P360" s="41"/>
      <c r="Q360" s="30"/>
      <c r="R360" s="30"/>
      <c r="S360" s="76"/>
      <c r="T360" s="36"/>
      <c r="U360" s="31"/>
      <c r="V360" s="30" t="s">
        <v>1362</v>
      </c>
      <c r="W360" s="30">
        <v>33020301002</v>
      </c>
      <c r="X360" s="30" t="s">
        <v>1363</v>
      </c>
      <c r="Y360" s="30"/>
      <c r="Z360" s="30"/>
      <c r="AA360" s="30" t="s">
        <v>145</v>
      </c>
      <c r="AB360" s="30" t="s">
        <v>43</v>
      </c>
      <c r="AC360" s="51">
        <v>3745</v>
      </c>
      <c r="AD360" s="51">
        <v>3365</v>
      </c>
      <c r="AE360" s="57">
        <v>3290</v>
      </c>
      <c r="AF360" s="57">
        <v>2965</v>
      </c>
      <c r="AG360" s="57">
        <v>2520</v>
      </c>
      <c r="AH360" s="82" t="s">
        <v>42</v>
      </c>
      <c r="AI360" s="82" t="s">
        <v>43</v>
      </c>
      <c r="AJ360" s="76" t="s">
        <v>43</v>
      </c>
    </row>
    <row r="361" s="17" customFormat="1" ht="24" customHeight="1" spans="1:36">
      <c r="A361" s="29"/>
      <c r="B361" s="30"/>
      <c r="C361" s="28" t="s">
        <v>1357</v>
      </c>
      <c r="D361" s="86"/>
      <c r="E361" s="31"/>
      <c r="F361" s="31"/>
      <c r="G361" s="30"/>
      <c r="H361" s="31"/>
      <c r="I361" s="37"/>
      <c r="J361" s="37"/>
      <c r="K361" s="36"/>
      <c r="L361" s="36"/>
      <c r="M361" s="36"/>
      <c r="N361" s="41"/>
      <c r="O361" s="41"/>
      <c r="P361" s="41"/>
      <c r="Q361" s="30"/>
      <c r="R361" s="30"/>
      <c r="S361" s="76"/>
      <c r="T361" s="36"/>
      <c r="U361" s="31"/>
      <c r="V361" s="30" t="s">
        <v>1364</v>
      </c>
      <c r="W361" s="30">
        <v>33020301003</v>
      </c>
      <c r="X361" s="30" t="s">
        <v>1365</v>
      </c>
      <c r="Y361" s="30"/>
      <c r="Z361" s="30"/>
      <c r="AA361" s="30" t="s">
        <v>1355</v>
      </c>
      <c r="AB361" s="30" t="s">
        <v>1355</v>
      </c>
      <c r="AC361" s="51">
        <v>7490</v>
      </c>
      <c r="AD361" s="51">
        <v>6735</v>
      </c>
      <c r="AE361" s="57">
        <v>6580</v>
      </c>
      <c r="AF361" s="57">
        <v>5930</v>
      </c>
      <c r="AG361" s="57">
        <v>5040</v>
      </c>
      <c r="AH361" s="82" t="s">
        <v>42</v>
      </c>
      <c r="AI361" s="82" t="s">
        <v>43</v>
      </c>
      <c r="AJ361" s="76" t="s">
        <v>43</v>
      </c>
    </row>
    <row r="362" s="17" customFormat="1" ht="27" customHeight="1" spans="1:36">
      <c r="A362" s="29">
        <v>70</v>
      </c>
      <c r="B362" s="30" t="s">
        <v>1366</v>
      </c>
      <c r="C362" s="28" t="s">
        <v>1367</v>
      </c>
      <c r="D362" s="30" t="s">
        <v>378</v>
      </c>
      <c r="E362" s="31" t="s">
        <v>1368</v>
      </c>
      <c r="F362" s="31" t="s">
        <v>1369</v>
      </c>
      <c r="G362" s="30" t="s">
        <v>40</v>
      </c>
      <c r="H362" s="31"/>
      <c r="I362" s="37">
        <v>4800</v>
      </c>
      <c r="J362" s="37">
        <v>4320</v>
      </c>
      <c r="K362" s="36"/>
      <c r="L362" s="36"/>
      <c r="M362" s="36"/>
      <c r="N362" s="41">
        <v>4550</v>
      </c>
      <c r="O362" s="41">
        <f>O289</f>
        <v>4150</v>
      </c>
      <c r="P362" s="41">
        <f>P289</f>
        <v>3550</v>
      </c>
      <c r="Q362" s="30" t="s">
        <v>42</v>
      </c>
      <c r="R362" s="30" t="s">
        <v>43</v>
      </c>
      <c r="S362" s="76" t="s">
        <v>43</v>
      </c>
      <c r="T362" s="36" t="s">
        <v>280</v>
      </c>
      <c r="U362" s="31" t="s">
        <v>1370</v>
      </c>
      <c r="V362" s="30" t="s">
        <v>1371</v>
      </c>
      <c r="W362" s="30">
        <v>330203008</v>
      </c>
      <c r="X362" s="30" t="s">
        <v>1372</v>
      </c>
      <c r="Y362" s="30"/>
      <c r="Z362" s="30"/>
      <c r="AA362" s="30" t="s">
        <v>40</v>
      </c>
      <c r="AB362" s="30" t="s">
        <v>1345</v>
      </c>
      <c r="AC362" s="51">
        <v>4800</v>
      </c>
      <c r="AD362" s="51">
        <v>4320</v>
      </c>
      <c r="AE362" s="57">
        <v>4220</v>
      </c>
      <c r="AF362" s="57">
        <v>3800</v>
      </c>
      <c r="AG362" s="57">
        <v>3230</v>
      </c>
      <c r="AH362" s="82" t="s">
        <v>42</v>
      </c>
      <c r="AI362" s="82" t="s">
        <v>43</v>
      </c>
      <c r="AJ362" s="76" t="s">
        <v>43</v>
      </c>
    </row>
    <row r="363" s="17" customFormat="1" ht="27" customHeight="1" spans="1:36">
      <c r="A363" s="29"/>
      <c r="B363" s="30"/>
      <c r="C363" s="28" t="s">
        <v>1367</v>
      </c>
      <c r="D363" s="30"/>
      <c r="E363" s="31"/>
      <c r="F363" s="31"/>
      <c r="G363" s="30"/>
      <c r="H363" s="31"/>
      <c r="I363" s="37"/>
      <c r="J363" s="37"/>
      <c r="K363" s="36"/>
      <c r="L363" s="36"/>
      <c r="M363" s="36"/>
      <c r="N363" s="41"/>
      <c r="O363" s="41"/>
      <c r="P363" s="41"/>
      <c r="Q363" s="30"/>
      <c r="R363" s="30"/>
      <c r="S363" s="76"/>
      <c r="T363" s="36"/>
      <c r="U363" s="31"/>
      <c r="V363" s="46" t="s">
        <v>1373</v>
      </c>
      <c r="W363" s="46">
        <v>33020300801</v>
      </c>
      <c r="X363" s="48" t="s">
        <v>1374</v>
      </c>
      <c r="Y363" s="46"/>
      <c r="Z363" s="46"/>
      <c r="AA363" s="46" t="s">
        <v>40</v>
      </c>
      <c r="AB363" s="30" t="s">
        <v>1348</v>
      </c>
      <c r="AC363" s="52">
        <v>5280</v>
      </c>
      <c r="AD363" s="51">
        <v>4752</v>
      </c>
      <c r="AE363" s="57">
        <v>3960</v>
      </c>
      <c r="AF363" s="57">
        <v>3560</v>
      </c>
      <c r="AG363" s="57">
        <v>3030</v>
      </c>
      <c r="AH363" s="82" t="s">
        <v>42</v>
      </c>
      <c r="AI363" s="82" t="s">
        <v>43</v>
      </c>
      <c r="AJ363" s="76" t="s">
        <v>43</v>
      </c>
    </row>
    <row r="364" s="17" customFormat="1" ht="27" customHeight="1" spans="1:36">
      <c r="A364" s="29"/>
      <c r="B364" s="30"/>
      <c r="C364" s="28" t="s">
        <v>1367</v>
      </c>
      <c r="D364" s="30"/>
      <c r="E364" s="31"/>
      <c r="F364" s="31"/>
      <c r="G364" s="30"/>
      <c r="H364" s="31"/>
      <c r="I364" s="37"/>
      <c r="J364" s="37"/>
      <c r="K364" s="36"/>
      <c r="L364" s="36"/>
      <c r="M364" s="36"/>
      <c r="N364" s="41"/>
      <c r="O364" s="41"/>
      <c r="P364" s="41"/>
      <c r="Q364" s="30"/>
      <c r="R364" s="30"/>
      <c r="S364" s="76"/>
      <c r="T364" s="36"/>
      <c r="U364" s="31"/>
      <c r="V364" s="30" t="s">
        <v>1375</v>
      </c>
      <c r="W364" s="30">
        <v>330203009</v>
      </c>
      <c r="X364" s="30" t="s">
        <v>1376</v>
      </c>
      <c r="Y364" s="30"/>
      <c r="Z364" s="30"/>
      <c r="AA364" s="30" t="s">
        <v>40</v>
      </c>
      <c r="AB364" s="30" t="s">
        <v>43</v>
      </c>
      <c r="AC364" s="51">
        <v>3460</v>
      </c>
      <c r="AD364" s="51">
        <v>3110</v>
      </c>
      <c r="AE364" s="57">
        <v>3040</v>
      </c>
      <c r="AF364" s="57">
        <v>2740</v>
      </c>
      <c r="AG364" s="57">
        <v>2330</v>
      </c>
      <c r="AH364" s="82" t="s">
        <v>42</v>
      </c>
      <c r="AI364" s="82" t="s">
        <v>43</v>
      </c>
      <c r="AJ364" s="76" t="s">
        <v>43</v>
      </c>
    </row>
    <row r="365" s="17" customFormat="1" ht="28" customHeight="1" spans="1:36">
      <c r="A365" s="29" t="s">
        <v>70</v>
      </c>
      <c r="B365" s="30" t="s">
        <v>1377</v>
      </c>
      <c r="C365" s="28" t="s">
        <v>1378</v>
      </c>
      <c r="D365" s="30" t="s">
        <v>378</v>
      </c>
      <c r="E365" s="31" t="s">
        <v>43</v>
      </c>
      <c r="F365" s="31" t="s">
        <v>43</v>
      </c>
      <c r="G365" s="30" t="s">
        <v>40</v>
      </c>
      <c r="H365" s="31" t="s">
        <v>43</v>
      </c>
      <c r="I365" s="37">
        <v>1440</v>
      </c>
      <c r="J365" s="37">
        <v>1296</v>
      </c>
      <c r="K365" s="36"/>
      <c r="L365" s="36"/>
      <c r="M365" s="36"/>
      <c r="N365" s="41">
        <f>N362*0.3</f>
        <v>1365</v>
      </c>
      <c r="O365" s="41">
        <f>O362*0.3</f>
        <v>1245</v>
      </c>
      <c r="P365" s="41">
        <f>P362*0.3</f>
        <v>1065</v>
      </c>
      <c r="Q365" s="30" t="s">
        <v>42</v>
      </c>
      <c r="R365" s="30" t="s">
        <v>43</v>
      </c>
      <c r="S365" s="76" t="s">
        <v>43</v>
      </c>
      <c r="T365" s="36"/>
      <c r="U365" s="31"/>
      <c r="V365" s="46" t="s">
        <v>1379</v>
      </c>
      <c r="W365" s="46">
        <v>33020300802</v>
      </c>
      <c r="X365" s="48" t="s">
        <v>1380</v>
      </c>
      <c r="Y365" s="46"/>
      <c r="Z365" s="46"/>
      <c r="AA365" s="46" t="s">
        <v>40</v>
      </c>
      <c r="AB365" s="30" t="s">
        <v>43</v>
      </c>
      <c r="AC365" s="52">
        <v>6240</v>
      </c>
      <c r="AD365" s="51">
        <v>5615</v>
      </c>
      <c r="AE365" s="57">
        <v>5485</v>
      </c>
      <c r="AF365" s="57">
        <v>4940</v>
      </c>
      <c r="AG365" s="57">
        <v>4200</v>
      </c>
      <c r="AH365" s="82" t="s">
        <v>42</v>
      </c>
      <c r="AI365" s="82" t="s">
        <v>43</v>
      </c>
      <c r="AJ365" s="76" t="s">
        <v>43</v>
      </c>
    </row>
    <row r="366" s="17" customFormat="1" ht="28" customHeight="1" spans="1:36">
      <c r="A366" s="29"/>
      <c r="B366" s="30"/>
      <c r="C366" s="28" t="s">
        <v>1378</v>
      </c>
      <c r="D366" s="30"/>
      <c r="E366" s="31"/>
      <c r="F366" s="31"/>
      <c r="G366" s="30"/>
      <c r="H366" s="31"/>
      <c r="I366" s="37"/>
      <c r="J366" s="37"/>
      <c r="K366" s="36"/>
      <c r="L366" s="36"/>
      <c r="M366" s="36"/>
      <c r="N366" s="41"/>
      <c r="O366" s="41"/>
      <c r="P366" s="41"/>
      <c r="Q366" s="30"/>
      <c r="R366" s="30"/>
      <c r="S366" s="76"/>
      <c r="T366" s="36"/>
      <c r="U366" s="31"/>
      <c r="V366" s="46" t="s">
        <v>1381</v>
      </c>
      <c r="W366" s="46">
        <v>33020300803</v>
      </c>
      <c r="X366" s="48" t="s">
        <v>1382</v>
      </c>
      <c r="Y366" s="46"/>
      <c r="Z366" s="46"/>
      <c r="AA366" s="46" t="s">
        <v>40</v>
      </c>
      <c r="AB366" s="30" t="s">
        <v>1348</v>
      </c>
      <c r="AC366" s="52">
        <v>6865</v>
      </c>
      <c r="AD366" s="51">
        <v>6180</v>
      </c>
      <c r="AE366" s="57">
        <v>5150</v>
      </c>
      <c r="AF366" s="57">
        <v>4630</v>
      </c>
      <c r="AG366" s="57">
        <v>3935</v>
      </c>
      <c r="AH366" s="82" t="s">
        <v>42</v>
      </c>
      <c r="AI366" s="82" t="s">
        <v>43</v>
      </c>
      <c r="AJ366" s="76" t="s">
        <v>43</v>
      </c>
    </row>
    <row r="367" s="17" customFormat="1" ht="28" customHeight="1" spans="1:36">
      <c r="A367" s="29"/>
      <c r="B367" s="30"/>
      <c r="C367" s="28" t="s">
        <v>1378</v>
      </c>
      <c r="D367" s="30"/>
      <c r="E367" s="31"/>
      <c r="F367" s="31"/>
      <c r="G367" s="30"/>
      <c r="H367" s="31"/>
      <c r="I367" s="37"/>
      <c r="J367" s="37"/>
      <c r="K367" s="36"/>
      <c r="L367" s="36"/>
      <c r="M367" s="36"/>
      <c r="N367" s="41"/>
      <c r="O367" s="41"/>
      <c r="P367" s="41"/>
      <c r="Q367" s="30"/>
      <c r="R367" s="30"/>
      <c r="S367" s="76"/>
      <c r="T367" s="36"/>
      <c r="U367" s="31"/>
      <c r="V367" s="46" t="s">
        <v>1383</v>
      </c>
      <c r="W367" s="46">
        <v>33020300901</v>
      </c>
      <c r="X367" s="48" t="s">
        <v>1384</v>
      </c>
      <c r="Y367" s="46"/>
      <c r="Z367" s="46"/>
      <c r="AA367" s="46" t="s">
        <v>40</v>
      </c>
      <c r="AB367" s="30" t="s">
        <v>43</v>
      </c>
      <c r="AC367" s="52">
        <v>4500</v>
      </c>
      <c r="AD367" s="51">
        <v>4045</v>
      </c>
      <c r="AE367" s="57">
        <v>3950</v>
      </c>
      <c r="AF367" s="57">
        <v>3560</v>
      </c>
      <c r="AG367" s="57">
        <v>3025</v>
      </c>
      <c r="AH367" s="82" t="s">
        <v>42</v>
      </c>
      <c r="AI367" s="82" t="s">
        <v>43</v>
      </c>
      <c r="AJ367" s="76" t="s">
        <v>43</v>
      </c>
    </row>
    <row r="368" s="17" customFormat="1" ht="54" customHeight="1" spans="1:36">
      <c r="A368" s="29">
        <v>71</v>
      </c>
      <c r="B368" s="30" t="s">
        <v>1385</v>
      </c>
      <c r="C368" s="30" t="s">
        <v>1386</v>
      </c>
      <c r="D368" s="30" t="s">
        <v>378</v>
      </c>
      <c r="E368" s="31" t="s">
        <v>1387</v>
      </c>
      <c r="F368" s="31" t="s">
        <v>1388</v>
      </c>
      <c r="G368" s="30" t="s">
        <v>40</v>
      </c>
      <c r="H368" s="31" t="s">
        <v>43</v>
      </c>
      <c r="I368" s="37">
        <v>2430</v>
      </c>
      <c r="J368" s="37">
        <v>2187</v>
      </c>
      <c r="K368" s="36">
        <v>2250</v>
      </c>
      <c r="L368" s="36">
        <v>2160</v>
      </c>
      <c r="M368" s="36">
        <v>1836</v>
      </c>
      <c r="N368" s="41">
        <v>2250</v>
      </c>
      <c r="O368" s="41">
        <v>2160</v>
      </c>
      <c r="P368" s="41">
        <v>1836</v>
      </c>
      <c r="Q368" s="30" t="s">
        <v>42</v>
      </c>
      <c r="R368" s="30" t="s">
        <v>43</v>
      </c>
      <c r="S368" s="76" t="s">
        <v>43</v>
      </c>
      <c r="T368" s="36" t="s">
        <v>153</v>
      </c>
      <c r="U368" s="31" t="s">
        <v>153</v>
      </c>
      <c r="V368" s="30" t="s">
        <v>1389</v>
      </c>
      <c r="W368" s="30">
        <v>330203013</v>
      </c>
      <c r="X368" s="30" t="s">
        <v>1390</v>
      </c>
      <c r="Y368" s="30" t="s">
        <v>1391</v>
      </c>
      <c r="Z368" s="30"/>
      <c r="AA368" s="30" t="s">
        <v>40</v>
      </c>
      <c r="AB368" s="30" t="s">
        <v>43</v>
      </c>
      <c r="AC368" s="51">
        <v>2430</v>
      </c>
      <c r="AD368" s="51">
        <v>2190</v>
      </c>
      <c r="AE368" s="57">
        <v>2250</v>
      </c>
      <c r="AF368" s="57">
        <v>2160</v>
      </c>
      <c r="AG368" s="57">
        <v>1836</v>
      </c>
      <c r="AH368" s="82" t="s">
        <v>42</v>
      </c>
      <c r="AI368" s="82" t="s">
        <v>43</v>
      </c>
      <c r="AJ368" s="76" t="s">
        <v>43</v>
      </c>
    </row>
    <row r="369" s="17" customFormat="1" ht="29" customHeight="1" spans="1:36">
      <c r="A369" s="29" t="s">
        <v>70</v>
      </c>
      <c r="B369" s="30" t="s">
        <v>1392</v>
      </c>
      <c r="C369" s="30" t="s">
        <v>1393</v>
      </c>
      <c r="D369" s="30" t="s">
        <v>378</v>
      </c>
      <c r="E369" s="31" t="s">
        <v>43</v>
      </c>
      <c r="F369" s="31" t="s">
        <v>43</v>
      </c>
      <c r="G369" s="30" t="s">
        <v>40</v>
      </c>
      <c r="H369" s="31" t="s">
        <v>43</v>
      </c>
      <c r="I369" s="37">
        <v>729</v>
      </c>
      <c r="J369" s="37">
        <v>656</v>
      </c>
      <c r="K369" s="36"/>
      <c r="L369" s="36"/>
      <c r="M369" s="36"/>
      <c r="N369" s="41">
        <f>N368*0.3</f>
        <v>675</v>
      </c>
      <c r="O369" s="41">
        <v>650</v>
      </c>
      <c r="P369" s="41">
        <v>550</v>
      </c>
      <c r="Q369" s="30" t="s">
        <v>42</v>
      </c>
      <c r="R369" s="30" t="s">
        <v>43</v>
      </c>
      <c r="S369" s="76" t="s">
        <v>43</v>
      </c>
      <c r="T369" s="36"/>
      <c r="U369" s="31" t="s">
        <v>384</v>
      </c>
      <c r="V369" s="46" t="s">
        <v>1394</v>
      </c>
      <c r="W369" s="46">
        <v>33020301301</v>
      </c>
      <c r="X369" s="48" t="s">
        <v>1395</v>
      </c>
      <c r="Y369" s="46"/>
      <c r="Z369" s="46"/>
      <c r="AA369" s="46" t="s">
        <v>40</v>
      </c>
      <c r="AB369" s="30" t="s">
        <v>43</v>
      </c>
      <c r="AC369" s="52">
        <v>3160</v>
      </c>
      <c r="AD369" s="51">
        <v>2845</v>
      </c>
      <c r="AE369" s="57">
        <v>2925</v>
      </c>
      <c r="AF369" s="57">
        <v>2810</v>
      </c>
      <c r="AG369" s="57">
        <v>2390</v>
      </c>
      <c r="AH369" s="82" t="s">
        <v>42</v>
      </c>
      <c r="AI369" s="82" t="s">
        <v>43</v>
      </c>
      <c r="AJ369" s="76" t="s">
        <v>43</v>
      </c>
    </row>
    <row r="370" s="17" customFormat="1" ht="57" customHeight="1" spans="1:36">
      <c r="A370" s="29">
        <v>72</v>
      </c>
      <c r="B370" s="30" t="s">
        <v>1396</v>
      </c>
      <c r="C370" s="30" t="s">
        <v>1397</v>
      </c>
      <c r="D370" s="30" t="s">
        <v>378</v>
      </c>
      <c r="E370" s="31" t="s">
        <v>1398</v>
      </c>
      <c r="F370" s="31" t="s">
        <v>1399</v>
      </c>
      <c r="G370" s="30" t="s">
        <v>40</v>
      </c>
      <c r="H370" s="31" t="s">
        <v>43</v>
      </c>
      <c r="I370" s="37">
        <v>1350</v>
      </c>
      <c r="J370" s="37">
        <v>1215</v>
      </c>
      <c r="K370" s="36">
        <v>1250</v>
      </c>
      <c r="L370" s="36">
        <v>1200</v>
      </c>
      <c r="M370" s="36">
        <v>1020</v>
      </c>
      <c r="N370" s="41">
        <v>1250</v>
      </c>
      <c r="O370" s="41">
        <v>1200</v>
      </c>
      <c r="P370" s="41">
        <v>1020</v>
      </c>
      <c r="Q370" s="30" t="s">
        <v>42</v>
      </c>
      <c r="R370" s="30" t="s">
        <v>43</v>
      </c>
      <c r="S370" s="76" t="s">
        <v>43</v>
      </c>
      <c r="T370" s="36" t="s">
        <v>153</v>
      </c>
      <c r="U370" s="31" t="s">
        <v>153</v>
      </c>
      <c r="V370" s="30" t="s">
        <v>1400</v>
      </c>
      <c r="W370" s="30">
        <v>330203014</v>
      </c>
      <c r="X370" s="30" t="s">
        <v>1401</v>
      </c>
      <c r="Y370" s="30" t="s">
        <v>1402</v>
      </c>
      <c r="Z370" s="30" t="s">
        <v>1403</v>
      </c>
      <c r="AA370" s="30" t="s">
        <v>40</v>
      </c>
      <c r="AB370" s="30" t="s">
        <v>43</v>
      </c>
      <c r="AC370" s="51">
        <v>1350</v>
      </c>
      <c r="AD370" s="51">
        <v>1215</v>
      </c>
      <c r="AE370" s="57">
        <v>1250</v>
      </c>
      <c r="AF370" s="57">
        <v>1200</v>
      </c>
      <c r="AG370" s="57">
        <v>1020</v>
      </c>
      <c r="AH370" s="82" t="s">
        <v>42</v>
      </c>
      <c r="AI370" s="82" t="s">
        <v>43</v>
      </c>
      <c r="AJ370" s="76" t="s">
        <v>43</v>
      </c>
    </row>
    <row r="371" s="17" customFormat="1" ht="26" customHeight="1" spans="1:36">
      <c r="A371" s="29" t="s">
        <v>70</v>
      </c>
      <c r="B371" s="30" t="s">
        <v>1404</v>
      </c>
      <c r="C371" s="30" t="s">
        <v>1405</v>
      </c>
      <c r="D371" s="30" t="s">
        <v>378</v>
      </c>
      <c r="E371" s="31" t="s">
        <v>43</v>
      </c>
      <c r="F371" s="31" t="s">
        <v>43</v>
      </c>
      <c r="G371" s="30" t="s">
        <v>40</v>
      </c>
      <c r="H371" s="31" t="s">
        <v>43</v>
      </c>
      <c r="I371" s="37">
        <v>405</v>
      </c>
      <c r="J371" s="37">
        <v>365</v>
      </c>
      <c r="K371" s="36"/>
      <c r="L371" s="36"/>
      <c r="M371" s="36"/>
      <c r="N371" s="41">
        <f>N370*0.3</f>
        <v>375</v>
      </c>
      <c r="O371" s="41">
        <f>O370*0.3</f>
        <v>360</v>
      </c>
      <c r="P371" s="41">
        <v>305</v>
      </c>
      <c r="Q371" s="30" t="s">
        <v>42</v>
      </c>
      <c r="R371" s="30" t="s">
        <v>43</v>
      </c>
      <c r="S371" s="76" t="s">
        <v>43</v>
      </c>
      <c r="T371" s="36"/>
      <c r="U371" s="31" t="s">
        <v>384</v>
      </c>
      <c r="V371" s="30" t="s">
        <v>1406</v>
      </c>
      <c r="W371" s="30">
        <v>33020301401</v>
      </c>
      <c r="X371" s="30" t="s">
        <v>1407</v>
      </c>
      <c r="Y371" s="30"/>
      <c r="Z371" s="30"/>
      <c r="AA371" s="30" t="s">
        <v>40</v>
      </c>
      <c r="AB371" s="30" t="s">
        <v>43</v>
      </c>
      <c r="AC371" s="51">
        <v>1755</v>
      </c>
      <c r="AD371" s="51">
        <v>1580</v>
      </c>
      <c r="AE371" s="57">
        <v>1625</v>
      </c>
      <c r="AF371" s="57">
        <v>1560</v>
      </c>
      <c r="AG371" s="57">
        <v>1325</v>
      </c>
      <c r="AH371" s="82" t="s">
        <v>42</v>
      </c>
      <c r="AI371" s="82" t="s">
        <v>43</v>
      </c>
      <c r="AJ371" s="76" t="s">
        <v>43</v>
      </c>
    </row>
    <row r="372" s="17" customFormat="1" ht="22" customHeight="1" spans="1:36">
      <c r="A372" s="29">
        <v>73</v>
      </c>
      <c r="B372" s="30" t="s">
        <v>1408</v>
      </c>
      <c r="C372" s="28" t="s">
        <v>1409</v>
      </c>
      <c r="D372" s="30" t="s">
        <v>378</v>
      </c>
      <c r="E372" s="31" t="s">
        <v>1410</v>
      </c>
      <c r="F372" s="31" t="s">
        <v>1411</v>
      </c>
      <c r="G372" s="30" t="s">
        <v>40</v>
      </c>
      <c r="H372" s="31" t="s">
        <v>1412</v>
      </c>
      <c r="I372" s="37">
        <v>4820</v>
      </c>
      <c r="J372" s="37">
        <v>4338</v>
      </c>
      <c r="K372" s="36">
        <v>4390</v>
      </c>
      <c r="L372" s="36"/>
      <c r="M372" s="36"/>
      <c r="N372" s="41">
        <v>4390</v>
      </c>
      <c r="O372" s="41">
        <v>3950</v>
      </c>
      <c r="P372" s="41">
        <v>3360</v>
      </c>
      <c r="Q372" s="30" t="s">
        <v>42</v>
      </c>
      <c r="R372" s="30" t="s">
        <v>43</v>
      </c>
      <c r="S372" s="76" t="s">
        <v>43</v>
      </c>
      <c r="T372" s="36" t="s">
        <v>153</v>
      </c>
      <c r="U372" s="31" t="s">
        <v>153</v>
      </c>
      <c r="V372" s="30" t="s">
        <v>1413</v>
      </c>
      <c r="W372" s="30">
        <v>330201017</v>
      </c>
      <c r="X372" s="30" t="s">
        <v>1414</v>
      </c>
      <c r="Y372" s="30"/>
      <c r="Z372" s="30"/>
      <c r="AA372" s="30" t="s">
        <v>40</v>
      </c>
      <c r="AB372" s="30" t="s">
        <v>43</v>
      </c>
      <c r="AC372" s="51">
        <v>3460</v>
      </c>
      <c r="AD372" s="51">
        <v>3110</v>
      </c>
      <c r="AE372" s="57">
        <v>3040</v>
      </c>
      <c r="AF372" s="57">
        <v>2740</v>
      </c>
      <c r="AG372" s="57">
        <v>2330</v>
      </c>
      <c r="AH372" s="82" t="s">
        <v>42</v>
      </c>
      <c r="AI372" s="82" t="s">
        <v>43</v>
      </c>
      <c r="AJ372" s="76" t="s">
        <v>43</v>
      </c>
    </row>
    <row r="373" s="17" customFormat="1" ht="22" customHeight="1" spans="1:36">
      <c r="A373" s="29"/>
      <c r="B373" s="30"/>
      <c r="C373" s="28" t="s">
        <v>1409</v>
      </c>
      <c r="D373" s="30"/>
      <c r="E373" s="31"/>
      <c r="F373" s="31"/>
      <c r="G373" s="30"/>
      <c r="H373" s="31"/>
      <c r="I373" s="37"/>
      <c r="J373" s="37"/>
      <c r="K373" s="36"/>
      <c r="L373" s="36"/>
      <c r="M373" s="36"/>
      <c r="N373" s="41"/>
      <c r="O373" s="41"/>
      <c r="P373" s="41"/>
      <c r="Q373" s="30"/>
      <c r="R373" s="30"/>
      <c r="S373" s="76"/>
      <c r="T373" s="36"/>
      <c r="U373" s="31"/>
      <c r="V373" s="30" t="s">
        <v>1415</v>
      </c>
      <c r="W373" s="30">
        <v>330202001</v>
      </c>
      <c r="X373" s="30" t="s">
        <v>1416</v>
      </c>
      <c r="Y373" s="30"/>
      <c r="Z373" s="30"/>
      <c r="AA373" s="30" t="s">
        <v>40</v>
      </c>
      <c r="AB373" s="30" t="s">
        <v>43</v>
      </c>
      <c r="AC373" s="51">
        <v>4990</v>
      </c>
      <c r="AD373" s="51">
        <v>4490</v>
      </c>
      <c r="AE373" s="57">
        <v>4390</v>
      </c>
      <c r="AF373" s="57">
        <v>3950</v>
      </c>
      <c r="AG373" s="57">
        <v>3360</v>
      </c>
      <c r="AH373" s="82" t="s">
        <v>42</v>
      </c>
      <c r="AI373" s="82" t="s">
        <v>43</v>
      </c>
      <c r="AJ373" s="76" t="s">
        <v>43</v>
      </c>
    </row>
    <row r="374" s="17" customFormat="1" ht="22" customHeight="1" spans="1:36">
      <c r="A374" s="29"/>
      <c r="B374" s="30"/>
      <c r="C374" s="28" t="s">
        <v>1409</v>
      </c>
      <c r="D374" s="30"/>
      <c r="E374" s="31"/>
      <c r="F374" s="31"/>
      <c r="G374" s="30"/>
      <c r="H374" s="31"/>
      <c r="I374" s="37"/>
      <c r="J374" s="37"/>
      <c r="K374" s="36"/>
      <c r="L374" s="36"/>
      <c r="M374" s="36"/>
      <c r="N374" s="41"/>
      <c r="O374" s="41"/>
      <c r="P374" s="41"/>
      <c r="Q374" s="30"/>
      <c r="R374" s="30"/>
      <c r="S374" s="76"/>
      <c r="T374" s="36"/>
      <c r="U374" s="31"/>
      <c r="V374" s="30" t="s">
        <v>1417</v>
      </c>
      <c r="W374" s="30">
        <v>330202005</v>
      </c>
      <c r="X374" s="30" t="s">
        <v>1418</v>
      </c>
      <c r="Y374" s="30"/>
      <c r="Z374" s="30"/>
      <c r="AA374" s="30" t="s">
        <v>40</v>
      </c>
      <c r="AB374" s="30" t="s">
        <v>43</v>
      </c>
      <c r="AC374" s="51">
        <v>3840</v>
      </c>
      <c r="AD374" s="51">
        <v>3460</v>
      </c>
      <c r="AE374" s="57">
        <v>3380</v>
      </c>
      <c r="AF374" s="57">
        <v>3040</v>
      </c>
      <c r="AG374" s="57">
        <v>2580</v>
      </c>
      <c r="AH374" s="82" t="s">
        <v>42</v>
      </c>
      <c r="AI374" s="82" t="s">
        <v>43</v>
      </c>
      <c r="AJ374" s="76" t="s">
        <v>43</v>
      </c>
    </row>
    <row r="375" s="17" customFormat="1" ht="22" customHeight="1" spans="1:36">
      <c r="A375" s="29"/>
      <c r="B375" s="30"/>
      <c r="C375" s="28" t="s">
        <v>1409</v>
      </c>
      <c r="D375" s="30"/>
      <c r="E375" s="31"/>
      <c r="F375" s="31"/>
      <c r="G375" s="30"/>
      <c r="H375" s="31"/>
      <c r="I375" s="37"/>
      <c r="J375" s="37"/>
      <c r="K375" s="36"/>
      <c r="L375" s="36"/>
      <c r="M375" s="36"/>
      <c r="N375" s="41"/>
      <c r="O375" s="41"/>
      <c r="P375" s="41"/>
      <c r="Q375" s="30"/>
      <c r="R375" s="30"/>
      <c r="S375" s="76"/>
      <c r="T375" s="36"/>
      <c r="U375" s="31"/>
      <c r="V375" s="30" t="s">
        <v>1419</v>
      </c>
      <c r="W375" s="30">
        <v>330202006</v>
      </c>
      <c r="X375" s="30" t="s">
        <v>1420</v>
      </c>
      <c r="Y375" s="30"/>
      <c r="Z375" s="30"/>
      <c r="AA375" s="30" t="s">
        <v>40</v>
      </c>
      <c r="AB375" s="30" t="s">
        <v>43</v>
      </c>
      <c r="AC375" s="51">
        <v>4420</v>
      </c>
      <c r="AD375" s="51">
        <v>3970</v>
      </c>
      <c r="AE375" s="57">
        <v>3880</v>
      </c>
      <c r="AF375" s="57">
        <v>3490</v>
      </c>
      <c r="AG375" s="57">
        <v>2970</v>
      </c>
      <c r="AH375" s="82" t="s">
        <v>42</v>
      </c>
      <c r="AI375" s="82" t="s">
        <v>43</v>
      </c>
      <c r="AJ375" s="76" t="s">
        <v>43</v>
      </c>
    </row>
    <row r="376" s="17" customFormat="1" ht="22" customHeight="1" spans="1:36">
      <c r="A376" s="29"/>
      <c r="B376" s="30"/>
      <c r="C376" s="28" t="s">
        <v>1409</v>
      </c>
      <c r="D376" s="30"/>
      <c r="E376" s="31"/>
      <c r="F376" s="31"/>
      <c r="G376" s="30"/>
      <c r="H376" s="31"/>
      <c r="I376" s="37"/>
      <c r="J376" s="37"/>
      <c r="K376" s="36"/>
      <c r="L376" s="36"/>
      <c r="M376" s="36"/>
      <c r="N376" s="41"/>
      <c r="O376" s="41"/>
      <c r="P376" s="41"/>
      <c r="Q376" s="30"/>
      <c r="R376" s="30"/>
      <c r="S376" s="76"/>
      <c r="T376" s="36"/>
      <c r="U376" s="31"/>
      <c r="V376" s="30" t="s">
        <v>1421</v>
      </c>
      <c r="W376" s="30">
        <v>330202014</v>
      </c>
      <c r="X376" s="30" t="s">
        <v>1422</v>
      </c>
      <c r="Y376" s="30"/>
      <c r="Z376" s="30"/>
      <c r="AA376" s="30" t="s">
        <v>40</v>
      </c>
      <c r="AB376" s="30" t="s">
        <v>43</v>
      </c>
      <c r="AC376" s="51">
        <v>4420</v>
      </c>
      <c r="AD376" s="51">
        <v>3970</v>
      </c>
      <c r="AE376" s="57">
        <v>3880</v>
      </c>
      <c r="AF376" s="57">
        <v>3490</v>
      </c>
      <c r="AG376" s="57">
        <v>2970</v>
      </c>
      <c r="AH376" s="82" t="s">
        <v>42</v>
      </c>
      <c r="AI376" s="82" t="s">
        <v>43</v>
      </c>
      <c r="AJ376" s="76" t="s">
        <v>43</v>
      </c>
    </row>
    <row r="377" s="17" customFormat="1" ht="22" customHeight="1" spans="1:36">
      <c r="A377" s="29"/>
      <c r="B377" s="30"/>
      <c r="C377" s="28" t="s">
        <v>1409</v>
      </c>
      <c r="D377" s="30"/>
      <c r="E377" s="31"/>
      <c r="F377" s="31"/>
      <c r="G377" s="30"/>
      <c r="H377" s="31"/>
      <c r="I377" s="37"/>
      <c r="J377" s="37"/>
      <c r="K377" s="36"/>
      <c r="L377" s="36"/>
      <c r="M377" s="36"/>
      <c r="N377" s="41"/>
      <c r="O377" s="41"/>
      <c r="P377" s="41"/>
      <c r="Q377" s="30"/>
      <c r="R377" s="30"/>
      <c r="S377" s="76"/>
      <c r="T377" s="36"/>
      <c r="U377" s="31"/>
      <c r="V377" s="30" t="s">
        <v>1423</v>
      </c>
      <c r="W377" s="30">
        <v>330202015</v>
      </c>
      <c r="X377" s="30" t="s">
        <v>1424</v>
      </c>
      <c r="Y377" s="30"/>
      <c r="Z377" s="30"/>
      <c r="AA377" s="30" t="s">
        <v>40</v>
      </c>
      <c r="AB377" s="30" t="s">
        <v>43</v>
      </c>
      <c r="AC377" s="51">
        <v>4420</v>
      </c>
      <c r="AD377" s="51">
        <v>3970</v>
      </c>
      <c r="AE377" s="57">
        <v>3880</v>
      </c>
      <c r="AF377" s="57">
        <v>3490</v>
      </c>
      <c r="AG377" s="57">
        <v>2970</v>
      </c>
      <c r="AH377" s="82" t="s">
        <v>42</v>
      </c>
      <c r="AI377" s="82" t="s">
        <v>43</v>
      </c>
      <c r="AJ377" s="76" t="s">
        <v>43</v>
      </c>
    </row>
    <row r="378" s="17" customFormat="1" ht="22" customHeight="1" spans="1:36">
      <c r="A378" s="29"/>
      <c r="B378" s="30"/>
      <c r="C378" s="28" t="s">
        <v>1409</v>
      </c>
      <c r="D378" s="30"/>
      <c r="E378" s="31"/>
      <c r="F378" s="31"/>
      <c r="G378" s="30"/>
      <c r="H378" s="31"/>
      <c r="I378" s="37"/>
      <c r="J378" s="37"/>
      <c r="K378" s="36"/>
      <c r="L378" s="36"/>
      <c r="M378" s="36"/>
      <c r="N378" s="41"/>
      <c r="O378" s="41"/>
      <c r="P378" s="41"/>
      <c r="Q378" s="30"/>
      <c r="R378" s="30"/>
      <c r="S378" s="76"/>
      <c r="T378" s="36"/>
      <c r="U378" s="31"/>
      <c r="V378" s="30" t="s">
        <v>1425</v>
      </c>
      <c r="W378" s="30">
        <v>330202016</v>
      </c>
      <c r="X378" s="30" t="s">
        <v>1426</v>
      </c>
      <c r="Y378" s="30"/>
      <c r="Z378" s="30"/>
      <c r="AA378" s="30" t="s">
        <v>40</v>
      </c>
      <c r="AB378" s="30" t="s">
        <v>43</v>
      </c>
      <c r="AC378" s="51">
        <v>4420</v>
      </c>
      <c r="AD378" s="51">
        <v>3970</v>
      </c>
      <c r="AE378" s="57">
        <v>3880</v>
      </c>
      <c r="AF378" s="57">
        <v>3490</v>
      </c>
      <c r="AG378" s="57">
        <v>2970</v>
      </c>
      <c r="AH378" s="82" t="s">
        <v>42</v>
      </c>
      <c r="AI378" s="82" t="s">
        <v>43</v>
      </c>
      <c r="AJ378" s="76" t="s">
        <v>43</v>
      </c>
    </row>
    <row r="379" s="17" customFormat="1" ht="22" customHeight="1" spans="1:36">
      <c r="A379" s="29"/>
      <c r="B379" s="30"/>
      <c r="C379" s="28" t="s">
        <v>1409</v>
      </c>
      <c r="D379" s="30"/>
      <c r="E379" s="31"/>
      <c r="F379" s="31"/>
      <c r="G379" s="30"/>
      <c r="H379" s="31"/>
      <c r="I379" s="37"/>
      <c r="J379" s="37"/>
      <c r="K379" s="36"/>
      <c r="L379" s="36"/>
      <c r="M379" s="36"/>
      <c r="N379" s="41"/>
      <c r="O379" s="41"/>
      <c r="P379" s="41"/>
      <c r="Q379" s="30"/>
      <c r="R379" s="30"/>
      <c r="S379" s="76"/>
      <c r="T379" s="36"/>
      <c r="U379" s="31"/>
      <c r="V379" s="30" t="s">
        <v>1427</v>
      </c>
      <c r="W379" s="30">
        <v>330202017</v>
      </c>
      <c r="X379" s="30" t="s">
        <v>1428</v>
      </c>
      <c r="Y379" s="30" t="s">
        <v>1429</v>
      </c>
      <c r="Z379" s="30"/>
      <c r="AA379" s="30" t="s">
        <v>40</v>
      </c>
      <c r="AB379" s="30" t="s">
        <v>43</v>
      </c>
      <c r="AC379" s="51">
        <v>4420</v>
      </c>
      <c r="AD379" s="51">
        <v>3970</v>
      </c>
      <c r="AE379" s="57">
        <v>3880</v>
      </c>
      <c r="AF379" s="57">
        <v>3490</v>
      </c>
      <c r="AG379" s="57">
        <v>2970</v>
      </c>
      <c r="AH379" s="82" t="s">
        <v>42</v>
      </c>
      <c r="AI379" s="82" t="s">
        <v>43</v>
      </c>
      <c r="AJ379" s="76" t="s">
        <v>43</v>
      </c>
    </row>
    <row r="380" s="17" customFormat="1" ht="20" customHeight="1" spans="1:36">
      <c r="A380" s="29" t="s">
        <v>70</v>
      </c>
      <c r="B380" s="30" t="s">
        <v>1430</v>
      </c>
      <c r="C380" s="28" t="s">
        <v>1431</v>
      </c>
      <c r="D380" s="30" t="s">
        <v>378</v>
      </c>
      <c r="E380" s="31" t="s">
        <v>43</v>
      </c>
      <c r="F380" s="31" t="s">
        <v>43</v>
      </c>
      <c r="G380" s="30" t="s">
        <v>40</v>
      </c>
      <c r="H380" s="31" t="s">
        <v>43</v>
      </c>
      <c r="I380" s="37">
        <v>1446</v>
      </c>
      <c r="J380" s="37">
        <v>1301</v>
      </c>
      <c r="K380" s="36"/>
      <c r="L380" s="36"/>
      <c r="M380" s="36"/>
      <c r="N380" s="41">
        <v>1315</v>
      </c>
      <c r="O380" s="41">
        <f>O372*0.3</f>
        <v>1185</v>
      </c>
      <c r="P380" s="41">
        <v>1010</v>
      </c>
      <c r="Q380" s="30" t="s">
        <v>42</v>
      </c>
      <c r="R380" s="30" t="s">
        <v>43</v>
      </c>
      <c r="S380" s="76" t="s">
        <v>43</v>
      </c>
      <c r="T380" s="36"/>
      <c r="U380" s="31" t="s">
        <v>384</v>
      </c>
      <c r="V380" s="46" t="s">
        <v>1432</v>
      </c>
      <c r="W380" s="46">
        <v>33020101701</v>
      </c>
      <c r="X380" s="48" t="s">
        <v>1433</v>
      </c>
      <c r="Y380" s="46"/>
      <c r="Z380" s="46"/>
      <c r="AA380" s="46" t="s">
        <v>40</v>
      </c>
      <c r="AB380" s="30" t="s">
        <v>43</v>
      </c>
      <c r="AC380" s="52">
        <v>4500</v>
      </c>
      <c r="AD380" s="51">
        <v>4045</v>
      </c>
      <c r="AE380" s="57">
        <v>3950</v>
      </c>
      <c r="AF380" s="57">
        <v>3560</v>
      </c>
      <c r="AG380" s="57">
        <v>3025</v>
      </c>
      <c r="AH380" s="82" t="s">
        <v>42</v>
      </c>
      <c r="AI380" s="82" t="s">
        <v>43</v>
      </c>
      <c r="AJ380" s="76" t="s">
        <v>43</v>
      </c>
    </row>
    <row r="381" s="17" customFormat="1" ht="20" customHeight="1" spans="1:36">
      <c r="A381" s="29"/>
      <c r="B381" s="30"/>
      <c r="C381" s="28" t="s">
        <v>1431</v>
      </c>
      <c r="D381" s="30"/>
      <c r="E381" s="31"/>
      <c r="F381" s="31"/>
      <c r="G381" s="30"/>
      <c r="H381" s="31"/>
      <c r="I381" s="37"/>
      <c r="J381" s="37"/>
      <c r="K381" s="36"/>
      <c r="L381" s="36"/>
      <c r="M381" s="36"/>
      <c r="N381" s="41"/>
      <c r="O381" s="41"/>
      <c r="P381" s="41"/>
      <c r="Q381" s="30"/>
      <c r="R381" s="30"/>
      <c r="S381" s="76"/>
      <c r="T381" s="36"/>
      <c r="U381" s="31"/>
      <c r="V381" s="46" t="s">
        <v>1434</v>
      </c>
      <c r="W381" s="46">
        <v>33020200101</v>
      </c>
      <c r="X381" s="48" t="s">
        <v>1435</v>
      </c>
      <c r="Y381" s="46"/>
      <c r="Z381" s="46"/>
      <c r="AA381" s="46" t="s">
        <v>40</v>
      </c>
      <c r="AB381" s="30" t="s">
        <v>43</v>
      </c>
      <c r="AC381" s="52">
        <v>6485</v>
      </c>
      <c r="AD381" s="51">
        <v>5835</v>
      </c>
      <c r="AE381" s="57">
        <v>5705</v>
      </c>
      <c r="AF381" s="57">
        <v>5135</v>
      </c>
      <c r="AG381" s="57">
        <v>4365</v>
      </c>
      <c r="AH381" s="82" t="s">
        <v>42</v>
      </c>
      <c r="AI381" s="82" t="s">
        <v>43</v>
      </c>
      <c r="AJ381" s="76" t="s">
        <v>43</v>
      </c>
    </row>
    <row r="382" s="17" customFormat="1" ht="20" customHeight="1" spans="1:36">
      <c r="A382" s="29"/>
      <c r="B382" s="30"/>
      <c r="C382" s="28" t="s">
        <v>1431</v>
      </c>
      <c r="D382" s="30"/>
      <c r="E382" s="31"/>
      <c r="F382" s="31"/>
      <c r="G382" s="30"/>
      <c r="H382" s="31"/>
      <c r="I382" s="37"/>
      <c r="J382" s="37"/>
      <c r="K382" s="36"/>
      <c r="L382" s="36"/>
      <c r="M382" s="36"/>
      <c r="N382" s="41"/>
      <c r="O382" s="41"/>
      <c r="P382" s="41"/>
      <c r="Q382" s="30"/>
      <c r="R382" s="30"/>
      <c r="S382" s="76"/>
      <c r="T382" s="36"/>
      <c r="U382" s="31"/>
      <c r="V382" s="46" t="s">
        <v>1436</v>
      </c>
      <c r="W382" s="46">
        <v>33020200501</v>
      </c>
      <c r="X382" s="48" t="s">
        <v>1437</v>
      </c>
      <c r="Y382" s="46"/>
      <c r="Z382" s="46"/>
      <c r="AA382" s="46" t="s">
        <v>40</v>
      </c>
      <c r="AB382" s="30" t="s">
        <v>43</v>
      </c>
      <c r="AC382" s="52">
        <v>4990</v>
      </c>
      <c r="AD382" s="51">
        <v>4500</v>
      </c>
      <c r="AE382" s="57">
        <v>4395</v>
      </c>
      <c r="AF382" s="57">
        <v>3950</v>
      </c>
      <c r="AG382" s="57">
        <v>3360</v>
      </c>
      <c r="AH382" s="82" t="s">
        <v>42</v>
      </c>
      <c r="AI382" s="82" t="s">
        <v>43</v>
      </c>
      <c r="AJ382" s="76" t="s">
        <v>43</v>
      </c>
    </row>
    <row r="383" s="17" customFormat="1" ht="20" customHeight="1" spans="1:36">
      <c r="A383" s="29"/>
      <c r="B383" s="30"/>
      <c r="C383" s="28" t="s">
        <v>1431</v>
      </c>
      <c r="D383" s="30"/>
      <c r="E383" s="31"/>
      <c r="F383" s="31"/>
      <c r="G383" s="30"/>
      <c r="H383" s="31"/>
      <c r="I383" s="37"/>
      <c r="J383" s="37"/>
      <c r="K383" s="36"/>
      <c r="L383" s="36"/>
      <c r="M383" s="36"/>
      <c r="N383" s="41"/>
      <c r="O383" s="41"/>
      <c r="P383" s="41"/>
      <c r="Q383" s="30"/>
      <c r="R383" s="30"/>
      <c r="S383" s="76"/>
      <c r="T383" s="36"/>
      <c r="U383" s="31"/>
      <c r="V383" s="46" t="s">
        <v>1438</v>
      </c>
      <c r="W383" s="46">
        <v>33020200601</v>
      </c>
      <c r="X383" s="48" t="s">
        <v>1439</v>
      </c>
      <c r="Y383" s="46"/>
      <c r="Z383" s="46"/>
      <c r="AA383" s="46" t="s">
        <v>40</v>
      </c>
      <c r="AB383" s="30" t="s">
        <v>43</v>
      </c>
      <c r="AC383" s="52">
        <v>5745</v>
      </c>
      <c r="AD383" s="51">
        <v>5160</v>
      </c>
      <c r="AE383" s="57">
        <v>5045</v>
      </c>
      <c r="AF383" s="57">
        <v>4535</v>
      </c>
      <c r="AG383" s="57">
        <v>3855</v>
      </c>
      <c r="AH383" s="82" t="s">
        <v>42</v>
      </c>
      <c r="AI383" s="82" t="s">
        <v>43</v>
      </c>
      <c r="AJ383" s="76" t="s">
        <v>43</v>
      </c>
    </row>
    <row r="384" s="17" customFormat="1" ht="20" customHeight="1" spans="1:36">
      <c r="A384" s="29"/>
      <c r="B384" s="30"/>
      <c r="C384" s="28" t="s">
        <v>1431</v>
      </c>
      <c r="D384" s="30"/>
      <c r="E384" s="31"/>
      <c r="F384" s="31"/>
      <c r="G384" s="30"/>
      <c r="H384" s="31"/>
      <c r="I384" s="37"/>
      <c r="J384" s="37"/>
      <c r="K384" s="36"/>
      <c r="L384" s="36"/>
      <c r="M384" s="36"/>
      <c r="N384" s="41"/>
      <c r="O384" s="41"/>
      <c r="P384" s="41"/>
      <c r="Q384" s="30"/>
      <c r="R384" s="30"/>
      <c r="S384" s="76"/>
      <c r="T384" s="36"/>
      <c r="U384" s="31"/>
      <c r="V384" s="46" t="s">
        <v>1440</v>
      </c>
      <c r="W384" s="46">
        <v>33020201401</v>
      </c>
      <c r="X384" s="48" t="s">
        <v>1441</v>
      </c>
      <c r="Y384" s="46"/>
      <c r="Z384" s="46"/>
      <c r="AA384" s="46" t="s">
        <v>40</v>
      </c>
      <c r="AB384" s="30" t="s">
        <v>43</v>
      </c>
      <c r="AC384" s="52">
        <v>5745</v>
      </c>
      <c r="AD384" s="51">
        <v>5160</v>
      </c>
      <c r="AE384" s="57">
        <v>5045</v>
      </c>
      <c r="AF384" s="57">
        <v>4535</v>
      </c>
      <c r="AG384" s="57">
        <v>3855</v>
      </c>
      <c r="AH384" s="82" t="s">
        <v>42</v>
      </c>
      <c r="AI384" s="82" t="s">
        <v>43</v>
      </c>
      <c r="AJ384" s="76" t="s">
        <v>43</v>
      </c>
    </row>
    <row r="385" s="17" customFormat="1" ht="20" customHeight="1" spans="1:36">
      <c r="A385" s="29"/>
      <c r="B385" s="30"/>
      <c r="C385" s="28" t="s">
        <v>1431</v>
      </c>
      <c r="D385" s="30"/>
      <c r="E385" s="31"/>
      <c r="F385" s="31"/>
      <c r="G385" s="30"/>
      <c r="H385" s="31"/>
      <c r="I385" s="37"/>
      <c r="J385" s="37"/>
      <c r="K385" s="36"/>
      <c r="L385" s="36"/>
      <c r="M385" s="36"/>
      <c r="N385" s="41"/>
      <c r="O385" s="41"/>
      <c r="P385" s="41"/>
      <c r="Q385" s="30"/>
      <c r="R385" s="30"/>
      <c r="S385" s="76"/>
      <c r="T385" s="36"/>
      <c r="U385" s="31"/>
      <c r="V385" s="46" t="s">
        <v>1442</v>
      </c>
      <c r="W385" s="46">
        <v>33020201501</v>
      </c>
      <c r="X385" s="48" t="s">
        <v>1443</v>
      </c>
      <c r="Y385" s="46"/>
      <c r="Z385" s="46"/>
      <c r="AA385" s="46" t="s">
        <v>40</v>
      </c>
      <c r="AB385" s="30" t="s">
        <v>43</v>
      </c>
      <c r="AC385" s="52">
        <v>5745</v>
      </c>
      <c r="AD385" s="51">
        <v>5160</v>
      </c>
      <c r="AE385" s="57">
        <v>5045</v>
      </c>
      <c r="AF385" s="57">
        <v>4535</v>
      </c>
      <c r="AG385" s="57">
        <v>3855</v>
      </c>
      <c r="AH385" s="82" t="s">
        <v>42</v>
      </c>
      <c r="AI385" s="82" t="s">
        <v>43</v>
      </c>
      <c r="AJ385" s="76" t="s">
        <v>43</v>
      </c>
    </row>
    <row r="386" s="17" customFormat="1" ht="20" customHeight="1" spans="1:36">
      <c r="A386" s="29"/>
      <c r="B386" s="30"/>
      <c r="C386" s="28" t="s">
        <v>1431</v>
      </c>
      <c r="D386" s="30"/>
      <c r="E386" s="31"/>
      <c r="F386" s="31"/>
      <c r="G386" s="30"/>
      <c r="H386" s="31"/>
      <c r="I386" s="37"/>
      <c r="J386" s="37"/>
      <c r="K386" s="36"/>
      <c r="L386" s="36"/>
      <c r="M386" s="36"/>
      <c r="N386" s="41"/>
      <c r="O386" s="41"/>
      <c r="P386" s="41"/>
      <c r="Q386" s="30"/>
      <c r="R386" s="30"/>
      <c r="S386" s="76"/>
      <c r="T386" s="36"/>
      <c r="U386" s="31"/>
      <c r="V386" s="46" t="s">
        <v>1444</v>
      </c>
      <c r="W386" s="46">
        <v>33020201601</v>
      </c>
      <c r="X386" s="48" t="s">
        <v>1445</v>
      </c>
      <c r="Y386" s="46"/>
      <c r="Z386" s="46"/>
      <c r="AA386" s="46" t="s">
        <v>40</v>
      </c>
      <c r="AB386" s="30" t="s">
        <v>43</v>
      </c>
      <c r="AC386" s="52">
        <v>5745</v>
      </c>
      <c r="AD386" s="51">
        <v>5160</v>
      </c>
      <c r="AE386" s="57">
        <v>5045</v>
      </c>
      <c r="AF386" s="57">
        <v>4535</v>
      </c>
      <c r="AG386" s="57">
        <v>3855</v>
      </c>
      <c r="AH386" s="82" t="s">
        <v>42</v>
      </c>
      <c r="AI386" s="82" t="s">
        <v>43</v>
      </c>
      <c r="AJ386" s="76" t="s">
        <v>43</v>
      </c>
    </row>
    <row r="387" s="17" customFormat="1" ht="20" customHeight="1" spans="1:36">
      <c r="A387" s="29"/>
      <c r="B387" s="30"/>
      <c r="C387" s="28" t="s">
        <v>1431</v>
      </c>
      <c r="D387" s="30"/>
      <c r="E387" s="31"/>
      <c r="F387" s="31"/>
      <c r="G387" s="30"/>
      <c r="H387" s="31"/>
      <c r="I387" s="37"/>
      <c r="J387" s="37"/>
      <c r="K387" s="36"/>
      <c r="L387" s="36"/>
      <c r="M387" s="36"/>
      <c r="N387" s="41"/>
      <c r="O387" s="41"/>
      <c r="P387" s="41"/>
      <c r="Q387" s="30"/>
      <c r="R387" s="30"/>
      <c r="S387" s="76"/>
      <c r="T387" s="36"/>
      <c r="U387" s="31"/>
      <c r="V387" s="30" t="s">
        <v>1446</v>
      </c>
      <c r="W387" s="30">
        <v>33020201701</v>
      </c>
      <c r="X387" s="30" t="s">
        <v>1447</v>
      </c>
      <c r="Y387" s="30"/>
      <c r="Z387" s="30"/>
      <c r="AA387" s="30" t="s">
        <v>40</v>
      </c>
      <c r="AB387" s="30" t="s">
        <v>43</v>
      </c>
      <c r="AC387" s="51">
        <v>5745</v>
      </c>
      <c r="AD387" s="51">
        <v>5160</v>
      </c>
      <c r="AE387" s="57">
        <v>5045</v>
      </c>
      <c r="AF387" s="57">
        <v>4535</v>
      </c>
      <c r="AG387" s="57">
        <v>3855</v>
      </c>
      <c r="AH387" s="82" t="s">
        <v>42</v>
      </c>
      <c r="AI387" s="82" t="s">
        <v>43</v>
      </c>
      <c r="AJ387" s="76" t="s">
        <v>43</v>
      </c>
    </row>
    <row r="388" s="17" customFormat="1" ht="24" customHeight="1" spans="1:36">
      <c r="A388" s="29">
        <v>74</v>
      </c>
      <c r="B388" s="30" t="s">
        <v>1448</v>
      </c>
      <c r="C388" s="28" t="s">
        <v>1449</v>
      </c>
      <c r="D388" s="30" t="s">
        <v>378</v>
      </c>
      <c r="E388" s="31" t="s">
        <v>1450</v>
      </c>
      <c r="F388" s="31" t="s">
        <v>1451</v>
      </c>
      <c r="G388" s="30" t="s">
        <v>40</v>
      </c>
      <c r="H388" s="31" t="s">
        <v>1452</v>
      </c>
      <c r="I388" s="37">
        <v>3683</v>
      </c>
      <c r="J388" s="37">
        <v>3315</v>
      </c>
      <c r="K388" s="36"/>
      <c r="L388" s="36">
        <v>2740</v>
      </c>
      <c r="M388" s="36"/>
      <c r="N388" s="41">
        <v>3350</v>
      </c>
      <c r="O388" s="41">
        <v>3000</v>
      </c>
      <c r="P388" s="41">
        <f>O388*0.85</f>
        <v>2550</v>
      </c>
      <c r="Q388" s="30" t="s">
        <v>42</v>
      </c>
      <c r="R388" s="30" t="s">
        <v>43</v>
      </c>
      <c r="S388" s="76" t="s">
        <v>43</v>
      </c>
      <c r="T388" s="36" t="s">
        <v>280</v>
      </c>
      <c r="U388" s="31" t="s">
        <v>1453</v>
      </c>
      <c r="V388" s="30" t="s">
        <v>1454</v>
      </c>
      <c r="W388" s="30">
        <v>330204003</v>
      </c>
      <c r="X388" s="30" t="s">
        <v>1455</v>
      </c>
      <c r="Y388" s="30"/>
      <c r="Z388" s="30"/>
      <c r="AA388" s="30" t="s">
        <v>40</v>
      </c>
      <c r="AB388" s="30" t="s">
        <v>43</v>
      </c>
      <c r="AC388" s="51">
        <v>4800</v>
      </c>
      <c r="AD388" s="51">
        <v>4320</v>
      </c>
      <c r="AE388" s="57">
        <v>4130</v>
      </c>
      <c r="AF388" s="57">
        <v>3720</v>
      </c>
      <c r="AG388" s="57">
        <v>3160</v>
      </c>
      <c r="AH388" s="82" t="s">
        <v>42</v>
      </c>
      <c r="AI388" s="82" t="s">
        <v>43</v>
      </c>
      <c r="AJ388" s="76" t="s">
        <v>43</v>
      </c>
    </row>
    <row r="389" s="17" customFormat="1" ht="24" customHeight="1" spans="1:36">
      <c r="A389" s="29"/>
      <c r="B389" s="30"/>
      <c r="C389" s="28" t="s">
        <v>1449</v>
      </c>
      <c r="D389" s="30"/>
      <c r="E389" s="31"/>
      <c r="F389" s="31"/>
      <c r="G389" s="30"/>
      <c r="H389" s="31"/>
      <c r="I389" s="37"/>
      <c r="J389" s="37"/>
      <c r="K389" s="36"/>
      <c r="L389" s="36"/>
      <c r="M389" s="36"/>
      <c r="N389" s="41"/>
      <c r="O389" s="41"/>
      <c r="P389" s="41"/>
      <c r="Q389" s="30"/>
      <c r="R389" s="30"/>
      <c r="S389" s="76"/>
      <c r="T389" s="36"/>
      <c r="U389" s="31"/>
      <c r="V389" s="30" t="s">
        <v>1456</v>
      </c>
      <c r="W389" s="30">
        <v>330204005</v>
      </c>
      <c r="X389" s="30" t="s">
        <v>1457</v>
      </c>
      <c r="Y389" s="30" t="s">
        <v>1458</v>
      </c>
      <c r="Z389" s="30"/>
      <c r="AA389" s="30" t="s">
        <v>40</v>
      </c>
      <c r="AB389" s="30" t="s">
        <v>43</v>
      </c>
      <c r="AC389" s="51">
        <v>4800</v>
      </c>
      <c r="AD389" s="51">
        <v>4320</v>
      </c>
      <c r="AE389" s="57">
        <v>4130</v>
      </c>
      <c r="AF389" s="57">
        <v>3720</v>
      </c>
      <c r="AG389" s="57">
        <v>3160</v>
      </c>
      <c r="AH389" s="82" t="s">
        <v>42</v>
      </c>
      <c r="AI389" s="82" t="s">
        <v>43</v>
      </c>
      <c r="AJ389" s="76" t="s">
        <v>43</v>
      </c>
    </row>
    <row r="390" s="17" customFormat="1" ht="24" customHeight="1" spans="1:36">
      <c r="A390" s="29"/>
      <c r="B390" s="30"/>
      <c r="C390" s="28" t="s">
        <v>1449</v>
      </c>
      <c r="D390" s="30"/>
      <c r="E390" s="31"/>
      <c r="F390" s="31"/>
      <c r="G390" s="30"/>
      <c r="H390" s="31"/>
      <c r="I390" s="37"/>
      <c r="J390" s="37"/>
      <c r="K390" s="36"/>
      <c r="L390" s="36"/>
      <c r="M390" s="36"/>
      <c r="N390" s="41"/>
      <c r="O390" s="41"/>
      <c r="P390" s="41"/>
      <c r="Q390" s="30"/>
      <c r="R390" s="30"/>
      <c r="S390" s="76"/>
      <c r="T390" s="36"/>
      <c r="U390" s="31"/>
      <c r="V390" s="30" t="s">
        <v>1459</v>
      </c>
      <c r="W390" s="30">
        <v>33020400501</v>
      </c>
      <c r="X390" s="30" t="s">
        <v>1460</v>
      </c>
      <c r="Y390" s="30"/>
      <c r="Z390" s="30"/>
      <c r="AA390" s="30" t="s">
        <v>40</v>
      </c>
      <c r="AB390" s="30" t="s">
        <v>1461</v>
      </c>
      <c r="AC390" s="51">
        <v>4800</v>
      </c>
      <c r="AD390" s="51">
        <v>4320</v>
      </c>
      <c r="AE390" s="57">
        <v>4130</v>
      </c>
      <c r="AF390" s="57">
        <v>3720</v>
      </c>
      <c r="AG390" s="57">
        <v>3160</v>
      </c>
      <c r="AH390" s="82" t="s">
        <v>42</v>
      </c>
      <c r="AI390" s="82" t="s">
        <v>43</v>
      </c>
      <c r="AJ390" s="76" t="s">
        <v>43</v>
      </c>
    </row>
    <row r="391" s="17" customFormat="1" ht="24" customHeight="1" spans="1:36">
      <c r="A391" s="29"/>
      <c r="B391" s="30"/>
      <c r="C391" s="28" t="s">
        <v>1449</v>
      </c>
      <c r="D391" s="30"/>
      <c r="E391" s="31"/>
      <c r="F391" s="31"/>
      <c r="G391" s="30"/>
      <c r="H391" s="31"/>
      <c r="I391" s="37"/>
      <c r="J391" s="37"/>
      <c r="K391" s="36"/>
      <c r="L391" s="36"/>
      <c r="M391" s="36"/>
      <c r="N391" s="41"/>
      <c r="O391" s="41"/>
      <c r="P391" s="41"/>
      <c r="Q391" s="30"/>
      <c r="R391" s="30"/>
      <c r="S391" s="76"/>
      <c r="T391" s="36"/>
      <c r="U391" s="31"/>
      <c r="V391" s="30" t="s">
        <v>1462</v>
      </c>
      <c r="W391" s="30">
        <v>330204014</v>
      </c>
      <c r="X391" s="30" t="s">
        <v>1463</v>
      </c>
      <c r="Y391" s="30"/>
      <c r="Z391" s="30"/>
      <c r="AA391" s="30" t="s">
        <v>40</v>
      </c>
      <c r="AB391" s="30" t="s">
        <v>43</v>
      </c>
      <c r="AC391" s="51">
        <v>3460</v>
      </c>
      <c r="AD391" s="51">
        <v>3110</v>
      </c>
      <c r="AE391" s="57">
        <v>3040</v>
      </c>
      <c r="AF391" s="57">
        <v>2740</v>
      </c>
      <c r="AG391" s="57">
        <v>2330</v>
      </c>
      <c r="AH391" s="82" t="s">
        <v>42</v>
      </c>
      <c r="AI391" s="82" t="s">
        <v>43</v>
      </c>
      <c r="AJ391" s="76" t="s">
        <v>43</v>
      </c>
    </row>
    <row r="392" s="17" customFormat="1" ht="18" customHeight="1" spans="1:36">
      <c r="A392" s="29" t="s">
        <v>70</v>
      </c>
      <c r="B392" s="30" t="s">
        <v>1464</v>
      </c>
      <c r="C392" s="28" t="s">
        <v>1465</v>
      </c>
      <c r="D392" s="30" t="s">
        <v>378</v>
      </c>
      <c r="E392" s="31" t="s">
        <v>43</v>
      </c>
      <c r="F392" s="31" t="s">
        <v>43</v>
      </c>
      <c r="G392" s="30" t="s">
        <v>40</v>
      </c>
      <c r="H392" s="31"/>
      <c r="I392" s="37">
        <v>1105</v>
      </c>
      <c r="J392" s="37">
        <v>995</v>
      </c>
      <c r="K392" s="36"/>
      <c r="L392" s="36"/>
      <c r="M392" s="36"/>
      <c r="N392" s="41">
        <f>N388*0.3</f>
        <v>1005</v>
      </c>
      <c r="O392" s="41">
        <f>O388*0.3</f>
        <v>900</v>
      </c>
      <c r="P392" s="41">
        <f>P388*0.3</f>
        <v>765</v>
      </c>
      <c r="Q392" s="30" t="s">
        <v>42</v>
      </c>
      <c r="R392" s="30" t="s">
        <v>43</v>
      </c>
      <c r="S392" s="76" t="s">
        <v>43</v>
      </c>
      <c r="T392" s="36"/>
      <c r="U392" s="31" t="s">
        <v>384</v>
      </c>
      <c r="V392" s="46" t="s">
        <v>1466</v>
      </c>
      <c r="W392" s="46">
        <v>33020400301</v>
      </c>
      <c r="X392" s="48" t="s">
        <v>1467</v>
      </c>
      <c r="Y392" s="46"/>
      <c r="Z392" s="46"/>
      <c r="AA392" s="46" t="s">
        <v>40</v>
      </c>
      <c r="AB392" s="30" t="s">
        <v>43</v>
      </c>
      <c r="AC392" s="52">
        <v>6240</v>
      </c>
      <c r="AD392" s="51">
        <v>5615</v>
      </c>
      <c r="AE392" s="57">
        <v>5370</v>
      </c>
      <c r="AF392" s="57">
        <v>4835</v>
      </c>
      <c r="AG392" s="57">
        <v>4110</v>
      </c>
      <c r="AH392" s="82" t="s">
        <v>42</v>
      </c>
      <c r="AI392" s="82" t="s">
        <v>43</v>
      </c>
      <c r="AJ392" s="76" t="s">
        <v>43</v>
      </c>
    </row>
    <row r="393" s="17" customFormat="1" ht="18" customHeight="1" spans="1:36">
      <c r="A393" s="29"/>
      <c r="B393" s="30"/>
      <c r="C393" s="28" t="s">
        <v>1465</v>
      </c>
      <c r="D393" s="30"/>
      <c r="E393" s="31"/>
      <c r="F393" s="31"/>
      <c r="G393" s="30"/>
      <c r="H393" s="31"/>
      <c r="I393" s="37"/>
      <c r="J393" s="37"/>
      <c r="K393" s="36"/>
      <c r="L393" s="36"/>
      <c r="M393" s="36"/>
      <c r="N393" s="41"/>
      <c r="O393" s="41"/>
      <c r="P393" s="41"/>
      <c r="Q393" s="30"/>
      <c r="R393" s="30"/>
      <c r="S393" s="76"/>
      <c r="T393" s="36"/>
      <c r="U393" s="31"/>
      <c r="V393" s="46" t="s">
        <v>1468</v>
      </c>
      <c r="W393" s="46">
        <v>33020400502</v>
      </c>
      <c r="X393" s="48" t="s">
        <v>1469</v>
      </c>
      <c r="Y393" s="46"/>
      <c r="Z393" s="46"/>
      <c r="AA393" s="46" t="s">
        <v>40</v>
      </c>
      <c r="AB393" s="30" t="s">
        <v>43</v>
      </c>
      <c r="AC393" s="52">
        <v>6240</v>
      </c>
      <c r="AD393" s="51">
        <v>5615</v>
      </c>
      <c r="AE393" s="57">
        <v>5370</v>
      </c>
      <c r="AF393" s="57">
        <v>4835</v>
      </c>
      <c r="AG393" s="57">
        <v>4110</v>
      </c>
      <c r="AH393" s="82" t="s">
        <v>42</v>
      </c>
      <c r="AI393" s="82" t="s">
        <v>43</v>
      </c>
      <c r="AJ393" s="76" t="s">
        <v>43</v>
      </c>
    </row>
    <row r="394" s="17" customFormat="1" ht="18" customHeight="1" spans="1:36">
      <c r="A394" s="29"/>
      <c r="B394" s="30"/>
      <c r="C394" s="28" t="s">
        <v>1465</v>
      </c>
      <c r="D394" s="30"/>
      <c r="E394" s="31"/>
      <c r="F394" s="31"/>
      <c r="G394" s="30"/>
      <c r="H394" s="31"/>
      <c r="I394" s="37"/>
      <c r="J394" s="37"/>
      <c r="K394" s="36"/>
      <c r="L394" s="36"/>
      <c r="M394" s="36"/>
      <c r="N394" s="41"/>
      <c r="O394" s="41"/>
      <c r="P394" s="41"/>
      <c r="Q394" s="30"/>
      <c r="R394" s="30"/>
      <c r="S394" s="76"/>
      <c r="T394" s="36"/>
      <c r="U394" s="31"/>
      <c r="V394" s="46" t="s">
        <v>1470</v>
      </c>
      <c r="W394" s="46">
        <v>33020401401</v>
      </c>
      <c r="X394" s="48" t="s">
        <v>1471</v>
      </c>
      <c r="Y394" s="46"/>
      <c r="Z394" s="46"/>
      <c r="AA394" s="46" t="s">
        <v>40</v>
      </c>
      <c r="AB394" s="30" t="s">
        <v>43</v>
      </c>
      <c r="AC394" s="52">
        <v>4500</v>
      </c>
      <c r="AD394" s="51">
        <v>4045</v>
      </c>
      <c r="AE394" s="57">
        <v>3950</v>
      </c>
      <c r="AF394" s="57">
        <v>3560</v>
      </c>
      <c r="AG394" s="57">
        <v>3025</v>
      </c>
      <c r="AH394" s="82" t="s">
        <v>42</v>
      </c>
      <c r="AI394" s="82" t="s">
        <v>43</v>
      </c>
      <c r="AJ394" s="76" t="s">
        <v>43</v>
      </c>
    </row>
    <row r="395" s="17" customFormat="1" ht="18" customHeight="1" spans="1:36">
      <c r="A395" s="29">
        <v>75</v>
      </c>
      <c r="B395" s="30" t="s">
        <v>1472</v>
      </c>
      <c r="C395" s="28" t="s">
        <v>1473</v>
      </c>
      <c r="D395" s="30" t="s">
        <v>378</v>
      </c>
      <c r="E395" s="31" t="s">
        <v>1474</v>
      </c>
      <c r="F395" s="31" t="s">
        <v>1451</v>
      </c>
      <c r="G395" s="30" t="s">
        <v>40</v>
      </c>
      <c r="H395" s="31" t="s">
        <v>1475</v>
      </c>
      <c r="I395" s="37">
        <v>2880</v>
      </c>
      <c r="J395" s="37">
        <v>2592</v>
      </c>
      <c r="K395" s="36">
        <v>2530</v>
      </c>
      <c r="L395" s="36"/>
      <c r="M395" s="36"/>
      <c r="N395" s="41">
        <v>2600</v>
      </c>
      <c r="O395" s="41">
        <v>2350</v>
      </c>
      <c r="P395" s="41">
        <v>2000</v>
      </c>
      <c r="Q395" s="30" t="s">
        <v>42</v>
      </c>
      <c r="R395" s="30" t="s">
        <v>43</v>
      </c>
      <c r="S395" s="76" t="s">
        <v>43</v>
      </c>
      <c r="T395" s="36" t="s">
        <v>113</v>
      </c>
      <c r="U395" s="31" t="s">
        <v>1476</v>
      </c>
      <c r="V395" s="30" t="s">
        <v>1477</v>
      </c>
      <c r="W395" s="30">
        <v>330204015</v>
      </c>
      <c r="X395" s="30" t="s">
        <v>1478</v>
      </c>
      <c r="Y395" s="30" t="s">
        <v>1479</v>
      </c>
      <c r="Z395" s="30"/>
      <c r="AA395" s="30" t="s">
        <v>40</v>
      </c>
      <c r="AB395" s="30" t="s">
        <v>43</v>
      </c>
      <c r="AC395" s="51">
        <v>2880</v>
      </c>
      <c r="AD395" s="51">
        <v>2590</v>
      </c>
      <c r="AE395" s="57">
        <v>2530</v>
      </c>
      <c r="AF395" s="57">
        <v>2280</v>
      </c>
      <c r="AG395" s="57">
        <v>1940</v>
      </c>
      <c r="AH395" s="82" t="s">
        <v>42</v>
      </c>
      <c r="AI395" s="82" t="s">
        <v>43</v>
      </c>
      <c r="AJ395" s="76" t="s">
        <v>43</v>
      </c>
    </row>
    <row r="396" s="17" customFormat="1" ht="18" customHeight="1" spans="1:36">
      <c r="A396" s="29"/>
      <c r="B396" s="30"/>
      <c r="C396" s="28" t="s">
        <v>1473</v>
      </c>
      <c r="D396" s="30"/>
      <c r="E396" s="31"/>
      <c r="F396" s="31"/>
      <c r="G396" s="30"/>
      <c r="H396" s="31"/>
      <c r="I396" s="37"/>
      <c r="J396" s="37"/>
      <c r="K396" s="36"/>
      <c r="L396" s="36"/>
      <c r="M396" s="36"/>
      <c r="N396" s="41"/>
      <c r="O396" s="41"/>
      <c r="P396" s="41"/>
      <c r="Q396" s="30"/>
      <c r="R396" s="30"/>
      <c r="S396" s="76"/>
      <c r="T396" s="36"/>
      <c r="U396" s="31"/>
      <c r="V396" s="30" t="s">
        <v>1480</v>
      </c>
      <c r="W396" s="30">
        <v>331007018</v>
      </c>
      <c r="X396" s="30" t="s">
        <v>1481</v>
      </c>
      <c r="Y396" s="30" t="s">
        <v>1482</v>
      </c>
      <c r="Z396" s="30"/>
      <c r="AA396" s="30" t="s">
        <v>40</v>
      </c>
      <c r="AB396" s="30" t="s">
        <v>43</v>
      </c>
      <c r="AC396" s="51">
        <v>2880</v>
      </c>
      <c r="AD396" s="51">
        <v>2590</v>
      </c>
      <c r="AE396" s="57">
        <v>2530</v>
      </c>
      <c r="AF396" s="57">
        <v>2280</v>
      </c>
      <c r="AG396" s="57">
        <v>1940</v>
      </c>
      <c r="AH396" s="82" t="s">
        <v>42</v>
      </c>
      <c r="AI396" s="82" t="s">
        <v>43</v>
      </c>
      <c r="AJ396" s="76" t="s">
        <v>43</v>
      </c>
    </row>
    <row r="397" s="17" customFormat="1" ht="18" customHeight="1" spans="1:36">
      <c r="A397" s="29"/>
      <c r="B397" s="30"/>
      <c r="C397" s="28" t="s">
        <v>1473</v>
      </c>
      <c r="D397" s="30"/>
      <c r="E397" s="31"/>
      <c r="F397" s="31"/>
      <c r="G397" s="30"/>
      <c r="H397" s="31"/>
      <c r="I397" s="37"/>
      <c r="J397" s="37"/>
      <c r="K397" s="36"/>
      <c r="L397" s="36"/>
      <c r="M397" s="36"/>
      <c r="N397" s="41"/>
      <c r="O397" s="41"/>
      <c r="P397" s="41"/>
      <c r="Q397" s="30"/>
      <c r="R397" s="30"/>
      <c r="S397" s="76"/>
      <c r="T397" s="36"/>
      <c r="U397" s="31"/>
      <c r="V397" s="46" t="s">
        <v>1483</v>
      </c>
      <c r="W397" s="46">
        <v>33100701802</v>
      </c>
      <c r="X397" s="48" t="s">
        <v>1484</v>
      </c>
      <c r="Y397" s="46"/>
      <c r="Z397" s="46"/>
      <c r="AA397" s="46"/>
      <c r="AB397" s="30" t="s">
        <v>43</v>
      </c>
      <c r="AC397" s="53">
        <v>3680</v>
      </c>
      <c r="AD397" s="51">
        <v>3310</v>
      </c>
      <c r="AE397" s="57">
        <v>3155</v>
      </c>
      <c r="AF397" s="57">
        <v>2880</v>
      </c>
      <c r="AG397" s="57">
        <v>2450</v>
      </c>
      <c r="AH397" s="82" t="s">
        <v>42</v>
      </c>
      <c r="AI397" s="82" t="s">
        <v>43</v>
      </c>
      <c r="AJ397" s="76" t="s">
        <v>43</v>
      </c>
    </row>
    <row r="398" s="17" customFormat="1" ht="18" customHeight="1" spans="1:36">
      <c r="A398" s="29"/>
      <c r="B398" s="30"/>
      <c r="C398" s="28" t="s">
        <v>1473</v>
      </c>
      <c r="D398" s="30"/>
      <c r="E398" s="31"/>
      <c r="F398" s="31"/>
      <c r="G398" s="30"/>
      <c r="H398" s="31"/>
      <c r="I398" s="37"/>
      <c r="J398" s="37"/>
      <c r="K398" s="36"/>
      <c r="L398" s="36"/>
      <c r="M398" s="36"/>
      <c r="N398" s="41"/>
      <c r="O398" s="41"/>
      <c r="P398" s="41"/>
      <c r="Q398" s="30"/>
      <c r="R398" s="30"/>
      <c r="S398" s="76"/>
      <c r="T398" s="36"/>
      <c r="U398" s="31"/>
      <c r="V398" s="46" t="s">
        <v>1485</v>
      </c>
      <c r="W398" s="46">
        <v>331002013</v>
      </c>
      <c r="X398" s="48" t="s">
        <v>1486</v>
      </c>
      <c r="Y398" s="46" t="s">
        <v>1487</v>
      </c>
      <c r="Z398" s="46"/>
      <c r="AA398" s="46"/>
      <c r="AB398" s="30" t="s">
        <v>43</v>
      </c>
      <c r="AC398" s="53">
        <v>2300</v>
      </c>
      <c r="AD398" s="51">
        <v>2080</v>
      </c>
      <c r="AE398" s="57">
        <v>2030</v>
      </c>
      <c r="AF398" s="57">
        <v>1830</v>
      </c>
      <c r="AG398" s="57">
        <v>1560</v>
      </c>
      <c r="AH398" s="82" t="s">
        <v>42</v>
      </c>
      <c r="AI398" s="82" t="s">
        <v>43</v>
      </c>
      <c r="AJ398" s="76" t="s">
        <v>43</v>
      </c>
    </row>
    <row r="399" s="17" customFormat="1" ht="18" customHeight="1" spans="1:36">
      <c r="A399" s="29"/>
      <c r="B399" s="30"/>
      <c r="C399" s="28" t="s">
        <v>1473</v>
      </c>
      <c r="D399" s="30"/>
      <c r="E399" s="31"/>
      <c r="F399" s="31"/>
      <c r="G399" s="30"/>
      <c r="H399" s="31"/>
      <c r="I399" s="37"/>
      <c r="J399" s="37"/>
      <c r="K399" s="36"/>
      <c r="L399" s="36"/>
      <c r="M399" s="36"/>
      <c r="N399" s="41"/>
      <c r="O399" s="41"/>
      <c r="P399" s="41"/>
      <c r="Q399" s="30"/>
      <c r="R399" s="30"/>
      <c r="S399" s="76"/>
      <c r="T399" s="36"/>
      <c r="U399" s="31"/>
      <c r="V399" s="46" t="s">
        <v>1488</v>
      </c>
      <c r="W399" s="46">
        <v>33100201302</v>
      </c>
      <c r="X399" s="48" t="s">
        <v>1489</v>
      </c>
      <c r="Y399" s="46"/>
      <c r="Z399" s="46"/>
      <c r="AA399" s="46"/>
      <c r="AB399" s="30" t="s">
        <v>43</v>
      </c>
      <c r="AC399" s="53">
        <v>3100</v>
      </c>
      <c r="AD399" s="51">
        <v>2800</v>
      </c>
      <c r="AE399" s="57">
        <v>2655</v>
      </c>
      <c r="AF399" s="57">
        <v>2430</v>
      </c>
      <c r="AG399" s="57">
        <v>2070</v>
      </c>
      <c r="AH399" s="82" t="s">
        <v>42</v>
      </c>
      <c r="AI399" s="82" t="s">
        <v>43</v>
      </c>
      <c r="AJ399" s="76" t="s">
        <v>43</v>
      </c>
    </row>
    <row r="400" s="17" customFormat="1" ht="18" customHeight="1" spans="1:36">
      <c r="A400" s="29" t="s">
        <v>70</v>
      </c>
      <c r="B400" s="30" t="s">
        <v>1490</v>
      </c>
      <c r="C400" s="28" t="s">
        <v>1491</v>
      </c>
      <c r="D400" s="30" t="s">
        <v>378</v>
      </c>
      <c r="E400" s="31" t="s">
        <v>43</v>
      </c>
      <c r="F400" s="31" t="s">
        <v>43</v>
      </c>
      <c r="G400" s="30" t="s">
        <v>40</v>
      </c>
      <c r="H400" s="31" t="s">
        <v>43</v>
      </c>
      <c r="I400" s="37">
        <v>864</v>
      </c>
      <c r="J400" s="37">
        <v>778</v>
      </c>
      <c r="K400" s="36"/>
      <c r="L400" s="36"/>
      <c r="M400" s="36"/>
      <c r="N400" s="41">
        <f>N395*0.3</f>
        <v>780</v>
      </c>
      <c r="O400" s="41">
        <f>O395*0.3</f>
        <v>705</v>
      </c>
      <c r="P400" s="41">
        <f>P395*0.3</f>
        <v>600</v>
      </c>
      <c r="Q400" s="30" t="s">
        <v>42</v>
      </c>
      <c r="R400" s="30" t="s">
        <v>43</v>
      </c>
      <c r="S400" s="76" t="s">
        <v>43</v>
      </c>
      <c r="T400" s="36"/>
      <c r="U400" s="31" t="s">
        <v>384</v>
      </c>
      <c r="V400" s="46" t="s">
        <v>1492</v>
      </c>
      <c r="W400" s="46">
        <v>33020401501</v>
      </c>
      <c r="X400" s="48" t="s">
        <v>1493</v>
      </c>
      <c r="Y400" s="46"/>
      <c r="Z400" s="46"/>
      <c r="AA400" s="46" t="s">
        <v>40</v>
      </c>
      <c r="AB400" s="30" t="s">
        <v>43</v>
      </c>
      <c r="AC400" s="52">
        <v>3745</v>
      </c>
      <c r="AD400" s="51">
        <v>3365</v>
      </c>
      <c r="AE400" s="57">
        <v>3290</v>
      </c>
      <c r="AF400" s="57">
        <v>2965</v>
      </c>
      <c r="AG400" s="57">
        <v>2520</v>
      </c>
      <c r="AH400" s="82" t="s">
        <v>42</v>
      </c>
      <c r="AI400" s="82" t="s">
        <v>43</v>
      </c>
      <c r="AJ400" s="76" t="s">
        <v>43</v>
      </c>
    </row>
    <row r="401" s="17" customFormat="1" ht="18" customHeight="1" spans="1:36">
      <c r="A401" s="29"/>
      <c r="B401" s="30"/>
      <c r="C401" s="28" t="s">
        <v>1491</v>
      </c>
      <c r="D401" s="30"/>
      <c r="E401" s="31"/>
      <c r="F401" s="31"/>
      <c r="G401" s="30"/>
      <c r="H401" s="31"/>
      <c r="I401" s="37"/>
      <c r="J401" s="37"/>
      <c r="K401" s="36"/>
      <c r="L401" s="36"/>
      <c r="M401" s="36"/>
      <c r="N401" s="41"/>
      <c r="O401" s="41"/>
      <c r="P401" s="41"/>
      <c r="Q401" s="30"/>
      <c r="R401" s="30"/>
      <c r="S401" s="76"/>
      <c r="T401" s="36"/>
      <c r="U401" s="31"/>
      <c r="V401" s="46" t="s">
        <v>1494</v>
      </c>
      <c r="W401" s="46">
        <v>33100701801</v>
      </c>
      <c r="X401" s="48" t="s">
        <v>1495</v>
      </c>
      <c r="Y401" s="46"/>
      <c r="Z401" s="46"/>
      <c r="AA401" s="46"/>
      <c r="AB401" s="30" t="s">
        <v>43</v>
      </c>
      <c r="AC401" s="53">
        <v>3745</v>
      </c>
      <c r="AD401" s="51">
        <v>3365</v>
      </c>
      <c r="AE401" s="57">
        <v>3290</v>
      </c>
      <c r="AF401" s="57">
        <v>2965</v>
      </c>
      <c r="AG401" s="57">
        <v>2520</v>
      </c>
      <c r="AH401" s="82" t="s">
        <v>42</v>
      </c>
      <c r="AI401" s="82" t="s">
        <v>43</v>
      </c>
      <c r="AJ401" s="76" t="s">
        <v>43</v>
      </c>
    </row>
    <row r="402" s="17" customFormat="1" ht="18" customHeight="1" spans="1:36">
      <c r="A402" s="29"/>
      <c r="B402" s="30"/>
      <c r="C402" s="28" t="s">
        <v>1491</v>
      </c>
      <c r="D402" s="30"/>
      <c r="E402" s="31"/>
      <c r="F402" s="31"/>
      <c r="G402" s="30"/>
      <c r="H402" s="31"/>
      <c r="I402" s="37"/>
      <c r="J402" s="37"/>
      <c r="K402" s="36"/>
      <c r="L402" s="36"/>
      <c r="M402" s="36"/>
      <c r="N402" s="41"/>
      <c r="O402" s="41"/>
      <c r="P402" s="41"/>
      <c r="Q402" s="30"/>
      <c r="R402" s="30"/>
      <c r="S402" s="76"/>
      <c r="T402" s="36"/>
      <c r="U402" s="31"/>
      <c r="V402" s="46" t="s">
        <v>1496</v>
      </c>
      <c r="W402" s="46">
        <v>33100701803</v>
      </c>
      <c r="X402" s="48" t="s">
        <v>1497</v>
      </c>
      <c r="Y402" s="46"/>
      <c r="Z402" s="46"/>
      <c r="AA402" s="46"/>
      <c r="AB402" s="30" t="s">
        <v>43</v>
      </c>
      <c r="AC402" s="53">
        <v>4545</v>
      </c>
      <c r="AD402" s="51">
        <v>4085</v>
      </c>
      <c r="AE402" s="57">
        <v>3915</v>
      </c>
      <c r="AF402" s="57">
        <v>3565</v>
      </c>
      <c r="AG402" s="57">
        <v>3030</v>
      </c>
      <c r="AH402" s="82" t="s">
        <v>42</v>
      </c>
      <c r="AI402" s="82" t="s">
        <v>43</v>
      </c>
      <c r="AJ402" s="76" t="s">
        <v>43</v>
      </c>
    </row>
    <row r="403" s="17" customFormat="1" ht="18" customHeight="1" spans="1:36">
      <c r="A403" s="29"/>
      <c r="B403" s="30"/>
      <c r="C403" s="28" t="s">
        <v>1491</v>
      </c>
      <c r="D403" s="30"/>
      <c r="E403" s="31"/>
      <c r="F403" s="31"/>
      <c r="G403" s="30"/>
      <c r="H403" s="31"/>
      <c r="I403" s="37"/>
      <c r="J403" s="37"/>
      <c r="K403" s="36"/>
      <c r="L403" s="36"/>
      <c r="M403" s="36"/>
      <c r="N403" s="41"/>
      <c r="O403" s="41"/>
      <c r="P403" s="41"/>
      <c r="Q403" s="30"/>
      <c r="R403" s="30"/>
      <c r="S403" s="76"/>
      <c r="T403" s="36"/>
      <c r="U403" s="31"/>
      <c r="V403" s="46" t="s">
        <v>1498</v>
      </c>
      <c r="W403" s="46">
        <v>33100201301</v>
      </c>
      <c r="X403" s="48" t="s">
        <v>1499</v>
      </c>
      <c r="Y403" s="46"/>
      <c r="Z403" s="46"/>
      <c r="AA403" s="46"/>
      <c r="AB403" s="30" t="s">
        <v>43</v>
      </c>
      <c r="AC403" s="53">
        <v>2990</v>
      </c>
      <c r="AD403" s="51">
        <v>2705</v>
      </c>
      <c r="AE403" s="57">
        <v>2640</v>
      </c>
      <c r="AF403" s="57">
        <v>2380</v>
      </c>
      <c r="AG403" s="57">
        <v>2025</v>
      </c>
      <c r="AH403" s="82" t="s">
        <v>42</v>
      </c>
      <c r="AI403" s="82" t="s">
        <v>43</v>
      </c>
      <c r="AJ403" s="76" t="s">
        <v>43</v>
      </c>
    </row>
    <row r="404" s="17" customFormat="1" ht="18" customHeight="1" spans="1:36">
      <c r="A404" s="29"/>
      <c r="B404" s="30"/>
      <c r="C404" s="28" t="s">
        <v>1491</v>
      </c>
      <c r="D404" s="30"/>
      <c r="E404" s="31"/>
      <c r="F404" s="31"/>
      <c r="G404" s="30"/>
      <c r="H404" s="31"/>
      <c r="I404" s="37"/>
      <c r="J404" s="37"/>
      <c r="K404" s="36"/>
      <c r="L404" s="36"/>
      <c r="M404" s="36"/>
      <c r="N404" s="41"/>
      <c r="O404" s="41"/>
      <c r="P404" s="41"/>
      <c r="Q404" s="30"/>
      <c r="R404" s="30"/>
      <c r="S404" s="76"/>
      <c r="T404" s="36"/>
      <c r="U404" s="31"/>
      <c r="V404" s="46" t="s">
        <v>1500</v>
      </c>
      <c r="W404" s="46">
        <v>33100201303</v>
      </c>
      <c r="X404" s="48" t="s">
        <v>1501</v>
      </c>
      <c r="Y404" s="46"/>
      <c r="Z404" s="46"/>
      <c r="AA404" s="46"/>
      <c r="AB404" s="30" t="s">
        <v>43</v>
      </c>
      <c r="AC404" s="53">
        <v>3790</v>
      </c>
      <c r="AD404" s="51">
        <v>3425</v>
      </c>
      <c r="AE404" s="57">
        <v>3265</v>
      </c>
      <c r="AF404" s="57">
        <v>2980</v>
      </c>
      <c r="AG404" s="57">
        <v>2535</v>
      </c>
      <c r="AH404" s="82" t="s">
        <v>42</v>
      </c>
      <c r="AI404" s="82" t="s">
        <v>43</v>
      </c>
      <c r="AJ404" s="76" t="s">
        <v>43</v>
      </c>
    </row>
    <row r="405" s="17" customFormat="1" ht="28" customHeight="1" spans="1:36">
      <c r="A405" s="29">
        <v>76</v>
      </c>
      <c r="B405" s="30" t="s">
        <v>1502</v>
      </c>
      <c r="C405" s="28" t="s">
        <v>1503</v>
      </c>
      <c r="D405" s="30" t="s">
        <v>378</v>
      </c>
      <c r="E405" s="31" t="s">
        <v>1504</v>
      </c>
      <c r="F405" s="31" t="s">
        <v>1451</v>
      </c>
      <c r="G405" s="30" t="s">
        <v>40</v>
      </c>
      <c r="H405" s="31" t="s">
        <v>1505</v>
      </c>
      <c r="I405" s="37">
        <v>1290</v>
      </c>
      <c r="J405" s="37">
        <v>1161</v>
      </c>
      <c r="K405" s="36">
        <v>1187.5</v>
      </c>
      <c r="L405" s="36">
        <v>1080</v>
      </c>
      <c r="M405" s="36"/>
      <c r="N405" s="41">
        <v>1190</v>
      </c>
      <c r="O405" s="41">
        <v>1080</v>
      </c>
      <c r="P405" s="41">
        <v>920</v>
      </c>
      <c r="Q405" s="30" t="s">
        <v>42</v>
      </c>
      <c r="R405" s="30" t="s">
        <v>43</v>
      </c>
      <c r="S405" s="76" t="s">
        <v>43</v>
      </c>
      <c r="T405" s="36" t="s">
        <v>44</v>
      </c>
      <c r="U405" s="31" t="s">
        <v>207</v>
      </c>
      <c r="V405" s="30" t="s">
        <v>1506</v>
      </c>
      <c r="W405" s="30">
        <v>330202002</v>
      </c>
      <c r="X405" s="30" t="s">
        <v>1507</v>
      </c>
      <c r="Y405" s="30"/>
      <c r="Z405" s="30"/>
      <c r="AA405" s="30" t="s">
        <v>373</v>
      </c>
      <c r="AB405" s="30" t="s">
        <v>1508</v>
      </c>
      <c r="AC405" s="51">
        <v>1220</v>
      </c>
      <c r="AD405" s="51">
        <v>1090</v>
      </c>
      <c r="AE405" s="57">
        <v>1125</v>
      </c>
      <c r="AF405" s="57">
        <v>1080</v>
      </c>
      <c r="AG405" s="57">
        <v>918</v>
      </c>
      <c r="AH405" s="82" t="s">
        <v>42</v>
      </c>
      <c r="AI405" s="82" t="s">
        <v>43</v>
      </c>
      <c r="AJ405" s="76" t="s">
        <v>43</v>
      </c>
    </row>
    <row r="406" s="17" customFormat="1" ht="28" customHeight="1" spans="1:36">
      <c r="A406" s="29"/>
      <c r="B406" s="30"/>
      <c r="C406" s="28" t="s">
        <v>1503</v>
      </c>
      <c r="D406" s="30"/>
      <c r="E406" s="31"/>
      <c r="F406" s="31"/>
      <c r="G406" s="30"/>
      <c r="H406" s="31"/>
      <c r="I406" s="37"/>
      <c r="J406" s="37"/>
      <c r="K406" s="36"/>
      <c r="L406" s="36"/>
      <c r="M406" s="36"/>
      <c r="N406" s="41"/>
      <c r="O406" s="41"/>
      <c r="P406" s="41"/>
      <c r="Q406" s="30"/>
      <c r="R406" s="30"/>
      <c r="S406" s="76"/>
      <c r="T406" s="36"/>
      <c r="U406" s="31"/>
      <c r="V406" s="30" t="s">
        <v>1509</v>
      </c>
      <c r="W406" s="30">
        <v>33020200201</v>
      </c>
      <c r="X406" s="30" t="s">
        <v>1510</v>
      </c>
      <c r="Y406" s="30"/>
      <c r="Z406" s="30"/>
      <c r="AA406" s="30" t="s">
        <v>373</v>
      </c>
      <c r="AB406" s="30" t="s">
        <v>1511</v>
      </c>
      <c r="AC406" s="51">
        <v>1290</v>
      </c>
      <c r="AD406" s="51">
        <v>1153</v>
      </c>
      <c r="AE406" s="57">
        <v>1187.5</v>
      </c>
      <c r="AF406" s="57">
        <v>1140</v>
      </c>
      <c r="AG406" s="57">
        <v>969</v>
      </c>
      <c r="AH406" s="82" t="s">
        <v>42</v>
      </c>
      <c r="AI406" s="82" t="s">
        <v>43</v>
      </c>
      <c r="AJ406" s="76" t="s">
        <v>43</v>
      </c>
    </row>
    <row r="407" s="17" customFormat="1" ht="28" customHeight="1" spans="1:36">
      <c r="A407" s="29"/>
      <c r="B407" s="30"/>
      <c r="C407" s="28" t="s">
        <v>1503</v>
      </c>
      <c r="D407" s="30"/>
      <c r="E407" s="31"/>
      <c r="F407" s="31"/>
      <c r="G407" s="30"/>
      <c r="H407" s="31"/>
      <c r="I407" s="37"/>
      <c r="J407" s="37"/>
      <c r="K407" s="36"/>
      <c r="L407" s="36"/>
      <c r="M407" s="36"/>
      <c r="N407" s="41"/>
      <c r="O407" s="41"/>
      <c r="P407" s="41"/>
      <c r="Q407" s="30"/>
      <c r="R407" s="30"/>
      <c r="S407" s="76"/>
      <c r="T407" s="36"/>
      <c r="U407" s="31"/>
      <c r="V407" s="30" t="s">
        <v>1512</v>
      </c>
      <c r="W407" s="30">
        <v>330202003</v>
      </c>
      <c r="X407" s="30" t="s">
        <v>1513</v>
      </c>
      <c r="Y407" s="30"/>
      <c r="Z407" s="30"/>
      <c r="AA407" s="30" t="s">
        <v>373</v>
      </c>
      <c r="AB407" s="30" t="s">
        <v>43</v>
      </c>
      <c r="AC407" s="51">
        <v>1080</v>
      </c>
      <c r="AD407" s="51">
        <v>970</v>
      </c>
      <c r="AE407" s="57">
        <v>1000</v>
      </c>
      <c r="AF407" s="57">
        <v>960</v>
      </c>
      <c r="AG407" s="57">
        <v>816</v>
      </c>
      <c r="AH407" s="82" t="s">
        <v>42</v>
      </c>
      <c r="AI407" s="82" t="s">
        <v>43</v>
      </c>
      <c r="AJ407" s="76" t="s">
        <v>43</v>
      </c>
    </row>
    <row r="408" s="17" customFormat="1" ht="19" customHeight="1" spans="1:36">
      <c r="A408" s="29" t="s">
        <v>70</v>
      </c>
      <c r="B408" s="30" t="s">
        <v>1514</v>
      </c>
      <c r="C408" s="28" t="s">
        <v>1515</v>
      </c>
      <c r="D408" s="30" t="s">
        <v>378</v>
      </c>
      <c r="E408" s="31" t="s">
        <v>43</v>
      </c>
      <c r="F408" s="31" t="s">
        <v>43</v>
      </c>
      <c r="G408" s="30" t="s">
        <v>40</v>
      </c>
      <c r="H408" s="31" t="s">
        <v>43</v>
      </c>
      <c r="I408" s="37">
        <v>387</v>
      </c>
      <c r="J408" s="37">
        <v>348</v>
      </c>
      <c r="K408" s="36"/>
      <c r="L408" s="36"/>
      <c r="M408" s="36"/>
      <c r="N408" s="41">
        <v>355</v>
      </c>
      <c r="O408" s="41">
        <v>325</v>
      </c>
      <c r="P408" s="41">
        <v>275</v>
      </c>
      <c r="Q408" s="30" t="s">
        <v>42</v>
      </c>
      <c r="R408" s="30" t="s">
        <v>43</v>
      </c>
      <c r="S408" s="76" t="s">
        <v>43</v>
      </c>
      <c r="T408" s="36"/>
      <c r="U408" s="31" t="s">
        <v>384</v>
      </c>
      <c r="V408" s="30" t="s">
        <v>1516</v>
      </c>
      <c r="W408" s="30">
        <v>33020200202</v>
      </c>
      <c r="X408" s="30" t="s">
        <v>1517</v>
      </c>
      <c r="Y408" s="30"/>
      <c r="Z408" s="30"/>
      <c r="AA408" s="30" t="s">
        <v>373</v>
      </c>
      <c r="AB408" s="30" t="s">
        <v>43</v>
      </c>
      <c r="AC408" s="51">
        <v>1585</v>
      </c>
      <c r="AD408" s="51">
        <v>1415</v>
      </c>
      <c r="AE408" s="57">
        <v>1465</v>
      </c>
      <c r="AF408" s="57">
        <v>1405</v>
      </c>
      <c r="AG408" s="57">
        <v>1195</v>
      </c>
      <c r="AH408" s="82" t="s">
        <v>42</v>
      </c>
      <c r="AI408" s="82" t="s">
        <v>43</v>
      </c>
      <c r="AJ408" s="76" t="s">
        <v>43</v>
      </c>
    </row>
    <row r="409" s="17" customFormat="1" ht="19" customHeight="1" spans="1:36">
      <c r="A409" s="29"/>
      <c r="B409" s="30"/>
      <c r="C409" s="28" t="s">
        <v>1515</v>
      </c>
      <c r="D409" s="30"/>
      <c r="E409" s="31"/>
      <c r="F409" s="31"/>
      <c r="G409" s="30"/>
      <c r="H409" s="31"/>
      <c r="I409" s="37"/>
      <c r="J409" s="37"/>
      <c r="K409" s="36"/>
      <c r="L409" s="36"/>
      <c r="M409" s="36"/>
      <c r="N409" s="41"/>
      <c r="O409" s="41"/>
      <c r="P409" s="41"/>
      <c r="Q409" s="30"/>
      <c r="R409" s="30"/>
      <c r="S409" s="76"/>
      <c r="T409" s="36"/>
      <c r="U409" s="31"/>
      <c r="V409" s="30" t="s">
        <v>1518</v>
      </c>
      <c r="W409" s="30">
        <v>33020200203</v>
      </c>
      <c r="X409" s="30" t="s">
        <v>1519</v>
      </c>
      <c r="Y409" s="30"/>
      <c r="Z409" s="30"/>
      <c r="AA409" s="30" t="s">
        <v>373</v>
      </c>
      <c r="AB409" s="30" t="s">
        <v>1511</v>
      </c>
      <c r="AC409" s="51">
        <v>1675</v>
      </c>
      <c r="AD409" s="51">
        <v>1500</v>
      </c>
      <c r="AE409" s="57">
        <v>1545</v>
      </c>
      <c r="AF409" s="57">
        <v>1480</v>
      </c>
      <c r="AG409" s="57">
        <v>1260</v>
      </c>
      <c r="AH409" s="82" t="s">
        <v>42</v>
      </c>
      <c r="AI409" s="82" t="s">
        <v>43</v>
      </c>
      <c r="AJ409" s="76" t="s">
        <v>43</v>
      </c>
    </row>
    <row r="410" s="17" customFormat="1" ht="19" customHeight="1" spans="1:36">
      <c r="A410" s="29"/>
      <c r="B410" s="30"/>
      <c r="C410" s="28" t="s">
        <v>1515</v>
      </c>
      <c r="D410" s="30"/>
      <c r="E410" s="31"/>
      <c r="F410" s="31"/>
      <c r="G410" s="30"/>
      <c r="H410" s="31"/>
      <c r="I410" s="37"/>
      <c r="J410" s="37"/>
      <c r="K410" s="36"/>
      <c r="L410" s="36"/>
      <c r="M410" s="36"/>
      <c r="N410" s="41"/>
      <c r="O410" s="41"/>
      <c r="P410" s="41"/>
      <c r="Q410" s="30"/>
      <c r="R410" s="30"/>
      <c r="S410" s="76"/>
      <c r="T410" s="36"/>
      <c r="U410" s="31"/>
      <c r="V410" s="46" t="s">
        <v>1520</v>
      </c>
      <c r="W410" s="46">
        <v>33020200301</v>
      </c>
      <c r="X410" s="48" t="s">
        <v>1521</v>
      </c>
      <c r="Y410" s="46"/>
      <c r="Z410" s="46"/>
      <c r="AA410" s="46" t="s">
        <v>373</v>
      </c>
      <c r="AB410" s="30" t="s">
        <v>43</v>
      </c>
      <c r="AC410" s="52">
        <v>1405</v>
      </c>
      <c r="AD410" s="51">
        <v>1260</v>
      </c>
      <c r="AE410" s="57">
        <v>1300</v>
      </c>
      <c r="AF410" s="57">
        <v>1250</v>
      </c>
      <c r="AG410" s="57">
        <v>1065</v>
      </c>
      <c r="AH410" s="82" t="s">
        <v>42</v>
      </c>
      <c r="AI410" s="82" t="s">
        <v>43</v>
      </c>
      <c r="AJ410" s="76" t="s">
        <v>43</v>
      </c>
    </row>
    <row r="411" s="17" customFormat="1" ht="65" customHeight="1" spans="1:36">
      <c r="A411" s="29">
        <v>77</v>
      </c>
      <c r="B411" s="30" t="s">
        <v>1522</v>
      </c>
      <c r="C411" s="30" t="s">
        <v>1523</v>
      </c>
      <c r="D411" s="30" t="s">
        <v>378</v>
      </c>
      <c r="E411" s="31" t="s">
        <v>1524</v>
      </c>
      <c r="F411" s="31" t="s">
        <v>1525</v>
      </c>
      <c r="G411" s="30" t="s">
        <v>40</v>
      </c>
      <c r="H411" s="31" t="s">
        <v>1526</v>
      </c>
      <c r="I411" s="37">
        <v>3840</v>
      </c>
      <c r="J411" s="37">
        <v>3456</v>
      </c>
      <c r="K411" s="36">
        <v>3380</v>
      </c>
      <c r="L411" s="36">
        <v>3040</v>
      </c>
      <c r="M411" s="36">
        <v>2580</v>
      </c>
      <c r="N411" s="41">
        <v>3600</v>
      </c>
      <c r="O411" s="41">
        <v>3300</v>
      </c>
      <c r="P411" s="41">
        <v>2800</v>
      </c>
      <c r="Q411" s="30" t="s">
        <v>42</v>
      </c>
      <c r="R411" s="30" t="s">
        <v>43</v>
      </c>
      <c r="S411" s="76" t="s">
        <v>43</v>
      </c>
      <c r="T411" s="36" t="s">
        <v>113</v>
      </c>
      <c r="U411" s="31" t="s">
        <v>1527</v>
      </c>
      <c r="V411" s="30" t="s">
        <v>1528</v>
      </c>
      <c r="W411" s="30">
        <v>330202007</v>
      </c>
      <c r="X411" s="30" t="s">
        <v>1529</v>
      </c>
      <c r="Y411" s="30" t="s">
        <v>1530</v>
      </c>
      <c r="Z411" s="30"/>
      <c r="AA411" s="30" t="s">
        <v>40</v>
      </c>
      <c r="AB411" s="30" t="s">
        <v>43</v>
      </c>
      <c r="AC411" s="51">
        <v>3840</v>
      </c>
      <c r="AD411" s="51">
        <v>3460</v>
      </c>
      <c r="AE411" s="57">
        <v>3380</v>
      </c>
      <c r="AF411" s="57">
        <v>3040</v>
      </c>
      <c r="AG411" s="57">
        <v>2580</v>
      </c>
      <c r="AH411" s="82" t="s">
        <v>42</v>
      </c>
      <c r="AI411" s="82" t="s">
        <v>43</v>
      </c>
      <c r="AJ411" s="76" t="s">
        <v>43</v>
      </c>
    </row>
    <row r="412" s="17" customFormat="1" ht="37" customHeight="1" spans="1:36">
      <c r="A412" s="29" t="s">
        <v>70</v>
      </c>
      <c r="B412" s="30" t="s">
        <v>1531</v>
      </c>
      <c r="C412" s="30" t="s">
        <v>1532</v>
      </c>
      <c r="D412" s="30" t="s">
        <v>378</v>
      </c>
      <c r="E412" s="31" t="s">
        <v>43</v>
      </c>
      <c r="F412" s="31" t="s">
        <v>43</v>
      </c>
      <c r="G412" s="30" t="s">
        <v>40</v>
      </c>
      <c r="H412" s="31" t="s">
        <v>43</v>
      </c>
      <c r="I412" s="37">
        <v>1152</v>
      </c>
      <c r="J412" s="37">
        <v>1037</v>
      </c>
      <c r="K412" s="36"/>
      <c r="L412" s="36"/>
      <c r="M412" s="36"/>
      <c r="N412" s="41">
        <f>N411*0.3</f>
        <v>1080</v>
      </c>
      <c r="O412" s="41">
        <f>O411*0.3</f>
        <v>990</v>
      </c>
      <c r="P412" s="41">
        <f>P411*0.3</f>
        <v>840</v>
      </c>
      <c r="Q412" s="30" t="s">
        <v>42</v>
      </c>
      <c r="R412" s="30" t="s">
        <v>43</v>
      </c>
      <c r="S412" s="76" t="s">
        <v>43</v>
      </c>
      <c r="T412" s="36"/>
      <c r="U412" s="31" t="s">
        <v>384</v>
      </c>
      <c r="V412" s="30" t="s">
        <v>1533</v>
      </c>
      <c r="W412" s="30">
        <v>33020200701</v>
      </c>
      <c r="X412" s="30" t="s">
        <v>1534</v>
      </c>
      <c r="Y412" s="30"/>
      <c r="Z412" s="30"/>
      <c r="AA412" s="30" t="s">
        <v>40</v>
      </c>
      <c r="AB412" s="30" t="s">
        <v>43</v>
      </c>
      <c r="AC412" s="51">
        <v>4990</v>
      </c>
      <c r="AD412" s="51">
        <v>4500</v>
      </c>
      <c r="AE412" s="57">
        <v>4395</v>
      </c>
      <c r="AF412" s="57">
        <v>3950</v>
      </c>
      <c r="AG412" s="57">
        <v>3360</v>
      </c>
      <c r="AH412" s="82" t="s">
        <v>42</v>
      </c>
      <c r="AI412" s="82" t="s">
        <v>43</v>
      </c>
      <c r="AJ412" s="76" t="s">
        <v>43</v>
      </c>
    </row>
    <row r="413" s="17" customFormat="1" ht="27" customHeight="1" spans="1:36">
      <c r="A413" s="29">
        <v>78</v>
      </c>
      <c r="B413" s="30" t="s">
        <v>1535</v>
      </c>
      <c r="C413" s="28" t="s">
        <v>1536</v>
      </c>
      <c r="D413" s="30" t="s">
        <v>378</v>
      </c>
      <c r="E413" s="31" t="s">
        <v>1537</v>
      </c>
      <c r="F413" s="31" t="s">
        <v>1538</v>
      </c>
      <c r="G413" s="30" t="s">
        <v>40</v>
      </c>
      <c r="H413" s="31" t="s">
        <v>1539</v>
      </c>
      <c r="I413" s="37">
        <v>3555</v>
      </c>
      <c r="J413" s="37">
        <v>3200</v>
      </c>
      <c r="K413" s="59">
        <v>3279.1440377804</v>
      </c>
      <c r="L413" s="59">
        <v>2933.05135951662</v>
      </c>
      <c r="M413" s="59">
        <v>1904.44444444444</v>
      </c>
      <c r="N413" s="41">
        <v>3280</v>
      </c>
      <c r="O413" s="41">
        <v>2940</v>
      </c>
      <c r="P413" s="41">
        <v>2500</v>
      </c>
      <c r="Q413" s="30" t="s">
        <v>42</v>
      </c>
      <c r="R413" s="30" t="s">
        <v>43</v>
      </c>
      <c r="S413" s="76" t="s">
        <v>43</v>
      </c>
      <c r="T413" s="36" t="s">
        <v>44</v>
      </c>
      <c r="U413" s="31" t="s">
        <v>207</v>
      </c>
      <c r="V413" s="30" t="s">
        <v>1540</v>
      </c>
      <c r="W413" s="30">
        <v>330204001</v>
      </c>
      <c r="X413" s="30" t="s">
        <v>1541</v>
      </c>
      <c r="Y413" s="30"/>
      <c r="Z413" s="30"/>
      <c r="AA413" s="30" t="s">
        <v>40</v>
      </c>
      <c r="AB413" s="30" t="s">
        <v>43</v>
      </c>
      <c r="AC413" s="51">
        <v>3840</v>
      </c>
      <c r="AD413" s="51">
        <v>3460</v>
      </c>
      <c r="AE413" s="57">
        <v>3380</v>
      </c>
      <c r="AF413" s="57">
        <v>3040</v>
      </c>
      <c r="AG413" s="57">
        <v>2580</v>
      </c>
      <c r="AH413" s="82" t="s">
        <v>42</v>
      </c>
      <c r="AI413" s="82" t="s">
        <v>43</v>
      </c>
      <c r="AJ413" s="76" t="s">
        <v>43</v>
      </c>
    </row>
    <row r="414" s="17" customFormat="1" ht="27" customHeight="1" spans="1:36">
      <c r="A414" s="29"/>
      <c r="B414" s="30"/>
      <c r="C414" s="28" t="s">
        <v>1536</v>
      </c>
      <c r="D414" s="30"/>
      <c r="E414" s="31"/>
      <c r="F414" s="31"/>
      <c r="G414" s="30"/>
      <c r="H414" s="31"/>
      <c r="I414" s="37"/>
      <c r="J414" s="37"/>
      <c r="K414" s="59"/>
      <c r="L414" s="59"/>
      <c r="M414" s="59"/>
      <c r="N414" s="41"/>
      <c r="O414" s="41"/>
      <c r="P414" s="41"/>
      <c r="Q414" s="30"/>
      <c r="R414" s="30"/>
      <c r="S414" s="76"/>
      <c r="T414" s="36"/>
      <c r="U414" s="31"/>
      <c r="V414" s="30" t="s">
        <v>1542</v>
      </c>
      <c r="W414" s="30">
        <v>330204004</v>
      </c>
      <c r="X414" s="30" t="s">
        <v>1543</v>
      </c>
      <c r="Y414" s="30"/>
      <c r="Z414" s="30"/>
      <c r="AA414" s="30" t="s">
        <v>40</v>
      </c>
      <c r="AB414" s="30" t="s">
        <v>43</v>
      </c>
      <c r="AC414" s="51">
        <v>3840</v>
      </c>
      <c r="AD414" s="51">
        <v>3460</v>
      </c>
      <c r="AE414" s="57">
        <v>3380</v>
      </c>
      <c r="AF414" s="57">
        <v>3040</v>
      </c>
      <c r="AG414" s="57">
        <v>2580</v>
      </c>
      <c r="AH414" s="82" t="s">
        <v>42</v>
      </c>
      <c r="AI414" s="82" t="s">
        <v>43</v>
      </c>
      <c r="AJ414" s="76" t="s">
        <v>43</v>
      </c>
    </row>
    <row r="415" s="17" customFormat="1" ht="27" customHeight="1" spans="1:36">
      <c r="A415" s="29"/>
      <c r="B415" s="30"/>
      <c r="C415" s="28" t="s">
        <v>1536</v>
      </c>
      <c r="D415" s="30"/>
      <c r="E415" s="31"/>
      <c r="F415" s="31"/>
      <c r="G415" s="30"/>
      <c r="H415" s="31"/>
      <c r="I415" s="37"/>
      <c r="J415" s="37"/>
      <c r="K415" s="59"/>
      <c r="L415" s="59"/>
      <c r="M415" s="59"/>
      <c r="N415" s="41"/>
      <c r="O415" s="41"/>
      <c r="P415" s="41"/>
      <c r="Q415" s="30"/>
      <c r="R415" s="30"/>
      <c r="S415" s="76"/>
      <c r="T415" s="36"/>
      <c r="U415" s="31"/>
      <c r="V415" s="30" t="s">
        <v>1544</v>
      </c>
      <c r="W415" s="30">
        <v>330204017</v>
      </c>
      <c r="X415" s="30" t="s">
        <v>1545</v>
      </c>
      <c r="Y415" s="30"/>
      <c r="Z415" s="30"/>
      <c r="AA415" s="30" t="s">
        <v>40</v>
      </c>
      <c r="AB415" s="30" t="s">
        <v>43</v>
      </c>
      <c r="AC415" s="51">
        <v>2640</v>
      </c>
      <c r="AD415" s="51">
        <v>2360</v>
      </c>
      <c r="AE415" s="57">
        <v>2375</v>
      </c>
      <c r="AF415" s="57">
        <v>2140</v>
      </c>
      <c r="AG415" s="57">
        <v>1820</v>
      </c>
      <c r="AH415" s="82" t="s">
        <v>42</v>
      </c>
      <c r="AI415" s="82" t="s">
        <v>43</v>
      </c>
      <c r="AJ415" s="76" t="s">
        <v>43</v>
      </c>
    </row>
    <row r="416" s="17" customFormat="1" ht="19" customHeight="1" spans="1:36">
      <c r="A416" s="29" t="s">
        <v>70</v>
      </c>
      <c r="B416" s="30" t="s">
        <v>1546</v>
      </c>
      <c r="C416" s="28" t="s">
        <v>1547</v>
      </c>
      <c r="D416" s="30" t="s">
        <v>378</v>
      </c>
      <c r="E416" s="31" t="s">
        <v>43</v>
      </c>
      <c r="F416" s="31" t="s">
        <v>43</v>
      </c>
      <c r="G416" s="30" t="s">
        <v>40</v>
      </c>
      <c r="H416" s="31"/>
      <c r="I416" s="37">
        <v>1067</v>
      </c>
      <c r="J416" s="37">
        <v>960</v>
      </c>
      <c r="K416" s="36">
        <v>1006.25</v>
      </c>
      <c r="L416" s="36"/>
      <c r="M416" s="36"/>
      <c r="N416" s="41">
        <v>985</v>
      </c>
      <c r="O416" s="41">
        <v>880</v>
      </c>
      <c r="P416" s="41">
        <f>P413*0.3</f>
        <v>750</v>
      </c>
      <c r="Q416" s="30" t="s">
        <v>42</v>
      </c>
      <c r="R416" s="30" t="s">
        <v>43</v>
      </c>
      <c r="S416" s="76" t="s">
        <v>43</v>
      </c>
      <c r="T416" s="36"/>
      <c r="U416" s="31" t="s">
        <v>384</v>
      </c>
      <c r="V416" s="46" t="s">
        <v>1548</v>
      </c>
      <c r="W416" s="46">
        <v>33020400101</v>
      </c>
      <c r="X416" s="48" t="s">
        <v>1549</v>
      </c>
      <c r="Y416" s="46"/>
      <c r="Z416" s="46"/>
      <c r="AA416" s="46" t="s">
        <v>40</v>
      </c>
      <c r="AB416" s="30" t="s">
        <v>43</v>
      </c>
      <c r="AC416" s="52">
        <v>4990</v>
      </c>
      <c r="AD416" s="51">
        <v>4500</v>
      </c>
      <c r="AE416" s="57">
        <v>4395</v>
      </c>
      <c r="AF416" s="57">
        <v>3950</v>
      </c>
      <c r="AG416" s="57">
        <v>3360</v>
      </c>
      <c r="AH416" s="82" t="s">
        <v>42</v>
      </c>
      <c r="AI416" s="82" t="s">
        <v>43</v>
      </c>
      <c r="AJ416" s="76" t="s">
        <v>43</v>
      </c>
    </row>
    <row r="417" s="17" customFormat="1" ht="19" customHeight="1" spans="1:36">
      <c r="A417" s="29"/>
      <c r="B417" s="30"/>
      <c r="C417" s="28" t="s">
        <v>1547</v>
      </c>
      <c r="D417" s="30"/>
      <c r="E417" s="31"/>
      <c r="F417" s="31"/>
      <c r="G417" s="30"/>
      <c r="H417" s="31"/>
      <c r="I417" s="37"/>
      <c r="J417" s="37"/>
      <c r="K417" s="36"/>
      <c r="L417" s="36"/>
      <c r="M417" s="36"/>
      <c r="N417" s="41"/>
      <c r="O417" s="41"/>
      <c r="P417" s="41"/>
      <c r="Q417" s="30"/>
      <c r="R417" s="30"/>
      <c r="S417" s="76"/>
      <c r="T417" s="36"/>
      <c r="U417" s="31"/>
      <c r="V417" s="46" t="s">
        <v>1550</v>
      </c>
      <c r="W417" s="46">
        <v>33020400401</v>
      </c>
      <c r="X417" s="48" t="s">
        <v>1551</v>
      </c>
      <c r="Y417" s="46"/>
      <c r="Z417" s="46"/>
      <c r="AA417" s="46" t="s">
        <v>40</v>
      </c>
      <c r="AB417" s="30" t="s">
        <v>43</v>
      </c>
      <c r="AC417" s="52">
        <v>4990</v>
      </c>
      <c r="AD417" s="51">
        <v>4500</v>
      </c>
      <c r="AE417" s="57">
        <v>4395</v>
      </c>
      <c r="AF417" s="57">
        <v>3950</v>
      </c>
      <c r="AG417" s="57">
        <v>3360</v>
      </c>
      <c r="AH417" s="82" t="s">
        <v>42</v>
      </c>
      <c r="AI417" s="82" t="s">
        <v>43</v>
      </c>
      <c r="AJ417" s="76" t="s">
        <v>43</v>
      </c>
    </row>
    <row r="418" s="17" customFormat="1" ht="19" customHeight="1" spans="1:36">
      <c r="A418" s="29"/>
      <c r="B418" s="30"/>
      <c r="C418" s="28" t="s">
        <v>1547</v>
      </c>
      <c r="D418" s="30"/>
      <c r="E418" s="31"/>
      <c r="F418" s="31"/>
      <c r="G418" s="30"/>
      <c r="H418" s="31"/>
      <c r="I418" s="37"/>
      <c r="J418" s="37"/>
      <c r="K418" s="36"/>
      <c r="L418" s="36"/>
      <c r="M418" s="36"/>
      <c r="N418" s="41"/>
      <c r="O418" s="41"/>
      <c r="P418" s="41"/>
      <c r="Q418" s="30"/>
      <c r="R418" s="30"/>
      <c r="S418" s="76"/>
      <c r="T418" s="36"/>
      <c r="U418" s="31"/>
      <c r="V418" s="46" t="s">
        <v>1552</v>
      </c>
      <c r="W418" s="46">
        <v>33020401701</v>
      </c>
      <c r="X418" s="48" t="s">
        <v>1553</v>
      </c>
      <c r="Y418" s="50"/>
      <c r="Z418" s="50"/>
      <c r="AA418" s="50" t="s">
        <v>40</v>
      </c>
      <c r="AB418" s="30" t="s">
        <v>43</v>
      </c>
      <c r="AC418" s="62">
        <v>3430</v>
      </c>
      <c r="AD418" s="51">
        <v>3070</v>
      </c>
      <c r="AE418" s="57">
        <v>3090</v>
      </c>
      <c r="AF418" s="57">
        <v>2780</v>
      </c>
      <c r="AG418" s="57">
        <v>2365</v>
      </c>
      <c r="AH418" s="82" t="s">
        <v>42</v>
      </c>
      <c r="AI418" s="82" t="s">
        <v>43</v>
      </c>
      <c r="AJ418" s="76" t="s">
        <v>43</v>
      </c>
    </row>
    <row r="419" s="17" customFormat="1" ht="86" customHeight="1" spans="1:36">
      <c r="A419" s="29">
        <v>79</v>
      </c>
      <c r="B419" s="30" t="s">
        <v>1554</v>
      </c>
      <c r="C419" s="30" t="s">
        <v>1555</v>
      </c>
      <c r="D419" s="30" t="s">
        <v>378</v>
      </c>
      <c r="E419" s="31" t="s">
        <v>1556</v>
      </c>
      <c r="F419" s="31" t="s">
        <v>1538</v>
      </c>
      <c r="G419" s="30" t="s">
        <v>40</v>
      </c>
      <c r="H419" s="31" t="s">
        <v>1557</v>
      </c>
      <c r="I419" s="37">
        <v>3300</v>
      </c>
      <c r="J419" s="37">
        <v>2970</v>
      </c>
      <c r="K419" s="36"/>
      <c r="L419" s="36"/>
      <c r="M419" s="36"/>
      <c r="N419" s="41">
        <v>3000</v>
      </c>
      <c r="O419" s="41">
        <f>N419*0.9</f>
        <v>2700</v>
      </c>
      <c r="P419" s="41">
        <v>2300</v>
      </c>
      <c r="Q419" s="30" t="s">
        <v>100</v>
      </c>
      <c r="R419" s="30" t="s">
        <v>43</v>
      </c>
      <c r="S419" s="76" t="s">
        <v>43</v>
      </c>
      <c r="T419" s="36" t="s">
        <v>236</v>
      </c>
      <c r="U419" s="31" t="s">
        <v>237</v>
      </c>
      <c r="V419" s="30"/>
      <c r="W419" s="30"/>
      <c r="X419" s="30"/>
      <c r="Y419" s="30"/>
      <c r="Z419" s="30"/>
      <c r="AA419" s="30"/>
      <c r="AB419" s="30"/>
      <c r="AC419" s="51"/>
      <c r="AD419" s="51"/>
      <c r="AE419" s="57"/>
      <c r="AF419" s="57"/>
      <c r="AG419" s="57"/>
      <c r="AH419" s="82"/>
      <c r="AI419" s="82"/>
      <c r="AJ419" s="76"/>
    </row>
    <row r="420" s="17" customFormat="1" ht="41" customHeight="1" spans="1:36">
      <c r="A420" s="29" t="s">
        <v>70</v>
      </c>
      <c r="B420" s="30" t="s">
        <v>1558</v>
      </c>
      <c r="C420" s="30" t="s">
        <v>1559</v>
      </c>
      <c r="D420" s="30" t="s">
        <v>378</v>
      </c>
      <c r="E420" s="31" t="s">
        <v>43</v>
      </c>
      <c r="F420" s="31" t="s">
        <v>43</v>
      </c>
      <c r="G420" s="30" t="s">
        <v>40</v>
      </c>
      <c r="H420" s="31" t="s">
        <v>43</v>
      </c>
      <c r="I420" s="37">
        <v>990</v>
      </c>
      <c r="J420" s="37">
        <v>891</v>
      </c>
      <c r="K420" s="36"/>
      <c r="L420" s="36"/>
      <c r="M420" s="36"/>
      <c r="N420" s="41">
        <f>N419*0.3</f>
        <v>900</v>
      </c>
      <c r="O420" s="41">
        <f>O419*0.3</f>
        <v>810</v>
      </c>
      <c r="P420" s="41">
        <f>P419*0.3</f>
        <v>690</v>
      </c>
      <c r="Q420" s="30" t="s">
        <v>100</v>
      </c>
      <c r="R420" s="30" t="s">
        <v>43</v>
      </c>
      <c r="S420" s="76" t="s">
        <v>43</v>
      </c>
      <c r="T420" s="36"/>
      <c r="U420" s="31" t="s">
        <v>384</v>
      </c>
      <c r="V420" s="30"/>
      <c r="W420" s="30"/>
      <c r="X420" s="30"/>
      <c r="Y420" s="30"/>
      <c r="Z420" s="30"/>
      <c r="AA420" s="30"/>
      <c r="AB420" s="30"/>
      <c r="AC420" s="51"/>
      <c r="AD420" s="51"/>
      <c r="AE420" s="57"/>
      <c r="AF420" s="57"/>
      <c r="AG420" s="57"/>
      <c r="AH420" s="82"/>
      <c r="AI420" s="82"/>
      <c r="AJ420" s="76"/>
    </row>
    <row r="421" s="17" customFormat="1" ht="100" customHeight="1" spans="1:36">
      <c r="A421" s="29">
        <v>80</v>
      </c>
      <c r="B421" s="30" t="s">
        <v>1560</v>
      </c>
      <c r="C421" s="30" t="s">
        <v>1561</v>
      </c>
      <c r="D421" s="30" t="s">
        <v>378</v>
      </c>
      <c r="E421" s="31" t="s">
        <v>1562</v>
      </c>
      <c r="F421" s="31" t="s">
        <v>1538</v>
      </c>
      <c r="G421" s="30" t="s">
        <v>40</v>
      </c>
      <c r="H421" s="31" t="s">
        <v>1563</v>
      </c>
      <c r="I421" s="37">
        <v>2400</v>
      </c>
      <c r="J421" s="37">
        <v>2160</v>
      </c>
      <c r="K421" s="36">
        <v>2160</v>
      </c>
      <c r="L421" s="36">
        <v>1950</v>
      </c>
      <c r="M421" s="36">
        <v>1660</v>
      </c>
      <c r="N421" s="41">
        <v>2160</v>
      </c>
      <c r="O421" s="41">
        <v>1950</v>
      </c>
      <c r="P421" s="41">
        <v>1660</v>
      </c>
      <c r="Q421" s="30" t="s">
        <v>42</v>
      </c>
      <c r="R421" s="30" t="s">
        <v>43</v>
      </c>
      <c r="S421" s="76" t="s">
        <v>43</v>
      </c>
      <c r="T421" s="36" t="s">
        <v>153</v>
      </c>
      <c r="U421" s="31" t="s">
        <v>153</v>
      </c>
      <c r="V421" s="30" t="s">
        <v>1564</v>
      </c>
      <c r="W421" s="30">
        <v>330202011</v>
      </c>
      <c r="X421" s="30" t="s">
        <v>1565</v>
      </c>
      <c r="Y421" s="30" t="s">
        <v>1566</v>
      </c>
      <c r="Z421" s="30"/>
      <c r="AA421" s="30" t="s">
        <v>40</v>
      </c>
      <c r="AB421" s="30" t="s">
        <v>43</v>
      </c>
      <c r="AC421" s="51">
        <v>2400</v>
      </c>
      <c r="AD421" s="51">
        <v>2160</v>
      </c>
      <c r="AE421" s="57">
        <v>2160</v>
      </c>
      <c r="AF421" s="57">
        <v>1950</v>
      </c>
      <c r="AG421" s="57">
        <v>1660</v>
      </c>
      <c r="AH421" s="82" t="s">
        <v>42</v>
      </c>
      <c r="AI421" s="82" t="s">
        <v>43</v>
      </c>
      <c r="AJ421" s="76" t="s">
        <v>43</v>
      </c>
    </row>
    <row r="422" s="17" customFormat="1" ht="35" customHeight="1" spans="1:36">
      <c r="A422" s="29" t="s">
        <v>70</v>
      </c>
      <c r="B422" s="30" t="s">
        <v>1567</v>
      </c>
      <c r="C422" s="30" t="s">
        <v>1568</v>
      </c>
      <c r="D422" s="30" t="s">
        <v>378</v>
      </c>
      <c r="E422" s="31" t="s">
        <v>43</v>
      </c>
      <c r="F422" s="31" t="s">
        <v>43</v>
      </c>
      <c r="G422" s="30" t="s">
        <v>40</v>
      </c>
      <c r="H422" s="31" t="s">
        <v>43</v>
      </c>
      <c r="I422" s="37">
        <v>720</v>
      </c>
      <c r="J422" s="37">
        <v>648</v>
      </c>
      <c r="K422" s="36"/>
      <c r="L422" s="36"/>
      <c r="M422" s="36"/>
      <c r="N422" s="41">
        <v>650</v>
      </c>
      <c r="O422" s="41">
        <v>585</v>
      </c>
      <c r="P422" s="41">
        <v>500</v>
      </c>
      <c r="Q422" s="30" t="s">
        <v>42</v>
      </c>
      <c r="R422" s="30" t="s">
        <v>43</v>
      </c>
      <c r="S422" s="76" t="s">
        <v>43</v>
      </c>
      <c r="T422" s="36"/>
      <c r="U422" s="31" t="s">
        <v>384</v>
      </c>
      <c r="V422" s="30" t="s">
        <v>1569</v>
      </c>
      <c r="W422" s="30">
        <v>33020201101</v>
      </c>
      <c r="X422" s="30" t="s">
        <v>1570</v>
      </c>
      <c r="Y422" s="30"/>
      <c r="Z422" s="30"/>
      <c r="AA422" s="30" t="s">
        <v>40</v>
      </c>
      <c r="AB422" s="30" t="s">
        <v>43</v>
      </c>
      <c r="AC422" s="51">
        <v>3120</v>
      </c>
      <c r="AD422" s="51">
        <v>2810</v>
      </c>
      <c r="AE422" s="57">
        <v>2810</v>
      </c>
      <c r="AF422" s="57">
        <v>2535</v>
      </c>
      <c r="AG422" s="57">
        <v>2160</v>
      </c>
      <c r="AH422" s="82" t="s">
        <v>42</v>
      </c>
      <c r="AI422" s="82" t="s">
        <v>43</v>
      </c>
      <c r="AJ422" s="76" t="s">
        <v>43</v>
      </c>
    </row>
    <row r="423" s="17" customFormat="1" ht="16" customHeight="1" spans="1:36">
      <c r="A423" s="29">
        <v>81</v>
      </c>
      <c r="B423" s="30" t="s">
        <v>1571</v>
      </c>
      <c r="C423" s="28" t="s">
        <v>1572</v>
      </c>
      <c r="D423" s="30" t="s">
        <v>378</v>
      </c>
      <c r="E423" s="31" t="s">
        <v>1573</v>
      </c>
      <c r="F423" s="31" t="s">
        <v>1574</v>
      </c>
      <c r="G423" s="30" t="s">
        <v>151</v>
      </c>
      <c r="H423" s="31" t="s">
        <v>146</v>
      </c>
      <c r="I423" s="37">
        <v>3400</v>
      </c>
      <c r="J423" s="37">
        <v>3060</v>
      </c>
      <c r="K423" s="36"/>
      <c r="L423" s="36"/>
      <c r="M423" s="36"/>
      <c r="N423" s="41">
        <f>N178</f>
        <v>3250</v>
      </c>
      <c r="O423" s="41">
        <f>O178</f>
        <v>2900</v>
      </c>
      <c r="P423" s="41">
        <f>P178</f>
        <v>2450</v>
      </c>
      <c r="Q423" s="30" t="s">
        <v>42</v>
      </c>
      <c r="R423" s="30" t="s">
        <v>43</v>
      </c>
      <c r="S423" s="76" t="s">
        <v>43</v>
      </c>
      <c r="T423" s="36" t="s">
        <v>280</v>
      </c>
      <c r="U423" s="31" t="s">
        <v>1575</v>
      </c>
      <c r="V423" s="30" t="s">
        <v>1576</v>
      </c>
      <c r="W423" s="30">
        <v>330202008</v>
      </c>
      <c r="X423" s="30" t="s">
        <v>1577</v>
      </c>
      <c r="Y423" s="30" t="s">
        <v>1578</v>
      </c>
      <c r="Z423" s="30"/>
      <c r="AA423" s="30" t="s">
        <v>40</v>
      </c>
      <c r="AB423" s="30" t="s">
        <v>43</v>
      </c>
      <c r="AC423" s="51">
        <v>2880</v>
      </c>
      <c r="AD423" s="51">
        <v>2590</v>
      </c>
      <c r="AE423" s="57">
        <v>2530</v>
      </c>
      <c r="AF423" s="57">
        <v>2280</v>
      </c>
      <c r="AG423" s="57">
        <v>1940</v>
      </c>
      <c r="AH423" s="82" t="s">
        <v>42</v>
      </c>
      <c r="AI423" s="82" t="s">
        <v>43</v>
      </c>
      <c r="AJ423" s="76" t="s">
        <v>43</v>
      </c>
    </row>
    <row r="424" s="17" customFormat="1" ht="16" customHeight="1" spans="1:36">
      <c r="A424" s="29"/>
      <c r="B424" s="30"/>
      <c r="C424" s="28" t="s">
        <v>1572</v>
      </c>
      <c r="D424" s="30"/>
      <c r="E424" s="31"/>
      <c r="F424" s="31"/>
      <c r="G424" s="30"/>
      <c r="H424" s="31"/>
      <c r="I424" s="37"/>
      <c r="J424" s="37"/>
      <c r="K424" s="36"/>
      <c r="L424" s="36"/>
      <c r="M424" s="36"/>
      <c r="N424" s="41"/>
      <c r="O424" s="41"/>
      <c r="P424" s="41"/>
      <c r="Q424" s="30"/>
      <c r="R424" s="30"/>
      <c r="S424" s="76"/>
      <c r="T424" s="36"/>
      <c r="U424" s="31"/>
      <c r="V424" s="30" t="s">
        <v>1579</v>
      </c>
      <c r="W424" s="30">
        <v>330202009</v>
      </c>
      <c r="X424" s="30" t="s">
        <v>1580</v>
      </c>
      <c r="Y424" s="30" t="s">
        <v>1581</v>
      </c>
      <c r="Z424" s="30"/>
      <c r="AA424" s="30" t="s">
        <v>40</v>
      </c>
      <c r="AB424" s="30" t="s">
        <v>43</v>
      </c>
      <c r="AC424" s="51">
        <v>3460</v>
      </c>
      <c r="AD424" s="51">
        <v>3110</v>
      </c>
      <c r="AE424" s="57">
        <v>3040</v>
      </c>
      <c r="AF424" s="57">
        <v>2740</v>
      </c>
      <c r="AG424" s="57">
        <v>2330</v>
      </c>
      <c r="AH424" s="82" t="s">
        <v>42</v>
      </c>
      <c r="AI424" s="82" t="s">
        <v>43</v>
      </c>
      <c r="AJ424" s="76" t="s">
        <v>43</v>
      </c>
    </row>
    <row r="425" s="17" customFormat="1" ht="16" customHeight="1" spans="1:36">
      <c r="A425" s="29"/>
      <c r="B425" s="30"/>
      <c r="C425" s="28" t="s">
        <v>1572</v>
      </c>
      <c r="D425" s="30"/>
      <c r="E425" s="31"/>
      <c r="F425" s="31"/>
      <c r="G425" s="30"/>
      <c r="H425" s="31"/>
      <c r="I425" s="37"/>
      <c r="J425" s="37"/>
      <c r="K425" s="36"/>
      <c r="L425" s="36"/>
      <c r="M425" s="36"/>
      <c r="N425" s="41"/>
      <c r="O425" s="41"/>
      <c r="P425" s="41"/>
      <c r="Q425" s="30"/>
      <c r="R425" s="30"/>
      <c r="S425" s="76"/>
      <c r="T425" s="36"/>
      <c r="U425" s="31"/>
      <c r="V425" s="30" t="s">
        <v>1582</v>
      </c>
      <c r="W425" s="30">
        <v>330202010</v>
      </c>
      <c r="X425" s="30" t="s">
        <v>1583</v>
      </c>
      <c r="Y425" s="30"/>
      <c r="Z425" s="30" t="s">
        <v>1584</v>
      </c>
      <c r="AA425" s="30" t="s">
        <v>40</v>
      </c>
      <c r="AB425" s="30" t="s">
        <v>43</v>
      </c>
      <c r="AC425" s="51">
        <v>3130</v>
      </c>
      <c r="AD425" s="51">
        <v>2800</v>
      </c>
      <c r="AE425" s="57">
        <v>2815</v>
      </c>
      <c r="AF425" s="57">
        <v>2535</v>
      </c>
      <c r="AG425" s="57">
        <v>2155</v>
      </c>
      <c r="AH425" s="82" t="s">
        <v>42</v>
      </c>
      <c r="AI425" s="82" t="s">
        <v>43</v>
      </c>
      <c r="AJ425" s="76" t="s">
        <v>43</v>
      </c>
    </row>
    <row r="426" s="17" customFormat="1" ht="16" customHeight="1" spans="1:36">
      <c r="A426" s="29"/>
      <c r="B426" s="30"/>
      <c r="C426" s="28" t="s">
        <v>1572</v>
      </c>
      <c r="D426" s="30"/>
      <c r="E426" s="31"/>
      <c r="F426" s="31"/>
      <c r="G426" s="30"/>
      <c r="H426" s="31"/>
      <c r="I426" s="37"/>
      <c r="J426" s="37"/>
      <c r="K426" s="36"/>
      <c r="L426" s="36"/>
      <c r="M426" s="36"/>
      <c r="N426" s="41"/>
      <c r="O426" s="41"/>
      <c r="P426" s="41"/>
      <c r="Q426" s="30"/>
      <c r="R426" s="30"/>
      <c r="S426" s="76"/>
      <c r="T426" s="36"/>
      <c r="U426" s="31"/>
      <c r="V426" s="30" t="s">
        <v>1585</v>
      </c>
      <c r="W426" s="30">
        <v>330202012</v>
      </c>
      <c r="X426" s="30" t="s">
        <v>1586</v>
      </c>
      <c r="Y426" s="30"/>
      <c r="Z426" s="30"/>
      <c r="AA426" s="30" t="s">
        <v>40</v>
      </c>
      <c r="AB426" s="30" t="s">
        <v>43</v>
      </c>
      <c r="AC426" s="51">
        <v>2400</v>
      </c>
      <c r="AD426" s="51">
        <v>2160</v>
      </c>
      <c r="AE426" s="57">
        <v>2160</v>
      </c>
      <c r="AF426" s="57">
        <v>1950</v>
      </c>
      <c r="AG426" s="57">
        <v>1660</v>
      </c>
      <c r="AH426" s="82" t="s">
        <v>42</v>
      </c>
      <c r="AI426" s="82" t="s">
        <v>43</v>
      </c>
      <c r="AJ426" s="76" t="s">
        <v>43</v>
      </c>
    </row>
    <row r="427" s="17" customFormat="1" ht="16" customHeight="1" spans="1:36">
      <c r="A427" s="29"/>
      <c r="B427" s="30"/>
      <c r="C427" s="28" t="s">
        <v>1572</v>
      </c>
      <c r="D427" s="30"/>
      <c r="E427" s="31"/>
      <c r="F427" s="31"/>
      <c r="G427" s="30"/>
      <c r="H427" s="31"/>
      <c r="I427" s="37"/>
      <c r="J427" s="37"/>
      <c r="K427" s="36"/>
      <c r="L427" s="36"/>
      <c r="M427" s="36"/>
      <c r="N427" s="41"/>
      <c r="O427" s="41"/>
      <c r="P427" s="41"/>
      <c r="Q427" s="30"/>
      <c r="R427" s="30"/>
      <c r="S427" s="76"/>
      <c r="T427" s="36"/>
      <c r="U427" s="31"/>
      <c r="V427" s="30" t="s">
        <v>1587</v>
      </c>
      <c r="W427" s="30">
        <v>330202013</v>
      </c>
      <c r="X427" s="30" t="s">
        <v>1588</v>
      </c>
      <c r="Y427" s="30"/>
      <c r="Z427" s="30"/>
      <c r="AA427" s="30" t="s">
        <v>40</v>
      </c>
      <c r="AB427" s="30" t="s">
        <v>43</v>
      </c>
      <c r="AC427" s="51">
        <v>2400</v>
      </c>
      <c r="AD427" s="51">
        <v>2160</v>
      </c>
      <c r="AE427" s="57">
        <v>2160</v>
      </c>
      <c r="AF427" s="57">
        <v>1950</v>
      </c>
      <c r="AG427" s="57">
        <v>1660</v>
      </c>
      <c r="AH427" s="82" t="s">
        <v>42</v>
      </c>
      <c r="AI427" s="82" t="s">
        <v>43</v>
      </c>
      <c r="AJ427" s="76" t="s">
        <v>43</v>
      </c>
    </row>
    <row r="428" s="17" customFormat="1" ht="16" customHeight="1" spans="1:36">
      <c r="A428" s="29" t="s">
        <v>70</v>
      </c>
      <c r="B428" s="30" t="s">
        <v>1589</v>
      </c>
      <c r="C428" s="28" t="s">
        <v>1590</v>
      </c>
      <c r="D428" s="30" t="s">
        <v>378</v>
      </c>
      <c r="E428" s="31" t="s">
        <v>43</v>
      </c>
      <c r="F428" s="31" t="s">
        <v>43</v>
      </c>
      <c r="G428" s="30" t="s">
        <v>151</v>
      </c>
      <c r="H428" s="31" t="s">
        <v>43</v>
      </c>
      <c r="I428" s="37">
        <v>1020</v>
      </c>
      <c r="J428" s="37">
        <v>918</v>
      </c>
      <c r="K428" s="36"/>
      <c r="L428" s="36"/>
      <c r="M428" s="36"/>
      <c r="N428" s="41">
        <f>N423*0.3</f>
        <v>975</v>
      </c>
      <c r="O428" s="41">
        <f>O423*0.3</f>
        <v>870</v>
      </c>
      <c r="P428" s="41">
        <f>P423*0.3</f>
        <v>735</v>
      </c>
      <c r="Q428" s="30" t="s">
        <v>42</v>
      </c>
      <c r="R428" s="30" t="s">
        <v>43</v>
      </c>
      <c r="S428" s="76" t="s">
        <v>43</v>
      </c>
      <c r="T428" s="36"/>
      <c r="U428" s="31"/>
      <c r="V428" s="30" t="s">
        <v>1591</v>
      </c>
      <c r="W428" s="30">
        <v>33020200801</v>
      </c>
      <c r="X428" s="30" t="s">
        <v>1592</v>
      </c>
      <c r="Y428" s="30"/>
      <c r="Z428" s="30"/>
      <c r="AA428" s="30" t="s">
        <v>40</v>
      </c>
      <c r="AB428" s="30" t="s">
        <v>43</v>
      </c>
      <c r="AC428" s="51">
        <v>3745</v>
      </c>
      <c r="AD428" s="51">
        <v>3365</v>
      </c>
      <c r="AE428" s="57">
        <v>3290</v>
      </c>
      <c r="AF428" s="57">
        <v>2965</v>
      </c>
      <c r="AG428" s="57">
        <v>2520</v>
      </c>
      <c r="AH428" s="82" t="s">
        <v>42</v>
      </c>
      <c r="AI428" s="82" t="s">
        <v>43</v>
      </c>
      <c r="AJ428" s="76" t="s">
        <v>43</v>
      </c>
    </row>
    <row r="429" s="17" customFormat="1" ht="16" customHeight="1" spans="1:36">
      <c r="A429" s="29"/>
      <c r="B429" s="30"/>
      <c r="C429" s="28" t="s">
        <v>1590</v>
      </c>
      <c r="D429" s="30"/>
      <c r="E429" s="31"/>
      <c r="F429" s="31"/>
      <c r="G429" s="30"/>
      <c r="H429" s="31"/>
      <c r="I429" s="37"/>
      <c r="J429" s="37"/>
      <c r="K429" s="36"/>
      <c r="L429" s="36"/>
      <c r="M429" s="36"/>
      <c r="N429" s="41"/>
      <c r="O429" s="41"/>
      <c r="P429" s="41"/>
      <c r="Q429" s="30"/>
      <c r="R429" s="30"/>
      <c r="S429" s="76"/>
      <c r="T429" s="36"/>
      <c r="U429" s="31"/>
      <c r="V429" s="30" t="s">
        <v>1593</v>
      </c>
      <c r="W429" s="30">
        <v>33020200901</v>
      </c>
      <c r="X429" s="30" t="s">
        <v>1594</v>
      </c>
      <c r="Y429" s="30"/>
      <c r="Z429" s="30"/>
      <c r="AA429" s="30" t="s">
        <v>40</v>
      </c>
      <c r="AB429" s="30" t="s">
        <v>43</v>
      </c>
      <c r="AC429" s="51">
        <v>4500</v>
      </c>
      <c r="AD429" s="51">
        <v>4045</v>
      </c>
      <c r="AE429" s="57">
        <v>3950</v>
      </c>
      <c r="AF429" s="57">
        <v>3560</v>
      </c>
      <c r="AG429" s="57">
        <v>3025</v>
      </c>
      <c r="AH429" s="82" t="s">
        <v>42</v>
      </c>
      <c r="AI429" s="82" t="s">
        <v>43</v>
      </c>
      <c r="AJ429" s="76" t="s">
        <v>43</v>
      </c>
    </row>
    <row r="430" s="17" customFormat="1" ht="16" customHeight="1" spans="1:36">
      <c r="A430" s="29"/>
      <c r="B430" s="30"/>
      <c r="C430" s="28" t="s">
        <v>1590</v>
      </c>
      <c r="D430" s="30"/>
      <c r="E430" s="31"/>
      <c r="F430" s="31"/>
      <c r="G430" s="30"/>
      <c r="H430" s="31"/>
      <c r="I430" s="37"/>
      <c r="J430" s="37"/>
      <c r="K430" s="36"/>
      <c r="L430" s="36"/>
      <c r="M430" s="36"/>
      <c r="N430" s="41"/>
      <c r="O430" s="41"/>
      <c r="P430" s="41"/>
      <c r="Q430" s="30"/>
      <c r="R430" s="30"/>
      <c r="S430" s="76"/>
      <c r="T430" s="36"/>
      <c r="U430" s="31"/>
      <c r="V430" s="46" t="s">
        <v>1595</v>
      </c>
      <c r="W430" s="46">
        <v>33020201001</v>
      </c>
      <c r="X430" s="48" t="s">
        <v>1596</v>
      </c>
      <c r="Y430" s="50"/>
      <c r="Z430" s="50"/>
      <c r="AA430" s="50" t="s">
        <v>40</v>
      </c>
      <c r="AB430" s="30" t="s">
        <v>43</v>
      </c>
      <c r="AC430" s="62">
        <v>4060</v>
      </c>
      <c r="AD430" s="51">
        <v>3640</v>
      </c>
      <c r="AE430" s="57">
        <v>3660</v>
      </c>
      <c r="AF430" s="57">
        <v>3295</v>
      </c>
      <c r="AG430" s="57">
        <v>2800</v>
      </c>
      <c r="AH430" s="82" t="s">
        <v>42</v>
      </c>
      <c r="AI430" s="82" t="s">
        <v>43</v>
      </c>
      <c r="AJ430" s="76" t="s">
        <v>43</v>
      </c>
    </row>
    <row r="431" s="17" customFormat="1" ht="16" customHeight="1" spans="1:36">
      <c r="A431" s="29"/>
      <c r="B431" s="30"/>
      <c r="C431" s="28" t="s">
        <v>1590</v>
      </c>
      <c r="D431" s="30"/>
      <c r="E431" s="31"/>
      <c r="F431" s="31"/>
      <c r="G431" s="30"/>
      <c r="H431" s="31"/>
      <c r="I431" s="37"/>
      <c r="J431" s="37"/>
      <c r="K431" s="36"/>
      <c r="L431" s="36"/>
      <c r="M431" s="36"/>
      <c r="N431" s="41"/>
      <c r="O431" s="41"/>
      <c r="P431" s="41"/>
      <c r="Q431" s="30"/>
      <c r="R431" s="30"/>
      <c r="S431" s="76"/>
      <c r="T431" s="36"/>
      <c r="U431" s="31"/>
      <c r="V431" s="46" t="s">
        <v>1597</v>
      </c>
      <c r="W431" s="46">
        <v>33020201201</v>
      </c>
      <c r="X431" s="48" t="s">
        <v>1598</v>
      </c>
      <c r="Y431" s="50"/>
      <c r="Z431" s="50"/>
      <c r="AA431" s="50" t="s">
        <v>40</v>
      </c>
      <c r="AB431" s="30" t="s">
        <v>43</v>
      </c>
      <c r="AC431" s="62">
        <v>3120</v>
      </c>
      <c r="AD431" s="51">
        <v>2810</v>
      </c>
      <c r="AE431" s="57">
        <v>2810</v>
      </c>
      <c r="AF431" s="57">
        <v>2535</v>
      </c>
      <c r="AG431" s="57">
        <v>2160</v>
      </c>
      <c r="AH431" s="82" t="s">
        <v>42</v>
      </c>
      <c r="AI431" s="82" t="s">
        <v>43</v>
      </c>
      <c r="AJ431" s="76" t="s">
        <v>43</v>
      </c>
    </row>
    <row r="432" s="17" customFormat="1" ht="16" customHeight="1" spans="1:36">
      <c r="A432" s="29"/>
      <c r="B432" s="30"/>
      <c r="C432" s="28" t="s">
        <v>1590</v>
      </c>
      <c r="D432" s="30"/>
      <c r="E432" s="31"/>
      <c r="F432" s="31"/>
      <c r="G432" s="30"/>
      <c r="H432" s="31"/>
      <c r="I432" s="37"/>
      <c r="J432" s="37"/>
      <c r="K432" s="36"/>
      <c r="L432" s="36"/>
      <c r="M432" s="36"/>
      <c r="N432" s="41"/>
      <c r="O432" s="41"/>
      <c r="P432" s="41"/>
      <c r="Q432" s="30"/>
      <c r="R432" s="30"/>
      <c r="S432" s="76"/>
      <c r="T432" s="36"/>
      <c r="U432" s="31"/>
      <c r="V432" s="46" t="s">
        <v>1599</v>
      </c>
      <c r="W432" s="46">
        <v>33020201301</v>
      </c>
      <c r="X432" s="48" t="s">
        <v>1600</v>
      </c>
      <c r="Y432" s="50"/>
      <c r="Z432" s="50"/>
      <c r="AA432" s="50" t="s">
        <v>40</v>
      </c>
      <c r="AB432" s="30" t="s">
        <v>43</v>
      </c>
      <c r="AC432" s="62">
        <v>3120</v>
      </c>
      <c r="AD432" s="51">
        <v>2810</v>
      </c>
      <c r="AE432" s="57">
        <v>2810</v>
      </c>
      <c r="AF432" s="57">
        <v>2535</v>
      </c>
      <c r="AG432" s="57">
        <v>2160</v>
      </c>
      <c r="AH432" s="82" t="s">
        <v>42</v>
      </c>
      <c r="AI432" s="82" t="s">
        <v>43</v>
      </c>
      <c r="AJ432" s="76" t="s">
        <v>43</v>
      </c>
    </row>
    <row r="433" s="17" customFormat="1" ht="82" customHeight="1" spans="1:36">
      <c r="A433" s="29">
        <v>82</v>
      </c>
      <c r="B433" s="30" t="s">
        <v>1601</v>
      </c>
      <c r="C433" s="30" t="s">
        <v>1602</v>
      </c>
      <c r="D433" s="30" t="s">
        <v>378</v>
      </c>
      <c r="E433" s="31" t="s">
        <v>1603</v>
      </c>
      <c r="F433" s="31" t="s">
        <v>1604</v>
      </c>
      <c r="G433" s="30" t="s">
        <v>151</v>
      </c>
      <c r="H433" s="31" t="s">
        <v>43</v>
      </c>
      <c r="I433" s="37">
        <v>3230</v>
      </c>
      <c r="J433" s="37">
        <v>2907</v>
      </c>
      <c r="K433" s="36"/>
      <c r="L433" s="36"/>
      <c r="M433" s="36"/>
      <c r="N433" s="41">
        <v>2950</v>
      </c>
      <c r="O433" s="41">
        <v>2650</v>
      </c>
      <c r="P433" s="41">
        <v>2250</v>
      </c>
      <c r="Q433" s="30" t="s">
        <v>42</v>
      </c>
      <c r="R433" s="30" t="s">
        <v>43</v>
      </c>
      <c r="S433" s="76" t="s">
        <v>43</v>
      </c>
      <c r="T433" s="36" t="s">
        <v>101</v>
      </c>
      <c r="U433" s="31" t="s">
        <v>321</v>
      </c>
      <c r="V433" s="46" t="s">
        <v>1605</v>
      </c>
      <c r="W433" s="46">
        <v>330204019</v>
      </c>
      <c r="X433" s="48" t="s">
        <v>1606</v>
      </c>
      <c r="Y433" s="46"/>
      <c r="Z433" s="46"/>
      <c r="AA433" s="46" t="s">
        <v>40</v>
      </c>
      <c r="AB433" s="30" t="s">
        <v>43</v>
      </c>
      <c r="AC433" s="52"/>
      <c r="AD433" s="51" t="s">
        <v>43</v>
      </c>
      <c r="AE433" s="57" t="s">
        <v>43</v>
      </c>
      <c r="AF433" s="57" t="s">
        <v>43</v>
      </c>
      <c r="AG433" s="57" t="s">
        <v>43</v>
      </c>
      <c r="AH433" s="82" t="s">
        <v>43</v>
      </c>
      <c r="AI433" s="82" t="s">
        <v>43</v>
      </c>
      <c r="AJ433" s="76" t="s">
        <v>43</v>
      </c>
    </row>
    <row r="434" s="17" customFormat="1" ht="37" customHeight="1" spans="1:36">
      <c r="A434" s="29" t="s">
        <v>70</v>
      </c>
      <c r="B434" s="30" t="s">
        <v>1607</v>
      </c>
      <c r="C434" s="30" t="s">
        <v>1608</v>
      </c>
      <c r="D434" s="30" t="s">
        <v>378</v>
      </c>
      <c r="E434" s="31" t="s">
        <v>43</v>
      </c>
      <c r="F434" s="31" t="s">
        <v>43</v>
      </c>
      <c r="G434" s="30" t="s">
        <v>151</v>
      </c>
      <c r="H434" s="31" t="s">
        <v>43</v>
      </c>
      <c r="I434" s="37">
        <v>969</v>
      </c>
      <c r="J434" s="37">
        <v>872</v>
      </c>
      <c r="K434" s="36"/>
      <c r="L434" s="36"/>
      <c r="M434" s="36"/>
      <c r="N434" s="41">
        <v>885</v>
      </c>
      <c r="O434" s="41">
        <v>795</v>
      </c>
      <c r="P434" s="41">
        <v>675</v>
      </c>
      <c r="Q434" s="30" t="s">
        <v>42</v>
      </c>
      <c r="R434" s="30" t="s">
        <v>43</v>
      </c>
      <c r="S434" s="76" t="s">
        <v>43</v>
      </c>
      <c r="T434" s="36"/>
      <c r="U434" s="31" t="s">
        <v>384</v>
      </c>
      <c r="V434" s="46" t="s">
        <v>1609</v>
      </c>
      <c r="W434" s="46">
        <v>33020401901</v>
      </c>
      <c r="X434" s="48" t="s">
        <v>1610</v>
      </c>
      <c r="Y434" s="46"/>
      <c r="Z434" s="46"/>
      <c r="AA434" s="46" t="s">
        <v>40</v>
      </c>
      <c r="AB434" s="30" t="s">
        <v>43</v>
      </c>
      <c r="AC434" s="52"/>
      <c r="AD434" s="51" t="s">
        <v>43</v>
      </c>
      <c r="AE434" s="57" t="s">
        <v>43</v>
      </c>
      <c r="AF434" s="57" t="s">
        <v>43</v>
      </c>
      <c r="AG434" s="57" t="s">
        <v>43</v>
      </c>
      <c r="AH434" s="82" t="s">
        <v>43</v>
      </c>
      <c r="AI434" s="82" t="s">
        <v>43</v>
      </c>
      <c r="AJ434" s="76" t="s">
        <v>43</v>
      </c>
    </row>
  </sheetData>
  <autoFilter ref="A4:AJ434">
    <extLst/>
  </autoFilter>
  <mergeCells count="1448">
    <mergeCell ref="A2:AG2"/>
    <mergeCell ref="A3:U3"/>
    <mergeCell ref="V3:AG3"/>
    <mergeCell ref="A5:A11"/>
    <mergeCell ref="A13:A14"/>
    <mergeCell ref="A19:A25"/>
    <mergeCell ref="A36:A37"/>
    <mergeCell ref="A40:A41"/>
    <mergeCell ref="A48:A49"/>
    <mergeCell ref="A50:A51"/>
    <mergeCell ref="A52:A53"/>
    <mergeCell ref="A54:A57"/>
    <mergeCell ref="A60:A61"/>
    <mergeCell ref="A64:A67"/>
    <mergeCell ref="A68:A78"/>
    <mergeCell ref="A96:A97"/>
    <mergeCell ref="A100:A103"/>
    <mergeCell ref="A104:A106"/>
    <mergeCell ref="A107:A109"/>
    <mergeCell ref="A113:A114"/>
    <mergeCell ref="A116:A118"/>
    <mergeCell ref="A132:A133"/>
    <mergeCell ref="A134:A135"/>
    <mergeCell ref="A136:A141"/>
    <mergeCell ref="A142:A145"/>
    <mergeCell ref="A146:A157"/>
    <mergeCell ref="A158:A161"/>
    <mergeCell ref="A164:A165"/>
    <mergeCell ref="A166:A167"/>
    <mergeCell ref="A172:A174"/>
    <mergeCell ref="A175:A177"/>
    <mergeCell ref="A178:A206"/>
    <mergeCell ref="A207:A235"/>
    <mergeCell ref="A236:A244"/>
    <mergeCell ref="A245:A253"/>
    <mergeCell ref="A254:A255"/>
    <mergeCell ref="A256:A257"/>
    <mergeCell ref="A258:A262"/>
    <mergeCell ref="A263:A265"/>
    <mergeCell ref="A268:A270"/>
    <mergeCell ref="A271:A273"/>
    <mergeCell ref="A276:A277"/>
    <mergeCell ref="A279:A282"/>
    <mergeCell ref="A285:A288"/>
    <mergeCell ref="A292:A293"/>
    <mergeCell ref="A294:A295"/>
    <mergeCell ref="A296:A299"/>
    <mergeCell ref="A301:A302"/>
    <mergeCell ref="A303:A304"/>
    <mergeCell ref="A305:A306"/>
    <mergeCell ref="A307:A310"/>
    <mergeCell ref="A311:A314"/>
    <mergeCell ref="A315:A321"/>
    <mergeCell ref="A322:A328"/>
    <mergeCell ref="A340:A341"/>
    <mergeCell ref="A342:A343"/>
    <mergeCell ref="A344:A345"/>
    <mergeCell ref="A346:A347"/>
    <mergeCell ref="A348:A349"/>
    <mergeCell ref="A350:A351"/>
    <mergeCell ref="A354:A357"/>
    <mergeCell ref="A358:A361"/>
    <mergeCell ref="A362:A364"/>
    <mergeCell ref="A365:A367"/>
    <mergeCell ref="A372:A379"/>
    <mergeCell ref="A380:A387"/>
    <mergeCell ref="A388:A391"/>
    <mergeCell ref="A392:A394"/>
    <mergeCell ref="A395:A399"/>
    <mergeCell ref="A400:A404"/>
    <mergeCell ref="A405:A407"/>
    <mergeCell ref="A408:A410"/>
    <mergeCell ref="A413:A415"/>
    <mergeCell ref="A416:A418"/>
    <mergeCell ref="A423:A427"/>
    <mergeCell ref="A428:A432"/>
    <mergeCell ref="B5:B11"/>
    <mergeCell ref="B13:B14"/>
    <mergeCell ref="B19:B25"/>
    <mergeCell ref="B36:B37"/>
    <mergeCell ref="B40:B41"/>
    <mergeCell ref="B48:B49"/>
    <mergeCell ref="B50:B51"/>
    <mergeCell ref="B52:B53"/>
    <mergeCell ref="B54:B57"/>
    <mergeCell ref="B60:B61"/>
    <mergeCell ref="B64:B67"/>
    <mergeCell ref="B68:B78"/>
    <mergeCell ref="B96:B97"/>
    <mergeCell ref="B100:B103"/>
    <mergeCell ref="B104:B106"/>
    <mergeCell ref="B107:B109"/>
    <mergeCell ref="B113:B114"/>
    <mergeCell ref="B116:B118"/>
    <mergeCell ref="B132:B133"/>
    <mergeCell ref="B134:B135"/>
    <mergeCell ref="B136:B141"/>
    <mergeCell ref="B142:B145"/>
    <mergeCell ref="B146:B157"/>
    <mergeCell ref="B158:B161"/>
    <mergeCell ref="B164:B165"/>
    <mergeCell ref="B166:B167"/>
    <mergeCell ref="B172:B174"/>
    <mergeCell ref="B175:B177"/>
    <mergeCell ref="B178:B206"/>
    <mergeCell ref="B207:B235"/>
    <mergeCell ref="B236:B244"/>
    <mergeCell ref="B245:B253"/>
    <mergeCell ref="B254:B255"/>
    <mergeCell ref="B256:B257"/>
    <mergeCell ref="B258:B262"/>
    <mergeCell ref="B263:B265"/>
    <mergeCell ref="B268:B270"/>
    <mergeCell ref="B271:B273"/>
    <mergeCell ref="B276:B277"/>
    <mergeCell ref="B279:B282"/>
    <mergeCell ref="B285:B288"/>
    <mergeCell ref="B292:B293"/>
    <mergeCell ref="B294:B295"/>
    <mergeCell ref="B296:B299"/>
    <mergeCell ref="B301:B302"/>
    <mergeCell ref="B303:B304"/>
    <mergeCell ref="B305:B306"/>
    <mergeCell ref="B307:B310"/>
    <mergeCell ref="B311:B314"/>
    <mergeCell ref="B315:B321"/>
    <mergeCell ref="B322:B328"/>
    <mergeCell ref="B340:B341"/>
    <mergeCell ref="B342:B343"/>
    <mergeCell ref="B344:B345"/>
    <mergeCell ref="B346:B347"/>
    <mergeCell ref="B348:B349"/>
    <mergeCell ref="B350:B351"/>
    <mergeCell ref="B354:B357"/>
    <mergeCell ref="B358:B361"/>
    <mergeCell ref="B362:B364"/>
    <mergeCell ref="B365:B367"/>
    <mergeCell ref="B372:B379"/>
    <mergeCell ref="B380:B387"/>
    <mergeCell ref="B388:B391"/>
    <mergeCell ref="B392:B394"/>
    <mergeCell ref="B395:B399"/>
    <mergeCell ref="B400:B404"/>
    <mergeCell ref="B405:B407"/>
    <mergeCell ref="B408:B410"/>
    <mergeCell ref="B413:B415"/>
    <mergeCell ref="B416:B418"/>
    <mergeCell ref="B423:B427"/>
    <mergeCell ref="B428:B432"/>
    <mergeCell ref="D5:D11"/>
    <mergeCell ref="D13:D14"/>
    <mergeCell ref="D19:D25"/>
    <mergeCell ref="D36:D37"/>
    <mergeCell ref="D40:D41"/>
    <mergeCell ref="D48:D49"/>
    <mergeCell ref="D50:D51"/>
    <mergeCell ref="D52:D53"/>
    <mergeCell ref="D54:D57"/>
    <mergeCell ref="D60:D61"/>
    <mergeCell ref="D64:D67"/>
    <mergeCell ref="D68:D78"/>
    <mergeCell ref="D96:D97"/>
    <mergeCell ref="D100:D103"/>
    <mergeCell ref="D104:D106"/>
    <mergeCell ref="D107:D109"/>
    <mergeCell ref="D113:D114"/>
    <mergeCell ref="D116:D118"/>
    <mergeCell ref="D132:D133"/>
    <mergeCell ref="D134:D135"/>
    <mergeCell ref="D136:D141"/>
    <mergeCell ref="D142:D145"/>
    <mergeCell ref="D146:D157"/>
    <mergeCell ref="D158:D161"/>
    <mergeCell ref="D164:D165"/>
    <mergeCell ref="D166:D167"/>
    <mergeCell ref="D172:D174"/>
    <mergeCell ref="D175:D177"/>
    <mergeCell ref="D178:D206"/>
    <mergeCell ref="D207:D235"/>
    <mergeCell ref="D236:D244"/>
    <mergeCell ref="D245:D253"/>
    <mergeCell ref="D254:D255"/>
    <mergeCell ref="D256:D257"/>
    <mergeCell ref="D258:D262"/>
    <mergeCell ref="D263:D265"/>
    <mergeCell ref="D268:D270"/>
    <mergeCell ref="D271:D273"/>
    <mergeCell ref="D276:D277"/>
    <mergeCell ref="D279:D282"/>
    <mergeCell ref="D285:D288"/>
    <mergeCell ref="D294:D295"/>
    <mergeCell ref="D296:D299"/>
    <mergeCell ref="D301:D302"/>
    <mergeCell ref="D303:D304"/>
    <mergeCell ref="D305:D306"/>
    <mergeCell ref="D307:D310"/>
    <mergeCell ref="D311:D314"/>
    <mergeCell ref="D315:D321"/>
    <mergeCell ref="D322:D328"/>
    <mergeCell ref="D340:D341"/>
    <mergeCell ref="D342:D343"/>
    <mergeCell ref="D344:D345"/>
    <mergeCell ref="D346:D347"/>
    <mergeCell ref="D348:D349"/>
    <mergeCell ref="D350:D351"/>
    <mergeCell ref="D354:D357"/>
    <mergeCell ref="D358:D361"/>
    <mergeCell ref="D362:D364"/>
    <mergeCell ref="D365:D367"/>
    <mergeCell ref="D372:D379"/>
    <mergeCell ref="D380:D387"/>
    <mergeCell ref="D388:D391"/>
    <mergeCell ref="D392:D394"/>
    <mergeCell ref="D395:D399"/>
    <mergeCell ref="D400:D404"/>
    <mergeCell ref="D405:D407"/>
    <mergeCell ref="D408:D410"/>
    <mergeCell ref="D413:D415"/>
    <mergeCell ref="D416:D418"/>
    <mergeCell ref="D423:D427"/>
    <mergeCell ref="D428:D432"/>
    <mergeCell ref="E5:E11"/>
    <mergeCell ref="E13:E14"/>
    <mergeCell ref="E19:E25"/>
    <mergeCell ref="E36:E37"/>
    <mergeCell ref="E40:E41"/>
    <mergeCell ref="E48:E49"/>
    <mergeCell ref="E50:E51"/>
    <mergeCell ref="E52:E53"/>
    <mergeCell ref="E54:E57"/>
    <mergeCell ref="E60:E61"/>
    <mergeCell ref="E64:E67"/>
    <mergeCell ref="E68:E78"/>
    <mergeCell ref="E96:E97"/>
    <mergeCell ref="E100:E103"/>
    <mergeCell ref="E104:E106"/>
    <mergeCell ref="E107:E109"/>
    <mergeCell ref="E113:E114"/>
    <mergeCell ref="E116:E118"/>
    <mergeCell ref="E132:E133"/>
    <mergeCell ref="E134:E135"/>
    <mergeCell ref="E136:E141"/>
    <mergeCell ref="E142:E145"/>
    <mergeCell ref="E146:E157"/>
    <mergeCell ref="E158:E161"/>
    <mergeCell ref="E164:E165"/>
    <mergeCell ref="E166:E167"/>
    <mergeCell ref="E172:E174"/>
    <mergeCell ref="E175:E177"/>
    <mergeCell ref="E178:E206"/>
    <mergeCell ref="E207:E235"/>
    <mergeCell ref="E236:E244"/>
    <mergeCell ref="E245:E253"/>
    <mergeCell ref="E254:E255"/>
    <mergeCell ref="E256:E257"/>
    <mergeCell ref="E258:E262"/>
    <mergeCell ref="E263:E265"/>
    <mergeCell ref="E268:E270"/>
    <mergeCell ref="E271:E273"/>
    <mergeCell ref="E276:E277"/>
    <mergeCell ref="E279:E282"/>
    <mergeCell ref="E285:E288"/>
    <mergeCell ref="E294:E295"/>
    <mergeCell ref="E296:E299"/>
    <mergeCell ref="E301:E302"/>
    <mergeCell ref="E303:E304"/>
    <mergeCell ref="E305:E306"/>
    <mergeCell ref="E307:E310"/>
    <mergeCell ref="E311:E314"/>
    <mergeCell ref="E315:E321"/>
    <mergeCell ref="E322:E328"/>
    <mergeCell ref="E340:E341"/>
    <mergeCell ref="E342:E343"/>
    <mergeCell ref="E344:E345"/>
    <mergeCell ref="E346:E347"/>
    <mergeCell ref="E348:E349"/>
    <mergeCell ref="E350:E351"/>
    <mergeCell ref="E354:E357"/>
    <mergeCell ref="E358:E361"/>
    <mergeCell ref="E362:E364"/>
    <mergeCell ref="E365:E367"/>
    <mergeCell ref="E372:E379"/>
    <mergeCell ref="E380:E387"/>
    <mergeCell ref="E388:E391"/>
    <mergeCell ref="E392:E394"/>
    <mergeCell ref="E395:E399"/>
    <mergeCell ref="E400:E404"/>
    <mergeCell ref="E405:E407"/>
    <mergeCell ref="E408:E410"/>
    <mergeCell ref="E413:E415"/>
    <mergeCell ref="E416:E418"/>
    <mergeCell ref="E423:E427"/>
    <mergeCell ref="E428:E432"/>
    <mergeCell ref="F5:F11"/>
    <mergeCell ref="F13:F14"/>
    <mergeCell ref="F19:F25"/>
    <mergeCell ref="F36:F37"/>
    <mergeCell ref="F40:F41"/>
    <mergeCell ref="F48:F49"/>
    <mergeCell ref="F50:F51"/>
    <mergeCell ref="F52:F53"/>
    <mergeCell ref="F54:F57"/>
    <mergeCell ref="F60:F61"/>
    <mergeCell ref="F64:F67"/>
    <mergeCell ref="F68:F78"/>
    <mergeCell ref="F96:F97"/>
    <mergeCell ref="F100:F103"/>
    <mergeCell ref="F104:F106"/>
    <mergeCell ref="F107:F109"/>
    <mergeCell ref="F113:F114"/>
    <mergeCell ref="F116:F118"/>
    <mergeCell ref="F132:F133"/>
    <mergeCell ref="F134:F135"/>
    <mergeCell ref="F136:F141"/>
    <mergeCell ref="F142:F145"/>
    <mergeCell ref="F146:F157"/>
    <mergeCell ref="F158:F161"/>
    <mergeCell ref="F164:F165"/>
    <mergeCell ref="F166:F167"/>
    <mergeCell ref="F172:F174"/>
    <mergeCell ref="F175:F177"/>
    <mergeCell ref="F178:F206"/>
    <mergeCell ref="F207:F235"/>
    <mergeCell ref="F236:F244"/>
    <mergeCell ref="F245:F253"/>
    <mergeCell ref="F254:F255"/>
    <mergeCell ref="F256:F257"/>
    <mergeCell ref="F258:F262"/>
    <mergeCell ref="F263:F265"/>
    <mergeCell ref="F268:F270"/>
    <mergeCell ref="F271:F273"/>
    <mergeCell ref="F276:F277"/>
    <mergeCell ref="F279:F282"/>
    <mergeCell ref="F285:F288"/>
    <mergeCell ref="F294:F295"/>
    <mergeCell ref="F296:F299"/>
    <mergeCell ref="F301:F302"/>
    <mergeCell ref="F303:F304"/>
    <mergeCell ref="F305:F306"/>
    <mergeCell ref="F307:F310"/>
    <mergeCell ref="F311:F314"/>
    <mergeCell ref="F315:F321"/>
    <mergeCell ref="F322:F328"/>
    <mergeCell ref="F340:F341"/>
    <mergeCell ref="F342:F343"/>
    <mergeCell ref="F344:F345"/>
    <mergeCell ref="F346:F347"/>
    <mergeCell ref="F348:F349"/>
    <mergeCell ref="F350:F351"/>
    <mergeCell ref="F354:F357"/>
    <mergeCell ref="F358:F361"/>
    <mergeCell ref="F362:F364"/>
    <mergeCell ref="F365:F367"/>
    <mergeCell ref="F372:F379"/>
    <mergeCell ref="F380:F387"/>
    <mergeCell ref="F388:F391"/>
    <mergeCell ref="F392:F394"/>
    <mergeCell ref="F395:F399"/>
    <mergeCell ref="F400:F404"/>
    <mergeCell ref="F405:F407"/>
    <mergeCell ref="F408:F410"/>
    <mergeCell ref="F413:F415"/>
    <mergeCell ref="F416:F418"/>
    <mergeCell ref="F423:F427"/>
    <mergeCell ref="F428:F432"/>
    <mergeCell ref="G5:G11"/>
    <mergeCell ref="G13:G14"/>
    <mergeCell ref="G19:G25"/>
    <mergeCell ref="G36:G37"/>
    <mergeCell ref="G40:G41"/>
    <mergeCell ref="G48:G49"/>
    <mergeCell ref="G50:G51"/>
    <mergeCell ref="G52:G53"/>
    <mergeCell ref="G54:G57"/>
    <mergeCell ref="G60:G61"/>
    <mergeCell ref="G64:G67"/>
    <mergeCell ref="G68:G78"/>
    <mergeCell ref="G96:G97"/>
    <mergeCell ref="G100:G103"/>
    <mergeCell ref="G104:G106"/>
    <mergeCell ref="G107:G109"/>
    <mergeCell ref="G113:G114"/>
    <mergeCell ref="G116:G118"/>
    <mergeCell ref="G132:G133"/>
    <mergeCell ref="G134:G135"/>
    <mergeCell ref="G136:G141"/>
    <mergeCell ref="G142:G145"/>
    <mergeCell ref="G146:G157"/>
    <mergeCell ref="G158:G161"/>
    <mergeCell ref="G164:G165"/>
    <mergeCell ref="G166:G167"/>
    <mergeCell ref="G172:G174"/>
    <mergeCell ref="G175:G177"/>
    <mergeCell ref="G178:G206"/>
    <mergeCell ref="G207:G235"/>
    <mergeCell ref="G236:G244"/>
    <mergeCell ref="G245:G253"/>
    <mergeCell ref="G254:G255"/>
    <mergeCell ref="G256:G257"/>
    <mergeCell ref="G258:G262"/>
    <mergeCell ref="G263:G265"/>
    <mergeCell ref="G268:G270"/>
    <mergeCell ref="G271:G273"/>
    <mergeCell ref="G276:G277"/>
    <mergeCell ref="G279:G282"/>
    <mergeCell ref="G285:G288"/>
    <mergeCell ref="G294:G295"/>
    <mergeCell ref="G296:G299"/>
    <mergeCell ref="G301:G302"/>
    <mergeCell ref="G303:G304"/>
    <mergeCell ref="G305:G306"/>
    <mergeCell ref="G307:G310"/>
    <mergeCell ref="G311:G314"/>
    <mergeCell ref="G315:G321"/>
    <mergeCell ref="G322:G328"/>
    <mergeCell ref="G340:G341"/>
    <mergeCell ref="G342:G343"/>
    <mergeCell ref="G344:G345"/>
    <mergeCell ref="G346:G347"/>
    <mergeCell ref="G348:G349"/>
    <mergeCell ref="G350:G351"/>
    <mergeCell ref="G354:G357"/>
    <mergeCell ref="G358:G361"/>
    <mergeCell ref="G362:G364"/>
    <mergeCell ref="G365:G367"/>
    <mergeCell ref="G372:G379"/>
    <mergeCell ref="G380:G387"/>
    <mergeCell ref="G388:G391"/>
    <mergeCell ref="G392:G394"/>
    <mergeCell ref="G395:G399"/>
    <mergeCell ref="G400:G404"/>
    <mergeCell ref="G405:G407"/>
    <mergeCell ref="G408:G410"/>
    <mergeCell ref="G413:G415"/>
    <mergeCell ref="G416:G418"/>
    <mergeCell ref="G423:G427"/>
    <mergeCell ref="G428:G432"/>
    <mergeCell ref="H5:H11"/>
    <mergeCell ref="H13:H14"/>
    <mergeCell ref="H19:H25"/>
    <mergeCell ref="H36:H37"/>
    <mergeCell ref="H40:H41"/>
    <mergeCell ref="H48:H49"/>
    <mergeCell ref="H50:H51"/>
    <mergeCell ref="H52:H53"/>
    <mergeCell ref="H54:H57"/>
    <mergeCell ref="H60:H61"/>
    <mergeCell ref="H64:H67"/>
    <mergeCell ref="H68:H78"/>
    <mergeCell ref="H96:H97"/>
    <mergeCell ref="H100:H103"/>
    <mergeCell ref="H104:H106"/>
    <mergeCell ref="H107:H109"/>
    <mergeCell ref="H113:H114"/>
    <mergeCell ref="H116:H118"/>
    <mergeCell ref="H132:H133"/>
    <mergeCell ref="H134:H135"/>
    <mergeCell ref="H136:H141"/>
    <mergeCell ref="H142:H145"/>
    <mergeCell ref="H146:H157"/>
    <mergeCell ref="H158:H161"/>
    <mergeCell ref="H164:H165"/>
    <mergeCell ref="H166:H167"/>
    <mergeCell ref="H172:H174"/>
    <mergeCell ref="H175:H177"/>
    <mergeCell ref="H178:H206"/>
    <mergeCell ref="H207:H235"/>
    <mergeCell ref="H236:H244"/>
    <mergeCell ref="H245:H253"/>
    <mergeCell ref="H254:H255"/>
    <mergeCell ref="H256:H257"/>
    <mergeCell ref="H258:H262"/>
    <mergeCell ref="H263:H265"/>
    <mergeCell ref="H268:H270"/>
    <mergeCell ref="H271:H273"/>
    <mergeCell ref="H276:H277"/>
    <mergeCell ref="H279:H282"/>
    <mergeCell ref="H285:H288"/>
    <mergeCell ref="H294:H295"/>
    <mergeCell ref="H296:H299"/>
    <mergeCell ref="H301:H302"/>
    <mergeCell ref="H303:H304"/>
    <mergeCell ref="H305:H306"/>
    <mergeCell ref="H307:H310"/>
    <mergeCell ref="H311:H314"/>
    <mergeCell ref="H315:H321"/>
    <mergeCell ref="H322:H328"/>
    <mergeCell ref="H340:H341"/>
    <mergeCell ref="H342:H343"/>
    <mergeCell ref="H344:H345"/>
    <mergeCell ref="H346:H347"/>
    <mergeCell ref="H348:H349"/>
    <mergeCell ref="H350:H351"/>
    <mergeCell ref="H354:H357"/>
    <mergeCell ref="H358:H361"/>
    <mergeCell ref="H362:H364"/>
    <mergeCell ref="H365:H367"/>
    <mergeCell ref="H372:H379"/>
    <mergeCell ref="H380:H387"/>
    <mergeCell ref="H388:H391"/>
    <mergeCell ref="H392:H394"/>
    <mergeCell ref="H395:H399"/>
    <mergeCell ref="H400:H404"/>
    <mergeCell ref="H405:H407"/>
    <mergeCell ref="H408:H410"/>
    <mergeCell ref="H413:H415"/>
    <mergeCell ref="H416:H418"/>
    <mergeCell ref="H423:H427"/>
    <mergeCell ref="H428:H432"/>
    <mergeCell ref="I5:I11"/>
    <mergeCell ref="I13:I14"/>
    <mergeCell ref="I19:I25"/>
    <mergeCell ref="I36:I37"/>
    <mergeCell ref="I40:I41"/>
    <mergeCell ref="I48:I49"/>
    <mergeCell ref="I50:I51"/>
    <mergeCell ref="I52:I53"/>
    <mergeCell ref="I54:I57"/>
    <mergeCell ref="I60:I61"/>
    <mergeCell ref="I64:I67"/>
    <mergeCell ref="I68:I78"/>
    <mergeCell ref="I96:I97"/>
    <mergeCell ref="I100:I103"/>
    <mergeCell ref="I104:I106"/>
    <mergeCell ref="I107:I109"/>
    <mergeCell ref="I113:I114"/>
    <mergeCell ref="I116:I118"/>
    <mergeCell ref="I132:I133"/>
    <mergeCell ref="I134:I135"/>
    <mergeCell ref="I136:I141"/>
    <mergeCell ref="I142:I145"/>
    <mergeCell ref="I146:I157"/>
    <mergeCell ref="I158:I161"/>
    <mergeCell ref="I164:I165"/>
    <mergeCell ref="I166:I167"/>
    <mergeCell ref="I172:I174"/>
    <mergeCell ref="I175:I177"/>
    <mergeCell ref="I178:I206"/>
    <mergeCell ref="I207:I235"/>
    <mergeCell ref="I236:I244"/>
    <mergeCell ref="I245:I253"/>
    <mergeCell ref="I254:I255"/>
    <mergeCell ref="I256:I257"/>
    <mergeCell ref="I258:I262"/>
    <mergeCell ref="I263:I265"/>
    <mergeCell ref="I268:I270"/>
    <mergeCell ref="I271:I273"/>
    <mergeCell ref="I276:I277"/>
    <mergeCell ref="I279:I282"/>
    <mergeCell ref="I285:I288"/>
    <mergeCell ref="I294:I295"/>
    <mergeCell ref="I296:I299"/>
    <mergeCell ref="I301:I302"/>
    <mergeCell ref="I303:I304"/>
    <mergeCell ref="I305:I306"/>
    <mergeCell ref="I307:I310"/>
    <mergeCell ref="I311:I314"/>
    <mergeCell ref="I315:I321"/>
    <mergeCell ref="I322:I328"/>
    <mergeCell ref="I340:I341"/>
    <mergeCell ref="I342:I343"/>
    <mergeCell ref="I344:I345"/>
    <mergeCell ref="I346:I347"/>
    <mergeCell ref="I348:I349"/>
    <mergeCell ref="I350:I351"/>
    <mergeCell ref="I354:I357"/>
    <mergeCell ref="I358:I361"/>
    <mergeCell ref="I362:I364"/>
    <mergeCell ref="I365:I367"/>
    <mergeCell ref="I372:I379"/>
    <mergeCell ref="I380:I387"/>
    <mergeCell ref="I388:I391"/>
    <mergeCell ref="I392:I394"/>
    <mergeCell ref="I395:I399"/>
    <mergeCell ref="I400:I404"/>
    <mergeCell ref="I405:I407"/>
    <mergeCell ref="I408:I410"/>
    <mergeCell ref="I413:I415"/>
    <mergeCell ref="I416:I418"/>
    <mergeCell ref="I423:I427"/>
    <mergeCell ref="I428:I432"/>
    <mergeCell ref="J5:J11"/>
    <mergeCell ref="J13:J14"/>
    <mergeCell ref="J19:J25"/>
    <mergeCell ref="J36:J37"/>
    <mergeCell ref="J40:J41"/>
    <mergeCell ref="J48:J49"/>
    <mergeCell ref="J50:J51"/>
    <mergeCell ref="J52:J53"/>
    <mergeCell ref="J54:J57"/>
    <mergeCell ref="J60:J61"/>
    <mergeCell ref="J64:J67"/>
    <mergeCell ref="J68:J78"/>
    <mergeCell ref="J96:J97"/>
    <mergeCell ref="J100:J103"/>
    <mergeCell ref="J104:J106"/>
    <mergeCell ref="J107:J109"/>
    <mergeCell ref="J113:J114"/>
    <mergeCell ref="J116:J118"/>
    <mergeCell ref="J132:J133"/>
    <mergeCell ref="J134:J135"/>
    <mergeCell ref="J136:J141"/>
    <mergeCell ref="J142:J145"/>
    <mergeCell ref="J146:J157"/>
    <mergeCell ref="J158:J161"/>
    <mergeCell ref="J164:J165"/>
    <mergeCell ref="J166:J167"/>
    <mergeCell ref="J172:J174"/>
    <mergeCell ref="J175:J177"/>
    <mergeCell ref="J178:J206"/>
    <mergeCell ref="J207:J235"/>
    <mergeCell ref="J236:J244"/>
    <mergeCell ref="J245:J253"/>
    <mergeCell ref="J254:J255"/>
    <mergeCell ref="J256:J257"/>
    <mergeCell ref="J258:J262"/>
    <mergeCell ref="J263:J265"/>
    <mergeCell ref="J268:J270"/>
    <mergeCell ref="J271:J273"/>
    <mergeCell ref="J276:J277"/>
    <mergeCell ref="J279:J282"/>
    <mergeCell ref="J285:J288"/>
    <mergeCell ref="J294:J295"/>
    <mergeCell ref="J296:J299"/>
    <mergeCell ref="J301:J302"/>
    <mergeCell ref="J303:J304"/>
    <mergeCell ref="J305:J306"/>
    <mergeCell ref="J307:J310"/>
    <mergeCell ref="J311:J314"/>
    <mergeCell ref="J315:J321"/>
    <mergeCell ref="J322:J328"/>
    <mergeCell ref="J340:J341"/>
    <mergeCell ref="J342:J343"/>
    <mergeCell ref="J344:J345"/>
    <mergeCell ref="J346:J347"/>
    <mergeCell ref="J348:J349"/>
    <mergeCell ref="J350:J351"/>
    <mergeCell ref="J354:J357"/>
    <mergeCell ref="J358:J361"/>
    <mergeCell ref="J362:J364"/>
    <mergeCell ref="J365:J367"/>
    <mergeCell ref="J372:J379"/>
    <mergeCell ref="J380:J387"/>
    <mergeCell ref="J388:J391"/>
    <mergeCell ref="J392:J394"/>
    <mergeCell ref="J395:J399"/>
    <mergeCell ref="J400:J404"/>
    <mergeCell ref="J405:J407"/>
    <mergeCell ref="J408:J410"/>
    <mergeCell ref="J413:J415"/>
    <mergeCell ref="J416:J418"/>
    <mergeCell ref="J423:J427"/>
    <mergeCell ref="J428:J432"/>
    <mergeCell ref="K5:K11"/>
    <mergeCell ref="K13:K14"/>
    <mergeCell ref="K19:K25"/>
    <mergeCell ref="K36:K37"/>
    <mergeCell ref="K40:K41"/>
    <mergeCell ref="K48:K49"/>
    <mergeCell ref="K50:K51"/>
    <mergeCell ref="K52:K53"/>
    <mergeCell ref="K54:K57"/>
    <mergeCell ref="K60:K61"/>
    <mergeCell ref="K64:K67"/>
    <mergeCell ref="K68:K78"/>
    <mergeCell ref="K96:K97"/>
    <mergeCell ref="K100:K103"/>
    <mergeCell ref="K104:K106"/>
    <mergeCell ref="K107:K109"/>
    <mergeCell ref="K113:K114"/>
    <mergeCell ref="K116:K118"/>
    <mergeCell ref="K132:K133"/>
    <mergeCell ref="K134:K135"/>
    <mergeCell ref="K136:K141"/>
    <mergeCell ref="K142:K145"/>
    <mergeCell ref="K146:K157"/>
    <mergeCell ref="K158:K161"/>
    <mergeCell ref="K164:K165"/>
    <mergeCell ref="K166:K167"/>
    <mergeCell ref="K172:K174"/>
    <mergeCell ref="K175:K177"/>
    <mergeCell ref="K178:K206"/>
    <mergeCell ref="K207:K235"/>
    <mergeCell ref="K236:K244"/>
    <mergeCell ref="K245:K253"/>
    <mergeCell ref="K254:K255"/>
    <mergeCell ref="K256:K257"/>
    <mergeCell ref="K258:K262"/>
    <mergeCell ref="K263:K265"/>
    <mergeCell ref="K268:K270"/>
    <mergeCell ref="K271:K273"/>
    <mergeCell ref="K276:K277"/>
    <mergeCell ref="K279:K282"/>
    <mergeCell ref="K285:K288"/>
    <mergeCell ref="K294:K295"/>
    <mergeCell ref="K296:K299"/>
    <mergeCell ref="K301:K302"/>
    <mergeCell ref="K303:K304"/>
    <mergeCell ref="K305:K306"/>
    <mergeCell ref="K307:K310"/>
    <mergeCell ref="K311:K314"/>
    <mergeCell ref="K315:K321"/>
    <mergeCell ref="K322:K328"/>
    <mergeCell ref="K340:K341"/>
    <mergeCell ref="K342:K343"/>
    <mergeCell ref="K344:K345"/>
    <mergeCell ref="K346:K347"/>
    <mergeCell ref="K348:K349"/>
    <mergeCell ref="K350:K351"/>
    <mergeCell ref="K354:K357"/>
    <mergeCell ref="K358:K361"/>
    <mergeCell ref="K362:K364"/>
    <mergeCell ref="K365:K367"/>
    <mergeCell ref="K372:K379"/>
    <mergeCell ref="K380:K387"/>
    <mergeCell ref="K388:K391"/>
    <mergeCell ref="K392:K394"/>
    <mergeCell ref="K395:K399"/>
    <mergeCell ref="K400:K404"/>
    <mergeCell ref="K405:K407"/>
    <mergeCell ref="K408:K410"/>
    <mergeCell ref="K413:K415"/>
    <mergeCell ref="K416:K418"/>
    <mergeCell ref="K423:K427"/>
    <mergeCell ref="K428:K432"/>
    <mergeCell ref="L5:L11"/>
    <mergeCell ref="L13:L14"/>
    <mergeCell ref="L19:L25"/>
    <mergeCell ref="L36:L37"/>
    <mergeCell ref="L40:L41"/>
    <mergeCell ref="L48:L49"/>
    <mergeCell ref="L50:L51"/>
    <mergeCell ref="L52:L53"/>
    <mergeCell ref="L54:L57"/>
    <mergeCell ref="L60:L61"/>
    <mergeCell ref="L64:L67"/>
    <mergeCell ref="L68:L78"/>
    <mergeCell ref="L96:L97"/>
    <mergeCell ref="L100:L103"/>
    <mergeCell ref="L104:L106"/>
    <mergeCell ref="L107:L109"/>
    <mergeCell ref="L113:L114"/>
    <mergeCell ref="L116:L118"/>
    <mergeCell ref="L132:L133"/>
    <mergeCell ref="L134:L135"/>
    <mergeCell ref="L136:L141"/>
    <mergeCell ref="L142:L145"/>
    <mergeCell ref="L146:L157"/>
    <mergeCell ref="L158:L161"/>
    <mergeCell ref="L164:L165"/>
    <mergeCell ref="L166:L167"/>
    <mergeCell ref="L172:L174"/>
    <mergeCell ref="L175:L177"/>
    <mergeCell ref="L178:L206"/>
    <mergeCell ref="L207:L235"/>
    <mergeCell ref="L236:L244"/>
    <mergeCell ref="L245:L253"/>
    <mergeCell ref="L254:L255"/>
    <mergeCell ref="L256:L257"/>
    <mergeCell ref="L258:L262"/>
    <mergeCell ref="L263:L265"/>
    <mergeCell ref="L268:L270"/>
    <mergeCell ref="L271:L273"/>
    <mergeCell ref="L276:L277"/>
    <mergeCell ref="L279:L282"/>
    <mergeCell ref="L285:L288"/>
    <mergeCell ref="L294:L295"/>
    <mergeCell ref="L296:L299"/>
    <mergeCell ref="L301:L302"/>
    <mergeCell ref="L303:L304"/>
    <mergeCell ref="L305:L306"/>
    <mergeCell ref="L307:L310"/>
    <mergeCell ref="L311:L314"/>
    <mergeCell ref="L315:L321"/>
    <mergeCell ref="L322:L328"/>
    <mergeCell ref="L340:L341"/>
    <mergeCell ref="L342:L343"/>
    <mergeCell ref="L344:L345"/>
    <mergeCell ref="L346:L347"/>
    <mergeCell ref="L348:L349"/>
    <mergeCell ref="L350:L351"/>
    <mergeCell ref="L354:L357"/>
    <mergeCell ref="L358:L361"/>
    <mergeCell ref="L362:L364"/>
    <mergeCell ref="L365:L367"/>
    <mergeCell ref="L372:L379"/>
    <mergeCell ref="L380:L387"/>
    <mergeCell ref="L388:L391"/>
    <mergeCell ref="L392:L394"/>
    <mergeCell ref="L395:L399"/>
    <mergeCell ref="L400:L404"/>
    <mergeCell ref="L405:L407"/>
    <mergeCell ref="L408:L410"/>
    <mergeCell ref="L413:L415"/>
    <mergeCell ref="L416:L418"/>
    <mergeCell ref="L423:L427"/>
    <mergeCell ref="L428:L432"/>
    <mergeCell ref="M5:M11"/>
    <mergeCell ref="M13:M14"/>
    <mergeCell ref="M19:M25"/>
    <mergeCell ref="M36:M37"/>
    <mergeCell ref="M40:M41"/>
    <mergeCell ref="M48:M49"/>
    <mergeCell ref="M50:M51"/>
    <mergeCell ref="M52:M53"/>
    <mergeCell ref="M54:M57"/>
    <mergeCell ref="M60:M61"/>
    <mergeCell ref="M64:M67"/>
    <mergeCell ref="M68:M78"/>
    <mergeCell ref="M96:M97"/>
    <mergeCell ref="M100:M103"/>
    <mergeCell ref="M104:M106"/>
    <mergeCell ref="M107:M109"/>
    <mergeCell ref="M113:M114"/>
    <mergeCell ref="M116:M118"/>
    <mergeCell ref="M132:M133"/>
    <mergeCell ref="M134:M135"/>
    <mergeCell ref="M136:M141"/>
    <mergeCell ref="M142:M145"/>
    <mergeCell ref="M146:M157"/>
    <mergeCell ref="M158:M161"/>
    <mergeCell ref="M164:M165"/>
    <mergeCell ref="M166:M167"/>
    <mergeCell ref="M172:M174"/>
    <mergeCell ref="M175:M177"/>
    <mergeCell ref="M178:M206"/>
    <mergeCell ref="M207:M235"/>
    <mergeCell ref="M236:M244"/>
    <mergeCell ref="M245:M253"/>
    <mergeCell ref="M254:M255"/>
    <mergeCell ref="M256:M257"/>
    <mergeCell ref="M258:M262"/>
    <mergeCell ref="M263:M265"/>
    <mergeCell ref="M268:M270"/>
    <mergeCell ref="M271:M273"/>
    <mergeCell ref="M276:M277"/>
    <mergeCell ref="M279:M282"/>
    <mergeCell ref="M285:M288"/>
    <mergeCell ref="M294:M295"/>
    <mergeCell ref="M296:M299"/>
    <mergeCell ref="M301:M302"/>
    <mergeCell ref="M303:M304"/>
    <mergeCell ref="M305:M306"/>
    <mergeCell ref="M307:M310"/>
    <mergeCell ref="M311:M314"/>
    <mergeCell ref="M315:M321"/>
    <mergeCell ref="M322:M328"/>
    <mergeCell ref="M340:M341"/>
    <mergeCell ref="M342:M343"/>
    <mergeCell ref="M344:M345"/>
    <mergeCell ref="M346:M347"/>
    <mergeCell ref="M348:M349"/>
    <mergeCell ref="M350:M351"/>
    <mergeCell ref="M354:M357"/>
    <mergeCell ref="M358:M361"/>
    <mergeCell ref="M362:M364"/>
    <mergeCell ref="M365:M367"/>
    <mergeCell ref="M372:M379"/>
    <mergeCell ref="M380:M387"/>
    <mergeCell ref="M388:M391"/>
    <mergeCell ref="M392:M394"/>
    <mergeCell ref="M395:M399"/>
    <mergeCell ref="M400:M404"/>
    <mergeCell ref="M405:M407"/>
    <mergeCell ref="M408:M410"/>
    <mergeCell ref="M413:M415"/>
    <mergeCell ref="M416:M418"/>
    <mergeCell ref="M423:M427"/>
    <mergeCell ref="M428:M432"/>
    <mergeCell ref="N5:N11"/>
    <mergeCell ref="N13:N14"/>
    <mergeCell ref="N19:N25"/>
    <mergeCell ref="N36:N37"/>
    <mergeCell ref="N40:N41"/>
    <mergeCell ref="N48:N49"/>
    <mergeCell ref="N50:N51"/>
    <mergeCell ref="N52:N53"/>
    <mergeCell ref="N54:N57"/>
    <mergeCell ref="N60:N61"/>
    <mergeCell ref="N64:N67"/>
    <mergeCell ref="N68:N78"/>
    <mergeCell ref="N96:N97"/>
    <mergeCell ref="N100:N103"/>
    <mergeCell ref="N104:N106"/>
    <mergeCell ref="N107:N109"/>
    <mergeCell ref="N113:N114"/>
    <mergeCell ref="N116:N118"/>
    <mergeCell ref="N132:N133"/>
    <mergeCell ref="N134:N135"/>
    <mergeCell ref="N136:N141"/>
    <mergeCell ref="N142:N145"/>
    <mergeCell ref="N146:N157"/>
    <mergeCell ref="N158:N161"/>
    <mergeCell ref="N164:N165"/>
    <mergeCell ref="N166:N167"/>
    <mergeCell ref="N172:N174"/>
    <mergeCell ref="N175:N177"/>
    <mergeCell ref="N178:N206"/>
    <mergeCell ref="N207:N235"/>
    <mergeCell ref="N236:N244"/>
    <mergeCell ref="N245:N253"/>
    <mergeCell ref="N254:N255"/>
    <mergeCell ref="N256:N257"/>
    <mergeCell ref="N258:N262"/>
    <mergeCell ref="N263:N265"/>
    <mergeCell ref="N268:N270"/>
    <mergeCell ref="N271:N273"/>
    <mergeCell ref="N276:N277"/>
    <mergeCell ref="N279:N282"/>
    <mergeCell ref="N285:N288"/>
    <mergeCell ref="N294:N295"/>
    <mergeCell ref="N296:N299"/>
    <mergeCell ref="N301:N302"/>
    <mergeCell ref="N303:N304"/>
    <mergeCell ref="N305:N306"/>
    <mergeCell ref="N307:N310"/>
    <mergeCell ref="N311:N314"/>
    <mergeCell ref="N315:N321"/>
    <mergeCell ref="N322:N328"/>
    <mergeCell ref="N340:N341"/>
    <mergeCell ref="N342:N343"/>
    <mergeCell ref="N344:N345"/>
    <mergeCell ref="N346:N347"/>
    <mergeCell ref="N348:N349"/>
    <mergeCell ref="N350:N351"/>
    <mergeCell ref="N354:N357"/>
    <mergeCell ref="N358:N361"/>
    <mergeCell ref="N362:N364"/>
    <mergeCell ref="N365:N367"/>
    <mergeCell ref="N372:N379"/>
    <mergeCell ref="N380:N387"/>
    <mergeCell ref="N388:N391"/>
    <mergeCell ref="N392:N394"/>
    <mergeCell ref="N395:N399"/>
    <mergeCell ref="N400:N404"/>
    <mergeCell ref="N405:N407"/>
    <mergeCell ref="N408:N410"/>
    <mergeCell ref="N413:N415"/>
    <mergeCell ref="N416:N418"/>
    <mergeCell ref="N423:N427"/>
    <mergeCell ref="N428:N432"/>
    <mergeCell ref="O5:O11"/>
    <mergeCell ref="O13:O14"/>
    <mergeCell ref="O19:O25"/>
    <mergeCell ref="O36:O37"/>
    <mergeCell ref="O40:O41"/>
    <mergeCell ref="O48:O49"/>
    <mergeCell ref="O50:O51"/>
    <mergeCell ref="O52:O53"/>
    <mergeCell ref="O54:O57"/>
    <mergeCell ref="O60:O61"/>
    <mergeCell ref="O64:O67"/>
    <mergeCell ref="O68:O78"/>
    <mergeCell ref="O96:O97"/>
    <mergeCell ref="O100:O103"/>
    <mergeCell ref="O104:O106"/>
    <mergeCell ref="O107:O109"/>
    <mergeCell ref="O113:O114"/>
    <mergeCell ref="O116:O118"/>
    <mergeCell ref="O132:O133"/>
    <mergeCell ref="O134:O135"/>
    <mergeCell ref="O136:O141"/>
    <mergeCell ref="O142:O145"/>
    <mergeCell ref="O146:O157"/>
    <mergeCell ref="O158:O161"/>
    <mergeCell ref="O164:O165"/>
    <mergeCell ref="O166:O167"/>
    <mergeCell ref="O172:O174"/>
    <mergeCell ref="O175:O177"/>
    <mergeCell ref="O178:O206"/>
    <mergeCell ref="O207:O235"/>
    <mergeCell ref="O236:O244"/>
    <mergeCell ref="O245:O253"/>
    <mergeCell ref="O254:O255"/>
    <mergeCell ref="O256:O257"/>
    <mergeCell ref="O258:O262"/>
    <mergeCell ref="O263:O265"/>
    <mergeCell ref="O268:O270"/>
    <mergeCell ref="O271:O273"/>
    <mergeCell ref="O276:O277"/>
    <mergeCell ref="O279:O282"/>
    <mergeCell ref="O285:O288"/>
    <mergeCell ref="O294:O295"/>
    <mergeCell ref="O296:O299"/>
    <mergeCell ref="O301:O302"/>
    <mergeCell ref="O303:O304"/>
    <mergeCell ref="O305:O306"/>
    <mergeCell ref="O307:O310"/>
    <mergeCell ref="O311:O314"/>
    <mergeCell ref="O315:O321"/>
    <mergeCell ref="O322:O328"/>
    <mergeCell ref="O340:O341"/>
    <mergeCell ref="O342:O343"/>
    <mergeCell ref="O344:O345"/>
    <mergeCell ref="O346:O347"/>
    <mergeCell ref="O348:O349"/>
    <mergeCell ref="O350:O351"/>
    <mergeCell ref="O354:O357"/>
    <mergeCell ref="O358:O361"/>
    <mergeCell ref="O362:O364"/>
    <mergeCell ref="O365:O367"/>
    <mergeCell ref="O372:O379"/>
    <mergeCell ref="O380:O387"/>
    <mergeCell ref="O388:O391"/>
    <mergeCell ref="O392:O394"/>
    <mergeCell ref="O395:O399"/>
    <mergeCell ref="O400:O404"/>
    <mergeCell ref="O405:O407"/>
    <mergeCell ref="O408:O410"/>
    <mergeCell ref="O413:O415"/>
    <mergeCell ref="O416:O418"/>
    <mergeCell ref="O423:O427"/>
    <mergeCell ref="O428:O432"/>
    <mergeCell ref="P5:P11"/>
    <mergeCell ref="P13:P14"/>
    <mergeCell ref="P19:P25"/>
    <mergeCell ref="P36:P37"/>
    <mergeCell ref="P40:P41"/>
    <mergeCell ref="P48:P49"/>
    <mergeCell ref="P50:P51"/>
    <mergeCell ref="P52:P53"/>
    <mergeCell ref="P54:P57"/>
    <mergeCell ref="P60:P61"/>
    <mergeCell ref="P64:P67"/>
    <mergeCell ref="P68:P78"/>
    <mergeCell ref="P96:P97"/>
    <mergeCell ref="P100:P103"/>
    <mergeCell ref="P104:P106"/>
    <mergeCell ref="P107:P109"/>
    <mergeCell ref="P113:P114"/>
    <mergeCell ref="P116:P118"/>
    <mergeCell ref="P132:P133"/>
    <mergeCell ref="P134:P135"/>
    <mergeCell ref="P136:P141"/>
    <mergeCell ref="P142:P145"/>
    <mergeCell ref="P146:P157"/>
    <mergeCell ref="P158:P161"/>
    <mergeCell ref="P164:P165"/>
    <mergeCell ref="P166:P167"/>
    <mergeCell ref="P172:P174"/>
    <mergeCell ref="P175:P177"/>
    <mergeCell ref="P178:P206"/>
    <mergeCell ref="P207:P235"/>
    <mergeCell ref="P236:P244"/>
    <mergeCell ref="P245:P253"/>
    <mergeCell ref="P254:P255"/>
    <mergeCell ref="P256:P257"/>
    <mergeCell ref="P258:P262"/>
    <mergeCell ref="P263:P265"/>
    <mergeCell ref="P268:P270"/>
    <mergeCell ref="P271:P273"/>
    <mergeCell ref="P276:P277"/>
    <mergeCell ref="P279:P282"/>
    <mergeCell ref="P285:P288"/>
    <mergeCell ref="P294:P295"/>
    <mergeCell ref="P296:P299"/>
    <mergeCell ref="P301:P302"/>
    <mergeCell ref="P303:P304"/>
    <mergeCell ref="P305:P306"/>
    <mergeCell ref="P307:P310"/>
    <mergeCell ref="P311:P314"/>
    <mergeCell ref="P315:P321"/>
    <mergeCell ref="P322:P328"/>
    <mergeCell ref="P340:P341"/>
    <mergeCell ref="P342:P343"/>
    <mergeCell ref="P344:P345"/>
    <mergeCell ref="P346:P347"/>
    <mergeCell ref="P348:P349"/>
    <mergeCell ref="P350:P351"/>
    <mergeCell ref="P354:P357"/>
    <mergeCell ref="P358:P361"/>
    <mergeCell ref="P362:P364"/>
    <mergeCell ref="P365:P367"/>
    <mergeCell ref="P372:P379"/>
    <mergeCell ref="P380:P387"/>
    <mergeCell ref="P388:P391"/>
    <mergeCell ref="P392:P394"/>
    <mergeCell ref="P395:P399"/>
    <mergeCell ref="P400:P404"/>
    <mergeCell ref="P405:P407"/>
    <mergeCell ref="P408:P410"/>
    <mergeCell ref="P413:P415"/>
    <mergeCell ref="P416:P418"/>
    <mergeCell ref="P423:P427"/>
    <mergeCell ref="P428:P432"/>
    <mergeCell ref="Q5:Q11"/>
    <mergeCell ref="Q13:Q14"/>
    <mergeCell ref="Q19:Q25"/>
    <mergeCell ref="Q36:Q37"/>
    <mergeCell ref="Q40:Q41"/>
    <mergeCell ref="Q48:Q49"/>
    <mergeCell ref="Q50:Q51"/>
    <mergeCell ref="Q52:Q53"/>
    <mergeCell ref="Q54:Q57"/>
    <mergeCell ref="Q60:Q61"/>
    <mergeCell ref="Q64:Q67"/>
    <mergeCell ref="Q68:Q78"/>
    <mergeCell ref="Q96:Q97"/>
    <mergeCell ref="Q100:Q103"/>
    <mergeCell ref="Q104:Q106"/>
    <mergeCell ref="Q107:Q109"/>
    <mergeCell ref="Q113:Q114"/>
    <mergeCell ref="Q116:Q118"/>
    <mergeCell ref="Q132:Q133"/>
    <mergeCell ref="Q134:Q135"/>
    <mergeCell ref="Q136:Q141"/>
    <mergeCell ref="Q142:Q145"/>
    <mergeCell ref="Q146:Q157"/>
    <mergeCell ref="Q158:Q161"/>
    <mergeCell ref="Q164:Q165"/>
    <mergeCell ref="Q166:Q167"/>
    <mergeCell ref="Q172:Q174"/>
    <mergeCell ref="Q175:Q177"/>
    <mergeCell ref="Q178:Q206"/>
    <mergeCell ref="Q207:Q235"/>
    <mergeCell ref="Q236:Q244"/>
    <mergeCell ref="Q245:Q253"/>
    <mergeCell ref="Q254:Q255"/>
    <mergeCell ref="Q256:Q257"/>
    <mergeCell ref="Q258:Q262"/>
    <mergeCell ref="Q263:Q265"/>
    <mergeCell ref="Q268:Q270"/>
    <mergeCell ref="Q271:Q273"/>
    <mergeCell ref="Q276:Q277"/>
    <mergeCell ref="Q279:Q282"/>
    <mergeCell ref="Q285:Q288"/>
    <mergeCell ref="Q292:Q293"/>
    <mergeCell ref="Q294:Q295"/>
    <mergeCell ref="Q296:Q299"/>
    <mergeCell ref="Q301:Q302"/>
    <mergeCell ref="Q303:Q304"/>
    <mergeCell ref="Q305:Q306"/>
    <mergeCell ref="Q307:Q310"/>
    <mergeCell ref="Q311:Q314"/>
    <mergeCell ref="Q315:Q321"/>
    <mergeCell ref="Q322:Q328"/>
    <mergeCell ref="Q340:Q341"/>
    <mergeCell ref="Q342:Q343"/>
    <mergeCell ref="Q344:Q345"/>
    <mergeCell ref="Q346:Q347"/>
    <mergeCell ref="Q348:Q349"/>
    <mergeCell ref="Q350:Q351"/>
    <mergeCell ref="Q354:Q357"/>
    <mergeCell ref="Q358:Q361"/>
    <mergeCell ref="Q362:Q364"/>
    <mergeCell ref="Q365:Q367"/>
    <mergeCell ref="Q372:Q379"/>
    <mergeCell ref="Q380:Q387"/>
    <mergeCell ref="Q388:Q391"/>
    <mergeCell ref="Q392:Q394"/>
    <mergeCell ref="Q395:Q399"/>
    <mergeCell ref="Q400:Q404"/>
    <mergeCell ref="Q405:Q407"/>
    <mergeCell ref="Q408:Q410"/>
    <mergeCell ref="Q413:Q415"/>
    <mergeCell ref="Q416:Q418"/>
    <mergeCell ref="Q423:Q427"/>
    <mergeCell ref="Q428:Q432"/>
    <mergeCell ref="R5:R11"/>
    <mergeCell ref="R13:R14"/>
    <mergeCell ref="R19:R25"/>
    <mergeCell ref="R36:R37"/>
    <mergeCell ref="R40:R41"/>
    <mergeCell ref="R48:R49"/>
    <mergeCell ref="R50:R51"/>
    <mergeCell ref="R52:R53"/>
    <mergeCell ref="R54:R57"/>
    <mergeCell ref="R60:R61"/>
    <mergeCell ref="R64:R67"/>
    <mergeCell ref="R68:R78"/>
    <mergeCell ref="R96:R97"/>
    <mergeCell ref="R100:R103"/>
    <mergeCell ref="R104:R106"/>
    <mergeCell ref="R107:R109"/>
    <mergeCell ref="R113:R114"/>
    <mergeCell ref="R116:R118"/>
    <mergeCell ref="R132:R133"/>
    <mergeCell ref="R134:R135"/>
    <mergeCell ref="R136:R141"/>
    <mergeCell ref="R142:R145"/>
    <mergeCell ref="R146:R157"/>
    <mergeCell ref="R158:R161"/>
    <mergeCell ref="R164:R165"/>
    <mergeCell ref="R166:R167"/>
    <mergeCell ref="R172:R174"/>
    <mergeCell ref="R175:R177"/>
    <mergeCell ref="R178:R206"/>
    <mergeCell ref="R207:R235"/>
    <mergeCell ref="R236:R244"/>
    <mergeCell ref="R245:R253"/>
    <mergeCell ref="R254:R255"/>
    <mergeCell ref="R256:R257"/>
    <mergeCell ref="R258:R262"/>
    <mergeCell ref="R263:R265"/>
    <mergeCell ref="R268:R270"/>
    <mergeCell ref="R271:R273"/>
    <mergeCell ref="R276:R277"/>
    <mergeCell ref="R279:R282"/>
    <mergeCell ref="R285:R288"/>
    <mergeCell ref="R292:R293"/>
    <mergeCell ref="R294:R295"/>
    <mergeCell ref="R296:R299"/>
    <mergeCell ref="R301:R302"/>
    <mergeCell ref="R303:R304"/>
    <mergeCell ref="R305:R306"/>
    <mergeCell ref="R307:R310"/>
    <mergeCell ref="R311:R314"/>
    <mergeCell ref="R315:R321"/>
    <mergeCell ref="R322:R328"/>
    <mergeCell ref="R340:R341"/>
    <mergeCell ref="R342:R343"/>
    <mergeCell ref="R344:R345"/>
    <mergeCell ref="R346:R347"/>
    <mergeCell ref="R348:R349"/>
    <mergeCell ref="R350:R351"/>
    <mergeCell ref="R354:R357"/>
    <mergeCell ref="R358:R361"/>
    <mergeCell ref="R362:R364"/>
    <mergeCell ref="R365:R367"/>
    <mergeCell ref="R372:R379"/>
    <mergeCell ref="R380:R387"/>
    <mergeCell ref="R388:R391"/>
    <mergeCell ref="R392:R394"/>
    <mergeCell ref="R395:R399"/>
    <mergeCell ref="R400:R404"/>
    <mergeCell ref="R405:R407"/>
    <mergeCell ref="R408:R410"/>
    <mergeCell ref="R413:R415"/>
    <mergeCell ref="R416:R418"/>
    <mergeCell ref="R423:R427"/>
    <mergeCell ref="R428:R432"/>
    <mergeCell ref="S5:S11"/>
    <mergeCell ref="S13:S14"/>
    <mergeCell ref="S19:S25"/>
    <mergeCell ref="S36:S37"/>
    <mergeCell ref="S40:S41"/>
    <mergeCell ref="S48:S49"/>
    <mergeCell ref="S50:S51"/>
    <mergeCell ref="S52:S53"/>
    <mergeCell ref="S54:S57"/>
    <mergeCell ref="S60:S61"/>
    <mergeCell ref="S64:S67"/>
    <mergeCell ref="S68:S78"/>
    <mergeCell ref="S96:S97"/>
    <mergeCell ref="S100:S103"/>
    <mergeCell ref="S104:S106"/>
    <mergeCell ref="S107:S109"/>
    <mergeCell ref="S113:S114"/>
    <mergeCell ref="S116:S118"/>
    <mergeCell ref="S132:S133"/>
    <mergeCell ref="S134:S135"/>
    <mergeCell ref="S136:S141"/>
    <mergeCell ref="S142:S145"/>
    <mergeCell ref="S146:S157"/>
    <mergeCell ref="S158:S161"/>
    <mergeCell ref="S164:S165"/>
    <mergeCell ref="S166:S167"/>
    <mergeCell ref="S172:S174"/>
    <mergeCell ref="S175:S177"/>
    <mergeCell ref="S178:S206"/>
    <mergeCell ref="S207:S235"/>
    <mergeCell ref="S236:S244"/>
    <mergeCell ref="S245:S253"/>
    <mergeCell ref="S254:S255"/>
    <mergeCell ref="S256:S257"/>
    <mergeCell ref="S258:S262"/>
    <mergeCell ref="S263:S265"/>
    <mergeCell ref="S268:S270"/>
    <mergeCell ref="S271:S273"/>
    <mergeCell ref="S276:S277"/>
    <mergeCell ref="S279:S282"/>
    <mergeCell ref="S285:S288"/>
    <mergeCell ref="S292:S293"/>
    <mergeCell ref="S294:S295"/>
    <mergeCell ref="S296:S299"/>
    <mergeCell ref="S301:S302"/>
    <mergeCell ref="S303:S304"/>
    <mergeCell ref="S305:S306"/>
    <mergeCell ref="S307:S310"/>
    <mergeCell ref="S311:S314"/>
    <mergeCell ref="S315:S321"/>
    <mergeCell ref="S322:S328"/>
    <mergeCell ref="S340:S341"/>
    <mergeCell ref="S342:S343"/>
    <mergeCell ref="S344:S345"/>
    <mergeCell ref="S346:S347"/>
    <mergeCell ref="S348:S349"/>
    <mergeCell ref="S350:S351"/>
    <mergeCell ref="S354:S357"/>
    <mergeCell ref="S358:S361"/>
    <mergeCell ref="S362:S364"/>
    <mergeCell ref="S365:S367"/>
    <mergeCell ref="S372:S379"/>
    <mergeCell ref="S380:S387"/>
    <mergeCell ref="S388:S391"/>
    <mergeCell ref="S392:S394"/>
    <mergeCell ref="S395:S399"/>
    <mergeCell ref="S400:S404"/>
    <mergeCell ref="S405:S407"/>
    <mergeCell ref="S408:S410"/>
    <mergeCell ref="S413:S415"/>
    <mergeCell ref="S416:S418"/>
    <mergeCell ref="S423:S427"/>
    <mergeCell ref="S428:S432"/>
    <mergeCell ref="T5:T11"/>
    <mergeCell ref="T13:T14"/>
    <mergeCell ref="T19:T25"/>
    <mergeCell ref="T36:T37"/>
    <mergeCell ref="T40:T41"/>
    <mergeCell ref="T48:T49"/>
    <mergeCell ref="T50:T51"/>
    <mergeCell ref="T52:T53"/>
    <mergeCell ref="T54:T57"/>
    <mergeCell ref="T60:T61"/>
    <mergeCell ref="T64:T67"/>
    <mergeCell ref="T68:T78"/>
    <mergeCell ref="T96:T97"/>
    <mergeCell ref="T100:T103"/>
    <mergeCell ref="T104:T106"/>
    <mergeCell ref="T107:T109"/>
    <mergeCell ref="T113:T114"/>
    <mergeCell ref="T116:T118"/>
    <mergeCell ref="T132:T133"/>
    <mergeCell ref="T134:T135"/>
    <mergeCell ref="T136:T141"/>
    <mergeCell ref="T142:T145"/>
    <mergeCell ref="T146:T157"/>
    <mergeCell ref="T158:T161"/>
    <mergeCell ref="T164:T165"/>
    <mergeCell ref="T166:T167"/>
    <mergeCell ref="T172:T174"/>
    <mergeCell ref="T175:T177"/>
    <mergeCell ref="T178:T206"/>
    <mergeCell ref="T207:T235"/>
    <mergeCell ref="T236:T244"/>
    <mergeCell ref="T245:T253"/>
    <mergeCell ref="T254:T255"/>
    <mergeCell ref="T256:T257"/>
    <mergeCell ref="T258:T262"/>
    <mergeCell ref="T263:T265"/>
    <mergeCell ref="T268:T270"/>
    <mergeCell ref="T271:T273"/>
    <mergeCell ref="T276:T277"/>
    <mergeCell ref="T279:T282"/>
    <mergeCell ref="T285:T288"/>
    <mergeCell ref="T294:T295"/>
    <mergeCell ref="T296:T299"/>
    <mergeCell ref="T301:T302"/>
    <mergeCell ref="T303:T304"/>
    <mergeCell ref="T305:T306"/>
    <mergeCell ref="T307:T310"/>
    <mergeCell ref="T311:T314"/>
    <mergeCell ref="T315:T321"/>
    <mergeCell ref="T322:T328"/>
    <mergeCell ref="T340:T341"/>
    <mergeCell ref="T342:T343"/>
    <mergeCell ref="T344:T345"/>
    <mergeCell ref="T346:T347"/>
    <mergeCell ref="T348:T349"/>
    <mergeCell ref="T350:T351"/>
    <mergeCell ref="T354:T357"/>
    <mergeCell ref="T358:T361"/>
    <mergeCell ref="T362:T364"/>
    <mergeCell ref="T365:T367"/>
    <mergeCell ref="T372:T379"/>
    <mergeCell ref="T380:T387"/>
    <mergeCell ref="T388:T391"/>
    <mergeCell ref="T392:T394"/>
    <mergeCell ref="T395:T399"/>
    <mergeCell ref="T400:T404"/>
    <mergeCell ref="T405:T407"/>
    <mergeCell ref="T408:T410"/>
    <mergeCell ref="T413:T415"/>
    <mergeCell ref="T416:T418"/>
    <mergeCell ref="T423:T427"/>
    <mergeCell ref="T428:T432"/>
    <mergeCell ref="U5:U11"/>
    <mergeCell ref="U13:U14"/>
    <mergeCell ref="U19:U25"/>
    <mergeCell ref="U36:U37"/>
    <mergeCell ref="U40:U41"/>
    <mergeCell ref="U48:U49"/>
    <mergeCell ref="U50:U51"/>
    <mergeCell ref="U52:U53"/>
    <mergeCell ref="U54:U57"/>
    <mergeCell ref="U60:U61"/>
    <mergeCell ref="U64:U67"/>
    <mergeCell ref="U68:U78"/>
    <mergeCell ref="U96:U97"/>
    <mergeCell ref="U100:U103"/>
    <mergeCell ref="U104:U106"/>
    <mergeCell ref="U107:U109"/>
    <mergeCell ref="U113:U114"/>
    <mergeCell ref="U116:U118"/>
    <mergeCell ref="U132:U133"/>
    <mergeCell ref="U134:U135"/>
    <mergeCell ref="U136:U141"/>
    <mergeCell ref="U142:U145"/>
    <mergeCell ref="U146:U157"/>
    <mergeCell ref="U158:U161"/>
    <mergeCell ref="U164:U165"/>
    <mergeCell ref="U166:U167"/>
    <mergeCell ref="U172:U174"/>
    <mergeCell ref="U175:U177"/>
    <mergeCell ref="U178:U206"/>
    <mergeCell ref="U207:U235"/>
    <mergeCell ref="U236:U244"/>
    <mergeCell ref="U245:U253"/>
    <mergeCell ref="U254:U255"/>
    <mergeCell ref="U256:U257"/>
    <mergeCell ref="U258:U262"/>
    <mergeCell ref="U263:U265"/>
    <mergeCell ref="U268:U270"/>
    <mergeCell ref="U271:U273"/>
    <mergeCell ref="U276:U277"/>
    <mergeCell ref="U279:U282"/>
    <mergeCell ref="U285:U288"/>
    <mergeCell ref="U294:U295"/>
    <mergeCell ref="U296:U299"/>
    <mergeCell ref="U301:U302"/>
    <mergeCell ref="U303:U304"/>
    <mergeCell ref="U305:U306"/>
    <mergeCell ref="U307:U310"/>
    <mergeCell ref="U311:U314"/>
    <mergeCell ref="U315:U321"/>
    <mergeCell ref="U322:U328"/>
    <mergeCell ref="U340:U341"/>
    <mergeCell ref="U342:U343"/>
    <mergeCell ref="U344:U345"/>
    <mergeCell ref="U346:U347"/>
    <mergeCell ref="U348:U349"/>
    <mergeCell ref="U350:U351"/>
    <mergeCell ref="U354:U357"/>
    <mergeCell ref="U358:U361"/>
    <mergeCell ref="U362:U364"/>
    <mergeCell ref="U365:U367"/>
    <mergeCell ref="U372:U379"/>
    <mergeCell ref="U380:U387"/>
    <mergeCell ref="U388:U391"/>
    <mergeCell ref="U392:U394"/>
    <mergeCell ref="U395:U399"/>
    <mergeCell ref="U400:U404"/>
    <mergeCell ref="U405:U407"/>
    <mergeCell ref="U408:U410"/>
    <mergeCell ref="U413:U415"/>
    <mergeCell ref="U416:U418"/>
    <mergeCell ref="U423:U427"/>
    <mergeCell ref="U428:U432"/>
  </mergeCells>
  <printOptions horizontalCentered="1"/>
  <pageMargins left="0.393055555555556" right="0.393055555555556" top="0.590277777777778" bottom="0.590277777777778" header="0.5" footer="0.5"/>
  <pageSetup paperSize="8" scale="63" fitToHeight="0" orientation="landscape" horizontalDpi="600"/>
  <headerFooter/>
  <rowBreaks count="1" manualBreakCount="1">
    <brk id="235" max="16383" man="1"/>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J384"/>
  <sheetViews>
    <sheetView view="pageBreakPreview" zoomScale="80" zoomScaleNormal="100" topLeftCell="UA1" workbookViewId="0">
      <pane ySplit="4" topLeftCell="A5" activePane="bottomLeft" state="frozen"/>
      <selection/>
      <selection pane="bottomLeft" activeCell="AG6" sqref="AG6"/>
    </sheetView>
  </sheetViews>
  <sheetFormatPr defaultColWidth="9" defaultRowHeight="15" customHeight="1"/>
  <cols>
    <col min="1" max="1" width="5.1" style="19" customWidth="1"/>
    <col min="2" max="2" width="17.7" style="18" customWidth="1"/>
    <col min="3" max="3" width="22.9083333333333" style="20" customWidth="1"/>
    <col min="4" max="4" width="4.875" style="21" customWidth="1"/>
    <col min="5" max="5" width="25.875" style="20" customWidth="1"/>
    <col min="6" max="6" width="29.1583333333333" style="20" customWidth="1"/>
    <col min="7" max="7" width="5.25" style="19" customWidth="1"/>
    <col min="8" max="8" width="30.875" style="20" customWidth="1"/>
    <col min="9" max="10" width="7.375" style="21" customWidth="1"/>
    <col min="11" max="16" width="8.625" style="21" customWidth="1"/>
    <col min="17" max="18" width="7.375" style="21" customWidth="1"/>
    <col min="19" max="19" width="27.25" style="20" customWidth="1"/>
    <col min="20" max="20" width="17.625" style="20" customWidth="1"/>
    <col min="21" max="21" width="11.75" style="20" customWidth="1"/>
    <col min="22" max="22" width="35.375" style="20" customWidth="1"/>
    <col min="23" max="23" width="21.25" style="18" customWidth="1"/>
    <col min="24" max="24" width="10.375" style="18" customWidth="1"/>
    <col min="25" max="25" width="6.24166666666667" style="21" customWidth="1"/>
    <col min="26" max="26" width="24.25" style="18" customWidth="1"/>
    <col min="27" max="31" width="9.71666666666667" style="22" customWidth="1"/>
    <col min="32" max="32" width="9" style="17"/>
    <col min="33" max="33" width="33.425" style="17" customWidth="1"/>
    <col min="34" max="16360" width="9" style="17" customWidth="1"/>
    <col min="16361" max="16379" width="9" style="17"/>
  </cols>
  <sheetData>
    <row r="1" ht="30" customHeight="1" spans="1:1">
      <c r="A1" s="23" t="s">
        <v>0</v>
      </c>
    </row>
    <row r="2" ht="44" customHeight="1" spans="1:31">
      <c r="A2" s="24" t="s">
        <v>1</v>
      </c>
      <c r="B2" s="24" t="s">
        <v>1</v>
      </c>
      <c r="C2" s="24" t="s">
        <v>1</v>
      </c>
      <c r="D2" s="24" t="s">
        <v>1</v>
      </c>
      <c r="E2" s="24" t="s">
        <v>1</v>
      </c>
      <c r="F2" s="24" t="s">
        <v>1</v>
      </c>
      <c r="G2" s="24" t="s">
        <v>1</v>
      </c>
      <c r="H2" s="24" t="s">
        <v>1</v>
      </c>
      <c r="I2" s="24" t="s">
        <v>1</v>
      </c>
      <c r="J2" s="24" t="s">
        <v>1</v>
      </c>
      <c r="K2" s="24" t="s">
        <v>1</v>
      </c>
      <c r="L2" s="24" t="s">
        <v>1</v>
      </c>
      <c r="M2" s="24" t="s">
        <v>1</v>
      </c>
      <c r="N2" s="24" t="s">
        <v>1</v>
      </c>
      <c r="O2" s="24" t="s">
        <v>1</v>
      </c>
      <c r="P2" s="24" t="s">
        <v>1</v>
      </c>
      <c r="Q2" s="24" t="s">
        <v>1</v>
      </c>
      <c r="R2" s="24" t="s">
        <v>1</v>
      </c>
      <c r="S2" s="24" t="s">
        <v>1</v>
      </c>
      <c r="T2" s="24" t="s">
        <v>1</v>
      </c>
      <c r="U2" s="24" t="s">
        <v>1</v>
      </c>
      <c r="V2" s="24" t="s">
        <v>1</v>
      </c>
      <c r="W2" s="24" t="s">
        <v>1</v>
      </c>
      <c r="X2" s="24" t="s">
        <v>1</v>
      </c>
      <c r="Y2" s="24" t="s">
        <v>1</v>
      </c>
      <c r="Z2" s="24" t="s">
        <v>1</v>
      </c>
      <c r="AA2" s="24" t="s">
        <v>1</v>
      </c>
      <c r="AB2" s="24" t="s">
        <v>1</v>
      </c>
      <c r="AC2" s="24" t="s">
        <v>1</v>
      </c>
      <c r="AD2" s="24" t="s">
        <v>1</v>
      </c>
      <c r="AE2" s="24" t="s">
        <v>1</v>
      </c>
    </row>
    <row r="3" s="15" customFormat="1" ht="29" customHeight="1" spans="1:31">
      <c r="A3" s="25" t="s">
        <v>2</v>
      </c>
      <c r="B3" s="25" t="s">
        <v>2</v>
      </c>
      <c r="C3" s="25" t="s">
        <v>2</v>
      </c>
      <c r="D3" s="25" t="s">
        <v>2</v>
      </c>
      <c r="E3" s="25" t="s">
        <v>2</v>
      </c>
      <c r="F3" s="25" t="s">
        <v>2</v>
      </c>
      <c r="G3" s="25" t="s">
        <v>2</v>
      </c>
      <c r="H3" s="25" t="s">
        <v>2</v>
      </c>
      <c r="I3" s="25" t="s">
        <v>2</v>
      </c>
      <c r="J3" s="25" t="s">
        <v>2</v>
      </c>
      <c r="K3" s="25" t="s">
        <v>2</v>
      </c>
      <c r="L3" s="25" t="s">
        <v>2</v>
      </c>
      <c r="M3" s="25" t="s">
        <v>2</v>
      </c>
      <c r="N3" s="25" t="s">
        <v>2</v>
      </c>
      <c r="O3" s="25" t="s">
        <v>2</v>
      </c>
      <c r="P3" s="25" t="s">
        <v>2</v>
      </c>
      <c r="Q3" s="25" t="s">
        <v>2</v>
      </c>
      <c r="R3" s="25" t="s">
        <v>2</v>
      </c>
      <c r="S3" s="25" t="s">
        <v>2</v>
      </c>
      <c r="T3" s="42" t="s">
        <v>3</v>
      </c>
      <c r="U3" s="42" t="s">
        <v>3</v>
      </c>
      <c r="V3" s="42" t="s">
        <v>3</v>
      </c>
      <c r="W3" s="42" t="s">
        <v>3</v>
      </c>
      <c r="X3" s="42" t="s">
        <v>3</v>
      </c>
      <c r="Y3" s="42" t="s">
        <v>3</v>
      </c>
      <c r="Z3" s="42" t="s">
        <v>3</v>
      </c>
      <c r="AA3" s="42" t="s">
        <v>3</v>
      </c>
      <c r="AB3" s="42" t="s">
        <v>3</v>
      </c>
      <c r="AC3" s="42" t="s">
        <v>3</v>
      </c>
      <c r="AD3" s="42" t="s">
        <v>3</v>
      </c>
      <c r="AE3" s="42" t="s">
        <v>3</v>
      </c>
    </row>
    <row r="4" s="16" customFormat="1" ht="34" customHeight="1" spans="1:31">
      <c r="A4" s="26" t="s">
        <v>4</v>
      </c>
      <c r="B4" s="26" t="s">
        <v>5</v>
      </c>
      <c r="C4" s="26" t="s">
        <v>6</v>
      </c>
      <c r="D4" s="26" t="s">
        <v>7</v>
      </c>
      <c r="E4" s="26" t="s">
        <v>8</v>
      </c>
      <c r="F4" s="26" t="s">
        <v>9</v>
      </c>
      <c r="G4" s="26" t="s">
        <v>10</v>
      </c>
      <c r="H4" s="26" t="s">
        <v>11</v>
      </c>
      <c r="I4" s="32" t="s">
        <v>12</v>
      </c>
      <c r="J4" s="32" t="s">
        <v>13</v>
      </c>
      <c r="K4" s="33" t="s">
        <v>14</v>
      </c>
      <c r="L4" s="33" t="s">
        <v>15</v>
      </c>
      <c r="M4" s="33" t="s">
        <v>16</v>
      </c>
      <c r="N4" s="39" t="s">
        <v>17</v>
      </c>
      <c r="O4" s="39" t="s">
        <v>18</v>
      </c>
      <c r="P4" s="39" t="s">
        <v>19</v>
      </c>
      <c r="Q4" s="43" t="s">
        <v>20</v>
      </c>
      <c r="R4" s="33" t="s">
        <v>23</v>
      </c>
      <c r="S4" s="44" t="s">
        <v>24</v>
      </c>
      <c r="T4" s="45" t="s">
        <v>25</v>
      </c>
      <c r="U4" s="47" t="s">
        <v>26</v>
      </c>
      <c r="V4" s="47" t="s">
        <v>6</v>
      </c>
      <c r="W4" s="47" t="s">
        <v>27</v>
      </c>
      <c r="X4" s="47" t="s">
        <v>28</v>
      </c>
      <c r="Y4" s="47" t="s">
        <v>10</v>
      </c>
      <c r="Z4" s="47" t="s">
        <v>29</v>
      </c>
      <c r="AA4" s="32" t="s">
        <v>30</v>
      </c>
      <c r="AB4" s="32" t="s">
        <v>31</v>
      </c>
      <c r="AC4" s="39" t="s">
        <v>32</v>
      </c>
      <c r="AD4" s="39" t="s">
        <v>33</v>
      </c>
      <c r="AE4" s="39" t="s">
        <v>34</v>
      </c>
    </row>
    <row r="5" s="17" customFormat="1" ht="25" customHeight="1" spans="1:36">
      <c r="A5" s="27">
        <v>1</v>
      </c>
      <c r="B5" s="28" t="s">
        <v>35</v>
      </c>
      <c r="C5" s="28" t="s">
        <v>36</v>
      </c>
      <c r="D5" s="28" t="s">
        <v>37</v>
      </c>
      <c r="E5" s="28" t="s">
        <v>38</v>
      </c>
      <c r="F5" s="28" t="s">
        <v>39</v>
      </c>
      <c r="G5" s="28" t="s">
        <v>40</v>
      </c>
      <c r="H5" s="28" t="s">
        <v>41</v>
      </c>
      <c r="I5" s="34">
        <v>100</v>
      </c>
      <c r="J5" s="34">
        <v>90</v>
      </c>
      <c r="K5" s="35">
        <v>97.6705755554038</v>
      </c>
      <c r="L5" s="35">
        <v>89.6221224258607</v>
      </c>
      <c r="M5" s="35">
        <v>59.8743523316062</v>
      </c>
      <c r="N5" s="40">
        <v>98</v>
      </c>
      <c r="O5" s="40">
        <v>90</v>
      </c>
      <c r="P5" s="40">
        <v>78</v>
      </c>
      <c r="Q5" s="28" t="s">
        <v>42</v>
      </c>
      <c r="R5" s="35" t="s">
        <v>44</v>
      </c>
      <c r="S5" s="28" t="s">
        <v>45</v>
      </c>
      <c r="T5" s="30" t="s">
        <v>46</v>
      </c>
      <c r="U5" s="30">
        <v>310100001</v>
      </c>
      <c r="V5" s="30" t="s">
        <v>47</v>
      </c>
      <c r="W5" s="30" t="s">
        <v>48</v>
      </c>
      <c r="X5" s="30"/>
      <c r="Y5" s="30" t="s">
        <v>40</v>
      </c>
      <c r="Z5" s="30" t="s">
        <v>49</v>
      </c>
      <c r="AA5" s="51">
        <v>40</v>
      </c>
      <c r="AB5" s="51">
        <v>36</v>
      </c>
      <c r="AC5" s="57">
        <v>33</v>
      </c>
      <c r="AD5" s="57">
        <v>30</v>
      </c>
      <c r="AE5" s="57">
        <v>25.5</v>
      </c>
      <c r="AF5" s="58">
        <f>IFERROR(FIND("-儿童（加收）",C5,1),0)</f>
        <v>0</v>
      </c>
      <c r="AG5" s="58" t="str">
        <f>SUBSTITUTE(C5,"-儿童（加收）","")</f>
        <v>脑电图检查费</v>
      </c>
      <c r="AH5" s="58">
        <f>IF(AF5&gt;0,_xlfn.MAXIFS(N:N,C:C,SUBSTITUTE(C5,"-儿童（加收）","")),0)+N5</f>
        <v>98</v>
      </c>
      <c r="AI5" s="58">
        <f>IF(AF5&gt;0,_xlfn.MAXIFS(O:O,C:C,SUBSTITUTE(C5,"-儿童（加收）","")),0)+O5</f>
        <v>90</v>
      </c>
      <c r="AJ5" s="58">
        <f>IF(AF5&gt;0,_xlfn.MAXIFS(P:P,C:C,SUBSTITUTE(C5,"-儿童（加收）","")),0)+P5</f>
        <v>78</v>
      </c>
    </row>
    <row r="6" s="17" customFormat="1" ht="25" customHeight="1" spans="1:36">
      <c r="A6" s="27">
        <v>1</v>
      </c>
      <c r="B6" s="28" t="s">
        <v>35</v>
      </c>
      <c r="C6" s="28" t="s">
        <v>36</v>
      </c>
      <c r="D6" s="28" t="s">
        <v>37</v>
      </c>
      <c r="E6" s="28" t="s">
        <v>38</v>
      </c>
      <c r="F6" s="28" t="s">
        <v>39</v>
      </c>
      <c r="G6" s="28" t="s">
        <v>40</v>
      </c>
      <c r="H6" s="28" t="s">
        <v>41</v>
      </c>
      <c r="I6" s="34">
        <v>100</v>
      </c>
      <c r="J6" s="34">
        <v>90</v>
      </c>
      <c r="K6" s="35">
        <v>97.6705755554038</v>
      </c>
      <c r="L6" s="35">
        <v>89.6221224258607</v>
      </c>
      <c r="M6" s="35">
        <v>59.8743523316062</v>
      </c>
      <c r="N6" s="40">
        <v>98</v>
      </c>
      <c r="O6" s="40">
        <v>90</v>
      </c>
      <c r="P6" s="40">
        <v>78</v>
      </c>
      <c r="Q6" s="28" t="s">
        <v>42</v>
      </c>
      <c r="R6" s="35" t="s">
        <v>44</v>
      </c>
      <c r="S6" s="28" t="s">
        <v>45</v>
      </c>
      <c r="T6" s="46" t="s">
        <v>50</v>
      </c>
      <c r="U6" s="46">
        <v>31010000101</v>
      </c>
      <c r="V6" s="48" t="s">
        <v>51</v>
      </c>
      <c r="W6" s="46"/>
      <c r="X6" s="46"/>
      <c r="Y6" s="46" t="s">
        <v>40</v>
      </c>
      <c r="Z6" s="30" t="s">
        <v>52</v>
      </c>
      <c r="AA6" s="52">
        <v>65</v>
      </c>
      <c r="AB6" s="51">
        <v>59</v>
      </c>
      <c r="AC6" s="57">
        <v>49.5</v>
      </c>
      <c r="AD6" s="57">
        <v>45</v>
      </c>
      <c r="AE6" s="57">
        <v>38.3</v>
      </c>
      <c r="AF6" s="58">
        <f t="shared" ref="AF6:AF69" si="0">IFERROR(FIND("-儿童（加收）",C6,1),0)</f>
        <v>0</v>
      </c>
      <c r="AG6" s="58" t="str">
        <f t="shared" ref="AG6:AG69" si="1">SUBSTITUTE(C6,"-儿童（加收）","")</f>
        <v>脑电图检查费</v>
      </c>
      <c r="AH6" s="58">
        <f t="shared" ref="AH6:AH69" si="2">IF(AF6&gt;0,_xlfn.MAXIFS(N:N,C:C,SUBSTITUTE(C6,"-儿童（加收）","")),0)+N6</f>
        <v>98</v>
      </c>
      <c r="AI6" s="58">
        <f t="shared" ref="AI6:AI69" si="3">IF(AF6&gt;0,_xlfn.MAXIFS(O:O,C:C,SUBSTITUTE(C6,"-儿童（加收）","")),0)+O6</f>
        <v>90</v>
      </c>
      <c r="AJ6" s="58">
        <f t="shared" ref="AJ6:AJ69" si="4">IF(AF6&gt;0,_xlfn.MAXIFS(P:P,C:C,SUBSTITUTE(C6,"-儿童（加收）","")),0)+P6</f>
        <v>78</v>
      </c>
    </row>
    <row r="7" s="17" customFormat="1" ht="25" customHeight="1" spans="1:36">
      <c r="A7" s="27">
        <v>1</v>
      </c>
      <c r="B7" s="28" t="s">
        <v>35</v>
      </c>
      <c r="C7" s="28" t="s">
        <v>36</v>
      </c>
      <c r="D7" s="28" t="s">
        <v>37</v>
      </c>
      <c r="E7" s="28" t="s">
        <v>38</v>
      </c>
      <c r="F7" s="28" t="s">
        <v>39</v>
      </c>
      <c r="G7" s="28" t="s">
        <v>40</v>
      </c>
      <c r="H7" s="28" t="s">
        <v>41</v>
      </c>
      <c r="I7" s="34">
        <v>100</v>
      </c>
      <c r="J7" s="34">
        <v>90</v>
      </c>
      <c r="K7" s="35">
        <v>97.6705755554038</v>
      </c>
      <c r="L7" s="35">
        <v>89.6221224258607</v>
      </c>
      <c r="M7" s="35">
        <v>59.8743523316062</v>
      </c>
      <c r="N7" s="40">
        <v>98</v>
      </c>
      <c r="O7" s="40">
        <v>90</v>
      </c>
      <c r="P7" s="40">
        <v>78</v>
      </c>
      <c r="Q7" s="28" t="s">
        <v>42</v>
      </c>
      <c r="R7" s="35" t="s">
        <v>44</v>
      </c>
      <c r="S7" s="28" t="s">
        <v>45</v>
      </c>
      <c r="T7" s="30" t="s">
        <v>53</v>
      </c>
      <c r="U7" s="30">
        <v>310100003</v>
      </c>
      <c r="V7" s="30" t="s">
        <v>54</v>
      </c>
      <c r="W7" s="30" t="s">
        <v>55</v>
      </c>
      <c r="X7" s="30"/>
      <c r="Y7" s="30" t="s">
        <v>40</v>
      </c>
      <c r="Z7" s="30" t="s">
        <v>43</v>
      </c>
      <c r="AA7" s="51">
        <v>115</v>
      </c>
      <c r="AB7" s="51">
        <v>105</v>
      </c>
      <c r="AC7" s="57">
        <v>110</v>
      </c>
      <c r="AD7" s="57">
        <v>100</v>
      </c>
      <c r="AE7" s="57">
        <v>85</v>
      </c>
      <c r="AF7" s="58">
        <f t="shared" si="0"/>
        <v>0</v>
      </c>
      <c r="AG7" s="58" t="str">
        <f t="shared" si="1"/>
        <v>脑电图检查费</v>
      </c>
      <c r="AH7" s="58">
        <f t="shared" si="2"/>
        <v>98</v>
      </c>
      <c r="AI7" s="58">
        <f t="shared" si="3"/>
        <v>90</v>
      </c>
      <c r="AJ7" s="58">
        <f t="shared" si="4"/>
        <v>78</v>
      </c>
    </row>
    <row r="8" s="17" customFormat="1" ht="25" customHeight="1" spans="1:36">
      <c r="A8" s="27">
        <v>1</v>
      </c>
      <c r="B8" s="28" t="s">
        <v>35</v>
      </c>
      <c r="C8" s="28" t="s">
        <v>36</v>
      </c>
      <c r="D8" s="28" t="s">
        <v>37</v>
      </c>
      <c r="E8" s="28" t="s">
        <v>38</v>
      </c>
      <c r="F8" s="28" t="s">
        <v>39</v>
      </c>
      <c r="G8" s="28" t="s">
        <v>40</v>
      </c>
      <c r="H8" s="28" t="s">
        <v>41</v>
      </c>
      <c r="I8" s="34">
        <v>100</v>
      </c>
      <c r="J8" s="34">
        <v>90</v>
      </c>
      <c r="K8" s="35">
        <v>97.6705755554038</v>
      </c>
      <c r="L8" s="35">
        <v>89.6221224258607</v>
      </c>
      <c r="M8" s="35">
        <v>59.8743523316062</v>
      </c>
      <c r="N8" s="40">
        <v>98</v>
      </c>
      <c r="O8" s="40">
        <v>90</v>
      </c>
      <c r="P8" s="40">
        <v>78</v>
      </c>
      <c r="Q8" s="28" t="s">
        <v>42</v>
      </c>
      <c r="R8" s="35" t="s">
        <v>44</v>
      </c>
      <c r="S8" s="28" t="s">
        <v>45</v>
      </c>
      <c r="T8" s="30" t="s">
        <v>56</v>
      </c>
      <c r="U8" s="30">
        <v>310100004</v>
      </c>
      <c r="V8" s="30" t="s">
        <v>57</v>
      </c>
      <c r="W8" s="30" t="s">
        <v>58</v>
      </c>
      <c r="X8" s="30"/>
      <c r="Y8" s="30" t="s">
        <v>40</v>
      </c>
      <c r="Z8" s="30" t="s">
        <v>43</v>
      </c>
      <c r="AA8" s="51">
        <v>286</v>
      </c>
      <c r="AB8" s="51">
        <v>255</v>
      </c>
      <c r="AC8" s="57">
        <v>286</v>
      </c>
      <c r="AD8" s="57">
        <v>260</v>
      </c>
      <c r="AE8" s="57">
        <v>221</v>
      </c>
      <c r="AF8" s="58">
        <f t="shared" si="0"/>
        <v>0</v>
      </c>
      <c r="AG8" s="58" t="str">
        <f t="shared" si="1"/>
        <v>脑电图检查费</v>
      </c>
      <c r="AH8" s="58">
        <f t="shared" si="2"/>
        <v>98</v>
      </c>
      <c r="AI8" s="58">
        <f t="shared" si="3"/>
        <v>90</v>
      </c>
      <c r="AJ8" s="58">
        <f t="shared" si="4"/>
        <v>78</v>
      </c>
    </row>
    <row r="9" s="17" customFormat="1" ht="25" customHeight="1" spans="1:36">
      <c r="A9" s="27">
        <v>1</v>
      </c>
      <c r="B9" s="28" t="s">
        <v>35</v>
      </c>
      <c r="C9" s="28" t="s">
        <v>36</v>
      </c>
      <c r="D9" s="28" t="s">
        <v>37</v>
      </c>
      <c r="E9" s="28" t="s">
        <v>38</v>
      </c>
      <c r="F9" s="28" t="s">
        <v>39</v>
      </c>
      <c r="G9" s="28" t="s">
        <v>40</v>
      </c>
      <c r="H9" s="28" t="s">
        <v>41</v>
      </c>
      <c r="I9" s="34">
        <v>100</v>
      </c>
      <c r="J9" s="34">
        <v>90</v>
      </c>
      <c r="K9" s="35">
        <v>97.6705755554038</v>
      </c>
      <c r="L9" s="35">
        <v>89.6221224258607</v>
      </c>
      <c r="M9" s="35">
        <v>59.8743523316062</v>
      </c>
      <c r="N9" s="40">
        <v>98</v>
      </c>
      <c r="O9" s="40">
        <v>90</v>
      </c>
      <c r="P9" s="40">
        <v>78</v>
      </c>
      <c r="Q9" s="28" t="s">
        <v>42</v>
      </c>
      <c r="R9" s="35" t="s">
        <v>44</v>
      </c>
      <c r="S9" s="28" t="s">
        <v>45</v>
      </c>
      <c r="T9" s="30" t="s">
        <v>59</v>
      </c>
      <c r="U9" s="30">
        <v>31010000401</v>
      </c>
      <c r="V9" s="30" t="s">
        <v>60</v>
      </c>
      <c r="W9" s="30"/>
      <c r="X9" s="30"/>
      <c r="Y9" s="30" t="s">
        <v>40</v>
      </c>
      <c r="Z9" s="30" t="s">
        <v>61</v>
      </c>
      <c r="AA9" s="51">
        <v>286</v>
      </c>
      <c r="AB9" s="51">
        <v>255</v>
      </c>
      <c r="AC9" s="57">
        <v>286</v>
      </c>
      <c r="AD9" s="57">
        <v>260</v>
      </c>
      <c r="AE9" s="57">
        <v>221</v>
      </c>
      <c r="AF9" s="58">
        <f t="shared" si="0"/>
        <v>0</v>
      </c>
      <c r="AG9" s="58" t="str">
        <f t="shared" si="1"/>
        <v>脑电图检查费</v>
      </c>
      <c r="AH9" s="58">
        <f t="shared" si="2"/>
        <v>98</v>
      </c>
      <c r="AI9" s="58">
        <f t="shared" si="3"/>
        <v>90</v>
      </c>
      <c r="AJ9" s="58">
        <f t="shared" si="4"/>
        <v>78</v>
      </c>
    </row>
    <row r="10" s="17" customFormat="1" ht="25" customHeight="1" spans="1:36">
      <c r="A10" s="27">
        <v>1</v>
      </c>
      <c r="B10" s="28" t="s">
        <v>35</v>
      </c>
      <c r="C10" s="28" t="s">
        <v>36</v>
      </c>
      <c r="D10" s="28" t="s">
        <v>37</v>
      </c>
      <c r="E10" s="28" t="s">
        <v>38</v>
      </c>
      <c r="F10" s="28" t="s">
        <v>39</v>
      </c>
      <c r="G10" s="28" t="s">
        <v>40</v>
      </c>
      <c r="H10" s="28" t="s">
        <v>41</v>
      </c>
      <c r="I10" s="34">
        <v>100</v>
      </c>
      <c r="J10" s="34">
        <v>90</v>
      </c>
      <c r="K10" s="35">
        <v>97.6705755554038</v>
      </c>
      <c r="L10" s="35">
        <v>89.6221224258607</v>
      </c>
      <c r="M10" s="35">
        <v>59.8743523316062</v>
      </c>
      <c r="N10" s="40">
        <v>98</v>
      </c>
      <c r="O10" s="40">
        <v>90</v>
      </c>
      <c r="P10" s="40">
        <v>78</v>
      </c>
      <c r="Q10" s="28" t="s">
        <v>42</v>
      </c>
      <c r="R10" s="35" t="s">
        <v>44</v>
      </c>
      <c r="S10" s="28" t="s">
        <v>45</v>
      </c>
      <c r="T10" s="30" t="s">
        <v>62</v>
      </c>
      <c r="U10" s="30">
        <v>31010000402</v>
      </c>
      <c r="V10" s="30" t="s">
        <v>63</v>
      </c>
      <c r="W10" s="30"/>
      <c r="X10" s="30"/>
      <c r="Y10" s="30" t="s">
        <v>40</v>
      </c>
      <c r="Z10" s="30" t="s">
        <v>64</v>
      </c>
      <c r="AA10" s="51">
        <v>286</v>
      </c>
      <c r="AB10" s="51">
        <v>255</v>
      </c>
      <c r="AC10" s="57">
        <v>286</v>
      </c>
      <c r="AD10" s="57">
        <v>260</v>
      </c>
      <c r="AE10" s="57">
        <v>221</v>
      </c>
      <c r="AF10" s="58">
        <f t="shared" si="0"/>
        <v>0</v>
      </c>
      <c r="AG10" s="58" t="str">
        <f t="shared" si="1"/>
        <v>脑电图检查费</v>
      </c>
      <c r="AH10" s="58">
        <f t="shared" si="2"/>
        <v>98</v>
      </c>
      <c r="AI10" s="58">
        <f t="shared" si="3"/>
        <v>90</v>
      </c>
      <c r="AJ10" s="58">
        <f t="shared" si="4"/>
        <v>78</v>
      </c>
    </row>
    <row r="11" s="17" customFormat="1" ht="25" customHeight="1" spans="1:36">
      <c r="A11" s="27">
        <v>1</v>
      </c>
      <c r="B11" s="28" t="s">
        <v>35</v>
      </c>
      <c r="C11" s="28" t="s">
        <v>36</v>
      </c>
      <c r="D11" s="28" t="s">
        <v>37</v>
      </c>
      <c r="E11" s="28" t="s">
        <v>38</v>
      </c>
      <c r="F11" s="28" t="s">
        <v>39</v>
      </c>
      <c r="G11" s="28" t="s">
        <v>40</v>
      </c>
      <c r="H11" s="28" t="s">
        <v>41</v>
      </c>
      <c r="I11" s="34">
        <v>100</v>
      </c>
      <c r="J11" s="34">
        <v>90</v>
      </c>
      <c r="K11" s="35">
        <v>97.6705755554038</v>
      </c>
      <c r="L11" s="35">
        <v>89.6221224258607</v>
      </c>
      <c r="M11" s="35">
        <v>59.8743523316062</v>
      </c>
      <c r="N11" s="40">
        <v>98</v>
      </c>
      <c r="O11" s="40">
        <v>90</v>
      </c>
      <c r="P11" s="40">
        <v>78</v>
      </c>
      <c r="Q11" s="28" t="s">
        <v>42</v>
      </c>
      <c r="R11" s="35" t="s">
        <v>44</v>
      </c>
      <c r="S11" s="28" t="s">
        <v>45</v>
      </c>
      <c r="T11" s="30" t="s">
        <v>65</v>
      </c>
      <c r="U11" s="30">
        <v>310100005</v>
      </c>
      <c r="V11" s="30" t="s">
        <v>66</v>
      </c>
      <c r="W11" s="30" t="s">
        <v>67</v>
      </c>
      <c r="X11" s="30"/>
      <c r="Y11" s="30" t="s">
        <v>68</v>
      </c>
      <c r="Z11" s="30" t="s">
        <v>69</v>
      </c>
      <c r="AA11" s="51">
        <v>25</v>
      </c>
      <c r="AB11" s="51">
        <v>23</v>
      </c>
      <c r="AC11" s="57">
        <v>27.5</v>
      </c>
      <c r="AD11" s="57">
        <v>25</v>
      </c>
      <c r="AE11" s="57">
        <v>21.3</v>
      </c>
      <c r="AF11" s="58">
        <f t="shared" si="0"/>
        <v>0</v>
      </c>
      <c r="AG11" s="58" t="str">
        <f t="shared" si="1"/>
        <v>脑电图检查费</v>
      </c>
      <c r="AH11" s="58">
        <f t="shared" si="2"/>
        <v>98</v>
      </c>
      <c r="AI11" s="58">
        <f t="shared" si="3"/>
        <v>90</v>
      </c>
      <c r="AJ11" s="58">
        <f t="shared" si="4"/>
        <v>78</v>
      </c>
    </row>
    <row r="12" s="17" customFormat="1" ht="26" customHeight="1" spans="1:36">
      <c r="A12" s="27" t="s">
        <v>70</v>
      </c>
      <c r="B12" s="28" t="s">
        <v>74</v>
      </c>
      <c r="C12" s="28" t="s">
        <v>75</v>
      </c>
      <c r="D12" s="28" t="s">
        <v>37</v>
      </c>
      <c r="E12" s="28"/>
      <c r="F12" s="28"/>
      <c r="G12" s="28" t="s">
        <v>40</v>
      </c>
      <c r="H12" s="28"/>
      <c r="I12" s="34">
        <v>10</v>
      </c>
      <c r="J12" s="34">
        <v>9</v>
      </c>
      <c r="K12" s="36"/>
      <c r="L12" s="36"/>
      <c r="M12" s="36"/>
      <c r="N12" s="40">
        <v>9</v>
      </c>
      <c r="O12" s="40">
        <v>8</v>
      </c>
      <c r="P12" s="40">
        <v>7</v>
      </c>
      <c r="Q12" s="28" t="s">
        <v>42</v>
      </c>
      <c r="R12" s="36"/>
      <c r="S12" s="28" t="s">
        <v>76</v>
      </c>
      <c r="T12" s="30" t="s">
        <v>77</v>
      </c>
      <c r="U12" s="30">
        <v>310100002</v>
      </c>
      <c r="V12" s="30" t="s">
        <v>78</v>
      </c>
      <c r="W12" s="30" t="s">
        <v>79</v>
      </c>
      <c r="X12" s="30"/>
      <c r="Y12" s="30" t="s">
        <v>40</v>
      </c>
      <c r="Z12" s="30" t="s">
        <v>43</v>
      </c>
      <c r="AA12" s="51">
        <v>90</v>
      </c>
      <c r="AB12" s="51">
        <v>81</v>
      </c>
      <c r="AC12" s="57">
        <v>66</v>
      </c>
      <c r="AD12" s="57">
        <v>60</v>
      </c>
      <c r="AE12" s="57">
        <v>51</v>
      </c>
      <c r="AF12" s="58">
        <f t="shared" si="0"/>
        <v>0</v>
      </c>
      <c r="AG12" s="58" t="str">
        <f t="shared" si="1"/>
        <v>脑电图检查费-特殊电极脑电图检查（加收）</v>
      </c>
      <c r="AH12" s="58">
        <f t="shared" si="2"/>
        <v>9</v>
      </c>
      <c r="AI12" s="58">
        <f t="shared" si="3"/>
        <v>8</v>
      </c>
      <c r="AJ12" s="58">
        <f t="shared" si="4"/>
        <v>7</v>
      </c>
    </row>
    <row r="13" s="17" customFormat="1" ht="26" customHeight="1" spans="1:36">
      <c r="A13" s="27" t="s">
        <v>70</v>
      </c>
      <c r="B13" s="28" t="s">
        <v>74</v>
      </c>
      <c r="C13" s="28" t="s">
        <v>75</v>
      </c>
      <c r="D13" s="28" t="s">
        <v>37</v>
      </c>
      <c r="E13" s="28"/>
      <c r="F13" s="28"/>
      <c r="G13" s="28" t="s">
        <v>40</v>
      </c>
      <c r="H13" s="28"/>
      <c r="I13" s="34">
        <v>10</v>
      </c>
      <c r="J13" s="34">
        <v>9</v>
      </c>
      <c r="K13" s="36"/>
      <c r="L13" s="36"/>
      <c r="M13" s="36"/>
      <c r="N13" s="40">
        <v>9</v>
      </c>
      <c r="O13" s="40">
        <v>8</v>
      </c>
      <c r="P13" s="40">
        <v>7</v>
      </c>
      <c r="Q13" s="28" t="s">
        <v>42</v>
      </c>
      <c r="R13" s="36"/>
      <c r="S13" s="28" t="s">
        <v>76</v>
      </c>
      <c r="T13" s="30" t="s">
        <v>80</v>
      </c>
      <c r="U13" s="30">
        <v>31010000201</v>
      </c>
      <c r="V13" s="30" t="s">
        <v>81</v>
      </c>
      <c r="W13" s="30"/>
      <c r="X13" s="30"/>
      <c r="Y13" s="30" t="s">
        <v>40</v>
      </c>
      <c r="Z13" s="30" t="s">
        <v>82</v>
      </c>
      <c r="AA13" s="51">
        <v>90</v>
      </c>
      <c r="AB13" s="51">
        <v>81</v>
      </c>
      <c r="AC13" s="57">
        <v>66</v>
      </c>
      <c r="AD13" s="57">
        <v>60</v>
      </c>
      <c r="AE13" s="57">
        <v>51</v>
      </c>
      <c r="AF13" s="58">
        <f t="shared" si="0"/>
        <v>0</v>
      </c>
      <c r="AG13" s="58" t="str">
        <f t="shared" si="1"/>
        <v>脑电图检查费-特殊电极脑电图检查（加收）</v>
      </c>
      <c r="AH13" s="58">
        <f t="shared" si="2"/>
        <v>9</v>
      </c>
      <c r="AI13" s="58">
        <f t="shared" si="3"/>
        <v>8</v>
      </c>
      <c r="AJ13" s="58">
        <f t="shared" si="4"/>
        <v>7</v>
      </c>
    </row>
    <row r="14" s="17" customFormat="1" ht="59" customHeight="1" spans="1:36">
      <c r="A14" s="29" t="s">
        <v>70</v>
      </c>
      <c r="B14" s="30" t="s">
        <v>83</v>
      </c>
      <c r="C14" s="30" t="s">
        <v>84</v>
      </c>
      <c r="D14" s="30" t="s">
        <v>37</v>
      </c>
      <c r="E14" s="31" t="s">
        <v>43</v>
      </c>
      <c r="F14" s="31" t="s">
        <v>43</v>
      </c>
      <c r="G14" s="30" t="s">
        <v>40</v>
      </c>
      <c r="H14" s="31" t="s">
        <v>43</v>
      </c>
      <c r="I14" s="37">
        <v>10</v>
      </c>
      <c r="J14" s="37">
        <v>9</v>
      </c>
      <c r="K14" s="36"/>
      <c r="L14" s="36"/>
      <c r="M14" s="36"/>
      <c r="N14" s="41">
        <v>9</v>
      </c>
      <c r="O14" s="41">
        <v>8</v>
      </c>
      <c r="P14" s="41">
        <v>7</v>
      </c>
      <c r="Q14" s="30" t="s">
        <v>42</v>
      </c>
      <c r="R14" s="36"/>
      <c r="S14" s="31" t="s">
        <v>76</v>
      </c>
      <c r="T14" s="30" t="s">
        <v>85</v>
      </c>
      <c r="U14" s="30">
        <v>31010000202</v>
      </c>
      <c r="V14" s="30" t="s">
        <v>86</v>
      </c>
      <c r="W14" s="30"/>
      <c r="X14" s="30"/>
      <c r="Y14" s="30" t="s">
        <v>40</v>
      </c>
      <c r="Z14" s="30" t="s">
        <v>87</v>
      </c>
      <c r="AA14" s="51">
        <v>90</v>
      </c>
      <c r="AB14" s="51">
        <v>81</v>
      </c>
      <c r="AC14" s="57">
        <v>66</v>
      </c>
      <c r="AD14" s="57">
        <v>60</v>
      </c>
      <c r="AE14" s="57">
        <v>51</v>
      </c>
      <c r="AF14" s="58">
        <f t="shared" si="0"/>
        <v>0</v>
      </c>
      <c r="AG14" s="58" t="str">
        <f t="shared" si="1"/>
        <v>脑电图检查费-特殊诱发脑电图检查（加收）</v>
      </c>
      <c r="AH14" s="58">
        <f t="shared" si="2"/>
        <v>9</v>
      </c>
      <c r="AI14" s="58">
        <f t="shared" si="3"/>
        <v>8</v>
      </c>
      <c r="AJ14" s="58">
        <f t="shared" si="4"/>
        <v>7</v>
      </c>
    </row>
    <row r="15" s="17" customFormat="1" ht="62" customHeight="1" spans="1:36">
      <c r="A15" s="29" t="s">
        <v>70</v>
      </c>
      <c r="B15" s="30" t="s">
        <v>88</v>
      </c>
      <c r="C15" s="30" t="s">
        <v>89</v>
      </c>
      <c r="D15" s="30" t="s">
        <v>37</v>
      </c>
      <c r="E15" s="31" t="s">
        <v>43</v>
      </c>
      <c r="F15" s="31" t="s">
        <v>43</v>
      </c>
      <c r="G15" s="30" t="s">
        <v>40</v>
      </c>
      <c r="H15" s="31" t="s">
        <v>90</v>
      </c>
      <c r="I15" s="37">
        <v>150</v>
      </c>
      <c r="J15" s="37">
        <v>135</v>
      </c>
      <c r="K15" s="36"/>
      <c r="L15" s="36"/>
      <c r="M15" s="36"/>
      <c r="N15" s="41">
        <v>147</v>
      </c>
      <c r="O15" s="41">
        <v>135</v>
      </c>
      <c r="P15" s="41">
        <v>117</v>
      </c>
      <c r="Q15" s="30" t="s">
        <v>42</v>
      </c>
      <c r="R15" s="36"/>
      <c r="S15" s="31" t="s">
        <v>91</v>
      </c>
      <c r="T15" s="30" t="s">
        <v>92</v>
      </c>
      <c r="U15" s="46">
        <v>31010000501</v>
      </c>
      <c r="V15" s="49" t="s">
        <v>93</v>
      </c>
      <c r="W15" s="30" t="s">
        <v>94</v>
      </c>
      <c r="X15" s="30"/>
      <c r="Y15" s="49" t="s">
        <v>68</v>
      </c>
      <c r="Z15" s="30"/>
      <c r="AA15" s="51">
        <v>120</v>
      </c>
      <c r="AB15" s="51"/>
      <c r="AC15" s="57">
        <v>115</v>
      </c>
      <c r="AD15" s="57">
        <v>105</v>
      </c>
      <c r="AE15" s="57">
        <v>95</v>
      </c>
      <c r="AF15" s="58">
        <f t="shared" si="0"/>
        <v>0</v>
      </c>
      <c r="AG15" s="58" t="str">
        <f t="shared" si="1"/>
        <v>脑电图检查费-高密度脑电图检查（加收）</v>
      </c>
      <c r="AH15" s="58">
        <f t="shared" si="2"/>
        <v>147</v>
      </c>
      <c r="AI15" s="58">
        <f t="shared" si="3"/>
        <v>135</v>
      </c>
      <c r="AJ15" s="58">
        <f t="shared" si="4"/>
        <v>117</v>
      </c>
    </row>
    <row r="16" s="18" customFormat="1" ht="90" customHeight="1" spans="1:36">
      <c r="A16" s="30">
        <v>2</v>
      </c>
      <c r="B16" s="30" t="s">
        <v>95</v>
      </c>
      <c r="C16" s="30" t="s">
        <v>96</v>
      </c>
      <c r="D16" s="30" t="s">
        <v>37</v>
      </c>
      <c r="E16" s="31" t="s">
        <v>97</v>
      </c>
      <c r="F16" s="31" t="s">
        <v>98</v>
      </c>
      <c r="G16" s="30" t="s">
        <v>40</v>
      </c>
      <c r="H16" s="31" t="s">
        <v>99</v>
      </c>
      <c r="I16" s="37">
        <v>4200</v>
      </c>
      <c r="J16" s="37">
        <v>3780</v>
      </c>
      <c r="K16" s="36"/>
      <c r="L16" s="36"/>
      <c r="M16" s="36"/>
      <c r="N16" s="41">
        <v>3900</v>
      </c>
      <c r="O16" s="41">
        <v>3600</v>
      </c>
      <c r="P16" s="41">
        <v>3060</v>
      </c>
      <c r="Q16" s="30" t="s">
        <v>100</v>
      </c>
      <c r="R16" s="36" t="s">
        <v>101</v>
      </c>
      <c r="S16" s="31" t="s">
        <v>102</v>
      </c>
      <c r="T16" s="46" t="s">
        <v>103</v>
      </c>
      <c r="U16" s="46">
        <v>310100006</v>
      </c>
      <c r="V16" s="48" t="s">
        <v>104</v>
      </c>
      <c r="W16" s="46"/>
      <c r="X16" s="46"/>
      <c r="Y16" s="46" t="s">
        <v>40</v>
      </c>
      <c r="Z16" s="30" t="s">
        <v>43</v>
      </c>
      <c r="AA16" s="53"/>
      <c r="AB16" s="51" t="s">
        <v>43</v>
      </c>
      <c r="AC16" s="57" t="s">
        <v>43</v>
      </c>
      <c r="AD16" s="57" t="s">
        <v>43</v>
      </c>
      <c r="AE16" s="57" t="s">
        <v>43</v>
      </c>
      <c r="AF16" s="58">
        <f t="shared" si="0"/>
        <v>0</v>
      </c>
      <c r="AG16" s="58" t="str">
        <f t="shared" si="1"/>
        <v>脑磁图检查费</v>
      </c>
      <c r="AH16" s="58">
        <f t="shared" si="2"/>
        <v>3900</v>
      </c>
      <c r="AI16" s="58">
        <f t="shared" si="3"/>
        <v>3600</v>
      </c>
      <c r="AJ16" s="58">
        <f t="shared" si="4"/>
        <v>3060</v>
      </c>
    </row>
    <row r="17" s="17" customFormat="1" ht="27" customHeight="1" spans="1:36">
      <c r="A17" s="27">
        <v>3</v>
      </c>
      <c r="B17" s="28" t="s">
        <v>107</v>
      </c>
      <c r="C17" s="28" t="s">
        <v>108</v>
      </c>
      <c r="D17" s="28" t="s">
        <v>37</v>
      </c>
      <c r="E17" s="28" t="s">
        <v>109</v>
      </c>
      <c r="F17" s="28" t="s">
        <v>110</v>
      </c>
      <c r="G17" s="28" t="s">
        <v>40</v>
      </c>
      <c r="H17" s="28" t="s">
        <v>111</v>
      </c>
      <c r="I17" s="34">
        <v>30</v>
      </c>
      <c r="J17" s="34">
        <v>27</v>
      </c>
      <c r="K17" s="35">
        <v>22.1522632193872</v>
      </c>
      <c r="L17" s="35">
        <v>20.0012381984213</v>
      </c>
      <c r="M17" s="38">
        <v>17</v>
      </c>
      <c r="N17" s="40">
        <v>27</v>
      </c>
      <c r="O17" s="40">
        <v>25</v>
      </c>
      <c r="P17" s="40">
        <v>21</v>
      </c>
      <c r="Q17" s="28" t="s">
        <v>42</v>
      </c>
      <c r="R17" s="38" t="s">
        <v>113</v>
      </c>
      <c r="S17" s="28" t="s">
        <v>114</v>
      </c>
      <c r="T17" s="46" t="s">
        <v>115</v>
      </c>
      <c r="U17" s="46">
        <v>310100015</v>
      </c>
      <c r="V17" s="46" t="s">
        <v>116</v>
      </c>
      <c r="W17" s="46" t="s">
        <v>117</v>
      </c>
      <c r="X17" s="46"/>
      <c r="Y17" s="46" t="s">
        <v>40</v>
      </c>
      <c r="Z17" s="30" t="s">
        <v>43</v>
      </c>
      <c r="AA17" s="52"/>
      <c r="AB17" s="51" t="s">
        <v>43</v>
      </c>
      <c r="AC17" s="57" t="s">
        <v>43</v>
      </c>
      <c r="AD17" s="57" t="s">
        <v>43</v>
      </c>
      <c r="AE17" s="57" t="s">
        <v>43</v>
      </c>
      <c r="AF17" s="58">
        <f t="shared" si="0"/>
        <v>0</v>
      </c>
      <c r="AG17" s="58" t="str">
        <f t="shared" si="1"/>
        <v>针极肌电图检查费</v>
      </c>
      <c r="AH17" s="58">
        <f t="shared" si="2"/>
        <v>27</v>
      </c>
      <c r="AI17" s="58">
        <f t="shared" si="3"/>
        <v>25</v>
      </c>
      <c r="AJ17" s="58">
        <f t="shared" si="4"/>
        <v>21</v>
      </c>
    </row>
    <row r="18" s="17" customFormat="1" ht="27" customHeight="1" spans="1:36">
      <c r="A18" s="27">
        <v>3</v>
      </c>
      <c r="B18" s="28" t="s">
        <v>107</v>
      </c>
      <c r="C18" s="28" t="s">
        <v>108</v>
      </c>
      <c r="D18" s="28" t="s">
        <v>37</v>
      </c>
      <c r="E18" s="28" t="s">
        <v>109</v>
      </c>
      <c r="F18" s="28" t="s">
        <v>110</v>
      </c>
      <c r="G18" s="28" t="s">
        <v>40</v>
      </c>
      <c r="H18" s="28" t="s">
        <v>111</v>
      </c>
      <c r="I18" s="34">
        <v>30</v>
      </c>
      <c r="J18" s="34">
        <v>27</v>
      </c>
      <c r="K18" s="35">
        <v>22.1522632193872</v>
      </c>
      <c r="L18" s="35">
        <v>20.0012381984213</v>
      </c>
      <c r="M18" s="38">
        <v>17</v>
      </c>
      <c r="N18" s="40">
        <v>27</v>
      </c>
      <c r="O18" s="40">
        <v>25</v>
      </c>
      <c r="P18" s="40">
        <v>21</v>
      </c>
      <c r="Q18" s="28" t="s">
        <v>42</v>
      </c>
      <c r="R18" s="38" t="s">
        <v>113</v>
      </c>
      <c r="S18" s="28" t="s">
        <v>114</v>
      </c>
      <c r="T18" s="30" t="s">
        <v>118</v>
      </c>
      <c r="U18" s="30">
        <v>310100021</v>
      </c>
      <c r="V18" s="30" t="s">
        <v>119</v>
      </c>
      <c r="W18" s="30"/>
      <c r="X18" s="30"/>
      <c r="Y18" s="30" t="s">
        <v>40</v>
      </c>
      <c r="Z18" s="30" t="s">
        <v>43</v>
      </c>
      <c r="AA18" s="51">
        <v>20</v>
      </c>
      <c r="AB18" s="51">
        <v>18</v>
      </c>
      <c r="AC18" s="57">
        <v>22</v>
      </c>
      <c r="AD18" s="57">
        <v>20</v>
      </c>
      <c r="AE18" s="57">
        <v>17</v>
      </c>
      <c r="AF18" s="58">
        <f t="shared" si="0"/>
        <v>0</v>
      </c>
      <c r="AG18" s="58" t="str">
        <f t="shared" si="1"/>
        <v>针极肌电图检查费</v>
      </c>
      <c r="AH18" s="58">
        <f t="shared" si="2"/>
        <v>27</v>
      </c>
      <c r="AI18" s="58">
        <f t="shared" si="3"/>
        <v>25</v>
      </c>
      <c r="AJ18" s="58">
        <f t="shared" si="4"/>
        <v>21</v>
      </c>
    </row>
    <row r="19" s="17" customFormat="1" ht="27" customHeight="1" spans="1:36">
      <c r="A19" s="27">
        <v>3</v>
      </c>
      <c r="B19" s="28" t="s">
        <v>107</v>
      </c>
      <c r="C19" s="28" t="s">
        <v>108</v>
      </c>
      <c r="D19" s="28" t="s">
        <v>37</v>
      </c>
      <c r="E19" s="28" t="s">
        <v>109</v>
      </c>
      <c r="F19" s="28" t="s">
        <v>110</v>
      </c>
      <c r="G19" s="28" t="s">
        <v>40</v>
      </c>
      <c r="H19" s="28" t="s">
        <v>111</v>
      </c>
      <c r="I19" s="34">
        <v>30</v>
      </c>
      <c r="J19" s="34">
        <v>27</v>
      </c>
      <c r="K19" s="35">
        <v>22.1522632193872</v>
      </c>
      <c r="L19" s="35">
        <v>20.0012381984213</v>
      </c>
      <c r="M19" s="38">
        <v>17</v>
      </c>
      <c r="N19" s="40">
        <v>27</v>
      </c>
      <c r="O19" s="40">
        <v>25</v>
      </c>
      <c r="P19" s="40">
        <v>21</v>
      </c>
      <c r="Q19" s="28" t="s">
        <v>42</v>
      </c>
      <c r="R19" s="38" t="s">
        <v>113</v>
      </c>
      <c r="S19" s="28" t="s">
        <v>114</v>
      </c>
      <c r="T19" s="30" t="s">
        <v>120</v>
      </c>
      <c r="U19" s="30">
        <v>310100022</v>
      </c>
      <c r="V19" s="30" t="s">
        <v>121</v>
      </c>
      <c r="W19" s="30" t="s">
        <v>122</v>
      </c>
      <c r="X19" s="30"/>
      <c r="Y19" s="30" t="s">
        <v>68</v>
      </c>
      <c r="Z19" s="30" t="s">
        <v>43</v>
      </c>
      <c r="AA19" s="51">
        <v>5</v>
      </c>
      <c r="AB19" s="51">
        <v>4.5</v>
      </c>
      <c r="AC19" s="57">
        <v>4.5</v>
      </c>
      <c r="AD19" s="57">
        <v>4</v>
      </c>
      <c r="AE19" s="57">
        <v>3.5</v>
      </c>
      <c r="AF19" s="58">
        <f t="shared" si="0"/>
        <v>0</v>
      </c>
      <c r="AG19" s="58" t="str">
        <f t="shared" si="1"/>
        <v>针极肌电图检查费</v>
      </c>
      <c r="AH19" s="58">
        <f t="shared" si="2"/>
        <v>27</v>
      </c>
      <c r="AI19" s="58">
        <f t="shared" si="3"/>
        <v>25</v>
      </c>
      <c r="AJ19" s="58">
        <f t="shared" si="4"/>
        <v>21</v>
      </c>
    </row>
    <row r="20" s="17" customFormat="1" ht="27" customHeight="1" spans="1:36">
      <c r="A20" s="27">
        <v>3</v>
      </c>
      <c r="B20" s="28" t="s">
        <v>107</v>
      </c>
      <c r="C20" s="28" t="s">
        <v>108</v>
      </c>
      <c r="D20" s="28" t="s">
        <v>37</v>
      </c>
      <c r="E20" s="28" t="s">
        <v>109</v>
      </c>
      <c r="F20" s="28" t="s">
        <v>110</v>
      </c>
      <c r="G20" s="28" t="s">
        <v>40</v>
      </c>
      <c r="H20" s="28" t="s">
        <v>111</v>
      </c>
      <c r="I20" s="34">
        <v>30</v>
      </c>
      <c r="J20" s="34">
        <v>27</v>
      </c>
      <c r="K20" s="35">
        <v>22.1522632193872</v>
      </c>
      <c r="L20" s="35">
        <v>20.0012381984213</v>
      </c>
      <c r="M20" s="38">
        <v>17</v>
      </c>
      <c r="N20" s="40">
        <v>27</v>
      </c>
      <c r="O20" s="40">
        <v>25</v>
      </c>
      <c r="P20" s="40">
        <v>21</v>
      </c>
      <c r="Q20" s="28" t="s">
        <v>42</v>
      </c>
      <c r="R20" s="38" t="s">
        <v>113</v>
      </c>
      <c r="S20" s="28" t="s">
        <v>114</v>
      </c>
      <c r="T20" s="30" t="s">
        <v>123</v>
      </c>
      <c r="U20" s="30">
        <v>31010002201</v>
      </c>
      <c r="V20" s="30" t="s">
        <v>124</v>
      </c>
      <c r="W20" s="30"/>
      <c r="X20" s="30"/>
      <c r="Y20" s="30" t="s">
        <v>68</v>
      </c>
      <c r="Z20" s="30" t="s">
        <v>43</v>
      </c>
      <c r="AA20" s="51">
        <v>5</v>
      </c>
      <c r="AB20" s="51">
        <v>4.5</v>
      </c>
      <c r="AC20" s="57">
        <v>4.5</v>
      </c>
      <c r="AD20" s="57">
        <v>4</v>
      </c>
      <c r="AE20" s="57">
        <v>3.5</v>
      </c>
      <c r="AF20" s="58">
        <f t="shared" si="0"/>
        <v>0</v>
      </c>
      <c r="AG20" s="58" t="str">
        <f t="shared" si="1"/>
        <v>针极肌电图检查费</v>
      </c>
      <c r="AH20" s="58">
        <f t="shared" si="2"/>
        <v>27</v>
      </c>
      <c r="AI20" s="58">
        <f t="shared" si="3"/>
        <v>25</v>
      </c>
      <c r="AJ20" s="58">
        <f t="shared" si="4"/>
        <v>21</v>
      </c>
    </row>
    <row r="21" s="17" customFormat="1" ht="27" customHeight="1" spans="1:36">
      <c r="A21" s="27">
        <v>3</v>
      </c>
      <c r="B21" s="28" t="s">
        <v>107</v>
      </c>
      <c r="C21" s="28" t="s">
        <v>108</v>
      </c>
      <c r="D21" s="28" t="s">
        <v>37</v>
      </c>
      <c r="E21" s="28" t="s">
        <v>109</v>
      </c>
      <c r="F21" s="28" t="s">
        <v>110</v>
      </c>
      <c r="G21" s="28" t="s">
        <v>40</v>
      </c>
      <c r="H21" s="28" t="s">
        <v>111</v>
      </c>
      <c r="I21" s="34">
        <v>30</v>
      </c>
      <c r="J21" s="34">
        <v>27</v>
      </c>
      <c r="K21" s="35">
        <v>22.1522632193872</v>
      </c>
      <c r="L21" s="35">
        <v>20.0012381984213</v>
      </c>
      <c r="M21" s="38">
        <v>17</v>
      </c>
      <c r="N21" s="40">
        <v>27</v>
      </c>
      <c r="O21" s="40">
        <v>25</v>
      </c>
      <c r="P21" s="40">
        <v>21</v>
      </c>
      <c r="Q21" s="28" t="s">
        <v>42</v>
      </c>
      <c r="R21" s="38" t="s">
        <v>113</v>
      </c>
      <c r="S21" s="28" t="s">
        <v>114</v>
      </c>
      <c r="T21" s="30" t="s">
        <v>125</v>
      </c>
      <c r="U21" s="30">
        <v>310100023</v>
      </c>
      <c r="V21" s="30" t="s">
        <v>126</v>
      </c>
      <c r="W21" s="30" t="s">
        <v>127</v>
      </c>
      <c r="X21" s="30" t="s">
        <v>128</v>
      </c>
      <c r="Y21" s="30" t="s">
        <v>129</v>
      </c>
      <c r="Z21" s="30" t="s">
        <v>43</v>
      </c>
      <c r="AA21" s="51">
        <v>30</v>
      </c>
      <c r="AB21" s="51">
        <v>27</v>
      </c>
      <c r="AC21" s="57">
        <v>22</v>
      </c>
      <c r="AD21" s="57">
        <v>20</v>
      </c>
      <c r="AE21" s="57">
        <v>17</v>
      </c>
      <c r="AF21" s="58">
        <f t="shared" si="0"/>
        <v>0</v>
      </c>
      <c r="AG21" s="58" t="str">
        <f t="shared" si="1"/>
        <v>针极肌电图检查费</v>
      </c>
      <c r="AH21" s="58">
        <f t="shared" si="2"/>
        <v>27</v>
      </c>
      <c r="AI21" s="58">
        <f t="shared" si="3"/>
        <v>25</v>
      </c>
      <c r="AJ21" s="58">
        <f t="shared" si="4"/>
        <v>21</v>
      </c>
    </row>
    <row r="22" s="17" customFormat="1" ht="27" customHeight="1" spans="1:36">
      <c r="A22" s="27">
        <v>3</v>
      </c>
      <c r="B22" s="28" t="s">
        <v>107</v>
      </c>
      <c r="C22" s="28" t="s">
        <v>108</v>
      </c>
      <c r="D22" s="28" t="s">
        <v>37</v>
      </c>
      <c r="E22" s="28" t="s">
        <v>109</v>
      </c>
      <c r="F22" s="28" t="s">
        <v>110</v>
      </c>
      <c r="G22" s="28" t="s">
        <v>40</v>
      </c>
      <c r="H22" s="28" t="s">
        <v>111</v>
      </c>
      <c r="I22" s="34">
        <v>30</v>
      </c>
      <c r="J22" s="34">
        <v>27</v>
      </c>
      <c r="K22" s="35">
        <v>22.1522632193872</v>
      </c>
      <c r="L22" s="35">
        <v>20.0012381984213</v>
      </c>
      <c r="M22" s="38">
        <v>17</v>
      </c>
      <c r="N22" s="40">
        <v>27</v>
      </c>
      <c r="O22" s="40">
        <v>25</v>
      </c>
      <c r="P22" s="40">
        <v>21</v>
      </c>
      <c r="Q22" s="28" t="s">
        <v>42</v>
      </c>
      <c r="R22" s="38" t="s">
        <v>113</v>
      </c>
      <c r="S22" s="28" t="s">
        <v>114</v>
      </c>
      <c r="T22" s="30" t="s">
        <v>131</v>
      </c>
      <c r="U22" s="30">
        <v>310100026</v>
      </c>
      <c r="V22" s="30" t="s">
        <v>132</v>
      </c>
      <c r="W22" s="30"/>
      <c r="X22" s="30"/>
      <c r="Y22" s="30" t="s">
        <v>40</v>
      </c>
      <c r="Z22" s="30" t="s">
        <v>43</v>
      </c>
      <c r="AA22" s="51">
        <v>90</v>
      </c>
      <c r="AB22" s="51">
        <v>81</v>
      </c>
      <c r="AC22" s="57">
        <v>66</v>
      </c>
      <c r="AD22" s="57">
        <v>60</v>
      </c>
      <c r="AE22" s="57">
        <v>51</v>
      </c>
      <c r="AF22" s="58">
        <f t="shared" si="0"/>
        <v>0</v>
      </c>
      <c r="AG22" s="58" t="str">
        <f t="shared" si="1"/>
        <v>针极肌电图检查费</v>
      </c>
      <c r="AH22" s="58">
        <f t="shared" si="2"/>
        <v>27</v>
      </c>
      <c r="AI22" s="58">
        <f t="shared" si="3"/>
        <v>25</v>
      </c>
      <c r="AJ22" s="58">
        <f t="shared" si="4"/>
        <v>21</v>
      </c>
    </row>
    <row r="23" s="17" customFormat="1" ht="27" customHeight="1" spans="1:36">
      <c r="A23" s="27">
        <v>3</v>
      </c>
      <c r="B23" s="28" t="s">
        <v>107</v>
      </c>
      <c r="C23" s="28" t="s">
        <v>108</v>
      </c>
      <c r="D23" s="28" t="s">
        <v>37</v>
      </c>
      <c r="E23" s="28" t="s">
        <v>109</v>
      </c>
      <c r="F23" s="28" t="s">
        <v>110</v>
      </c>
      <c r="G23" s="28" t="s">
        <v>40</v>
      </c>
      <c r="H23" s="28" t="s">
        <v>111</v>
      </c>
      <c r="I23" s="34">
        <v>30</v>
      </c>
      <c r="J23" s="34">
        <v>27</v>
      </c>
      <c r="K23" s="35">
        <v>22.1522632193872</v>
      </c>
      <c r="L23" s="35">
        <v>20.0012381984213</v>
      </c>
      <c r="M23" s="38">
        <v>17</v>
      </c>
      <c r="N23" s="40">
        <v>27</v>
      </c>
      <c r="O23" s="40">
        <v>25</v>
      </c>
      <c r="P23" s="40">
        <v>21</v>
      </c>
      <c r="Q23" s="28" t="s">
        <v>42</v>
      </c>
      <c r="R23" s="38" t="s">
        <v>113</v>
      </c>
      <c r="S23" s="28" t="s">
        <v>114</v>
      </c>
      <c r="T23" s="30" t="s">
        <v>133</v>
      </c>
      <c r="U23" s="30">
        <v>310504003</v>
      </c>
      <c r="V23" s="30" t="s">
        <v>134</v>
      </c>
      <c r="W23" s="30" t="s">
        <v>135</v>
      </c>
      <c r="X23" s="30"/>
      <c r="Y23" s="30" t="s">
        <v>136</v>
      </c>
      <c r="Z23" s="30" t="s">
        <v>43</v>
      </c>
      <c r="AA23" s="51">
        <v>20</v>
      </c>
      <c r="AB23" s="51">
        <v>20</v>
      </c>
      <c r="AC23" s="57">
        <v>21</v>
      </c>
      <c r="AD23" s="57">
        <v>20</v>
      </c>
      <c r="AE23" s="57">
        <v>17</v>
      </c>
      <c r="AF23" s="58">
        <f t="shared" si="0"/>
        <v>0</v>
      </c>
      <c r="AG23" s="58" t="str">
        <f t="shared" si="1"/>
        <v>针极肌电图检查费</v>
      </c>
      <c r="AH23" s="58">
        <f t="shared" si="2"/>
        <v>27</v>
      </c>
      <c r="AI23" s="58">
        <f t="shared" si="3"/>
        <v>25</v>
      </c>
      <c r="AJ23" s="58">
        <f t="shared" si="4"/>
        <v>21</v>
      </c>
    </row>
    <row r="24" s="17" customFormat="1" ht="39" customHeight="1" spans="1:36">
      <c r="A24" s="29" t="s">
        <v>70</v>
      </c>
      <c r="B24" s="30" t="s">
        <v>139</v>
      </c>
      <c r="C24" s="30" t="s">
        <v>140</v>
      </c>
      <c r="D24" s="30" t="s">
        <v>37</v>
      </c>
      <c r="E24" s="31" t="s">
        <v>43</v>
      </c>
      <c r="F24" s="31" t="s">
        <v>43</v>
      </c>
      <c r="G24" s="30" t="s">
        <v>40</v>
      </c>
      <c r="H24" s="31" t="s">
        <v>43</v>
      </c>
      <c r="I24" s="37">
        <v>30</v>
      </c>
      <c r="J24" s="37">
        <v>27</v>
      </c>
      <c r="K24" s="36">
        <v>17</v>
      </c>
      <c r="L24" s="36">
        <v>15</v>
      </c>
      <c r="M24" s="36">
        <v>13</v>
      </c>
      <c r="N24" s="41">
        <v>27</v>
      </c>
      <c r="O24" s="41">
        <v>25</v>
      </c>
      <c r="P24" s="41">
        <v>21</v>
      </c>
      <c r="Q24" s="30" t="s">
        <v>42</v>
      </c>
      <c r="R24" s="36"/>
      <c r="S24" s="31" t="s">
        <v>114</v>
      </c>
      <c r="T24" s="30" t="s">
        <v>141</v>
      </c>
      <c r="U24" s="30">
        <v>310100024</v>
      </c>
      <c r="V24" s="30" t="s">
        <v>142</v>
      </c>
      <c r="W24" s="30"/>
      <c r="X24" s="30"/>
      <c r="Y24" s="30" t="s">
        <v>129</v>
      </c>
      <c r="Z24" s="30"/>
      <c r="AA24" s="51">
        <v>60</v>
      </c>
      <c r="AB24" s="51">
        <v>54</v>
      </c>
      <c r="AC24" s="57">
        <v>44</v>
      </c>
      <c r="AD24" s="57">
        <v>40</v>
      </c>
      <c r="AE24" s="57">
        <v>34</v>
      </c>
      <c r="AF24" s="58">
        <f t="shared" si="0"/>
        <v>0</v>
      </c>
      <c r="AG24" s="58" t="str">
        <f t="shared" si="1"/>
        <v>针极肌电图检查费-单纤维检查（加收）</v>
      </c>
      <c r="AH24" s="58">
        <f t="shared" si="2"/>
        <v>27</v>
      </c>
      <c r="AI24" s="58">
        <f t="shared" si="3"/>
        <v>25</v>
      </c>
      <c r="AJ24" s="58">
        <f t="shared" si="4"/>
        <v>21</v>
      </c>
    </row>
    <row r="25" s="17" customFormat="1" ht="60" customHeight="1" spans="1:36">
      <c r="A25" s="29">
        <v>4</v>
      </c>
      <c r="B25" s="30" t="s">
        <v>147</v>
      </c>
      <c r="C25" s="30" t="s">
        <v>148</v>
      </c>
      <c r="D25" s="30" t="s">
        <v>37</v>
      </c>
      <c r="E25" s="31" t="s">
        <v>149</v>
      </c>
      <c r="F25" s="31" t="s">
        <v>150</v>
      </c>
      <c r="G25" s="30" t="s">
        <v>151</v>
      </c>
      <c r="H25" s="31" t="s">
        <v>152</v>
      </c>
      <c r="I25" s="37">
        <v>22</v>
      </c>
      <c r="J25" s="37">
        <v>20</v>
      </c>
      <c r="K25" s="36">
        <v>22</v>
      </c>
      <c r="L25" s="36">
        <v>20</v>
      </c>
      <c r="M25" s="36">
        <v>17</v>
      </c>
      <c r="N25" s="41">
        <v>22</v>
      </c>
      <c r="O25" s="41">
        <v>20</v>
      </c>
      <c r="P25" s="41">
        <v>17</v>
      </c>
      <c r="Q25" s="30" t="s">
        <v>42</v>
      </c>
      <c r="R25" s="36" t="s">
        <v>153</v>
      </c>
      <c r="S25" s="31" t="s">
        <v>154</v>
      </c>
      <c r="T25" s="30" t="s">
        <v>155</v>
      </c>
      <c r="U25" s="30">
        <v>310100007</v>
      </c>
      <c r="V25" s="30" t="s">
        <v>156</v>
      </c>
      <c r="W25" s="30" t="s">
        <v>157</v>
      </c>
      <c r="X25" s="30"/>
      <c r="Y25" s="30" t="s">
        <v>158</v>
      </c>
      <c r="Z25" s="30" t="s">
        <v>43</v>
      </c>
      <c r="AA25" s="51">
        <v>22</v>
      </c>
      <c r="AB25" s="51">
        <v>20</v>
      </c>
      <c r="AC25" s="57">
        <v>22</v>
      </c>
      <c r="AD25" s="57">
        <v>20</v>
      </c>
      <c r="AE25" s="57">
        <v>17</v>
      </c>
      <c r="AF25" s="58">
        <f t="shared" si="0"/>
        <v>0</v>
      </c>
      <c r="AG25" s="58" t="str">
        <f t="shared" si="1"/>
        <v>神经传导速度测定费</v>
      </c>
      <c r="AH25" s="58">
        <f t="shared" si="2"/>
        <v>22</v>
      </c>
      <c r="AI25" s="58">
        <f t="shared" si="3"/>
        <v>20</v>
      </c>
      <c r="AJ25" s="58">
        <f t="shared" si="4"/>
        <v>17</v>
      </c>
    </row>
    <row r="26" s="17" customFormat="1" ht="77" customHeight="1" spans="1:36">
      <c r="A26" s="29">
        <v>5</v>
      </c>
      <c r="B26" s="30" t="s">
        <v>167</v>
      </c>
      <c r="C26" s="30" t="s">
        <v>168</v>
      </c>
      <c r="D26" s="30" t="s">
        <v>37</v>
      </c>
      <c r="E26" s="31" t="s">
        <v>169</v>
      </c>
      <c r="F26" s="31" t="s">
        <v>170</v>
      </c>
      <c r="G26" s="30" t="s">
        <v>40</v>
      </c>
      <c r="H26" s="31" t="s">
        <v>146</v>
      </c>
      <c r="I26" s="37">
        <v>120</v>
      </c>
      <c r="J26" s="37">
        <v>108</v>
      </c>
      <c r="K26" s="36">
        <v>110</v>
      </c>
      <c r="L26" s="36">
        <v>100</v>
      </c>
      <c r="M26" s="36">
        <v>85</v>
      </c>
      <c r="N26" s="41">
        <v>110</v>
      </c>
      <c r="O26" s="41">
        <v>100</v>
      </c>
      <c r="P26" s="41">
        <v>85</v>
      </c>
      <c r="Q26" s="30" t="s">
        <v>42</v>
      </c>
      <c r="R26" s="36" t="s">
        <v>153</v>
      </c>
      <c r="S26" s="31" t="s">
        <v>171</v>
      </c>
      <c r="T26" s="30" t="s">
        <v>172</v>
      </c>
      <c r="U26" s="30">
        <v>310100008</v>
      </c>
      <c r="V26" s="30" t="s">
        <v>173</v>
      </c>
      <c r="W26" s="30" t="s">
        <v>174</v>
      </c>
      <c r="X26" s="30"/>
      <c r="Y26" s="30" t="s">
        <v>158</v>
      </c>
      <c r="Z26" s="30" t="s">
        <v>43</v>
      </c>
      <c r="AA26" s="51">
        <v>30</v>
      </c>
      <c r="AB26" s="51">
        <v>27</v>
      </c>
      <c r="AC26" s="57">
        <v>22</v>
      </c>
      <c r="AD26" s="57">
        <v>20</v>
      </c>
      <c r="AE26" s="57">
        <v>17</v>
      </c>
      <c r="AF26" s="58">
        <f t="shared" si="0"/>
        <v>0</v>
      </c>
      <c r="AG26" s="58" t="str">
        <f t="shared" si="1"/>
        <v>神经电图费</v>
      </c>
      <c r="AH26" s="58">
        <f t="shared" si="2"/>
        <v>110</v>
      </c>
      <c r="AI26" s="58">
        <f t="shared" si="3"/>
        <v>100</v>
      </c>
      <c r="AJ26" s="58">
        <f t="shared" si="4"/>
        <v>85</v>
      </c>
    </row>
    <row r="27" s="17" customFormat="1" ht="36" customHeight="1" spans="1:36">
      <c r="A27" s="27">
        <v>7</v>
      </c>
      <c r="B27" s="28" t="s">
        <v>181</v>
      </c>
      <c r="C27" s="28" t="s">
        <v>182</v>
      </c>
      <c r="D27" s="28" t="s">
        <v>37</v>
      </c>
      <c r="E27" s="28" t="s">
        <v>183</v>
      </c>
      <c r="F27" s="28" t="s">
        <v>180</v>
      </c>
      <c r="G27" s="28" t="s">
        <v>184</v>
      </c>
      <c r="H27" s="28" t="s">
        <v>185</v>
      </c>
      <c r="I27" s="34">
        <v>66</v>
      </c>
      <c r="J27" s="34">
        <v>59</v>
      </c>
      <c r="K27" s="38">
        <v>66</v>
      </c>
      <c r="L27" s="38">
        <v>60</v>
      </c>
      <c r="M27" s="38">
        <v>51</v>
      </c>
      <c r="N27" s="40">
        <v>66</v>
      </c>
      <c r="O27" s="40">
        <v>59</v>
      </c>
      <c r="P27" s="40">
        <v>51</v>
      </c>
      <c r="Q27" s="28" t="s">
        <v>42</v>
      </c>
      <c r="R27" s="38" t="s">
        <v>186</v>
      </c>
      <c r="S27" s="28" t="s">
        <v>187</v>
      </c>
      <c r="T27" s="30" t="s">
        <v>188</v>
      </c>
      <c r="U27" s="30">
        <v>310100011</v>
      </c>
      <c r="V27" s="30" t="s">
        <v>189</v>
      </c>
      <c r="W27" s="30" t="s">
        <v>190</v>
      </c>
      <c r="X27" s="30"/>
      <c r="Y27" s="30" t="s">
        <v>40</v>
      </c>
      <c r="Z27" s="30" t="s">
        <v>191</v>
      </c>
      <c r="AA27" s="51">
        <v>66</v>
      </c>
      <c r="AB27" s="51">
        <v>59</v>
      </c>
      <c r="AC27" s="57">
        <v>66</v>
      </c>
      <c r="AD27" s="57">
        <v>60</v>
      </c>
      <c r="AE27" s="57">
        <v>51</v>
      </c>
      <c r="AF27" s="58">
        <f t="shared" si="0"/>
        <v>0</v>
      </c>
      <c r="AG27" s="58" t="str">
        <f t="shared" si="1"/>
        <v>事件相关电位费</v>
      </c>
      <c r="AH27" s="58">
        <f t="shared" si="2"/>
        <v>66</v>
      </c>
      <c r="AI27" s="58">
        <f t="shared" si="3"/>
        <v>59</v>
      </c>
      <c r="AJ27" s="58">
        <f t="shared" si="4"/>
        <v>51</v>
      </c>
    </row>
    <row r="28" s="17" customFormat="1" ht="36" customHeight="1" spans="1:36">
      <c r="A28" s="27">
        <v>7</v>
      </c>
      <c r="B28" s="28" t="s">
        <v>181</v>
      </c>
      <c r="C28" s="28" t="s">
        <v>182</v>
      </c>
      <c r="D28" s="28" t="s">
        <v>37</v>
      </c>
      <c r="E28" s="28" t="s">
        <v>183</v>
      </c>
      <c r="F28" s="28" t="s">
        <v>180</v>
      </c>
      <c r="G28" s="28" t="s">
        <v>184</v>
      </c>
      <c r="H28" s="28" t="s">
        <v>185</v>
      </c>
      <c r="I28" s="34">
        <v>66</v>
      </c>
      <c r="J28" s="34">
        <v>59</v>
      </c>
      <c r="K28" s="38">
        <v>66</v>
      </c>
      <c r="L28" s="38">
        <v>60</v>
      </c>
      <c r="M28" s="38">
        <v>51</v>
      </c>
      <c r="N28" s="40">
        <v>66</v>
      </c>
      <c r="O28" s="40">
        <v>59</v>
      </c>
      <c r="P28" s="40">
        <v>51</v>
      </c>
      <c r="Q28" s="28" t="s">
        <v>42</v>
      </c>
      <c r="R28" s="38" t="s">
        <v>186</v>
      </c>
      <c r="S28" s="28" t="s">
        <v>187</v>
      </c>
      <c r="T28" s="30" t="s">
        <v>192</v>
      </c>
      <c r="U28" s="30">
        <v>31010001101</v>
      </c>
      <c r="V28" s="30" t="s">
        <v>193</v>
      </c>
      <c r="W28" s="30"/>
      <c r="X28" s="30"/>
      <c r="Y28" s="30" t="s">
        <v>40</v>
      </c>
      <c r="Z28" s="30" t="s">
        <v>194</v>
      </c>
      <c r="AA28" s="51">
        <v>99</v>
      </c>
      <c r="AB28" s="51">
        <v>89</v>
      </c>
      <c r="AC28" s="57">
        <v>99</v>
      </c>
      <c r="AD28" s="57">
        <v>90</v>
      </c>
      <c r="AE28" s="57">
        <v>76.5</v>
      </c>
      <c r="AF28" s="58">
        <f t="shared" si="0"/>
        <v>0</v>
      </c>
      <c r="AG28" s="58" t="str">
        <f t="shared" si="1"/>
        <v>事件相关电位费</v>
      </c>
      <c r="AH28" s="58">
        <f t="shared" si="2"/>
        <v>66</v>
      </c>
      <c r="AI28" s="58">
        <f t="shared" si="3"/>
        <v>59</v>
      </c>
      <c r="AJ28" s="58">
        <f t="shared" si="4"/>
        <v>51</v>
      </c>
    </row>
    <row r="29" s="17" customFormat="1" ht="55" customHeight="1" spans="1:36">
      <c r="A29" s="29">
        <v>8</v>
      </c>
      <c r="B29" s="30" t="s">
        <v>195</v>
      </c>
      <c r="C29" s="30" t="s">
        <v>196</v>
      </c>
      <c r="D29" s="30" t="s">
        <v>37</v>
      </c>
      <c r="E29" s="31" t="s">
        <v>197</v>
      </c>
      <c r="F29" s="31" t="s">
        <v>180</v>
      </c>
      <c r="G29" s="30" t="s">
        <v>40</v>
      </c>
      <c r="H29" s="31" t="s">
        <v>198</v>
      </c>
      <c r="I29" s="37">
        <v>66</v>
      </c>
      <c r="J29" s="37">
        <v>59</v>
      </c>
      <c r="K29" s="36">
        <v>66</v>
      </c>
      <c r="L29" s="36">
        <v>60</v>
      </c>
      <c r="M29" s="36">
        <v>51</v>
      </c>
      <c r="N29" s="41">
        <v>66</v>
      </c>
      <c r="O29" s="41">
        <v>59</v>
      </c>
      <c r="P29" s="41">
        <v>51</v>
      </c>
      <c r="Q29" s="30" t="s">
        <v>42</v>
      </c>
      <c r="R29" s="36" t="s">
        <v>186</v>
      </c>
      <c r="S29" s="31" t="s">
        <v>187</v>
      </c>
      <c r="T29" s="30" t="s">
        <v>199</v>
      </c>
      <c r="U29" s="30">
        <v>310100012</v>
      </c>
      <c r="V29" s="30" t="s">
        <v>200</v>
      </c>
      <c r="W29" s="30"/>
      <c r="X29" s="30"/>
      <c r="Y29" s="30" t="s">
        <v>40</v>
      </c>
      <c r="Z29" s="30" t="s">
        <v>43</v>
      </c>
      <c r="AA29" s="51">
        <v>66</v>
      </c>
      <c r="AB29" s="51">
        <v>59</v>
      </c>
      <c r="AC29" s="57">
        <v>66</v>
      </c>
      <c r="AD29" s="57">
        <v>60</v>
      </c>
      <c r="AE29" s="57">
        <v>51</v>
      </c>
      <c r="AF29" s="58">
        <f t="shared" si="0"/>
        <v>0</v>
      </c>
      <c r="AG29" s="58" t="str">
        <f t="shared" si="1"/>
        <v>脑干听觉诱发电位费</v>
      </c>
      <c r="AH29" s="58">
        <f t="shared" si="2"/>
        <v>66</v>
      </c>
      <c r="AI29" s="58">
        <f t="shared" si="3"/>
        <v>59</v>
      </c>
      <c r="AJ29" s="58">
        <f t="shared" si="4"/>
        <v>51</v>
      </c>
    </row>
    <row r="30" s="17" customFormat="1" ht="35" customHeight="1" spans="1:36">
      <c r="A30" s="27">
        <v>9</v>
      </c>
      <c r="B30" s="28" t="s">
        <v>203</v>
      </c>
      <c r="C30" s="28" t="s">
        <v>204</v>
      </c>
      <c r="D30" s="28" t="s">
        <v>37</v>
      </c>
      <c r="E30" s="28" t="s">
        <v>205</v>
      </c>
      <c r="F30" s="28" t="s">
        <v>180</v>
      </c>
      <c r="G30" s="28" t="s">
        <v>206</v>
      </c>
      <c r="H30" s="28" t="s">
        <v>146</v>
      </c>
      <c r="I30" s="34">
        <v>96</v>
      </c>
      <c r="J30" s="34">
        <v>86</v>
      </c>
      <c r="K30" s="35">
        <v>88.0094471282877</v>
      </c>
      <c r="L30" s="35">
        <v>80.0402052141137</v>
      </c>
      <c r="M30" s="35">
        <v>68</v>
      </c>
      <c r="N30" s="40">
        <v>88</v>
      </c>
      <c r="O30" s="40">
        <v>80</v>
      </c>
      <c r="P30" s="40">
        <v>68</v>
      </c>
      <c r="Q30" s="28" t="s">
        <v>42</v>
      </c>
      <c r="R30" s="38" t="s">
        <v>44</v>
      </c>
      <c r="S30" s="28" t="s">
        <v>207</v>
      </c>
      <c r="T30" s="30" t="s">
        <v>208</v>
      </c>
      <c r="U30" s="30">
        <v>310100009</v>
      </c>
      <c r="V30" s="30" t="s">
        <v>209</v>
      </c>
      <c r="W30" s="30" t="s">
        <v>210</v>
      </c>
      <c r="X30" s="30"/>
      <c r="Y30" s="30" t="s">
        <v>206</v>
      </c>
      <c r="Z30" s="30" t="s">
        <v>211</v>
      </c>
      <c r="AA30" s="51">
        <v>88</v>
      </c>
      <c r="AB30" s="51">
        <v>79</v>
      </c>
      <c r="AC30" s="57">
        <v>88</v>
      </c>
      <c r="AD30" s="57">
        <v>80</v>
      </c>
      <c r="AE30" s="57">
        <v>68</v>
      </c>
      <c r="AF30" s="58">
        <f t="shared" si="0"/>
        <v>0</v>
      </c>
      <c r="AG30" s="58" t="str">
        <f t="shared" si="1"/>
        <v>体感诱发电位费</v>
      </c>
      <c r="AH30" s="58">
        <f t="shared" si="2"/>
        <v>88</v>
      </c>
      <c r="AI30" s="58">
        <f t="shared" si="3"/>
        <v>80</v>
      </c>
      <c r="AJ30" s="58">
        <f t="shared" si="4"/>
        <v>68</v>
      </c>
    </row>
    <row r="31" s="17" customFormat="1" ht="35" customHeight="1" spans="1:36">
      <c r="A31" s="27">
        <v>9</v>
      </c>
      <c r="B31" s="28" t="s">
        <v>203</v>
      </c>
      <c r="C31" s="28" t="s">
        <v>204</v>
      </c>
      <c r="D31" s="28" t="s">
        <v>37</v>
      </c>
      <c r="E31" s="28" t="s">
        <v>205</v>
      </c>
      <c r="F31" s="28" t="s">
        <v>180</v>
      </c>
      <c r="G31" s="28" t="s">
        <v>206</v>
      </c>
      <c r="H31" s="28" t="s">
        <v>146</v>
      </c>
      <c r="I31" s="34">
        <v>96</v>
      </c>
      <c r="J31" s="34">
        <v>86</v>
      </c>
      <c r="K31" s="35">
        <v>88.0094471282877</v>
      </c>
      <c r="L31" s="35">
        <v>80.0402052141137</v>
      </c>
      <c r="M31" s="35">
        <v>68</v>
      </c>
      <c r="N31" s="40">
        <v>88</v>
      </c>
      <c r="O31" s="40">
        <v>80</v>
      </c>
      <c r="P31" s="40">
        <v>68</v>
      </c>
      <c r="Q31" s="28" t="s">
        <v>42</v>
      </c>
      <c r="R31" s="38" t="s">
        <v>44</v>
      </c>
      <c r="S31" s="28" t="s">
        <v>207</v>
      </c>
      <c r="T31" s="30" t="s">
        <v>212</v>
      </c>
      <c r="U31" s="30">
        <v>31010000901</v>
      </c>
      <c r="V31" s="30" t="s">
        <v>213</v>
      </c>
      <c r="W31" s="30"/>
      <c r="X31" s="30"/>
      <c r="Y31" s="30" t="s">
        <v>206</v>
      </c>
      <c r="Z31" s="30" t="s">
        <v>214</v>
      </c>
      <c r="AA31" s="51">
        <v>105</v>
      </c>
      <c r="AB31" s="51">
        <v>95</v>
      </c>
      <c r="AC31" s="57">
        <v>105.6</v>
      </c>
      <c r="AD31" s="57">
        <v>96</v>
      </c>
      <c r="AE31" s="57">
        <v>81.6</v>
      </c>
      <c r="AF31" s="58">
        <f t="shared" si="0"/>
        <v>0</v>
      </c>
      <c r="AG31" s="58" t="str">
        <f t="shared" si="1"/>
        <v>体感诱发电位费</v>
      </c>
      <c r="AH31" s="58">
        <f t="shared" si="2"/>
        <v>88</v>
      </c>
      <c r="AI31" s="58">
        <f t="shared" si="3"/>
        <v>80</v>
      </c>
      <c r="AJ31" s="58">
        <f t="shared" si="4"/>
        <v>68</v>
      </c>
    </row>
    <row r="32" s="17" customFormat="1" ht="89" customHeight="1" spans="1:36">
      <c r="A32" s="29">
        <v>10</v>
      </c>
      <c r="B32" s="87" t="s">
        <v>217</v>
      </c>
      <c r="C32" s="30" t="s">
        <v>218</v>
      </c>
      <c r="D32" s="30" t="s">
        <v>37</v>
      </c>
      <c r="E32" s="31" t="s">
        <v>219</v>
      </c>
      <c r="F32" s="31" t="s">
        <v>180</v>
      </c>
      <c r="G32" s="30" t="s">
        <v>206</v>
      </c>
      <c r="H32" s="31" t="s">
        <v>220</v>
      </c>
      <c r="I32" s="37">
        <v>60</v>
      </c>
      <c r="J32" s="37">
        <v>54</v>
      </c>
      <c r="K32" s="36">
        <v>54</v>
      </c>
      <c r="L32" s="36">
        <v>50</v>
      </c>
      <c r="M32" s="36">
        <v>42</v>
      </c>
      <c r="N32" s="41">
        <v>54</v>
      </c>
      <c r="O32" s="41">
        <v>50</v>
      </c>
      <c r="P32" s="41">
        <v>42</v>
      </c>
      <c r="Q32" s="30" t="s">
        <v>100</v>
      </c>
      <c r="R32" s="36" t="s">
        <v>153</v>
      </c>
      <c r="S32" s="31" t="s">
        <v>153</v>
      </c>
      <c r="T32" s="30" t="s">
        <v>221</v>
      </c>
      <c r="U32" s="30">
        <v>310100010</v>
      </c>
      <c r="V32" s="30" t="s">
        <v>222</v>
      </c>
      <c r="W32" s="30" t="s">
        <v>223</v>
      </c>
      <c r="X32" s="30"/>
      <c r="Y32" s="30" t="s">
        <v>40</v>
      </c>
      <c r="Z32" s="30" t="s">
        <v>224</v>
      </c>
      <c r="AA32" s="51">
        <v>60</v>
      </c>
      <c r="AB32" s="51">
        <v>54</v>
      </c>
      <c r="AC32" s="57">
        <v>54</v>
      </c>
      <c r="AD32" s="57">
        <v>50</v>
      </c>
      <c r="AE32" s="57">
        <v>42</v>
      </c>
      <c r="AF32" s="58">
        <f t="shared" si="0"/>
        <v>0</v>
      </c>
      <c r="AG32" s="58" t="str">
        <f t="shared" si="1"/>
        <v>运动诱发电位费</v>
      </c>
      <c r="AH32" s="58">
        <f t="shared" si="2"/>
        <v>54</v>
      </c>
      <c r="AI32" s="58">
        <f t="shared" si="3"/>
        <v>50</v>
      </c>
      <c r="AJ32" s="58">
        <f t="shared" si="4"/>
        <v>42</v>
      </c>
    </row>
    <row r="33" s="17" customFormat="1" ht="35" customHeight="1" spans="1:36">
      <c r="A33" s="30" t="s">
        <v>225</v>
      </c>
      <c r="B33" s="87" t="s">
        <v>217</v>
      </c>
      <c r="C33" s="30" t="s">
        <v>226</v>
      </c>
      <c r="D33" s="30"/>
      <c r="E33" s="31" t="s">
        <v>43</v>
      </c>
      <c r="F33" s="31" t="s">
        <v>43</v>
      </c>
      <c r="G33" s="30" t="s">
        <v>206</v>
      </c>
      <c r="H33" s="31" t="s">
        <v>43</v>
      </c>
      <c r="I33" s="37">
        <v>34</v>
      </c>
      <c r="J33" s="37">
        <v>31</v>
      </c>
      <c r="K33" s="36">
        <v>32</v>
      </c>
      <c r="L33" s="36">
        <v>32</v>
      </c>
      <c r="M33" s="36">
        <v>27.2</v>
      </c>
      <c r="N33" s="41">
        <v>32</v>
      </c>
      <c r="O33" s="41">
        <v>30</v>
      </c>
      <c r="P33" s="41">
        <v>27</v>
      </c>
      <c r="Q33" s="30" t="s">
        <v>100</v>
      </c>
      <c r="R33" s="36"/>
      <c r="S33" s="31" t="s">
        <v>227</v>
      </c>
      <c r="T33" s="30" t="s">
        <v>228</v>
      </c>
      <c r="U33" s="30">
        <v>340100007</v>
      </c>
      <c r="V33" s="30" t="s">
        <v>229</v>
      </c>
      <c r="W33" s="30" t="s">
        <v>230</v>
      </c>
      <c r="X33" s="30"/>
      <c r="Y33" s="30" t="s">
        <v>231</v>
      </c>
      <c r="Z33" s="30" t="s">
        <v>43</v>
      </c>
      <c r="AA33" s="51">
        <v>8.5</v>
      </c>
      <c r="AB33" s="51">
        <v>8.5</v>
      </c>
      <c r="AC33" s="57">
        <v>8</v>
      </c>
      <c r="AD33" s="57">
        <v>8</v>
      </c>
      <c r="AE33" s="57">
        <v>6.8</v>
      </c>
      <c r="AF33" s="58">
        <f t="shared" si="0"/>
        <v>0</v>
      </c>
      <c r="AG33" s="58" t="str">
        <f t="shared" si="1"/>
        <v>运动诱发电位费（电诊断）</v>
      </c>
      <c r="AH33" s="58">
        <f t="shared" si="2"/>
        <v>32</v>
      </c>
      <c r="AI33" s="58">
        <f t="shared" si="3"/>
        <v>30</v>
      </c>
      <c r="AJ33" s="58">
        <f t="shared" si="4"/>
        <v>27</v>
      </c>
    </row>
    <row r="34" s="17" customFormat="1" ht="49" customHeight="1" spans="1:36">
      <c r="A34" s="29">
        <v>12</v>
      </c>
      <c r="B34" s="30" t="s">
        <v>240</v>
      </c>
      <c r="C34" s="30" t="s">
        <v>241</v>
      </c>
      <c r="D34" s="30" t="s">
        <v>37</v>
      </c>
      <c r="E34" s="31" t="s">
        <v>242</v>
      </c>
      <c r="F34" s="31" t="s">
        <v>243</v>
      </c>
      <c r="G34" s="30" t="s">
        <v>68</v>
      </c>
      <c r="H34" s="31" t="s">
        <v>146</v>
      </c>
      <c r="I34" s="37">
        <v>6</v>
      </c>
      <c r="J34" s="37">
        <v>6</v>
      </c>
      <c r="K34" s="36"/>
      <c r="L34" s="36"/>
      <c r="M34" s="36"/>
      <c r="N34" s="41">
        <v>6</v>
      </c>
      <c r="O34" s="41">
        <v>5.8</v>
      </c>
      <c r="P34" s="41">
        <v>5.4</v>
      </c>
      <c r="Q34" s="30" t="s">
        <v>42</v>
      </c>
      <c r="R34" s="36" t="s">
        <v>236</v>
      </c>
      <c r="S34" s="31" t="s">
        <v>244</v>
      </c>
      <c r="T34" s="36" t="s">
        <v>245</v>
      </c>
      <c r="U34" s="36"/>
      <c r="V34" s="36"/>
      <c r="W34" s="36"/>
      <c r="X34" s="36"/>
      <c r="Y34" s="36"/>
      <c r="Z34" s="36"/>
      <c r="AA34" s="54"/>
      <c r="AB34" s="54"/>
      <c r="AC34" s="54"/>
      <c r="AD34" s="54"/>
      <c r="AE34" s="54"/>
      <c r="AF34" s="58">
        <f t="shared" si="0"/>
        <v>0</v>
      </c>
      <c r="AG34" s="58" t="str">
        <f t="shared" si="1"/>
        <v>颅内压监测费（有创）</v>
      </c>
      <c r="AH34" s="58">
        <f t="shared" si="2"/>
        <v>6</v>
      </c>
      <c r="AI34" s="58">
        <f t="shared" si="3"/>
        <v>5.8</v>
      </c>
      <c r="AJ34" s="58">
        <f t="shared" si="4"/>
        <v>5.4</v>
      </c>
    </row>
    <row r="35" s="17" customFormat="1" ht="30" customHeight="1" spans="1:36">
      <c r="A35" s="27">
        <v>13</v>
      </c>
      <c r="B35" s="28" t="s">
        <v>246</v>
      </c>
      <c r="C35" s="28" t="s">
        <v>247</v>
      </c>
      <c r="D35" s="28" t="s">
        <v>37</v>
      </c>
      <c r="E35" s="28" t="s">
        <v>248</v>
      </c>
      <c r="F35" s="28" t="s">
        <v>243</v>
      </c>
      <c r="G35" s="28" t="s">
        <v>68</v>
      </c>
      <c r="H35" s="28" t="s">
        <v>146</v>
      </c>
      <c r="I35" s="34">
        <v>3</v>
      </c>
      <c r="J35" s="34">
        <v>3</v>
      </c>
      <c r="K35" s="38">
        <v>3.3</v>
      </c>
      <c r="L35" s="38">
        <v>3</v>
      </c>
      <c r="M35" s="38">
        <v>2.6</v>
      </c>
      <c r="N35" s="40">
        <v>3</v>
      </c>
      <c r="O35" s="40">
        <v>2.9</v>
      </c>
      <c r="P35" s="40">
        <v>2.7</v>
      </c>
      <c r="Q35" s="28" t="s">
        <v>42</v>
      </c>
      <c r="R35" s="38" t="s">
        <v>186</v>
      </c>
      <c r="S35" s="28" t="s">
        <v>249</v>
      </c>
      <c r="T35" s="46" t="s">
        <v>245</v>
      </c>
      <c r="U35" s="46">
        <v>310100014</v>
      </c>
      <c r="V35" s="48" t="s">
        <v>250</v>
      </c>
      <c r="W35" s="48"/>
      <c r="X35" s="48"/>
      <c r="Y35" s="48" t="s">
        <v>68</v>
      </c>
      <c r="Z35" s="30" t="s">
        <v>43</v>
      </c>
      <c r="AA35" s="55">
        <v>3</v>
      </c>
      <c r="AB35" s="51">
        <v>3</v>
      </c>
      <c r="AC35" s="57">
        <v>3.3</v>
      </c>
      <c r="AD35" s="57">
        <v>3</v>
      </c>
      <c r="AE35" s="57">
        <v>2.6</v>
      </c>
      <c r="AF35" s="58">
        <f t="shared" si="0"/>
        <v>0</v>
      </c>
      <c r="AG35" s="58" t="str">
        <f t="shared" si="1"/>
        <v>颅内压监测费（无创）</v>
      </c>
      <c r="AH35" s="58">
        <f t="shared" si="2"/>
        <v>3</v>
      </c>
      <c r="AI35" s="58">
        <f t="shared" si="3"/>
        <v>2.9</v>
      </c>
      <c r="AJ35" s="58">
        <f t="shared" si="4"/>
        <v>2.7</v>
      </c>
    </row>
    <row r="36" s="17" customFormat="1" ht="30" customHeight="1" spans="1:36">
      <c r="A36" s="27">
        <v>13</v>
      </c>
      <c r="B36" s="28" t="s">
        <v>246</v>
      </c>
      <c r="C36" s="28" t="s">
        <v>247</v>
      </c>
      <c r="D36" s="28" t="s">
        <v>37</v>
      </c>
      <c r="E36" s="28" t="s">
        <v>248</v>
      </c>
      <c r="F36" s="28" t="s">
        <v>243</v>
      </c>
      <c r="G36" s="28" t="s">
        <v>68</v>
      </c>
      <c r="H36" s="28" t="s">
        <v>146</v>
      </c>
      <c r="I36" s="34">
        <v>3</v>
      </c>
      <c r="J36" s="34">
        <v>3</v>
      </c>
      <c r="K36" s="38">
        <v>3.3</v>
      </c>
      <c r="L36" s="38">
        <v>3</v>
      </c>
      <c r="M36" s="38">
        <v>2.6</v>
      </c>
      <c r="N36" s="40">
        <v>3</v>
      </c>
      <c r="O36" s="40">
        <v>2.9</v>
      </c>
      <c r="P36" s="40">
        <v>2.7</v>
      </c>
      <c r="Q36" s="28" t="s">
        <v>42</v>
      </c>
      <c r="R36" s="38" t="s">
        <v>186</v>
      </c>
      <c r="S36" s="28" t="s">
        <v>249</v>
      </c>
      <c r="T36" s="46" t="s">
        <v>251</v>
      </c>
      <c r="U36" s="46">
        <v>311202002</v>
      </c>
      <c r="V36" s="48" t="s">
        <v>252</v>
      </c>
      <c r="W36" s="48"/>
      <c r="X36" s="48"/>
      <c r="Y36" s="48" t="s">
        <v>40</v>
      </c>
      <c r="Z36" s="30" t="s">
        <v>43</v>
      </c>
      <c r="AA36" s="55"/>
      <c r="AB36" s="51" t="s">
        <v>43</v>
      </c>
      <c r="AC36" s="57" t="s">
        <v>43</v>
      </c>
      <c r="AD36" s="57" t="s">
        <v>43</v>
      </c>
      <c r="AE36" s="57" t="s">
        <v>43</v>
      </c>
      <c r="AF36" s="58">
        <f t="shared" si="0"/>
        <v>0</v>
      </c>
      <c r="AG36" s="58" t="str">
        <f t="shared" si="1"/>
        <v>颅内压监测费（无创）</v>
      </c>
      <c r="AH36" s="58">
        <f t="shared" si="2"/>
        <v>3</v>
      </c>
      <c r="AI36" s="58">
        <f t="shared" si="3"/>
        <v>2.9</v>
      </c>
      <c r="AJ36" s="58">
        <f t="shared" si="4"/>
        <v>2.7</v>
      </c>
    </row>
    <row r="37" s="17" customFormat="1" ht="48" customHeight="1" spans="1:36">
      <c r="A37" s="27">
        <v>14</v>
      </c>
      <c r="B37" s="28" t="s">
        <v>254</v>
      </c>
      <c r="C37" s="28" t="s">
        <v>255</v>
      </c>
      <c r="D37" s="28" t="s">
        <v>37</v>
      </c>
      <c r="E37" s="28" t="s">
        <v>256</v>
      </c>
      <c r="F37" s="28" t="s">
        <v>257</v>
      </c>
      <c r="G37" s="28" t="s">
        <v>40</v>
      </c>
      <c r="H37" s="28" t="s">
        <v>258</v>
      </c>
      <c r="I37" s="34">
        <v>2250</v>
      </c>
      <c r="J37" s="34">
        <v>2025</v>
      </c>
      <c r="K37" s="35">
        <v>2090.625</v>
      </c>
      <c r="L37" s="35">
        <v>1884.375</v>
      </c>
      <c r="M37" s="35">
        <v>1509.375</v>
      </c>
      <c r="N37" s="40">
        <v>2090</v>
      </c>
      <c r="O37" s="40">
        <v>1885</v>
      </c>
      <c r="P37" s="40">
        <v>1510</v>
      </c>
      <c r="Q37" s="28" t="s">
        <v>42</v>
      </c>
      <c r="R37" s="38" t="s">
        <v>44</v>
      </c>
      <c r="S37" s="28" t="s">
        <v>1611</v>
      </c>
      <c r="T37" s="30" t="s">
        <v>260</v>
      </c>
      <c r="U37" s="30">
        <v>320600001</v>
      </c>
      <c r="V37" s="30" t="s">
        <v>261</v>
      </c>
      <c r="W37" s="30" t="s">
        <v>262</v>
      </c>
      <c r="X37" s="30"/>
      <c r="Y37" s="30" t="s">
        <v>40</v>
      </c>
      <c r="Z37" s="30" t="s">
        <v>43</v>
      </c>
      <c r="AA37" s="51">
        <v>3600</v>
      </c>
      <c r="AB37" s="51">
        <v>3240</v>
      </c>
      <c r="AC37" s="57">
        <v>3345</v>
      </c>
      <c r="AD37" s="57">
        <v>3015</v>
      </c>
      <c r="AE37" s="57">
        <v>2415</v>
      </c>
      <c r="AF37" s="58">
        <f t="shared" si="0"/>
        <v>0</v>
      </c>
      <c r="AG37" s="58" t="str">
        <f t="shared" si="1"/>
        <v>脑血管造影费</v>
      </c>
      <c r="AH37" s="58">
        <f t="shared" si="2"/>
        <v>2090</v>
      </c>
      <c r="AI37" s="58">
        <f t="shared" si="3"/>
        <v>1885</v>
      </c>
      <c r="AJ37" s="58">
        <f t="shared" si="4"/>
        <v>1510</v>
      </c>
    </row>
    <row r="38" s="17" customFormat="1" ht="48" customHeight="1" spans="1:36">
      <c r="A38" s="27">
        <v>14</v>
      </c>
      <c r="B38" s="28" t="s">
        <v>254</v>
      </c>
      <c r="C38" s="28" t="s">
        <v>255</v>
      </c>
      <c r="D38" s="28" t="s">
        <v>37</v>
      </c>
      <c r="E38" s="28" t="s">
        <v>256</v>
      </c>
      <c r="F38" s="28" t="s">
        <v>257</v>
      </c>
      <c r="G38" s="28" t="s">
        <v>40</v>
      </c>
      <c r="H38" s="28" t="s">
        <v>258</v>
      </c>
      <c r="I38" s="34">
        <v>2250</v>
      </c>
      <c r="J38" s="34">
        <v>2025</v>
      </c>
      <c r="K38" s="35">
        <v>2090.625</v>
      </c>
      <c r="L38" s="35">
        <v>1884.375</v>
      </c>
      <c r="M38" s="35">
        <v>1509.375</v>
      </c>
      <c r="N38" s="40">
        <v>2090</v>
      </c>
      <c r="O38" s="40">
        <v>1885</v>
      </c>
      <c r="P38" s="40">
        <v>1510</v>
      </c>
      <c r="Q38" s="28" t="s">
        <v>42</v>
      </c>
      <c r="R38" s="38" t="s">
        <v>44</v>
      </c>
      <c r="S38" s="28" t="s">
        <v>1611</v>
      </c>
      <c r="T38" s="30" t="s">
        <v>263</v>
      </c>
      <c r="U38" s="30">
        <v>32060000101</v>
      </c>
      <c r="V38" s="30" t="s">
        <v>264</v>
      </c>
      <c r="W38" s="30"/>
      <c r="X38" s="30"/>
      <c r="Y38" s="30" t="s">
        <v>40</v>
      </c>
      <c r="Z38" s="30"/>
      <c r="AA38" s="51">
        <v>4680</v>
      </c>
      <c r="AB38" s="51">
        <v>4210</v>
      </c>
      <c r="AC38" s="57">
        <v>4350</v>
      </c>
      <c r="AD38" s="57">
        <v>3920</v>
      </c>
      <c r="AE38" s="57">
        <v>3140</v>
      </c>
      <c r="AF38" s="58">
        <f t="shared" si="0"/>
        <v>0</v>
      </c>
      <c r="AG38" s="58" t="str">
        <f t="shared" si="1"/>
        <v>脑血管造影费</v>
      </c>
      <c r="AH38" s="58">
        <f t="shared" si="2"/>
        <v>2090</v>
      </c>
      <c r="AI38" s="58">
        <f t="shared" si="3"/>
        <v>1885</v>
      </c>
      <c r="AJ38" s="58">
        <f t="shared" si="4"/>
        <v>1510</v>
      </c>
    </row>
    <row r="39" s="17" customFormat="1" ht="51" customHeight="1" spans="1:36">
      <c r="A39" s="27">
        <v>15</v>
      </c>
      <c r="B39" s="28" t="s">
        <v>265</v>
      </c>
      <c r="C39" s="28" t="s">
        <v>266</v>
      </c>
      <c r="D39" s="28" t="s">
        <v>37</v>
      </c>
      <c r="E39" s="28" t="s">
        <v>267</v>
      </c>
      <c r="F39" s="28" t="s">
        <v>268</v>
      </c>
      <c r="G39" s="28" t="s">
        <v>40</v>
      </c>
      <c r="H39" s="28" t="s">
        <v>269</v>
      </c>
      <c r="I39" s="34">
        <v>2000</v>
      </c>
      <c r="J39" s="34">
        <v>1800</v>
      </c>
      <c r="K39" s="35">
        <v>1944</v>
      </c>
      <c r="L39" s="35">
        <v>1760</v>
      </c>
      <c r="M39" s="35">
        <v>1496</v>
      </c>
      <c r="N39" s="40">
        <v>1950</v>
      </c>
      <c r="O39" s="40">
        <v>1760</v>
      </c>
      <c r="P39" s="40">
        <v>1500</v>
      </c>
      <c r="Q39" s="28" t="s">
        <v>42</v>
      </c>
      <c r="R39" s="38" t="s">
        <v>44</v>
      </c>
      <c r="S39" s="28" t="s">
        <v>270</v>
      </c>
      <c r="T39" s="30" t="s">
        <v>271</v>
      </c>
      <c r="U39" s="30">
        <v>320600010</v>
      </c>
      <c r="V39" s="30" t="s">
        <v>272</v>
      </c>
      <c r="W39" s="30"/>
      <c r="X39" s="30"/>
      <c r="Y39" s="30" t="s">
        <v>40</v>
      </c>
      <c r="Z39" s="30" t="s">
        <v>43</v>
      </c>
      <c r="AA39" s="51">
        <v>2700</v>
      </c>
      <c r="AB39" s="51">
        <v>2430</v>
      </c>
      <c r="AC39" s="57">
        <v>2430</v>
      </c>
      <c r="AD39" s="57">
        <v>2200</v>
      </c>
      <c r="AE39" s="57">
        <v>1870</v>
      </c>
      <c r="AF39" s="58">
        <f t="shared" si="0"/>
        <v>0</v>
      </c>
      <c r="AG39" s="58" t="str">
        <f t="shared" si="1"/>
        <v>脊髓血管造影费</v>
      </c>
      <c r="AH39" s="58">
        <f t="shared" si="2"/>
        <v>1950</v>
      </c>
      <c r="AI39" s="58">
        <f t="shared" si="3"/>
        <v>1760</v>
      </c>
      <c r="AJ39" s="58">
        <f t="shared" si="4"/>
        <v>1500</v>
      </c>
    </row>
    <row r="40" s="17" customFormat="1" ht="51" customHeight="1" spans="1:36">
      <c r="A40" s="27">
        <v>15</v>
      </c>
      <c r="B40" s="28" t="s">
        <v>265</v>
      </c>
      <c r="C40" s="28" t="s">
        <v>266</v>
      </c>
      <c r="D40" s="28" t="s">
        <v>37</v>
      </c>
      <c r="E40" s="28" t="s">
        <v>267</v>
      </c>
      <c r="F40" s="28" t="s">
        <v>268</v>
      </c>
      <c r="G40" s="28" t="s">
        <v>40</v>
      </c>
      <c r="H40" s="28" t="s">
        <v>269</v>
      </c>
      <c r="I40" s="34">
        <v>2000</v>
      </c>
      <c r="J40" s="34">
        <v>1800</v>
      </c>
      <c r="K40" s="35">
        <v>1944</v>
      </c>
      <c r="L40" s="35">
        <v>1760</v>
      </c>
      <c r="M40" s="35">
        <v>1496</v>
      </c>
      <c r="N40" s="40">
        <v>1950</v>
      </c>
      <c r="O40" s="40">
        <v>1760</v>
      </c>
      <c r="P40" s="40">
        <v>1500</v>
      </c>
      <c r="Q40" s="28" t="s">
        <v>42</v>
      </c>
      <c r="R40" s="38" t="s">
        <v>44</v>
      </c>
      <c r="S40" s="28" t="s">
        <v>270</v>
      </c>
      <c r="T40" s="46" t="s">
        <v>273</v>
      </c>
      <c r="U40" s="46">
        <v>32060001001</v>
      </c>
      <c r="V40" s="48" t="s">
        <v>274</v>
      </c>
      <c r="W40" s="46"/>
      <c r="X40" s="46"/>
      <c r="Y40" s="46" t="s">
        <v>40</v>
      </c>
      <c r="Z40" s="30" t="s">
        <v>43</v>
      </c>
      <c r="AA40" s="52">
        <v>3510</v>
      </c>
      <c r="AB40" s="51">
        <v>3160</v>
      </c>
      <c r="AC40" s="57">
        <v>3160</v>
      </c>
      <c r="AD40" s="57">
        <v>2860</v>
      </c>
      <c r="AE40" s="57">
        <v>2430</v>
      </c>
      <c r="AF40" s="58">
        <f t="shared" si="0"/>
        <v>0</v>
      </c>
      <c r="AG40" s="58" t="str">
        <f t="shared" si="1"/>
        <v>脊髓血管造影费</v>
      </c>
      <c r="AH40" s="58">
        <f t="shared" si="2"/>
        <v>1950</v>
      </c>
      <c r="AI40" s="58">
        <f t="shared" si="3"/>
        <v>1760</v>
      </c>
      <c r="AJ40" s="58">
        <f t="shared" si="4"/>
        <v>1500</v>
      </c>
    </row>
    <row r="41" s="17" customFormat="1" ht="23" customHeight="1" spans="1:36">
      <c r="A41" s="27">
        <v>16</v>
      </c>
      <c r="B41" s="88" t="s">
        <v>275</v>
      </c>
      <c r="C41" s="28" t="s">
        <v>276</v>
      </c>
      <c r="D41" s="28" t="s">
        <v>37</v>
      </c>
      <c r="E41" s="28" t="s">
        <v>277</v>
      </c>
      <c r="F41" s="28" t="s">
        <v>278</v>
      </c>
      <c r="G41" s="28" t="s">
        <v>68</v>
      </c>
      <c r="H41" s="28" t="s">
        <v>279</v>
      </c>
      <c r="I41" s="34">
        <v>50</v>
      </c>
      <c r="J41" s="34">
        <v>45</v>
      </c>
      <c r="K41" s="35">
        <v>43.7106647537064</v>
      </c>
      <c r="L41" s="35">
        <v>64.2290748898678</v>
      </c>
      <c r="M41" s="35" t="e">
        <v>#DIV/0!</v>
      </c>
      <c r="N41" s="40">
        <v>48</v>
      </c>
      <c r="O41" s="40">
        <v>45</v>
      </c>
      <c r="P41" s="40">
        <v>40</v>
      </c>
      <c r="Q41" s="28" t="s">
        <v>42</v>
      </c>
      <c r="R41" s="38" t="s">
        <v>280</v>
      </c>
      <c r="S41" s="28" t="s">
        <v>281</v>
      </c>
      <c r="T41" s="30" t="s">
        <v>282</v>
      </c>
      <c r="U41" s="30">
        <v>310100013</v>
      </c>
      <c r="V41" s="30" t="s">
        <v>283</v>
      </c>
      <c r="W41" s="30"/>
      <c r="X41" s="30"/>
      <c r="Y41" s="30" t="s">
        <v>68</v>
      </c>
      <c r="Z41" s="30" t="s">
        <v>43</v>
      </c>
      <c r="AA41" s="51">
        <v>50</v>
      </c>
      <c r="AB41" s="51">
        <v>45</v>
      </c>
      <c r="AC41" s="57">
        <v>55</v>
      </c>
      <c r="AD41" s="57">
        <v>50</v>
      </c>
      <c r="AE41" s="57">
        <v>42.5</v>
      </c>
      <c r="AF41" s="58">
        <f t="shared" si="0"/>
        <v>0</v>
      </c>
      <c r="AG41" s="58" t="str">
        <f t="shared" si="1"/>
        <v>神经电生理定位监测费</v>
      </c>
      <c r="AH41" s="58">
        <f t="shared" si="2"/>
        <v>48</v>
      </c>
      <c r="AI41" s="58">
        <f t="shared" si="3"/>
        <v>45</v>
      </c>
      <c r="AJ41" s="58">
        <f t="shared" si="4"/>
        <v>40</v>
      </c>
    </row>
    <row r="42" s="17" customFormat="1" ht="23" customHeight="1" spans="1:36">
      <c r="A42" s="27">
        <v>16</v>
      </c>
      <c r="B42" s="88" t="s">
        <v>275</v>
      </c>
      <c r="C42" s="28" t="s">
        <v>276</v>
      </c>
      <c r="D42" s="28" t="s">
        <v>37</v>
      </c>
      <c r="E42" s="28" t="s">
        <v>277</v>
      </c>
      <c r="F42" s="28" t="s">
        <v>278</v>
      </c>
      <c r="G42" s="28" t="s">
        <v>68</v>
      </c>
      <c r="H42" s="28" t="s">
        <v>279</v>
      </c>
      <c r="I42" s="34">
        <v>50</v>
      </c>
      <c r="J42" s="34">
        <v>45</v>
      </c>
      <c r="K42" s="35">
        <v>43.7106647537064</v>
      </c>
      <c r="L42" s="35">
        <v>64.2290748898678</v>
      </c>
      <c r="M42" s="35" t="e">
        <v>#DIV/0!</v>
      </c>
      <c r="N42" s="40">
        <v>48</v>
      </c>
      <c r="O42" s="40">
        <v>45</v>
      </c>
      <c r="P42" s="40">
        <v>40</v>
      </c>
      <c r="Q42" s="28" t="s">
        <v>42</v>
      </c>
      <c r="R42" s="38" t="s">
        <v>280</v>
      </c>
      <c r="S42" s="28" t="s">
        <v>281</v>
      </c>
      <c r="T42" s="46" t="s">
        <v>284</v>
      </c>
      <c r="U42" s="46">
        <v>31010000102</v>
      </c>
      <c r="V42" s="48" t="s">
        <v>285</v>
      </c>
      <c r="W42" s="46"/>
      <c r="X42" s="46"/>
      <c r="Y42" s="46" t="s">
        <v>68</v>
      </c>
      <c r="Z42" s="30" t="s">
        <v>286</v>
      </c>
      <c r="AA42" s="52">
        <v>25</v>
      </c>
      <c r="AB42" s="51">
        <v>23</v>
      </c>
      <c r="AC42" s="57">
        <v>22</v>
      </c>
      <c r="AD42" s="57">
        <v>20</v>
      </c>
      <c r="AE42" s="57">
        <v>17</v>
      </c>
      <c r="AF42" s="58">
        <f t="shared" si="0"/>
        <v>0</v>
      </c>
      <c r="AG42" s="58" t="str">
        <f t="shared" si="1"/>
        <v>神经电生理定位监测费</v>
      </c>
      <c r="AH42" s="58">
        <f t="shared" si="2"/>
        <v>48</v>
      </c>
      <c r="AI42" s="58">
        <f t="shared" si="3"/>
        <v>45</v>
      </c>
      <c r="AJ42" s="58">
        <f t="shared" si="4"/>
        <v>40</v>
      </c>
    </row>
    <row r="43" s="17" customFormat="1" ht="23" customHeight="1" spans="1:36">
      <c r="A43" s="27">
        <v>16</v>
      </c>
      <c r="B43" s="88" t="s">
        <v>275</v>
      </c>
      <c r="C43" s="28" t="s">
        <v>276</v>
      </c>
      <c r="D43" s="28" t="s">
        <v>37</v>
      </c>
      <c r="E43" s="28" t="s">
        <v>277</v>
      </c>
      <c r="F43" s="28" t="s">
        <v>278</v>
      </c>
      <c r="G43" s="28" t="s">
        <v>68</v>
      </c>
      <c r="H43" s="28" t="s">
        <v>279</v>
      </c>
      <c r="I43" s="34">
        <v>50</v>
      </c>
      <c r="J43" s="34">
        <v>45</v>
      </c>
      <c r="K43" s="35">
        <v>43.7106647537064</v>
      </c>
      <c r="L43" s="35">
        <v>64.2290748898678</v>
      </c>
      <c r="M43" s="35" t="e">
        <v>#DIV/0!</v>
      </c>
      <c r="N43" s="40">
        <v>48</v>
      </c>
      <c r="O43" s="40">
        <v>45</v>
      </c>
      <c r="P43" s="40">
        <v>40</v>
      </c>
      <c r="Q43" s="28" t="s">
        <v>42</v>
      </c>
      <c r="R43" s="38" t="s">
        <v>280</v>
      </c>
      <c r="S43" s="28" t="s">
        <v>281</v>
      </c>
      <c r="T43" s="30" t="s">
        <v>287</v>
      </c>
      <c r="U43" s="30">
        <v>31010000902</v>
      </c>
      <c r="V43" s="30" t="s">
        <v>288</v>
      </c>
      <c r="W43" s="30"/>
      <c r="X43" s="30"/>
      <c r="Y43" s="30" t="s">
        <v>68</v>
      </c>
      <c r="Z43" s="30" t="s">
        <v>286</v>
      </c>
      <c r="AA43" s="51">
        <v>22</v>
      </c>
      <c r="AB43" s="51">
        <v>20</v>
      </c>
      <c r="AC43" s="57">
        <v>22</v>
      </c>
      <c r="AD43" s="57">
        <v>20</v>
      </c>
      <c r="AE43" s="57">
        <v>17</v>
      </c>
      <c r="AF43" s="58">
        <f t="shared" si="0"/>
        <v>0</v>
      </c>
      <c r="AG43" s="58" t="str">
        <f t="shared" si="1"/>
        <v>神经电生理定位监测费</v>
      </c>
      <c r="AH43" s="58">
        <f t="shared" si="2"/>
        <v>48</v>
      </c>
      <c r="AI43" s="58">
        <f t="shared" si="3"/>
        <v>45</v>
      </c>
      <c r="AJ43" s="58">
        <f t="shared" si="4"/>
        <v>40</v>
      </c>
    </row>
    <row r="44" s="17" customFormat="1" ht="23" customHeight="1" spans="1:36">
      <c r="A44" s="27">
        <v>16</v>
      </c>
      <c r="B44" s="88" t="s">
        <v>275</v>
      </c>
      <c r="C44" s="28" t="s">
        <v>276</v>
      </c>
      <c r="D44" s="28" t="s">
        <v>37</v>
      </c>
      <c r="E44" s="28" t="s">
        <v>277</v>
      </c>
      <c r="F44" s="28" t="s">
        <v>278</v>
      </c>
      <c r="G44" s="28" t="s">
        <v>68</v>
      </c>
      <c r="H44" s="28" t="s">
        <v>279</v>
      </c>
      <c r="I44" s="34">
        <v>50</v>
      </c>
      <c r="J44" s="34">
        <v>45</v>
      </c>
      <c r="K44" s="35">
        <v>43.7106647537064</v>
      </c>
      <c r="L44" s="35">
        <v>64.2290748898678</v>
      </c>
      <c r="M44" s="35" t="e">
        <v>#DIV/0!</v>
      </c>
      <c r="N44" s="40">
        <v>48</v>
      </c>
      <c r="O44" s="40">
        <v>45</v>
      </c>
      <c r="P44" s="40">
        <v>40</v>
      </c>
      <c r="Q44" s="28" t="s">
        <v>42</v>
      </c>
      <c r="R44" s="38" t="s">
        <v>280</v>
      </c>
      <c r="S44" s="28" t="s">
        <v>281</v>
      </c>
      <c r="T44" s="46" t="s">
        <v>289</v>
      </c>
      <c r="U44" s="46">
        <v>330202023</v>
      </c>
      <c r="V44" s="48" t="s">
        <v>290</v>
      </c>
      <c r="W44" s="46" t="s">
        <v>291</v>
      </c>
      <c r="X44" s="46"/>
      <c r="Y44" s="46" t="s">
        <v>292</v>
      </c>
      <c r="Z44" s="30" t="s">
        <v>43</v>
      </c>
      <c r="AA44" s="52">
        <v>100</v>
      </c>
      <c r="AB44" s="51">
        <v>90</v>
      </c>
      <c r="AC44" s="57">
        <v>100</v>
      </c>
      <c r="AD44" s="57">
        <v>100</v>
      </c>
      <c r="AE44" s="57">
        <v>85</v>
      </c>
      <c r="AF44" s="58">
        <f t="shared" si="0"/>
        <v>0</v>
      </c>
      <c r="AG44" s="58" t="str">
        <f t="shared" si="1"/>
        <v>神经电生理定位监测费</v>
      </c>
      <c r="AH44" s="58">
        <f t="shared" si="2"/>
        <v>48</v>
      </c>
      <c r="AI44" s="58">
        <f t="shared" si="3"/>
        <v>45</v>
      </c>
      <c r="AJ44" s="58">
        <f t="shared" si="4"/>
        <v>40</v>
      </c>
    </row>
    <row r="45" s="17" customFormat="1" ht="37" customHeight="1" spans="1:36">
      <c r="A45" s="30" t="s">
        <v>225</v>
      </c>
      <c r="B45" s="87" t="s">
        <v>275</v>
      </c>
      <c r="C45" s="30" t="s">
        <v>293</v>
      </c>
      <c r="D45" s="30"/>
      <c r="E45" s="31" t="s">
        <v>43</v>
      </c>
      <c r="F45" s="31" t="s">
        <v>43</v>
      </c>
      <c r="G45" s="30" t="s">
        <v>68</v>
      </c>
      <c r="H45" s="31"/>
      <c r="I45" s="37">
        <v>5</v>
      </c>
      <c r="J45" s="37">
        <v>5</v>
      </c>
      <c r="K45" s="36">
        <v>5.5</v>
      </c>
      <c r="L45" s="36">
        <v>5</v>
      </c>
      <c r="M45" s="36">
        <v>4.3</v>
      </c>
      <c r="N45" s="41">
        <v>5</v>
      </c>
      <c r="O45" s="41">
        <v>4.8</v>
      </c>
      <c r="P45" s="41">
        <v>4.5</v>
      </c>
      <c r="Q45" s="30" t="s">
        <v>42</v>
      </c>
      <c r="R45" s="36"/>
      <c r="S45" s="31" t="s">
        <v>249</v>
      </c>
      <c r="T45" s="30" t="s">
        <v>294</v>
      </c>
      <c r="U45" s="30">
        <v>310100025</v>
      </c>
      <c r="V45" s="30" t="s">
        <v>295</v>
      </c>
      <c r="W45" s="30"/>
      <c r="X45" s="30"/>
      <c r="Y45" s="30" t="s">
        <v>68</v>
      </c>
      <c r="Z45" s="30" t="s">
        <v>43</v>
      </c>
      <c r="AA45" s="51">
        <v>5</v>
      </c>
      <c r="AB45" s="51">
        <v>5</v>
      </c>
      <c r="AC45" s="57">
        <v>5.5</v>
      </c>
      <c r="AD45" s="57">
        <v>5</v>
      </c>
      <c r="AE45" s="57">
        <v>4.3</v>
      </c>
      <c r="AF45" s="58">
        <f t="shared" si="0"/>
        <v>0</v>
      </c>
      <c r="AG45" s="58" t="str">
        <f t="shared" si="1"/>
        <v>神经电生理定位监测费（肌电图监测）</v>
      </c>
      <c r="AH45" s="58">
        <f t="shared" si="2"/>
        <v>5</v>
      </c>
      <c r="AI45" s="58">
        <f t="shared" si="3"/>
        <v>4.8</v>
      </c>
      <c r="AJ45" s="58">
        <f t="shared" si="4"/>
        <v>4.5</v>
      </c>
    </row>
    <row r="46" s="18" customFormat="1" ht="30" customHeight="1" spans="1:36">
      <c r="A46" s="28">
        <v>18</v>
      </c>
      <c r="B46" s="28" t="s">
        <v>302</v>
      </c>
      <c r="C46" s="28" t="s">
        <v>303</v>
      </c>
      <c r="D46" s="28" t="s">
        <v>298</v>
      </c>
      <c r="E46" s="28" t="s">
        <v>304</v>
      </c>
      <c r="F46" s="28" t="s">
        <v>305</v>
      </c>
      <c r="G46" s="28" t="s">
        <v>40</v>
      </c>
      <c r="H46" s="28" t="s">
        <v>146</v>
      </c>
      <c r="I46" s="34">
        <v>100</v>
      </c>
      <c r="J46" s="34">
        <v>90</v>
      </c>
      <c r="K46" s="38">
        <v>90</v>
      </c>
      <c r="L46" s="38">
        <v>81</v>
      </c>
      <c r="M46" s="38">
        <v>68.9</v>
      </c>
      <c r="N46" s="40">
        <v>90</v>
      </c>
      <c r="O46" s="40">
        <v>81</v>
      </c>
      <c r="P46" s="40">
        <v>69</v>
      </c>
      <c r="Q46" s="28" t="s">
        <v>42</v>
      </c>
      <c r="R46" s="38" t="s">
        <v>153</v>
      </c>
      <c r="S46" s="28" t="s">
        <v>306</v>
      </c>
      <c r="T46" s="46" t="s">
        <v>307</v>
      </c>
      <c r="U46" s="46">
        <v>310100031</v>
      </c>
      <c r="V46" s="48" t="s">
        <v>308</v>
      </c>
      <c r="W46" s="46"/>
      <c r="X46" s="46"/>
      <c r="Y46" s="46" t="s">
        <v>40</v>
      </c>
      <c r="Z46" s="30" t="s">
        <v>43</v>
      </c>
      <c r="AA46" s="52"/>
      <c r="AB46" s="51" t="s">
        <v>43</v>
      </c>
      <c r="AC46" s="57" t="s">
        <v>43</v>
      </c>
      <c r="AD46" s="57" t="s">
        <v>43</v>
      </c>
      <c r="AE46" s="57" t="s">
        <v>43</v>
      </c>
      <c r="AF46" s="58">
        <f t="shared" si="0"/>
        <v>0</v>
      </c>
      <c r="AG46" s="58" t="str">
        <f t="shared" si="1"/>
        <v>无创神经刺激治疗费</v>
      </c>
      <c r="AH46" s="58">
        <f t="shared" si="2"/>
        <v>90</v>
      </c>
      <c r="AI46" s="58">
        <f t="shared" si="3"/>
        <v>81</v>
      </c>
      <c r="AJ46" s="58">
        <f t="shared" si="4"/>
        <v>69</v>
      </c>
    </row>
    <row r="47" s="18" customFormat="1" ht="30" customHeight="1" spans="1:36">
      <c r="A47" s="28">
        <v>18</v>
      </c>
      <c r="B47" s="28" t="s">
        <v>302</v>
      </c>
      <c r="C47" s="28" t="s">
        <v>303</v>
      </c>
      <c r="D47" s="28" t="s">
        <v>298</v>
      </c>
      <c r="E47" s="28" t="s">
        <v>304</v>
      </c>
      <c r="F47" s="28" t="s">
        <v>305</v>
      </c>
      <c r="G47" s="28" t="s">
        <v>40</v>
      </c>
      <c r="H47" s="28" t="s">
        <v>146</v>
      </c>
      <c r="I47" s="34">
        <v>100</v>
      </c>
      <c r="J47" s="34">
        <v>90</v>
      </c>
      <c r="K47" s="38">
        <v>90</v>
      </c>
      <c r="L47" s="38">
        <v>81</v>
      </c>
      <c r="M47" s="38">
        <v>68.9</v>
      </c>
      <c r="N47" s="40">
        <v>90</v>
      </c>
      <c r="O47" s="40">
        <v>81</v>
      </c>
      <c r="P47" s="40">
        <v>69</v>
      </c>
      <c r="Q47" s="28" t="s">
        <v>42</v>
      </c>
      <c r="R47" s="38" t="s">
        <v>153</v>
      </c>
      <c r="S47" s="28" t="s">
        <v>306</v>
      </c>
      <c r="T47" s="46" t="s">
        <v>309</v>
      </c>
      <c r="U47" s="46">
        <v>340100030</v>
      </c>
      <c r="V47" s="48" t="s">
        <v>310</v>
      </c>
      <c r="W47" s="50" t="s">
        <v>311</v>
      </c>
      <c r="X47" s="46"/>
      <c r="Y47" s="46" t="s">
        <v>40</v>
      </c>
      <c r="Z47" s="30" t="s">
        <v>43</v>
      </c>
      <c r="AA47" s="56">
        <v>105</v>
      </c>
      <c r="AB47" s="51">
        <v>95</v>
      </c>
      <c r="AC47" s="57">
        <v>90</v>
      </c>
      <c r="AD47" s="57">
        <v>81</v>
      </c>
      <c r="AE47" s="57">
        <v>68.9</v>
      </c>
      <c r="AF47" s="58">
        <f t="shared" si="0"/>
        <v>0</v>
      </c>
      <c r="AG47" s="58" t="str">
        <f t="shared" si="1"/>
        <v>无创神经刺激治疗费</v>
      </c>
      <c r="AH47" s="58">
        <f t="shared" si="2"/>
        <v>90</v>
      </c>
      <c r="AI47" s="58">
        <f t="shared" si="3"/>
        <v>81</v>
      </c>
      <c r="AJ47" s="58">
        <f t="shared" si="4"/>
        <v>69</v>
      </c>
    </row>
    <row r="48" s="17" customFormat="1" ht="63" customHeight="1" spans="1:36">
      <c r="A48" s="29">
        <v>20</v>
      </c>
      <c r="B48" s="30" t="s">
        <v>316</v>
      </c>
      <c r="C48" s="30" t="s">
        <v>317</v>
      </c>
      <c r="D48" s="30" t="s">
        <v>298</v>
      </c>
      <c r="E48" s="31" t="s">
        <v>318</v>
      </c>
      <c r="F48" s="31" t="s">
        <v>319</v>
      </c>
      <c r="G48" s="30" t="s">
        <v>40</v>
      </c>
      <c r="H48" s="31" t="s">
        <v>320</v>
      </c>
      <c r="I48" s="37">
        <v>150</v>
      </c>
      <c r="J48" s="37">
        <v>135</v>
      </c>
      <c r="K48" s="36"/>
      <c r="L48" s="36"/>
      <c r="M48" s="36"/>
      <c r="N48" s="41">
        <v>135</v>
      </c>
      <c r="O48" s="41">
        <v>122</v>
      </c>
      <c r="P48" s="41">
        <v>105</v>
      </c>
      <c r="Q48" s="30" t="s">
        <v>100</v>
      </c>
      <c r="R48" s="36" t="s">
        <v>101</v>
      </c>
      <c r="S48" s="31" t="s">
        <v>321</v>
      </c>
      <c r="T48" s="30" t="s">
        <v>322</v>
      </c>
      <c r="U48" s="30" t="s">
        <v>323</v>
      </c>
      <c r="V48" s="30" t="s">
        <v>324</v>
      </c>
      <c r="W48" s="30" t="s">
        <v>325</v>
      </c>
      <c r="X48" s="30"/>
      <c r="Y48" s="30" t="s">
        <v>40</v>
      </c>
      <c r="Z48" s="30" t="s">
        <v>43</v>
      </c>
      <c r="AA48" s="51"/>
      <c r="AB48" s="51"/>
      <c r="AC48" s="57" t="s">
        <v>326</v>
      </c>
      <c r="AD48" s="57" t="s">
        <v>326</v>
      </c>
      <c r="AE48" s="57" t="s">
        <v>326</v>
      </c>
      <c r="AF48" s="58">
        <f t="shared" si="0"/>
        <v>0</v>
      </c>
      <c r="AG48" s="58" t="str">
        <f t="shared" si="1"/>
        <v>神经刺激器适配费</v>
      </c>
      <c r="AH48" s="58">
        <f t="shared" si="2"/>
        <v>135</v>
      </c>
      <c r="AI48" s="58">
        <f t="shared" si="3"/>
        <v>122</v>
      </c>
      <c r="AJ48" s="58">
        <f t="shared" si="4"/>
        <v>105</v>
      </c>
    </row>
    <row r="49" s="17" customFormat="1" ht="27" customHeight="1" spans="1:36">
      <c r="A49" s="27">
        <v>21</v>
      </c>
      <c r="B49" s="28" t="s">
        <v>327</v>
      </c>
      <c r="C49" s="28" t="s">
        <v>328</v>
      </c>
      <c r="D49" s="28" t="s">
        <v>298</v>
      </c>
      <c r="E49" s="28" t="s">
        <v>329</v>
      </c>
      <c r="F49" s="28" t="s">
        <v>330</v>
      </c>
      <c r="G49" s="28" t="s">
        <v>40</v>
      </c>
      <c r="H49" s="28" t="s">
        <v>146</v>
      </c>
      <c r="I49" s="34">
        <v>62</v>
      </c>
      <c r="J49" s="34">
        <v>56</v>
      </c>
      <c r="K49" s="35">
        <v>59.8021859106157</v>
      </c>
      <c r="L49" s="35">
        <v>53.7701926326462</v>
      </c>
      <c r="M49" s="35">
        <v>46.8049751243781</v>
      </c>
      <c r="N49" s="40">
        <v>60</v>
      </c>
      <c r="O49" s="40">
        <v>54</v>
      </c>
      <c r="P49" s="40">
        <v>47</v>
      </c>
      <c r="Q49" s="28" t="s">
        <v>42</v>
      </c>
      <c r="R49" s="38" t="s">
        <v>44</v>
      </c>
      <c r="S49" s="28" t="s">
        <v>207</v>
      </c>
      <c r="T49" s="30" t="s">
        <v>331</v>
      </c>
      <c r="U49" s="30">
        <v>310100027</v>
      </c>
      <c r="V49" s="30" t="s">
        <v>332</v>
      </c>
      <c r="W49" s="30"/>
      <c r="X49" s="30"/>
      <c r="Y49" s="30" t="s">
        <v>40</v>
      </c>
      <c r="Z49" s="30" t="s">
        <v>43</v>
      </c>
      <c r="AA49" s="51">
        <v>40</v>
      </c>
      <c r="AB49" s="51">
        <v>36</v>
      </c>
      <c r="AC49" s="57">
        <v>38</v>
      </c>
      <c r="AD49" s="57">
        <v>28</v>
      </c>
      <c r="AE49" s="57">
        <v>23.8</v>
      </c>
      <c r="AF49" s="58">
        <f t="shared" si="0"/>
        <v>0</v>
      </c>
      <c r="AG49" s="58" t="str">
        <f t="shared" si="1"/>
        <v>神经阻滞治疗费</v>
      </c>
      <c r="AH49" s="58">
        <f t="shared" si="2"/>
        <v>60</v>
      </c>
      <c r="AI49" s="58">
        <f t="shared" si="3"/>
        <v>54</v>
      </c>
      <c r="AJ49" s="58">
        <f t="shared" si="4"/>
        <v>47</v>
      </c>
    </row>
    <row r="50" s="17" customFormat="1" ht="27" customHeight="1" spans="1:36">
      <c r="A50" s="27">
        <v>21</v>
      </c>
      <c r="B50" s="28" t="s">
        <v>327</v>
      </c>
      <c r="C50" s="28" t="s">
        <v>328</v>
      </c>
      <c r="D50" s="28" t="s">
        <v>298</v>
      </c>
      <c r="E50" s="28" t="s">
        <v>329</v>
      </c>
      <c r="F50" s="28" t="s">
        <v>330</v>
      </c>
      <c r="G50" s="28" t="s">
        <v>40</v>
      </c>
      <c r="H50" s="28" t="s">
        <v>146</v>
      </c>
      <c r="I50" s="34">
        <v>62</v>
      </c>
      <c r="J50" s="34">
        <v>56</v>
      </c>
      <c r="K50" s="35">
        <v>59.8021859106157</v>
      </c>
      <c r="L50" s="35">
        <v>53.7701926326462</v>
      </c>
      <c r="M50" s="35">
        <v>46.8049751243781</v>
      </c>
      <c r="N50" s="40">
        <v>60</v>
      </c>
      <c r="O50" s="40">
        <v>54</v>
      </c>
      <c r="P50" s="40">
        <v>47</v>
      </c>
      <c r="Q50" s="28" t="s">
        <v>42</v>
      </c>
      <c r="R50" s="38" t="s">
        <v>44</v>
      </c>
      <c r="S50" s="28" t="s">
        <v>207</v>
      </c>
      <c r="T50" s="30" t="s">
        <v>333</v>
      </c>
      <c r="U50" s="30">
        <v>310100033</v>
      </c>
      <c r="V50" s="30" t="s">
        <v>334</v>
      </c>
      <c r="W50" s="30" t="s">
        <v>335</v>
      </c>
      <c r="X50" s="30"/>
      <c r="Y50" s="30" t="s">
        <v>40</v>
      </c>
      <c r="Z50" s="30" t="s">
        <v>336</v>
      </c>
      <c r="AA50" s="51">
        <v>390</v>
      </c>
      <c r="AB50" s="51">
        <v>350</v>
      </c>
      <c r="AC50" s="57">
        <v>330</v>
      </c>
      <c r="AD50" s="57">
        <v>300</v>
      </c>
      <c r="AE50" s="57">
        <v>255</v>
      </c>
      <c r="AF50" s="58">
        <f t="shared" si="0"/>
        <v>0</v>
      </c>
      <c r="AG50" s="58" t="str">
        <f t="shared" si="1"/>
        <v>神经阻滞治疗费</v>
      </c>
      <c r="AH50" s="58">
        <f t="shared" si="2"/>
        <v>60</v>
      </c>
      <c r="AI50" s="58">
        <f t="shared" si="3"/>
        <v>54</v>
      </c>
      <c r="AJ50" s="58">
        <f t="shared" si="4"/>
        <v>47</v>
      </c>
    </row>
    <row r="51" s="17" customFormat="1" ht="27" customHeight="1" spans="1:36">
      <c r="A51" s="27">
        <v>21</v>
      </c>
      <c r="B51" s="28" t="s">
        <v>327</v>
      </c>
      <c r="C51" s="28" t="s">
        <v>328</v>
      </c>
      <c r="D51" s="28" t="s">
        <v>298</v>
      </c>
      <c r="E51" s="28" t="s">
        <v>329</v>
      </c>
      <c r="F51" s="28" t="s">
        <v>330</v>
      </c>
      <c r="G51" s="28" t="s">
        <v>40</v>
      </c>
      <c r="H51" s="28" t="s">
        <v>146</v>
      </c>
      <c r="I51" s="34">
        <v>62</v>
      </c>
      <c r="J51" s="34">
        <v>56</v>
      </c>
      <c r="K51" s="35">
        <v>59.8021859106157</v>
      </c>
      <c r="L51" s="35">
        <v>53.7701926326462</v>
      </c>
      <c r="M51" s="35">
        <v>46.8049751243781</v>
      </c>
      <c r="N51" s="40">
        <v>60</v>
      </c>
      <c r="O51" s="40">
        <v>54</v>
      </c>
      <c r="P51" s="40">
        <v>47</v>
      </c>
      <c r="Q51" s="28" t="s">
        <v>42</v>
      </c>
      <c r="R51" s="38" t="s">
        <v>44</v>
      </c>
      <c r="S51" s="28" t="s">
        <v>207</v>
      </c>
      <c r="T51" s="30" t="s">
        <v>337</v>
      </c>
      <c r="U51" s="30">
        <v>310100034</v>
      </c>
      <c r="V51" s="30" t="s">
        <v>338</v>
      </c>
      <c r="W51" s="30" t="s">
        <v>339</v>
      </c>
      <c r="X51" s="30"/>
      <c r="Y51" s="30" t="s">
        <v>40</v>
      </c>
      <c r="Z51" s="30" t="s">
        <v>340</v>
      </c>
      <c r="AA51" s="51">
        <v>300</v>
      </c>
      <c r="AB51" s="51">
        <v>270</v>
      </c>
      <c r="AC51" s="57">
        <v>330</v>
      </c>
      <c r="AD51" s="57">
        <v>300</v>
      </c>
      <c r="AE51" s="57">
        <v>255</v>
      </c>
      <c r="AF51" s="58">
        <f t="shared" si="0"/>
        <v>0</v>
      </c>
      <c r="AG51" s="58" t="str">
        <f t="shared" si="1"/>
        <v>神经阻滞治疗费</v>
      </c>
      <c r="AH51" s="58">
        <f t="shared" si="2"/>
        <v>60</v>
      </c>
      <c r="AI51" s="58">
        <f t="shared" si="3"/>
        <v>54</v>
      </c>
      <c r="AJ51" s="58">
        <f t="shared" si="4"/>
        <v>47</v>
      </c>
    </row>
    <row r="52" s="17" customFormat="1" ht="27" customHeight="1" spans="1:36">
      <c r="A52" s="27">
        <v>21</v>
      </c>
      <c r="B52" s="28" t="s">
        <v>327</v>
      </c>
      <c r="C52" s="28" t="s">
        <v>328</v>
      </c>
      <c r="D52" s="28" t="s">
        <v>298</v>
      </c>
      <c r="E52" s="28" t="s">
        <v>329</v>
      </c>
      <c r="F52" s="28" t="s">
        <v>330</v>
      </c>
      <c r="G52" s="28" t="s">
        <v>40</v>
      </c>
      <c r="H52" s="28" t="s">
        <v>146</v>
      </c>
      <c r="I52" s="34">
        <v>62</v>
      </c>
      <c r="J52" s="34">
        <v>56</v>
      </c>
      <c r="K52" s="35">
        <v>59.8021859106157</v>
      </c>
      <c r="L52" s="35">
        <v>53.7701926326462</v>
      </c>
      <c r="M52" s="35">
        <v>46.8049751243781</v>
      </c>
      <c r="N52" s="40">
        <v>60</v>
      </c>
      <c r="O52" s="40">
        <v>54</v>
      </c>
      <c r="P52" s="40">
        <v>47</v>
      </c>
      <c r="Q52" s="28" t="s">
        <v>42</v>
      </c>
      <c r="R52" s="38" t="s">
        <v>44</v>
      </c>
      <c r="S52" s="28" t="s">
        <v>207</v>
      </c>
      <c r="T52" s="46" t="s">
        <v>341</v>
      </c>
      <c r="U52" s="46">
        <v>31010003401</v>
      </c>
      <c r="V52" s="48" t="s">
        <v>342</v>
      </c>
      <c r="W52" s="46"/>
      <c r="X52" s="46"/>
      <c r="Y52" s="46" t="s">
        <v>40</v>
      </c>
      <c r="Z52" s="30" t="s">
        <v>343</v>
      </c>
      <c r="AA52" s="52">
        <v>500</v>
      </c>
      <c r="AB52" s="51">
        <v>450</v>
      </c>
      <c r="AC52" s="57">
        <v>495</v>
      </c>
      <c r="AD52" s="57">
        <v>450</v>
      </c>
      <c r="AE52" s="57">
        <v>382.5</v>
      </c>
      <c r="AF52" s="58">
        <f t="shared" si="0"/>
        <v>0</v>
      </c>
      <c r="AG52" s="58" t="str">
        <f t="shared" si="1"/>
        <v>神经阻滞治疗费</v>
      </c>
      <c r="AH52" s="58">
        <f t="shared" si="2"/>
        <v>60</v>
      </c>
      <c r="AI52" s="58">
        <f t="shared" si="3"/>
        <v>54</v>
      </c>
      <c r="AJ52" s="58">
        <f t="shared" si="4"/>
        <v>47</v>
      </c>
    </row>
    <row r="53" s="17" customFormat="1" customHeight="1" spans="1:36">
      <c r="A53" s="27" t="s">
        <v>70</v>
      </c>
      <c r="B53" s="28" t="s">
        <v>344</v>
      </c>
      <c r="C53" s="28" t="s">
        <v>345</v>
      </c>
      <c r="D53" s="28" t="s">
        <v>298</v>
      </c>
      <c r="E53" s="28"/>
      <c r="F53" s="28"/>
      <c r="G53" s="28" t="s">
        <v>40</v>
      </c>
      <c r="H53" s="28" t="s">
        <v>146</v>
      </c>
      <c r="I53" s="34">
        <v>365</v>
      </c>
      <c r="J53" s="34">
        <v>329</v>
      </c>
      <c r="K53" s="38">
        <v>350</v>
      </c>
      <c r="L53" s="38">
        <v>315</v>
      </c>
      <c r="M53" s="36"/>
      <c r="N53" s="40">
        <v>350</v>
      </c>
      <c r="O53" s="40">
        <v>315</v>
      </c>
      <c r="P53" s="40">
        <v>270</v>
      </c>
      <c r="Q53" s="28" t="s">
        <v>42</v>
      </c>
      <c r="R53" s="36"/>
      <c r="S53" s="28" t="s">
        <v>346</v>
      </c>
      <c r="T53" s="30" t="s">
        <v>347</v>
      </c>
      <c r="U53" s="30">
        <v>310100028</v>
      </c>
      <c r="V53" s="30" t="s">
        <v>348</v>
      </c>
      <c r="W53" s="30" t="s">
        <v>349</v>
      </c>
      <c r="X53" s="30"/>
      <c r="Y53" s="30" t="s">
        <v>40</v>
      </c>
      <c r="Z53" s="30" t="s">
        <v>350</v>
      </c>
      <c r="AA53" s="51">
        <v>390</v>
      </c>
      <c r="AB53" s="51">
        <v>350</v>
      </c>
      <c r="AC53" s="57">
        <v>350</v>
      </c>
      <c r="AD53" s="57">
        <v>315</v>
      </c>
      <c r="AE53" s="57">
        <v>265</v>
      </c>
      <c r="AF53" s="58">
        <f t="shared" si="0"/>
        <v>0</v>
      </c>
      <c r="AG53" s="58" t="str">
        <f t="shared" si="1"/>
        <v>神经阻滞治疗费-三叉神经节（加收）</v>
      </c>
      <c r="AH53" s="58">
        <f t="shared" si="2"/>
        <v>350</v>
      </c>
      <c r="AI53" s="58">
        <f t="shared" si="3"/>
        <v>315</v>
      </c>
      <c r="AJ53" s="58">
        <f t="shared" si="4"/>
        <v>270</v>
      </c>
    </row>
    <row r="54" s="17" customFormat="1" customHeight="1" spans="1:36">
      <c r="A54" s="27" t="s">
        <v>70</v>
      </c>
      <c r="B54" s="28" t="s">
        <v>344</v>
      </c>
      <c r="C54" s="28" t="s">
        <v>345</v>
      </c>
      <c r="D54" s="28" t="s">
        <v>298</v>
      </c>
      <c r="E54" s="28"/>
      <c r="F54" s="28"/>
      <c r="G54" s="28" t="s">
        <v>40</v>
      </c>
      <c r="H54" s="28" t="s">
        <v>146</v>
      </c>
      <c r="I54" s="34">
        <v>365</v>
      </c>
      <c r="J54" s="34">
        <v>329</v>
      </c>
      <c r="K54" s="38">
        <v>350</v>
      </c>
      <c r="L54" s="38">
        <v>315</v>
      </c>
      <c r="M54" s="36"/>
      <c r="N54" s="40">
        <v>350</v>
      </c>
      <c r="O54" s="40">
        <v>315</v>
      </c>
      <c r="P54" s="40">
        <v>270</v>
      </c>
      <c r="Q54" s="28" t="s">
        <v>42</v>
      </c>
      <c r="R54" s="36"/>
      <c r="S54" s="28" t="s">
        <v>346</v>
      </c>
      <c r="T54" s="46" t="s">
        <v>351</v>
      </c>
      <c r="U54" s="46">
        <v>31010002801</v>
      </c>
      <c r="V54" s="48" t="s">
        <v>352</v>
      </c>
      <c r="W54" s="46"/>
      <c r="X54" s="46"/>
      <c r="Y54" s="46" t="s">
        <v>40</v>
      </c>
      <c r="Z54" s="30" t="s">
        <v>43</v>
      </c>
      <c r="AA54" s="52">
        <v>505</v>
      </c>
      <c r="AB54" s="51">
        <v>455</v>
      </c>
      <c r="AC54" s="57">
        <v>455</v>
      </c>
      <c r="AD54" s="57">
        <v>410</v>
      </c>
      <c r="AE54" s="57">
        <v>345</v>
      </c>
      <c r="AF54" s="58">
        <f t="shared" si="0"/>
        <v>0</v>
      </c>
      <c r="AG54" s="58" t="str">
        <f t="shared" si="1"/>
        <v>神经阻滞治疗费-三叉神经节（加收）</v>
      </c>
      <c r="AH54" s="58">
        <f t="shared" si="2"/>
        <v>350</v>
      </c>
      <c r="AI54" s="58">
        <f t="shared" si="3"/>
        <v>315</v>
      </c>
      <c r="AJ54" s="58">
        <f t="shared" si="4"/>
        <v>270</v>
      </c>
    </row>
    <row r="55" s="17" customFormat="1" customHeight="1" spans="1:36">
      <c r="A55" s="27" t="s">
        <v>70</v>
      </c>
      <c r="B55" s="28" t="s">
        <v>344</v>
      </c>
      <c r="C55" s="28" t="s">
        <v>345</v>
      </c>
      <c r="D55" s="28" t="s">
        <v>298</v>
      </c>
      <c r="E55" s="28"/>
      <c r="F55" s="28"/>
      <c r="G55" s="28" t="s">
        <v>40</v>
      </c>
      <c r="H55" s="28" t="s">
        <v>146</v>
      </c>
      <c r="I55" s="34">
        <v>365</v>
      </c>
      <c r="J55" s="34">
        <v>329</v>
      </c>
      <c r="K55" s="38">
        <v>350</v>
      </c>
      <c r="L55" s="38">
        <v>315</v>
      </c>
      <c r="M55" s="36"/>
      <c r="N55" s="40">
        <v>350</v>
      </c>
      <c r="O55" s="40">
        <v>315</v>
      </c>
      <c r="P55" s="40">
        <v>270</v>
      </c>
      <c r="Q55" s="28" t="s">
        <v>42</v>
      </c>
      <c r="R55" s="36"/>
      <c r="S55" s="28" t="s">
        <v>346</v>
      </c>
      <c r="T55" s="30" t="s">
        <v>353</v>
      </c>
      <c r="U55" s="30">
        <v>310100029</v>
      </c>
      <c r="V55" s="30" t="s">
        <v>354</v>
      </c>
      <c r="W55" s="30" t="s">
        <v>355</v>
      </c>
      <c r="X55" s="30"/>
      <c r="Y55" s="30" t="s">
        <v>40</v>
      </c>
      <c r="Z55" s="30" t="s">
        <v>350</v>
      </c>
      <c r="AA55" s="51">
        <v>390</v>
      </c>
      <c r="AB55" s="51">
        <v>350</v>
      </c>
      <c r="AC55" s="57">
        <v>350</v>
      </c>
      <c r="AD55" s="57">
        <v>315</v>
      </c>
      <c r="AE55" s="57">
        <v>265</v>
      </c>
      <c r="AF55" s="58">
        <f t="shared" si="0"/>
        <v>0</v>
      </c>
      <c r="AG55" s="58" t="str">
        <f t="shared" si="1"/>
        <v>神经阻滞治疗费-三叉神经节（加收）</v>
      </c>
      <c r="AH55" s="58">
        <f t="shared" si="2"/>
        <v>350</v>
      </c>
      <c r="AI55" s="58">
        <f t="shared" si="3"/>
        <v>315</v>
      </c>
      <c r="AJ55" s="58">
        <f t="shared" si="4"/>
        <v>270</v>
      </c>
    </row>
    <row r="56" s="17" customFormat="1" customHeight="1" spans="1:36">
      <c r="A56" s="27" t="s">
        <v>70</v>
      </c>
      <c r="B56" s="28" t="s">
        <v>344</v>
      </c>
      <c r="C56" s="28" t="s">
        <v>345</v>
      </c>
      <c r="D56" s="28" t="s">
        <v>298</v>
      </c>
      <c r="E56" s="28"/>
      <c r="F56" s="28"/>
      <c r="G56" s="28" t="s">
        <v>40</v>
      </c>
      <c r="H56" s="28" t="s">
        <v>146</v>
      </c>
      <c r="I56" s="34">
        <v>365</v>
      </c>
      <c r="J56" s="34">
        <v>329</v>
      </c>
      <c r="K56" s="38">
        <v>350</v>
      </c>
      <c r="L56" s="38">
        <v>315</v>
      </c>
      <c r="M56" s="36"/>
      <c r="N56" s="40">
        <v>350</v>
      </c>
      <c r="O56" s="40">
        <v>315</v>
      </c>
      <c r="P56" s="40">
        <v>270</v>
      </c>
      <c r="Q56" s="28" t="s">
        <v>42</v>
      </c>
      <c r="R56" s="36"/>
      <c r="S56" s="28" t="s">
        <v>346</v>
      </c>
      <c r="T56" s="30" t="s">
        <v>356</v>
      </c>
      <c r="U56" s="30">
        <v>31010002901</v>
      </c>
      <c r="V56" s="30" t="s">
        <v>357</v>
      </c>
      <c r="W56" s="30"/>
      <c r="X56" s="30"/>
      <c r="Y56" s="30" t="s">
        <v>40</v>
      </c>
      <c r="Z56" s="30" t="s">
        <v>43</v>
      </c>
      <c r="AA56" s="51">
        <v>505</v>
      </c>
      <c r="AB56" s="51">
        <v>455</v>
      </c>
      <c r="AC56" s="57">
        <v>455</v>
      </c>
      <c r="AD56" s="57">
        <v>410</v>
      </c>
      <c r="AE56" s="57">
        <v>345</v>
      </c>
      <c r="AF56" s="58">
        <f t="shared" si="0"/>
        <v>0</v>
      </c>
      <c r="AG56" s="58" t="str">
        <f t="shared" si="1"/>
        <v>神经阻滞治疗费-三叉神经节（加收）</v>
      </c>
      <c r="AH56" s="58">
        <f t="shared" si="2"/>
        <v>350</v>
      </c>
      <c r="AI56" s="58">
        <f t="shared" si="3"/>
        <v>315</v>
      </c>
      <c r="AJ56" s="58">
        <f t="shared" si="4"/>
        <v>270</v>
      </c>
    </row>
    <row r="57" s="17" customFormat="1" customHeight="1" spans="1:36">
      <c r="A57" s="27" t="s">
        <v>70</v>
      </c>
      <c r="B57" s="28" t="s">
        <v>344</v>
      </c>
      <c r="C57" s="28" t="s">
        <v>345</v>
      </c>
      <c r="D57" s="28" t="s">
        <v>298</v>
      </c>
      <c r="E57" s="28"/>
      <c r="F57" s="28"/>
      <c r="G57" s="28" t="s">
        <v>40</v>
      </c>
      <c r="H57" s="28" t="s">
        <v>146</v>
      </c>
      <c r="I57" s="34">
        <v>365</v>
      </c>
      <c r="J57" s="34">
        <v>329</v>
      </c>
      <c r="K57" s="38">
        <v>350</v>
      </c>
      <c r="L57" s="38">
        <v>315</v>
      </c>
      <c r="M57" s="36"/>
      <c r="N57" s="40">
        <v>350</v>
      </c>
      <c r="O57" s="40">
        <v>315</v>
      </c>
      <c r="P57" s="40">
        <v>270</v>
      </c>
      <c r="Q57" s="28" t="s">
        <v>42</v>
      </c>
      <c r="R57" s="36"/>
      <c r="S57" s="28" t="s">
        <v>346</v>
      </c>
      <c r="T57" s="30" t="s">
        <v>358</v>
      </c>
      <c r="U57" s="30">
        <v>310100030</v>
      </c>
      <c r="V57" s="30" t="s">
        <v>359</v>
      </c>
      <c r="W57" s="30" t="s">
        <v>349</v>
      </c>
      <c r="X57" s="30"/>
      <c r="Y57" s="30" t="s">
        <v>40</v>
      </c>
      <c r="Z57" s="30" t="s">
        <v>350</v>
      </c>
      <c r="AA57" s="51">
        <v>390</v>
      </c>
      <c r="AB57" s="51">
        <v>350</v>
      </c>
      <c r="AC57" s="57">
        <v>350</v>
      </c>
      <c r="AD57" s="57">
        <v>315</v>
      </c>
      <c r="AE57" s="57">
        <v>265</v>
      </c>
      <c r="AF57" s="58">
        <f t="shared" si="0"/>
        <v>0</v>
      </c>
      <c r="AG57" s="58" t="str">
        <f t="shared" si="1"/>
        <v>神经阻滞治疗费-三叉神经节（加收）</v>
      </c>
      <c r="AH57" s="58">
        <f t="shared" si="2"/>
        <v>350</v>
      </c>
      <c r="AI57" s="58">
        <f t="shared" si="3"/>
        <v>315</v>
      </c>
      <c r="AJ57" s="58">
        <f t="shared" si="4"/>
        <v>270</v>
      </c>
    </row>
    <row r="58" s="17" customFormat="1" customHeight="1" spans="1:36">
      <c r="A58" s="27" t="s">
        <v>70</v>
      </c>
      <c r="B58" s="28" t="s">
        <v>344</v>
      </c>
      <c r="C58" s="28" t="s">
        <v>345</v>
      </c>
      <c r="D58" s="28" t="s">
        <v>298</v>
      </c>
      <c r="E58" s="28"/>
      <c r="F58" s="28"/>
      <c r="G58" s="28" t="s">
        <v>40</v>
      </c>
      <c r="H58" s="28" t="s">
        <v>146</v>
      </c>
      <c r="I58" s="34">
        <v>365</v>
      </c>
      <c r="J58" s="34">
        <v>329</v>
      </c>
      <c r="K58" s="38">
        <v>350</v>
      </c>
      <c r="L58" s="38">
        <v>315</v>
      </c>
      <c r="M58" s="36"/>
      <c r="N58" s="40">
        <v>350</v>
      </c>
      <c r="O58" s="40">
        <v>315</v>
      </c>
      <c r="P58" s="40">
        <v>270</v>
      </c>
      <c r="Q58" s="28" t="s">
        <v>42</v>
      </c>
      <c r="R58" s="36"/>
      <c r="S58" s="28" t="s">
        <v>346</v>
      </c>
      <c r="T58" s="46" t="s">
        <v>360</v>
      </c>
      <c r="U58" s="46">
        <v>31010003001</v>
      </c>
      <c r="V58" s="48" t="s">
        <v>361</v>
      </c>
      <c r="W58" s="46"/>
      <c r="X58" s="46"/>
      <c r="Y58" s="46" t="s">
        <v>40</v>
      </c>
      <c r="Z58" s="30" t="s">
        <v>43</v>
      </c>
      <c r="AA58" s="52">
        <v>505</v>
      </c>
      <c r="AB58" s="51">
        <v>455</v>
      </c>
      <c r="AC58" s="57">
        <v>455</v>
      </c>
      <c r="AD58" s="57">
        <v>410</v>
      </c>
      <c r="AE58" s="57">
        <v>345</v>
      </c>
      <c r="AF58" s="58">
        <f t="shared" si="0"/>
        <v>0</v>
      </c>
      <c r="AG58" s="58" t="str">
        <f t="shared" si="1"/>
        <v>神经阻滞治疗费-三叉神经节（加收）</v>
      </c>
      <c r="AH58" s="58">
        <f t="shared" si="2"/>
        <v>350</v>
      </c>
      <c r="AI58" s="58">
        <f t="shared" si="3"/>
        <v>315</v>
      </c>
      <c r="AJ58" s="58">
        <f t="shared" si="4"/>
        <v>270</v>
      </c>
    </row>
    <row r="59" s="17" customFormat="1" customHeight="1" spans="1:36">
      <c r="A59" s="27" t="s">
        <v>70</v>
      </c>
      <c r="B59" s="28" t="s">
        <v>344</v>
      </c>
      <c r="C59" s="28" t="s">
        <v>345</v>
      </c>
      <c r="D59" s="28" t="s">
        <v>298</v>
      </c>
      <c r="E59" s="28"/>
      <c r="F59" s="28"/>
      <c r="G59" s="28" t="s">
        <v>40</v>
      </c>
      <c r="H59" s="28" t="s">
        <v>146</v>
      </c>
      <c r="I59" s="34">
        <v>365</v>
      </c>
      <c r="J59" s="34">
        <v>329</v>
      </c>
      <c r="K59" s="38">
        <v>350</v>
      </c>
      <c r="L59" s="38">
        <v>315</v>
      </c>
      <c r="M59" s="36"/>
      <c r="N59" s="40">
        <v>350</v>
      </c>
      <c r="O59" s="40">
        <v>315</v>
      </c>
      <c r="P59" s="40">
        <v>270</v>
      </c>
      <c r="Q59" s="28" t="s">
        <v>42</v>
      </c>
      <c r="R59" s="36"/>
      <c r="S59" s="28" t="s">
        <v>346</v>
      </c>
      <c r="T59" s="46" t="s">
        <v>362</v>
      </c>
      <c r="U59" s="46">
        <v>31010003301</v>
      </c>
      <c r="V59" s="48" t="s">
        <v>363</v>
      </c>
      <c r="W59" s="46"/>
      <c r="X59" s="46"/>
      <c r="Y59" s="46" t="s">
        <v>40</v>
      </c>
      <c r="Z59" s="30" t="s">
        <v>364</v>
      </c>
      <c r="AA59" s="52">
        <v>230</v>
      </c>
      <c r="AB59" s="51">
        <v>205</v>
      </c>
      <c r="AC59" s="57">
        <v>198</v>
      </c>
      <c r="AD59" s="57">
        <v>180</v>
      </c>
      <c r="AE59" s="57">
        <v>153</v>
      </c>
      <c r="AF59" s="58">
        <f t="shared" si="0"/>
        <v>0</v>
      </c>
      <c r="AG59" s="58" t="str">
        <f t="shared" si="1"/>
        <v>神经阻滞治疗费-三叉神经节（加收）</v>
      </c>
      <c r="AH59" s="58">
        <f t="shared" si="2"/>
        <v>350</v>
      </c>
      <c r="AI59" s="58">
        <f t="shared" si="3"/>
        <v>315</v>
      </c>
      <c r="AJ59" s="58">
        <f t="shared" si="4"/>
        <v>270</v>
      </c>
    </row>
    <row r="60" s="17" customFormat="1" customHeight="1" spans="1:36">
      <c r="A60" s="27" t="s">
        <v>70</v>
      </c>
      <c r="B60" s="28" t="s">
        <v>344</v>
      </c>
      <c r="C60" s="28" t="s">
        <v>345</v>
      </c>
      <c r="D60" s="28" t="s">
        <v>298</v>
      </c>
      <c r="E60" s="28"/>
      <c r="F60" s="28"/>
      <c r="G60" s="28" t="s">
        <v>40</v>
      </c>
      <c r="H60" s="28" t="s">
        <v>146</v>
      </c>
      <c r="I60" s="34">
        <v>365</v>
      </c>
      <c r="J60" s="34">
        <v>329</v>
      </c>
      <c r="K60" s="38">
        <v>350</v>
      </c>
      <c r="L60" s="38">
        <v>315</v>
      </c>
      <c r="M60" s="36"/>
      <c r="N60" s="40">
        <v>350</v>
      </c>
      <c r="O60" s="40">
        <v>315</v>
      </c>
      <c r="P60" s="40">
        <v>270</v>
      </c>
      <c r="Q60" s="28" t="s">
        <v>42</v>
      </c>
      <c r="R60" s="36"/>
      <c r="S60" s="28" t="s">
        <v>346</v>
      </c>
      <c r="T60" s="46" t="s">
        <v>365</v>
      </c>
      <c r="U60" s="46">
        <v>31010003302</v>
      </c>
      <c r="V60" s="48" t="s">
        <v>366</v>
      </c>
      <c r="W60" s="46"/>
      <c r="X60" s="46"/>
      <c r="Y60" s="46" t="s">
        <v>40</v>
      </c>
      <c r="Z60" s="30" t="s">
        <v>367</v>
      </c>
      <c r="AA60" s="52">
        <v>470</v>
      </c>
      <c r="AB60" s="51">
        <v>425</v>
      </c>
      <c r="AC60" s="57">
        <v>396</v>
      </c>
      <c r="AD60" s="57">
        <v>360</v>
      </c>
      <c r="AE60" s="57">
        <v>306</v>
      </c>
      <c r="AF60" s="58">
        <f t="shared" si="0"/>
        <v>0</v>
      </c>
      <c r="AG60" s="58" t="str">
        <f t="shared" si="1"/>
        <v>神经阻滞治疗费-三叉神经节（加收）</v>
      </c>
      <c r="AH60" s="58">
        <f t="shared" si="2"/>
        <v>350</v>
      </c>
      <c r="AI60" s="58">
        <f t="shared" si="3"/>
        <v>315</v>
      </c>
      <c r="AJ60" s="58">
        <f t="shared" si="4"/>
        <v>270</v>
      </c>
    </row>
    <row r="61" s="17" customFormat="1" customHeight="1" spans="1:36">
      <c r="A61" s="27" t="s">
        <v>70</v>
      </c>
      <c r="B61" s="28" t="s">
        <v>344</v>
      </c>
      <c r="C61" s="28" t="s">
        <v>345</v>
      </c>
      <c r="D61" s="28" t="s">
        <v>298</v>
      </c>
      <c r="E61" s="28"/>
      <c r="F61" s="28"/>
      <c r="G61" s="28" t="s">
        <v>40</v>
      </c>
      <c r="H61" s="28" t="s">
        <v>146</v>
      </c>
      <c r="I61" s="34">
        <v>365</v>
      </c>
      <c r="J61" s="34">
        <v>329</v>
      </c>
      <c r="K61" s="38">
        <v>350</v>
      </c>
      <c r="L61" s="38">
        <v>315</v>
      </c>
      <c r="M61" s="36"/>
      <c r="N61" s="40">
        <v>350</v>
      </c>
      <c r="O61" s="40">
        <v>315</v>
      </c>
      <c r="P61" s="40">
        <v>270</v>
      </c>
      <c r="Q61" s="28" t="s">
        <v>42</v>
      </c>
      <c r="R61" s="36"/>
      <c r="S61" s="28" t="s">
        <v>346</v>
      </c>
      <c r="T61" s="46" t="s">
        <v>368</v>
      </c>
      <c r="U61" s="46">
        <v>31010003303</v>
      </c>
      <c r="V61" s="48" t="s">
        <v>369</v>
      </c>
      <c r="W61" s="46"/>
      <c r="X61" s="46"/>
      <c r="Y61" s="46" t="s">
        <v>40</v>
      </c>
      <c r="Z61" s="30" t="s">
        <v>370</v>
      </c>
      <c r="AA61" s="52">
        <v>700</v>
      </c>
      <c r="AB61" s="51">
        <v>630</v>
      </c>
      <c r="AC61" s="57">
        <v>594</v>
      </c>
      <c r="AD61" s="57">
        <v>540</v>
      </c>
      <c r="AE61" s="57">
        <v>459</v>
      </c>
      <c r="AF61" s="58">
        <f t="shared" si="0"/>
        <v>0</v>
      </c>
      <c r="AG61" s="58" t="str">
        <f t="shared" si="1"/>
        <v>神经阻滞治疗费-三叉神经节（加收）</v>
      </c>
      <c r="AH61" s="58">
        <f t="shared" si="2"/>
        <v>350</v>
      </c>
      <c r="AI61" s="58">
        <f t="shared" si="3"/>
        <v>315</v>
      </c>
      <c r="AJ61" s="58">
        <f t="shared" si="4"/>
        <v>270</v>
      </c>
    </row>
    <row r="62" s="17" customFormat="1" customHeight="1" spans="1:36">
      <c r="A62" s="27" t="s">
        <v>70</v>
      </c>
      <c r="B62" s="28" t="s">
        <v>344</v>
      </c>
      <c r="C62" s="28" t="s">
        <v>345</v>
      </c>
      <c r="D62" s="28" t="s">
        <v>298</v>
      </c>
      <c r="E62" s="28"/>
      <c r="F62" s="28"/>
      <c r="G62" s="28" t="s">
        <v>40</v>
      </c>
      <c r="H62" s="28" t="s">
        <v>146</v>
      </c>
      <c r="I62" s="34">
        <v>365</v>
      </c>
      <c r="J62" s="34">
        <v>329</v>
      </c>
      <c r="K62" s="38">
        <v>350</v>
      </c>
      <c r="L62" s="38">
        <v>315</v>
      </c>
      <c r="M62" s="36"/>
      <c r="N62" s="40">
        <v>350</v>
      </c>
      <c r="O62" s="40">
        <v>315</v>
      </c>
      <c r="P62" s="40">
        <v>270</v>
      </c>
      <c r="Q62" s="28" t="s">
        <v>42</v>
      </c>
      <c r="R62" s="36"/>
      <c r="S62" s="28" t="s">
        <v>346</v>
      </c>
      <c r="T62" s="30" t="s">
        <v>371</v>
      </c>
      <c r="U62" s="30">
        <v>330202004</v>
      </c>
      <c r="V62" s="30" t="s">
        <v>372</v>
      </c>
      <c r="W62" s="30"/>
      <c r="X62" s="30"/>
      <c r="Y62" s="30" t="s">
        <v>373</v>
      </c>
      <c r="Z62" s="30" t="s">
        <v>43</v>
      </c>
      <c r="AA62" s="51">
        <v>675</v>
      </c>
      <c r="AB62" s="51">
        <v>610</v>
      </c>
      <c r="AC62" s="57">
        <v>625</v>
      </c>
      <c r="AD62" s="57">
        <v>600</v>
      </c>
      <c r="AE62" s="57">
        <v>510</v>
      </c>
      <c r="AF62" s="58">
        <f t="shared" si="0"/>
        <v>0</v>
      </c>
      <c r="AG62" s="58" t="str">
        <f t="shared" si="1"/>
        <v>神经阻滞治疗费-三叉神经节（加收）</v>
      </c>
      <c r="AH62" s="58">
        <f t="shared" si="2"/>
        <v>350</v>
      </c>
      <c r="AI62" s="58">
        <f t="shared" si="3"/>
        <v>315</v>
      </c>
      <c r="AJ62" s="58">
        <f t="shared" si="4"/>
        <v>270</v>
      </c>
    </row>
    <row r="63" s="17" customFormat="1" customHeight="1" spans="1:36">
      <c r="A63" s="27" t="s">
        <v>70</v>
      </c>
      <c r="B63" s="28" t="s">
        <v>344</v>
      </c>
      <c r="C63" s="28" t="s">
        <v>345</v>
      </c>
      <c r="D63" s="28" t="s">
        <v>298</v>
      </c>
      <c r="E63" s="28"/>
      <c r="F63" s="28"/>
      <c r="G63" s="28" t="s">
        <v>40</v>
      </c>
      <c r="H63" s="28" t="s">
        <v>146</v>
      </c>
      <c r="I63" s="34">
        <v>365</v>
      </c>
      <c r="J63" s="34">
        <v>329</v>
      </c>
      <c r="K63" s="38">
        <v>350</v>
      </c>
      <c r="L63" s="38">
        <v>315</v>
      </c>
      <c r="M63" s="36"/>
      <c r="N63" s="40">
        <v>350</v>
      </c>
      <c r="O63" s="40">
        <v>315</v>
      </c>
      <c r="P63" s="40">
        <v>270</v>
      </c>
      <c r="Q63" s="28" t="s">
        <v>42</v>
      </c>
      <c r="R63" s="36"/>
      <c r="S63" s="28" t="s">
        <v>346</v>
      </c>
      <c r="T63" s="46" t="s">
        <v>374</v>
      </c>
      <c r="U63" s="46">
        <v>33020200401</v>
      </c>
      <c r="V63" s="48" t="s">
        <v>375</v>
      </c>
      <c r="W63" s="46"/>
      <c r="X63" s="46"/>
      <c r="Y63" s="46" t="s">
        <v>373</v>
      </c>
      <c r="Z63" s="30" t="s">
        <v>43</v>
      </c>
      <c r="AA63" s="52">
        <v>880</v>
      </c>
      <c r="AB63" s="51">
        <v>795</v>
      </c>
      <c r="AC63" s="57">
        <v>815</v>
      </c>
      <c r="AD63" s="57">
        <v>780</v>
      </c>
      <c r="AE63" s="57">
        <v>665</v>
      </c>
      <c r="AF63" s="58">
        <f t="shared" si="0"/>
        <v>0</v>
      </c>
      <c r="AG63" s="58" t="str">
        <f t="shared" si="1"/>
        <v>神经阻滞治疗费-三叉神经节（加收）</v>
      </c>
      <c r="AH63" s="58">
        <f t="shared" si="2"/>
        <v>350</v>
      </c>
      <c r="AI63" s="58">
        <f t="shared" si="3"/>
        <v>315</v>
      </c>
      <c r="AJ63" s="58">
        <f t="shared" si="4"/>
        <v>270</v>
      </c>
    </row>
    <row r="64" s="17" customFormat="1" ht="101" customHeight="1" spans="1:36">
      <c r="A64" s="29">
        <v>24</v>
      </c>
      <c r="B64" s="30" t="s">
        <v>391</v>
      </c>
      <c r="C64" s="30" t="s">
        <v>392</v>
      </c>
      <c r="D64" s="30" t="s">
        <v>378</v>
      </c>
      <c r="E64" s="31" t="s">
        <v>393</v>
      </c>
      <c r="F64" s="31" t="s">
        <v>394</v>
      </c>
      <c r="G64" s="30" t="s">
        <v>395</v>
      </c>
      <c r="H64" s="31" t="s">
        <v>396</v>
      </c>
      <c r="I64" s="37">
        <v>3000</v>
      </c>
      <c r="J64" s="37">
        <v>2700</v>
      </c>
      <c r="K64" s="36">
        <v>2700</v>
      </c>
      <c r="L64" s="36">
        <v>2433.33333333333</v>
      </c>
      <c r="M64" s="36">
        <v>2066.66666666667</v>
      </c>
      <c r="N64" s="41">
        <v>2700</v>
      </c>
      <c r="O64" s="41">
        <v>2435</v>
      </c>
      <c r="P64" s="41">
        <v>2065</v>
      </c>
      <c r="Q64" s="30" t="s">
        <v>42</v>
      </c>
      <c r="R64" s="36" t="s">
        <v>44</v>
      </c>
      <c r="S64" s="31" t="s">
        <v>397</v>
      </c>
      <c r="T64" s="30" t="s">
        <v>398</v>
      </c>
      <c r="U64" s="30">
        <v>320600003</v>
      </c>
      <c r="V64" s="30" t="s">
        <v>399</v>
      </c>
      <c r="W64" s="30"/>
      <c r="X64" s="30"/>
      <c r="Y64" s="30" t="s">
        <v>40</v>
      </c>
      <c r="Z64" s="30" t="s">
        <v>43</v>
      </c>
      <c r="AA64" s="51">
        <v>3600</v>
      </c>
      <c r="AB64" s="51">
        <v>3240</v>
      </c>
      <c r="AC64" s="57">
        <v>3240</v>
      </c>
      <c r="AD64" s="57">
        <v>2920</v>
      </c>
      <c r="AE64" s="57">
        <v>2480</v>
      </c>
      <c r="AF64" s="58">
        <f t="shared" si="0"/>
        <v>0</v>
      </c>
      <c r="AG64" s="58" t="str">
        <f t="shared" si="1"/>
        <v>脑血管球囊扩张费（介入）</v>
      </c>
      <c r="AH64" s="58">
        <f t="shared" si="2"/>
        <v>2700</v>
      </c>
      <c r="AI64" s="58">
        <f t="shared" si="3"/>
        <v>2435</v>
      </c>
      <c r="AJ64" s="58">
        <f t="shared" si="4"/>
        <v>2065</v>
      </c>
    </row>
    <row r="65" s="17" customFormat="1" ht="39" customHeight="1" spans="1:36">
      <c r="A65" s="29" t="s">
        <v>70</v>
      </c>
      <c r="B65" s="30" t="s">
        <v>400</v>
      </c>
      <c r="C65" s="30" t="s">
        <v>401</v>
      </c>
      <c r="D65" s="30" t="s">
        <v>378</v>
      </c>
      <c r="E65" s="31" t="s">
        <v>43</v>
      </c>
      <c r="F65" s="31" t="s">
        <v>43</v>
      </c>
      <c r="G65" s="30" t="s">
        <v>395</v>
      </c>
      <c r="H65" s="31" t="s">
        <v>43</v>
      </c>
      <c r="I65" s="37">
        <v>900</v>
      </c>
      <c r="J65" s="37">
        <v>810</v>
      </c>
      <c r="K65" s="36"/>
      <c r="L65" s="36"/>
      <c r="M65" s="36"/>
      <c r="N65" s="41">
        <v>810</v>
      </c>
      <c r="O65" s="41">
        <v>730</v>
      </c>
      <c r="P65" s="41">
        <v>620</v>
      </c>
      <c r="Q65" s="30" t="s">
        <v>42</v>
      </c>
      <c r="R65" s="36"/>
      <c r="S65" s="31" t="s">
        <v>384</v>
      </c>
      <c r="T65" s="46" t="s">
        <v>402</v>
      </c>
      <c r="U65" s="46">
        <v>32060000301</v>
      </c>
      <c r="V65" s="48" t="s">
        <v>403</v>
      </c>
      <c r="W65" s="46"/>
      <c r="X65" s="46"/>
      <c r="Y65" s="46" t="s">
        <v>40</v>
      </c>
      <c r="Z65" s="30" t="s">
        <v>43</v>
      </c>
      <c r="AA65" s="52">
        <v>4680</v>
      </c>
      <c r="AB65" s="51">
        <v>4210</v>
      </c>
      <c r="AC65" s="57">
        <v>4210</v>
      </c>
      <c r="AD65" s="57">
        <v>3795</v>
      </c>
      <c r="AE65" s="57">
        <v>3225</v>
      </c>
      <c r="AF65" s="58">
        <f t="shared" si="0"/>
        <v>13</v>
      </c>
      <c r="AG65" s="58" t="str">
        <f t="shared" si="1"/>
        <v>脑血管球囊扩张费（介入）</v>
      </c>
      <c r="AH65" s="58">
        <f t="shared" si="2"/>
        <v>3510</v>
      </c>
      <c r="AI65" s="58">
        <f t="shared" si="3"/>
        <v>3165</v>
      </c>
      <c r="AJ65" s="58">
        <f t="shared" si="4"/>
        <v>2685</v>
      </c>
    </row>
    <row r="66" s="17" customFormat="1" ht="120" customHeight="1" spans="1:36">
      <c r="A66" s="29">
        <v>25</v>
      </c>
      <c r="B66" s="30" t="s">
        <v>407</v>
      </c>
      <c r="C66" s="30" t="s">
        <v>408</v>
      </c>
      <c r="D66" s="30" t="s">
        <v>378</v>
      </c>
      <c r="E66" s="31" t="s">
        <v>409</v>
      </c>
      <c r="F66" s="31" t="s">
        <v>410</v>
      </c>
      <c r="G66" s="30" t="s">
        <v>395</v>
      </c>
      <c r="H66" s="31" t="s">
        <v>411</v>
      </c>
      <c r="I66" s="37">
        <v>3900</v>
      </c>
      <c r="J66" s="37">
        <v>3510</v>
      </c>
      <c r="K66" s="36">
        <v>3625</v>
      </c>
      <c r="L66" s="36">
        <v>3266.66666666667</v>
      </c>
      <c r="M66" s="36">
        <v>2616.66666666667</v>
      </c>
      <c r="N66" s="41">
        <v>3625</v>
      </c>
      <c r="O66" s="41">
        <v>3265</v>
      </c>
      <c r="P66" s="41">
        <v>2615</v>
      </c>
      <c r="Q66" s="30" t="s">
        <v>42</v>
      </c>
      <c r="R66" s="36" t="s">
        <v>44</v>
      </c>
      <c r="S66" s="31" t="s">
        <v>412</v>
      </c>
      <c r="T66" s="30" t="s">
        <v>413</v>
      </c>
      <c r="U66" s="30">
        <v>320600004</v>
      </c>
      <c r="V66" s="30" t="s">
        <v>414</v>
      </c>
      <c r="W66" s="30"/>
      <c r="X66" s="30"/>
      <c r="Y66" s="30" t="s">
        <v>40</v>
      </c>
      <c r="Z66" s="30" t="s">
        <v>43</v>
      </c>
      <c r="AA66" s="51">
        <v>4680</v>
      </c>
      <c r="AB66" s="51">
        <v>4210</v>
      </c>
      <c r="AC66" s="57">
        <v>4350</v>
      </c>
      <c r="AD66" s="57">
        <v>3920</v>
      </c>
      <c r="AE66" s="57">
        <v>3140</v>
      </c>
      <c r="AF66" s="58">
        <f t="shared" si="0"/>
        <v>0</v>
      </c>
      <c r="AG66" s="58" t="str">
        <f t="shared" si="1"/>
        <v>脑血管支架置入费（介入）</v>
      </c>
      <c r="AH66" s="58">
        <f t="shared" si="2"/>
        <v>3625</v>
      </c>
      <c r="AI66" s="58">
        <f t="shared" si="3"/>
        <v>3265</v>
      </c>
      <c r="AJ66" s="58">
        <f t="shared" si="4"/>
        <v>2615</v>
      </c>
    </row>
    <row r="67" s="17" customFormat="1" ht="35" customHeight="1" spans="1:36">
      <c r="A67" s="29" t="s">
        <v>70</v>
      </c>
      <c r="B67" s="30" t="s">
        <v>415</v>
      </c>
      <c r="C67" s="30" t="s">
        <v>416</v>
      </c>
      <c r="D67" s="30" t="s">
        <v>378</v>
      </c>
      <c r="E67" s="31" t="s">
        <v>43</v>
      </c>
      <c r="F67" s="31" t="s">
        <v>43</v>
      </c>
      <c r="G67" s="30" t="s">
        <v>395</v>
      </c>
      <c r="H67" s="31" t="s">
        <v>43</v>
      </c>
      <c r="I67" s="37">
        <v>1170</v>
      </c>
      <c r="J67" s="37">
        <v>1053</v>
      </c>
      <c r="K67" s="36"/>
      <c r="L67" s="36"/>
      <c r="M67" s="36"/>
      <c r="N67" s="41">
        <v>1090</v>
      </c>
      <c r="O67" s="41">
        <v>980</v>
      </c>
      <c r="P67" s="41">
        <v>785</v>
      </c>
      <c r="Q67" s="30" t="s">
        <v>42</v>
      </c>
      <c r="R67" s="36"/>
      <c r="S67" s="31"/>
      <c r="T67" s="46" t="s">
        <v>417</v>
      </c>
      <c r="U67" s="46">
        <v>32060000401</v>
      </c>
      <c r="V67" s="48" t="s">
        <v>418</v>
      </c>
      <c r="W67" s="46"/>
      <c r="X67" s="46"/>
      <c r="Y67" s="46" t="s">
        <v>40</v>
      </c>
      <c r="Z67" s="30" t="s">
        <v>43</v>
      </c>
      <c r="AA67" s="52">
        <v>6085</v>
      </c>
      <c r="AB67" s="51">
        <v>5475</v>
      </c>
      <c r="AC67" s="57">
        <v>5655</v>
      </c>
      <c r="AD67" s="57">
        <v>5095</v>
      </c>
      <c r="AE67" s="57">
        <v>4080</v>
      </c>
      <c r="AF67" s="58">
        <f t="shared" si="0"/>
        <v>13</v>
      </c>
      <c r="AG67" s="58" t="str">
        <f t="shared" si="1"/>
        <v>脑血管支架置入费（介入）</v>
      </c>
      <c r="AH67" s="58">
        <f t="shared" si="2"/>
        <v>4715</v>
      </c>
      <c r="AI67" s="58">
        <f t="shared" si="3"/>
        <v>4245</v>
      </c>
      <c r="AJ67" s="58">
        <f t="shared" si="4"/>
        <v>3400</v>
      </c>
    </row>
    <row r="68" s="17" customFormat="1" ht="99" customHeight="1" spans="1:36">
      <c r="A68" s="29">
        <v>27</v>
      </c>
      <c r="B68" s="30" t="s">
        <v>430</v>
      </c>
      <c r="C68" s="30" t="s">
        <v>431</v>
      </c>
      <c r="D68" s="30" t="s">
        <v>378</v>
      </c>
      <c r="E68" s="31" t="s">
        <v>432</v>
      </c>
      <c r="F68" s="31" t="s">
        <v>433</v>
      </c>
      <c r="G68" s="30" t="s">
        <v>395</v>
      </c>
      <c r="H68" s="31" t="s">
        <v>43</v>
      </c>
      <c r="I68" s="37">
        <v>4680</v>
      </c>
      <c r="J68" s="37">
        <v>4212</v>
      </c>
      <c r="K68" s="36">
        <v>4550</v>
      </c>
      <c r="L68" s="36">
        <v>4500</v>
      </c>
      <c r="M68" s="36">
        <v>4450</v>
      </c>
      <c r="N68" s="41">
        <v>4550</v>
      </c>
      <c r="O68" s="41">
        <v>4150</v>
      </c>
      <c r="P68" s="41">
        <v>3550</v>
      </c>
      <c r="Q68" s="30" t="s">
        <v>42</v>
      </c>
      <c r="R68" s="36" t="s">
        <v>280</v>
      </c>
      <c r="S68" s="31" t="s">
        <v>434</v>
      </c>
      <c r="T68" s="46" t="s">
        <v>435</v>
      </c>
      <c r="U68" s="50">
        <v>320600012</v>
      </c>
      <c r="V68" s="48" t="s">
        <v>436</v>
      </c>
      <c r="W68" s="50" t="s">
        <v>437</v>
      </c>
      <c r="X68" s="50"/>
      <c r="Y68" s="50" t="s">
        <v>40</v>
      </c>
      <c r="Z68" s="30" t="s">
        <v>43</v>
      </c>
      <c r="AA68" s="62">
        <v>4680</v>
      </c>
      <c r="AB68" s="51">
        <v>4212</v>
      </c>
      <c r="AC68" s="57">
        <v>4550</v>
      </c>
      <c r="AD68" s="57">
        <v>4500</v>
      </c>
      <c r="AE68" s="57">
        <v>4450</v>
      </c>
      <c r="AF68" s="58">
        <f t="shared" si="0"/>
        <v>0</v>
      </c>
      <c r="AG68" s="58" t="str">
        <f t="shared" si="1"/>
        <v>脑血管腔内减容费（介入）</v>
      </c>
      <c r="AH68" s="58">
        <f t="shared" si="2"/>
        <v>4550</v>
      </c>
      <c r="AI68" s="58">
        <f t="shared" si="3"/>
        <v>4150</v>
      </c>
      <c r="AJ68" s="58">
        <f t="shared" si="4"/>
        <v>3550</v>
      </c>
    </row>
    <row r="69" s="17" customFormat="1" ht="96" customHeight="1" spans="1:36">
      <c r="A69" s="29">
        <v>28</v>
      </c>
      <c r="B69" s="30" t="s">
        <v>440</v>
      </c>
      <c r="C69" s="30" t="s">
        <v>441</v>
      </c>
      <c r="D69" s="30" t="s">
        <v>378</v>
      </c>
      <c r="E69" s="31" t="s">
        <v>442</v>
      </c>
      <c r="F69" s="31" t="s">
        <v>443</v>
      </c>
      <c r="G69" s="30" t="s">
        <v>40</v>
      </c>
      <c r="H69" s="31" t="s">
        <v>146</v>
      </c>
      <c r="I69" s="37">
        <v>3600</v>
      </c>
      <c r="J69" s="37">
        <v>3240</v>
      </c>
      <c r="K69" s="36">
        <v>3240</v>
      </c>
      <c r="L69" s="36">
        <v>2920</v>
      </c>
      <c r="M69" s="36">
        <v>2480</v>
      </c>
      <c r="N69" s="41">
        <v>3500</v>
      </c>
      <c r="O69" s="41">
        <v>3200</v>
      </c>
      <c r="P69" s="41">
        <v>2700</v>
      </c>
      <c r="Q69" s="30" t="s">
        <v>42</v>
      </c>
      <c r="R69" s="36" t="s">
        <v>113</v>
      </c>
      <c r="S69" s="31" t="s">
        <v>444</v>
      </c>
      <c r="T69" s="30" t="s">
        <v>445</v>
      </c>
      <c r="U69" s="30">
        <v>320600005</v>
      </c>
      <c r="V69" s="30" t="s">
        <v>446</v>
      </c>
      <c r="W69" s="30"/>
      <c r="X69" s="30"/>
      <c r="Y69" s="30" t="s">
        <v>40</v>
      </c>
      <c r="Z69" s="30" t="s">
        <v>43</v>
      </c>
      <c r="AA69" s="51">
        <v>3600</v>
      </c>
      <c r="AB69" s="51">
        <v>3240</v>
      </c>
      <c r="AC69" s="57">
        <v>3240</v>
      </c>
      <c r="AD69" s="57">
        <v>2920</v>
      </c>
      <c r="AE69" s="57">
        <v>2480</v>
      </c>
      <c r="AF69" s="58">
        <f t="shared" si="0"/>
        <v>0</v>
      </c>
      <c r="AG69" s="58" t="str">
        <f t="shared" si="1"/>
        <v>脑血管腔内溶栓费（介入）</v>
      </c>
      <c r="AH69" s="58">
        <f t="shared" si="2"/>
        <v>3500</v>
      </c>
      <c r="AI69" s="58">
        <f t="shared" si="3"/>
        <v>3200</v>
      </c>
      <c r="AJ69" s="58">
        <f t="shared" si="4"/>
        <v>2700</v>
      </c>
    </row>
    <row r="70" s="17" customFormat="1" ht="32" customHeight="1" spans="1:36">
      <c r="A70" s="29" t="s">
        <v>70</v>
      </c>
      <c r="B70" s="30" t="s">
        <v>447</v>
      </c>
      <c r="C70" s="30" t="s">
        <v>448</v>
      </c>
      <c r="D70" s="30" t="s">
        <v>378</v>
      </c>
      <c r="E70" s="31" t="s">
        <v>43</v>
      </c>
      <c r="F70" s="31" t="s">
        <v>43</v>
      </c>
      <c r="G70" s="30" t="s">
        <v>40</v>
      </c>
      <c r="H70" s="31" t="s">
        <v>43</v>
      </c>
      <c r="I70" s="37">
        <v>1080</v>
      </c>
      <c r="J70" s="37">
        <v>972</v>
      </c>
      <c r="K70" s="36"/>
      <c r="L70" s="36"/>
      <c r="M70" s="36"/>
      <c r="N70" s="41">
        <v>1050</v>
      </c>
      <c r="O70" s="41">
        <v>960</v>
      </c>
      <c r="P70" s="41">
        <v>810</v>
      </c>
      <c r="Q70" s="30" t="s">
        <v>42</v>
      </c>
      <c r="R70" s="36"/>
      <c r="S70" s="31" t="s">
        <v>384</v>
      </c>
      <c r="T70" s="46" t="s">
        <v>449</v>
      </c>
      <c r="U70" s="46">
        <v>32060000501</v>
      </c>
      <c r="V70" s="48" t="s">
        <v>450</v>
      </c>
      <c r="W70" s="46"/>
      <c r="X70" s="46"/>
      <c r="Y70" s="46" t="s">
        <v>40</v>
      </c>
      <c r="Z70" s="30" t="s">
        <v>43</v>
      </c>
      <c r="AA70" s="52">
        <v>4680</v>
      </c>
      <c r="AB70" s="51">
        <v>4210</v>
      </c>
      <c r="AC70" s="57">
        <v>4210</v>
      </c>
      <c r="AD70" s="57">
        <v>3795</v>
      </c>
      <c r="AE70" s="57">
        <v>3225</v>
      </c>
      <c r="AF70" s="58">
        <f t="shared" ref="AF70:AF133" si="5">IFERROR(FIND("-儿童（加收）",C70,1),0)</f>
        <v>13</v>
      </c>
      <c r="AG70" s="58" t="str">
        <f t="shared" ref="AG70:AG133" si="6">SUBSTITUTE(C70,"-儿童（加收）","")</f>
        <v>脑血管腔内溶栓费（介入）</v>
      </c>
      <c r="AH70" s="58">
        <f t="shared" ref="AH70:AH133" si="7">IF(AF70&gt;0,_xlfn.MAXIFS(N:N,C:C,SUBSTITUTE(C70,"-儿童（加收）","")),0)+N70</f>
        <v>4550</v>
      </c>
      <c r="AI70" s="58">
        <f t="shared" ref="AI70:AI133" si="8">IF(AF70&gt;0,_xlfn.MAXIFS(O:O,C:C,SUBSTITUTE(C70,"-儿童（加收）","")),0)+O70</f>
        <v>4160</v>
      </c>
      <c r="AJ70" s="58">
        <f t="shared" ref="AJ70:AJ133" si="9">IF(AF70&gt;0,_xlfn.MAXIFS(P:P,C:C,SUBSTITUTE(C70,"-儿童（加收）","")),0)+P70</f>
        <v>3510</v>
      </c>
    </row>
    <row r="71" s="17" customFormat="1" ht="26" customHeight="1" spans="1:36">
      <c r="A71" s="27" t="s">
        <v>70</v>
      </c>
      <c r="B71" s="28" t="s">
        <v>451</v>
      </c>
      <c r="C71" s="28" t="s">
        <v>452</v>
      </c>
      <c r="D71" s="28" t="s">
        <v>378</v>
      </c>
      <c r="E71" s="28"/>
      <c r="F71" s="28"/>
      <c r="G71" s="28" t="s">
        <v>40</v>
      </c>
      <c r="H71" s="28" t="s">
        <v>146</v>
      </c>
      <c r="I71" s="34">
        <v>3600</v>
      </c>
      <c r="J71" s="34">
        <v>3240</v>
      </c>
      <c r="K71" s="36"/>
      <c r="L71" s="36"/>
      <c r="M71" s="36"/>
      <c r="N71" s="40">
        <v>3500</v>
      </c>
      <c r="O71" s="40">
        <v>3200</v>
      </c>
      <c r="P71" s="40">
        <v>2700</v>
      </c>
      <c r="Q71" s="28" t="s">
        <v>42</v>
      </c>
      <c r="R71" s="36"/>
      <c r="S71" s="28" t="s">
        <v>453</v>
      </c>
      <c r="T71" s="30" t="s">
        <v>454</v>
      </c>
      <c r="U71" s="30">
        <v>320600006</v>
      </c>
      <c r="V71" s="30" t="s">
        <v>455</v>
      </c>
      <c r="W71" s="30"/>
      <c r="X71" s="30"/>
      <c r="Y71" s="30" t="s">
        <v>40</v>
      </c>
      <c r="Z71" s="30" t="s">
        <v>43</v>
      </c>
      <c r="AA71" s="51">
        <v>3240</v>
      </c>
      <c r="AB71" s="51">
        <v>2920</v>
      </c>
      <c r="AC71" s="57">
        <v>2915</v>
      </c>
      <c r="AD71" s="57">
        <v>2625</v>
      </c>
      <c r="AE71" s="57">
        <v>2230</v>
      </c>
      <c r="AF71" s="58">
        <f t="shared" si="5"/>
        <v>0</v>
      </c>
      <c r="AG71" s="58" t="str">
        <f t="shared" si="6"/>
        <v>脑血管腔内溶栓费（介入）-脑血管腔内化疗费（扩展）</v>
      </c>
      <c r="AH71" s="58">
        <f t="shared" si="7"/>
        <v>3500</v>
      </c>
      <c r="AI71" s="58">
        <f t="shared" si="8"/>
        <v>3200</v>
      </c>
      <c r="AJ71" s="58">
        <f t="shared" si="9"/>
        <v>2700</v>
      </c>
    </row>
    <row r="72" s="17" customFormat="1" ht="26" customHeight="1" spans="1:36">
      <c r="A72" s="27" t="s">
        <v>70</v>
      </c>
      <c r="B72" s="28" t="s">
        <v>451</v>
      </c>
      <c r="C72" s="28" t="s">
        <v>452</v>
      </c>
      <c r="D72" s="28" t="s">
        <v>378</v>
      </c>
      <c r="E72" s="28"/>
      <c r="F72" s="28"/>
      <c r="G72" s="28" t="s">
        <v>40</v>
      </c>
      <c r="H72" s="28" t="s">
        <v>146</v>
      </c>
      <c r="I72" s="34">
        <v>3600</v>
      </c>
      <c r="J72" s="34">
        <v>3240</v>
      </c>
      <c r="K72" s="36"/>
      <c r="L72" s="36"/>
      <c r="M72" s="36"/>
      <c r="N72" s="40">
        <v>3500</v>
      </c>
      <c r="O72" s="40">
        <v>3200</v>
      </c>
      <c r="P72" s="40">
        <v>2700</v>
      </c>
      <c r="Q72" s="28" t="s">
        <v>42</v>
      </c>
      <c r="R72" s="36"/>
      <c r="S72" s="28" t="s">
        <v>453</v>
      </c>
      <c r="T72" s="46" t="s">
        <v>456</v>
      </c>
      <c r="U72" s="46">
        <v>32060000601</v>
      </c>
      <c r="V72" s="48" t="s">
        <v>457</v>
      </c>
      <c r="W72" s="46"/>
      <c r="X72" s="46"/>
      <c r="Y72" s="46" t="s">
        <v>40</v>
      </c>
      <c r="Z72" s="30" t="s">
        <v>43</v>
      </c>
      <c r="AA72" s="52">
        <v>4210</v>
      </c>
      <c r="AB72" s="51">
        <v>3795</v>
      </c>
      <c r="AC72" s="57">
        <v>3790</v>
      </c>
      <c r="AD72" s="57">
        <v>3415</v>
      </c>
      <c r="AE72" s="57">
        <v>2900</v>
      </c>
      <c r="AF72" s="58">
        <f t="shared" si="5"/>
        <v>0</v>
      </c>
      <c r="AG72" s="58" t="str">
        <f t="shared" si="6"/>
        <v>脑血管腔内溶栓费（介入）-脑血管腔内化疗费（扩展）</v>
      </c>
      <c r="AH72" s="58">
        <f t="shared" si="7"/>
        <v>3500</v>
      </c>
      <c r="AI72" s="58">
        <f t="shared" si="8"/>
        <v>3200</v>
      </c>
      <c r="AJ72" s="58">
        <f t="shared" si="9"/>
        <v>2700</v>
      </c>
    </row>
    <row r="73" s="17" customFormat="1" ht="24" customHeight="1" spans="1:36">
      <c r="A73" s="27" t="s">
        <v>70</v>
      </c>
      <c r="B73" s="28" t="s">
        <v>465</v>
      </c>
      <c r="C73" s="28" t="s">
        <v>466</v>
      </c>
      <c r="D73" s="28" t="s">
        <v>378</v>
      </c>
      <c r="E73" s="28"/>
      <c r="F73" s="28"/>
      <c r="G73" s="28" t="s">
        <v>395</v>
      </c>
      <c r="H73" s="28"/>
      <c r="I73" s="34">
        <v>360</v>
      </c>
      <c r="J73" s="34">
        <v>324</v>
      </c>
      <c r="K73" s="35">
        <v>493.341121495328</v>
      </c>
      <c r="L73" s="35">
        <v>36.3636363636365</v>
      </c>
      <c r="M73" s="59"/>
      <c r="N73" s="40">
        <v>350</v>
      </c>
      <c r="O73" s="40">
        <v>320</v>
      </c>
      <c r="P73" s="40">
        <v>270</v>
      </c>
      <c r="Q73" s="28" t="s">
        <v>42</v>
      </c>
      <c r="R73" s="36"/>
      <c r="S73" s="28" t="s">
        <v>467</v>
      </c>
      <c r="T73" s="30" t="s">
        <v>468</v>
      </c>
      <c r="U73" s="30">
        <v>320600002</v>
      </c>
      <c r="V73" s="30" t="s">
        <v>469</v>
      </c>
      <c r="W73" s="30"/>
      <c r="X73" s="30"/>
      <c r="Y73" s="30" t="s">
        <v>40</v>
      </c>
      <c r="Z73" s="30" t="s">
        <v>43</v>
      </c>
      <c r="AA73" s="51">
        <v>5040</v>
      </c>
      <c r="AB73" s="51">
        <v>4540</v>
      </c>
      <c r="AC73" s="57">
        <v>4535</v>
      </c>
      <c r="AD73" s="57">
        <v>4080</v>
      </c>
      <c r="AE73" s="57">
        <v>3470</v>
      </c>
      <c r="AF73" s="58">
        <f t="shared" si="5"/>
        <v>0</v>
      </c>
      <c r="AG73" s="58" t="str">
        <f t="shared" si="6"/>
        <v>脑血管栓塞费（介入）-脑血管畸形栓塞（加收）</v>
      </c>
      <c r="AH73" s="58">
        <f t="shared" si="7"/>
        <v>350</v>
      </c>
      <c r="AI73" s="58">
        <f t="shared" si="8"/>
        <v>320</v>
      </c>
      <c r="AJ73" s="58">
        <f t="shared" si="9"/>
        <v>270</v>
      </c>
    </row>
    <row r="74" s="17" customFormat="1" ht="24" customHeight="1" spans="1:36">
      <c r="A74" s="27" t="s">
        <v>70</v>
      </c>
      <c r="B74" s="28" t="s">
        <v>465</v>
      </c>
      <c r="C74" s="28" t="s">
        <v>466</v>
      </c>
      <c r="D74" s="28" t="s">
        <v>378</v>
      </c>
      <c r="E74" s="28"/>
      <c r="F74" s="28"/>
      <c r="G74" s="28" t="s">
        <v>395</v>
      </c>
      <c r="H74" s="28"/>
      <c r="I74" s="34">
        <v>360</v>
      </c>
      <c r="J74" s="34">
        <v>324</v>
      </c>
      <c r="K74" s="35">
        <v>493.341121495328</v>
      </c>
      <c r="L74" s="35">
        <v>36.3636363636365</v>
      </c>
      <c r="M74" s="59"/>
      <c r="N74" s="40">
        <v>350</v>
      </c>
      <c r="O74" s="40">
        <v>320</v>
      </c>
      <c r="P74" s="40">
        <v>270</v>
      </c>
      <c r="Q74" s="28" t="s">
        <v>42</v>
      </c>
      <c r="R74" s="36"/>
      <c r="S74" s="28" t="s">
        <v>467</v>
      </c>
      <c r="T74" s="46" t="s">
        <v>470</v>
      </c>
      <c r="U74" s="46">
        <v>32060000201</v>
      </c>
      <c r="V74" s="48" t="s">
        <v>471</v>
      </c>
      <c r="W74" s="46"/>
      <c r="X74" s="46"/>
      <c r="Y74" s="46" t="s">
        <v>40</v>
      </c>
      <c r="Z74" s="30" t="s">
        <v>43</v>
      </c>
      <c r="AA74" s="52">
        <v>6550</v>
      </c>
      <c r="AB74" s="51">
        <v>5900</v>
      </c>
      <c r="AC74" s="57">
        <v>5895</v>
      </c>
      <c r="AD74" s="57">
        <v>5305</v>
      </c>
      <c r="AE74" s="57">
        <v>4510</v>
      </c>
      <c r="AF74" s="58">
        <f t="shared" si="5"/>
        <v>0</v>
      </c>
      <c r="AG74" s="58" t="str">
        <f t="shared" si="6"/>
        <v>脑血管栓塞费（介入）-脑血管畸形栓塞（加收）</v>
      </c>
      <c r="AH74" s="58">
        <f t="shared" si="7"/>
        <v>350</v>
      </c>
      <c r="AI74" s="58">
        <f t="shared" si="8"/>
        <v>320</v>
      </c>
      <c r="AJ74" s="58">
        <f t="shared" si="9"/>
        <v>270</v>
      </c>
    </row>
    <row r="75" s="17" customFormat="1" ht="24" customHeight="1" spans="1:36">
      <c r="A75" s="27" t="s">
        <v>70</v>
      </c>
      <c r="B75" s="28" t="s">
        <v>465</v>
      </c>
      <c r="C75" s="28" t="s">
        <v>466</v>
      </c>
      <c r="D75" s="28" t="s">
        <v>378</v>
      </c>
      <c r="E75" s="28"/>
      <c r="F75" s="28"/>
      <c r="G75" s="28" t="s">
        <v>395</v>
      </c>
      <c r="H75" s="28"/>
      <c r="I75" s="34">
        <v>360</v>
      </c>
      <c r="J75" s="34">
        <v>324</v>
      </c>
      <c r="K75" s="35">
        <v>493.341121495328</v>
      </c>
      <c r="L75" s="35">
        <v>36.3636363636365</v>
      </c>
      <c r="M75" s="59"/>
      <c r="N75" s="40">
        <v>350</v>
      </c>
      <c r="O75" s="40">
        <v>320</v>
      </c>
      <c r="P75" s="40">
        <v>270</v>
      </c>
      <c r="Q75" s="28" t="s">
        <v>42</v>
      </c>
      <c r="R75" s="36"/>
      <c r="S75" s="28" t="s">
        <v>467</v>
      </c>
      <c r="T75" s="30" t="s">
        <v>472</v>
      </c>
      <c r="U75" s="30">
        <v>320600009</v>
      </c>
      <c r="V75" s="30" t="s">
        <v>473</v>
      </c>
      <c r="W75" s="30"/>
      <c r="X75" s="30"/>
      <c r="Y75" s="30" t="s">
        <v>40</v>
      </c>
      <c r="Z75" s="30" t="s">
        <v>43</v>
      </c>
      <c r="AA75" s="51">
        <v>3600</v>
      </c>
      <c r="AB75" s="51">
        <v>3240</v>
      </c>
      <c r="AC75" s="57">
        <v>3240</v>
      </c>
      <c r="AD75" s="57">
        <v>2920</v>
      </c>
      <c r="AE75" s="57">
        <v>2480</v>
      </c>
      <c r="AF75" s="58">
        <f t="shared" si="5"/>
        <v>0</v>
      </c>
      <c r="AG75" s="58" t="str">
        <f t="shared" si="6"/>
        <v>脑血管栓塞费（介入）-脑血管畸形栓塞（加收）</v>
      </c>
      <c r="AH75" s="58">
        <f t="shared" si="7"/>
        <v>350</v>
      </c>
      <c r="AI75" s="58">
        <f t="shared" si="8"/>
        <v>320</v>
      </c>
      <c r="AJ75" s="58">
        <f t="shared" si="9"/>
        <v>270</v>
      </c>
    </row>
    <row r="76" s="17" customFormat="1" ht="24" customHeight="1" spans="1:36">
      <c r="A76" s="27" t="s">
        <v>70</v>
      </c>
      <c r="B76" s="28" t="s">
        <v>465</v>
      </c>
      <c r="C76" s="28" t="s">
        <v>466</v>
      </c>
      <c r="D76" s="28" t="s">
        <v>378</v>
      </c>
      <c r="E76" s="28"/>
      <c r="F76" s="28"/>
      <c r="G76" s="28" t="s">
        <v>395</v>
      </c>
      <c r="H76" s="28"/>
      <c r="I76" s="34">
        <v>360</v>
      </c>
      <c r="J76" s="34">
        <v>324</v>
      </c>
      <c r="K76" s="35">
        <v>493.341121495328</v>
      </c>
      <c r="L76" s="35">
        <v>36.3636363636365</v>
      </c>
      <c r="M76" s="59"/>
      <c r="N76" s="40">
        <v>350</v>
      </c>
      <c r="O76" s="40">
        <v>320</v>
      </c>
      <c r="P76" s="40">
        <v>270</v>
      </c>
      <c r="Q76" s="28" t="s">
        <v>42</v>
      </c>
      <c r="R76" s="36"/>
      <c r="S76" s="28" t="s">
        <v>467</v>
      </c>
      <c r="T76" s="46" t="s">
        <v>474</v>
      </c>
      <c r="U76" s="46">
        <v>32060000901</v>
      </c>
      <c r="V76" s="48" t="s">
        <v>475</v>
      </c>
      <c r="W76" s="46"/>
      <c r="X76" s="46"/>
      <c r="Y76" s="46" t="s">
        <v>40</v>
      </c>
      <c r="Z76" s="30" t="s">
        <v>43</v>
      </c>
      <c r="AA76" s="52">
        <v>4680</v>
      </c>
      <c r="AB76" s="51">
        <v>4210</v>
      </c>
      <c r="AC76" s="57">
        <v>4210</v>
      </c>
      <c r="AD76" s="57">
        <v>3795</v>
      </c>
      <c r="AE76" s="57">
        <v>3225</v>
      </c>
      <c r="AF76" s="58">
        <f t="shared" si="5"/>
        <v>0</v>
      </c>
      <c r="AG76" s="58" t="str">
        <f t="shared" si="6"/>
        <v>脑血管栓塞费（介入）-脑血管畸形栓塞（加收）</v>
      </c>
      <c r="AH76" s="58">
        <f t="shared" si="7"/>
        <v>350</v>
      </c>
      <c r="AI76" s="58">
        <f t="shared" si="8"/>
        <v>320</v>
      </c>
      <c r="AJ76" s="58">
        <f t="shared" si="9"/>
        <v>270</v>
      </c>
    </row>
    <row r="77" s="17" customFormat="1" ht="31" customHeight="1" spans="1:36">
      <c r="A77" s="27">
        <v>30</v>
      </c>
      <c r="B77" s="28" t="s">
        <v>476</v>
      </c>
      <c r="C77" s="28" t="s">
        <v>477</v>
      </c>
      <c r="D77" s="28" t="s">
        <v>378</v>
      </c>
      <c r="E77" s="28" t="s">
        <v>478</v>
      </c>
      <c r="F77" s="28" t="s">
        <v>461</v>
      </c>
      <c r="G77" s="28" t="s">
        <v>395</v>
      </c>
      <c r="H77" s="28"/>
      <c r="I77" s="34">
        <v>5040</v>
      </c>
      <c r="J77" s="34">
        <v>4536</v>
      </c>
      <c r="K77" s="38">
        <v>4690</v>
      </c>
      <c r="L77" s="38">
        <v>4220</v>
      </c>
      <c r="M77" s="36"/>
      <c r="N77" s="40">
        <v>4690</v>
      </c>
      <c r="O77" s="40">
        <v>4220</v>
      </c>
      <c r="P77" s="40">
        <v>3375</v>
      </c>
      <c r="Q77" s="28" t="s">
        <v>42</v>
      </c>
      <c r="R77" s="38" t="s">
        <v>153</v>
      </c>
      <c r="S77" s="28" t="s">
        <v>153</v>
      </c>
      <c r="T77" s="30" t="s">
        <v>479</v>
      </c>
      <c r="U77" s="30">
        <v>320600008</v>
      </c>
      <c r="V77" s="30" t="s">
        <v>480</v>
      </c>
      <c r="W77" s="30"/>
      <c r="X77" s="30"/>
      <c r="Y77" s="30" t="s">
        <v>40</v>
      </c>
      <c r="Z77" s="30" t="s">
        <v>43</v>
      </c>
      <c r="AA77" s="51">
        <v>5040</v>
      </c>
      <c r="AB77" s="51">
        <v>4540</v>
      </c>
      <c r="AC77" s="57">
        <v>4690</v>
      </c>
      <c r="AD77" s="57">
        <v>4220</v>
      </c>
      <c r="AE77" s="57">
        <v>3375</v>
      </c>
      <c r="AF77" s="58">
        <f t="shared" si="5"/>
        <v>0</v>
      </c>
      <c r="AG77" s="58" t="str">
        <f t="shared" si="6"/>
        <v>颅内动脉瘤栓塞费（介入）</v>
      </c>
      <c r="AH77" s="58">
        <f t="shared" si="7"/>
        <v>4690</v>
      </c>
      <c r="AI77" s="58">
        <f t="shared" si="8"/>
        <v>4220</v>
      </c>
      <c r="AJ77" s="58">
        <f t="shared" si="9"/>
        <v>3375</v>
      </c>
    </row>
    <row r="78" s="17" customFormat="1" ht="31" customHeight="1" spans="1:36">
      <c r="A78" s="27">
        <v>30</v>
      </c>
      <c r="B78" s="28" t="s">
        <v>476</v>
      </c>
      <c r="C78" s="28" t="s">
        <v>477</v>
      </c>
      <c r="D78" s="28" t="s">
        <v>378</v>
      </c>
      <c r="E78" s="28" t="s">
        <v>478</v>
      </c>
      <c r="F78" s="28" t="s">
        <v>461</v>
      </c>
      <c r="G78" s="28" t="s">
        <v>395</v>
      </c>
      <c r="H78" s="28"/>
      <c r="I78" s="34">
        <v>5040</v>
      </c>
      <c r="J78" s="34">
        <v>4536</v>
      </c>
      <c r="K78" s="38">
        <v>4690</v>
      </c>
      <c r="L78" s="38">
        <v>4220</v>
      </c>
      <c r="M78" s="36"/>
      <c r="N78" s="40">
        <v>4690</v>
      </c>
      <c r="O78" s="40">
        <v>4220</v>
      </c>
      <c r="P78" s="40">
        <v>3375</v>
      </c>
      <c r="Q78" s="28" t="s">
        <v>42</v>
      </c>
      <c r="R78" s="38" t="s">
        <v>153</v>
      </c>
      <c r="S78" s="28" t="s">
        <v>153</v>
      </c>
      <c r="T78" s="30" t="s">
        <v>481</v>
      </c>
      <c r="U78" s="30">
        <v>330203004</v>
      </c>
      <c r="V78" s="30" t="s">
        <v>482</v>
      </c>
      <c r="W78" s="30" t="s">
        <v>483</v>
      </c>
      <c r="X78" s="30" t="s">
        <v>484</v>
      </c>
      <c r="Y78" s="30" t="s">
        <v>40</v>
      </c>
      <c r="Z78" s="30" t="s">
        <v>43</v>
      </c>
      <c r="AA78" s="51">
        <v>9900</v>
      </c>
      <c r="AB78" s="51">
        <v>8320</v>
      </c>
      <c r="AC78" s="57">
        <v>7630</v>
      </c>
      <c r="AD78" s="57">
        <v>6870</v>
      </c>
      <c r="AE78" s="57">
        <v>5840</v>
      </c>
      <c r="AF78" s="58">
        <f t="shared" si="5"/>
        <v>0</v>
      </c>
      <c r="AG78" s="58" t="str">
        <f t="shared" si="6"/>
        <v>颅内动脉瘤栓塞费（介入）</v>
      </c>
      <c r="AH78" s="58">
        <f t="shared" si="7"/>
        <v>4690</v>
      </c>
      <c r="AI78" s="58">
        <f t="shared" si="8"/>
        <v>4220</v>
      </c>
      <c r="AJ78" s="58">
        <f t="shared" si="9"/>
        <v>3375</v>
      </c>
    </row>
    <row r="79" s="17" customFormat="1" ht="31" customHeight="1" spans="1:36">
      <c r="A79" s="27">
        <v>30</v>
      </c>
      <c r="B79" s="28" t="s">
        <v>476</v>
      </c>
      <c r="C79" s="28" t="s">
        <v>477</v>
      </c>
      <c r="D79" s="28" t="s">
        <v>378</v>
      </c>
      <c r="E79" s="28" t="s">
        <v>478</v>
      </c>
      <c r="F79" s="28" t="s">
        <v>461</v>
      </c>
      <c r="G79" s="28" t="s">
        <v>395</v>
      </c>
      <c r="H79" s="28"/>
      <c r="I79" s="34">
        <v>5040</v>
      </c>
      <c r="J79" s="34">
        <v>4536</v>
      </c>
      <c r="K79" s="38">
        <v>4690</v>
      </c>
      <c r="L79" s="38">
        <v>4220</v>
      </c>
      <c r="M79" s="36"/>
      <c r="N79" s="40">
        <v>4690</v>
      </c>
      <c r="O79" s="40">
        <v>4220</v>
      </c>
      <c r="P79" s="40">
        <v>3375</v>
      </c>
      <c r="Q79" s="28" t="s">
        <v>42</v>
      </c>
      <c r="R79" s="38" t="s">
        <v>153</v>
      </c>
      <c r="S79" s="28" t="s">
        <v>153</v>
      </c>
      <c r="T79" s="30" t="s">
        <v>485</v>
      </c>
      <c r="U79" s="30">
        <v>330203003</v>
      </c>
      <c r="V79" s="30" t="s">
        <v>486</v>
      </c>
      <c r="W79" s="30" t="s">
        <v>487</v>
      </c>
      <c r="X79" s="30" t="s">
        <v>488</v>
      </c>
      <c r="Y79" s="30" t="s">
        <v>40</v>
      </c>
      <c r="Z79" s="30" t="s">
        <v>43</v>
      </c>
      <c r="AA79" s="51">
        <v>4800</v>
      </c>
      <c r="AB79" s="51">
        <v>4320</v>
      </c>
      <c r="AC79" s="57">
        <v>4220</v>
      </c>
      <c r="AD79" s="57">
        <v>3800</v>
      </c>
      <c r="AE79" s="57">
        <v>3230</v>
      </c>
      <c r="AF79" s="58">
        <f t="shared" si="5"/>
        <v>0</v>
      </c>
      <c r="AG79" s="58" t="str">
        <f t="shared" si="6"/>
        <v>颅内动脉瘤栓塞费（介入）</v>
      </c>
      <c r="AH79" s="58">
        <f t="shared" si="7"/>
        <v>4690</v>
      </c>
      <c r="AI79" s="58">
        <f t="shared" si="8"/>
        <v>4220</v>
      </c>
      <c r="AJ79" s="58">
        <f t="shared" si="9"/>
        <v>3375</v>
      </c>
    </row>
    <row r="80" s="17" customFormat="1" ht="21" customHeight="1" spans="1:36">
      <c r="A80" s="27" t="s">
        <v>70</v>
      </c>
      <c r="B80" s="28" t="s">
        <v>489</v>
      </c>
      <c r="C80" s="28" t="s">
        <v>490</v>
      </c>
      <c r="D80" s="28" t="s">
        <v>378</v>
      </c>
      <c r="E80" s="28"/>
      <c r="F80" s="28"/>
      <c r="G80" s="28" t="s">
        <v>395</v>
      </c>
      <c r="H80" s="28"/>
      <c r="I80" s="34">
        <v>1512</v>
      </c>
      <c r="J80" s="34">
        <v>1361</v>
      </c>
      <c r="K80" s="36"/>
      <c r="L80" s="36"/>
      <c r="M80" s="36"/>
      <c r="N80" s="40">
        <v>1405</v>
      </c>
      <c r="O80" s="40">
        <v>1265</v>
      </c>
      <c r="P80" s="40">
        <v>1015</v>
      </c>
      <c r="Q80" s="28" t="s">
        <v>42</v>
      </c>
      <c r="R80" s="36"/>
      <c r="S80" s="31"/>
      <c r="T80" s="30" t="s">
        <v>491</v>
      </c>
      <c r="U80" s="30">
        <v>33020300401</v>
      </c>
      <c r="V80" s="30" t="s">
        <v>492</v>
      </c>
      <c r="W80" s="30"/>
      <c r="X80" s="30"/>
      <c r="Y80" s="30" t="s">
        <v>40</v>
      </c>
      <c r="Z80" s="30" t="s">
        <v>43</v>
      </c>
      <c r="AA80" s="51">
        <v>12870</v>
      </c>
      <c r="AB80" s="51">
        <v>10815</v>
      </c>
      <c r="AC80" s="57">
        <v>9920</v>
      </c>
      <c r="AD80" s="57">
        <v>8930</v>
      </c>
      <c r="AE80" s="57">
        <v>7590</v>
      </c>
      <c r="AF80" s="58">
        <f t="shared" si="5"/>
        <v>13</v>
      </c>
      <c r="AG80" s="58" t="str">
        <f t="shared" si="6"/>
        <v>颅内动脉瘤栓塞费（介入）</v>
      </c>
      <c r="AH80" s="58">
        <f t="shared" si="7"/>
        <v>6095</v>
      </c>
      <c r="AI80" s="58">
        <f t="shared" si="8"/>
        <v>5485</v>
      </c>
      <c r="AJ80" s="58">
        <f t="shared" si="9"/>
        <v>4390</v>
      </c>
    </row>
    <row r="81" s="17" customFormat="1" ht="21" customHeight="1" spans="1:36">
      <c r="A81" s="27" t="s">
        <v>70</v>
      </c>
      <c r="B81" s="28" t="s">
        <v>489</v>
      </c>
      <c r="C81" s="28" t="s">
        <v>490</v>
      </c>
      <c r="D81" s="28" t="s">
        <v>378</v>
      </c>
      <c r="E81" s="28"/>
      <c r="F81" s="28"/>
      <c r="G81" s="28" t="s">
        <v>395</v>
      </c>
      <c r="H81" s="28"/>
      <c r="I81" s="34">
        <v>1512</v>
      </c>
      <c r="J81" s="34">
        <v>1361</v>
      </c>
      <c r="K81" s="36"/>
      <c r="L81" s="36"/>
      <c r="M81" s="36"/>
      <c r="N81" s="40">
        <v>1405</v>
      </c>
      <c r="O81" s="40">
        <v>1265</v>
      </c>
      <c r="P81" s="40">
        <v>1015</v>
      </c>
      <c r="Q81" s="28" t="s">
        <v>42</v>
      </c>
      <c r="R81" s="36"/>
      <c r="S81" s="31"/>
      <c r="T81" s="30" t="s">
        <v>493</v>
      </c>
      <c r="U81" s="30">
        <v>33020300301</v>
      </c>
      <c r="V81" s="30" t="s">
        <v>494</v>
      </c>
      <c r="W81" s="30"/>
      <c r="X81" s="30"/>
      <c r="Y81" s="30" t="s">
        <v>40</v>
      </c>
      <c r="Z81" s="30" t="s">
        <v>43</v>
      </c>
      <c r="AA81" s="51">
        <v>6240</v>
      </c>
      <c r="AB81" s="51">
        <v>5615</v>
      </c>
      <c r="AC81" s="57">
        <v>5485</v>
      </c>
      <c r="AD81" s="57">
        <v>4940</v>
      </c>
      <c r="AE81" s="57">
        <v>4200</v>
      </c>
      <c r="AF81" s="58">
        <f t="shared" si="5"/>
        <v>13</v>
      </c>
      <c r="AG81" s="58" t="str">
        <f t="shared" si="6"/>
        <v>颅内动脉瘤栓塞费（介入）</v>
      </c>
      <c r="AH81" s="58">
        <f t="shared" si="7"/>
        <v>6095</v>
      </c>
      <c r="AI81" s="58">
        <f t="shared" si="8"/>
        <v>5485</v>
      </c>
      <c r="AJ81" s="58">
        <f t="shared" si="9"/>
        <v>4390</v>
      </c>
    </row>
    <row r="82" s="17" customFormat="1" ht="21" customHeight="1" spans="1:36">
      <c r="A82" s="27" t="s">
        <v>70</v>
      </c>
      <c r="B82" s="28" t="s">
        <v>489</v>
      </c>
      <c r="C82" s="28" t="s">
        <v>490</v>
      </c>
      <c r="D82" s="28" t="s">
        <v>378</v>
      </c>
      <c r="E82" s="28"/>
      <c r="F82" s="28"/>
      <c r="G82" s="28" t="s">
        <v>395</v>
      </c>
      <c r="H82" s="28"/>
      <c r="I82" s="34">
        <v>1512</v>
      </c>
      <c r="J82" s="34">
        <v>1361</v>
      </c>
      <c r="K82" s="36"/>
      <c r="L82" s="36"/>
      <c r="M82" s="36"/>
      <c r="N82" s="40">
        <v>1405</v>
      </c>
      <c r="O82" s="40">
        <v>1265</v>
      </c>
      <c r="P82" s="40">
        <v>1015</v>
      </c>
      <c r="Q82" s="28" t="s">
        <v>42</v>
      </c>
      <c r="R82" s="36"/>
      <c r="S82" s="31"/>
      <c r="T82" s="46" t="s">
        <v>495</v>
      </c>
      <c r="U82" s="46">
        <v>32060000801</v>
      </c>
      <c r="V82" s="48" t="s">
        <v>496</v>
      </c>
      <c r="W82" s="46"/>
      <c r="X82" s="46"/>
      <c r="Y82" s="46" t="s">
        <v>40</v>
      </c>
      <c r="Z82" s="30" t="s">
        <v>43</v>
      </c>
      <c r="AA82" s="52">
        <v>6550</v>
      </c>
      <c r="AB82" s="51">
        <v>5900</v>
      </c>
      <c r="AC82" s="57">
        <v>6095</v>
      </c>
      <c r="AD82" s="57">
        <v>5485</v>
      </c>
      <c r="AE82" s="57">
        <v>4390</v>
      </c>
      <c r="AF82" s="58">
        <f t="shared" si="5"/>
        <v>13</v>
      </c>
      <c r="AG82" s="58" t="str">
        <f t="shared" si="6"/>
        <v>颅内动脉瘤栓塞费（介入）</v>
      </c>
      <c r="AH82" s="58">
        <f t="shared" si="7"/>
        <v>6095</v>
      </c>
      <c r="AI82" s="58">
        <f t="shared" si="8"/>
        <v>5485</v>
      </c>
      <c r="AJ82" s="58">
        <f t="shared" si="9"/>
        <v>4390</v>
      </c>
    </row>
    <row r="83" s="17" customFormat="1" ht="40" customHeight="1" spans="1:36">
      <c r="A83" s="29" t="s">
        <v>70</v>
      </c>
      <c r="B83" s="30" t="s">
        <v>502</v>
      </c>
      <c r="C83" s="30" t="s">
        <v>503</v>
      </c>
      <c r="D83" s="30" t="s">
        <v>378</v>
      </c>
      <c r="E83" s="31" t="s">
        <v>43</v>
      </c>
      <c r="F83" s="31" t="s">
        <v>43</v>
      </c>
      <c r="G83" s="30" t="s">
        <v>395</v>
      </c>
      <c r="H83" s="31" t="s">
        <v>43</v>
      </c>
      <c r="I83" s="37">
        <v>1125</v>
      </c>
      <c r="J83" s="37">
        <v>1013</v>
      </c>
      <c r="K83" s="36"/>
      <c r="L83" s="36"/>
      <c r="M83" s="36"/>
      <c r="N83" s="41">
        <v>1095</v>
      </c>
      <c r="O83" s="41">
        <v>970</v>
      </c>
      <c r="P83" s="41">
        <v>830</v>
      </c>
      <c r="Q83" s="30" t="s">
        <v>42</v>
      </c>
      <c r="R83" s="36"/>
      <c r="S83" s="31" t="s">
        <v>384</v>
      </c>
      <c r="T83" s="46" t="s">
        <v>504</v>
      </c>
      <c r="U83" s="46">
        <v>32060001101</v>
      </c>
      <c r="V83" s="48" t="s">
        <v>505</v>
      </c>
      <c r="W83" s="46"/>
      <c r="X83" s="46"/>
      <c r="Y83" s="46" t="s">
        <v>40</v>
      </c>
      <c r="Z83" s="30" t="s">
        <v>43</v>
      </c>
      <c r="AA83" s="52">
        <v>5850</v>
      </c>
      <c r="AB83" s="51">
        <v>5265</v>
      </c>
      <c r="AC83" s="57">
        <v>5265</v>
      </c>
      <c r="AD83" s="57">
        <v>4740</v>
      </c>
      <c r="AE83" s="57">
        <v>4025</v>
      </c>
      <c r="AF83" s="58">
        <f t="shared" si="5"/>
        <v>12</v>
      </c>
      <c r="AG83" s="58" t="str">
        <f t="shared" si="6"/>
        <v>脊髓血管栓塞费（介入）</v>
      </c>
      <c r="AH83" s="58">
        <f t="shared" si="7"/>
        <v>1095</v>
      </c>
      <c r="AI83" s="58">
        <f t="shared" si="8"/>
        <v>970</v>
      </c>
      <c r="AJ83" s="58">
        <f t="shared" si="9"/>
        <v>830</v>
      </c>
    </row>
    <row r="84" s="17" customFormat="1" ht="40" customHeight="1" spans="1:36">
      <c r="A84" s="29" t="s">
        <v>70</v>
      </c>
      <c r="B84" s="30" t="s">
        <v>506</v>
      </c>
      <c r="C84" s="30" t="s">
        <v>507</v>
      </c>
      <c r="D84" s="30" t="s">
        <v>378</v>
      </c>
      <c r="E84" s="31" t="s">
        <v>43</v>
      </c>
      <c r="F84" s="31" t="s">
        <v>43</v>
      </c>
      <c r="G84" s="30" t="s">
        <v>395</v>
      </c>
      <c r="H84" s="31"/>
      <c r="I84" s="37">
        <v>750</v>
      </c>
      <c r="J84" s="37">
        <v>675</v>
      </c>
      <c r="K84" s="36">
        <v>400</v>
      </c>
      <c r="L84" s="36">
        <v>295</v>
      </c>
      <c r="M84" s="36">
        <v>295</v>
      </c>
      <c r="N84" s="41">
        <v>730</v>
      </c>
      <c r="O84" s="41">
        <v>670</v>
      </c>
      <c r="P84" s="41">
        <v>560</v>
      </c>
      <c r="Q84" s="30" t="s">
        <v>42</v>
      </c>
      <c r="R84" s="36"/>
      <c r="S84" s="31" t="s">
        <v>508</v>
      </c>
      <c r="T84" s="30" t="s">
        <v>509</v>
      </c>
      <c r="U84" s="30">
        <v>320600011</v>
      </c>
      <c r="V84" s="30" t="s">
        <v>510</v>
      </c>
      <c r="W84" s="30"/>
      <c r="X84" s="30"/>
      <c r="Y84" s="30" t="s">
        <v>40</v>
      </c>
      <c r="Z84" s="30" t="s">
        <v>43</v>
      </c>
      <c r="AA84" s="51">
        <v>4500</v>
      </c>
      <c r="AB84" s="51">
        <v>4050</v>
      </c>
      <c r="AC84" s="57">
        <v>4050</v>
      </c>
      <c r="AD84" s="57">
        <v>3645</v>
      </c>
      <c r="AE84" s="57">
        <v>3095</v>
      </c>
      <c r="AF84" s="58">
        <f t="shared" si="5"/>
        <v>0</v>
      </c>
      <c r="AG84" s="58" t="str">
        <f t="shared" si="6"/>
        <v>脊髓血管栓塞费（介入）-脊髓血管畸形栓塞（加收）</v>
      </c>
      <c r="AH84" s="58">
        <f t="shared" si="7"/>
        <v>730</v>
      </c>
      <c r="AI84" s="58">
        <f t="shared" si="8"/>
        <v>670</v>
      </c>
      <c r="AJ84" s="58">
        <f t="shared" si="9"/>
        <v>560</v>
      </c>
    </row>
    <row r="85" s="17" customFormat="1" ht="39" customHeight="1" spans="1:36">
      <c r="A85" s="27">
        <v>32</v>
      </c>
      <c r="B85" s="28" t="s">
        <v>511</v>
      </c>
      <c r="C85" s="28" t="s">
        <v>512</v>
      </c>
      <c r="D85" s="28" t="s">
        <v>378</v>
      </c>
      <c r="E85" s="28" t="s">
        <v>513</v>
      </c>
      <c r="F85" s="28" t="s">
        <v>514</v>
      </c>
      <c r="G85" s="28" t="s">
        <v>40</v>
      </c>
      <c r="H85" s="28" t="s">
        <v>515</v>
      </c>
      <c r="I85" s="34">
        <v>4000</v>
      </c>
      <c r="J85" s="34">
        <v>3600</v>
      </c>
      <c r="K85" s="38">
        <v>4300</v>
      </c>
      <c r="L85" s="38">
        <v>4300</v>
      </c>
      <c r="M85" s="38">
        <v>3655</v>
      </c>
      <c r="N85" s="40">
        <v>3800</v>
      </c>
      <c r="O85" s="40">
        <v>3450</v>
      </c>
      <c r="P85" s="40">
        <v>2950</v>
      </c>
      <c r="Q85" s="28" t="s">
        <v>100</v>
      </c>
      <c r="R85" s="38" t="s">
        <v>186</v>
      </c>
      <c r="S85" s="28" t="s">
        <v>516</v>
      </c>
      <c r="T85" s="46" t="s">
        <v>517</v>
      </c>
      <c r="U85" s="46">
        <v>330202021</v>
      </c>
      <c r="V85" s="48" t="s">
        <v>518</v>
      </c>
      <c r="W85" s="46" t="s">
        <v>519</v>
      </c>
      <c r="X85" s="46"/>
      <c r="Y85" s="46" t="s">
        <v>40</v>
      </c>
      <c r="Z85" s="30" t="s">
        <v>520</v>
      </c>
      <c r="AA85" s="52">
        <v>4300</v>
      </c>
      <c r="AB85" s="51">
        <v>3870</v>
      </c>
      <c r="AC85" s="57">
        <v>4300</v>
      </c>
      <c r="AD85" s="57">
        <v>4300</v>
      </c>
      <c r="AE85" s="57">
        <v>3655</v>
      </c>
      <c r="AF85" s="58">
        <f t="shared" si="5"/>
        <v>0</v>
      </c>
      <c r="AG85" s="58" t="str">
        <f t="shared" si="6"/>
        <v>颅内电极置入费（表面电极）</v>
      </c>
      <c r="AH85" s="58">
        <f t="shared" si="7"/>
        <v>3800</v>
      </c>
      <c r="AI85" s="58">
        <f t="shared" si="8"/>
        <v>3450</v>
      </c>
      <c r="AJ85" s="58">
        <f t="shared" si="9"/>
        <v>2950</v>
      </c>
    </row>
    <row r="86" s="17" customFormat="1" ht="38" customHeight="1" spans="1:36">
      <c r="A86" s="27">
        <v>32</v>
      </c>
      <c r="B86" s="28" t="s">
        <v>511</v>
      </c>
      <c r="C86" s="28" t="s">
        <v>512</v>
      </c>
      <c r="D86" s="28" t="s">
        <v>378</v>
      </c>
      <c r="E86" s="28" t="s">
        <v>513</v>
      </c>
      <c r="F86" s="28" t="s">
        <v>514</v>
      </c>
      <c r="G86" s="28" t="s">
        <v>40</v>
      </c>
      <c r="H86" s="28" t="s">
        <v>515</v>
      </c>
      <c r="I86" s="34">
        <v>4000</v>
      </c>
      <c r="J86" s="34">
        <v>3600</v>
      </c>
      <c r="K86" s="38">
        <v>4300</v>
      </c>
      <c r="L86" s="38">
        <v>4300</v>
      </c>
      <c r="M86" s="38">
        <v>3655</v>
      </c>
      <c r="N86" s="40">
        <v>3800</v>
      </c>
      <c r="O86" s="40">
        <v>3450</v>
      </c>
      <c r="P86" s="40">
        <v>2950</v>
      </c>
      <c r="Q86" s="28" t="s">
        <v>100</v>
      </c>
      <c r="R86" s="38" t="s">
        <v>186</v>
      </c>
      <c r="S86" s="28" t="s">
        <v>516</v>
      </c>
      <c r="T86" s="46" t="s">
        <v>521</v>
      </c>
      <c r="U86" s="46">
        <v>330202022</v>
      </c>
      <c r="V86" s="48" t="s">
        <v>522</v>
      </c>
      <c r="W86" s="46" t="s">
        <v>519</v>
      </c>
      <c r="X86" s="46"/>
      <c r="Y86" s="46" t="s">
        <v>40</v>
      </c>
      <c r="Z86" s="30" t="s">
        <v>43</v>
      </c>
      <c r="AA86" s="52">
        <v>6450</v>
      </c>
      <c r="AB86" s="51">
        <v>5805</v>
      </c>
      <c r="AC86" s="57">
        <v>6450</v>
      </c>
      <c r="AD86" s="57">
        <v>6450</v>
      </c>
      <c r="AE86" s="57">
        <v>5482.5</v>
      </c>
      <c r="AF86" s="58">
        <f t="shared" si="5"/>
        <v>0</v>
      </c>
      <c r="AG86" s="58" t="str">
        <f t="shared" si="6"/>
        <v>颅内电极置入费（表面电极）</v>
      </c>
      <c r="AH86" s="58">
        <f t="shared" si="7"/>
        <v>3800</v>
      </c>
      <c r="AI86" s="58">
        <f t="shared" si="8"/>
        <v>3450</v>
      </c>
      <c r="AJ86" s="58">
        <f t="shared" si="9"/>
        <v>2950</v>
      </c>
    </row>
    <row r="87" s="17" customFormat="1" ht="47" customHeight="1" spans="1:36">
      <c r="A87" s="27">
        <v>33</v>
      </c>
      <c r="B87" s="28" t="s">
        <v>525</v>
      </c>
      <c r="C87" s="28" t="s">
        <v>526</v>
      </c>
      <c r="D87" s="28" t="s">
        <v>378</v>
      </c>
      <c r="E87" s="28" t="s">
        <v>513</v>
      </c>
      <c r="F87" s="28" t="s">
        <v>514</v>
      </c>
      <c r="G87" s="28" t="s">
        <v>40</v>
      </c>
      <c r="H87" s="28" t="s">
        <v>527</v>
      </c>
      <c r="I87" s="34">
        <v>4320</v>
      </c>
      <c r="J87" s="34">
        <v>3888</v>
      </c>
      <c r="K87" s="38">
        <v>3710</v>
      </c>
      <c r="L87" s="38">
        <v>3340</v>
      </c>
      <c r="M87" s="38">
        <v>2840</v>
      </c>
      <c r="N87" s="40">
        <v>4100</v>
      </c>
      <c r="O87" s="40">
        <v>3700</v>
      </c>
      <c r="P87" s="40">
        <v>3150</v>
      </c>
      <c r="Q87" s="28" t="s">
        <v>42</v>
      </c>
      <c r="R87" s="38" t="s">
        <v>113</v>
      </c>
      <c r="S87" s="28" t="s">
        <v>528</v>
      </c>
      <c r="T87" s="30" t="s">
        <v>529</v>
      </c>
      <c r="U87" s="30">
        <v>330201035</v>
      </c>
      <c r="V87" s="30" t="s">
        <v>530</v>
      </c>
      <c r="W87" s="30"/>
      <c r="X87" s="30" t="s">
        <v>531</v>
      </c>
      <c r="Y87" s="30" t="s">
        <v>40</v>
      </c>
      <c r="Z87" s="30" t="s">
        <v>43</v>
      </c>
      <c r="AA87" s="51">
        <v>4320</v>
      </c>
      <c r="AB87" s="51">
        <v>3890</v>
      </c>
      <c r="AC87" s="57">
        <v>3710</v>
      </c>
      <c r="AD87" s="57">
        <v>3340</v>
      </c>
      <c r="AE87" s="57">
        <v>2840</v>
      </c>
      <c r="AF87" s="58">
        <f t="shared" si="5"/>
        <v>0</v>
      </c>
      <c r="AG87" s="58" t="str">
        <f t="shared" si="6"/>
        <v>颅内电极置入费（深部电极）</v>
      </c>
      <c r="AH87" s="58">
        <f t="shared" si="7"/>
        <v>4100</v>
      </c>
      <c r="AI87" s="58">
        <f t="shared" si="8"/>
        <v>3700</v>
      </c>
      <c r="AJ87" s="58">
        <f t="shared" si="9"/>
        <v>3150</v>
      </c>
    </row>
    <row r="88" s="17" customFormat="1" ht="47" customHeight="1" spans="1:36">
      <c r="A88" s="27">
        <v>33</v>
      </c>
      <c r="B88" s="28" t="s">
        <v>525</v>
      </c>
      <c r="C88" s="28" t="s">
        <v>526</v>
      </c>
      <c r="D88" s="28" t="s">
        <v>378</v>
      </c>
      <c r="E88" s="28" t="s">
        <v>513</v>
      </c>
      <c r="F88" s="28" t="s">
        <v>514</v>
      </c>
      <c r="G88" s="28" t="s">
        <v>40</v>
      </c>
      <c r="H88" s="28" t="s">
        <v>527</v>
      </c>
      <c r="I88" s="34">
        <v>4320</v>
      </c>
      <c r="J88" s="34">
        <v>3888</v>
      </c>
      <c r="K88" s="38">
        <v>3710</v>
      </c>
      <c r="L88" s="38">
        <v>3340</v>
      </c>
      <c r="M88" s="38">
        <v>2840</v>
      </c>
      <c r="N88" s="40">
        <v>4100</v>
      </c>
      <c r="O88" s="40">
        <v>3700</v>
      </c>
      <c r="P88" s="40">
        <v>3150</v>
      </c>
      <c r="Q88" s="28" t="s">
        <v>42</v>
      </c>
      <c r="R88" s="38" t="s">
        <v>113</v>
      </c>
      <c r="S88" s="28" t="s">
        <v>528</v>
      </c>
      <c r="T88" s="46" t="s">
        <v>532</v>
      </c>
      <c r="U88" s="46">
        <v>330202020</v>
      </c>
      <c r="V88" s="48" t="s">
        <v>533</v>
      </c>
      <c r="W88" s="46" t="s">
        <v>534</v>
      </c>
      <c r="X88" s="46" t="s">
        <v>535</v>
      </c>
      <c r="Y88" s="46" t="s">
        <v>40</v>
      </c>
      <c r="Z88" s="30" t="s">
        <v>43</v>
      </c>
      <c r="AA88" s="52">
        <v>3300</v>
      </c>
      <c r="AB88" s="51">
        <v>2970</v>
      </c>
      <c r="AC88" s="57">
        <v>3300</v>
      </c>
      <c r="AD88" s="57">
        <v>3300</v>
      </c>
      <c r="AE88" s="57">
        <v>2805</v>
      </c>
      <c r="AF88" s="58">
        <f t="shared" si="5"/>
        <v>0</v>
      </c>
      <c r="AG88" s="58" t="str">
        <f t="shared" si="6"/>
        <v>颅内电极置入费（深部电极）</v>
      </c>
      <c r="AH88" s="58">
        <f t="shared" si="7"/>
        <v>4100</v>
      </c>
      <c r="AI88" s="58">
        <f t="shared" si="8"/>
        <v>3700</v>
      </c>
      <c r="AJ88" s="58">
        <f t="shared" si="9"/>
        <v>3150</v>
      </c>
    </row>
    <row r="89" s="17" customFormat="1" ht="47" customHeight="1" spans="1:36">
      <c r="A89" s="27">
        <v>33</v>
      </c>
      <c r="B89" s="28" t="s">
        <v>525</v>
      </c>
      <c r="C89" s="28" t="s">
        <v>526</v>
      </c>
      <c r="D89" s="28" t="s">
        <v>378</v>
      </c>
      <c r="E89" s="28" t="s">
        <v>513</v>
      </c>
      <c r="F89" s="28" t="s">
        <v>514</v>
      </c>
      <c r="G89" s="28" t="s">
        <v>40</v>
      </c>
      <c r="H89" s="28" t="s">
        <v>527</v>
      </c>
      <c r="I89" s="34">
        <v>4320</v>
      </c>
      <c r="J89" s="34">
        <v>3888</v>
      </c>
      <c r="K89" s="38">
        <v>3710</v>
      </c>
      <c r="L89" s="38">
        <v>3340</v>
      </c>
      <c r="M89" s="38">
        <v>2840</v>
      </c>
      <c r="N89" s="40">
        <v>4100</v>
      </c>
      <c r="O89" s="40">
        <v>3700</v>
      </c>
      <c r="P89" s="40">
        <v>3150</v>
      </c>
      <c r="Q89" s="28" t="s">
        <v>42</v>
      </c>
      <c r="R89" s="38" t="s">
        <v>113</v>
      </c>
      <c r="S89" s="28" t="s">
        <v>528</v>
      </c>
      <c r="T89" s="30" t="s">
        <v>536</v>
      </c>
      <c r="U89" s="30" t="s">
        <v>537</v>
      </c>
      <c r="V89" s="30" t="s">
        <v>538</v>
      </c>
      <c r="W89" s="30" t="s">
        <v>539</v>
      </c>
      <c r="X89" s="30" t="s">
        <v>540</v>
      </c>
      <c r="Y89" s="30" t="s">
        <v>40</v>
      </c>
      <c r="Z89" s="30" t="s">
        <v>43</v>
      </c>
      <c r="AA89" s="51"/>
      <c r="AB89" s="51"/>
      <c r="AC89" s="57" t="s">
        <v>326</v>
      </c>
      <c r="AD89" s="57" t="s">
        <v>326</v>
      </c>
      <c r="AE89" s="57" t="s">
        <v>326</v>
      </c>
      <c r="AF89" s="58">
        <f t="shared" si="5"/>
        <v>0</v>
      </c>
      <c r="AG89" s="58" t="str">
        <f t="shared" si="6"/>
        <v>颅内电极置入费（深部电极）</v>
      </c>
      <c r="AH89" s="58">
        <f t="shared" si="7"/>
        <v>4100</v>
      </c>
      <c r="AI89" s="58">
        <f t="shared" si="8"/>
        <v>3700</v>
      </c>
      <c r="AJ89" s="58">
        <f t="shared" si="9"/>
        <v>3150</v>
      </c>
    </row>
    <row r="90" s="17" customFormat="1" ht="55" customHeight="1" spans="1:36">
      <c r="A90" s="29" t="s">
        <v>70</v>
      </c>
      <c r="B90" s="30" t="s">
        <v>541</v>
      </c>
      <c r="C90" s="30" t="s">
        <v>542</v>
      </c>
      <c r="D90" s="30" t="s">
        <v>378</v>
      </c>
      <c r="E90" s="31" t="s">
        <v>43</v>
      </c>
      <c r="F90" s="31" t="s">
        <v>43</v>
      </c>
      <c r="G90" s="30" t="s">
        <v>40</v>
      </c>
      <c r="H90" s="31" t="s">
        <v>43</v>
      </c>
      <c r="I90" s="37">
        <v>1296</v>
      </c>
      <c r="J90" s="37">
        <v>1166</v>
      </c>
      <c r="K90" s="36"/>
      <c r="L90" s="36"/>
      <c r="M90" s="36"/>
      <c r="N90" s="41">
        <v>1230</v>
      </c>
      <c r="O90" s="41">
        <v>1110</v>
      </c>
      <c r="P90" s="41">
        <v>945</v>
      </c>
      <c r="Q90" s="30" t="s">
        <v>42</v>
      </c>
      <c r="R90" s="36"/>
      <c r="S90" s="31" t="s">
        <v>384</v>
      </c>
      <c r="T90" s="46" t="s">
        <v>543</v>
      </c>
      <c r="U90" s="46">
        <v>33020103501</v>
      </c>
      <c r="V90" s="48" t="s">
        <v>544</v>
      </c>
      <c r="W90" s="46"/>
      <c r="X90" s="46"/>
      <c r="Y90" s="46" t="s">
        <v>40</v>
      </c>
      <c r="Z90" s="30" t="s">
        <v>43</v>
      </c>
      <c r="AA90" s="52">
        <v>5615</v>
      </c>
      <c r="AB90" s="51">
        <v>5055</v>
      </c>
      <c r="AC90" s="57">
        <v>4825</v>
      </c>
      <c r="AD90" s="57">
        <v>4340</v>
      </c>
      <c r="AE90" s="57">
        <v>3690</v>
      </c>
      <c r="AF90" s="58">
        <f t="shared" si="5"/>
        <v>14</v>
      </c>
      <c r="AG90" s="58" t="str">
        <f t="shared" si="6"/>
        <v>颅内电极置入费（深部电极）</v>
      </c>
      <c r="AH90" s="58">
        <f t="shared" si="7"/>
        <v>5330</v>
      </c>
      <c r="AI90" s="58">
        <f t="shared" si="8"/>
        <v>4810</v>
      </c>
      <c r="AJ90" s="58">
        <f t="shared" si="9"/>
        <v>4095</v>
      </c>
    </row>
    <row r="91" s="17" customFormat="1" ht="55" customHeight="1" spans="1:36">
      <c r="A91" s="29">
        <v>34</v>
      </c>
      <c r="B91" s="30" t="s">
        <v>545</v>
      </c>
      <c r="C91" s="30" t="s">
        <v>546</v>
      </c>
      <c r="D91" s="30" t="s">
        <v>378</v>
      </c>
      <c r="E91" s="31" t="s">
        <v>547</v>
      </c>
      <c r="F91" s="31" t="s">
        <v>548</v>
      </c>
      <c r="G91" s="30" t="s">
        <v>40</v>
      </c>
      <c r="H91" s="31" t="s">
        <v>146</v>
      </c>
      <c r="I91" s="37">
        <v>1295</v>
      </c>
      <c r="J91" s="37">
        <v>1165</v>
      </c>
      <c r="K91" s="36"/>
      <c r="L91" s="36"/>
      <c r="M91" s="36"/>
      <c r="N91" s="41">
        <v>1230</v>
      </c>
      <c r="O91" s="41">
        <v>1110</v>
      </c>
      <c r="P91" s="41">
        <v>945</v>
      </c>
      <c r="Q91" s="30" t="s">
        <v>100</v>
      </c>
      <c r="R91" s="36" t="s">
        <v>101</v>
      </c>
      <c r="S91" s="31" t="s">
        <v>549</v>
      </c>
      <c r="T91" s="30" t="s">
        <v>550</v>
      </c>
      <c r="U91" s="30" t="s">
        <v>551</v>
      </c>
      <c r="V91" s="30" t="s">
        <v>552</v>
      </c>
      <c r="W91" s="30" t="s">
        <v>553</v>
      </c>
      <c r="X91" s="30"/>
      <c r="Y91" s="30" t="s">
        <v>40</v>
      </c>
      <c r="Z91" s="30" t="s">
        <v>43</v>
      </c>
      <c r="AA91" s="51"/>
      <c r="AB91" s="51"/>
      <c r="AC91" s="57" t="s">
        <v>326</v>
      </c>
      <c r="AD91" s="57" t="s">
        <v>326</v>
      </c>
      <c r="AE91" s="57" t="s">
        <v>326</v>
      </c>
      <c r="AF91" s="58">
        <f t="shared" si="5"/>
        <v>0</v>
      </c>
      <c r="AG91" s="58" t="str">
        <f t="shared" si="6"/>
        <v>颅内电极取出费</v>
      </c>
      <c r="AH91" s="58">
        <f t="shared" si="7"/>
        <v>1230</v>
      </c>
      <c r="AI91" s="58">
        <f t="shared" si="8"/>
        <v>1110</v>
      </c>
      <c r="AJ91" s="58">
        <f t="shared" si="9"/>
        <v>945</v>
      </c>
    </row>
    <row r="92" s="17" customFormat="1" ht="130" customHeight="1" spans="1:36">
      <c r="A92" s="29">
        <v>35</v>
      </c>
      <c r="B92" s="30" t="s">
        <v>556</v>
      </c>
      <c r="C92" s="30" t="s">
        <v>557</v>
      </c>
      <c r="D92" s="30" t="s">
        <v>378</v>
      </c>
      <c r="E92" s="31" t="s">
        <v>558</v>
      </c>
      <c r="F92" s="31" t="s">
        <v>514</v>
      </c>
      <c r="G92" s="30" t="s">
        <v>40</v>
      </c>
      <c r="H92" s="31" t="s">
        <v>559</v>
      </c>
      <c r="I92" s="37">
        <v>3500</v>
      </c>
      <c r="J92" s="37">
        <v>3150</v>
      </c>
      <c r="K92" s="36">
        <v>3300</v>
      </c>
      <c r="L92" s="36">
        <v>3200</v>
      </c>
      <c r="M92" s="36">
        <v>3100</v>
      </c>
      <c r="N92" s="41">
        <v>3300</v>
      </c>
      <c r="O92" s="41">
        <v>3100</v>
      </c>
      <c r="P92" s="41">
        <v>2750</v>
      </c>
      <c r="Q92" s="30" t="s">
        <v>42</v>
      </c>
      <c r="R92" s="36" t="s">
        <v>280</v>
      </c>
      <c r="S92" s="31" t="s">
        <v>560</v>
      </c>
      <c r="T92" s="46" t="s">
        <v>561</v>
      </c>
      <c r="U92" s="50">
        <v>310100036</v>
      </c>
      <c r="V92" s="48" t="s">
        <v>562</v>
      </c>
      <c r="W92" s="50" t="s">
        <v>563</v>
      </c>
      <c r="X92" s="50" t="s">
        <v>564</v>
      </c>
      <c r="Y92" s="50" t="s">
        <v>40</v>
      </c>
      <c r="Z92" s="30" t="s">
        <v>565</v>
      </c>
      <c r="AA92" s="52">
        <v>3500</v>
      </c>
      <c r="AB92" s="51">
        <v>3150</v>
      </c>
      <c r="AC92" s="57">
        <v>3300</v>
      </c>
      <c r="AD92" s="57">
        <v>3200</v>
      </c>
      <c r="AE92" s="57">
        <v>3100</v>
      </c>
      <c r="AF92" s="58">
        <f t="shared" si="5"/>
        <v>0</v>
      </c>
      <c r="AG92" s="58" t="str">
        <f t="shared" si="6"/>
        <v>脊髓电极置入费</v>
      </c>
      <c r="AH92" s="58">
        <f t="shared" si="7"/>
        <v>3300</v>
      </c>
      <c r="AI92" s="58">
        <f t="shared" si="8"/>
        <v>3100</v>
      </c>
      <c r="AJ92" s="58">
        <f t="shared" si="9"/>
        <v>2750</v>
      </c>
    </row>
    <row r="93" s="17" customFormat="1" ht="51" customHeight="1" spans="1:36">
      <c r="A93" s="29">
        <v>36</v>
      </c>
      <c r="B93" s="30" t="s">
        <v>568</v>
      </c>
      <c r="C93" s="30" t="s">
        <v>569</v>
      </c>
      <c r="D93" s="30" t="s">
        <v>378</v>
      </c>
      <c r="E93" s="31" t="s">
        <v>570</v>
      </c>
      <c r="F93" s="31" t="s">
        <v>548</v>
      </c>
      <c r="G93" s="30" t="s">
        <v>40</v>
      </c>
      <c r="H93" s="31" t="s">
        <v>43</v>
      </c>
      <c r="I93" s="37">
        <v>1000</v>
      </c>
      <c r="J93" s="37">
        <v>900</v>
      </c>
      <c r="K93" s="36">
        <v>900</v>
      </c>
      <c r="L93" s="36">
        <v>850</v>
      </c>
      <c r="M93" s="36">
        <v>800</v>
      </c>
      <c r="N93" s="41">
        <v>940</v>
      </c>
      <c r="O93" s="41">
        <v>885</v>
      </c>
      <c r="P93" s="41">
        <v>785</v>
      </c>
      <c r="Q93" s="30" t="s">
        <v>42</v>
      </c>
      <c r="R93" s="36" t="s">
        <v>280</v>
      </c>
      <c r="S93" s="31" t="s">
        <v>571</v>
      </c>
      <c r="T93" s="46" t="s">
        <v>572</v>
      </c>
      <c r="U93" s="50">
        <v>330204025</v>
      </c>
      <c r="V93" s="48" t="s">
        <v>573</v>
      </c>
      <c r="W93" s="50" t="s">
        <v>574</v>
      </c>
      <c r="X93" s="50"/>
      <c r="Y93" s="50" t="s">
        <v>40</v>
      </c>
      <c r="Z93" s="30" t="s">
        <v>43</v>
      </c>
      <c r="AA93" s="52">
        <v>1000</v>
      </c>
      <c r="AB93" s="51">
        <v>900</v>
      </c>
      <c r="AC93" s="57">
        <v>900</v>
      </c>
      <c r="AD93" s="57">
        <v>850</v>
      </c>
      <c r="AE93" s="57">
        <v>800</v>
      </c>
      <c r="AF93" s="58">
        <f t="shared" si="5"/>
        <v>0</v>
      </c>
      <c r="AG93" s="58" t="str">
        <f t="shared" si="6"/>
        <v>脊髓电极取出费</v>
      </c>
      <c r="AH93" s="58">
        <f t="shared" si="7"/>
        <v>940</v>
      </c>
      <c r="AI93" s="58">
        <f t="shared" si="8"/>
        <v>885</v>
      </c>
      <c r="AJ93" s="58">
        <f t="shared" si="9"/>
        <v>785</v>
      </c>
    </row>
    <row r="94" s="17" customFormat="1" ht="29" customHeight="1" spans="1:36">
      <c r="A94" s="27">
        <v>39</v>
      </c>
      <c r="B94" s="28" t="s">
        <v>594</v>
      </c>
      <c r="C94" s="28" t="s">
        <v>595</v>
      </c>
      <c r="D94" s="28" t="s">
        <v>378</v>
      </c>
      <c r="E94" s="28" t="s">
        <v>596</v>
      </c>
      <c r="F94" s="28" t="s">
        <v>597</v>
      </c>
      <c r="G94" s="28" t="s">
        <v>40</v>
      </c>
      <c r="H94" s="28" t="s">
        <v>598</v>
      </c>
      <c r="I94" s="34">
        <v>1080</v>
      </c>
      <c r="J94" s="34">
        <v>972</v>
      </c>
      <c r="K94" s="38">
        <v>1000</v>
      </c>
      <c r="L94" s="38">
        <v>960</v>
      </c>
      <c r="M94" s="36"/>
      <c r="N94" s="40">
        <v>1000</v>
      </c>
      <c r="O94" s="40">
        <v>960</v>
      </c>
      <c r="P94" s="40">
        <v>816</v>
      </c>
      <c r="Q94" s="28" t="s">
        <v>42</v>
      </c>
      <c r="R94" s="38" t="s">
        <v>153</v>
      </c>
      <c r="S94" s="28" t="s">
        <v>153</v>
      </c>
      <c r="T94" s="30" t="s">
        <v>599</v>
      </c>
      <c r="U94" s="30">
        <v>330201010</v>
      </c>
      <c r="V94" s="30" t="s">
        <v>600</v>
      </c>
      <c r="W94" s="30"/>
      <c r="X94" s="30"/>
      <c r="Y94" s="30" t="s">
        <v>40</v>
      </c>
      <c r="Z94" s="30" t="s">
        <v>601</v>
      </c>
      <c r="AA94" s="51">
        <v>1080</v>
      </c>
      <c r="AB94" s="51">
        <v>970</v>
      </c>
      <c r="AC94" s="57">
        <v>1000</v>
      </c>
      <c r="AD94" s="57">
        <v>960</v>
      </c>
      <c r="AE94" s="57">
        <v>816</v>
      </c>
      <c r="AF94" s="58">
        <f t="shared" si="5"/>
        <v>0</v>
      </c>
      <c r="AG94" s="58" t="str">
        <f t="shared" si="6"/>
        <v>颅内探查费</v>
      </c>
      <c r="AH94" s="58">
        <f t="shared" si="7"/>
        <v>1000</v>
      </c>
      <c r="AI94" s="58">
        <f t="shared" si="8"/>
        <v>960</v>
      </c>
      <c r="AJ94" s="58">
        <f t="shared" si="9"/>
        <v>816</v>
      </c>
    </row>
    <row r="95" s="17" customFormat="1" ht="29" customHeight="1" spans="1:36">
      <c r="A95" s="27">
        <v>39</v>
      </c>
      <c r="B95" s="28" t="s">
        <v>594</v>
      </c>
      <c r="C95" s="28" t="s">
        <v>595</v>
      </c>
      <c r="D95" s="28" t="s">
        <v>378</v>
      </c>
      <c r="E95" s="28" t="s">
        <v>596</v>
      </c>
      <c r="F95" s="28" t="s">
        <v>597</v>
      </c>
      <c r="G95" s="28" t="s">
        <v>40</v>
      </c>
      <c r="H95" s="28" t="s">
        <v>598</v>
      </c>
      <c r="I95" s="34">
        <v>1080</v>
      </c>
      <c r="J95" s="34">
        <v>972</v>
      </c>
      <c r="K95" s="38">
        <v>1000</v>
      </c>
      <c r="L95" s="38">
        <v>960</v>
      </c>
      <c r="M95" s="36"/>
      <c r="N95" s="40">
        <v>1000</v>
      </c>
      <c r="O95" s="40">
        <v>960</v>
      </c>
      <c r="P95" s="40">
        <v>816</v>
      </c>
      <c r="Q95" s="28" t="s">
        <v>42</v>
      </c>
      <c r="R95" s="38" t="s">
        <v>153</v>
      </c>
      <c r="S95" s="28" t="s">
        <v>153</v>
      </c>
      <c r="T95" s="46" t="s">
        <v>602</v>
      </c>
      <c r="U95" s="46">
        <v>33020101001</v>
      </c>
      <c r="V95" s="48" t="s">
        <v>603</v>
      </c>
      <c r="W95" s="46"/>
      <c r="X95" s="46"/>
      <c r="Y95" s="46" t="s">
        <v>40</v>
      </c>
      <c r="Z95" s="30" t="s">
        <v>604</v>
      </c>
      <c r="AA95" s="52">
        <v>1350</v>
      </c>
      <c r="AB95" s="51">
        <v>1215</v>
      </c>
      <c r="AC95" s="57">
        <v>1250</v>
      </c>
      <c r="AD95" s="57">
        <v>1200</v>
      </c>
      <c r="AE95" s="57">
        <v>1020</v>
      </c>
      <c r="AF95" s="58">
        <f t="shared" si="5"/>
        <v>0</v>
      </c>
      <c r="AG95" s="58" t="str">
        <f t="shared" si="6"/>
        <v>颅内探查费</v>
      </c>
      <c r="AH95" s="58">
        <f t="shared" si="7"/>
        <v>1000</v>
      </c>
      <c r="AI95" s="58">
        <f t="shared" si="8"/>
        <v>960</v>
      </c>
      <c r="AJ95" s="58">
        <f t="shared" si="9"/>
        <v>816</v>
      </c>
    </row>
    <row r="96" s="17" customFormat="1" ht="29" customHeight="1" spans="1:36">
      <c r="A96" s="27" t="s">
        <v>70</v>
      </c>
      <c r="B96" s="28" t="s">
        <v>605</v>
      </c>
      <c r="C96" s="28" t="s">
        <v>606</v>
      </c>
      <c r="D96" s="28" t="s">
        <v>378</v>
      </c>
      <c r="E96" s="28"/>
      <c r="F96" s="28"/>
      <c r="G96" s="28" t="s">
        <v>40</v>
      </c>
      <c r="H96" s="28"/>
      <c r="I96" s="34">
        <v>324</v>
      </c>
      <c r="J96" s="34">
        <v>292</v>
      </c>
      <c r="K96" s="36"/>
      <c r="L96" s="36"/>
      <c r="M96" s="36"/>
      <c r="N96" s="40">
        <v>300</v>
      </c>
      <c r="O96" s="40">
        <v>290</v>
      </c>
      <c r="P96" s="40">
        <v>245</v>
      </c>
      <c r="Q96" s="28" t="s">
        <v>42</v>
      </c>
      <c r="R96" s="36"/>
      <c r="S96" s="31"/>
      <c r="T96" s="46" t="s">
        <v>607</v>
      </c>
      <c r="U96" s="46">
        <v>33020101002</v>
      </c>
      <c r="V96" s="48" t="s">
        <v>608</v>
      </c>
      <c r="W96" s="46"/>
      <c r="X96" s="46"/>
      <c r="Y96" s="46" t="s">
        <v>40</v>
      </c>
      <c r="Z96" s="30" t="s">
        <v>43</v>
      </c>
      <c r="AA96" s="52">
        <v>1405</v>
      </c>
      <c r="AB96" s="51">
        <v>1260</v>
      </c>
      <c r="AC96" s="57">
        <v>1300</v>
      </c>
      <c r="AD96" s="57">
        <v>1250</v>
      </c>
      <c r="AE96" s="57">
        <v>1065</v>
      </c>
      <c r="AF96" s="58">
        <f t="shared" si="5"/>
        <v>6</v>
      </c>
      <c r="AG96" s="58" t="str">
        <f t="shared" si="6"/>
        <v>颅内探查费</v>
      </c>
      <c r="AH96" s="58">
        <f t="shared" si="7"/>
        <v>1300</v>
      </c>
      <c r="AI96" s="58">
        <f t="shared" si="8"/>
        <v>1250</v>
      </c>
      <c r="AJ96" s="58">
        <f t="shared" si="9"/>
        <v>1061</v>
      </c>
    </row>
    <row r="97" s="17" customFormat="1" ht="29" customHeight="1" spans="1:36">
      <c r="A97" s="27" t="s">
        <v>70</v>
      </c>
      <c r="B97" s="28" t="s">
        <v>605</v>
      </c>
      <c r="C97" s="28" t="s">
        <v>606</v>
      </c>
      <c r="D97" s="28" t="s">
        <v>378</v>
      </c>
      <c r="E97" s="28"/>
      <c r="F97" s="28"/>
      <c r="G97" s="28" t="s">
        <v>40</v>
      </c>
      <c r="H97" s="28"/>
      <c r="I97" s="34">
        <v>324</v>
      </c>
      <c r="J97" s="34">
        <v>292</v>
      </c>
      <c r="K97" s="36"/>
      <c r="L97" s="36"/>
      <c r="M97" s="36"/>
      <c r="N97" s="40">
        <v>300</v>
      </c>
      <c r="O97" s="40">
        <v>290</v>
      </c>
      <c r="P97" s="40">
        <v>245</v>
      </c>
      <c r="Q97" s="28" t="s">
        <v>42</v>
      </c>
      <c r="R97" s="36"/>
      <c r="S97" s="31"/>
      <c r="T97" s="46" t="s">
        <v>609</v>
      </c>
      <c r="U97" s="46">
        <v>33020101003</v>
      </c>
      <c r="V97" s="48" t="s">
        <v>610</v>
      </c>
      <c r="W97" s="46"/>
      <c r="X97" s="46"/>
      <c r="Y97" s="46" t="s">
        <v>40</v>
      </c>
      <c r="Z97" s="30" t="s">
        <v>604</v>
      </c>
      <c r="AA97" s="52">
        <v>1755</v>
      </c>
      <c r="AB97" s="51">
        <v>1580</v>
      </c>
      <c r="AC97" s="57">
        <v>1625</v>
      </c>
      <c r="AD97" s="57">
        <v>1560</v>
      </c>
      <c r="AE97" s="57">
        <v>1325</v>
      </c>
      <c r="AF97" s="58">
        <f t="shared" si="5"/>
        <v>6</v>
      </c>
      <c r="AG97" s="58" t="str">
        <f t="shared" si="6"/>
        <v>颅内探查费</v>
      </c>
      <c r="AH97" s="58">
        <f t="shared" si="7"/>
        <v>1300</v>
      </c>
      <c r="AI97" s="58">
        <f t="shared" si="8"/>
        <v>1250</v>
      </c>
      <c r="AJ97" s="58">
        <f t="shared" si="9"/>
        <v>1061</v>
      </c>
    </row>
    <row r="98" s="17" customFormat="1" ht="16" customHeight="1" spans="1:36">
      <c r="A98" s="27">
        <v>40</v>
      </c>
      <c r="B98" s="28" t="s">
        <v>611</v>
      </c>
      <c r="C98" s="28" t="s">
        <v>612</v>
      </c>
      <c r="D98" s="28" t="s">
        <v>378</v>
      </c>
      <c r="E98" s="28" t="s">
        <v>613</v>
      </c>
      <c r="F98" s="28" t="s">
        <v>614</v>
      </c>
      <c r="G98" s="28" t="s">
        <v>40</v>
      </c>
      <c r="H98" s="28" t="s">
        <v>615</v>
      </c>
      <c r="I98" s="34">
        <v>1100</v>
      </c>
      <c r="J98" s="34">
        <v>990</v>
      </c>
      <c r="K98" s="38">
        <v>1930.76599326599</v>
      </c>
      <c r="L98" s="38">
        <v>1775.02262443439</v>
      </c>
      <c r="M98" s="38">
        <v>1530</v>
      </c>
      <c r="N98" s="40">
        <v>1050</v>
      </c>
      <c r="O98" s="40">
        <v>950</v>
      </c>
      <c r="P98" s="40">
        <v>810</v>
      </c>
      <c r="Q98" s="28" t="s">
        <v>42</v>
      </c>
      <c r="R98" s="38" t="s">
        <v>186</v>
      </c>
      <c r="S98" s="28" t="s">
        <v>616</v>
      </c>
      <c r="T98" s="30" t="s">
        <v>617</v>
      </c>
      <c r="U98" s="30">
        <v>310100019</v>
      </c>
      <c r="V98" s="30" t="s">
        <v>618</v>
      </c>
      <c r="W98" s="30"/>
      <c r="X98" s="30"/>
      <c r="Y98" s="30" t="s">
        <v>40</v>
      </c>
      <c r="Z98" s="30" t="s">
        <v>350</v>
      </c>
      <c r="AA98" s="51">
        <v>195</v>
      </c>
      <c r="AB98" s="51">
        <v>175</v>
      </c>
      <c r="AC98" s="57">
        <v>165</v>
      </c>
      <c r="AD98" s="57">
        <v>150</v>
      </c>
      <c r="AE98" s="57">
        <v>127.5</v>
      </c>
      <c r="AF98" s="58">
        <f t="shared" si="5"/>
        <v>0</v>
      </c>
      <c r="AG98" s="58" t="str">
        <f t="shared" si="6"/>
        <v>颅脑穿刺引流费</v>
      </c>
      <c r="AH98" s="58">
        <f t="shared" si="7"/>
        <v>1050</v>
      </c>
      <c r="AI98" s="58">
        <f t="shared" si="8"/>
        <v>950</v>
      </c>
      <c r="AJ98" s="58">
        <f t="shared" si="9"/>
        <v>810</v>
      </c>
    </row>
    <row r="99" s="17" customFormat="1" ht="16" customHeight="1" spans="1:36">
      <c r="A99" s="27">
        <v>40</v>
      </c>
      <c r="B99" s="28" t="s">
        <v>611</v>
      </c>
      <c r="C99" s="28" t="s">
        <v>612</v>
      </c>
      <c r="D99" s="28" t="s">
        <v>378</v>
      </c>
      <c r="E99" s="28" t="s">
        <v>613</v>
      </c>
      <c r="F99" s="28" t="s">
        <v>614</v>
      </c>
      <c r="G99" s="28" t="s">
        <v>40</v>
      </c>
      <c r="H99" s="28" t="s">
        <v>615</v>
      </c>
      <c r="I99" s="34">
        <v>1100</v>
      </c>
      <c r="J99" s="34">
        <v>990</v>
      </c>
      <c r="K99" s="38">
        <v>1930.76599326599</v>
      </c>
      <c r="L99" s="38">
        <v>1775.02262443439</v>
      </c>
      <c r="M99" s="38">
        <v>1530</v>
      </c>
      <c r="N99" s="40">
        <v>1050</v>
      </c>
      <c r="O99" s="40">
        <v>950</v>
      </c>
      <c r="P99" s="40">
        <v>810</v>
      </c>
      <c r="Q99" s="28" t="s">
        <v>42</v>
      </c>
      <c r="R99" s="38" t="s">
        <v>186</v>
      </c>
      <c r="S99" s="28" t="s">
        <v>616</v>
      </c>
      <c r="T99" s="30" t="s">
        <v>619</v>
      </c>
      <c r="U99" s="30">
        <v>330201004</v>
      </c>
      <c r="V99" s="30" t="s">
        <v>620</v>
      </c>
      <c r="W99" s="30" t="s">
        <v>621</v>
      </c>
      <c r="X99" s="30"/>
      <c r="Y99" s="30" t="s">
        <v>40</v>
      </c>
      <c r="Z99" s="30" t="s">
        <v>43</v>
      </c>
      <c r="AA99" s="51">
        <v>875</v>
      </c>
      <c r="AB99" s="51">
        <v>790</v>
      </c>
      <c r="AC99" s="57">
        <v>875</v>
      </c>
      <c r="AD99" s="57">
        <v>840</v>
      </c>
      <c r="AE99" s="57">
        <v>714</v>
      </c>
      <c r="AF99" s="58">
        <f t="shared" si="5"/>
        <v>0</v>
      </c>
      <c r="AG99" s="58" t="str">
        <f t="shared" si="6"/>
        <v>颅脑穿刺引流费</v>
      </c>
      <c r="AH99" s="58">
        <f t="shared" si="7"/>
        <v>1050</v>
      </c>
      <c r="AI99" s="58">
        <f t="shared" si="8"/>
        <v>950</v>
      </c>
      <c r="AJ99" s="58">
        <f t="shared" si="9"/>
        <v>810</v>
      </c>
    </row>
    <row r="100" s="17" customFormat="1" ht="16" customHeight="1" spans="1:36">
      <c r="A100" s="27">
        <v>40</v>
      </c>
      <c r="B100" s="28" t="s">
        <v>611</v>
      </c>
      <c r="C100" s="28" t="s">
        <v>612</v>
      </c>
      <c r="D100" s="28" t="s">
        <v>378</v>
      </c>
      <c r="E100" s="28" t="s">
        <v>613</v>
      </c>
      <c r="F100" s="28" t="s">
        <v>614</v>
      </c>
      <c r="G100" s="28" t="s">
        <v>40</v>
      </c>
      <c r="H100" s="28" t="s">
        <v>615</v>
      </c>
      <c r="I100" s="34">
        <v>1100</v>
      </c>
      <c r="J100" s="34">
        <v>990</v>
      </c>
      <c r="K100" s="38">
        <v>1930.76599326599</v>
      </c>
      <c r="L100" s="38">
        <v>1775.02262443439</v>
      </c>
      <c r="M100" s="38">
        <v>1530</v>
      </c>
      <c r="N100" s="40">
        <v>1050</v>
      </c>
      <c r="O100" s="40">
        <v>950</v>
      </c>
      <c r="P100" s="40">
        <v>810</v>
      </c>
      <c r="Q100" s="28" t="s">
        <v>42</v>
      </c>
      <c r="R100" s="38" t="s">
        <v>186</v>
      </c>
      <c r="S100" s="28" t="s">
        <v>616</v>
      </c>
      <c r="T100" s="30" t="s">
        <v>622</v>
      </c>
      <c r="U100" s="30">
        <v>33020100401</v>
      </c>
      <c r="V100" s="30" t="s">
        <v>623</v>
      </c>
      <c r="W100" s="30"/>
      <c r="X100" s="30"/>
      <c r="Y100" s="30" t="s">
        <v>40</v>
      </c>
      <c r="Z100" s="30" t="s">
        <v>43</v>
      </c>
      <c r="AA100" s="51">
        <v>875</v>
      </c>
      <c r="AB100" s="51">
        <v>790</v>
      </c>
      <c r="AC100" s="57">
        <v>875</v>
      </c>
      <c r="AD100" s="57">
        <v>840</v>
      </c>
      <c r="AE100" s="57">
        <v>714</v>
      </c>
      <c r="AF100" s="58">
        <f t="shared" si="5"/>
        <v>0</v>
      </c>
      <c r="AG100" s="58" t="str">
        <f t="shared" si="6"/>
        <v>颅脑穿刺引流费</v>
      </c>
      <c r="AH100" s="58">
        <f t="shared" si="7"/>
        <v>1050</v>
      </c>
      <c r="AI100" s="58">
        <f t="shared" si="8"/>
        <v>950</v>
      </c>
      <c r="AJ100" s="58">
        <f t="shared" si="9"/>
        <v>810</v>
      </c>
    </row>
    <row r="101" s="17" customFormat="1" ht="16" customHeight="1" spans="1:36">
      <c r="A101" s="27">
        <v>40</v>
      </c>
      <c r="B101" s="28" t="s">
        <v>611</v>
      </c>
      <c r="C101" s="28" t="s">
        <v>612</v>
      </c>
      <c r="D101" s="28" t="s">
        <v>378</v>
      </c>
      <c r="E101" s="28" t="s">
        <v>613</v>
      </c>
      <c r="F101" s="28" t="s">
        <v>614</v>
      </c>
      <c r="G101" s="28" t="s">
        <v>40</v>
      </c>
      <c r="H101" s="28" t="s">
        <v>615</v>
      </c>
      <c r="I101" s="34">
        <v>1100</v>
      </c>
      <c r="J101" s="34">
        <v>990</v>
      </c>
      <c r="K101" s="38">
        <v>1930.76599326599</v>
      </c>
      <c r="L101" s="38">
        <v>1775.02262443439</v>
      </c>
      <c r="M101" s="38">
        <v>1530</v>
      </c>
      <c r="N101" s="40">
        <v>1050</v>
      </c>
      <c r="O101" s="40">
        <v>950</v>
      </c>
      <c r="P101" s="40">
        <v>810</v>
      </c>
      <c r="Q101" s="28" t="s">
        <v>42</v>
      </c>
      <c r="R101" s="38" t="s">
        <v>186</v>
      </c>
      <c r="S101" s="28" t="s">
        <v>616</v>
      </c>
      <c r="T101" s="46" t="s">
        <v>624</v>
      </c>
      <c r="U101" s="46">
        <v>310100018</v>
      </c>
      <c r="V101" s="48" t="s">
        <v>625</v>
      </c>
      <c r="W101" s="46"/>
      <c r="X101" s="46"/>
      <c r="Y101" s="46" t="s">
        <v>40</v>
      </c>
      <c r="Z101" s="30" t="s">
        <v>43</v>
      </c>
      <c r="AA101" s="52"/>
      <c r="AB101" s="51" t="s">
        <v>43</v>
      </c>
      <c r="AC101" s="57" t="s">
        <v>43</v>
      </c>
      <c r="AD101" s="57" t="s">
        <v>43</v>
      </c>
      <c r="AE101" s="57" t="s">
        <v>43</v>
      </c>
      <c r="AF101" s="58">
        <f t="shared" si="5"/>
        <v>0</v>
      </c>
      <c r="AG101" s="58" t="str">
        <f t="shared" si="6"/>
        <v>颅脑穿刺引流费</v>
      </c>
      <c r="AH101" s="58">
        <f t="shared" si="7"/>
        <v>1050</v>
      </c>
      <c r="AI101" s="58">
        <f t="shared" si="8"/>
        <v>950</v>
      </c>
      <c r="AJ101" s="58">
        <f t="shared" si="9"/>
        <v>810</v>
      </c>
    </row>
    <row r="102" s="17" customFormat="1" ht="16" customHeight="1" spans="1:36">
      <c r="A102" s="27">
        <v>40</v>
      </c>
      <c r="B102" s="28" t="s">
        <v>611</v>
      </c>
      <c r="C102" s="28" t="s">
        <v>612</v>
      </c>
      <c r="D102" s="28" t="s">
        <v>378</v>
      </c>
      <c r="E102" s="28" t="s">
        <v>613</v>
      </c>
      <c r="F102" s="28" t="s">
        <v>614</v>
      </c>
      <c r="G102" s="28" t="s">
        <v>40</v>
      </c>
      <c r="H102" s="28" t="s">
        <v>615</v>
      </c>
      <c r="I102" s="34">
        <v>1100</v>
      </c>
      <c r="J102" s="34">
        <v>990</v>
      </c>
      <c r="K102" s="38">
        <v>1930.76599326599</v>
      </c>
      <c r="L102" s="38">
        <v>1775.02262443439</v>
      </c>
      <c r="M102" s="38">
        <v>1530</v>
      </c>
      <c r="N102" s="40">
        <v>1050</v>
      </c>
      <c r="O102" s="40">
        <v>950</v>
      </c>
      <c r="P102" s="40">
        <v>810</v>
      </c>
      <c r="Q102" s="28" t="s">
        <v>42</v>
      </c>
      <c r="R102" s="38" t="s">
        <v>186</v>
      </c>
      <c r="S102" s="28" t="s">
        <v>616</v>
      </c>
      <c r="T102" s="30" t="s">
        <v>626</v>
      </c>
      <c r="U102" s="30">
        <v>330201013</v>
      </c>
      <c r="V102" s="30" t="s">
        <v>627</v>
      </c>
      <c r="W102" s="30" t="s">
        <v>628</v>
      </c>
      <c r="X102" s="30"/>
      <c r="Y102" s="30" t="s">
        <v>40</v>
      </c>
      <c r="Z102" s="30" t="s">
        <v>43</v>
      </c>
      <c r="AA102" s="51">
        <v>2030</v>
      </c>
      <c r="AB102" s="51">
        <v>1820</v>
      </c>
      <c r="AC102" s="57">
        <v>1875</v>
      </c>
      <c r="AD102" s="57">
        <v>1800</v>
      </c>
      <c r="AE102" s="57">
        <v>1530</v>
      </c>
      <c r="AF102" s="58">
        <f t="shared" si="5"/>
        <v>0</v>
      </c>
      <c r="AG102" s="58" t="str">
        <f t="shared" si="6"/>
        <v>颅脑穿刺引流费</v>
      </c>
      <c r="AH102" s="58">
        <f t="shared" si="7"/>
        <v>1050</v>
      </c>
      <c r="AI102" s="58">
        <f t="shared" si="8"/>
        <v>950</v>
      </c>
      <c r="AJ102" s="58">
        <f t="shared" si="9"/>
        <v>810</v>
      </c>
    </row>
    <row r="103" s="17" customFormat="1" ht="16" customHeight="1" spans="1:36">
      <c r="A103" s="27">
        <v>40</v>
      </c>
      <c r="B103" s="28" t="s">
        <v>611</v>
      </c>
      <c r="C103" s="28" t="s">
        <v>612</v>
      </c>
      <c r="D103" s="28" t="s">
        <v>378</v>
      </c>
      <c r="E103" s="28" t="s">
        <v>613</v>
      </c>
      <c r="F103" s="28" t="s">
        <v>614</v>
      </c>
      <c r="G103" s="28" t="s">
        <v>40</v>
      </c>
      <c r="H103" s="28" t="s">
        <v>615</v>
      </c>
      <c r="I103" s="34">
        <v>1100</v>
      </c>
      <c r="J103" s="34">
        <v>990</v>
      </c>
      <c r="K103" s="38">
        <v>1930.76599326599</v>
      </c>
      <c r="L103" s="38">
        <v>1775.02262443439</v>
      </c>
      <c r="M103" s="38">
        <v>1530</v>
      </c>
      <c r="N103" s="40">
        <v>1050</v>
      </c>
      <c r="O103" s="40">
        <v>950</v>
      </c>
      <c r="P103" s="40">
        <v>810</v>
      </c>
      <c r="Q103" s="28" t="s">
        <v>42</v>
      </c>
      <c r="R103" s="38" t="s">
        <v>186</v>
      </c>
      <c r="S103" s="28" t="s">
        <v>616</v>
      </c>
      <c r="T103" s="46" t="s">
        <v>629</v>
      </c>
      <c r="U103" s="46">
        <v>33020101302</v>
      </c>
      <c r="V103" s="48" t="s">
        <v>630</v>
      </c>
      <c r="W103" s="46"/>
      <c r="X103" s="46"/>
      <c r="Y103" s="46" t="s">
        <v>40</v>
      </c>
      <c r="Z103" s="30" t="s">
        <v>43</v>
      </c>
      <c r="AA103" s="52">
        <v>2830</v>
      </c>
      <c r="AB103" s="51">
        <v>2540</v>
      </c>
      <c r="AC103" s="57">
        <v>2250</v>
      </c>
      <c r="AD103" s="57">
        <v>2160</v>
      </c>
      <c r="AE103" s="57">
        <v>1656</v>
      </c>
      <c r="AF103" s="58">
        <f t="shared" si="5"/>
        <v>0</v>
      </c>
      <c r="AG103" s="58" t="str">
        <f t="shared" si="6"/>
        <v>颅脑穿刺引流费</v>
      </c>
      <c r="AH103" s="58">
        <f t="shared" si="7"/>
        <v>1050</v>
      </c>
      <c r="AI103" s="58">
        <f t="shared" si="8"/>
        <v>950</v>
      </c>
      <c r="AJ103" s="58">
        <f t="shared" si="9"/>
        <v>810</v>
      </c>
    </row>
    <row r="104" s="17" customFormat="1" ht="16" customHeight="1" spans="1:36">
      <c r="A104" s="27" t="s">
        <v>70</v>
      </c>
      <c r="B104" s="28" t="s">
        <v>631</v>
      </c>
      <c r="C104" s="28" t="s">
        <v>632</v>
      </c>
      <c r="D104" s="28" t="s">
        <v>378</v>
      </c>
      <c r="E104" s="28"/>
      <c r="F104" s="28"/>
      <c r="G104" s="28" t="s">
        <v>40</v>
      </c>
      <c r="H104" s="28"/>
      <c r="I104" s="34">
        <v>330</v>
      </c>
      <c r="J104" s="34">
        <v>297</v>
      </c>
      <c r="K104" s="36"/>
      <c r="L104" s="36"/>
      <c r="M104" s="36"/>
      <c r="N104" s="40">
        <v>315</v>
      </c>
      <c r="O104" s="40">
        <v>285</v>
      </c>
      <c r="P104" s="40">
        <v>245</v>
      </c>
      <c r="Q104" s="28" t="s">
        <v>42</v>
      </c>
      <c r="R104" s="36"/>
      <c r="S104" s="28" t="s">
        <v>384</v>
      </c>
      <c r="T104" s="46" t="s">
        <v>633</v>
      </c>
      <c r="U104" s="46">
        <v>31010001901</v>
      </c>
      <c r="V104" s="48" t="s">
        <v>634</v>
      </c>
      <c r="W104" s="46"/>
      <c r="X104" s="46"/>
      <c r="Y104" s="46" t="s">
        <v>40</v>
      </c>
      <c r="Z104" s="30" t="s">
        <v>43</v>
      </c>
      <c r="AA104" s="52">
        <v>255</v>
      </c>
      <c r="AB104" s="51">
        <v>230</v>
      </c>
      <c r="AC104" s="57">
        <v>215</v>
      </c>
      <c r="AD104" s="57">
        <v>195</v>
      </c>
      <c r="AE104" s="57">
        <v>165</v>
      </c>
      <c r="AF104" s="58">
        <f t="shared" si="5"/>
        <v>8</v>
      </c>
      <c r="AG104" s="58" t="str">
        <f t="shared" si="6"/>
        <v>颅脑穿刺引流费</v>
      </c>
      <c r="AH104" s="58">
        <f t="shared" si="7"/>
        <v>1365</v>
      </c>
      <c r="AI104" s="58">
        <f t="shared" si="8"/>
        <v>1235</v>
      </c>
      <c r="AJ104" s="58">
        <f t="shared" si="9"/>
        <v>1055</v>
      </c>
    </row>
    <row r="105" s="17" customFormat="1" ht="16" customHeight="1" spans="1:36">
      <c r="A105" s="27" t="s">
        <v>70</v>
      </c>
      <c r="B105" s="28" t="s">
        <v>631</v>
      </c>
      <c r="C105" s="28" t="s">
        <v>632</v>
      </c>
      <c r="D105" s="28" t="s">
        <v>378</v>
      </c>
      <c r="E105" s="28"/>
      <c r="F105" s="28"/>
      <c r="G105" s="28" t="s">
        <v>40</v>
      </c>
      <c r="H105" s="28"/>
      <c r="I105" s="34">
        <v>330</v>
      </c>
      <c r="J105" s="34">
        <v>297</v>
      </c>
      <c r="K105" s="36"/>
      <c r="L105" s="36"/>
      <c r="M105" s="36"/>
      <c r="N105" s="40">
        <v>315</v>
      </c>
      <c r="O105" s="40">
        <v>285</v>
      </c>
      <c r="P105" s="40">
        <v>245</v>
      </c>
      <c r="Q105" s="28" t="s">
        <v>42</v>
      </c>
      <c r="R105" s="36"/>
      <c r="S105" s="28" t="s">
        <v>384</v>
      </c>
      <c r="T105" s="46" t="s">
        <v>635</v>
      </c>
      <c r="U105" s="46">
        <v>33020100402</v>
      </c>
      <c r="V105" s="48" t="s">
        <v>636</v>
      </c>
      <c r="W105" s="46"/>
      <c r="X105" s="46"/>
      <c r="Y105" s="46" t="s">
        <v>40</v>
      </c>
      <c r="Z105" s="30" t="s">
        <v>43</v>
      </c>
      <c r="AA105" s="52">
        <v>1140</v>
      </c>
      <c r="AB105" s="51">
        <v>1025</v>
      </c>
      <c r="AC105" s="57">
        <v>1140</v>
      </c>
      <c r="AD105" s="57">
        <v>1090</v>
      </c>
      <c r="AE105" s="57">
        <v>925</v>
      </c>
      <c r="AF105" s="58">
        <f t="shared" si="5"/>
        <v>8</v>
      </c>
      <c r="AG105" s="58" t="str">
        <f t="shared" si="6"/>
        <v>颅脑穿刺引流费</v>
      </c>
      <c r="AH105" s="58">
        <f t="shared" si="7"/>
        <v>1365</v>
      </c>
      <c r="AI105" s="58">
        <f t="shared" si="8"/>
        <v>1235</v>
      </c>
      <c r="AJ105" s="58">
        <f t="shared" si="9"/>
        <v>1055</v>
      </c>
    </row>
    <row r="106" s="17" customFormat="1" ht="16" customHeight="1" spans="1:36">
      <c r="A106" s="27" t="s">
        <v>70</v>
      </c>
      <c r="B106" s="28" t="s">
        <v>631</v>
      </c>
      <c r="C106" s="28" t="s">
        <v>632</v>
      </c>
      <c r="D106" s="28" t="s">
        <v>378</v>
      </c>
      <c r="E106" s="28"/>
      <c r="F106" s="28"/>
      <c r="G106" s="28" t="s">
        <v>40</v>
      </c>
      <c r="H106" s="28"/>
      <c r="I106" s="34">
        <v>330</v>
      </c>
      <c r="J106" s="34">
        <v>297</v>
      </c>
      <c r="K106" s="36"/>
      <c r="L106" s="36"/>
      <c r="M106" s="36"/>
      <c r="N106" s="40">
        <v>315</v>
      </c>
      <c r="O106" s="40">
        <v>285</v>
      </c>
      <c r="P106" s="40">
        <v>245</v>
      </c>
      <c r="Q106" s="28" t="s">
        <v>42</v>
      </c>
      <c r="R106" s="36"/>
      <c r="S106" s="28" t="s">
        <v>384</v>
      </c>
      <c r="T106" s="30" t="s">
        <v>637</v>
      </c>
      <c r="U106" s="30">
        <v>33020101301</v>
      </c>
      <c r="V106" s="30" t="s">
        <v>638</v>
      </c>
      <c r="W106" s="30"/>
      <c r="X106" s="30"/>
      <c r="Y106" s="30" t="s">
        <v>40</v>
      </c>
      <c r="Z106" s="30" t="s">
        <v>43</v>
      </c>
      <c r="AA106" s="51">
        <v>2640</v>
      </c>
      <c r="AB106" s="51">
        <v>2365</v>
      </c>
      <c r="AC106" s="57">
        <v>2440</v>
      </c>
      <c r="AD106" s="57">
        <v>2340</v>
      </c>
      <c r="AE106" s="57">
        <v>1990</v>
      </c>
      <c r="AF106" s="58">
        <f t="shared" si="5"/>
        <v>8</v>
      </c>
      <c r="AG106" s="58" t="str">
        <f t="shared" si="6"/>
        <v>颅脑穿刺引流费</v>
      </c>
      <c r="AH106" s="58">
        <f t="shared" si="7"/>
        <v>1365</v>
      </c>
      <c r="AI106" s="58">
        <f t="shared" si="8"/>
        <v>1235</v>
      </c>
      <c r="AJ106" s="58">
        <f t="shared" si="9"/>
        <v>1055</v>
      </c>
    </row>
    <row r="107" s="17" customFormat="1" ht="16" customHeight="1" spans="1:36">
      <c r="A107" s="27" t="s">
        <v>70</v>
      </c>
      <c r="B107" s="28" t="s">
        <v>631</v>
      </c>
      <c r="C107" s="28" t="s">
        <v>632</v>
      </c>
      <c r="D107" s="28" t="s">
        <v>378</v>
      </c>
      <c r="E107" s="28"/>
      <c r="F107" s="28"/>
      <c r="G107" s="28" t="s">
        <v>40</v>
      </c>
      <c r="H107" s="28"/>
      <c r="I107" s="34">
        <v>330</v>
      </c>
      <c r="J107" s="34">
        <v>297</v>
      </c>
      <c r="K107" s="36"/>
      <c r="L107" s="36"/>
      <c r="M107" s="36"/>
      <c r="N107" s="40">
        <v>315</v>
      </c>
      <c r="O107" s="40">
        <v>285</v>
      </c>
      <c r="P107" s="40">
        <v>245</v>
      </c>
      <c r="Q107" s="28" t="s">
        <v>42</v>
      </c>
      <c r="R107" s="36"/>
      <c r="S107" s="28" t="s">
        <v>384</v>
      </c>
      <c r="T107" s="46" t="s">
        <v>639</v>
      </c>
      <c r="U107" s="46">
        <v>33020101303</v>
      </c>
      <c r="V107" s="48" t="s">
        <v>640</v>
      </c>
      <c r="W107" s="46"/>
      <c r="X107" s="46"/>
      <c r="Y107" s="46" t="s">
        <v>40</v>
      </c>
      <c r="Z107" s="30" t="s">
        <v>43</v>
      </c>
      <c r="AA107" s="52">
        <v>3440</v>
      </c>
      <c r="AB107" s="51">
        <v>3085</v>
      </c>
      <c r="AC107" s="57">
        <v>2815</v>
      </c>
      <c r="AD107" s="57">
        <v>2700</v>
      </c>
      <c r="AE107" s="57">
        <v>2295</v>
      </c>
      <c r="AF107" s="58">
        <f t="shared" si="5"/>
        <v>8</v>
      </c>
      <c r="AG107" s="58" t="str">
        <f t="shared" si="6"/>
        <v>颅脑穿刺引流费</v>
      </c>
      <c r="AH107" s="58">
        <f t="shared" si="7"/>
        <v>1365</v>
      </c>
      <c r="AI107" s="58">
        <f t="shared" si="8"/>
        <v>1235</v>
      </c>
      <c r="AJ107" s="58">
        <f t="shared" si="9"/>
        <v>1055</v>
      </c>
    </row>
    <row r="108" s="17" customFormat="1" ht="20" customHeight="1" spans="1:36">
      <c r="A108" s="27" t="s">
        <v>70</v>
      </c>
      <c r="B108" s="28" t="s">
        <v>641</v>
      </c>
      <c r="C108" s="28" t="s">
        <v>642</v>
      </c>
      <c r="D108" s="28" t="s">
        <v>378</v>
      </c>
      <c r="E108" s="28"/>
      <c r="F108" s="28"/>
      <c r="G108" s="28" t="s">
        <v>40</v>
      </c>
      <c r="H108" s="28"/>
      <c r="I108" s="34">
        <v>220</v>
      </c>
      <c r="J108" s="34">
        <v>198</v>
      </c>
      <c r="K108" s="35">
        <v>-450.920107719928</v>
      </c>
      <c r="L108" s="35">
        <v>-21.2222222222222</v>
      </c>
      <c r="M108" s="59"/>
      <c r="N108" s="40">
        <v>210</v>
      </c>
      <c r="O108" s="40">
        <v>190</v>
      </c>
      <c r="P108" s="40">
        <v>162</v>
      </c>
      <c r="Q108" s="28" t="s">
        <v>42</v>
      </c>
      <c r="R108" s="36"/>
      <c r="S108" s="28" t="s">
        <v>643</v>
      </c>
      <c r="T108" s="30" t="s">
        <v>644</v>
      </c>
      <c r="U108" s="30">
        <v>310100017</v>
      </c>
      <c r="V108" s="30" t="s">
        <v>645</v>
      </c>
      <c r="W108" s="30" t="s">
        <v>646</v>
      </c>
      <c r="X108" s="30"/>
      <c r="Y108" s="30" t="s">
        <v>40</v>
      </c>
      <c r="Z108" s="30" t="s">
        <v>350</v>
      </c>
      <c r="AA108" s="51">
        <v>195</v>
      </c>
      <c r="AB108" s="51">
        <v>175</v>
      </c>
      <c r="AC108" s="57">
        <v>165</v>
      </c>
      <c r="AD108" s="57">
        <v>150</v>
      </c>
      <c r="AE108" s="57">
        <v>127.5</v>
      </c>
      <c r="AF108" s="58">
        <f t="shared" si="5"/>
        <v>0</v>
      </c>
      <c r="AG108" s="58" t="str">
        <f t="shared" si="6"/>
        <v>颅脑穿刺引流费-脑内穿刺引流（加收）</v>
      </c>
      <c r="AH108" s="58">
        <f t="shared" si="7"/>
        <v>210</v>
      </c>
      <c r="AI108" s="58">
        <f t="shared" si="8"/>
        <v>190</v>
      </c>
      <c r="AJ108" s="58">
        <f t="shared" si="9"/>
        <v>162</v>
      </c>
    </row>
    <row r="109" s="17" customFormat="1" ht="20" customHeight="1" spans="1:36">
      <c r="A109" s="27" t="s">
        <v>70</v>
      </c>
      <c r="B109" s="28" t="s">
        <v>641</v>
      </c>
      <c r="C109" s="28" t="s">
        <v>642</v>
      </c>
      <c r="D109" s="28" t="s">
        <v>378</v>
      </c>
      <c r="E109" s="28"/>
      <c r="F109" s="28"/>
      <c r="G109" s="28" t="s">
        <v>40</v>
      </c>
      <c r="H109" s="28"/>
      <c r="I109" s="34">
        <v>220</v>
      </c>
      <c r="J109" s="34">
        <v>198</v>
      </c>
      <c r="K109" s="35">
        <v>-450.920107719928</v>
      </c>
      <c r="L109" s="35">
        <v>-21.2222222222222</v>
      </c>
      <c r="M109" s="59"/>
      <c r="N109" s="40">
        <v>210</v>
      </c>
      <c r="O109" s="40">
        <v>190</v>
      </c>
      <c r="P109" s="40">
        <v>162</v>
      </c>
      <c r="Q109" s="28" t="s">
        <v>42</v>
      </c>
      <c r="R109" s="36"/>
      <c r="S109" s="28" t="s">
        <v>643</v>
      </c>
      <c r="T109" s="46" t="s">
        <v>647</v>
      </c>
      <c r="U109" s="46">
        <v>31010001702</v>
      </c>
      <c r="V109" s="48" t="s">
        <v>648</v>
      </c>
      <c r="W109" s="46"/>
      <c r="X109" s="46"/>
      <c r="Y109" s="46" t="s">
        <v>40</v>
      </c>
      <c r="Z109" s="30" t="s">
        <v>649</v>
      </c>
      <c r="AA109" s="52">
        <v>195</v>
      </c>
      <c r="AB109" s="51">
        <v>175</v>
      </c>
      <c r="AC109" s="57">
        <v>165</v>
      </c>
      <c r="AD109" s="57">
        <v>150</v>
      </c>
      <c r="AE109" s="57">
        <v>127.5</v>
      </c>
      <c r="AF109" s="58">
        <f t="shared" si="5"/>
        <v>0</v>
      </c>
      <c r="AG109" s="58" t="str">
        <f t="shared" si="6"/>
        <v>颅脑穿刺引流费-脑内穿刺引流（加收）</v>
      </c>
      <c r="AH109" s="58">
        <f t="shared" si="7"/>
        <v>210</v>
      </c>
      <c r="AI109" s="58">
        <f t="shared" si="8"/>
        <v>190</v>
      </c>
      <c r="AJ109" s="58">
        <f t="shared" si="9"/>
        <v>162</v>
      </c>
    </row>
    <row r="110" s="17" customFormat="1" ht="20" customHeight="1" spans="1:36">
      <c r="A110" s="27" t="s">
        <v>70</v>
      </c>
      <c r="B110" s="28" t="s">
        <v>641</v>
      </c>
      <c r="C110" s="28" t="s">
        <v>642</v>
      </c>
      <c r="D110" s="28" t="s">
        <v>378</v>
      </c>
      <c r="E110" s="28"/>
      <c r="F110" s="28"/>
      <c r="G110" s="28" t="s">
        <v>40</v>
      </c>
      <c r="H110" s="28"/>
      <c r="I110" s="34">
        <v>220</v>
      </c>
      <c r="J110" s="34">
        <v>198</v>
      </c>
      <c r="K110" s="35">
        <v>-450.920107719928</v>
      </c>
      <c r="L110" s="35">
        <v>-21.2222222222222</v>
      </c>
      <c r="M110" s="59"/>
      <c r="N110" s="40">
        <v>210</v>
      </c>
      <c r="O110" s="40">
        <v>190</v>
      </c>
      <c r="P110" s="40">
        <v>162</v>
      </c>
      <c r="Q110" s="28" t="s">
        <v>42</v>
      </c>
      <c r="R110" s="36"/>
      <c r="S110" s="28" t="s">
        <v>643</v>
      </c>
      <c r="T110" s="46" t="s">
        <v>650</v>
      </c>
      <c r="U110" s="46">
        <v>31010001703</v>
      </c>
      <c r="V110" s="48" t="s">
        <v>651</v>
      </c>
      <c r="W110" s="46"/>
      <c r="X110" s="46"/>
      <c r="Y110" s="46" t="s">
        <v>40</v>
      </c>
      <c r="Z110" s="30" t="s">
        <v>43</v>
      </c>
      <c r="AA110" s="52">
        <v>255</v>
      </c>
      <c r="AB110" s="51">
        <v>230</v>
      </c>
      <c r="AC110" s="57">
        <v>215</v>
      </c>
      <c r="AD110" s="57">
        <v>195</v>
      </c>
      <c r="AE110" s="57">
        <v>165</v>
      </c>
      <c r="AF110" s="58">
        <f t="shared" si="5"/>
        <v>0</v>
      </c>
      <c r="AG110" s="58" t="str">
        <f t="shared" si="6"/>
        <v>颅脑穿刺引流费-脑内穿刺引流（加收）</v>
      </c>
      <c r="AH110" s="58">
        <f t="shared" si="7"/>
        <v>210</v>
      </c>
      <c r="AI110" s="58">
        <f t="shared" si="8"/>
        <v>190</v>
      </c>
      <c r="AJ110" s="58">
        <f t="shared" si="9"/>
        <v>162</v>
      </c>
    </row>
    <row r="111" s="17" customFormat="1" ht="20" customHeight="1" spans="1:36">
      <c r="A111" s="27" t="s">
        <v>70</v>
      </c>
      <c r="B111" s="28" t="s">
        <v>641</v>
      </c>
      <c r="C111" s="28" t="s">
        <v>642</v>
      </c>
      <c r="D111" s="28" t="s">
        <v>378</v>
      </c>
      <c r="E111" s="28"/>
      <c r="F111" s="28"/>
      <c r="G111" s="28" t="s">
        <v>40</v>
      </c>
      <c r="H111" s="28"/>
      <c r="I111" s="34">
        <v>220</v>
      </c>
      <c r="J111" s="34">
        <v>198</v>
      </c>
      <c r="K111" s="35">
        <v>-450.920107719928</v>
      </c>
      <c r="L111" s="35">
        <v>-21.2222222222222</v>
      </c>
      <c r="M111" s="59"/>
      <c r="N111" s="40">
        <v>210</v>
      </c>
      <c r="O111" s="40">
        <v>190</v>
      </c>
      <c r="P111" s="40">
        <v>162</v>
      </c>
      <c r="Q111" s="28" t="s">
        <v>42</v>
      </c>
      <c r="R111" s="36"/>
      <c r="S111" s="28" t="s">
        <v>643</v>
      </c>
      <c r="T111" s="30" t="s">
        <v>652</v>
      </c>
      <c r="U111" s="30">
        <v>31010001701</v>
      </c>
      <c r="V111" s="30" t="s">
        <v>653</v>
      </c>
      <c r="W111" s="30"/>
      <c r="X111" s="30"/>
      <c r="Y111" s="30" t="s">
        <v>40</v>
      </c>
      <c r="Z111" s="30" t="s">
        <v>654</v>
      </c>
      <c r="AA111" s="51">
        <v>195</v>
      </c>
      <c r="AB111" s="51">
        <v>175</v>
      </c>
      <c r="AC111" s="57">
        <v>165</v>
      </c>
      <c r="AD111" s="57">
        <v>150</v>
      </c>
      <c r="AE111" s="57">
        <v>127.5</v>
      </c>
      <c r="AF111" s="58">
        <f t="shared" si="5"/>
        <v>0</v>
      </c>
      <c r="AG111" s="58" t="str">
        <f t="shared" si="6"/>
        <v>颅脑穿刺引流费-脑内穿刺引流（加收）</v>
      </c>
      <c r="AH111" s="58">
        <f t="shared" si="7"/>
        <v>210</v>
      </c>
      <c r="AI111" s="58">
        <f t="shared" si="8"/>
        <v>190</v>
      </c>
      <c r="AJ111" s="58">
        <f t="shared" si="9"/>
        <v>162</v>
      </c>
    </row>
    <row r="112" s="17" customFormat="1" ht="20" customHeight="1" spans="1:36">
      <c r="A112" s="27" t="s">
        <v>70</v>
      </c>
      <c r="B112" s="28" t="s">
        <v>641</v>
      </c>
      <c r="C112" s="28" t="s">
        <v>642</v>
      </c>
      <c r="D112" s="28" t="s">
        <v>378</v>
      </c>
      <c r="E112" s="28"/>
      <c r="F112" s="28"/>
      <c r="G112" s="28" t="s">
        <v>40</v>
      </c>
      <c r="H112" s="28"/>
      <c r="I112" s="34">
        <v>220</v>
      </c>
      <c r="J112" s="34">
        <v>198</v>
      </c>
      <c r="K112" s="35">
        <v>-450.920107719928</v>
      </c>
      <c r="L112" s="35">
        <v>-21.2222222222222</v>
      </c>
      <c r="M112" s="59"/>
      <c r="N112" s="40">
        <v>210</v>
      </c>
      <c r="O112" s="40">
        <v>190</v>
      </c>
      <c r="P112" s="40">
        <v>162</v>
      </c>
      <c r="Q112" s="28" t="s">
        <v>42</v>
      </c>
      <c r="R112" s="36"/>
      <c r="S112" s="28" t="s">
        <v>643</v>
      </c>
      <c r="T112" s="30" t="s">
        <v>655</v>
      </c>
      <c r="U112" s="30">
        <v>330201005</v>
      </c>
      <c r="V112" s="30" t="s">
        <v>656</v>
      </c>
      <c r="W112" s="30" t="s">
        <v>657</v>
      </c>
      <c r="X112" s="30"/>
      <c r="Y112" s="30" t="s">
        <v>40</v>
      </c>
      <c r="Z112" s="30" t="s">
        <v>43</v>
      </c>
      <c r="AA112" s="51">
        <v>1220</v>
      </c>
      <c r="AB112" s="51">
        <v>1090</v>
      </c>
      <c r="AC112" s="57">
        <v>1125</v>
      </c>
      <c r="AD112" s="57">
        <v>1080</v>
      </c>
      <c r="AE112" s="57">
        <v>918</v>
      </c>
      <c r="AF112" s="58">
        <f t="shared" si="5"/>
        <v>0</v>
      </c>
      <c r="AG112" s="58" t="str">
        <f t="shared" si="6"/>
        <v>颅脑穿刺引流费-脑内穿刺引流（加收）</v>
      </c>
      <c r="AH112" s="58">
        <f t="shared" si="7"/>
        <v>210</v>
      </c>
      <c r="AI112" s="58">
        <f t="shared" si="8"/>
        <v>190</v>
      </c>
      <c r="AJ112" s="58">
        <f t="shared" si="9"/>
        <v>162</v>
      </c>
    </row>
    <row r="113" s="17" customFormat="1" ht="20" customHeight="1" spans="1:36">
      <c r="A113" s="27" t="s">
        <v>70</v>
      </c>
      <c r="B113" s="28" t="s">
        <v>641</v>
      </c>
      <c r="C113" s="28" t="s">
        <v>642</v>
      </c>
      <c r="D113" s="28" t="s">
        <v>378</v>
      </c>
      <c r="E113" s="28"/>
      <c r="F113" s="28"/>
      <c r="G113" s="28" t="s">
        <v>40</v>
      </c>
      <c r="H113" s="28"/>
      <c r="I113" s="34">
        <v>220</v>
      </c>
      <c r="J113" s="34">
        <v>198</v>
      </c>
      <c r="K113" s="35">
        <v>-450.920107719928</v>
      </c>
      <c r="L113" s="35">
        <v>-21.2222222222222</v>
      </c>
      <c r="M113" s="59"/>
      <c r="N113" s="40">
        <v>210</v>
      </c>
      <c r="O113" s="40">
        <v>190</v>
      </c>
      <c r="P113" s="40">
        <v>162</v>
      </c>
      <c r="Q113" s="28" t="s">
        <v>42</v>
      </c>
      <c r="R113" s="36"/>
      <c r="S113" s="28" t="s">
        <v>643</v>
      </c>
      <c r="T113" s="46" t="s">
        <v>658</v>
      </c>
      <c r="U113" s="46">
        <v>33020100501</v>
      </c>
      <c r="V113" s="48" t="s">
        <v>659</v>
      </c>
      <c r="W113" s="46"/>
      <c r="X113" s="46"/>
      <c r="Y113" s="46" t="s">
        <v>40</v>
      </c>
      <c r="Z113" s="30" t="s">
        <v>43</v>
      </c>
      <c r="AA113" s="52">
        <v>1585</v>
      </c>
      <c r="AB113" s="51">
        <v>1415</v>
      </c>
      <c r="AC113" s="57">
        <v>1465</v>
      </c>
      <c r="AD113" s="57">
        <v>1405</v>
      </c>
      <c r="AE113" s="57">
        <v>1195</v>
      </c>
      <c r="AF113" s="58">
        <f t="shared" si="5"/>
        <v>0</v>
      </c>
      <c r="AG113" s="58" t="str">
        <f t="shared" si="6"/>
        <v>颅脑穿刺引流费-脑内穿刺引流（加收）</v>
      </c>
      <c r="AH113" s="58">
        <f t="shared" si="7"/>
        <v>210</v>
      </c>
      <c r="AI113" s="58">
        <f t="shared" si="8"/>
        <v>190</v>
      </c>
      <c r="AJ113" s="58">
        <f t="shared" si="9"/>
        <v>162</v>
      </c>
    </row>
    <row r="114" s="17" customFormat="1" ht="20" customHeight="1" spans="1:36">
      <c r="A114" s="27" t="s">
        <v>70</v>
      </c>
      <c r="B114" s="28" t="s">
        <v>641</v>
      </c>
      <c r="C114" s="28" t="s">
        <v>642</v>
      </c>
      <c r="D114" s="28" t="s">
        <v>378</v>
      </c>
      <c r="E114" s="28"/>
      <c r="F114" s="28"/>
      <c r="G114" s="28" t="s">
        <v>40</v>
      </c>
      <c r="H114" s="28"/>
      <c r="I114" s="34">
        <v>220</v>
      </c>
      <c r="J114" s="34">
        <v>198</v>
      </c>
      <c r="K114" s="35">
        <v>-450.920107719928</v>
      </c>
      <c r="L114" s="35">
        <v>-21.2222222222222</v>
      </c>
      <c r="M114" s="59"/>
      <c r="N114" s="40">
        <v>210</v>
      </c>
      <c r="O114" s="40">
        <v>190</v>
      </c>
      <c r="P114" s="40">
        <v>162</v>
      </c>
      <c r="Q114" s="28" t="s">
        <v>42</v>
      </c>
      <c r="R114" s="36"/>
      <c r="S114" s="28" t="s">
        <v>643</v>
      </c>
      <c r="T114" s="30" t="s">
        <v>660</v>
      </c>
      <c r="U114" s="30">
        <v>330201020</v>
      </c>
      <c r="V114" s="30" t="s">
        <v>661</v>
      </c>
      <c r="W114" s="30"/>
      <c r="X114" s="30"/>
      <c r="Y114" s="30" t="s">
        <v>40</v>
      </c>
      <c r="Z114" s="30" t="s">
        <v>43</v>
      </c>
      <c r="AA114" s="51">
        <v>1000</v>
      </c>
      <c r="AB114" s="51">
        <v>900</v>
      </c>
      <c r="AC114" s="57">
        <v>1000</v>
      </c>
      <c r="AD114" s="57">
        <v>960</v>
      </c>
      <c r="AE114" s="57">
        <v>816</v>
      </c>
      <c r="AF114" s="58">
        <f t="shared" si="5"/>
        <v>0</v>
      </c>
      <c r="AG114" s="58" t="str">
        <f t="shared" si="6"/>
        <v>颅脑穿刺引流费-脑内穿刺引流（加收）</v>
      </c>
      <c r="AH114" s="58">
        <f t="shared" si="7"/>
        <v>210</v>
      </c>
      <c r="AI114" s="58">
        <f t="shared" si="8"/>
        <v>190</v>
      </c>
      <c r="AJ114" s="58">
        <f t="shared" si="9"/>
        <v>162</v>
      </c>
    </row>
    <row r="115" s="17" customFormat="1" ht="20" customHeight="1" spans="1:36">
      <c r="A115" s="27" t="s">
        <v>70</v>
      </c>
      <c r="B115" s="28" t="s">
        <v>641</v>
      </c>
      <c r="C115" s="28" t="s">
        <v>642</v>
      </c>
      <c r="D115" s="28" t="s">
        <v>378</v>
      </c>
      <c r="E115" s="28"/>
      <c r="F115" s="28"/>
      <c r="G115" s="28" t="s">
        <v>40</v>
      </c>
      <c r="H115" s="28"/>
      <c r="I115" s="34">
        <v>220</v>
      </c>
      <c r="J115" s="34">
        <v>198</v>
      </c>
      <c r="K115" s="35">
        <v>-450.920107719928</v>
      </c>
      <c r="L115" s="35">
        <v>-21.2222222222222</v>
      </c>
      <c r="M115" s="59"/>
      <c r="N115" s="40">
        <v>210</v>
      </c>
      <c r="O115" s="40">
        <v>190</v>
      </c>
      <c r="P115" s="40">
        <v>162</v>
      </c>
      <c r="Q115" s="28" t="s">
        <v>42</v>
      </c>
      <c r="R115" s="36"/>
      <c r="S115" s="28" t="s">
        <v>643</v>
      </c>
      <c r="T115" s="46" t="s">
        <v>662</v>
      </c>
      <c r="U115" s="46">
        <v>33020102001</v>
      </c>
      <c r="V115" s="48" t="s">
        <v>663</v>
      </c>
      <c r="W115" s="46"/>
      <c r="X115" s="46"/>
      <c r="Y115" s="46" t="s">
        <v>40</v>
      </c>
      <c r="Z115" s="30" t="s">
        <v>43</v>
      </c>
      <c r="AA115" s="52">
        <v>1300</v>
      </c>
      <c r="AB115" s="51">
        <v>1170</v>
      </c>
      <c r="AC115" s="57">
        <v>1300</v>
      </c>
      <c r="AD115" s="57">
        <v>1250</v>
      </c>
      <c r="AE115" s="57">
        <v>1065</v>
      </c>
      <c r="AF115" s="58">
        <f t="shared" si="5"/>
        <v>0</v>
      </c>
      <c r="AG115" s="58" t="str">
        <f t="shared" si="6"/>
        <v>颅脑穿刺引流费-脑内穿刺引流（加收）</v>
      </c>
      <c r="AH115" s="58">
        <f t="shared" si="7"/>
        <v>210</v>
      </c>
      <c r="AI115" s="58">
        <f t="shared" si="8"/>
        <v>190</v>
      </c>
      <c r="AJ115" s="58">
        <f t="shared" si="9"/>
        <v>162</v>
      </c>
    </row>
    <row r="116" s="17" customFormat="1" ht="20" customHeight="1" spans="1:36">
      <c r="A116" s="27" t="s">
        <v>70</v>
      </c>
      <c r="B116" s="28" t="s">
        <v>641</v>
      </c>
      <c r="C116" s="28" t="s">
        <v>642</v>
      </c>
      <c r="D116" s="28" t="s">
        <v>378</v>
      </c>
      <c r="E116" s="28"/>
      <c r="F116" s="28"/>
      <c r="G116" s="28" t="s">
        <v>40</v>
      </c>
      <c r="H116" s="28"/>
      <c r="I116" s="34">
        <v>220</v>
      </c>
      <c r="J116" s="34">
        <v>198</v>
      </c>
      <c r="K116" s="35">
        <v>-450.920107719928</v>
      </c>
      <c r="L116" s="35">
        <v>-21.2222222222222</v>
      </c>
      <c r="M116" s="59"/>
      <c r="N116" s="40">
        <v>210</v>
      </c>
      <c r="O116" s="40">
        <v>190</v>
      </c>
      <c r="P116" s="40">
        <v>162</v>
      </c>
      <c r="Q116" s="28" t="s">
        <v>42</v>
      </c>
      <c r="R116" s="36"/>
      <c r="S116" s="28" t="s">
        <v>643</v>
      </c>
      <c r="T116" s="30" t="s">
        <v>664</v>
      </c>
      <c r="U116" s="30">
        <v>330201021</v>
      </c>
      <c r="V116" s="30" t="s">
        <v>665</v>
      </c>
      <c r="W116" s="30" t="s">
        <v>666</v>
      </c>
      <c r="X116" s="30"/>
      <c r="Y116" s="30" t="s">
        <v>40</v>
      </c>
      <c r="Z116" s="30" t="s">
        <v>43</v>
      </c>
      <c r="AA116" s="51">
        <v>2160</v>
      </c>
      <c r="AB116" s="51">
        <v>1940</v>
      </c>
      <c r="AC116" s="57">
        <v>2000</v>
      </c>
      <c r="AD116" s="57">
        <v>1920</v>
      </c>
      <c r="AE116" s="57">
        <v>1632</v>
      </c>
      <c r="AF116" s="58">
        <f t="shared" si="5"/>
        <v>0</v>
      </c>
      <c r="AG116" s="58" t="str">
        <f t="shared" si="6"/>
        <v>颅脑穿刺引流费-脑内穿刺引流（加收）</v>
      </c>
      <c r="AH116" s="58">
        <f t="shared" si="7"/>
        <v>210</v>
      </c>
      <c r="AI116" s="58">
        <f t="shared" si="8"/>
        <v>190</v>
      </c>
      <c r="AJ116" s="58">
        <f t="shared" si="9"/>
        <v>162</v>
      </c>
    </row>
    <row r="117" s="17" customFormat="1" ht="20" customHeight="1" spans="1:36">
      <c r="A117" s="27" t="s">
        <v>70</v>
      </c>
      <c r="B117" s="28" t="s">
        <v>641</v>
      </c>
      <c r="C117" s="28" t="s">
        <v>642</v>
      </c>
      <c r="D117" s="28" t="s">
        <v>378</v>
      </c>
      <c r="E117" s="28"/>
      <c r="F117" s="28"/>
      <c r="G117" s="28" t="s">
        <v>40</v>
      </c>
      <c r="H117" s="28"/>
      <c r="I117" s="34">
        <v>220</v>
      </c>
      <c r="J117" s="34">
        <v>198</v>
      </c>
      <c r="K117" s="35">
        <v>-450.920107719928</v>
      </c>
      <c r="L117" s="35">
        <v>-21.2222222222222</v>
      </c>
      <c r="M117" s="59"/>
      <c r="N117" s="40">
        <v>210</v>
      </c>
      <c r="O117" s="40">
        <v>190</v>
      </c>
      <c r="P117" s="40">
        <v>162</v>
      </c>
      <c r="Q117" s="28" t="s">
        <v>42</v>
      </c>
      <c r="R117" s="36"/>
      <c r="S117" s="28" t="s">
        <v>643</v>
      </c>
      <c r="T117" s="46" t="s">
        <v>667</v>
      </c>
      <c r="U117" s="46">
        <v>33020102101</v>
      </c>
      <c r="V117" s="48" t="s">
        <v>668</v>
      </c>
      <c r="W117" s="46"/>
      <c r="X117" s="46"/>
      <c r="Y117" s="46" t="s">
        <v>40</v>
      </c>
      <c r="Z117" s="30" t="s">
        <v>43</v>
      </c>
      <c r="AA117" s="52">
        <v>2810</v>
      </c>
      <c r="AB117" s="51">
        <v>2520</v>
      </c>
      <c r="AC117" s="57">
        <v>2600</v>
      </c>
      <c r="AD117" s="57">
        <v>2495</v>
      </c>
      <c r="AE117" s="57">
        <v>2120</v>
      </c>
      <c r="AF117" s="58">
        <f t="shared" si="5"/>
        <v>0</v>
      </c>
      <c r="AG117" s="58" t="str">
        <f t="shared" si="6"/>
        <v>颅脑穿刺引流费-脑内穿刺引流（加收）</v>
      </c>
      <c r="AH117" s="58">
        <f t="shared" si="7"/>
        <v>210</v>
      </c>
      <c r="AI117" s="58">
        <f t="shared" si="8"/>
        <v>190</v>
      </c>
      <c r="AJ117" s="58">
        <f t="shared" si="9"/>
        <v>162</v>
      </c>
    </row>
    <row r="118" s="17" customFormat="1" ht="20" customHeight="1" spans="1:36">
      <c r="A118" s="27" t="s">
        <v>70</v>
      </c>
      <c r="B118" s="28" t="s">
        <v>641</v>
      </c>
      <c r="C118" s="28" t="s">
        <v>642</v>
      </c>
      <c r="D118" s="28" t="s">
        <v>378</v>
      </c>
      <c r="E118" s="28"/>
      <c r="F118" s="28"/>
      <c r="G118" s="28" t="s">
        <v>40</v>
      </c>
      <c r="H118" s="28"/>
      <c r="I118" s="34">
        <v>220</v>
      </c>
      <c r="J118" s="34">
        <v>198</v>
      </c>
      <c r="K118" s="35">
        <v>-450.920107719928</v>
      </c>
      <c r="L118" s="35">
        <v>-21.2222222222222</v>
      </c>
      <c r="M118" s="59"/>
      <c r="N118" s="40">
        <v>210</v>
      </c>
      <c r="O118" s="40">
        <v>190</v>
      </c>
      <c r="P118" s="40">
        <v>162</v>
      </c>
      <c r="Q118" s="28" t="s">
        <v>42</v>
      </c>
      <c r="R118" s="36"/>
      <c r="S118" s="28" t="s">
        <v>643</v>
      </c>
      <c r="T118" s="46" t="s">
        <v>669</v>
      </c>
      <c r="U118" s="46">
        <v>33020102102</v>
      </c>
      <c r="V118" s="48" t="s">
        <v>670</v>
      </c>
      <c r="W118" s="46"/>
      <c r="X118" s="46"/>
      <c r="Y118" s="46" t="s">
        <v>40</v>
      </c>
      <c r="Z118" s="30" t="s">
        <v>43</v>
      </c>
      <c r="AA118" s="52">
        <v>2960</v>
      </c>
      <c r="AB118" s="51">
        <v>2660</v>
      </c>
      <c r="AC118" s="57">
        <v>2375</v>
      </c>
      <c r="AD118" s="57">
        <v>2280</v>
      </c>
      <c r="AE118" s="57">
        <v>1938</v>
      </c>
      <c r="AF118" s="58">
        <f t="shared" si="5"/>
        <v>0</v>
      </c>
      <c r="AG118" s="58" t="str">
        <f t="shared" si="6"/>
        <v>颅脑穿刺引流费-脑内穿刺引流（加收）</v>
      </c>
      <c r="AH118" s="58">
        <f t="shared" si="7"/>
        <v>210</v>
      </c>
      <c r="AI118" s="58">
        <f t="shared" si="8"/>
        <v>190</v>
      </c>
      <c r="AJ118" s="58">
        <f t="shared" si="9"/>
        <v>162</v>
      </c>
    </row>
    <row r="119" s="17" customFormat="1" ht="20" customHeight="1" spans="1:36">
      <c r="A119" s="27" t="s">
        <v>70</v>
      </c>
      <c r="B119" s="28" t="s">
        <v>641</v>
      </c>
      <c r="C119" s="28" t="s">
        <v>642</v>
      </c>
      <c r="D119" s="28" t="s">
        <v>378</v>
      </c>
      <c r="E119" s="28"/>
      <c r="F119" s="28"/>
      <c r="G119" s="28" t="s">
        <v>40</v>
      </c>
      <c r="H119" s="28"/>
      <c r="I119" s="34">
        <v>220</v>
      </c>
      <c r="J119" s="34">
        <v>198</v>
      </c>
      <c r="K119" s="35">
        <v>-450.920107719928</v>
      </c>
      <c r="L119" s="35">
        <v>-21.2222222222222</v>
      </c>
      <c r="M119" s="59"/>
      <c r="N119" s="40">
        <v>210</v>
      </c>
      <c r="O119" s="40">
        <v>190</v>
      </c>
      <c r="P119" s="40">
        <v>162</v>
      </c>
      <c r="Q119" s="28" t="s">
        <v>42</v>
      </c>
      <c r="R119" s="36"/>
      <c r="S119" s="28" t="s">
        <v>643</v>
      </c>
      <c r="T119" s="46" t="s">
        <v>671</v>
      </c>
      <c r="U119" s="46">
        <v>33020102103</v>
      </c>
      <c r="V119" s="48" t="s">
        <v>672</v>
      </c>
      <c r="W119" s="46"/>
      <c r="X119" s="46"/>
      <c r="Y119" s="46" t="s">
        <v>40</v>
      </c>
      <c r="Z119" s="30" t="s">
        <v>43</v>
      </c>
      <c r="AA119" s="52">
        <v>3610</v>
      </c>
      <c r="AB119" s="51">
        <v>3240</v>
      </c>
      <c r="AC119" s="57">
        <v>2975</v>
      </c>
      <c r="AD119" s="57">
        <v>2855</v>
      </c>
      <c r="AE119" s="57">
        <v>2425</v>
      </c>
      <c r="AF119" s="58">
        <f t="shared" si="5"/>
        <v>0</v>
      </c>
      <c r="AG119" s="58" t="str">
        <f t="shared" si="6"/>
        <v>颅脑穿刺引流费-脑内穿刺引流（加收）</v>
      </c>
      <c r="AH119" s="58">
        <f t="shared" si="7"/>
        <v>210</v>
      </c>
      <c r="AI119" s="58">
        <f t="shared" si="8"/>
        <v>190</v>
      </c>
      <c r="AJ119" s="58">
        <f t="shared" si="9"/>
        <v>162</v>
      </c>
    </row>
    <row r="120" s="17" customFormat="1" ht="20" customHeight="1" spans="1:36">
      <c r="A120" s="27" t="s">
        <v>70</v>
      </c>
      <c r="B120" s="28" t="s">
        <v>673</v>
      </c>
      <c r="C120" s="28" t="s">
        <v>674</v>
      </c>
      <c r="D120" s="28" t="s">
        <v>378</v>
      </c>
      <c r="E120" s="28"/>
      <c r="F120" s="28"/>
      <c r="G120" s="28" t="s">
        <v>40</v>
      </c>
      <c r="H120" s="28"/>
      <c r="I120" s="34">
        <v>1100</v>
      </c>
      <c r="J120" s="34">
        <v>990</v>
      </c>
      <c r="K120" s="36"/>
      <c r="L120" s="36"/>
      <c r="M120" s="36"/>
      <c r="N120" s="40">
        <v>1050</v>
      </c>
      <c r="O120" s="40">
        <v>950</v>
      </c>
      <c r="P120" s="40">
        <v>810</v>
      </c>
      <c r="Q120" s="28" t="s">
        <v>42</v>
      </c>
      <c r="R120" s="36"/>
      <c r="S120" s="28" t="s">
        <v>453</v>
      </c>
      <c r="T120" s="30" t="s">
        <v>675</v>
      </c>
      <c r="U120" s="30">
        <v>330204018</v>
      </c>
      <c r="V120" s="30" t="s">
        <v>676</v>
      </c>
      <c r="W120" s="30"/>
      <c r="X120" s="30"/>
      <c r="Y120" s="30" t="s">
        <v>40</v>
      </c>
      <c r="Z120" s="30" t="s">
        <v>43</v>
      </c>
      <c r="AA120" s="51">
        <v>880</v>
      </c>
      <c r="AB120" s="51">
        <v>790</v>
      </c>
      <c r="AC120" s="57">
        <v>795</v>
      </c>
      <c r="AD120" s="57">
        <v>715</v>
      </c>
      <c r="AE120" s="57">
        <v>605</v>
      </c>
      <c r="AF120" s="58">
        <f t="shared" si="5"/>
        <v>0</v>
      </c>
      <c r="AG120" s="58" t="str">
        <f t="shared" si="6"/>
        <v>颅脑穿刺引流费-腰大池穿刺引流（扩展）</v>
      </c>
      <c r="AH120" s="58">
        <f t="shared" si="7"/>
        <v>1050</v>
      </c>
      <c r="AI120" s="58">
        <f t="shared" si="8"/>
        <v>950</v>
      </c>
      <c r="AJ120" s="58">
        <f t="shared" si="9"/>
        <v>810</v>
      </c>
    </row>
    <row r="121" s="17" customFormat="1" ht="20" customHeight="1" spans="1:36">
      <c r="A121" s="27" t="s">
        <v>70</v>
      </c>
      <c r="B121" s="28" t="s">
        <v>673</v>
      </c>
      <c r="C121" s="28" t="s">
        <v>674</v>
      </c>
      <c r="D121" s="28" t="s">
        <v>378</v>
      </c>
      <c r="E121" s="28"/>
      <c r="F121" s="28"/>
      <c r="G121" s="28" t="s">
        <v>40</v>
      </c>
      <c r="H121" s="28"/>
      <c r="I121" s="34">
        <v>1100</v>
      </c>
      <c r="J121" s="34">
        <v>990</v>
      </c>
      <c r="K121" s="36"/>
      <c r="L121" s="36"/>
      <c r="M121" s="36"/>
      <c r="N121" s="40">
        <v>1050</v>
      </c>
      <c r="O121" s="40">
        <v>950</v>
      </c>
      <c r="P121" s="40">
        <v>810</v>
      </c>
      <c r="Q121" s="28" t="s">
        <v>42</v>
      </c>
      <c r="R121" s="36"/>
      <c r="S121" s="28" t="s">
        <v>453</v>
      </c>
      <c r="T121" s="46" t="s">
        <v>677</v>
      </c>
      <c r="U121" s="46">
        <v>33020401801</v>
      </c>
      <c r="V121" s="48" t="s">
        <v>678</v>
      </c>
      <c r="W121" s="50"/>
      <c r="X121" s="50"/>
      <c r="Y121" s="50" t="s">
        <v>40</v>
      </c>
      <c r="Z121" s="30" t="s">
        <v>43</v>
      </c>
      <c r="AA121" s="62">
        <v>1140</v>
      </c>
      <c r="AB121" s="51">
        <v>1030</v>
      </c>
      <c r="AC121" s="57">
        <v>1035</v>
      </c>
      <c r="AD121" s="57">
        <v>930</v>
      </c>
      <c r="AE121" s="57">
        <v>785</v>
      </c>
      <c r="AF121" s="58">
        <f t="shared" si="5"/>
        <v>0</v>
      </c>
      <c r="AG121" s="58" t="str">
        <f t="shared" si="6"/>
        <v>颅脑穿刺引流费-腰大池穿刺引流（扩展）</v>
      </c>
      <c r="AH121" s="58">
        <f t="shared" si="7"/>
        <v>1050</v>
      </c>
      <c r="AI121" s="58">
        <f t="shared" si="8"/>
        <v>950</v>
      </c>
      <c r="AJ121" s="58">
        <f t="shared" si="9"/>
        <v>810</v>
      </c>
    </row>
    <row r="122" s="17" customFormat="1" ht="20" customHeight="1" spans="1:36">
      <c r="A122" s="27" t="s">
        <v>70</v>
      </c>
      <c r="B122" s="28" t="s">
        <v>673</v>
      </c>
      <c r="C122" s="28" t="s">
        <v>674</v>
      </c>
      <c r="D122" s="28" t="s">
        <v>378</v>
      </c>
      <c r="E122" s="28"/>
      <c r="F122" s="28"/>
      <c r="G122" s="28" t="s">
        <v>40</v>
      </c>
      <c r="H122" s="28"/>
      <c r="I122" s="34">
        <v>1100</v>
      </c>
      <c r="J122" s="34">
        <v>990</v>
      </c>
      <c r="K122" s="36"/>
      <c r="L122" s="36"/>
      <c r="M122" s="36"/>
      <c r="N122" s="40">
        <v>1050</v>
      </c>
      <c r="O122" s="40">
        <v>950</v>
      </c>
      <c r="P122" s="40">
        <v>810</v>
      </c>
      <c r="Q122" s="28" t="s">
        <v>42</v>
      </c>
      <c r="R122" s="36"/>
      <c r="S122" s="28" t="s">
        <v>453</v>
      </c>
      <c r="T122" s="46" t="s">
        <v>679</v>
      </c>
      <c r="U122" s="46">
        <v>31010001606</v>
      </c>
      <c r="V122" s="48" t="s">
        <v>680</v>
      </c>
      <c r="W122" s="60"/>
      <c r="X122" s="46"/>
      <c r="Y122" s="46" t="s">
        <v>40</v>
      </c>
      <c r="Z122" s="30" t="s">
        <v>43</v>
      </c>
      <c r="AA122" s="52">
        <v>200</v>
      </c>
      <c r="AB122" s="51">
        <v>180</v>
      </c>
      <c r="AC122" s="57">
        <v>180</v>
      </c>
      <c r="AD122" s="57">
        <v>165</v>
      </c>
      <c r="AE122" s="57">
        <v>140</v>
      </c>
      <c r="AF122" s="58">
        <f t="shared" si="5"/>
        <v>0</v>
      </c>
      <c r="AG122" s="58" t="str">
        <f t="shared" si="6"/>
        <v>颅脑穿刺引流费-腰大池穿刺引流（扩展）</v>
      </c>
      <c r="AH122" s="58">
        <f t="shared" si="7"/>
        <v>1050</v>
      </c>
      <c r="AI122" s="58">
        <f t="shared" si="8"/>
        <v>950</v>
      </c>
      <c r="AJ122" s="58">
        <f t="shared" si="9"/>
        <v>810</v>
      </c>
    </row>
    <row r="123" s="17" customFormat="1" ht="20" customHeight="1" spans="1:36">
      <c r="A123" s="27" t="s">
        <v>70</v>
      </c>
      <c r="B123" s="28" t="s">
        <v>673</v>
      </c>
      <c r="C123" s="28" t="s">
        <v>674</v>
      </c>
      <c r="D123" s="28" t="s">
        <v>378</v>
      </c>
      <c r="E123" s="28"/>
      <c r="F123" s="28"/>
      <c r="G123" s="28" t="s">
        <v>40</v>
      </c>
      <c r="H123" s="28"/>
      <c r="I123" s="34">
        <v>1100</v>
      </c>
      <c r="J123" s="34">
        <v>990</v>
      </c>
      <c r="K123" s="36"/>
      <c r="L123" s="36"/>
      <c r="M123" s="36"/>
      <c r="N123" s="40">
        <v>1050</v>
      </c>
      <c r="O123" s="40">
        <v>950</v>
      </c>
      <c r="P123" s="40">
        <v>810</v>
      </c>
      <c r="Q123" s="28" t="s">
        <v>42</v>
      </c>
      <c r="R123" s="36"/>
      <c r="S123" s="28" t="s">
        <v>453</v>
      </c>
      <c r="T123" s="46" t="s">
        <v>681</v>
      </c>
      <c r="U123" s="46">
        <v>31010001607</v>
      </c>
      <c r="V123" s="48" t="s">
        <v>682</v>
      </c>
      <c r="W123" s="60"/>
      <c r="X123" s="46"/>
      <c r="Y123" s="46" t="s">
        <v>40</v>
      </c>
      <c r="Z123" s="30" t="s">
        <v>43</v>
      </c>
      <c r="AA123" s="52">
        <v>260</v>
      </c>
      <c r="AB123" s="51">
        <v>234</v>
      </c>
      <c r="AC123" s="57">
        <v>235</v>
      </c>
      <c r="AD123" s="57">
        <v>215</v>
      </c>
      <c r="AE123" s="57">
        <v>180</v>
      </c>
      <c r="AF123" s="58">
        <f t="shared" si="5"/>
        <v>0</v>
      </c>
      <c r="AG123" s="58" t="str">
        <f t="shared" si="6"/>
        <v>颅脑穿刺引流费-腰大池穿刺引流（扩展）</v>
      </c>
      <c r="AH123" s="58">
        <f t="shared" si="7"/>
        <v>1050</v>
      </c>
      <c r="AI123" s="58">
        <f t="shared" si="8"/>
        <v>950</v>
      </c>
      <c r="AJ123" s="58">
        <f t="shared" si="9"/>
        <v>810</v>
      </c>
    </row>
    <row r="124" s="17" customFormat="1" ht="103" customHeight="1" spans="1:36">
      <c r="A124" s="29">
        <v>41</v>
      </c>
      <c r="B124" s="30" t="s">
        <v>683</v>
      </c>
      <c r="C124" s="30" t="s">
        <v>684</v>
      </c>
      <c r="D124" s="30" t="s">
        <v>378</v>
      </c>
      <c r="E124" s="31" t="s">
        <v>685</v>
      </c>
      <c r="F124" s="31" t="s">
        <v>686</v>
      </c>
      <c r="G124" s="30" t="s">
        <v>40</v>
      </c>
      <c r="H124" s="31" t="s">
        <v>146</v>
      </c>
      <c r="I124" s="37">
        <v>700</v>
      </c>
      <c r="J124" s="37">
        <v>630</v>
      </c>
      <c r="K124" s="36">
        <v>250</v>
      </c>
      <c r="L124" s="36">
        <v>240</v>
      </c>
      <c r="M124" s="36">
        <v>204</v>
      </c>
      <c r="N124" s="41">
        <v>620</v>
      </c>
      <c r="O124" s="41">
        <v>560</v>
      </c>
      <c r="P124" s="41">
        <v>580</v>
      </c>
      <c r="Q124" s="30" t="s">
        <v>42</v>
      </c>
      <c r="R124" s="36" t="s">
        <v>687</v>
      </c>
      <c r="S124" s="31" t="s">
        <v>688</v>
      </c>
      <c r="T124" s="30" t="s">
        <v>689</v>
      </c>
      <c r="U124" s="30">
        <v>330204020</v>
      </c>
      <c r="V124" s="30" t="s">
        <v>690</v>
      </c>
      <c r="W124" s="30"/>
      <c r="X124" s="30"/>
      <c r="Y124" s="30" t="s">
        <v>40</v>
      </c>
      <c r="Z124" s="30" t="s">
        <v>43</v>
      </c>
      <c r="AA124" s="51">
        <v>270</v>
      </c>
      <c r="AB124" s="51">
        <v>245</v>
      </c>
      <c r="AC124" s="57">
        <v>250</v>
      </c>
      <c r="AD124" s="57">
        <v>240</v>
      </c>
      <c r="AE124" s="57">
        <v>204</v>
      </c>
      <c r="AF124" s="58">
        <f t="shared" si="5"/>
        <v>0</v>
      </c>
      <c r="AG124" s="58" t="str">
        <f t="shared" si="6"/>
        <v>脑脊液置换费</v>
      </c>
      <c r="AH124" s="58">
        <f t="shared" si="7"/>
        <v>620</v>
      </c>
      <c r="AI124" s="58">
        <f t="shared" si="8"/>
        <v>560</v>
      </c>
      <c r="AJ124" s="58">
        <f t="shared" si="9"/>
        <v>580</v>
      </c>
    </row>
    <row r="125" s="17" customFormat="1" ht="45" customHeight="1" spans="1:36">
      <c r="A125" s="29" t="s">
        <v>70</v>
      </c>
      <c r="B125" s="30" t="s">
        <v>691</v>
      </c>
      <c r="C125" s="30" t="s">
        <v>692</v>
      </c>
      <c r="D125" s="30" t="s">
        <v>378</v>
      </c>
      <c r="E125" s="31" t="s">
        <v>43</v>
      </c>
      <c r="F125" s="31" t="s">
        <v>43</v>
      </c>
      <c r="G125" s="30" t="s">
        <v>40</v>
      </c>
      <c r="H125" s="31" t="s">
        <v>43</v>
      </c>
      <c r="I125" s="37">
        <v>210</v>
      </c>
      <c r="J125" s="37">
        <v>189</v>
      </c>
      <c r="K125" s="36"/>
      <c r="L125" s="36"/>
      <c r="M125" s="36"/>
      <c r="N125" s="41">
        <v>190</v>
      </c>
      <c r="O125" s="41">
        <v>170</v>
      </c>
      <c r="P125" s="41">
        <v>145</v>
      </c>
      <c r="Q125" s="30" t="s">
        <v>42</v>
      </c>
      <c r="R125" s="36"/>
      <c r="S125" s="31" t="s">
        <v>384</v>
      </c>
      <c r="T125" s="46" t="s">
        <v>693</v>
      </c>
      <c r="U125" s="46">
        <v>33020402001</v>
      </c>
      <c r="V125" s="48" t="s">
        <v>694</v>
      </c>
      <c r="W125" s="46"/>
      <c r="X125" s="46"/>
      <c r="Y125" s="46" t="s">
        <v>40</v>
      </c>
      <c r="Z125" s="30" t="s">
        <v>43</v>
      </c>
      <c r="AA125" s="52">
        <v>350</v>
      </c>
      <c r="AB125" s="51">
        <v>320</v>
      </c>
      <c r="AC125" s="57">
        <v>325</v>
      </c>
      <c r="AD125" s="57">
        <v>310</v>
      </c>
      <c r="AE125" s="57">
        <v>265</v>
      </c>
      <c r="AF125" s="58">
        <f t="shared" si="5"/>
        <v>7</v>
      </c>
      <c r="AG125" s="58" t="str">
        <f t="shared" si="6"/>
        <v>脑脊液置换费</v>
      </c>
      <c r="AH125" s="58">
        <f t="shared" si="7"/>
        <v>810</v>
      </c>
      <c r="AI125" s="58">
        <f t="shared" si="8"/>
        <v>730</v>
      </c>
      <c r="AJ125" s="58">
        <f t="shared" si="9"/>
        <v>725</v>
      </c>
    </row>
    <row r="126" s="17" customFormat="1" ht="51" customHeight="1" spans="1:36">
      <c r="A126" s="27">
        <v>42</v>
      </c>
      <c r="B126" s="28" t="s">
        <v>695</v>
      </c>
      <c r="C126" s="28" t="s">
        <v>696</v>
      </c>
      <c r="D126" s="28" t="s">
        <v>378</v>
      </c>
      <c r="E126" s="28" t="s">
        <v>697</v>
      </c>
      <c r="F126" s="28" t="s">
        <v>698</v>
      </c>
      <c r="G126" s="28" t="s">
        <v>40</v>
      </c>
      <c r="H126" s="28" t="s">
        <v>699</v>
      </c>
      <c r="I126" s="34">
        <v>1620</v>
      </c>
      <c r="J126" s="34">
        <v>1458</v>
      </c>
      <c r="K126" s="35">
        <v>1517.44186046512</v>
      </c>
      <c r="L126" s="38">
        <v>1440</v>
      </c>
      <c r="M126" s="36"/>
      <c r="N126" s="40">
        <v>1520</v>
      </c>
      <c r="O126" s="40">
        <v>1440</v>
      </c>
      <c r="P126" s="40">
        <v>1225</v>
      </c>
      <c r="Q126" s="28" t="s">
        <v>42</v>
      </c>
      <c r="R126" s="38" t="s">
        <v>44</v>
      </c>
      <c r="S126" s="28" t="s">
        <v>44</v>
      </c>
      <c r="T126" s="30" t="s">
        <v>700</v>
      </c>
      <c r="U126" s="30">
        <v>330204021</v>
      </c>
      <c r="V126" s="30" t="s">
        <v>701</v>
      </c>
      <c r="W126" s="30"/>
      <c r="X126" s="30" t="s">
        <v>702</v>
      </c>
      <c r="Y126" s="30" t="s">
        <v>40</v>
      </c>
      <c r="Z126" s="30" t="s">
        <v>703</v>
      </c>
      <c r="AA126" s="51">
        <v>1620</v>
      </c>
      <c r="AB126" s="51">
        <v>1460</v>
      </c>
      <c r="AC126" s="57">
        <v>1500</v>
      </c>
      <c r="AD126" s="57">
        <v>1440</v>
      </c>
      <c r="AE126" s="57">
        <v>1224</v>
      </c>
      <c r="AF126" s="58">
        <f t="shared" si="5"/>
        <v>0</v>
      </c>
      <c r="AG126" s="58" t="str">
        <f t="shared" si="6"/>
        <v>颅内储液装置置入费</v>
      </c>
      <c r="AH126" s="58">
        <f t="shared" si="7"/>
        <v>1520</v>
      </c>
      <c r="AI126" s="58">
        <f t="shared" si="8"/>
        <v>1440</v>
      </c>
      <c r="AJ126" s="58">
        <f t="shared" si="9"/>
        <v>1225</v>
      </c>
    </row>
    <row r="127" s="17" customFormat="1" ht="51" customHeight="1" spans="1:36">
      <c r="A127" s="27">
        <v>42</v>
      </c>
      <c r="B127" s="28" t="s">
        <v>695</v>
      </c>
      <c r="C127" s="28" t="s">
        <v>696</v>
      </c>
      <c r="D127" s="28" t="s">
        <v>378</v>
      </c>
      <c r="E127" s="28" t="s">
        <v>697</v>
      </c>
      <c r="F127" s="28" t="s">
        <v>698</v>
      </c>
      <c r="G127" s="28" t="s">
        <v>40</v>
      </c>
      <c r="H127" s="28" t="s">
        <v>699</v>
      </c>
      <c r="I127" s="34">
        <v>1620</v>
      </c>
      <c r="J127" s="34">
        <v>1458</v>
      </c>
      <c r="K127" s="35">
        <v>1517.44186046512</v>
      </c>
      <c r="L127" s="38">
        <v>1440</v>
      </c>
      <c r="M127" s="36"/>
      <c r="N127" s="40">
        <v>1520</v>
      </c>
      <c r="O127" s="40">
        <v>1440</v>
      </c>
      <c r="P127" s="40">
        <v>1225</v>
      </c>
      <c r="Q127" s="28" t="s">
        <v>42</v>
      </c>
      <c r="R127" s="38" t="s">
        <v>44</v>
      </c>
      <c r="S127" s="28" t="s">
        <v>44</v>
      </c>
      <c r="T127" s="46" t="s">
        <v>704</v>
      </c>
      <c r="U127" s="46">
        <v>33020402102</v>
      </c>
      <c r="V127" s="48" t="s">
        <v>705</v>
      </c>
      <c r="W127" s="46"/>
      <c r="X127" s="46"/>
      <c r="Y127" s="46" t="s">
        <v>40</v>
      </c>
      <c r="Z127" s="30" t="s">
        <v>43</v>
      </c>
      <c r="AA127" s="52">
        <v>2420</v>
      </c>
      <c r="AB127" s="51">
        <v>2180</v>
      </c>
      <c r="AC127" s="57">
        <v>1875</v>
      </c>
      <c r="AD127" s="57">
        <v>1800</v>
      </c>
      <c r="AE127" s="57">
        <v>1530</v>
      </c>
      <c r="AF127" s="58">
        <f t="shared" si="5"/>
        <v>0</v>
      </c>
      <c r="AG127" s="58" t="str">
        <f t="shared" si="6"/>
        <v>颅内储液装置置入费</v>
      </c>
      <c r="AH127" s="58">
        <f t="shared" si="7"/>
        <v>1520</v>
      </c>
      <c r="AI127" s="58">
        <f t="shared" si="8"/>
        <v>1440</v>
      </c>
      <c r="AJ127" s="58">
        <f t="shared" si="9"/>
        <v>1225</v>
      </c>
    </row>
    <row r="128" s="17" customFormat="1" ht="28" customHeight="1" spans="1:36">
      <c r="A128" s="27" t="s">
        <v>70</v>
      </c>
      <c r="B128" s="28" t="s">
        <v>706</v>
      </c>
      <c r="C128" s="28" t="s">
        <v>707</v>
      </c>
      <c r="D128" s="28" t="s">
        <v>378</v>
      </c>
      <c r="E128" s="28"/>
      <c r="F128" s="28"/>
      <c r="G128" s="28" t="s">
        <v>40</v>
      </c>
      <c r="H128" s="28"/>
      <c r="I128" s="34">
        <v>486</v>
      </c>
      <c r="J128" s="34">
        <v>437</v>
      </c>
      <c r="K128" s="38">
        <v>430</v>
      </c>
      <c r="L128" s="36"/>
      <c r="M128" s="36"/>
      <c r="N128" s="40">
        <v>455</v>
      </c>
      <c r="O128" s="40">
        <v>430</v>
      </c>
      <c r="P128" s="40">
        <v>370</v>
      </c>
      <c r="Q128" s="28" t="s">
        <v>42</v>
      </c>
      <c r="R128" s="36"/>
      <c r="S128" s="28" t="s">
        <v>384</v>
      </c>
      <c r="T128" s="46" t="s">
        <v>708</v>
      </c>
      <c r="U128" s="61">
        <v>33020402101</v>
      </c>
      <c r="V128" s="48" t="s">
        <v>709</v>
      </c>
      <c r="W128" s="46"/>
      <c r="X128" s="46"/>
      <c r="Y128" s="46" t="s">
        <v>40</v>
      </c>
      <c r="Z128" s="30" t="s">
        <v>43</v>
      </c>
      <c r="AA128" s="52">
        <v>2105</v>
      </c>
      <c r="AB128" s="51">
        <v>1900</v>
      </c>
      <c r="AC128" s="57">
        <v>1950</v>
      </c>
      <c r="AD128" s="57">
        <v>1870</v>
      </c>
      <c r="AE128" s="57">
        <v>1590</v>
      </c>
      <c r="AF128" s="58">
        <f t="shared" si="5"/>
        <v>10</v>
      </c>
      <c r="AG128" s="58" t="str">
        <f t="shared" si="6"/>
        <v>颅内储液装置置入费</v>
      </c>
      <c r="AH128" s="58">
        <f t="shared" si="7"/>
        <v>1975</v>
      </c>
      <c r="AI128" s="58">
        <f t="shared" si="8"/>
        <v>1870</v>
      </c>
      <c r="AJ128" s="58">
        <f t="shared" si="9"/>
        <v>1595</v>
      </c>
    </row>
    <row r="129" s="17" customFormat="1" ht="28" customHeight="1" spans="1:36">
      <c r="A129" s="27" t="s">
        <v>70</v>
      </c>
      <c r="B129" s="28" t="s">
        <v>706</v>
      </c>
      <c r="C129" s="28" t="s">
        <v>707</v>
      </c>
      <c r="D129" s="28" t="s">
        <v>378</v>
      </c>
      <c r="E129" s="28"/>
      <c r="F129" s="28"/>
      <c r="G129" s="28" t="s">
        <v>40</v>
      </c>
      <c r="H129" s="28"/>
      <c r="I129" s="34">
        <v>486</v>
      </c>
      <c r="J129" s="34">
        <v>437</v>
      </c>
      <c r="K129" s="38">
        <v>430</v>
      </c>
      <c r="L129" s="36"/>
      <c r="M129" s="36"/>
      <c r="N129" s="40">
        <v>455</v>
      </c>
      <c r="O129" s="40">
        <v>430</v>
      </c>
      <c r="P129" s="40">
        <v>370</v>
      </c>
      <c r="Q129" s="28" t="s">
        <v>42</v>
      </c>
      <c r="R129" s="36"/>
      <c r="S129" s="28" t="s">
        <v>384</v>
      </c>
      <c r="T129" s="46" t="s">
        <v>710</v>
      </c>
      <c r="U129" s="46">
        <v>33020402103</v>
      </c>
      <c r="V129" s="48" t="s">
        <v>711</v>
      </c>
      <c r="W129" s="46"/>
      <c r="X129" s="46"/>
      <c r="Y129" s="46" t="s">
        <v>40</v>
      </c>
      <c r="Z129" s="30" t="s">
        <v>43</v>
      </c>
      <c r="AA129" s="52">
        <v>2905</v>
      </c>
      <c r="AB129" s="51">
        <v>2620</v>
      </c>
      <c r="AC129" s="57">
        <v>2325</v>
      </c>
      <c r="AD129" s="57">
        <v>2230</v>
      </c>
      <c r="AE129" s="57">
        <v>1895</v>
      </c>
      <c r="AF129" s="58">
        <f t="shared" si="5"/>
        <v>10</v>
      </c>
      <c r="AG129" s="58" t="str">
        <f t="shared" si="6"/>
        <v>颅内储液装置置入费</v>
      </c>
      <c r="AH129" s="58">
        <f t="shared" si="7"/>
        <v>1975</v>
      </c>
      <c r="AI129" s="58">
        <f t="shared" si="8"/>
        <v>1870</v>
      </c>
      <c r="AJ129" s="58">
        <f t="shared" si="9"/>
        <v>1595</v>
      </c>
    </row>
    <row r="130" s="17" customFormat="1" ht="33" customHeight="1" spans="1:36">
      <c r="A130" s="27">
        <v>45</v>
      </c>
      <c r="B130" s="28" t="s">
        <v>726</v>
      </c>
      <c r="C130" s="28" t="s">
        <v>727</v>
      </c>
      <c r="D130" s="28" t="s">
        <v>378</v>
      </c>
      <c r="E130" s="28" t="s">
        <v>728</v>
      </c>
      <c r="F130" s="28" t="s">
        <v>729</v>
      </c>
      <c r="G130" s="28" t="s">
        <v>40</v>
      </c>
      <c r="H130" s="28" t="s">
        <v>146</v>
      </c>
      <c r="I130" s="34">
        <v>2610</v>
      </c>
      <c r="J130" s="34">
        <v>2349</v>
      </c>
      <c r="K130" s="35">
        <v>2000.94594594595</v>
      </c>
      <c r="L130" s="35">
        <v>2283.00395256917</v>
      </c>
      <c r="M130" s="38">
        <v>1530</v>
      </c>
      <c r="N130" s="40">
        <v>2450</v>
      </c>
      <c r="O130" s="40">
        <v>2250</v>
      </c>
      <c r="P130" s="40">
        <v>1950</v>
      </c>
      <c r="Q130" s="28" t="s">
        <v>42</v>
      </c>
      <c r="R130" s="38" t="s">
        <v>280</v>
      </c>
      <c r="S130" s="28" t="s">
        <v>730</v>
      </c>
      <c r="T130" s="30" t="s">
        <v>731</v>
      </c>
      <c r="U130" s="30">
        <v>330201008</v>
      </c>
      <c r="V130" s="30" t="s">
        <v>732</v>
      </c>
      <c r="W130" s="30"/>
      <c r="X130" s="30"/>
      <c r="Y130" s="30" t="s">
        <v>40</v>
      </c>
      <c r="Z130" s="30" t="s">
        <v>43</v>
      </c>
      <c r="AA130" s="51">
        <v>2030</v>
      </c>
      <c r="AB130" s="51">
        <v>1820</v>
      </c>
      <c r="AC130" s="57">
        <v>1875</v>
      </c>
      <c r="AD130" s="57">
        <v>1800</v>
      </c>
      <c r="AE130" s="57">
        <v>1530</v>
      </c>
      <c r="AF130" s="58">
        <f t="shared" si="5"/>
        <v>0</v>
      </c>
      <c r="AG130" s="58" t="str">
        <f t="shared" si="6"/>
        <v>开颅颅内减压费</v>
      </c>
      <c r="AH130" s="58">
        <f t="shared" si="7"/>
        <v>2450</v>
      </c>
      <c r="AI130" s="58">
        <f t="shared" si="8"/>
        <v>2250</v>
      </c>
      <c r="AJ130" s="58">
        <f t="shared" si="9"/>
        <v>1950</v>
      </c>
    </row>
    <row r="131" s="17" customFormat="1" ht="33" customHeight="1" spans="1:36">
      <c r="A131" s="27">
        <v>45</v>
      </c>
      <c r="B131" s="28" t="s">
        <v>726</v>
      </c>
      <c r="C131" s="28" t="s">
        <v>727</v>
      </c>
      <c r="D131" s="28" t="s">
        <v>378</v>
      </c>
      <c r="E131" s="28" t="s">
        <v>728</v>
      </c>
      <c r="F131" s="28" t="s">
        <v>729</v>
      </c>
      <c r="G131" s="28" t="s">
        <v>40</v>
      </c>
      <c r="H131" s="28" t="s">
        <v>146</v>
      </c>
      <c r="I131" s="34">
        <v>2610</v>
      </c>
      <c r="J131" s="34">
        <v>2349</v>
      </c>
      <c r="K131" s="35">
        <v>2000.94594594595</v>
      </c>
      <c r="L131" s="35">
        <v>2283.00395256917</v>
      </c>
      <c r="M131" s="38">
        <v>1530</v>
      </c>
      <c r="N131" s="40">
        <v>2450</v>
      </c>
      <c r="O131" s="40">
        <v>2250</v>
      </c>
      <c r="P131" s="40">
        <v>1950</v>
      </c>
      <c r="Q131" s="28" t="s">
        <v>42</v>
      </c>
      <c r="R131" s="38" t="s">
        <v>280</v>
      </c>
      <c r="S131" s="28" t="s">
        <v>730</v>
      </c>
      <c r="T131" s="30" t="s">
        <v>733</v>
      </c>
      <c r="U131" s="30">
        <v>330201016</v>
      </c>
      <c r="V131" s="30" t="s">
        <v>734</v>
      </c>
      <c r="W131" s="30" t="s">
        <v>735</v>
      </c>
      <c r="X131" s="30"/>
      <c r="Y131" s="30" t="s">
        <v>40</v>
      </c>
      <c r="Z131" s="30" t="s">
        <v>43</v>
      </c>
      <c r="AA131" s="51">
        <v>3460</v>
      </c>
      <c r="AB131" s="51">
        <v>3110</v>
      </c>
      <c r="AC131" s="57">
        <v>3040</v>
      </c>
      <c r="AD131" s="57">
        <v>2740</v>
      </c>
      <c r="AE131" s="57">
        <v>2330</v>
      </c>
      <c r="AF131" s="58">
        <f t="shared" si="5"/>
        <v>0</v>
      </c>
      <c r="AG131" s="58" t="str">
        <f t="shared" si="6"/>
        <v>开颅颅内减压费</v>
      </c>
      <c r="AH131" s="58">
        <f t="shared" si="7"/>
        <v>2450</v>
      </c>
      <c r="AI131" s="58">
        <f t="shared" si="8"/>
        <v>2250</v>
      </c>
      <c r="AJ131" s="58">
        <f t="shared" si="9"/>
        <v>1950</v>
      </c>
    </row>
    <row r="132" s="17" customFormat="1" ht="37" customHeight="1" spans="1:36">
      <c r="A132" s="27">
        <v>45</v>
      </c>
      <c r="B132" s="28" t="s">
        <v>726</v>
      </c>
      <c r="C132" s="28" t="s">
        <v>727</v>
      </c>
      <c r="D132" s="28" t="s">
        <v>378</v>
      </c>
      <c r="E132" s="28" t="s">
        <v>728</v>
      </c>
      <c r="F132" s="28" t="s">
        <v>729</v>
      </c>
      <c r="G132" s="28" t="s">
        <v>40</v>
      </c>
      <c r="H132" s="28" t="s">
        <v>146</v>
      </c>
      <c r="I132" s="34">
        <v>2610</v>
      </c>
      <c r="J132" s="34">
        <v>2349</v>
      </c>
      <c r="K132" s="35">
        <v>2000.94594594595</v>
      </c>
      <c r="L132" s="35">
        <v>2283.00395256917</v>
      </c>
      <c r="M132" s="38">
        <v>1530</v>
      </c>
      <c r="N132" s="40">
        <v>2450</v>
      </c>
      <c r="O132" s="40">
        <v>2250</v>
      </c>
      <c r="P132" s="40">
        <v>1950</v>
      </c>
      <c r="Q132" s="28" t="s">
        <v>42</v>
      </c>
      <c r="R132" s="38" t="s">
        <v>280</v>
      </c>
      <c r="S132" s="28" t="s">
        <v>730</v>
      </c>
      <c r="T132" s="30" t="s">
        <v>736</v>
      </c>
      <c r="U132" s="30">
        <v>330201053</v>
      </c>
      <c r="V132" s="30" t="s">
        <v>737</v>
      </c>
      <c r="W132" s="30" t="s">
        <v>738</v>
      </c>
      <c r="X132" s="30"/>
      <c r="Y132" s="30" t="s">
        <v>40</v>
      </c>
      <c r="Z132" s="30" t="s">
        <v>43</v>
      </c>
      <c r="AA132" s="51">
        <v>4610</v>
      </c>
      <c r="AB132" s="51">
        <v>4150</v>
      </c>
      <c r="AC132" s="57">
        <v>4050</v>
      </c>
      <c r="AD132" s="57">
        <v>3650</v>
      </c>
      <c r="AE132" s="57">
        <v>3100</v>
      </c>
      <c r="AF132" s="58">
        <f t="shared" si="5"/>
        <v>0</v>
      </c>
      <c r="AG132" s="58" t="str">
        <f t="shared" si="6"/>
        <v>开颅颅内减压费</v>
      </c>
      <c r="AH132" s="58">
        <f t="shared" si="7"/>
        <v>2450</v>
      </c>
      <c r="AI132" s="58">
        <f t="shared" si="8"/>
        <v>2250</v>
      </c>
      <c r="AJ132" s="58">
        <f t="shared" si="9"/>
        <v>1950</v>
      </c>
    </row>
    <row r="133" s="17" customFormat="1" ht="29" customHeight="1" spans="1:36">
      <c r="A133" s="27" t="s">
        <v>70</v>
      </c>
      <c r="B133" s="28" t="s">
        <v>739</v>
      </c>
      <c r="C133" s="28" t="s">
        <v>740</v>
      </c>
      <c r="D133" s="28" t="s">
        <v>378</v>
      </c>
      <c r="E133" s="28"/>
      <c r="F133" s="28"/>
      <c r="G133" s="28" t="s">
        <v>40</v>
      </c>
      <c r="H133" s="28"/>
      <c r="I133" s="34">
        <v>783</v>
      </c>
      <c r="J133" s="34">
        <v>705</v>
      </c>
      <c r="K133" s="36"/>
      <c r="L133" s="36"/>
      <c r="M133" s="36"/>
      <c r="N133" s="40">
        <v>735</v>
      </c>
      <c r="O133" s="40">
        <v>675</v>
      </c>
      <c r="P133" s="40">
        <v>585</v>
      </c>
      <c r="Q133" s="28" t="s">
        <v>42</v>
      </c>
      <c r="R133" s="36"/>
      <c r="S133" s="31"/>
      <c r="T133" s="46" t="s">
        <v>741</v>
      </c>
      <c r="U133" s="46">
        <v>33020100802</v>
      </c>
      <c r="V133" s="48" t="s">
        <v>742</v>
      </c>
      <c r="W133" s="46"/>
      <c r="X133" s="46"/>
      <c r="Y133" s="46" t="s">
        <v>40</v>
      </c>
      <c r="Z133" s="30" t="s">
        <v>43</v>
      </c>
      <c r="AA133" s="52">
        <v>2640</v>
      </c>
      <c r="AB133" s="51">
        <v>2365</v>
      </c>
      <c r="AC133" s="57">
        <v>2440</v>
      </c>
      <c r="AD133" s="57">
        <v>2340</v>
      </c>
      <c r="AE133" s="57">
        <v>1990</v>
      </c>
      <c r="AF133" s="58">
        <f t="shared" si="5"/>
        <v>8</v>
      </c>
      <c r="AG133" s="58" t="str">
        <f t="shared" si="6"/>
        <v>开颅颅内减压费</v>
      </c>
      <c r="AH133" s="58">
        <f t="shared" si="7"/>
        <v>3185</v>
      </c>
      <c r="AI133" s="58">
        <f t="shared" si="8"/>
        <v>2925</v>
      </c>
      <c r="AJ133" s="58">
        <f t="shared" si="9"/>
        <v>2535</v>
      </c>
    </row>
    <row r="134" s="17" customFormat="1" ht="29" customHeight="1" spans="1:36">
      <c r="A134" s="27" t="s">
        <v>70</v>
      </c>
      <c r="B134" s="28" t="s">
        <v>739</v>
      </c>
      <c r="C134" s="28" t="s">
        <v>740</v>
      </c>
      <c r="D134" s="28" t="s">
        <v>378</v>
      </c>
      <c r="E134" s="28"/>
      <c r="F134" s="28"/>
      <c r="G134" s="28" t="s">
        <v>40</v>
      </c>
      <c r="H134" s="28"/>
      <c r="I134" s="34">
        <v>783</v>
      </c>
      <c r="J134" s="34">
        <v>705</v>
      </c>
      <c r="K134" s="36"/>
      <c r="L134" s="36"/>
      <c r="M134" s="36"/>
      <c r="N134" s="40">
        <v>735</v>
      </c>
      <c r="O134" s="40">
        <v>675</v>
      </c>
      <c r="P134" s="40">
        <v>585</v>
      </c>
      <c r="Q134" s="28" t="s">
        <v>42</v>
      </c>
      <c r="R134" s="36"/>
      <c r="S134" s="31"/>
      <c r="T134" s="30" t="s">
        <v>743</v>
      </c>
      <c r="U134" s="30">
        <v>33020101601</v>
      </c>
      <c r="V134" s="30" t="s">
        <v>744</v>
      </c>
      <c r="W134" s="30"/>
      <c r="X134" s="30"/>
      <c r="Y134" s="30" t="s">
        <v>40</v>
      </c>
      <c r="Z134" s="30" t="s">
        <v>43</v>
      </c>
      <c r="AA134" s="51">
        <v>4500</v>
      </c>
      <c r="AB134" s="51">
        <v>4045</v>
      </c>
      <c r="AC134" s="57">
        <v>3950</v>
      </c>
      <c r="AD134" s="57">
        <v>3560</v>
      </c>
      <c r="AE134" s="57">
        <v>3025</v>
      </c>
      <c r="AF134" s="58">
        <f t="shared" ref="AF134:AF197" si="10">IFERROR(FIND("-儿童（加收）",C134,1),0)</f>
        <v>8</v>
      </c>
      <c r="AG134" s="58" t="str">
        <f t="shared" ref="AG134:AG197" si="11">SUBSTITUTE(C134,"-儿童（加收）","")</f>
        <v>开颅颅内减压费</v>
      </c>
      <c r="AH134" s="58">
        <f t="shared" ref="AH134:AH197" si="12">IF(AF134&gt;0,_xlfn.MAXIFS(N:N,C:C,SUBSTITUTE(C134,"-儿童（加收）","")),0)+N134</f>
        <v>3185</v>
      </c>
      <c r="AI134" s="58">
        <f t="shared" ref="AI134:AI197" si="13">IF(AF134&gt;0,_xlfn.MAXIFS(O:O,C:C,SUBSTITUTE(C134,"-儿童（加收）","")),0)+O134</f>
        <v>2925</v>
      </c>
      <c r="AJ134" s="58">
        <f t="shared" ref="AJ134:AJ197" si="14">IF(AF134&gt;0,_xlfn.MAXIFS(P:P,C:C,SUBSTITUTE(C134,"-儿童（加收）","")),0)+P134</f>
        <v>2535</v>
      </c>
    </row>
    <row r="135" s="17" customFormat="1" ht="29" customHeight="1" spans="1:36">
      <c r="A135" s="27" t="s">
        <v>70</v>
      </c>
      <c r="B135" s="28" t="s">
        <v>739</v>
      </c>
      <c r="C135" s="28" t="s">
        <v>740</v>
      </c>
      <c r="D135" s="28" t="s">
        <v>378</v>
      </c>
      <c r="E135" s="28"/>
      <c r="F135" s="28"/>
      <c r="G135" s="28" t="s">
        <v>40</v>
      </c>
      <c r="H135" s="28"/>
      <c r="I135" s="34">
        <v>783</v>
      </c>
      <c r="J135" s="34">
        <v>705</v>
      </c>
      <c r="K135" s="36"/>
      <c r="L135" s="36"/>
      <c r="M135" s="36"/>
      <c r="N135" s="40">
        <v>735</v>
      </c>
      <c r="O135" s="40">
        <v>675</v>
      </c>
      <c r="P135" s="40">
        <v>585</v>
      </c>
      <c r="Q135" s="28" t="s">
        <v>42</v>
      </c>
      <c r="R135" s="36"/>
      <c r="S135" s="31"/>
      <c r="T135" s="46" t="s">
        <v>745</v>
      </c>
      <c r="U135" s="46">
        <v>33020105301</v>
      </c>
      <c r="V135" s="48" t="s">
        <v>746</v>
      </c>
      <c r="W135" s="46"/>
      <c r="X135" s="46"/>
      <c r="Y135" s="46" t="s">
        <v>40</v>
      </c>
      <c r="Z135" s="30" t="s">
        <v>43</v>
      </c>
      <c r="AA135" s="52">
        <v>5995</v>
      </c>
      <c r="AB135" s="51">
        <v>5395</v>
      </c>
      <c r="AC135" s="57">
        <v>5265</v>
      </c>
      <c r="AD135" s="57">
        <v>4745</v>
      </c>
      <c r="AE135" s="57">
        <v>4035</v>
      </c>
      <c r="AF135" s="58">
        <f t="shared" si="10"/>
        <v>8</v>
      </c>
      <c r="AG135" s="58" t="str">
        <f t="shared" si="11"/>
        <v>开颅颅内减压费</v>
      </c>
      <c r="AH135" s="58">
        <f t="shared" si="12"/>
        <v>3185</v>
      </c>
      <c r="AI135" s="58">
        <f t="shared" si="13"/>
        <v>2925</v>
      </c>
      <c r="AJ135" s="58">
        <f t="shared" si="14"/>
        <v>2535</v>
      </c>
    </row>
    <row r="136" s="17" customFormat="1" customHeight="1" spans="1:36">
      <c r="A136" s="27">
        <v>46</v>
      </c>
      <c r="B136" s="28" t="s">
        <v>747</v>
      </c>
      <c r="C136" s="28" t="s">
        <v>748</v>
      </c>
      <c r="D136" s="28" t="s">
        <v>378</v>
      </c>
      <c r="E136" s="28" t="s">
        <v>749</v>
      </c>
      <c r="F136" s="28" t="s">
        <v>750</v>
      </c>
      <c r="G136" s="28" t="s">
        <v>40</v>
      </c>
      <c r="H136" s="31"/>
      <c r="I136" s="34">
        <v>3400</v>
      </c>
      <c r="J136" s="34">
        <v>3060</v>
      </c>
      <c r="K136" s="35">
        <v>3252.14114832536</v>
      </c>
      <c r="L136" s="35">
        <v>2673.59561752988</v>
      </c>
      <c r="M136" s="35">
        <v>2119.71428571429</v>
      </c>
      <c r="N136" s="40">
        <v>3250</v>
      </c>
      <c r="O136" s="40">
        <v>2900</v>
      </c>
      <c r="P136" s="40">
        <v>2450</v>
      </c>
      <c r="Q136" s="28" t="s">
        <v>42</v>
      </c>
      <c r="R136" s="38" t="s">
        <v>280</v>
      </c>
      <c r="S136" s="28" t="s">
        <v>751</v>
      </c>
      <c r="T136" s="30" t="s">
        <v>752</v>
      </c>
      <c r="U136" s="30">
        <v>330201014</v>
      </c>
      <c r="V136" s="30" t="s">
        <v>753</v>
      </c>
      <c r="W136" s="30" t="s">
        <v>754</v>
      </c>
      <c r="X136" s="30"/>
      <c r="Y136" s="30" t="s">
        <v>40</v>
      </c>
      <c r="Z136" s="30" t="s">
        <v>755</v>
      </c>
      <c r="AA136" s="51">
        <v>2430</v>
      </c>
      <c r="AB136" s="51">
        <v>2190</v>
      </c>
      <c r="AC136" s="57">
        <v>2250</v>
      </c>
      <c r="AD136" s="57">
        <v>2160</v>
      </c>
      <c r="AE136" s="57">
        <v>1836</v>
      </c>
      <c r="AF136" s="58">
        <f t="shared" si="10"/>
        <v>0</v>
      </c>
      <c r="AG136" s="58" t="str">
        <f t="shared" si="11"/>
        <v>颅内病变切除费（常规）</v>
      </c>
      <c r="AH136" s="58">
        <f t="shared" si="12"/>
        <v>3250</v>
      </c>
      <c r="AI136" s="58">
        <f t="shared" si="13"/>
        <v>2900</v>
      </c>
      <c r="AJ136" s="58">
        <f t="shared" si="14"/>
        <v>2450</v>
      </c>
    </row>
    <row r="137" s="17" customFormat="1" customHeight="1" spans="1:36">
      <c r="A137" s="27">
        <v>46</v>
      </c>
      <c r="B137" s="28" t="s">
        <v>747</v>
      </c>
      <c r="C137" s="28" t="s">
        <v>748</v>
      </c>
      <c r="D137" s="28" t="s">
        <v>378</v>
      </c>
      <c r="E137" s="28" t="s">
        <v>749</v>
      </c>
      <c r="F137" s="28" t="s">
        <v>750</v>
      </c>
      <c r="G137" s="28" t="s">
        <v>40</v>
      </c>
      <c r="H137" s="31"/>
      <c r="I137" s="34">
        <v>3400</v>
      </c>
      <c r="J137" s="34">
        <v>3060</v>
      </c>
      <c r="K137" s="35">
        <v>3252.14114832536</v>
      </c>
      <c r="L137" s="35">
        <v>2673.59561752988</v>
      </c>
      <c r="M137" s="35">
        <v>2119.71428571429</v>
      </c>
      <c r="N137" s="40">
        <v>3250</v>
      </c>
      <c r="O137" s="40">
        <v>2900</v>
      </c>
      <c r="P137" s="40">
        <v>2450</v>
      </c>
      <c r="Q137" s="28" t="s">
        <v>42</v>
      </c>
      <c r="R137" s="38" t="s">
        <v>280</v>
      </c>
      <c r="S137" s="28" t="s">
        <v>751</v>
      </c>
      <c r="T137" s="46" t="s">
        <v>756</v>
      </c>
      <c r="U137" s="46">
        <v>33020101401</v>
      </c>
      <c r="V137" s="48" t="s">
        <v>757</v>
      </c>
      <c r="W137" s="46"/>
      <c r="X137" s="46"/>
      <c r="Y137" s="46" t="s">
        <v>40</v>
      </c>
      <c r="Z137" s="30" t="s">
        <v>758</v>
      </c>
      <c r="AA137" s="52">
        <v>3375</v>
      </c>
      <c r="AB137" s="51">
        <v>3040</v>
      </c>
      <c r="AC137" s="57">
        <v>3125</v>
      </c>
      <c r="AD137" s="57">
        <v>3000</v>
      </c>
      <c r="AE137" s="57">
        <v>2550</v>
      </c>
      <c r="AF137" s="58">
        <f t="shared" si="10"/>
        <v>0</v>
      </c>
      <c r="AG137" s="58" t="str">
        <f t="shared" si="11"/>
        <v>颅内病变切除费（常规）</v>
      </c>
      <c r="AH137" s="58">
        <f t="shared" si="12"/>
        <v>3250</v>
      </c>
      <c r="AI137" s="58">
        <f t="shared" si="13"/>
        <v>2900</v>
      </c>
      <c r="AJ137" s="58">
        <f t="shared" si="14"/>
        <v>2450</v>
      </c>
    </row>
    <row r="138" s="17" customFormat="1" customHeight="1" spans="1:36">
      <c r="A138" s="27">
        <v>46</v>
      </c>
      <c r="B138" s="28" t="s">
        <v>747</v>
      </c>
      <c r="C138" s="28" t="s">
        <v>748</v>
      </c>
      <c r="D138" s="28" t="s">
        <v>378</v>
      </c>
      <c r="E138" s="28" t="s">
        <v>749</v>
      </c>
      <c r="F138" s="28" t="s">
        <v>750</v>
      </c>
      <c r="G138" s="28" t="s">
        <v>40</v>
      </c>
      <c r="H138" s="31"/>
      <c r="I138" s="34">
        <v>3400</v>
      </c>
      <c r="J138" s="34">
        <v>3060</v>
      </c>
      <c r="K138" s="35">
        <v>3252.14114832536</v>
      </c>
      <c r="L138" s="35">
        <v>2673.59561752988</v>
      </c>
      <c r="M138" s="35">
        <v>2119.71428571429</v>
      </c>
      <c r="N138" s="40">
        <v>3250</v>
      </c>
      <c r="O138" s="40">
        <v>2900</v>
      </c>
      <c r="P138" s="40">
        <v>2450</v>
      </c>
      <c r="Q138" s="28" t="s">
        <v>42</v>
      </c>
      <c r="R138" s="38" t="s">
        <v>280</v>
      </c>
      <c r="S138" s="28" t="s">
        <v>751</v>
      </c>
      <c r="T138" s="30" t="s">
        <v>759</v>
      </c>
      <c r="U138" s="30">
        <v>330201015</v>
      </c>
      <c r="V138" s="30" t="s">
        <v>760</v>
      </c>
      <c r="W138" s="30" t="s">
        <v>761</v>
      </c>
      <c r="X138" s="30"/>
      <c r="Y138" s="30" t="s">
        <v>40</v>
      </c>
      <c r="Z138" s="30" t="s">
        <v>43</v>
      </c>
      <c r="AA138" s="51">
        <v>2430</v>
      </c>
      <c r="AB138" s="51">
        <v>2190</v>
      </c>
      <c r="AC138" s="57">
        <v>2250</v>
      </c>
      <c r="AD138" s="57">
        <v>2160</v>
      </c>
      <c r="AE138" s="57">
        <v>1836</v>
      </c>
      <c r="AF138" s="58">
        <f t="shared" si="10"/>
        <v>0</v>
      </c>
      <c r="AG138" s="58" t="str">
        <f t="shared" si="11"/>
        <v>颅内病变切除费（常规）</v>
      </c>
      <c r="AH138" s="58">
        <f t="shared" si="12"/>
        <v>3250</v>
      </c>
      <c r="AI138" s="58">
        <f t="shared" si="13"/>
        <v>2900</v>
      </c>
      <c r="AJ138" s="58">
        <f t="shared" si="14"/>
        <v>2450</v>
      </c>
    </row>
    <row r="139" s="17" customFormat="1" customHeight="1" spans="1:36">
      <c r="A139" s="27">
        <v>46</v>
      </c>
      <c r="B139" s="28" t="s">
        <v>747</v>
      </c>
      <c r="C139" s="28" t="s">
        <v>748</v>
      </c>
      <c r="D139" s="28" t="s">
        <v>378</v>
      </c>
      <c r="E139" s="28" t="s">
        <v>749</v>
      </c>
      <c r="F139" s="28" t="s">
        <v>750</v>
      </c>
      <c r="G139" s="28" t="s">
        <v>40</v>
      </c>
      <c r="H139" s="31"/>
      <c r="I139" s="34">
        <v>3400</v>
      </c>
      <c r="J139" s="34">
        <v>3060</v>
      </c>
      <c r="K139" s="35">
        <v>3252.14114832536</v>
      </c>
      <c r="L139" s="35">
        <v>2673.59561752988</v>
      </c>
      <c r="M139" s="35">
        <v>2119.71428571429</v>
      </c>
      <c r="N139" s="40">
        <v>3250</v>
      </c>
      <c r="O139" s="40">
        <v>2900</v>
      </c>
      <c r="P139" s="40">
        <v>2450</v>
      </c>
      <c r="Q139" s="28" t="s">
        <v>42</v>
      </c>
      <c r="R139" s="38" t="s">
        <v>280</v>
      </c>
      <c r="S139" s="28" t="s">
        <v>751</v>
      </c>
      <c r="T139" s="30" t="s">
        <v>762</v>
      </c>
      <c r="U139" s="30">
        <v>330201022</v>
      </c>
      <c r="V139" s="30" t="s">
        <v>763</v>
      </c>
      <c r="W139" s="30" t="s">
        <v>764</v>
      </c>
      <c r="X139" s="30" t="s">
        <v>765</v>
      </c>
      <c r="Y139" s="30" t="s">
        <v>40</v>
      </c>
      <c r="Z139" s="30" t="s">
        <v>43</v>
      </c>
      <c r="AA139" s="51">
        <v>3110</v>
      </c>
      <c r="AB139" s="51">
        <v>2795</v>
      </c>
      <c r="AC139" s="57">
        <v>3000</v>
      </c>
      <c r="AD139" s="57">
        <v>2850</v>
      </c>
      <c r="AE139" s="57">
        <v>2280</v>
      </c>
      <c r="AF139" s="58">
        <f t="shared" si="10"/>
        <v>0</v>
      </c>
      <c r="AG139" s="58" t="str">
        <f t="shared" si="11"/>
        <v>颅内病变切除费（常规）</v>
      </c>
      <c r="AH139" s="58">
        <f t="shared" si="12"/>
        <v>3250</v>
      </c>
      <c r="AI139" s="58">
        <f t="shared" si="13"/>
        <v>2900</v>
      </c>
      <c r="AJ139" s="58">
        <f t="shared" si="14"/>
        <v>2450</v>
      </c>
    </row>
    <row r="140" s="17" customFormat="1" customHeight="1" spans="1:36">
      <c r="A140" s="27">
        <v>46</v>
      </c>
      <c r="B140" s="28" t="s">
        <v>747</v>
      </c>
      <c r="C140" s="28" t="s">
        <v>748</v>
      </c>
      <c r="D140" s="28" t="s">
        <v>378</v>
      </c>
      <c r="E140" s="28" t="s">
        <v>749</v>
      </c>
      <c r="F140" s="28" t="s">
        <v>750</v>
      </c>
      <c r="G140" s="28" t="s">
        <v>40</v>
      </c>
      <c r="H140" s="31"/>
      <c r="I140" s="34">
        <v>3400</v>
      </c>
      <c r="J140" s="34">
        <v>3060</v>
      </c>
      <c r="K140" s="35">
        <v>3252.14114832536</v>
      </c>
      <c r="L140" s="35">
        <v>2673.59561752988</v>
      </c>
      <c r="M140" s="35">
        <v>2119.71428571429</v>
      </c>
      <c r="N140" s="40">
        <v>3250</v>
      </c>
      <c r="O140" s="40">
        <v>2900</v>
      </c>
      <c r="P140" s="40">
        <v>2450</v>
      </c>
      <c r="Q140" s="28" t="s">
        <v>42</v>
      </c>
      <c r="R140" s="38" t="s">
        <v>280</v>
      </c>
      <c r="S140" s="28" t="s">
        <v>751</v>
      </c>
      <c r="T140" s="30" t="s">
        <v>766</v>
      </c>
      <c r="U140" s="30">
        <v>330201025</v>
      </c>
      <c r="V140" s="30" t="s">
        <v>767</v>
      </c>
      <c r="W140" s="30" t="s">
        <v>768</v>
      </c>
      <c r="X140" s="30"/>
      <c r="Y140" s="30" t="s">
        <v>40</v>
      </c>
      <c r="Z140" s="30" t="s">
        <v>43</v>
      </c>
      <c r="AA140" s="51">
        <v>7680</v>
      </c>
      <c r="AB140" s="51">
        <v>6910</v>
      </c>
      <c r="AC140" s="57">
        <v>6600</v>
      </c>
      <c r="AD140" s="57">
        <v>5940</v>
      </c>
      <c r="AE140" s="57">
        <v>5050</v>
      </c>
      <c r="AF140" s="58">
        <f t="shared" si="10"/>
        <v>0</v>
      </c>
      <c r="AG140" s="58" t="str">
        <f t="shared" si="11"/>
        <v>颅内病变切除费（常规）</v>
      </c>
      <c r="AH140" s="58">
        <f t="shared" si="12"/>
        <v>3250</v>
      </c>
      <c r="AI140" s="58">
        <f t="shared" si="13"/>
        <v>2900</v>
      </c>
      <c r="AJ140" s="58">
        <f t="shared" si="14"/>
        <v>2450</v>
      </c>
    </row>
    <row r="141" s="17" customFormat="1" customHeight="1" spans="1:36">
      <c r="A141" s="27">
        <v>46</v>
      </c>
      <c r="B141" s="28" t="s">
        <v>747</v>
      </c>
      <c r="C141" s="28" t="s">
        <v>748</v>
      </c>
      <c r="D141" s="28" t="s">
        <v>378</v>
      </c>
      <c r="E141" s="28" t="s">
        <v>749</v>
      </c>
      <c r="F141" s="28" t="s">
        <v>750</v>
      </c>
      <c r="G141" s="28" t="s">
        <v>40</v>
      </c>
      <c r="H141" s="31"/>
      <c r="I141" s="34">
        <v>3400</v>
      </c>
      <c r="J141" s="34">
        <v>3060</v>
      </c>
      <c r="K141" s="35">
        <v>3252.14114832536</v>
      </c>
      <c r="L141" s="35">
        <v>2673.59561752988</v>
      </c>
      <c r="M141" s="35">
        <v>2119.71428571429</v>
      </c>
      <c r="N141" s="40">
        <v>3250</v>
      </c>
      <c r="O141" s="40">
        <v>2900</v>
      </c>
      <c r="P141" s="40">
        <v>2450</v>
      </c>
      <c r="Q141" s="28" t="s">
        <v>42</v>
      </c>
      <c r="R141" s="38" t="s">
        <v>280</v>
      </c>
      <c r="S141" s="28" t="s">
        <v>751</v>
      </c>
      <c r="T141" s="30" t="s">
        <v>769</v>
      </c>
      <c r="U141" s="30">
        <v>330201026</v>
      </c>
      <c r="V141" s="30" t="s">
        <v>770</v>
      </c>
      <c r="W141" s="30"/>
      <c r="X141" s="30"/>
      <c r="Y141" s="30" t="s">
        <v>40</v>
      </c>
      <c r="Z141" s="30" t="s">
        <v>43</v>
      </c>
      <c r="AA141" s="51">
        <v>5760</v>
      </c>
      <c r="AB141" s="51">
        <v>5180</v>
      </c>
      <c r="AC141" s="57">
        <v>5060</v>
      </c>
      <c r="AD141" s="57">
        <v>4550</v>
      </c>
      <c r="AE141" s="57">
        <v>3870</v>
      </c>
      <c r="AF141" s="58">
        <f t="shared" si="10"/>
        <v>0</v>
      </c>
      <c r="AG141" s="58" t="str">
        <f t="shared" si="11"/>
        <v>颅内病变切除费（常规）</v>
      </c>
      <c r="AH141" s="58">
        <f t="shared" si="12"/>
        <v>3250</v>
      </c>
      <c r="AI141" s="58">
        <f t="shared" si="13"/>
        <v>2900</v>
      </c>
      <c r="AJ141" s="58">
        <f t="shared" si="14"/>
        <v>2450</v>
      </c>
    </row>
    <row r="142" s="17" customFormat="1" customHeight="1" spans="1:36">
      <c r="A142" s="27">
        <v>46</v>
      </c>
      <c r="B142" s="28" t="s">
        <v>747</v>
      </c>
      <c r="C142" s="28" t="s">
        <v>748</v>
      </c>
      <c r="D142" s="28" t="s">
        <v>378</v>
      </c>
      <c r="E142" s="28" t="s">
        <v>749</v>
      </c>
      <c r="F142" s="28" t="s">
        <v>750</v>
      </c>
      <c r="G142" s="28" t="s">
        <v>40</v>
      </c>
      <c r="H142" s="31"/>
      <c r="I142" s="34">
        <v>3400</v>
      </c>
      <c r="J142" s="34">
        <v>3060</v>
      </c>
      <c r="K142" s="35">
        <v>3252.14114832536</v>
      </c>
      <c r="L142" s="35">
        <v>2673.59561752988</v>
      </c>
      <c r="M142" s="35">
        <v>2119.71428571429</v>
      </c>
      <c r="N142" s="40">
        <v>3250</v>
      </c>
      <c r="O142" s="40">
        <v>2900</v>
      </c>
      <c r="P142" s="40">
        <v>2450</v>
      </c>
      <c r="Q142" s="28" t="s">
        <v>42</v>
      </c>
      <c r="R142" s="38" t="s">
        <v>280</v>
      </c>
      <c r="S142" s="28" t="s">
        <v>751</v>
      </c>
      <c r="T142" s="30" t="s">
        <v>771</v>
      </c>
      <c r="U142" s="30">
        <v>330201028</v>
      </c>
      <c r="V142" s="30" t="s">
        <v>772</v>
      </c>
      <c r="W142" s="30"/>
      <c r="X142" s="30"/>
      <c r="Y142" s="30" t="s">
        <v>40</v>
      </c>
      <c r="Z142" s="30" t="s">
        <v>43</v>
      </c>
      <c r="AA142" s="51">
        <v>3460</v>
      </c>
      <c r="AB142" s="51">
        <v>3110</v>
      </c>
      <c r="AC142" s="57">
        <v>3040</v>
      </c>
      <c r="AD142" s="57">
        <v>2740</v>
      </c>
      <c r="AE142" s="57">
        <v>2330</v>
      </c>
      <c r="AF142" s="58">
        <f t="shared" si="10"/>
        <v>0</v>
      </c>
      <c r="AG142" s="58" t="str">
        <f t="shared" si="11"/>
        <v>颅内病变切除费（常规）</v>
      </c>
      <c r="AH142" s="58">
        <f t="shared" si="12"/>
        <v>3250</v>
      </c>
      <c r="AI142" s="58">
        <f t="shared" si="13"/>
        <v>2900</v>
      </c>
      <c r="AJ142" s="58">
        <f t="shared" si="14"/>
        <v>2450</v>
      </c>
    </row>
    <row r="143" s="17" customFormat="1" customHeight="1" spans="1:36">
      <c r="A143" s="27">
        <v>46</v>
      </c>
      <c r="B143" s="28" t="s">
        <v>747</v>
      </c>
      <c r="C143" s="28" t="s">
        <v>748</v>
      </c>
      <c r="D143" s="28" t="s">
        <v>378</v>
      </c>
      <c r="E143" s="28" t="s">
        <v>749</v>
      </c>
      <c r="F143" s="28" t="s">
        <v>750</v>
      </c>
      <c r="G143" s="28" t="s">
        <v>40</v>
      </c>
      <c r="H143" s="31"/>
      <c r="I143" s="34">
        <v>3400</v>
      </c>
      <c r="J143" s="34">
        <v>3060</v>
      </c>
      <c r="K143" s="35">
        <v>3252.14114832536</v>
      </c>
      <c r="L143" s="35">
        <v>2673.59561752988</v>
      </c>
      <c r="M143" s="35">
        <v>2119.71428571429</v>
      </c>
      <c r="N143" s="40">
        <v>3250</v>
      </c>
      <c r="O143" s="40">
        <v>2900</v>
      </c>
      <c r="P143" s="40">
        <v>2450</v>
      </c>
      <c r="Q143" s="28" t="s">
        <v>42</v>
      </c>
      <c r="R143" s="38" t="s">
        <v>280</v>
      </c>
      <c r="S143" s="28" t="s">
        <v>751</v>
      </c>
      <c r="T143" s="30" t="s">
        <v>773</v>
      </c>
      <c r="U143" s="30">
        <v>330201029</v>
      </c>
      <c r="V143" s="30" t="s">
        <v>774</v>
      </c>
      <c r="W143" s="30" t="s">
        <v>775</v>
      </c>
      <c r="X143" s="30"/>
      <c r="Y143" s="30" t="s">
        <v>40</v>
      </c>
      <c r="Z143" s="30" t="s">
        <v>43</v>
      </c>
      <c r="AA143" s="51">
        <v>7500</v>
      </c>
      <c r="AB143" s="51">
        <v>6300</v>
      </c>
      <c r="AC143" s="57">
        <v>5780</v>
      </c>
      <c r="AD143" s="57">
        <v>5200</v>
      </c>
      <c r="AE143" s="57">
        <v>4420</v>
      </c>
      <c r="AF143" s="58">
        <f t="shared" si="10"/>
        <v>0</v>
      </c>
      <c r="AG143" s="58" t="str">
        <f t="shared" si="11"/>
        <v>颅内病变切除费（常规）</v>
      </c>
      <c r="AH143" s="58">
        <f t="shared" si="12"/>
        <v>3250</v>
      </c>
      <c r="AI143" s="58">
        <f t="shared" si="13"/>
        <v>2900</v>
      </c>
      <c r="AJ143" s="58">
        <f t="shared" si="14"/>
        <v>2450</v>
      </c>
    </row>
    <row r="144" s="17" customFormat="1" customHeight="1" spans="1:36">
      <c r="A144" s="27">
        <v>46</v>
      </c>
      <c r="B144" s="28" t="s">
        <v>747</v>
      </c>
      <c r="C144" s="28" t="s">
        <v>748</v>
      </c>
      <c r="D144" s="28" t="s">
        <v>378</v>
      </c>
      <c r="E144" s="28" t="s">
        <v>749</v>
      </c>
      <c r="F144" s="28" t="s">
        <v>750</v>
      </c>
      <c r="G144" s="28" t="s">
        <v>40</v>
      </c>
      <c r="H144" s="31"/>
      <c r="I144" s="34">
        <v>3400</v>
      </c>
      <c r="J144" s="34">
        <v>3060</v>
      </c>
      <c r="K144" s="35">
        <v>3252.14114832536</v>
      </c>
      <c r="L144" s="35">
        <v>2673.59561752988</v>
      </c>
      <c r="M144" s="35">
        <v>2119.71428571429</v>
      </c>
      <c r="N144" s="40">
        <v>3250</v>
      </c>
      <c r="O144" s="40">
        <v>2900</v>
      </c>
      <c r="P144" s="40">
        <v>2450</v>
      </c>
      <c r="Q144" s="28" t="s">
        <v>42</v>
      </c>
      <c r="R144" s="38" t="s">
        <v>280</v>
      </c>
      <c r="S144" s="28" t="s">
        <v>751</v>
      </c>
      <c r="T144" s="30" t="s">
        <v>776</v>
      </c>
      <c r="U144" s="30">
        <v>330201030</v>
      </c>
      <c r="V144" s="30" t="s">
        <v>777</v>
      </c>
      <c r="W144" s="30"/>
      <c r="X144" s="30"/>
      <c r="Y144" s="30" t="s">
        <v>40</v>
      </c>
      <c r="Z144" s="30" t="s">
        <v>43</v>
      </c>
      <c r="AA144" s="51">
        <v>9000</v>
      </c>
      <c r="AB144" s="51">
        <v>7560</v>
      </c>
      <c r="AC144" s="57">
        <v>6940</v>
      </c>
      <c r="AD144" s="57">
        <v>6250</v>
      </c>
      <c r="AE144" s="57">
        <v>5310</v>
      </c>
      <c r="AF144" s="58">
        <f t="shared" si="10"/>
        <v>0</v>
      </c>
      <c r="AG144" s="58" t="str">
        <f t="shared" si="11"/>
        <v>颅内病变切除费（常规）</v>
      </c>
      <c r="AH144" s="58">
        <f t="shared" si="12"/>
        <v>3250</v>
      </c>
      <c r="AI144" s="58">
        <f t="shared" si="13"/>
        <v>2900</v>
      </c>
      <c r="AJ144" s="58">
        <f t="shared" si="14"/>
        <v>2450</v>
      </c>
    </row>
    <row r="145" s="17" customFormat="1" customHeight="1" spans="1:36">
      <c r="A145" s="27">
        <v>46</v>
      </c>
      <c r="B145" s="28" t="s">
        <v>747</v>
      </c>
      <c r="C145" s="28" t="s">
        <v>748</v>
      </c>
      <c r="D145" s="28" t="s">
        <v>378</v>
      </c>
      <c r="E145" s="28" t="s">
        <v>749</v>
      </c>
      <c r="F145" s="28" t="s">
        <v>750</v>
      </c>
      <c r="G145" s="28" t="s">
        <v>40</v>
      </c>
      <c r="H145" s="31"/>
      <c r="I145" s="34">
        <v>3400</v>
      </c>
      <c r="J145" s="34">
        <v>3060</v>
      </c>
      <c r="K145" s="35">
        <v>3252.14114832536</v>
      </c>
      <c r="L145" s="35">
        <v>2673.59561752988</v>
      </c>
      <c r="M145" s="35">
        <v>2119.71428571429</v>
      </c>
      <c r="N145" s="40">
        <v>3250</v>
      </c>
      <c r="O145" s="40">
        <v>2900</v>
      </c>
      <c r="P145" s="40">
        <v>2450</v>
      </c>
      <c r="Q145" s="28" t="s">
        <v>42</v>
      </c>
      <c r="R145" s="38" t="s">
        <v>280</v>
      </c>
      <c r="S145" s="28" t="s">
        <v>751</v>
      </c>
      <c r="T145" s="30" t="s">
        <v>778</v>
      </c>
      <c r="U145" s="30">
        <v>330201031</v>
      </c>
      <c r="V145" s="30" t="s">
        <v>779</v>
      </c>
      <c r="W145" s="30" t="s">
        <v>780</v>
      </c>
      <c r="X145" s="30"/>
      <c r="Y145" s="30" t="s">
        <v>40</v>
      </c>
      <c r="Z145" s="30" t="s">
        <v>43</v>
      </c>
      <c r="AA145" s="51">
        <v>6000</v>
      </c>
      <c r="AB145" s="51">
        <v>5040</v>
      </c>
      <c r="AC145" s="57">
        <v>4625</v>
      </c>
      <c r="AD145" s="57">
        <v>4160</v>
      </c>
      <c r="AE145" s="57">
        <v>3540</v>
      </c>
      <c r="AF145" s="58">
        <f t="shared" si="10"/>
        <v>0</v>
      </c>
      <c r="AG145" s="58" t="str">
        <f t="shared" si="11"/>
        <v>颅内病变切除费（常规）</v>
      </c>
      <c r="AH145" s="58">
        <f t="shared" si="12"/>
        <v>3250</v>
      </c>
      <c r="AI145" s="58">
        <f t="shared" si="13"/>
        <v>2900</v>
      </c>
      <c r="AJ145" s="58">
        <f t="shared" si="14"/>
        <v>2450</v>
      </c>
    </row>
    <row r="146" s="17" customFormat="1" customHeight="1" spans="1:36">
      <c r="A146" s="27">
        <v>46</v>
      </c>
      <c r="B146" s="28" t="s">
        <v>747</v>
      </c>
      <c r="C146" s="28" t="s">
        <v>748</v>
      </c>
      <c r="D146" s="28" t="s">
        <v>378</v>
      </c>
      <c r="E146" s="28" t="s">
        <v>749</v>
      </c>
      <c r="F146" s="28" t="s">
        <v>750</v>
      </c>
      <c r="G146" s="28" t="s">
        <v>40</v>
      </c>
      <c r="H146" s="31"/>
      <c r="I146" s="34">
        <v>3400</v>
      </c>
      <c r="J146" s="34">
        <v>3060</v>
      </c>
      <c r="K146" s="35">
        <v>3252.14114832536</v>
      </c>
      <c r="L146" s="35">
        <v>2673.59561752988</v>
      </c>
      <c r="M146" s="35">
        <v>2119.71428571429</v>
      </c>
      <c r="N146" s="40">
        <v>3250</v>
      </c>
      <c r="O146" s="40">
        <v>2900</v>
      </c>
      <c r="P146" s="40">
        <v>2450</v>
      </c>
      <c r="Q146" s="28" t="s">
        <v>42</v>
      </c>
      <c r="R146" s="38" t="s">
        <v>280</v>
      </c>
      <c r="S146" s="28" t="s">
        <v>751</v>
      </c>
      <c r="T146" s="30" t="s">
        <v>781</v>
      </c>
      <c r="U146" s="30">
        <v>330201032</v>
      </c>
      <c r="V146" s="30" t="s">
        <v>782</v>
      </c>
      <c r="W146" s="30"/>
      <c r="X146" s="30"/>
      <c r="Y146" s="30" t="s">
        <v>40</v>
      </c>
      <c r="Z146" s="30" t="s">
        <v>43</v>
      </c>
      <c r="AA146" s="51">
        <v>4320</v>
      </c>
      <c r="AB146" s="51">
        <v>3890</v>
      </c>
      <c r="AC146" s="57">
        <v>3710</v>
      </c>
      <c r="AD146" s="57">
        <v>3340</v>
      </c>
      <c r="AE146" s="57">
        <v>2840</v>
      </c>
      <c r="AF146" s="58">
        <f t="shared" si="10"/>
        <v>0</v>
      </c>
      <c r="AG146" s="58" t="str">
        <f t="shared" si="11"/>
        <v>颅内病变切除费（常规）</v>
      </c>
      <c r="AH146" s="58">
        <f t="shared" si="12"/>
        <v>3250</v>
      </c>
      <c r="AI146" s="58">
        <f t="shared" si="13"/>
        <v>2900</v>
      </c>
      <c r="AJ146" s="58">
        <f t="shared" si="14"/>
        <v>2450</v>
      </c>
    </row>
    <row r="147" s="17" customFormat="1" customHeight="1" spans="1:36">
      <c r="A147" s="27">
        <v>46</v>
      </c>
      <c r="B147" s="28" t="s">
        <v>747</v>
      </c>
      <c r="C147" s="28" t="s">
        <v>748</v>
      </c>
      <c r="D147" s="28" t="s">
        <v>378</v>
      </c>
      <c r="E147" s="28" t="s">
        <v>749</v>
      </c>
      <c r="F147" s="28" t="s">
        <v>750</v>
      </c>
      <c r="G147" s="28" t="s">
        <v>40</v>
      </c>
      <c r="H147" s="31"/>
      <c r="I147" s="34">
        <v>3400</v>
      </c>
      <c r="J147" s="34">
        <v>3060</v>
      </c>
      <c r="K147" s="35">
        <v>3252.14114832536</v>
      </c>
      <c r="L147" s="35">
        <v>2673.59561752988</v>
      </c>
      <c r="M147" s="35">
        <v>2119.71428571429</v>
      </c>
      <c r="N147" s="40">
        <v>3250</v>
      </c>
      <c r="O147" s="40">
        <v>2900</v>
      </c>
      <c r="P147" s="40">
        <v>2450</v>
      </c>
      <c r="Q147" s="28" t="s">
        <v>42</v>
      </c>
      <c r="R147" s="38" t="s">
        <v>280</v>
      </c>
      <c r="S147" s="28" t="s">
        <v>751</v>
      </c>
      <c r="T147" s="30" t="s">
        <v>783</v>
      </c>
      <c r="U147" s="30">
        <v>330201033</v>
      </c>
      <c r="V147" s="30" t="s">
        <v>784</v>
      </c>
      <c r="W147" s="30" t="s">
        <v>785</v>
      </c>
      <c r="X147" s="30"/>
      <c r="Y147" s="30" t="s">
        <v>40</v>
      </c>
      <c r="Z147" s="30" t="s">
        <v>786</v>
      </c>
      <c r="AA147" s="51">
        <v>5520</v>
      </c>
      <c r="AB147" s="51">
        <v>4970</v>
      </c>
      <c r="AC147" s="57">
        <v>4740</v>
      </c>
      <c r="AD147" s="57">
        <v>4270</v>
      </c>
      <c r="AE147" s="57">
        <v>3630</v>
      </c>
      <c r="AF147" s="58">
        <f t="shared" si="10"/>
        <v>0</v>
      </c>
      <c r="AG147" s="58" t="str">
        <f t="shared" si="11"/>
        <v>颅内病变切除费（常规）</v>
      </c>
      <c r="AH147" s="58">
        <f t="shared" si="12"/>
        <v>3250</v>
      </c>
      <c r="AI147" s="58">
        <f t="shared" si="13"/>
        <v>2900</v>
      </c>
      <c r="AJ147" s="58">
        <f t="shared" si="14"/>
        <v>2450</v>
      </c>
    </row>
    <row r="148" s="17" customFormat="1" customHeight="1" spans="1:36">
      <c r="A148" s="27">
        <v>46</v>
      </c>
      <c r="B148" s="28" t="s">
        <v>747</v>
      </c>
      <c r="C148" s="28" t="s">
        <v>748</v>
      </c>
      <c r="D148" s="28" t="s">
        <v>378</v>
      </c>
      <c r="E148" s="28" t="s">
        <v>749</v>
      </c>
      <c r="F148" s="28" t="s">
        <v>750</v>
      </c>
      <c r="G148" s="28" t="s">
        <v>40</v>
      </c>
      <c r="H148" s="31"/>
      <c r="I148" s="34">
        <v>3400</v>
      </c>
      <c r="J148" s="34">
        <v>3060</v>
      </c>
      <c r="K148" s="35">
        <v>3252.14114832536</v>
      </c>
      <c r="L148" s="35">
        <v>2673.59561752988</v>
      </c>
      <c r="M148" s="35">
        <v>2119.71428571429</v>
      </c>
      <c r="N148" s="40">
        <v>3250</v>
      </c>
      <c r="O148" s="40">
        <v>2900</v>
      </c>
      <c r="P148" s="40">
        <v>2450</v>
      </c>
      <c r="Q148" s="28" t="s">
        <v>42</v>
      </c>
      <c r="R148" s="38" t="s">
        <v>280</v>
      </c>
      <c r="S148" s="28" t="s">
        <v>751</v>
      </c>
      <c r="T148" s="46" t="s">
        <v>787</v>
      </c>
      <c r="U148" s="46">
        <v>330201034</v>
      </c>
      <c r="V148" s="48" t="s">
        <v>788</v>
      </c>
      <c r="W148" s="46" t="s">
        <v>789</v>
      </c>
      <c r="X148" s="46"/>
      <c r="Y148" s="46" t="s">
        <v>40</v>
      </c>
      <c r="Z148" s="30" t="s">
        <v>790</v>
      </c>
      <c r="AA148" s="52"/>
      <c r="AB148" s="51" t="s">
        <v>43</v>
      </c>
      <c r="AC148" s="57" t="s">
        <v>43</v>
      </c>
      <c r="AD148" s="57" t="s">
        <v>43</v>
      </c>
      <c r="AE148" s="57" t="s">
        <v>43</v>
      </c>
      <c r="AF148" s="58">
        <f t="shared" si="10"/>
        <v>0</v>
      </c>
      <c r="AG148" s="58" t="str">
        <f t="shared" si="11"/>
        <v>颅内病变切除费（常规）</v>
      </c>
      <c r="AH148" s="58">
        <f t="shared" si="12"/>
        <v>3250</v>
      </c>
      <c r="AI148" s="58">
        <f t="shared" si="13"/>
        <v>2900</v>
      </c>
      <c r="AJ148" s="58">
        <f t="shared" si="14"/>
        <v>2450</v>
      </c>
    </row>
    <row r="149" s="17" customFormat="1" customHeight="1" spans="1:36">
      <c r="A149" s="27">
        <v>46</v>
      </c>
      <c r="B149" s="28" t="s">
        <v>747</v>
      </c>
      <c r="C149" s="28" t="s">
        <v>748</v>
      </c>
      <c r="D149" s="28" t="s">
        <v>378</v>
      </c>
      <c r="E149" s="28" t="s">
        <v>749</v>
      </c>
      <c r="F149" s="28" t="s">
        <v>750</v>
      </c>
      <c r="G149" s="28" t="s">
        <v>40</v>
      </c>
      <c r="H149" s="31"/>
      <c r="I149" s="34">
        <v>3400</v>
      </c>
      <c r="J149" s="34">
        <v>3060</v>
      </c>
      <c r="K149" s="35">
        <v>3252.14114832536</v>
      </c>
      <c r="L149" s="35">
        <v>2673.59561752988</v>
      </c>
      <c r="M149" s="35">
        <v>2119.71428571429</v>
      </c>
      <c r="N149" s="40">
        <v>3250</v>
      </c>
      <c r="O149" s="40">
        <v>2900</v>
      </c>
      <c r="P149" s="40">
        <v>2450</v>
      </c>
      <c r="Q149" s="28" t="s">
        <v>42</v>
      </c>
      <c r="R149" s="38" t="s">
        <v>280</v>
      </c>
      <c r="S149" s="28" t="s">
        <v>751</v>
      </c>
      <c r="T149" s="30" t="s">
        <v>791</v>
      </c>
      <c r="U149" s="30">
        <v>330201036</v>
      </c>
      <c r="V149" s="30" t="s">
        <v>792</v>
      </c>
      <c r="W149" s="30" t="s">
        <v>793</v>
      </c>
      <c r="X149" s="30"/>
      <c r="Y149" s="30" t="s">
        <v>40</v>
      </c>
      <c r="Z149" s="30" t="s">
        <v>43</v>
      </c>
      <c r="AA149" s="51">
        <v>5520</v>
      </c>
      <c r="AB149" s="51">
        <v>4970</v>
      </c>
      <c r="AC149" s="57">
        <v>4740</v>
      </c>
      <c r="AD149" s="57">
        <v>4270</v>
      </c>
      <c r="AE149" s="57">
        <v>3630</v>
      </c>
      <c r="AF149" s="58">
        <f t="shared" si="10"/>
        <v>0</v>
      </c>
      <c r="AG149" s="58" t="str">
        <f t="shared" si="11"/>
        <v>颅内病变切除费（常规）</v>
      </c>
      <c r="AH149" s="58">
        <f t="shared" si="12"/>
        <v>3250</v>
      </c>
      <c r="AI149" s="58">
        <f t="shared" si="13"/>
        <v>2900</v>
      </c>
      <c r="AJ149" s="58">
        <f t="shared" si="14"/>
        <v>2450</v>
      </c>
    </row>
    <row r="150" s="17" customFormat="1" customHeight="1" spans="1:36">
      <c r="A150" s="27">
        <v>46</v>
      </c>
      <c r="B150" s="28" t="s">
        <v>747</v>
      </c>
      <c r="C150" s="28" t="s">
        <v>748</v>
      </c>
      <c r="D150" s="28" t="s">
        <v>378</v>
      </c>
      <c r="E150" s="28" t="s">
        <v>749</v>
      </c>
      <c r="F150" s="28" t="s">
        <v>750</v>
      </c>
      <c r="G150" s="28" t="s">
        <v>40</v>
      </c>
      <c r="H150" s="31"/>
      <c r="I150" s="34">
        <v>3400</v>
      </c>
      <c r="J150" s="34">
        <v>3060</v>
      </c>
      <c r="K150" s="35">
        <v>3252.14114832536</v>
      </c>
      <c r="L150" s="35">
        <v>2673.59561752988</v>
      </c>
      <c r="M150" s="35">
        <v>2119.71428571429</v>
      </c>
      <c r="N150" s="40">
        <v>3250</v>
      </c>
      <c r="O150" s="40">
        <v>2900</v>
      </c>
      <c r="P150" s="40">
        <v>2450</v>
      </c>
      <c r="Q150" s="28" t="s">
        <v>42</v>
      </c>
      <c r="R150" s="38" t="s">
        <v>280</v>
      </c>
      <c r="S150" s="28" t="s">
        <v>751</v>
      </c>
      <c r="T150" s="30" t="s">
        <v>794</v>
      </c>
      <c r="U150" s="30">
        <v>330201038</v>
      </c>
      <c r="V150" s="30" t="s">
        <v>795</v>
      </c>
      <c r="W150" s="30" t="s">
        <v>796</v>
      </c>
      <c r="X150" s="30"/>
      <c r="Y150" s="30" t="s">
        <v>40</v>
      </c>
      <c r="Z150" s="30" t="s">
        <v>43</v>
      </c>
      <c r="AA150" s="51">
        <v>9900</v>
      </c>
      <c r="AB150" s="51">
        <v>8320</v>
      </c>
      <c r="AC150" s="57">
        <v>9400</v>
      </c>
      <c r="AD150" s="57">
        <v>8950</v>
      </c>
      <c r="AE150" s="57">
        <v>7150</v>
      </c>
      <c r="AF150" s="58">
        <f t="shared" si="10"/>
        <v>0</v>
      </c>
      <c r="AG150" s="58" t="str">
        <f t="shared" si="11"/>
        <v>颅内病变切除费（常规）</v>
      </c>
      <c r="AH150" s="58">
        <f t="shared" si="12"/>
        <v>3250</v>
      </c>
      <c r="AI150" s="58">
        <f t="shared" si="13"/>
        <v>2900</v>
      </c>
      <c r="AJ150" s="58">
        <f t="shared" si="14"/>
        <v>2450</v>
      </c>
    </row>
    <row r="151" s="17" customFormat="1" customHeight="1" spans="1:36">
      <c r="A151" s="27">
        <v>46</v>
      </c>
      <c r="B151" s="28" t="s">
        <v>747</v>
      </c>
      <c r="C151" s="28" t="s">
        <v>748</v>
      </c>
      <c r="D151" s="28" t="s">
        <v>378</v>
      </c>
      <c r="E151" s="28" t="s">
        <v>749</v>
      </c>
      <c r="F151" s="28" t="s">
        <v>750</v>
      </c>
      <c r="G151" s="28" t="s">
        <v>40</v>
      </c>
      <c r="H151" s="31"/>
      <c r="I151" s="34">
        <v>3400</v>
      </c>
      <c r="J151" s="34">
        <v>3060</v>
      </c>
      <c r="K151" s="35">
        <v>3252.14114832536</v>
      </c>
      <c r="L151" s="35">
        <v>2673.59561752988</v>
      </c>
      <c r="M151" s="35">
        <v>2119.71428571429</v>
      </c>
      <c r="N151" s="40">
        <v>3250</v>
      </c>
      <c r="O151" s="40">
        <v>2900</v>
      </c>
      <c r="P151" s="40">
        <v>2450</v>
      </c>
      <c r="Q151" s="28" t="s">
        <v>42</v>
      </c>
      <c r="R151" s="38" t="s">
        <v>280</v>
      </c>
      <c r="S151" s="28" t="s">
        <v>751</v>
      </c>
      <c r="T151" s="30" t="s">
        <v>797</v>
      </c>
      <c r="U151" s="30">
        <v>33020103802</v>
      </c>
      <c r="V151" s="30" t="s">
        <v>798</v>
      </c>
      <c r="W151" s="30"/>
      <c r="X151" s="30"/>
      <c r="Y151" s="30" t="s">
        <v>40</v>
      </c>
      <c r="Z151" s="30" t="s">
        <v>43</v>
      </c>
      <c r="AA151" s="51">
        <v>10700</v>
      </c>
      <c r="AB151" s="51">
        <v>9040</v>
      </c>
      <c r="AC151" s="57">
        <v>9775</v>
      </c>
      <c r="AD151" s="57">
        <v>9310</v>
      </c>
      <c r="AE151" s="57">
        <v>7456</v>
      </c>
      <c r="AF151" s="58">
        <f t="shared" si="10"/>
        <v>0</v>
      </c>
      <c r="AG151" s="58" t="str">
        <f t="shared" si="11"/>
        <v>颅内病变切除费（常规）</v>
      </c>
      <c r="AH151" s="58">
        <f t="shared" si="12"/>
        <v>3250</v>
      </c>
      <c r="AI151" s="58">
        <f t="shared" si="13"/>
        <v>2900</v>
      </c>
      <c r="AJ151" s="58">
        <f t="shared" si="14"/>
        <v>2450</v>
      </c>
    </row>
    <row r="152" s="17" customFormat="1" customHeight="1" spans="1:36">
      <c r="A152" s="27">
        <v>46</v>
      </c>
      <c r="B152" s="28" t="s">
        <v>747</v>
      </c>
      <c r="C152" s="28" t="s">
        <v>748</v>
      </c>
      <c r="D152" s="28" t="s">
        <v>378</v>
      </c>
      <c r="E152" s="28" t="s">
        <v>749</v>
      </c>
      <c r="F152" s="28" t="s">
        <v>750</v>
      </c>
      <c r="G152" s="28" t="s">
        <v>40</v>
      </c>
      <c r="H152" s="31"/>
      <c r="I152" s="34">
        <v>3400</v>
      </c>
      <c r="J152" s="34">
        <v>3060</v>
      </c>
      <c r="K152" s="35">
        <v>3252.14114832536</v>
      </c>
      <c r="L152" s="35">
        <v>2673.59561752988</v>
      </c>
      <c r="M152" s="35">
        <v>2119.71428571429</v>
      </c>
      <c r="N152" s="40">
        <v>3250</v>
      </c>
      <c r="O152" s="40">
        <v>2900</v>
      </c>
      <c r="P152" s="40">
        <v>2450</v>
      </c>
      <c r="Q152" s="28" t="s">
        <v>42</v>
      </c>
      <c r="R152" s="38" t="s">
        <v>280</v>
      </c>
      <c r="S152" s="28" t="s">
        <v>751</v>
      </c>
      <c r="T152" s="30" t="s">
        <v>799</v>
      </c>
      <c r="U152" s="30">
        <v>330201039</v>
      </c>
      <c r="V152" s="30" t="s">
        <v>800</v>
      </c>
      <c r="W152" s="30" t="s">
        <v>801</v>
      </c>
      <c r="X152" s="30" t="s">
        <v>488</v>
      </c>
      <c r="Y152" s="30" t="s">
        <v>40</v>
      </c>
      <c r="Z152" s="30" t="s">
        <v>43</v>
      </c>
      <c r="AA152" s="51">
        <v>6900</v>
      </c>
      <c r="AB152" s="51">
        <v>5800</v>
      </c>
      <c r="AC152" s="57">
        <v>5320</v>
      </c>
      <c r="AD152" s="57">
        <v>4790</v>
      </c>
      <c r="AE152" s="57">
        <v>4070</v>
      </c>
      <c r="AF152" s="58">
        <f t="shared" si="10"/>
        <v>0</v>
      </c>
      <c r="AG152" s="58" t="str">
        <f t="shared" si="11"/>
        <v>颅内病变切除费（常规）</v>
      </c>
      <c r="AH152" s="58">
        <f t="shared" si="12"/>
        <v>3250</v>
      </c>
      <c r="AI152" s="58">
        <f t="shared" si="13"/>
        <v>2900</v>
      </c>
      <c r="AJ152" s="58">
        <f t="shared" si="14"/>
        <v>2450</v>
      </c>
    </row>
    <row r="153" s="17" customFormat="1" customHeight="1" spans="1:36">
      <c r="A153" s="27">
        <v>46</v>
      </c>
      <c r="B153" s="28" t="s">
        <v>747</v>
      </c>
      <c r="C153" s="28" t="s">
        <v>748</v>
      </c>
      <c r="D153" s="28" t="s">
        <v>378</v>
      </c>
      <c r="E153" s="28" t="s">
        <v>749</v>
      </c>
      <c r="F153" s="28" t="s">
        <v>750</v>
      </c>
      <c r="G153" s="28" t="s">
        <v>40</v>
      </c>
      <c r="H153" s="31"/>
      <c r="I153" s="34">
        <v>3400</v>
      </c>
      <c r="J153" s="34">
        <v>3060</v>
      </c>
      <c r="K153" s="35">
        <v>3252.14114832536</v>
      </c>
      <c r="L153" s="35">
        <v>2673.59561752988</v>
      </c>
      <c r="M153" s="35">
        <v>2119.71428571429</v>
      </c>
      <c r="N153" s="40">
        <v>3250</v>
      </c>
      <c r="O153" s="40">
        <v>2900</v>
      </c>
      <c r="P153" s="40">
        <v>2450</v>
      </c>
      <c r="Q153" s="28" t="s">
        <v>42</v>
      </c>
      <c r="R153" s="38" t="s">
        <v>280</v>
      </c>
      <c r="S153" s="28" t="s">
        <v>751</v>
      </c>
      <c r="T153" s="30" t="s">
        <v>802</v>
      </c>
      <c r="U153" s="30">
        <v>33020103902</v>
      </c>
      <c r="V153" s="30" t="s">
        <v>803</v>
      </c>
      <c r="W153" s="30"/>
      <c r="X153" s="30"/>
      <c r="Y153" s="30" t="s">
        <v>40</v>
      </c>
      <c r="Z153" s="30" t="s">
        <v>43</v>
      </c>
      <c r="AA153" s="51">
        <v>7700</v>
      </c>
      <c r="AB153" s="51">
        <v>6520</v>
      </c>
      <c r="AC153" s="57">
        <v>5695</v>
      </c>
      <c r="AD153" s="57">
        <v>5150</v>
      </c>
      <c r="AE153" s="57">
        <v>4376</v>
      </c>
      <c r="AF153" s="58">
        <f t="shared" si="10"/>
        <v>0</v>
      </c>
      <c r="AG153" s="58" t="str">
        <f t="shared" si="11"/>
        <v>颅内病变切除费（常规）</v>
      </c>
      <c r="AH153" s="58">
        <f t="shared" si="12"/>
        <v>3250</v>
      </c>
      <c r="AI153" s="58">
        <f t="shared" si="13"/>
        <v>2900</v>
      </c>
      <c r="AJ153" s="58">
        <f t="shared" si="14"/>
        <v>2450</v>
      </c>
    </row>
    <row r="154" s="17" customFormat="1" customHeight="1" spans="1:36">
      <c r="A154" s="27">
        <v>46</v>
      </c>
      <c r="B154" s="28" t="s">
        <v>747</v>
      </c>
      <c r="C154" s="28" t="s">
        <v>748</v>
      </c>
      <c r="D154" s="28" t="s">
        <v>378</v>
      </c>
      <c r="E154" s="28" t="s">
        <v>749</v>
      </c>
      <c r="F154" s="28" t="s">
        <v>750</v>
      </c>
      <c r="G154" s="28" t="s">
        <v>40</v>
      </c>
      <c r="H154" s="31"/>
      <c r="I154" s="34">
        <v>3400</v>
      </c>
      <c r="J154" s="34">
        <v>3060</v>
      </c>
      <c r="K154" s="35">
        <v>3252.14114832536</v>
      </c>
      <c r="L154" s="35">
        <v>2673.59561752988</v>
      </c>
      <c r="M154" s="35">
        <v>2119.71428571429</v>
      </c>
      <c r="N154" s="40">
        <v>3250</v>
      </c>
      <c r="O154" s="40">
        <v>2900</v>
      </c>
      <c r="P154" s="40">
        <v>2450</v>
      </c>
      <c r="Q154" s="28" t="s">
        <v>42</v>
      </c>
      <c r="R154" s="38" t="s">
        <v>280</v>
      </c>
      <c r="S154" s="28" t="s">
        <v>751</v>
      </c>
      <c r="T154" s="30" t="s">
        <v>804</v>
      </c>
      <c r="U154" s="30">
        <v>330201043</v>
      </c>
      <c r="V154" s="30" t="s">
        <v>805</v>
      </c>
      <c r="W154" s="30"/>
      <c r="X154" s="30"/>
      <c r="Y154" s="30" t="s">
        <v>40</v>
      </c>
      <c r="Z154" s="30" t="s">
        <v>43</v>
      </c>
      <c r="AA154" s="51">
        <v>4800</v>
      </c>
      <c r="AB154" s="51">
        <v>4320</v>
      </c>
      <c r="AC154" s="57">
        <v>4220</v>
      </c>
      <c r="AD154" s="57">
        <v>3800</v>
      </c>
      <c r="AE154" s="57">
        <v>3230</v>
      </c>
      <c r="AF154" s="58">
        <f t="shared" si="10"/>
        <v>0</v>
      </c>
      <c r="AG154" s="58" t="str">
        <f t="shared" si="11"/>
        <v>颅内病变切除费（常规）</v>
      </c>
      <c r="AH154" s="58">
        <f t="shared" si="12"/>
        <v>3250</v>
      </c>
      <c r="AI154" s="58">
        <f t="shared" si="13"/>
        <v>2900</v>
      </c>
      <c r="AJ154" s="58">
        <f t="shared" si="14"/>
        <v>2450</v>
      </c>
    </row>
    <row r="155" s="17" customFormat="1" customHeight="1" spans="1:36">
      <c r="A155" s="27">
        <v>46</v>
      </c>
      <c r="B155" s="28" t="s">
        <v>747</v>
      </c>
      <c r="C155" s="28" t="s">
        <v>748</v>
      </c>
      <c r="D155" s="28" t="s">
        <v>378</v>
      </c>
      <c r="E155" s="28" t="s">
        <v>749</v>
      </c>
      <c r="F155" s="28" t="s">
        <v>750</v>
      </c>
      <c r="G155" s="28" t="s">
        <v>40</v>
      </c>
      <c r="H155" s="31"/>
      <c r="I155" s="34">
        <v>3400</v>
      </c>
      <c r="J155" s="34">
        <v>3060</v>
      </c>
      <c r="K155" s="35">
        <v>3252.14114832536</v>
      </c>
      <c r="L155" s="35">
        <v>2673.59561752988</v>
      </c>
      <c r="M155" s="35">
        <v>2119.71428571429</v>
      </c>
      <c r="N155" s="40">
        <v>3250</v>
      </c>
      <c r="O155" s="40">
        <v>2900</v>
      </c>
      <c r="P155" s="40">
        <v>2450</v>
      </c>
      <c r="Q155" s="28" t="s">
        <v>42</v>
      </c>
      <c r="R155" s="38" t="s">
        <v>280</v>
      </c>
      <c r="S155" s="28" t="s">
        <v>751</v>
      </c>
      <c r="T155" s="46" t="s">
        <v>806</v>
      </c>
      <c r="U155" s="46">
        <v>33020104302</v>
      </c>
      <c r="V155" s="48" t="s">
        <v>807</v>
      </c>
      <c r="W155" s="46"/>
      <c r="X155" s="46"/>
      <c r="Y155" s="46" t="s">
        <v>40</v>
      </c>
      <c r="Z155" s="30" t="s">
        <v>43</v>
      </c>
      <c r="AA155" s="52">
        <v>5600</v>
      </c>
      <c r="AB155" s="51">
        <v>5040</v>
      </c>
      <c r="AC155" s="57">
        <v>4595</v>
      </c>
      <c r="AD155" s="57">
        <v>4160</v>
      </c>
      <c r="AE155" s="57">
        <v>3536</v>
      </c>
      <c r="AF155" s="58">
        <f t="shared" si="10"/>
        <v>0</v>
      </c>
      <c r="AG155" s="58" t="str">
        <f t="shared" si="11"/>
        <v>颅内病变切除费（常规）</v>
      </c>
      <c r="AH155" s="58">
        <f t="shared" si="12"/>
        <v>3250</v>
      </c>
      <c r="AI155" s="58">
        <f t="shared" si="13"/>
        <v>2900</v>
      </c>
      <c r="AJ155" s="58">
        <f t="shared" si="14"/>
        <v>2450</v>
      </c>
    </row>
    <row r="156" s="17" customFormat="1" customHeight="1" spans="1:36">
      <c r="A156" s="27">
        <v>46</v>
      </c>
      <c r="B156" s="28" t="s">
        <v>747</v>
      </c>
      <c r="C156" s="28" t="s">
        <v>748</v>
      </c>
      <c r="D156" s="28" t="s">
        <v>378</v>
      </c>
      <c r="E156" s="28" t="s">
        <v>749</v>
      </c>
      <c r="F156" s="28" t="s">
        <v>750</v>
      </c>
      <c r="G156" s="28" t="s">
        <v>40</v>
      </c>
      <c r="H156" s="31"/>
      <c r="I156" s="34">
        <v>3400</v>
      </c>
      <c r="J156" s="34">
        <v>3060</v>
      </c>
      <c r="K156" s="35">
        <v>3252.14114832536</v>
      </c>
      <c r="L156" s="35">
        <v>2673.59561752988</v>
      </c>
      <c r="M156" s="35">
        <v>2119.71428571429</v>
      </c>
      <c r="N156" s="40">
        <v>3250</v>
      </c>
      <c r="O156" s="40">
        <v>2900</v>
      </c>
      <c r="P156" s="40">
        <v>2450</v>
      </c>
      <c r="Q156" s="28" t="s">
        <v>42</v>
      </c>
      <c r="R156" s="38" t="s">
        <v>280</v>
      </c>
      <c r="S156" s="28" t="s">
        <v>751</v>
      </c>
      <c r="T156" s="30" t="s">
        <v>808</v>
      </c>
      <c r="U156" s="30">
        <v>330201044</v>
      </c>
      <c r="V156" s="30" t="s">
        <v>809</v>
      </c>
      <c r="W156" s="30"/>
      <c r="X156" s="30"/>
      <c r="Y156" s="30" t="s">
        <v>40</v>
      </c>
      <c r="Z156" s="30" t="s">
        <v>43</v>
      </c>
      <c r="AA156" s="51">
        <v>3840</v>
      </c>
      <c r="AB156" s="51">
        <v>3460</v>
      </c>
      <c r="AC156" s="57">
        <v>3380</v>
      </c>
      <c r="AD156" s="57">
        <v>3040</v>
      </c>
      <c r="AE156" s="57">
        <v>2580</v>
      </c>
      <c r="AF156" s="58">
        <f t="shared" si="10"/>
        <v>0</v>
      </c>
      <c r="AG156" s="58" t="str">
        <f t="shared" si="11"/>
        <v>颅内病变切除费（常规）</v>
      </c>
      <c r="AH156" s="58">
        <f t="shared" si="12"/>
        <v>3250</v>
      </c>
      <c r="AI156" s="58">
        <f t="shared" si="13"/>
        <v>2900</v>
      </c>
      <c r="AJ156" s="58">
        <f t="shared" si="14"/>
        <v>2450</v>
      </c>
    </row>
    <row r="157" s="17" customFormat="1" customHeight="1" spans="1:36">
      <c r="A157" s="27">
        <v>46</v>
      </c>
      <c r="B157" s="28" t="s">
        <v>747</v>
      </c>
      <c r="C157" s="28" t="s">
        <v>748</v>
      </c>
      <c r="D157" s="28" t="s">
        <v>378</v>
      </c>
      <c r="E157" s="28" t="s">
        <v>749</v>
      </c>
      <c r="F157" s="28" t="s">
        <v>750</v>
      </c>
      <c r="G157" s="28" t="s">
        <v>40</v>
      </c>
      <c r="H157" s="31"/>
      <c r="I157" s="34">
        <v>3400</v>
      </c>
      <c r="J157" s="34">
        <v>3060</v>
      </c>
      <c r="K157" s="35">
        <v>3252.14114832536</v>
      </c>
      <c r="L157" s="35">
        <v>2673.59561752988</v>
      </c>
      <c r="M157" s="35">
        <v>2119.71428571429</v>
      </c>
      <c r="N157" s="40">
        <v>3250</v>
      </c>
      <c r="O157" s="40">
        <v>2900</v>
      </c>
      <c r="P157" s="40">
        <v>2450</v>
      </c>
      <c r="Q157" s="28" t="s">
        <v>42</v>
      </c>
      <c r="R157" s="38" t="s">
        <v>280</v>
      </c>
      <c r="S157" s="28" t="s">
        <v>751</v>
      </c>
      <c r="T157" s="30" t="s">
        <v>810</v>
      </c>
      <c r="U157" s="30">
        <v>330201045</v>
      </c>
      <c r="V157" s="30" t="s">
        <v>811</v>
      </c>
      <c r="W157" s="30"/>
      <c r="X157" s="30"/>
      <c r="Y157" s="30" t="s">
        <v>40</v>
      </c>
      <c r="Z157" s="30" t="s">
        <v>43</v>
      </c>
      <c r="AA157" s="51">
        <v>8400</v>
      </c>
      <c r="AB157" s="51">
        <v>7060</v>
      </c>
      <c r="AC157" s="57">
        <v>6480</v>
      </c>
      <c r="AD157" s="57">
        <v>5830</v>
      </c>
      <c r="AE157" s="57">
        <v>4960</v>
      </c>
      <c r="AF157" s="58">
        <f t="shared" si="10"/>
        <v>0</v>
      </c>
      <c r="AG157" s="58" t="str">
        <f t="shared" si="11"/>
        <v>颅内病变切除费（常规）</v>
      </c>
      <c r="AH157" s="58">
        <f t="shared" si="12"/>
        <v>3250</v>
      </c>
      <c r="AI157" s="58">
        <f t="shared" si="13"/>
        <v>2900</v>
      </c>
      <c r="AJ157" s="58">
        <f t="shared" si="14"/>
        <v>2450</v>
      </c>
    </row>
    <row r="158" s="17" customFormat="1" customHeight="1" spans="1:36">
      <c r="A158" s="27">
        <v>46</v>
      </c>
      <c r="B158" s="28" t="s">
        <v>747</v>
      </c>
      <c r="C158" s="28" t="s">
        <v>748</v>
      </c>
      <c r="D158" s="28" t="s">
        <v>378</v>
      </c>
      <c r="E158" s="28" t="s">
        <v>749</v>
      </c>
      <c r="F158" s="28" t="s">
        <v>750</v>
      </c>
      <c r="G158" s="28" t="s">
        <v>40</v>
      </c>
      <c r="H158" s="31"/>
      <c r="I158" s="34">
        <v>3400</v>
      </c>
      <c r="J158" s="34">
        <v>3060</v>
      </c>
      <c r="K158" s="35">
        <v>3252.14114832536</v>
      </c>
      <c r="L158" s="35">
        <v>2673.59561752988</v>
      </c>
      <c r="M158" s="35">
        <v>2119.71428571429</v>
      </c>
      <c r="N158" s="40">
        <v>3250</v>
      </c>
      <c r="O158" s="40">
        <v>2900</v>
      </c>
      <c r="P158" s="40">
        <v>2450</v>
      </c>
      <c r="Q158" s="28" t="s">
        <v>42</v>
      </c>
      <c r="R158" s="38" t="s">
        <v>280</v>
      </c>
      <c r="S158" s="28" t="s">
        <v>751</v>
      </c>
      <c r="T158" s="30" t="s">
        <v>812</v>
      </c>
      <c r="U158" s="30">
        <v>330201046</v>
      </c>
      <c r="V158" s="30" t="s">
        <v>813</v>
      </c>
      <c r="W158" s="30"/>
      <c r="X158" s="30"/>
      <c r="Y158" s="30" t="s">
        <v>40</v>
      </c>
      <c r="Z158" s="30" t="s">
        <v>43</v>
      </c>
      <c r="AA158" s="51">
        <v>4800</v>
      </c>
      <c r="AB158" s="51">
        <v>4320</v>
      </c>
      <c r="AC158" s="57">
        <v>4220</v>
      </c>
      <c r="AD158" s="57">
        <v>3800</v>
      </c>
      <c r="AE158" s="57">
        <v>3230</v>
      </c>
      <c r="AF158" s="58">
        <f t="shared" si="10"/>
        <v>0</v>
      </c>
      <c r="AG158" s="58" t="str">
        <f t="shared" si="11"/>
        <v>颅内病变切除费（常规）</v>
      </c>
      <c r="AH158" s="58">
        <f t="shared" si="12"/>
        <v>3250</v>
      </c>
      <c r="AI158" s="58">
        <f t="shared" si="13"/>
        <v>2900</v>
      </c>
      <c r="AJ158" s="58">
        <f t="shared" si="14"/>
        <v>2450</v>
      </c>
    </row>
    <row r="159" s="17" customFormat="1" customHeight="1" spans="1:36">
      <c r="A159" s="27">
        <v>46</v>
      </c>
      <c r="B159" s="28" t="s">
        <v>747</v>
      </c>
      <c r="C159" s="28" t="s">
        <v>748</v>
      </c>
      <c r="D159" s="28" t="s">
        <v>378</v>
      </c>
      <c r="E159" s="28" t="s">
        <v>749</v>
      </c>
      <c r="F159" s="28" t="s">
        <v>750</v>
      </c>
      <c r="G159" s="28" t="s">
        <v>40</v>
      </c>
      <c r="H159" s="31"/>
      <c r="I159" s="34">
        <v>3400</v>
      </c>
      <c r="J159" s="34">
        <v>3060</v>
      </c>
      <c r="K159" s="35">
        <v>3252.14114832536</v>
      </c>
      <c r="L159" s="35">
        <v>2673.59561752988</v>
      </c>
      <c r="M159" s="35">
        <v>2119.71428571429</v>
      </c>
      <c r="N159" s="40">
        <v>3250</v>
      </c>
      <c r="O159" s="40">
        <v>2900</v>
      </c>
      <c r="P159" s="40">
        <v>2450</v>
      </c>
      <c r="Q159" s="28" t="s">
        <v>42</v>
      </c>
      <c r="R159" s="38" t="s">
        <v>280</v>
      </c>
      <c r="S159" s="28" t="s">
        <v>751</v>
      </c>
      <c r="T159" s="30" t="s">
        <v>814</v>
      </c>
      <c r="U159" s="30">
        <v>330201047</v>
      </c>
      <c r="V159" s="30" t="s">
        <v>815</v>
      </c>
      <c r="W159" s="30"/>
      <c r="X159" s="30"/>
      <c r="Y159" s="30" t="s">
        <v>40</v>
      </c>
      <c r="Z159" s="30" t="s">
        <v>816</v>
      </c>
      <c r="AA159" s="51">
        <v>4800</v>
      </c>
      <c r="AB159" s="51">
        <v>4320</v>
      </c>
      <c r="AC159" s="57">
        <v>4220</v>
      </c>
      <c r="AD159" s="57">
        <v>3800</v>
      </c>
      <c r="AE159" s="57">
        <v>3230</v>
      </c>
      <c r="AF159" s="58">
        <f t="shared" si="10"/>
        <v>0</v>
      </c>
      <c r="AG159" s="58" t="str">
        <f t="shared" si="11"/>
        <v>颅内病变切除费（常规）</v>
      </c>
      <c r="AH159" s="58">
        <f t="shared" si="12"/>
        <v>3250</v>
      </c>
      <c r="AI159" s="58">
        <f t="shared" si="13"/>
        <v>2900</v>
      </c>
      <c r="AJ159" s="58">
        <f t="shared" si="14"/>
        <v>2450</v>
      </c>
    </row>
    <row r="160" s="17" customFormat="1" customHeight="1" spans="1:36">
      <c r="A160" s="27">
        <v>46</v>
      </c>
      <c r="B160" s="28" t="s">
        <v>747</v>
      </c>
      <c r="C160" s="28" t="s">
        <v>748</v>
      </c>
      <c r="D160" s="28" t="s">
        <v>378</v>
      </c>
      <c r="E160" s="28" t="s">
        <v>749</v>
      </c>
      <c r="F160" s="28" t="s">
        <v>750</v>
      </c>
      <c r="G160" s="28" t="s">
        <v>40</v>
      </c>
      <c r="H160" s="31"/>
      <c r="I160" s="34">
        <v>3400</v>
      </c>
      <c r="J160" s="34">
        <v>3060</v>
      </c>
      <c r="K160" s="35">
        <v>3252.14114832536</v>
      </c>
      <c r="L160" s="35">
        <v>2673.59561752988</v>
      </c>
      <c r="M160" s="35">
        <v>2119.71428571429</v>
      </c>
      <c r="N160" s="40">
        <v>3250</v>
      </c>
      <c r="O160" s="40">
        <v>2900</v>
      </c>
      <c r="P160" s="40">
        <v>2450</v>
      </c>
      <c r="Q160" s="28" t="s">
        <v>42</v>
      </c>
      <c r="R160" s="38" t="s">
        <v>280</v>
      </c>
      <c r="S160" s="28" t="s">
        <v>751</v>
      </c>
      <c r="T160" s="30" t="s">
        <v>817</v>
      </c>
      <c r="U160" s="30">
        <v>330201060</v>
      </c>
      <c r="V160" s="30" t="s">
        <v>818</v>
      </c>
      <c r="W160" s="30" t="s">
        <v>819</v>
      </c>
      <c r="X160" s="30"/>
      <c r="Y160" s="30" t="s">
        <v>820</v>
      </c>
      <c r="Z160" s="30" t="s">
        <v>821</v>
      </c>
      <c r="AA160" s="51">
        <v>5760</v>
      </c>
      <c r="AB160" s="51">
        <v>5180</v>
      </c>
      <c r="AC160" s="57">
        <v>5060</v>
      </c>
      <c r="AD160" s="57">
        <v>4550</v>
      </c>
      <c r="AE160" s="57">
        <v>3870</v>
      </c>
      <c r="AF160" s="58">
        <f t="shared" si="10"/>
        <v>0</v>
      </c>
      <c r="AG160" s="58" t="str">
        <f t="shared" si="11"/>
        <v>颅内病变切除费（常规）</v>
      </c>
      <c r="AH160" s="58">
        <f t="shared" si="12"/>
        <v>3250</v>
      </c>
      <c r="AI160" s="58">
        <f t="shared" si="13"/>
        <v>2900</v>
      </c>
      <c r="AJ160" s="58">
        <f t="shared" si="14"/>
        <v>2450</v>
      </c>
    </row>
    <row r="161" s="17" customFormat="1" customHeight="1" spans="1:36">
      <c r="A161" s="27">
        <v>46</v>
      </c>
      <c r="B161" s="28" t="s">
        <v>747</v>
      </c>
      <c r="C161" s="28" t="s">
        <v>748</v>
      </c>
      <c r="D161" s="28" t="s">
        <v>378</v>
      </c>
      <c r="E161" s="28" t="s">
        <v>749</v>
      </c>
      <c r="F161" s="28" t="s">
        <v>750</v>
      </c>
      <c r="G161" s="28" t="s">
        <v>40</v>
      </c>
      <c r="H161" s="31"/>
      <c r="I161" s="34">
        <v>3400</v>
      </c>
      <c r="J161" s="34">
        <v>3060</v>
      </c>
      <c r="K161" s="35">
        <v>3252.14114832536</v>
      </c>
      <c r="L161" s="35">
        <v>2673.59561752988</v>
      </c>
      <c r="M161" s="35">
        <v>2119.71428571429</v>
      </c>
      <c r="N161" s="40">
        <v>3250</v>
      </c>
      <c r="O161" s="40">
        <v>2900</v>
      </c>
      <c r="P161" s="40">
        <v>2450</v>
      </c>
      <c r="Q161" s="28" t="s">
        <v>42</v>
      </c>
      <c r="R161" s="38" t="s">
        <v>280</v>
      </c>
      <c r="S161" s="28" t="s">
        <v>751</v>
      </c>
      <c r="T161" s="30" t="s">
        <v>822</v>
      </c>
      <c r="U161" s="30">
        <v>33020106001</v>
      </c>
      <c r="V161" s="30" t="s">
        <v>823</v>
      </c>
      <c r="W161" s="30"/>
      <c r="X161" s="30"/>
      <c r="Y161" s="30" t="s">
        <v>820</v>
      </c>
      <c r="Z161" s="30" t="s">
        <v>824</v>
      </c>
      <c r="AA161" s="51">
        <v>8160</v>
      </c>
      <c r="AB161" s="51">
        <v>7340</v>
      </c>
      <c r="AC161" s="57">
        <v>7220</v>
      </c>
      <c r="AD161" s="57">
        <v>6490</v>
      </c>
      <c r="AE161" s="57">
        <v>5520</v>
      </c>
      <c r="AF161" s="58">
        <f t="shared" si="10"/>
        <v>0</v>
      </c>
      <c r="AG161" s="58" t="str">
        <f t="shared" si="11"/>
        <v>颅内病变切除费（常规）</v>
      </c>
      <c r="AH161" s="58">
        <f t="shared" si="12"/>
        <v>3250</v>
      </c>
      <c r="AI161" s="58">
        <f t="shared" si="13"/>
        <v>2900</v>
      </c>
      <c r="AJ161" s="58">
        <f t="shared" si="14"/>
        <v>2450</v>
      </c>
    </row>
    <row r="162" s="17" customFormat="1" customHeight="1" spans="1:36">
      <c r="A162" s="27">
        <v>46</v>
      </c>
      <c r="B162" s="28" t="s">
        <v>747</v>
      </c>
      <c r="C162" s="28" t="s">
        <v>748</v>
      </c>
      <c r="D162" s="28" t="s">
        <v>378</v>
      </c>
      <c r="E162" s="28" t="s">
        <v>749</v>
      </c>
      <c r="F162" s="28" t="s">
        <v>750</v>
      </c>
      <c r="G162" s="28" t="s">
        <v>40</v>
      </c>
      <c r="H162" s="31"/>
      <c r="I162" s="34">
        <v>3400</v>
      </c>
      <c r="J162" s="34">
        <v>3060</v>
      </c>
      <c r="K162" s="35">
        <v>3252.14114832536</v>
      </c>
      <c r="L162" s="35">
        <v>2673.59561752988</v>
      </c>
      <c r="M162" s="35">
        <v>2119.71428571429</v>
      </c>
      <c r="N162" s="40">
        <v>3250</v>
      </c>
      <c r="O162" s="40">
        <v>2900</v>
      </c>
      <c r="P162" s="40">
        <v>2450</v>
      </c>
      <c r="Q162" s="28" t="s">
        <v>42</v>
      </c>
      <c r="R162" s="38" t="s">
        <v>280</v>
      </c>
      <c r="S162" s="28" t="s">
        <v>751</v>
      </c>
      <c r="T162" s="30" t="s">
        <v>825</v>
      </c>
      <c r="U162" s="30">
        <v>330201059</v>
      </c>
      <c r="V162" s="30" t="s">
        <v>826</v>
      </c>
      <c r="W162" s="30" t="s">
        <v>827</v>
      </c>
      <c r="X162" s="30" t="s">
        <v>828</v>
      </c>
      <c r="Y162" s="30" t="s">
        <v>40</v>
      </c>
      <c r="Z162" s="30" t="s">
        <v>43</v>
      </c>
      <c r="AA162" s="51">
        <v>4800</v>
      </c>
      <c r="AB162" s="51">
        <v>4320</v>
      </c>
      <c r="AC162" s="57">
        <v>4130</v>
      </c>
      <c r="AD162" s="57">
        <v>3720</v>
      </c>
      <c r="AE162" s="57">
        <v>3160</v>
      </c>
      <c r="AF162" s="58">
        <f t="shared" si="10"/>
        <v>0</v>
      </c>
      <c r="AG162" s="58" t="str">
        <f t="shared" si="11"/>
        <v>颅内病变切除费（常规）</v>
      </c>
      <c r="AH162" s="58">
        <f t="shared" si="12"/>
        <v>3250</v>
      </c>
      <c r="AI162" s="58">
        <f t="shared" si="13"/>
        <v>2900</v>
      </c>
      <c r="AJ162" s="58">
        <f t="shared" si="14"/>
        <v>2450</v>
      </c>
    </row>
    <row r="163" s="17" customFormat="1" customHeight="1" spans="1:36">
      <c r="A163" s="27">
        <v>46</v>
      </c>
      <c r="B163" s="28" t="s">
        <v>747</v>
      </c>
      <c r="C163" s="28" t="s">
        <v>748</v>
      </c>
      <c r="D163" s="28" t="s">
        <v>378</v>
      </c>
      <c r="E163" s="28" t="s">
        <v>749</v>
      </c>
      <c r="F163" s="28" t="s">
        <v>750</v>
      </c>
      <c r="G163" s="28" t="s">
        <v>40</v>
      </c>
      <c r="H163" s="31"/>
      <c r="I163" s="34">
        <v>3400</v>
      </c>
      <c r="J163" s="34">
        <v>3060</v>
      </c>
      <c r="K163" s="35">
        <v>3252.14114832536</v>
      </c>
      <c r="L163" s="35">
        <v>2673.59561752988</v>
      </c>
      <c r="M163" s="35">
        <v>2119.71428571429</v>
      </c>
      <c r="N163" s="40">
        <v>3250</v>
      </c>
      <c r="O163" s="40">
        <v>2900</v>
      </c>
      <c r="P163" s="40">
        <v>2450</v>
      </c>
      <c r="Q163" s="28" t="s">
        <v>42</v>
      </c>
      <c r="R163" s="38" t="s">
        <v>280</v>
      </c>
      <c r="S163" s="28" t="s">
        <v>751</v>
      </c>
      <c r="T163" s="30" t="s">
        <v>829</v>
      </c>
      <c r="U163" s="30">
        <v>33020105902</v>
      </c>
      <c r="V163" s="30" t="s">
        <v>830</v>
      </c>
      <c r="W163" s="30"/>
      <c r="X163" s="30"/>
      <c r="Y163" s="30" t="s">
        <v>40</v>
      </c>
      <c r="Z163" s="30" t="s">
        <v>43</v>
      </c>
      <c r="AA163" s="51">
        <v>5600</v>
      </c>
      <c r="AB163" s="51">
        <v>5040</v>
      </c>
      <c r="AC163" s="57">
        <v>4505</v>
      </c>
      <c r="AD163" s="57">
        <v>4080</v>
      </c>
      <c r="AE163" s="57">
        <v>3466</v>
      </c>
      <c r="AF163" s="58">
        <f t="shared" si="10"/>
        <v>0</v>
      </c>
      <c r="AG163" s="58" t="str">
        <f t="shared" si="11"/>
        <v>颅内病变切除费（常规）</v>
      </c>
      <c r="AH163" s="58">
        <f t="shared" si="12"/>
        <v>3250</v>
      </c>
      <c r="AI163" s="58">
        <f t="shared" si="13"/>
        <v>2900</v>
      </c>
      <c r="AJ163" s="58">
        <f t="shared" si="14"/>
        <v>2450</v>
      </c>
    </row>
    <row r="164" s="17" customFormat="1" customHeight="1" spans="1:36">
      <c r="A164" s="27">
        <v>46</v>
      </c>
      <c r="B164" s="28" t="s">
        <v>747</v>
      </c>
      <c r="C164" s="28" t="s">
        <v>748</v>
      </c>
      <c r="D164" s="28" t="s">
        <v>378</v>
      </c>
      <c r="E164" s="28" t="s">
        <v>749</v>
      </c>
      <c r="F164" s="28" t="s">
        <v>750</v>
      </c>
      <c r="G164" s="28" t="s">
        <v>40</v>
      </c>
      <c r="H164" s="31"/>
      <c r="I164" s="34">
        <v>3400</v>
      </c>
      <c r="J164" s="34">
        <v>3060</v>
      </c>
      <c r="K164" s="35">
        <v>3252.14114832536</v>
      </c>
      <c r="L164" s="35">
        <v>2673.59561752988</v>
      </c>
      <c r="M164" s="35">
        <v>2119.71428571429</v>
      </c>
      <c r="N164" s="40">
        <v>3250</v>
      </c>
      <c r="O164" s="40">
        <v>2900</v>
      </c>
      <c r="P164" s="40">
        <v>2450</v>
      </c>
      <c r="Q164" s="28" t="s">
        <v>42</v>
      </c>
      <c r="R164" s="38" t="s">
        <v>280</v>
      </c>
      <c r="S164" s="28" t="s">
        <v>751</v>
      </c>
      <c r="T164" s="30" t="s">
        <v>831</v>
      </c>
      <c r="U164" s="30">
        <v>330201006</v>
      </c>
      <c r="V164" s="30" t="s">
        <v>832</v>
      </c>
      <c r="W164" s="30" t="s">
        <v>833</v>
      </c>
      <c r="X164" s="30" t="s">
        <v>834</v>
      </c>
      <c r="Y164" s="30" t="s">
        <v>40</v>
      </c>
      <c r="Z164" s="30" t="s">
        <v>835</v>
      </c>
      <c r="AA164" s="51">
        <v>2430</v>
      </c>
      <c r="AB164" s="51">
        <v>2190</v>
      </c>
      <c r="AC164" s="57">
        <v>2250</v>
      </c>
      <c r="AD164" s="57">
        <v>2160</v>
      </c>
      <c r="AE164" s="57">
        <v>1836</v>
      </c>
      <c r="AF164" s="58">
        <f t="shared" si="10"/>
        <v>0</v>
      </c>
      <c r="AG164" s="58" t="str">
        <f t="shared" si="11"/>
        <v>颅内病变切除费（常规）</v>
      </c>
      <c r="AH164" s="58">
        <f t="shared" si="12"/>
        <v>3250</v>
      </c>
      <c r="AI164" s="58">
        <f t="shared" si="13"/>
        <v>2900</v>
      </c>
      <c r="AJ164" s="58">
        <f t="shared" si="14"/>
        <v>2450</v>
      </c>
    </row>
    <row r="165" s="17" customFormat="1" customHeight="1" spans="1:36">
      <c r="A165" s="27" t="s">
        <v>70</v>
      </c>
      <c r="B165" s="28" t="s">
        <v>836</v>
      </c>
      <c r="C165" s="28" t="s">
        <v>837</v>
      </c>
      <c r="D165" s="28" t="s">
        <v>378</v>
      </c>
      <c r="E165" s="28"/>
      <c r="F165" s="28"/>
      <c r="G165" s="28" t="s">
        <v>40</v>
      </c>
      <c r="H165" s="28"/>
      <c r="I165" s="34">
        <v>1020</v>
      </c>
      <c r="J165" s="34">
        <v>918</v>
      </c>
      <c r="K165" s="38">
        <v>727.5</v>
      </c>
      <c r="L165" s="36"/>
      <c r="M165" s="36"/>
      <c r="N165" s="40">
        <v>975</v>
      </c>
      <c r="O165" s="40">
        <v>870</v>
      </c>
      <c r="P165" s="40">
        <v>735</v>
      </c>
      <c r="Q165" s="28" t="s">
        <v>42</v>
      </c>
      <c r="R165" s="36"/>
      <c r="S165" s="28" t="s">
        <v>384</v>
      </c>
      <c r="T165" s="46" t="s">
        <v>838</v>
      </c>
      <c r="U165" s="46">
        <v>33020101402</v>
      </c>
      <c r="V165" s="48" t="s">
        <v>839</v>
      </c>
      <c r="W165" s="46"/>
      <c r="X165" s="46"/>
      <c r="Y165" s="46" t="s">
        <v>40</v>
      </c>
      <c r="Z165" s="30" t="s">
        <v>43</v>
      </c>
      <c r="AA165" s="52">
        <v>3160</v>
      </c>
      <c r="AB165" s="51">
        <v>2845</v>
      </c>
      <c r="AC165" s="57">
        <v>2925</v>
      </c>
      <c r="AD165" s="57">
        <v>2810</v>
      </c>
      <c r="AE165" s="57">
        <v>2390</v>
      </c>
      <c r="AF165" s="58">
        <f t="shared" si="10"/>
        <v>12</v>
      </c>
      <c r="AG165" s="58" t="str">
        <f t="shared" si="11"/>
        <v>颅内病变切除费（常规）</v>
      </c>
      <c r="AH165" s="58">
        <f t="shared" si="12"/>
        <v>4225</v>
      </c>
      <c r="AI165" s="58">
        <f t="shared" si="13"/>
        <v>3770</v>
      </c>
      <c r="AJ165" s="58">
        <f t="shared" si="14"/>
        <v>3185</v>
      </c>
    </row>
    <row r="166" s="17" customFormat="1" customHeight="1" spans="1:36">
      <c r="A166" s="27" t="s">
        <v>70</v>
      </c>
      <c r="B166" s="28" t="s">
        <v>836</v>
      </c>
      <c r="C166" s="28" t="s">
        <v>837</v>
      </c>
      <c r="D166" s="28" t="s">
        <v>378</v>
      </c>
      <c r="E166" s="28"/>
      <c r="F166" s="28"/>
      <c r="G166" s="28" t="s">
        <v>40</v>
      </c>
      <c r="H166" s="28"/>
      <c r="I166" s="34">
        <v>1020</v>
      </c>
      <c r="J166" s="34">
        <v>918</v>
      </c>
      <c r="K166" s="38">
        <v>727.5</v>
      </c>
      <c r="L166" s="36"/>
      <c r="M166" s="36"/>
      <c r="N166" s="40">
        <v>975</v>
      </c>
      <c r="O166" s="40">
        <v>870</v>
      </c>
      <c r="P166" s="40">
        <v>735</v>
      </c>
      <c r="Q166" s="28" t="s">
        <v>42</v>
      </c>
      <c r="R166" s="36"/>
      <c r="S166" s="28" t="s">
        <v>384</v>
      </c>
      <c r="T166" s="46" t="s">
        <v>840</v>
      </c>
      <c r="U166" s="46">
        <v>33020101403</v>
      </c>
      <c r="V166" s="48" t="s">
        <v>841</v>
      </c>
      <c r="W166" s="46"/>
      <c r="X166" s="46"/>
      <c r="Y166" s="46" t="s">
        <v>40</v>
      </c>
      <c r="Z166" s="30" t="s">
        <v>758</v>
      </c>
      <c r="AA166" s="52">
        <v>4390</v>
      </c>
      <c r="AB166" s="51">
        <v>3950</v>
      </c>
      <c r="AC166" s="57">
        <v>4065</v>
      </c>
      <c r="AD166" s="57">
        <v>3900</v>
      </c>
      <c r="AE166" s="57">
        <v>3315</v>
      </c>
      <c r="AF166" s="58">
        <f t="shared" si="10"/>
        <v>12</v>
      </c>
      <c r="AG166" s="58" t="str">
        <f t="shared" si="11"/>
        <v>颅内病变切除费（常规）</v>
      </c>
      <c r="AH166" s="58">
        <f t="shared" si="12"/>
        <v>4225</v>
      </c>
      <c r="AI166" s="58">
        <f t="shared" si="13"/>
        <v>3770</v>
      </c>
      <c r="AJ166" s="58">
        <f t="shared" si="14"/>
        <v>3185</v>
      </c>
    </row>
    <row r="167" s="17" customFormat="1" customHeight="1" spans="1:36">
      <c r="A167" s="27" t="s">
        <v>70</v>
      </c>
      <c r="B167" s="28" t="s">
        <v>836</v>
      </c>
      <c r="C167" s="28" t="s">
        <v>837</v>
      </c>
      <c r="D167" s="28" t="s">
        <v>378</v>
      </c>
      <c r="E167" s="28"/>
      <c r="F167" s="28"/>
      <c r="G167" s="28" t="s">
        <v>40</v>
      </c>
      <c r="H167" s="28"/>
      <c r="I167" s="34">
        <v>1020</v>
      </c>
      <c r="J167" s="34">
        <v>918</v>
      </c>
      <c r="K167" s="38">
        <v>727.5</v>
      </c>
      <c r="L167" s="36"/>
      <c r="M167" s="36"/>
      <c r="N167" s="40">
        <v>975</v>
      </c>
      <c r="O167" s="40">
        <v>870</v>
      </c>
      <c r="P167" s="40">
        <v>735</v>
      </c>
      <c r="Q167" s="28" t="s">
        <v>42</v>
      </c>
      <c r="R167" s="36"/>
      <c r="S167" s="28" t="s">
        <v>384</v>
      </c>
      <c r="T167" s="30" t="s">
        <v>842</v>
      </c>
      <c r="U167" s="30">
        <v>33020101501</v>
      </c>
      <c r="V167" s="30" t="s">
        <v>843</v>
      </c>
      <c r="W167" s="30"/>
      <c r="X167" s="30"/>
      <c r="Y167" s="30" t="s">
        <v>40</v>
      </c>
      <c r="Z167" s="30" t="s">
        <v>43</v>
      </c>
      <c r="AA167" s="51">
        <v>3160</v>
      </c>
      <c r="AB167" s="51">
        <v>2845</v>
      </c>
      <c r="AC167" s="57">
        <v>2925</v>
      </c>
      <c r="AD167" s="57">
        <v>2810</v>
      </c>
      <c r="AE167" s="57">
        <v>2390</v>
      </c>
      <c r="AF167" s="58">
        <f t="shared" si="10"/>
        <v>12</v>
      </c>
      <c r="AG167" s="58" t="str">
        <f t="shared" si="11"/>
        <v>颅内病变切除费（常规）</v>
      </c>
      <c r="AH167" s="58">
        <f t="shared" si="12"/>
        <v>4225</v>
      </c>
      <c r="AI167" s="58">
        <f t="shared" si="13"/>
        <v>3770</v>
      </c>
      <c r="AJ167" s="58">
        <f t="shared" si="14"/>
        <v>3185</v>
      </c>
    </row>
    <row r="168" s="17" customFormat="1" customHeight="1" spans="1:36">
      <c r="A168" s="27" t="s">
        <v>70</v>
      </c>
      <c r="B168" s="28" t="s">
        <v>836</v>
      </c>
      <c r="C168" s="28" t="s">
        <v>837</v>
      </c>
      <c r="D168" s="28" t="s">
        <v>378</v>
      </c>
      <c r="E168" s="28"/>
      <c r="F168" s="28"/>
      <c r="G168" s="28" t="s">
        <v>40</v>
      </c>
      <c r="H168" s="28"/>
      <c r="I168" s="34">
        <v>1020</v>
      </c>
      <c r="J168" s="34">
        <v>918</v>
      </c>
      <c r="K168" s="38">
        <v>727.5</v>
      </c>
      <c r="L168" s="36"/>
      <c r="M168" s="36"/>
      <c r="N168" s="40">
        <v>975</v>
      </c>
      <c r="O168" s="40">
        <v>870</v>
      </c>
      <c r="P168" s="40">
        <v>735</v>
      </c>
      <c r="Q168" s="28" t="s">
        <v>42</v>
      </c>
      <c r="R168" s="36"/>
      <c r="S168" s="28" t="s">
        <v>384</v>
      </c>
      <c r="T168" s="30" t="s">
        <v>844</v>
      </c>
      <c r="U168" s="30">
        <v>33020102201</v>
      </c>
      <c r="V168" s="30" t="s">
        <v>845</v>
      </c>
      <c r="W168" s="30"/>
      <c r="X168" s="30"/>
      <c r="Y168" s="30" t="s">
        <v>40</v>
      </c>
      <c r="Z168" s="30" t="s">
        <v>43</v>
      </c>
      <c r="AA168" s="51">
        <v>4045</v>
      </c>
      <c r="AB168" s="51">
        <v>3635</v>
      </c>
      <c r="AC168" s="57">
        <v>3900</v>
      </c>
      <c r="AD168" s="57">
        <v>3705</v>
      </c>
      <c r="AE168" s="57">
        <v>2965</v>
      </c>
      <c r="AF168" s="58">
        <f t="shared" si="10"/>
        <v>12</v>
      </c>
      <c r="AG168" s="58" t="str">
        <f t="shared" si="11"/>
        <v>颅内病变切除费（常规）</v>
      </c>
      <c r="AH168" s="58">
        <f t="shared" si="12"/>
        <v>4225</v>
      </c>
      <c r="AI168" s="58">
        <f t="shared" si="13"/>
        <v>3770</v>
      </c>
      <c r="AJ168" s="58">
        <f t="shared" si="14"/>
        <v>3185</v>
      </c>
    </row>
    <row r="169" s="17" customFormat="1" customHeight="1" spans="1:36">
      <c r="A169" s="27" t="s">
        <v>70</v>
      </c>
      <c r="B169" s="28" t="s">
        <v>836</v>
      </c>
      <c r="C169" s="28" t="s">
        <v>837</v>
      </c>
      <c r="D169" s="28" t="s">
        <v>378</v>
      </c>
      <c r="E169" s="28"/>
      <c r="F169" s="28"/>
      <c r="G169" s="28" t="s">
        <v>40</v>
      </c>
      <c r="H169" s="28"/>
      <c r="I169" s="34">
        <v>1020</v>
      </c>
      <c r="J169" s="34">
        <v>918</v>
      </c>
      <c r="K169" s="38">
        <v>727.5</v>
      </c>
      <c r="L169" s="36"/>
      <c r="M169" s="36"/>
      <c r="N169" s="40">
        <v>975</v>
      </c>
      <c r="O169" s="40">
        <v>870</v>
      </c>
      <c r="P169" s="40">
        <v>735</v>
      </c>
      <c r="Q169" s="28" t="s">
        <v>42</v>
      </c>
      <c r="R169" s="36"/>
      <c r="S169" s="28" t="s">
        <v>384</v>
      </c>
      <c r="T169" s="30" t="s">
        <v>846</v>
      </c>
      <c r="U169" s="30">
        <v>33020102501</v>
      </c>
      <c r="V169" s="30" t="s">
        <v>847</v>
      </c>
      <c r="W169" s="30"/>
      <c r="X169" s="30"/>
      <c r="Y169" s="30" t="s">
        <v>40</v>
      </c>
      <c r="Z169" s="30" t="s">
        <v>43</v>
      </c>
      <c r="AA169" s="51">
        <v>9985</v>
      </c>
      <c r="AB169" s="51">
        <v>8985</v>
      </c>
      <c r="AC169" s="57">
        <v>8580</v>
      </c>
      <c r="AD169" s="57">
        <v>7720</v>
      </c>
      <c r="AE169" s="57">
        <v>6560</v>
      </c>
      <c r="AF169" s="58">
        <f t="shared" si="10"/>
        <v>12</v>
      </c>
      <c r="AG169" s="58" t="str">
        <f t="shared" si="11"/>
        <v>颅内病变切除费（常规）</v>
      </c>
      <c r="AH169" s="58">
        <f t="shared" si="12"/>
        <v>4225</v>
      </c>
      <c r="AI169" s="58">
        <f t="shared" si="13"/>
        <v>3770</v>
      </c>
      <c r="AJ169" s="58">
        <f t="shared" si="14"/>
        <v>3185</v>
      </c>
    </row>
    <row r="170" s="17" customFormat="1" customHeight="1" spans="1:36">
      <c r="A170" s="27" t="s">
        <v>70</v>
      </c>
      <c r="B170" s="28" t="s">
        <v>836</v>
      </c>
      <c r="C170" s="28" t="s">
        <v>837</v>
      </c>
      <c r="D170" s="28" t="s">
        <v>378</v>
      </c>
      <c r="E170" s="28"/>
      <c r="F170" s="28"/>
      <c r="G170" s="28" t="s">
        <v>40</v>
      </c>
      <c r="H170" s="28"/>
      <c r="I170" s="34">
        <v>1020</v>
      </c>
      <c r="J170" s="34">
        <v>918</v>
      </c>
      <c r="K170" s="38">
        <v>727.5</v>
      </c>
      <c r="L170" s="36"/>
      <c r="M170" s="36"/>
      <c r="N170" s="40">
        <v>975</v>
      </c>
      <c r="O170" s="40">
        <v>870</v>
      </c>
      <c r="P170" s="40">
        <v>735</v>
      </c>
      <c r="Q170" s="28" t="s">
        <v>42</v>
      </c>
      <c r="R170" s="36"/>
      <c r="S170" s="28" t="s">
        <v>384</v>
      </c>
      <c r="T170" s="46" t="s">
        <v>848</v>
      </c>
      <c r="U170" s="46">
        <v>33020102601</v>
      </c>
      <c r="V170" s="48" t="s">
        <v>849</v>
      </c>
      <c r="W170" s="46"/>
      <c r="X170" s="46"/>
      <c r="Y170" s="46" t="s">
        <v>40</v>
      </c>
      <c r="Z170" s="30" t="s">
        <v>43</v>
      </c>
      <c r="AA170" s="52">
        <v>7490</v>
      </c>
      <c r="AB170" s="51">
        <v>6735</v>
      </c>
      <c r="AC170" s="57">
        <v>6580</v>
      </c>
      <c r="AD170" s="57">
        <v>5915</v>
      </c>
      <c r="AE170" s="57">
        <v>5030</v>
      </c>
      <c r="AF170" s="58">
        <f t="shared" si="10"/>
        <v>12</v>
      </c>
      <c r="AG170" s="58" t="str">
        <f t="shared" si="11"/>
        <v>颅内病变切除费（常规）</v>
      </c>
      <c r="AH170" s="58">
        <f t="shared" si="12"/>
        <v>4225</v>
      </c>
      <c r="AI170" s="58">
        <f t="shared" si="13"/>
        <v>3770</v>
      </c>
      <c r="AJ170" s="58">
        <f t="shared" si="14"/>
        <v>3185</v>
      </c>
    </row>
    <row r="171" s="17" customFormat="1" customHeight="1" spans="1:36">
      <c r="A171" s="27" t="s">
        <v>70</v>
      </c>
      <c r="B171" s="28" t="s">
        <v>836</v>
      </c>
      <c r="C171" s="28" t="s">
        <v>837</v>
      </c>
      <c r="D171" s="28" t="s">
        <v>378</v>
      </c>
      <c r="E171" s="28"/>
      <c r="F171" s="28"/>
      <c r="G171" s="28" t="s">
        <v>40</v>
      </c>
      <c r="H171" s="28"/>
      <c r="I171" s="34">
        <v>1020</v>
      </c>
      <c r="J171" s="34">
        <v>918</v>
      </c>
      <c r="K171" s="38">
        <v>727.5</v>
      </c>
      <c r="L171" s="36"/>
      <c r="M171" s="36"/>
      <c r="N171" s="40">
        <v>975</v>
      </c>
      <c r="O171" s="40">
        <v>870</v>
      </c>
      <c r="P171" s="40">
        <v>735</v>
      </c>
      <c r="Q171" s="28" t="s">
        <v>42</v>
      </c>
      <c r="R171" s="36"/>
      <c r="S171" s="28" t="s">
        <v>384</v>
      </c>
      <c r="T171" s="46" t="s">
        <v>850</v>
      </c>
      <c r="U171" s="46">
        <v>33020102801</v>
      </c>
      <c r="V171" s="48" t="s">
        <v>851</v>
      </c>
      <c r="W171" s="46"/>
      <c r="X171" s="46"/>
      <c r="Y171" s="46" t="s">
        <v>40</v>
      </c>
      <c r="Z171" s="30" t="s">
        <v>43</v>
      </c>
      <c r="AA171" s="52">
        <v>4500</v>
      </c>
      <c r="AB171" s="51">
        <v>4045</v>
      </c>
      <c r="AC171" s="57">
        <v>3950</v>
      </c>
      <c r="AD171" s="57">
        <v>3560</v>
      </c>
      <c r="AE171" s="57">
        <v>3025</v>
      </c>
      <c r="AF171" s="58">
        <f t="shared" si="10"/>
        <v>12</v>
      </c>
      <c r="AG171" s="58" t="str">
        <f t="shared" si="11"/>
        <v>颅内病变切除费（常规）</v>
      </c>
      <c r="AH171" s="58">
        <f t="shared" si="12"/>
        <v>4225</v>
      </c>
      <c r="AI171" s="58">
        <f t="shared" si="13"/>
        <v>3770</v>
      </c>
      <c r="AJ171" s="58">
        <f t="shared" si="14"/>
        <v>3185</v>
      </c>
    </row>
    <row r="172" s="17" customFormat="1" customHeight="1" spans="1:36">
      <c r="A172" s="27" t="s">
        <v>70</v>
      </c>
      <c r="B172" s="28" t="s">
        <v>836</v>
      </c>
      <c r="C172" s="28" t="s">
        <v>837</v>
      </c>
      <c r="D172" s="28" t="s">
        <v>378</v>
      </c>
      <c r="E172" s="28"/>
      <c r="F172" s="28"/>
      <c r="G172" s="28" t="s">
        <v>40</v>
      </c>
      <c r="H172" s="28"/>
      <c r="I172" s="34">
        <v>1020</v>
      </c>
      <c r="J172" s="34">
        <v>918</v>
      </c>
      <c r="K172" s="38">
        <v>727.5</v>
      </c>
      <c r="L172" s="36"/>
      <c r="M172" s="36"/>
      <c r="N172" s="40">
        <v>975</v>
      </c>
      <c r="O172" s="40">
        <v>870</v>
      </c>
      <c r="P172" s="40">
        <v>735</v>
      </c>
      <c r="Q172" s="28" t="s">
        <v>42</v>
      </c>
      <c r="R172" s="36"/>
      <c r="S172" s="28" t="s">
        <v>384</v>
      </c>
      <c r="T172" s="46" t="s">
        <v>852</v>
      </c>
      <c r="U172" s="46">
        <v>33020102901</v>
      </c>
      <c r="V172" s="48" t="s">
        <v>853</v>
      </c>
      <c r="W172" s="46"/>
      <c r="X172" s="46"/>
      <c r="Y172" s="46" t="s">
        <v>40</v>
      </c>
      <c r="Z172" s="30" t="s">
        <v>43</v>
      </c>
      <c r="AA172" s="52">
        <v>9750</v>
      </c>
      <c r="AB172" s="51">
        <v>8190</v>
      </c>
      <c r="AC172" s="57">
        <v>7515</v>
      </c>
      <c r="AD172" s="57">
        <v>6760</v>
      </c>
      <c r="AE172" s="57">
        <v>5745</v>
      </c>
      <c r="AF172" s="58">
        <f t="shared" si="10"/>
        <v>12</v>
      </c>
      <c r="AG172" s="58" t="str">
        <f t="shared" si="11"/>
        <v>颅内病变切除费（常规）</v>
      </c>
      <c r="AH172" s="58">
        <f t="shared" si="12"/>
        <v>4225</v>
      </c>
      <c r="AI172" s="58">
        <f t="shared" si="13"/>
        <v>3770</v>
      </c>
      <c r="AJ172" s="58">
        <f t="shared" si="14"/>
        <v>3185</v>
      </c>
    </row>
    <row r="173" s="17" customFormat="1" customHeight="1" spans="1:36">
      <c r="A173" s="27" t="s">
        <v>70</v>
      </c>
      <c r="B173" s="28" t="s">
        <v>836</v>
      </c>
      <c r="C173" s="28" t="s">
        <v>837</v>
      </c>
      <c r="D173" s="28" t="s">
        <v>378</v>
      </c>
      <c r="E173" s="28"/>
      <c r="F173" s="28"/>
      <c r="G173" s="28" t="s">
        <v>40</v>
      </c>
      <c r="H173" s="28"/>
      <c r="I173" s="34">
        <v>1020</v>
      </c>
      <c r="J173" s="34">
        <v>918</v>
      </c>
      <c r="K173" s="38">
        <v>727.5</v>
      </c>
      <c r="L173" s="36"/>
      <c r="M173" s="36"/>
      <c r="N173" s="40">
        <v>975</v>
      </c>
      <c r="O173" s="40">
        <v>870</v>
      </c>
      <c r="P173" s="40">
        <v>735</v>
      </c>
      <c r="Q173" s="28" t="s">
        <v>42</v>
      </c>
      <c r="R173" s="36"/>
      <c r="S173" s="28" t="s">
        <v>384</v>
      </c>
      <c r="T173" s="46" t="s">
        <v>854</v>
      </c>
      <c r="U173" s="46">
        <v>33020103001</v>
      </c>
      <c r="V173" s="48" t="s">
        <v>855</v>
      </c>
      <c r="W173" s="46"/>
      <c r="X173" s="46"/>
      <c r="Y173" s="46" t="s">
        <v>40</v>
      </c>
      <c r="Z173" s="30" t="s">
        <v>43</v>
      </c>
      <c r="AA173" s="52">
        <v>11700</v>
      </c>
      <c r="AB173" s="51">
        <v>9830</v>
      </c>
      <c r="AC173" s="57">
        <v>9020</v>
      </c>
      <c r="AD173" s="57">
        <v>8125</v>
      </c>
      <c r="AE173" s="57">
        <v>6905</v>
      </c>
      <c r="AF173" s="58">
        <f t="shared" si="10"/>
        <v>12</v>
      </c>
      <c r="AG173" s="58" t="str">
        <f t="shared" si="11"/>
        <v>颅内病变切除费（常规）</v>
      </c>
      <c r="AH173" s="58">
        <f t="shared" si="12"/>
        <v>4225</v>
      </c>
      <c r="AI173" s="58">
        <f t="shared" si="13"/>
        <v>3770</v>
      </c>
      <c r="AJ173" s="58">
        <f t="shared" si="14"/>
        <v>3185</v>
      </c>
    </row>
    <row r="174" s="17" customFormat="1" customHeight="1" spans="1:36">
      <c r="A174" s="27" t="s">
        <v>70</v>
      </c>
      <c r="B174" s="28" t="s">
        <v>836</v>
      </c>
      <c r="C174" s="28" t="s">
        <v>837</v>
      </c>
      <c r="D174" s="28" t="s">
        <v>378</v>
      </c>
      <c r="E174" s="28"/>
      <c r="F174" s="28"/>
      <c r="G174" s="28" t="s">
        <v>40</v>
      </c>
      <c r="H174" s="28"/>
      <c r="I174" s="34">
        <v>1020</v>
      </c>
      <c r="J174" s="34">
        <v>918</v>
      </c>
      <c r="K174" s="38">
        <v>727.5</v>
      </c>
      <c r="L174" s="36"/>
      <c r="M174" s="36"/>
      <c r="N174" s="40">
        <v>975</v>
      </c>
      <c r="O174" s="40">
        <v>870</v>
      </c>
      <c r="P174" s="40">
        <v>735</v>
      </c>
      <c r="Q174" s="28" t="s">
        <v>42</v>
      </c>
      <c r="R174" s="36"/>
      <c r="S174" s="28" t="s">
        <v>384</v>
      </c>
      <c r="T174" s="46" t="s">
        <v>856</v>
      </c>
      <c r="U174" s="46">
        <v>33020103101</v>
      </c>
      <c r="V174" s="48" t="s">
        <v>857</v>
      </c>
      <c r="W174" s="46"/>
      <c r="X174" s="46"/>
      <c r="Y174" s="46" t="s">
        <v>40</v>
      </c>
      <c r="Z174" s="30" t="s">
        <v>43</v>
      </c>
      <c r="AA174" s="52">
        <v>7800</v>
      </c>
      <c r="AB174" s="51">
        <v>6550</v>
      </c>
      <c r="AC174" s="57">
        <v>6015</v>
      </c>
      <c r="AD174" s="57">
        <v>5410</v>
      </c>
      <c r="AE174" s="57">
        <v>4600</v>
      </c>
      <c r="AF174" s="58">
        <f t="shared" si="10"/>
        <v>12</v>
      </c>
      <c r="AG174" s="58" t="str">
        <f t="shared" si="11"/>
        <v>颅内病变切除费（常规）</v>
      </c>
      <c r="AH174" s="58">
        <f t="shared" si="12"/>
        <v>4225</v>
      </c>
      <c r="AI174" s="58">
        <f t="shared" si="13"/>
        <v>3770</v>
      </c>
      <c r="AJ174" s="58">
        <f t="shared" si="14"/>
        <v>3185</v>
      </c>
    </row>
    <row r="175" s="17" customFormat="1" customHeight="1" spans="1:36">
      <c r="A175" s="27" t="s">
        <v>70</v>
      </c>
      <c r="B175" s="28" t="s">
        <v>836</v>
      </c>
      <c r="C175" s="28" t="s">
        <v>837</v>
      </c>
      <c r="D175" s="28" t="s">
        <v>378</v>
      </c>
      <c r="E175" s="28"/>
      <c r="F175" s="28"/>
      <c r="G175" s="28" t="s">
        <v>40</v>
      </c>
      <c r="H175" s="28"/>
      <c r="I175" s="34">
        <v>1020</v>
      </c>
      <c r="J175" s="34">
        <v>918</v>
      </c>
      <c r="K175" s="38">
        <v>727.5</v>
      </c>
      <c r="L175" s="36"/>
      <c r="M175" s="36"/>
      <c r="N175" s="40">
        <v>975</v>
      </c>
      <c r="O175" s="40">
        <v>870</v>
      </c>
      <c r="P175" s="40">
        <v>735</v>
      </c>
      <c r="Q175" s="28" t="s">
        <v>42</v>
      </c>
      <c r="R175" s="36"/>
      <c r="S175" s="28" t="s">
        <v>384</v>
      </c>
      <c r="T175" s="46" t="s">
        <v>858</v>
      </c>
      <c r="U175" s="46">
        <v>33020103201</v>
      </c>
      <c r="V175" s="48" t="s">
        <v>859</v>
      </c>
      <c r="W175" s="46"/>
      <c r="X175" s="46"/>
      <c r="Y175" s="46" t="s">
        <v>40</v>
      </c>
      <c r="Z175" s="30" t="s">
        <v>43</v>
      </c>
      <c r="AA175" s="52">
        <v>5615</v>
      </c>
      <c r="AB175" s="51">
        <v>5055</v>
      </c>
      <c r="AC175" s="57">
        <v>4825</v>
      </c>
      <c r="AD175" s="57">
        <v>4340</v>
      </c>
      <c r="AE175" s="57">
        <v>3690</v>
      </c>
      <c r="AF175" s="58">
        <f t="shared" si="10"/>
        <v>12</v>
      </c>
      <c r="AG175" s="58" t="str">
        <f t="shared" si="11"/>
        <v>颅内病变切除费（常规）</v>
      </c>
      <c r="AH175" s="58">
        <f t="shared" si="12"/>
        <v>4225</v>
      </c>
      <c r="AI175" s="58">
        <f t="shared" si="13"/>
        <v>3770</v>
      </c>
      <c r="AJ175" s="58">
        <f t="shared" si="14"/>
        <v>3185</v>
      </c>
    </row>
    <row r="176" s="17" customFormat="1" customHeight="1" spans="1:36">
      <c r="A176" s="27" t="s">
        <v>70</v>
      </c>
      <c r="B176" s="28" t="s">
        <v>836</v>
      </c>
      <c r="C176" s="28" t="s">
        <v>837</v>
      </c>
      <c r="D176" s="28" t="s">
        <v>378</v>
      </c>
      <c r="E176" s="28"/>
      <c r="F176" s="28"/>
      <c r="G176" s="28" t="s">
        <v>40</v>
      </c>
      <c r="H176" s="28"/>
      <c r="I176" s="34">
        <v>1020</v>
      </c>
      <c r="J176" s="34">
        <v>918</v>
      </c>
      <c r="K176" s="38">
        <v>727.5</v>
      </c>
      <c r="L176" s="36"/>
      <c r="M176" s="36"/>
      <c r="N176" s="40">
        <v>975</v>
      </c>
      <c r="O176" s="40">
        <v>870</v>
      </c>
      <c r="P176" s="40">
        <v>735</v>
      </c>
      <c r="Q176" s="28" t="s">
        <v>42</v>
      </c>
      <c r="R176" s="36"/>
      <c r="S176" s="28" t="s">
        <v>384</v>
      </c>
      <c r="T176" s="30" t="s">
        <v>860</v>
      </c>
      <c r="U176" s="30">
        <v>33020103301</v>
      </c>
      <c r="V176" s="30" t="s">
        <v>861</v>
      </c>
      <c r="W176" s="30"/>
      <c r="X176" s="30"/>
      <c r="Y176" s="30" t="s">
        <v>40</v>
      </c>
      <c r="Z176" s="30" t="s">
        <v>43</v>
      </c>
      <c r="AA176" s="51">
        <v>7175</v>
      </c>
      <c r="AB176" s="51">
        <v>6460</v>
      </c>
      <c r="AC176" s="57">
        <v>6160</v>
      </c>
      <c r="AD176" s="57">
        <v>5550</v>
      </c>
      <c r="AE176" s="57">
        <v>4720</v>
      </c>
      <c r="AF176" s="58">
        <f t="shared" si="10"/>
        <v>12</v>
      </c>
      <c r="AG176" s="58" t="str">
        <f t="shared" si="11"/>
        <v>颅内病变切除费（常规）</v>
      </c>
      <c r="AH176" s="58">
        <f t="shared" si="12"/>
        <v>4225</v>
      </c>
      <c r="AI176" s="58">
        <f t="shared" si="13"/>
        <v>3770</v>
      </c>
      <c r="AJ176" s="58">
        <f t="shared" si="14"/>
        <v>3185</v>
      </c>
    </row>
    <row r="177" s="17" customFormat="1" customHeight="1" spans="1:36">
      <c r="A177" s="27" t="s">
        <v>70</v>
      </c>
      <c r="B177" s="28" t="s">
        <v>836</v>
      </c>
      <c r="C177" s="28" t="s">
        <v>837</v>
      </c>
      <c r="D177" s="28" t="s">
        <v>378</v>
      </c>
      <c r="E177" s="28"/>
      <c r="F177" s="28"/>
      <c r="G177" s="28" t="s">
        <v>40</v>
      </c>
      <c r="H177" s="28"/>
      <c r="I177" s="34">
        <v>1020</v>
      </c>
      <c r="J177" s="34">
        <v>918</v>
      </c>
      <c r="K177" s="38">
        <v>727.5</v>
      </c>
      <c r="L177" s="36"/>
      <c r="M177" s="36"/>
      <c r="N177" s="40">
        <v>975</v>
      </c>
      <c r="O177" s="40">
        <v>870</v>
      </c>
      <c r="P177" s="40">
        <v>735</v>
      </c>
      <c r="Q177" s="28" t="s">
        <v>42</v>
      </c>
      <c r="R177" s="36"/>
      <c r="S177" s="28" t="s">
        <v>384</v>
      </c>
      <c r="T177" s="46" t="s">
        <v>862</v>
      </c>
      <c r="U177" s="46">
        <v>33020103401</v>
      </c>
      <c r="V177" s="48" t="s">
        <v>863</v>
      </c>
      <c r="W177" s="46"/>
      <c r="X177" s="46"/>
      <c r="Y177" s="46" t="s">
        <v>40</v>
      </c>
      <c r="Z177" s="30" t="s">
        <v>43</v>
      </c>
      <c r="AA177" s="52"/>
      <c r="AB177" s="51" t="s">
        <v>43</v>
      </c>
      <c r="AC177" s="57" t="s">
        <v>43</v>
      </c>
      <c r="AD177" s="57" t="s">
        <v>43</v>
      </c>
      <c r="AE177" s="57" t="s">
        <v>43</v>
      </c>
      <c r="AF177" s="58">
        <f t="shared" si="10"/>
        <v>12</v>
      </c>
      <c r="AG177" s="58" t="str">
        <f t="shared" si="11"/>
        <v>颅内病变切除费（常规）</v>
      </c>
      <c r="AH177" s="58">
        <f t="shared" si="12"/>
        <v>4225</v>
      </c>
      <c r="AI177" s="58">
        <f t="shared" si="13"/>
        <v>3770</v>
      </c>
      <c r="AJ177" s="58">
        <f t="shared" si="14"/>
        <v>3185</v>
      </c>
    </row>
    <row r="178" s="17" customFormat="1" customHeight="1" spans="1:36">
      <c r="A178" s="27" t="s">
        <v>70</v>
      </c>
      <c r="B178" s="28" t="s">
        <v>836</v>
      </c>
      <c r="C178" s="28" t="s">
        <v>837</v>
      </c>
      <c r="D178" s="28" t="s">
        <v>378</v>
      </c>
      <c r="E178" s="28"/>
      <c r="F178" s="28"/>
      <c r="G178" s="28" t="s">
        <v>40</v>
      </c>
      <c r="H178" s="28"/>
      <c r="I178" s="34">
        <v>1020</v>
      </c>
      <c r="J178" s="34">
        <v>918</v>
      </c>
      <c r="K178" s="38">
        <v>727.5</v>
      </c>
      <c r="L178" s="36"/>
      <c r="M178" s="36"/>
      <c r="N178" s="40">
        <v>975</v>
      </c>
      <c r="O178" s="40">
        <v>870</v>
      </c>
      <c r="P178" s="40">
        <v>735</v>
      </c>
      <c r="Q178" s="28" t="s">
        <v>42</v>
      </c>
      <c r="R178" s="36"/>
      <c r="S178" s="28" t="s">
        <v>384</v>
      </c>
      <c r="T178" s="30" t="s">
        <v>864</v>
      </c>
      <c r="U178" s="30">
        <v>33020103601</v>
      </c>
      <c r="V178" s="30" t="s">
        <v>865</v>
      </c>
      <c r="W178" s="30"/>
      <c r="X178" s="30"/>
      <c r="Y178" s="30" t="s">
        <v>40</v>
      </c>
      <c r="Z178" s="30" t="s">
        <v>43</v>
      </c>
      <c r="AA178" s="51">
        <v>7175</v>
      </c>
      <c r="AB178" s="51">
        <v>6460</v>
      </c>
      <c r="AC178" s="57">
        <v>6160</v>
      </c>
      <c r="AD178" s="57">
        <v>5550</v>
      </c>
      <c r="AE178" s="57">
        <v>4720</v>
      </c>
      <c r="AF178" s="58">
        <f t="shared" si="10"/>
        <v>12</v>
      </c>
      <c r="AG178" s="58" t="str">
        <f t="shared" si="11"/>
        <v>颅内病变切除费（常规）</v>
      </c>
      <c r="AH178" s="58">
        <f t="shared" si="12"/>
        <v>4225</v>
      </c>
      <c r="AI178" s="58">
        <f t="shared" si="13"/>
        <v>3770</v>
      </c>
      <c r="AJ178" s="58">
        <f t="shared" si="14"/>
        <v>3185</v>
      </c>
    </row>
    <row r="179" s="17" customFormat="1" customHeight="1" spans="1:36">
      <c r="A179" s="27" t="s">
        <v>70</v>
      </c>
      <c r="B179" s="28" t="s">
        <v>836</v>
      </c>
      <c r="C179" s="28" t="s">
        <v>837</v>
      </c>
      <c r="D179" s="28" t="s">
        <v>378</v>
      </c>
      <c r="E179" s="28"/>
      <c r="F179" s="28"/>
      <c r="G179" s="28" t="s">
        <v>40</v>
      </c>
      <c r="H179" s="28"/>
      <c r="I179" s="34">
        <v>1020</v>
      </c>
      <c r="J179" s="34">
        <v>918</v>
      </c>
      <c r="K179" s="38">
        <v>727.5</v>
      </c>
      <c r="L179" s="36"/>
      <c r="M179" s="36"/>
      <c r="N179" s="40">
        <v>975</v>
      </c>
      <c r="O179" s="40">
        <v>870</v>
      </c>
      <c r="P179" s="40">
        <v>735</v>
      </c>
      <c r="Q179" s="28" t="s">
        <v>42</v>
      </c>
      <c r="R179" s="36"/>
      <c r="S179" s="28" t="s">
        <v>384</v>
      </c>
      <c r="T179" s="30" t="s">
        <v>866</v>
      </c>
      <c r="U179" s="30">
        <v>33020103801</v>
      </c>
      <c r="V179" s="30" t="s">
        <v>867</v>
      </c>
      <c r="W179" s="30"/>
      <c r="X179" s="30"/>
      <c r="Y179" s="30" t="s">
        <v>40</v>
      </c>
      <c r="Z179" s="30" t="s">
        <v>43</v>
      </c>
      <c r="AA179" s="51">
        <v>12870</v>
      </c>
      <c r="AB179" s="51">
        <v>10815</v>
      </c>
      <c r="AC179" s="57">
        <v>12220</v>
      </c>
      <c r="AD179" s="57">
        <v>11635</v>
      </c>
      <c r="AE179" s="57">
        <v>9295</v>
      </c>
      <c r="AF179" s="58">
        <f t="shared" si="10"/>
        <v>12</v>
      </c>
      <c r="AG179" s="58" t="str">
        <f t="shared" si="11"/>
        <v>颅内病变切除费（常规）</v>
      </c>
      <c r="AH179" s="58">
        <f t="shared" si="12"/>
        <v>4225</v>
      </c>
      <c r="AI179" s="58">
        <f t="shared" si="13"/>
        <v>3770</v>
      </c>
      <c r="AJ179" s="58">
        <f t="shared" si="14"/>
        <v>3185</v>
      </c>
    </row>
    <row r="180" s="17" customFormat="1" customHeight="1" spans="1:36">
      <c r="A180" s="27" t="s">
        <v>70</v>
      </c>
      <c r="B180" s="28" t="s">
        <v>836</v>
      </c>
      <c r="C180" s="28" t="s">
        <v>837</v>
      </c>
      <c r="D180" s="28" t="s">
        <v>378</v>
      </c>
      <c r="E180" s="28"/>
      <c r="F180" s="28"/>
      <c r="G180" s="28" t="s">
        <v>40</v>
      </c>
      <c r="H180" s="28"/>
      <c r="I180" s="34">
        <v>1020</v>
      </c>
      <c r="J180" s="34">
        <v>918</v>
      </c>
      <c r="K180" s="38">
        <v>727.5</v>
      </c>
      <c r="L180" s="36"/>
      <c r="M180" s="36"/>
      <c r="N180" s="40">
        <v>975</v>
      </c>
      <c r="O180" s="40">
        <v>870</v>
      </c>
      <c r="P180" s="40">
        <v>735</v>
      </c>
      <c r="Q180" s="28" t="s">
        <v>42</v>
      </c>
      <c r="R180" s="36"/>
      <c r="S180" s="28" t="s">
        <v>384</v>
      </c>
      <c r="T180" s="30" t="s">
        <v>868</v>
      </c>
      <c r="U180" s="30">
        <v>33020103803</v>
      </c>
      <c r="V180" s="30" t="s">
        <v>869</v>
      </c>
      <c r="W180" s="30"/>
      <c r="X180" s="30"/>
      <c r="Y180" s="30" t="s">
        <v>40</v>
      </c>
      <c r="Z180" s="30" t="s">
        <v>43</v>
      </c>
      <c r="AA180" s="51">
        <v>13670</v>
      </c>
      <c r="AB180" s="51">
        <v>11535</v>
      </c>
      <c r="AC180" s="57">
        <v>12595</v>
      </c>
      <c r="AD180" s="57">
        <v>11995</v>
      </c>
      <c r="AE180" s="57">
        <v>9601</v>
      </c>
      <c r="AF180" s="58">
        <f t="shared" si="10"/>
        <v>12</v>
      </c>
      <c r="AG180" s="58" t="str">
        <f t="shared" si="11"/>
        <v>颅内病变切除费（常规）</v>
      </c>
      <c r="AH180" s="58">
        <f t="shared" si="12"/>
        <v>4225</v>
      </c>
      <c r="AI180" s="58">
        <f t="shared" si="13"/>
        <v>3770</v>
      </c>
      <c r="AJ180" s="58">
        <f t="shared" si="14"/>
        <v>3185</v>
      </c>
    </row>
    <row r="181" s="17" customFormat="1" customHeight="1" spans="1:36">
      <c r="A181" s="27" t="s">
        <v>70</v>
      </c>
      <c r="B181" s="28" t="s">
        <v>836</v>
      </c>
      <c r="C181" s="28" t="s">
        <v>837</v>
      </c>
      <c r="D181" s="28" t="s">
        <v>378</v>
      </c>
      <c r="E181" s="28"/>
      <c r="F181" s="28"/>
      <c r="G181" s="28" t="s">
        <v>40</v>
      </c>
      <c r="H181" s="28"/>
      <c r="I181" s="34">
        <v>1020</v>
      </c>
      <c r="J181" s="34">
        <v>918</v>
      </c>
      <c r="K181" s="38">
        <v>727.5</v>
      </c>
      <c r="L181" s="36"/>
      <c r="M181" s="36"/>
      <c r="N181" s="40">
        <v>975</v>
      </c>
      <c r="O181" s="40">
        <v>870</v>
      </c>
      <c r="P181" s="40">
        <v>735</v>
      </c>
      <c r="Q181" s="28" t="s">
        <v>42</v>
      </c>
      <c r="R181" s="36"/>
      <c r="S181" s="28" t="s">
        <v>384</v>
      </c>
      <c r="T181" s="30" t="s">
        <v>870</v>
      </c>
      <c r="U181" s="30">
        <v>33020103901</v>
      </c>
      <c r="V181" s="30" t="s">
        <v>871</v>
      </c>
      <c r="W181" s="30"/>
      <c r="X181" s="30"/>
      <c r="Y181" s="30" t="s">
        <v>40</v>
      </c>
      <c r="Z181" s="30" t="s">
        <v>43</v>
      </c>
      <c r="AA181" s="51">
        <v>8970</v>
      </c>
      <c r="AB181" s="51">
        <v>7540</v>
      </c>
      <c r="AC181" s="57">
        <v>6915</v>
      </c>
      <c r="AD181" s="57">
        <v>6225</v>
      </c>
      <c r="AE181" s="57">
        <v>5290</v>
      </c>
      <c r="AF181" s="58">
        <f t="shared" si="10"/>
        <v>12</v>
      </c>
      <c r="AG181" s="58" t="str">
        <f t="shared" si="11"/>
        <v>颅内病变切除费（常规）</v>
      </c>
      <c r="AH181" s="58">
        <f t="shared" si="12"/>
        <v>4225</v>
      </c>
      <c r="AI181" s="58">
        <f t="shared" si="13"/>
        <v>3770</v>
      </c>
      <c r="AJ181" s="58">
        <f t="shared" si="14"/>
        <v>3185</v>
      </c>
    </row>
    <row r="182" s="17" customFormat="1" customHeight="1" spans="1:36">
      <c r="A182" s="27" t="s">
        <v>70</v>
      </c>
      <c r="B182" s="28" t="s">
        <v>836</v>
      </c>
      <c r="C182" s="28" t="s">
        <v>837</v>
      </c>
      <c r="D182" s="28" t="s">
        <v>378</v>
      </c>
      <c r="E182" s="28"/>
      <c r="F182" s="28"/>
      <c r="G182" s="28" t="s">
        <v>40</v>
      </c>
      <c r="H182" s="28"/>
      <c r="I182" s="34">
        <v>1020</v>
      </c>
      <c r="J182" s="34">
        <v>918</v>
      </c>
      <c r="K182" s="38">
        <v>727.5</v>
      </c>
      <c r="L182" s="36"/>
      <c r="M182" s="36"/>
      <c r="N182" s="40">
        <v>975</v>
      </c>
      <c r="O182" s="40">
        <v>870</v>
      </c>
      <c r="P182" s="40">
        <v>735</v>
      </c>
      <c r="Q182" s="28" t="s">
        <v>42</v>
      </c>
      <c r="R182" s="36"/>
      <c r="S182" s="28" t="s">
        <v>384</v>
      </c>
      <c r="T182" s="46" t="s">
        <v>872</v>
      </c>
      <c r="U182" s="46">
        <v>33020103903</v>
      </c>
      <c r="V182" s="48" t="s">
        <v>873</v>
      </c>
      <c r="W182" s="46"/>
      <c r="X182" s="46"/>
      <c r="Y182" s="46" t="s">
        <v>40</v>
      </c>
      <c r="Z182" s="30" t="s">
        <v>43</v>
      </c>
      <c r="AA182" s="52">
        <v>9770</v>
      </c>
      <c r="AB182" s="51">
        <v>8260</v>
      </c>
      <c r="AC182" s="57">
        <v>7290</v>
      </c>
      <c r="AD182" s="57">
        <v>6585</v>
      </c>
      <c r="AE182" s="57">
        <v>5595</v>
      </c>
      <c r="AF182" s="58">
        <f t="shared" si="10"/>
        <v>12</v>
      </c>
      <c r="AG182" s="58" t="str">
        <f t="shared" si="11"/>
        <v>颅内病变切除费（常规）</v>
      </c>
      <c r="AH182" s="58">
        <f t="shared" si="12"/>
        <v>4225</v>
      </c>
      <c r="AI182" s="58">
        <f t="shared" si="13"/>
        <v>3770</v>
      </c>
      <c r="AJ182" s="58">
        <f t="shared" si="14"/>
        <v>3185</v>
      </c>
    </row>
    <row r="183" s="17" customFormat="1" customHeight="1" spans="1:36">
      <c r="A183" s="27" t="s">
        <v>70</v>
      </c>
      <c r="B183" s="28" t="s">
        <v>836</v>
      </c>
      <c r="C183" s="28" t="s">
        <v>837</v>
      </c>
      <c r="D183" s="28" t="s">
        <v>378</v>
      </c>
      <c r="E183" s="28"/>
      <c r="F183" s="28"/>
      <c r="G183" s="28" t="s">
        <v>40</v>
      </c>
      <c r="H183" s="28"/>
      <c r="I183" s="34">
        <v>1020</v>
      </c>
      <c r="J183" s="34">
        <v>918</v>
      </c>
      <c r="K183" s="38">
        <v>727.5</v>
      </c>
      <c r="L183" s="36"/>
      <c r="M183" s="36"/>
      <c r="N183" s="40">
        <v>975</v>
      </c>
      <c r="O183" s="40">
        <v>870</v>
      </c>
      <c r="P183" s="40">
        <v>735</v>
      </c>
      <c r="Q183" s="28" t="s">
        <v>42</v>
      </c>
      <c r="R183" s="36"/>
      <c r="S183" s="28" t="s">
        <v>384</v>
      </c>
      <c r="T183" s="46" t="s">
        <v>874</v>
      </c>
      <c r="U183" s="46">
        <v>33020104301</v>
      </c>
      <c r="V183" s="48" t="s">
        <v>875</v>
      </c>
      <c r="W183" s="46"/>
      <c r="X183" s="46"/>
      <c r="Y183" s="46" t="s">
        <v>40</v>
      </c>
      <c r="Z183" s="30" t="s">
        <v>43</v>
      </c>
      <c r="AA183" s="52">
        <v>6240</v>
      </c>
      <c r="AB183" s="51">
        <v>5615</v>
      </c>
      <c r="AC183" s="57">
        <v>5485</v>
      </c>
      <c r="AD183" s="57">
        <v>4940</v>
      </c>
      <c r="AE183" s="57">
        <v>4200</v>
      </c>
      <c r="AF183" s="58">
        <f t="shared" si="10"/>
        <v>12</v>
      </c>
      <c r="AG183" s="58" t="str">
        <f t="shared" si="11"/>
        <v>颅内病变切除费（常规）</v>
      </c>
      <c r="AH183" s="58">
        <f t="shared" si="12"/>
        <v>4225</v>
      </c>
      <c r="AI183" s="58">
        <f t="shared" si="13"/>
        <v>3770</v>
      </c>
      <c r="AJ183" s="58">
        <f t="shared" si="14"/>
        <v>3185</v>
      </c>
    </row>
    <row r="184" s="17" customFormat="1" customHeight="1" spans="1:36">
      <c r="A184" s="27" t="s">
        <v>70</v>
      </c>
      <c r="B184" s="28" t="s">
        <v>836</v>
      </c>
      <c r="C184" s="28" t="s">
        <v>837</v>
      </c>
      <c r="D184" s="28" t="s">
        <v>378</v>
      </c>
      <c r="E184" s="28"/>
      <c r="F184" s="28"/>
      <c r="G184" s="28" t="s">
        <v>40</v>
      </c>
      <c r="H184" s="28"/>
      <c r="I184" s="34">
        <v>1020</v>
      </c>
      <c r="J184" s="34">
        <v>918</v>
      </c>
      <c r="K184" s="38">
        <v>727.5</v>
      </c>
      <c r="L184" s="36"/>
      <c r="M184" s="36"/>
      <c r="N184" s="40">
        <v>975</v>
      </c>
      <c r="O184" s="40">
        <v>870</v>
      </c>
      <c r="P184" s="40">
        <v>735</v>
      </c>
      <c r="Q184" s="28" t="s">
        <v>42</v>
      </c>
      <c r="R184" s="36"/>
      <c r="S184" s="28" t="s">
        <v>384</v>
      </c>
      <c r="T184" s="46" t="s">
        <v>876</v>
      </c>
      <c r="U184" s="46">
        <v>33020104303</v>
      </c>
      <c r="V184" s="48" t="s">
        <v>877</v>
      </c>
      <c r="W184" s="46"/>
      <c r="X184" s="46"/>
      <c r="Y184" s="46" t="s">
        <v>40</v>
      </c>
      <c r="Z184" s="30" t="s">
        <v>43</v>
      </c>
      <c r="AA184" s="52">
        <v>7040</v>
      </c>
      <c r="AB184" s="51">
        <v>6335</v>
      </c>
      <c r="AC184" s="57">
        <v>5860</v>
      </c>
      <c r="AD184" s="57">
        <v>5300</v>
      </c>
      <c r="AE184" s="57">
        <v>4505</v>
      </c>
      <c r="AF184" s="58">
        <f t="shared" si="10"/>
        <v>12</v>
      </c>
      <c r="AG184" s="58" t="str">
        <f t="shared" si="11"/>
        <v>颅内病变切除费（常规）</v>
      </c>
      <c r="AH184" s="58">
        <f t="shared" si="12"/>
        <v>4225</v>
      </c>
      <c r="AI184" s="58">
        <f t="shared" si="13"/>
        <v>3770</v>
      </c>
      <c r="AJ184" s="58">
        <f t="shared" si="14"/>
        <v>3185</v>
      </c>
    </row>
    <row r="185" s="17" customFormat="1" customHeight="1" spans="1:36">
      <c r="A185" s="27" t="s">
        <v>70</v>
      </c>
      <c r="B185" s="28" t="s">
        <v>836</v>
      </c>
      <c r="C185" s="28" t="s">
        <v>837</v>
      </c>
      <c r="D185" s="28" t="s">
        <v>378</v>
      </c>
      <c r="E185" s="28"/>
      <c r="F185" s="28"/>
      <c r="G185" s="28" t="s">
        <v>40</v>
      </c>
      <c r="H185" s="28"/>
      <c r="I185" s="34">
        <v>1020</v>
      </c>
      <c r="J185" s="34">
        <v>918</v>
      </c>
      <c r="K185" s="38">
        <v>727.5</v>
      </c>
      <c r="L185" s="36"/>
      <c r="M185" s="36"/>
      <c r="N185" s="40">
        <v>975</v>
      </c>
      <c r="O185" s="40">
        <v>870</v>
      </c>
      <c r="P185" s="40">
        <v>735</v>
      </c>
      <c r="Q185" s="28" t="s">
        <v>42</v>
      </c>
      <c r="R185" s="36"/>
      <c r="S185" s="28" t="s">
        <v>384</v>
      </c>
      <c r="T185" s="46" t="s">
        <v>878</v>
      </c>
      <c r="U185" s="46">
        <v>33020104401</v>
      </c>
      <c r="V185" s="48" t="s">
        <v>879</v>
      </c>
      <c r="W185" s="46"/>
      <c r="X185" s="46"/>
      <c r="Y185" s="46" t="s">
        <v>40</v>
      </c>
      <c r="Z185" s="30" t="s">
        <v>43</v>
      </c>
      <c r="AA185" s="52">
        <v>4990</v>
      </c>
      <c r="AB185" s="51">
        <v>4500</v>
      </c>
      <c r="AC185" s="57">
        <v>4395</v>
      </c>
      <c r="AD185" s="57">
        <v>3950</v>
      </c>
      <c r="AE185" s="57">
        <v>3360</v>
      </c>
      <c r="AF185" s="58">
        <f t="shared" si="10"/>
        <v>12</v>
      </c>
      <c r="AG185" s="58" t="str">
        <f t="shared" si="11"/>
        <v>颅内病变切除费（常规）</v>
      </c>
      <c r="AH185" s="58">
        <f t="shared" si="12"/>
        <v>4225</v>
      </c>
      <c r="AI185" s="58">
        <f t="shared" si="13"/>
        <v>3770</v>
      </c>
      <c r="AJ185" s="58">
        <f t="shared" si="14"/>
        <v>3185</v>
      </c>
    </row>
    <row r="186" s="17" customFormat="1" customHeight="1" spans="1:36">
      <c r="A186" s="27" t="s">
        <v>70</v>
      </c>
      <c r="B186" s="28" t="s">
        <v>836</v>
      </c>
      <c r="C186" s="28" t="s">
        <v>837</v>
      </c>
      <c r="D186" s="28" t="s">
        <v>378</v>
      </c>
      <c r="E186" s="28"/>
      <c r="F186" s="28"/>
      <c r="G186" s="28" t="s">
        <v>40</v>
      </c>
      <c r="H186" s="28"/>
      <c r="I186" s="34">
        <v>1020</v>
      </c>
      <c r="J186" s="34">
        <v>918</v>
      </c>
      <c r="K186" s="38">
        <v>727.5</v>
      </c>
      <c r="L186" s="36"/>
      <c r="M186" s="36"/>
      <c r="N186" s="40">
        <v>975</v>
      </c>
      <c r="O186" s="40">
        <v>870</v>
      </c>
      <c r="P186" s="40">
        <v>735</v>
      </c>
      <c r="Q186" s="28" t="s">
        <v>42</v>
      </c>
      <c r="R186" s="36"/>
      <c r="S186" s="28" t="s">
        <v>384</v>
      </c>
      <c r="T186" s="46" t="s">
        <v>880</v>
      </c>
      <c r="U186" s="46">
        <v>33020104501</v>
      </c>
      <c r="V186" s="48" t="s">
        <v>881</v>
      </c>
      <c r="W186" s="46"/>
      <c r="X186" s="46"/>
      <c r="Y186" s="46" t="s">
        <v>40</v>
      </c>
      <c r="Z186" s="30" t="s">
        <v>43</v>
      </c>
      <c r="AA186" s="52">
        <v>10920</v>
      </c>
      <c r="AB186" s="51">
        <v>9180</v>
      </c>
      <c r="AC186" s="57">
        <v>8425</v>
      </c>
      <c r="AD186" s="57">
        <v>7580</v>
      </c>
      <c r="AE186" s="57">
        <v>6445</v>
      </c>
      <c r="AF186" s="58">
        <f t="shared" si="10"/>
        <v>12</v>
      </c>
      <c r="AG186" s="58" t="str">
        <f t="shared" si="11"/>
        <v>颅内病变切除费（常规）</v>
      </c>
      <c r="AH186" s="58">
        <f t="shared" si="12"/>
        <v>4225</v>
      </c>
      <c r="AI186" s="58">
        <f t="shared" si="13"/>
        <v>3770</v>
      </c>
      <c r="AJ186" s="58">
        <f t="shared" si="14"/>
        <v>3185</v>
      </c>
    </row>
    <row r="187" s="17" customFormat="1" customHeight="1" spans="1:36">
      <c r="A187" s="27" t="s">
        <v>70</v>
      </c>
      <c r="B187" s="28" t="s">
        <v>836</v>
      </c>
      <c r="C187" s="28" t="s">
        <v>837</v>
      </c>
      <c r="D187" s="28" t="s">
        <v>378</v>
      </c>
      <c r="E187" s="28"/>
      <c r="F187" s="28"/>
      <c r="G187" s="28" t="s">
        <v>40</v>
      </c>
      <c r="H187" s="28"/>
      <c r="I187" s="34">
        <v>1020</v>
      </c>
      <c r="J187" s="34">
        <v>918</v>
      </c>
      <c r="K187" s="38">
        <v>727.5</v>
      </c>
      <c r="L187" s="36"/>
      <c r="M187" s="36"/>
      <c r="N187" s="40">
        <v>975</v>
      </c>
      <c r="O187" s="40">
        <v>870</v>
      </c>
      <c r="P187" s="40">
        <v>735</v>
      </c>
      <c r="Q187" s="28" t="s">
        <v>42</v>
      </c>
      <c r="R187" s="36"/>
      <c r="S187" s="28" t="s">
        <v>384</v>
      </c>
      <c r="T187" s="46" t="s">
        <v>882</v>
      </c>
      <c r="U187" s="46">
        <v>33020104601</v>
      </c>
      <c r="V187" s="48" t="s">
        <v>883</v>
      </c>
      <c r="W187" s="46"/>
      <c r="X187" s="46"/>
      <c r="Y187" s="46" t="s">
        <v>40</v>
      </c>
      <c r="Z187" s="30" t="s">
        <v>43</v>
      </c>
      <c r="AA187" s="52">
        <v>6240</v>
      </c>
      <c r="AB187" s="51">
        <v>5615</v>
      </c>
      <c r="AC187" s="57">
        <v>5485</v>
      </c>
      <c r="AD187" s="57">
        <v>4940</v>
      </c>
      <c r="AE187" s="57">
        <v>4200</v>
      </c>
      <c r="AF187" s="58">
        <f t="shared" si="10"/>
        <v>12</v>
      </c>
      <c r="AG187" s="58" t="str">
        <f t="shared" si="11"/>
        <v>颅内病变切除费（常规）</v>
      </c>
      <c r="AH187" s="58">
        <f t="shared" si="12"/>
        <v>4225</v>
      </c>
      <c r="AI187" s="58">
        <f t="shared" si="13"/>
        <v>3770</v>
      </c>
      <c r="AJ187" s="58">
        <f t="shared" si="14"/>
        <v>3185</v>
      </c>
    </row>
    <row r="188" s="17" customFormat="1" customHeight="1" spans="1:36">
      <c r="A188" s="27" t="s">
        <v>70</v>
      </c>
      <c r="B188" s="28" t="s">
        <v>836</v>
      </c>
      <c r="C188" s="28" t="s">
        <v>837</v>
      </c>
      <c r="D188" s="28" t="s">
        <v>378</v>
      </c>
      <c r="E188" s="28"/>
      <c r="F188" s="28"/>
      <c r="G188" s="28" t="s">
        <v>40</v>
      </c>
      <c r="H188" s="28"/>
      <c r="I188" s="34">
        <v>1020</v>
      </c>
      <c r="J188" s="34">
        <v>918</v>
      </c>
      <c r="K188" s="38">
        <v>727.5</v>
      </c>
      <c r="L188" s="36"/>
      <c r="M188" s="36"/>
      <c r="N188" s="40">
        <v>975</v>
      </c>
      <c r="O188" s="40">
        <v>870</v>
      </c>
      <c r="P188" s="40">
        <v>735</v>
      </c>
      <c r="Q188" s="28" t="s">
        <v>42</v>
      </c>
      <c r="R188" s="36"/>
      <c r="S188" s="28" t="s">
        <v>384</v>
      </c>
      <c r="T188" s="46" t="s">
        <v>884</v>
      </c>
      <c r="U188" s="46">
        <v>33020104701</v>
      </c>
      <c r="V188" s="48" t="s">
        <v>885</v>
      </c>
      <c r="W188" s="46"/>
      <c r="X188" s="46"/>
      <c r="Y188" s="46" t="s">
        <v>40</v>
      </c>
      <c r="Z188" s="30" t="s">
        <v>43</v>
      </c>
      <c r="AA188" s="52">
        <v>6240</v>
      </c>
      <c r="AB188" s="51">
        <v>5615</v>
      </c>
      <c r="AC188" s="57">
        <v>5485</v>
      </c>
      <c r="AD188" s="57">
        <v>4940</v>
      </c>
      <c r="AE188" s="57">
        <v>4200</v>
      </c>
      <c r="AF188" s="58">
        <f t="shared" si="10"/>
        <v>12</v>
      </c>
      <c r="AG188" s="58" t="str">
        <f t="shared" si="11"/>
        <v>颅内病变切除费（常规）</v>
      </c>
      <c r="AH188" s="58">
        <f t="shared" si="12"/>
        <v>4225</v>
      </c>
      <c r="AI188" s="58">
        <f t="shared" si="13"/>
        <v>3770</v>
      </c>
      <c r="AJ188" s="58">
        <f t="shared" si="14"/>
        <v>3185</v>
      </c>
    </row>
    <row r="189" s="17" customFormat="1" customHeight="1" spans="1:36">
      <c r="A189" s="27" t="s">
        <v>70</v>
      </c>
      <c r="B189" s="28" t="s">
        <v>836</v>
      </c>
      <c r="C189" s="28" t="s">
        <v>837</v>
      </c>
      <c r="D189" s="28" t="s">
        <v>378</v>
      </c>
      <c r="E189" s="28"/>
      <c r="F189" s="28"/>
      <c r="G189" s="28" t="s">
        <v>40</v>
      </c>
      <c r="H189" s="28"/>
      <c r="I189" s="34">
        <v>1020</v>
      </c>
      <c r="J189" s="34">
        <v>918</v>
      </c>
      <c r="K189" s="38">
        <v>727.5</v>
      </c>
      <c r="L189" s="36"/>
      <c r="M189" s="36"/>
      <c r="N189" s="40">
        <v>975</v>
      </c>
      <c r="O189" s="40">
        <v>870</v>
      </c>
      <c r="P189" s="40">
        <v>735</v>
      </c>
      <c r="Q189" s="28" t="s">
        <v>42</v>
      </c>
      <c r="R189" s="36"/>
      <c r="S189" s="28" t="s">
        <v>384</v>
      </c>
      <c r="T189" s="30" t="s">
        <v>886</v>
      </c>
      <c r="U189" s="30">
        <v>33020105901</v>
      </c>
      <c r="V189" s="30" t="s">
        <v>887</v>
      </c>
      <c r="W189" s="30"/>
      <c r="X189" s="30"/>
      <c r="Y189" s="30" t="s">
        <v>40</v>
      </c>
      <c r="Z189" s="30" t="s">
        <v>43</v>
      </c>
      <c r="AA189" s="51">
        <v>6240</v>
      </c>
      <c r="AB189" s="51">
        <v>5615</v>
      </c>
      <c r="AC189" s="57">
        <v>5370</v>
      </c>
      <c r="AD189" s="57">
        <v>4835</v>
      </c>
      <c r="AE189" s="57">
        <v>4110</v>
      </c>
      <c r="AF189" s="58">
        <f t="shared" si="10"/>
        <v>12</v>
      </c>
      <c r="AG189" s="58" t="str">
        <f t="shared" si="11"/>
        <v>颅内病变切除费（常规）</v>
      </c>
      <c r="AH189" s="58">
        <f t="shared" si="12"/>
        <v>4225</v>
      </c>
      <c r="AI189" s="58">
        <f t="shared" si="13"/>
        <v>3770</v>
      </c>
      <c r="AJ189" s="58">
        <f t="shared" si="14"/>
        <v>3185</v>
      </c>
    </row>
    <row r="190" s="17" customFormat="1" customHeight="1" spans="1:36">
      <c r="A190" s="27" t="s">
        <v>70</v>
      </c>
      <c r="B190" s="28" t="s">
        <v>836</v>
      </c>
      <c r="C190" s="28" t="s">
        <v>837</v>
      </c>
      <c r="D190" s="28" t="s">
        <v>378</v>
      </c>
      <c r="E190" s="28"/>
      <c r="F190" s="28"/>
      <c r="G190" s="28" t="s">
        <v>40</v>
      </c>
      <c r="H190" s="28"/>
      <c r="I190" s="34">
        <v>1020</v>
      </c>
      <c r="J190" s="34">
        <v>918</v>
      </c>
      <c r="K190" s="38">
        <v>727.5</v>
      </c>
      <c r="L190" s="36"/>
      <c r="M190" s="36"/>
      <c r="N190" s="40">
        <v>975</v>
      </c>
      <c r="O190" s="40">
        <v>870</v>
      </c>
      <c r="P190" s="40">
        <v>735</v>
      </c>
      <c r="Q190" s="28" t="s">
        <v>42</v>
      </c>
      <c r="R190" s="36"/>
      <c r="S190" s="28" t="s">
        <v>384</v>
      </c>
      <c r="T190" s="30" t="s">
        <v>888</v>
      </c>
      <c r="U190" s="30">
        <v>33020105903</v>
      </c>
      <c r="V190" s="30" t="s">
        <v>889</v>
      </c>
      <c r="W190" s="30"/>
      <c r="X190" s="30"/>
      <c r="Y190" s="30" t="s">
        <v>40</v>
      </c>
      <c r="Z190" s="30" t="s">
        <v>43</v>
      </c>
      <c r="AA190" s="51">
        <v>7040</v>
      </c>
      <c r="AB190" s="51">
        <v>6335</v>
      </c>
      <c r="AC190" s="57">
        <v>5745</v>
      </c>
      <c r="AD190" s="57">
        <v>5195</v>
      </c>
      <c r="AE190" s="57">
        <v>4415</v>
      </c>
      <c r="AF190" s="58">
        <f t="shared" si="10"/>
        <v>12</v>
      </c>
      <c r="AG190" s="58" t="str">
        <f t="shared" si="11"/>
        <v>颅内病变切除费（常规）</v>
      </c>
      <c r="AH190" s="58">
        <f t="shared" si="12"/>
        <v>4225</v>
      </c>
      <c r="AI190" s="58">
        <f t="shared" si="13"/>
        <v>3770</v>
      </c>
      <c r="AJ190" s="58">
        <f t="shared" si="14"/>
        <v>3185</v>
      </c>
    </row>
    <row r="191" s="17" customFormat="1" customHeight="1" spans="1:36">
      <c r="A191" s="27" t="s">
        <v>70</v>
      </c>
      <c r="B191" s="28" t="s">
        <v>836</v>
      </c>
      <c r="C191" s="28" t="s">
        <v>837</v>
      </c>
      <c r="D191" s="28" t="s">
        <v>378</v>
      </c>
      <c r="E191" s="28"/>
      <c r="F191" s="28"/>
      <c r="G191" s="28" t="s">
        <v>40</v>
      </c>
      <c r="H191" s="28"/>
      <c r="I191" s="34">
        <v>1020</v>
      </c>
      <c r="J191" s="34">
        <v>918</v>
      </c>
      <c r="K191" s="38">
        <v>727.5</v>
      </c>
      <c r="L191" s="36"/>
      <c r="M191" s="36"/>
      <c r="N191" s="40">
        <v>975</v>
      </c>
      <c r="O191" s="40">
        <v>870</v>
      </c>
      <c r="P191" s="40">
        <v>735</v>
      </c>
      <c r="Q191" s="28" t="s">
        <v>42</v>
      </c>
      <c r="R191" s="36"/>
      <c r="S191" s="28" t="s">
        <v>384</v>
      </c>
      <c r="T191" s="30" t="s">
        <v>890</v>
      </c>
      <c r="U191" s="30">
        <v>33020106002</v>
      </c>
      <c r="V191" s="30" t="s">
        <v>891</v>
      </c>
      <c r="W191" s="30"/>
      <c r="X191" s="30"/>
      <c r="Y191" s="30" t="s">
        <v>820</v>
      </c>
      <c r="Z191" s="30" t="s">
        <v>43</v>
      </c>
      <c r="AA191" s="51">
        <v>7490</v>
      </c>
      <c r="AB191" s="51">
        <v>6735</v>
      </c>
      <c r="AC191" s="57">
        <v>6580</v>
      </c>
      <c r="AD191" s="57">
        <v>5915</v>
      </c>
      <c r="AE191" s="57">
        <v>5030</v>
      </c>
      <c r="AF191" s="58">
        <f t="shared" si="10"/>
        <v>12</v>
      </c>
      <c r="AG191" s="58" t="str">
        <f t="shared" si="11"/>
        <v>颅内病变切除费（常规）</v>
      </c>
      <c r="AH191" s="58">
        <f t="shared" si="12"/>
        <v>4225</v>
      </c>
      <c r="AI191" s="58">
        <f t="shared" si="13"/>
        <v>3770</v>
      </c>
      <c r="AJ191" s="58">
        <f t="shared" si="14"/>
        <v>3185</v>
      </c>
    </row>
    <row r="192" s="17" customFormat="1" customHeight="1" spans="1:36">
      <c r="A192" s="27" t="s">
        <v>70</v>
      </c>
      <c r="B192" s="28" t="s">
        <v>836</v>
      </c>
      <c r="C192" s="28" t="s">
        <v>837</v>
      </c>
      <c r="D192" s="28" t="s">
        <v>378</v>
      </c>
      <c r="E192" s="28"/>
      <c r="F192" s="28"/>
      <c r="G192" s="28" t="s">
        <v>40</v>
      </c>
      <c r="H192" s="28"/>
      <c r="I192" s="34">
        <v>1020</v>
      </c>
      <c r="J192" s="34">
        <v>918</v>
      </c>
      <c r="K192" s="38">
        <v>727.5</v>
      </c>
      <c r="L192" s="36"/>
      <c r="M192" s="36"/>
      <c r="N192" s="40">
        <v>975</v>
      </c>
      <c r="O192" s="40">
        <v>870</v>
      </c>
      <c r="P192" s="40">
        <v>735</v>
      </c>
      <c r="Q192" s="28" t="s">
        <v>42</v>
      </c>
      <c r="R192" s="36"/>
      <c r="S192" s="28" t="s">
        <v>384</v>
      </c>
      <c r="T192" s="30" t="s">
        <v>892</v>
      </c>
      <c r="U192" s="30">
        <v>33020106003</v>
      </c>
      <c r="V192" s="30" t="s">
        <v>893</v>
      </c>
      <c r="W192" s="30"/>
      <c r="X192" s="30"/>
      <c r="Y192" s="30" t="s">
        <v>820</v>
      </c>
      <c r="Z192" s="30" t="s">
        <v>824</v>
      </c>
      <c r="AA192" s="51">
        <v>10610</v>
      </c>
      <c r="AB192" s="51">
        <v>9540</v>
      </c>
      <c r="AC192" s="57">
        <v>9385</v>
      </c>
      <c r="AD192" s="57">
        <v>8435</v>
      </c>
      <c r="AE192" s="57">
        <v>7170</v>
      </c>
      <c r="AF192" s="58">
        <f t="shared" si="10"/>
        <v>12</v>
      </c>
      <c r="AG192" s="58" t="str">
        <f t="shared" si="11"/>
        <v>颅内病变切除费（常规）</v>
      </c>
      <c r="AH192" s="58">
        <f t="shared" si="12"/>
        <v>4225</v>
      </c>
      <c r="AI192" s="58">
        <f t="shared" si="13"/>
        <v>3770</v>
      </c>
      <c r="AJ192" s="58">
        <f t="shared" si="14"/>
        <v>3185</v>
      </c>
    </row>
    <row r="193" s="17" customFormat="1" customHeight="1" spans="1:36">
      <c r="A193" s="27" t="s">
        <v>70</v>
      </c>
      <c r="B193" s="28" t="s">
        <v>836</v>
      </c>
      <c r="C193" s="28" t="s">
        <v>837</v>
      </c>
      <c r="D193" s="28" t="s">
        <v>378</v>
      </c>
      <c r="E193" s="28"/>
      <c r="F193" s="28"/>
      <c r="G193" s="28" t="s">
        <v>40</v>
      </c>
      <c r="H193" s="28"/>
      <c r="I193" s="34">
        <v>1020</v>
      </c>
      <c r="J193" s="34">
        <v>918</v>
      </c>
      <c r="K193" s="38">
        <v>727.5</v>
      </c>
      <c r="L193" s="36"/>
      <c r="M193" s="36"/>
      <c r="N193" s="40">
        <v>975</v>
      </c>
      <c r="O193" s="40">
        <v>870</v>
      </c>
      <c r="P193" s="40">
        <v>735</v>
      </c>
      <c r="Q193" s="28" t="s">
        <v>42</v>
      </c>
      <c r="R193" s="36"/>
      <c r="S193" s="28" t="s">
        <v>384</v>
      </c>
      <c r="T193" s="46" t="s">
        <v>894</v>
      </c>
      <c r="U193" s="46">
        <v>33020100602</v>
      </c>
      <c r="V193" s="48" t="s">
        <v>895</v>
      </c>
      <c r="W193" s="46"/>
      <c r="X193" s="46"/>
      <c r="Y193" s="46" t="s">
        <v>40</v>
      </c>
      <c r="Z193" s="30" t="s">
        <v>43</v>
      </c>
      <c r="AA193" s="52">
        <v>3160</v>
      </c>
      <c r="AB193" s="51">
        <v>2845</v>
      </c>
      <c r="AC193" s="57">
        <v>2925</v>
      </c>
      <c r="AD193" s="57">
        <v>2810</v>
      </c>
      <c r="AE193" s="57">
        <v>2390</v>
      </c>
      <c r="AF193" s="58">
        <f t="shared" si="10"/>
        <v>12</v>
      </c>
      <c r="AG193" s="58" t="str">
        <f t="shared" si="11"/>
        <v>颅内病变切除费（常规）</v>
      </c>
      <c r="AH193" s="58">
        <f t="shared" si="12"/>
        <v>4225</v>
      </c>
      <c r="AI193" s="58">
        <f t="shared" si="13"/>
        <v>3770</v>
      </c>
      <c r="AJ193" s="58">
        <f t="shared" si="14"/>
        <v>3185</v>
      </c>
    </row>
    <row r="194" s="17" customFormat="1" customHeight="1" spans="1:36">
      <c r="A194" s="27">
        <v>47</v>
      </c>
      <c r="B194" s="28" t="s">
        <v>896</v>
      </c>
      <c r="C194" s="28" t="s">
        <v>897</v>
      </c>
      <c r="D194" s="28" t="s">
        <v>378</v>
      </c>
      <c r="E194" s="28" t="s">
        <v>898</v>
      </c>
      <c r="F194" s="28" t="s">
        <v>750</v>
      </c>
      <c r="G194" s="28" t="s">
        <v>40</v>
      </c>
      <c r="H194" s="28" t="s">
        <v>899</v>
      </c>
      <c r="I194" s="34">
        <v>8670</v>
      </c>
      <c r="J194" s="34">
        <v>7803</v>
      </c>
      <c r="K194" s="35">
        <v>7685.36697247706</v>
      </c>
      <c r="L194" s="35">
        <v>7792.05479452055</v>
      </c>
      <c r="M194" s="36"/>
      <c r="N194" s="40">
        <v>8290</v>
      </c>
      <c r="O194" s="40">
        <v>7395</v>
      </c>
      <c r="P194" s="40">
        <v>6250</v>
      </c>
      <c r="Q194" s="28" t="s">
        <v>42</v>
      </c>
      <c r="R194" s="38" t="s">
        <v>280</v>
      </c>
      <c r="S194" s="28" t="s">
        <v>900</v>
      </c>
      <c r="T194" s="30" t="s">
        <v>901</v>
      </c>
      <c r="U194" s="30">
        <v>330201023</v>
      </c>
      <c r="V194" s="30" t="s">
        <v>902</v>
      </c>
      <c r="W194" s="30" t="s">
        <v>903</v>
      </c>
      <c r="X194" s="30" t="s">
        <v>904</v>
      </c>
      <c r="Y194" s="30" t="s">
        <v>40</v>
      </c>
      <c r="Z194" s="30" t="s">
        <v>43</v>
      </c>
      <c r="AA194" s="51">
        <v>6340</v>
      </c>
      <c r="AB194" s="51">
        <v>5700</v>
      </c>
      <c r="AC194" s="57">
        <v>5570</v>
      </c>
      <c r="AD194" s="57">
        <v>5010</v>
      </c>
      <c r="AE194" s="57">
        <v>4260</v>
      </c>
      <c r="AF194" s="58">
        <f t="shared" si="10"/>
        <v>0</v>
      </c>
      <c r="AG194" s="58" t="str">
        <f t="shared" si="11"/>
        <v>颅内病变切除费（复杂）</v>
      </c>
      <c r="AH194" s="58">
        <f t="shared" si="12"/>
        <v>8290</v>
      </c>
      <c r="AI194" s="58">
        <f t="shared" si="13"/>
        <v>7395</v>
      </c>
      <c r="AJ194" s="58">
        <f t="shared" si="14"/>
        <v>6250</v>
      </c>
    </row>
    <row r="195" s="17" customFormat="1" customHeight="1" spans="1:36">
      <c r="A195" s="27">
        <v>47</v>
      </c>
      <c r="B195" s="28" t="s">
        <v>896</v>
      </c>
      <c r="C195" s="28" t="s">
        <v>897</v>
      </c>
      <c r="D195" s="28" t="s">
        <v>378</v>
      </c>
      <c r="E195" s="28" t="s">
        <v>898</v>
      </c>
      <c r="F195" s="28" t="s">
        <v>750</v>
      </c>
      <c r="G195" s="28" t="s">
        <v>40</v>
      </c>
      <c r="H195" s="28" t="s">
        <v>899</v>
      </c>
      <c r="I195" s="34">
        <v>8670</v>
      </c>
      <c r="J195" s="34">
        <v>7803</v>
      </c>
      <c r="K195" s="35">
        <v>7685.36697247706</v>
      </c>
      <c r="L195" s="35">
        <v>7792.05479452055</v>
      </c>
      <c r="M195" s="36"/>
      <c r="N195" s="40">
        <v>8290</v>
      </c>
      <c r="O195" s="40">
        <v>7395</v>
      </c>
      <c r="P195" s="40">
        <v>6250</v>
      </c>
      <c r="Q195" s="28" t="s">
        <v>42</v>
      </c>
      <c r="R195" s="38" t="s">
        <v>280</v>
      </c>
      <c r="S195" s="28" t="s">
        <v>900</v>
      </c>
      <c r="T195" s="30" t="s">
        <v>905</v>
      </c>
      <c r="U195" s="30">
        <v>330201024</v>
      </c>
      <c r="V195" s="30" t="s">
        <v>906</v>
      </c>
      <c r="W195" s="30" t="s">
        <v>907</v>
      </c>
      <c r="X195" s="30"/>
      <c r="Y195" s="30" t="s">
        <v>40</v>
      </c>
      <c r="Z195" s="30" t="s">
        <v>43</v>
      </c>
      <c r="AA195" s="51">
        <v>9900</v>
      </c>
      <c r="AB195" s="51">
        <v>8320</v>
      </c>
      <c r="AC195" s="57">
        <v>9400</v>
      </c>
      <c r="AD195" s="57">
        <v>8950</v>
      </c>
      <c r="AE195" s="57">
        <v>7150</v>
      </c>
      <c r="AF195" s="58">
        <f t="shared" si="10"/>
        <v>0</v>
      </c>
      <c r="AG195" s="58" t="str">
        <f t="shared" si="11"/>
        <v>颅内病变切除费（复杂）</v>
      </c>
      <c r="AH195" s="58">
        <f t="shared" si="12"/>
        <v>8290</v>
      </c>
      <c r="AI195" s="58">
        <f t="shared" si="13"/>
        <v>7395</v>
      </c>
      <c r="AJ195" s="58">
        <f t="shared" si="14"/>
        <v>6250</v>
      </c>
    </row>
    <row r="196" s="17" customFormat="1" customHeight="1" spans="1:36">
      <c r="A196" s="27">
        <v>47</v>
      </c>
      <c r="B196" s="28" t="s">
        <v>896</v>
      </c>
      <c r="C196" s="28" t="s">
        <v>897</v>
      </c>
      <c r="D196" s="28" t="s">
        <v>378</v>
      </c>
      <c r="E196" s="28" t="s">
        <v>898</v>
      </c>
      <c r="F196" s="28" t="s">
        <v>750</v>
      </c>
      <c r="G196" s="28" t="s">
        <v>40</v>
      </c>
      <c r="H196" s="28" t="s">
        <v>899</v>
      </c>
      <c r="I196" s="34">
        <v>8670</v>
      </c>
      <c r="J196" s="34">
        <v>7803</v>
      </c>
      <c r="K196" s="35">
        <v>7685.36697247706</v>
      </c>
      <c r="L196" s="35">
        <v>7792.05479452055</v>
      </c>
      <c r="M196" s="36"/>
      <c r="N196" s="40">
        <v>8290</v>
      </c>
      <c r="O196" s="40">
        <v>7395</v>
      </c>
      <c r="P196" s="40">
        <v>6250</v>
      </c>
      <c r="Q196" s="28" t="s">
        <v>42</v>
      </c>
      <c r="R196" s="38" t="s">
        <v>280</v>
      </c>
      <c r="S196" s="28" t="s">
        <v>900</v>
      </c>
      <c r="T196" s="30" t="s">
        <v>908</v>
      </c>
      <c r="U196" s="30">
        <v>330201037</v>
      </c>
      <c r="V196" s="30" t="s">
        <v>909</v>
      </c>
      <c r="W196" s="30" t="s">
        <v>910</v>
      </c>
      <c r="X196" s="30"/>
      <c r="Y196" s="30" t="s">
        <v>40</v>
      </c>
      <c r="Z196" s="30" t="s">
        <v>43</v>
      </c>
      <c r="AA196" s="51">
        <v>9000</v>
      </c>
      <c r="AB196" s="51">
        <v>7560</v>
      </c>
      <c r="AC196" s="57">
        <v>6940</v>
      </c>
      <c r="AD196" s="57">
        <v>6250</v>
      </c>
      <c r="AE196" s="57">
        <v>5310</v>
      </c>
      <c r="AF196" s="58">
        <f t="shared" si="10"/>
        <v>0</v>
      </c>
      <c r="AG196" s="58" t="str">
        <f t="shared" si="11"/>
        <v>颅内病变切除费（复杂）</v>
      </c>
      <c r="AH196" s="58">
        <f t="shared" si="12"/>
        <v>8290</v>
      </c>
      <c r="AI196" s="58">
        <f t="shared" si="13"/>
        <v>7395</v>
      </c>
      <c r="AJ196" s="58">
        <f t="shared" si="14"/>
        <v>6250</v>
      </c>
    </row>
    <row r="197" s="17" customFormat="1" customHeight="1" spans="1:36">
      <c r="A197" s="27">
        <v>47</v>
      </c>
      <c r="B197" s="28" t="s">
        <v>896</v>
      </c>
      <c r="C197" s="28" t="s">
        <v>897</v>
      </c>
      <c r="D197" s="28" t="s">
        <v>378</v>
      </c>
      <c r="E197" s="28" t="s">
        <v>898</v>
      </c>
      <c r="F197" s="28" t="s">
        <v>750</v>
      </c>
      <c r="G197" s="28" t="s">
        <v>40</v>
      </c>
      <c r="H197" s="28" t="s">
        <v>899</v>
      </c>
      <c r="I197" s="34">
        <v>8670</v>
      </c>
      <c r="J197" s="34">
        <v>7803</v>
      </c>
      <c r="K197" s="35">
        <v>7685.36697247706</v>
      </c>
      <c r="L197" s="35">
        <v>7792.05479452055</v>
      </c>
      <c r="M197" s="36"/>
      <c r="N197" s="40">
        <v>8290</v>
      </c>
      <c r="O197" s="40">
        <v>7395</v>
      </c>
      <c r="P197" s="40">
        <v>6250</v>
      </c>
      <c r="Q197" s="28" t="s">
        <v>42</v>
      </c>
      <c r="R197" s="38" t="s">
        <v>280</v>
      </c>
      <c r="S197" s="28" t="s">
        <v>900</v>
      </c>
      <c r="T197" s="30" t="s">
        <v>911</v>
      </c>
      <c r="U197" s="30">
        <v>330201048</v>
      </c>
      <c r="V197" s="30" t="s">
        <v>912</v>
      </c>
      <c r="W197" s="30"/>
      <c r="X197" s="30"/>
      <c r="Y197" s="30" t="s">
        <v>40</v>
      </c>
      <c r="Z197" s="30" t="s">
        <v>43</v>
      </c>
      <c r="AA197" s="51">
        <v>4800</v>
      </c>
      <c r="AB197" s="51">
        <v>4320</v>
      </c>
      <c r="AC197" s="57">
        <v>4220</v>
      </c>
      <c r="AD197" s="57">
        <v>3800</v>
      </c>
      <c r="AE197" s="57">
        <v>3230</v>
      </c>
      <c r="AF197" s="58">
        <f t="shared" si="10"/>
        <v>0</v>
      </c>
      <c r="AG197" s="58" t="str">
        <f t="shared" si="11"/>
        <v>颅内病变切除费（复杂）</v>
      </c>
      <c r="AH197" s="58">
        <f t="shared" si="12"/>
        <v>8290</v>
      </c>
      <c r="AI197" s="58">
        <f t="shared" si="13"/>
        <v>7395</v>
      </c>
      <c r="AJ197" s="58">
        <f t="shared" si="14"/>
        <v>6250</v>
      </c>
    </row>
    <row r="198" s="17" customFormat="1" customHeight="1" spans="1:36">
      <c r="A198" s="27">
        <v>47</v>
      </c>
      <c r="B198" s="28" t="s">
        <v>896</v>
      </c>
      <c r="C198" s="28" t="s">
        <v>897</v>
      </c>
      <c r="D198" s="28" t="s">
        <v>378</v>
      </c>
      <c r="E198" s="28" t="s">
        <v>898</v>
      </c>
      <c r="F198" s="28" t="s">
        <v>750</v>
      </c>
      <c r="G198" s="28" t="s">
        <v>40</v>
      </c>
      <c r="H198" s="28" t="s">
        <v>899</v>
      </c>
      <c r="I198" s="34">
        <v>8670</v>
      </c>
      <c r="J198" s="34">
        <v>7803</v>
      </c>
      <c r="K198" s="35">
        <v>7685.36697247706</v>
      </c>
      <c r="L198" s="35">
        <v>7792.05479452055</v>
      </c>
      <c r="M198" s="36"/>
      <c r="N198" s="40">
        <v>8290</v>
      </c>
      <c r="O198" s="40">
        <v>7395</v>
      </c>
      <c r="P198" s="40">
        <v>6250</v>
      </c>
      <c r="Q198" s="28" t="s">
        <v>42</v>
      </c>
      <c r="R198" s="38" t="s">
        <v>280</v>
      </c>
      <c r="S198" s="28" t="s">
        <v>900</v>
      </c>
      <c r="T198" s="30" t="s">
        <v>913</v>
      </c>
      <c r="U198" s="30">
        <v>330203005</v>
      </c>
      <c r="V198" s="30" t="s">
        <v>914</v>
      </c>
      <c r="W198" s="30" t="s">
        <v>915</v>
      </c>
      <c r="X198" s="30"/>
      <c r="Y198" s="30" t="s">
        <v>40</v>
      </c>
      <c r="Z198" s="30" t="s">
        <v>43</v>
      </c>
      <c r="AA198" s="51">
        <v>5380</v>
      </c>
      <c r="AB198" s="51">
        <v>4840</v>
      </c>
      <c r="AC198" s="57">
        <v>4730</v>
      </c>
      <c r="AD198" s="57">
        <v>4260</v>
      </c>
      <c r="AE198" s="57">
        <v>3620</v>
      </c>
      <c r="AF198" s="58">
        <f t="shared" ref="AF198:AF261" si="15">IFERROR(FIND("-儿童（加收）",C198,1),0)</f>
        <v>0</v>
      </c>
      <c r="AG198" s="58" t="str">
        <f t="shared" ref="AG198:AG261" si="16">SUBSTITUTE(C198,"-儿童（加收）","")</f>
        <v>颅内病变切除费（复杂）</v>
      </c>
      <c r="AH198" s="58">
        <f t="shared" ref="AH198:AH261" si="17">IF(AF198&gt;0,_xlfn.MAXIFS(N:N,C:C,SUBSTITUTE(C198,"-儿童（加收）","")),0)+N198</f>
        <v>8290</v>
      </c>
      <c r="AI198" s="58">
        <f t="shared" ref="AI198:AI261" si="18">IF(AF198&gt;0,_xlfn.MAXIFS(O:O,C:C,SUBSTITUTE(C198,"-儿童（加收）","")),0)+O198</f>
        <v>7395</v>
      </c>
      <c r="AJ198" s="58">
        <f t="shared" ref="AJ198:AJ261" si="19">IF(AF198&gt;0,_xlfn.MAXIFS(P:P,C:C,SUBSTITUTE(C198,"-儿童（加收）","")),0)+P198</f>
        <v>6250</v>
      </c>
    </row>
    <row r="199" s="17" customFormat="1" customHeight="1" spans="1:36">
      <c r="A199" s="27">
        <v>47</v>
      </c>
      <c r="B199" s="28" t="s">
        <v>896</v>
      </c>
      <c r="C199" s="28" t="s">
        <v>897</v>
      </c>
      <c r="D199" s="28" t="s">
        <v>378</v>
      </c>
      <c r="E199" s="28" t="s">
        <v>898</v>
      </c>
      <c r="F199" s="28" t="s">
        <v>750</v>
      </c>
      <c r="G199" s="28" t="s">
        <v>40</v>
      </c>
      <c r="H199" s="28" t="s">
        <v>899</v>
      </c>
      <c r="I199" s="34">
        <v>8670</v>
      </c>
      <c r="J199" s="34">
        <v>7803</v>
      </c>
      <c r="K199" s="35">
        <v>7685.36697247706</v>
      </c>
      <c r="L199" s="35">
        <v>7792.05479452055</v>
      </c>
      <c r="M199" s="36"/>
      <c r="N199" s="40">
        <v>8290</v>
      </c>
      <c r="O199" s="40">
        <v>7395</v>
      </c>
      <c r="P199" s="40">
        <v>6250</v>
      </c>
      <c r="Q199" s="28" t="s">
        <v>42</v>
      </c>
      <c r="R199" s="38" t="s">
        <v>280</v>
      </c>
      <c r="S199" s="28" t="s">
        <v>900</v>
      </c>
      <c r="T199" s="30" t="s">
        <v>916</v>
      </c>
      <c r="U199" s="30">
        <v>330203006</v>
      </c>
      <c r="V199" s="30" t="s">
        <v>917</v>
      </c>
      <c r="W199" s="30" t="s">
        <v>918</v>
      </c>
      <c r="X199" s="30"/>
      <c r="Y199" s="30" t="s">
        <v>40</v>
      </c>
      <c r="Z199" s="30" t="s">
        <v>919</v>
      </c>
      <c r="AA199" s="51">
        <v>5760</v>
      </c>
      <c r="AB199" s="51">
        <v>5180</v>
      </c>
      <c r="AC199" s="57">
        <v>5060</v>
      </c>
      <c r="AD199" s="57">
        <v>4550</v>
      </c>
      <c r="AE199" s="57">
        <v>3870</v>
      </c>
      <c r="AF199" s="58">
        <f t="shared" si="15"/>
        <v>0</v>
      </c>
      <c r="AG199" s="58" t="str">
        <f t="shared" si="16"/>
        <v>颅内病变切除费（复杂）</v>
      </c>
      <c r="AH199" s="58">
        <f t="shared" si="17"/>
        <v>8290</v>
      </c>
      <c r="AI199" s="58">
        <f t="shared" si="18"/>
        <v>7395</v>
      </c>
      <c r="AJ199" s="58">
        <f t="shared" si="19"/>
        <v>6250</v>
      </c>
    </row>
    <row r="200" s="17" customFormat="1" customHeight="1" spans="1:36">
      <c r="A200" s="27">
        <v>47</v>
      </c>
      <c r="B200" s="28" t="s">
        <v>896</v>
      </c>
      <c r="C200" s="28" t="s">
        <v>897</v>
      </c>
      <c r="D200" s="28" t="s">
        <v>378</v>
      </c>
      <c r="E200" s="28" t="s">
        <v>898</v>
      </c>
      <c r="F200" s="28" t="s">
        <v>750</v>
      </c>
      <c r="G200" s="28" t="s">
        <v>40</v>
      </c>
      <c r="H200" s="28" t="s">
        <v>899</v>
      </c>
      <c r="I200" s="34">
        <v>8670</v>
      </c>
      <c r="J200" s="34">
        <v>7803</v>
      </c>
      <c r="K200" s="35">
        <v>7685.36697247706</v>
      </c>
      <c r="L200" s="35">
        <v>7792.05479452055</v>
      </c>
      <c r="M200" s="36"/>
      <c r="N200" s="40">
        <v>8290</v>
      </c>
      <c r="O200" s="40">
        <v>7395</v>
      </c>
      <c r="P200" s="40">
        <v>6250</v>
      </c>
      <c r="Q200" s="28" t="s">
        <v>42</v>
      </c>
      <c r="R200" s="38" t="s">
        <v>280</v>
      </c>
      <c r="S200" s="28" t="s">
        <v>900</v>
      </c>
      <c r="T200" s="46" t="s">
        <v>920</v>
      </c>
      <c r="U200" s="46">
        <v>33020300601</v>
      </c>
      <c r="V200" s="48" t="s">
        <v>921</v>
      </c>
      <c r="W200" s="46"/>
      <c r="X200" s="46"/>
      <c r="Y200" s="46" t="s">
        <v>40</v>
      </c>
      <c r="Z200" s="30" t="s">
        <v>922</v>
      </c>
      <c r="AA200" s="52">
        <v>6720</v>
      </c>
      <c r="AB200" s="51">
        <v>6045</v>
      </c>
      <c r="AC200" s="57">
        <v>5925</v>
      </c>
      <c r="AD200" s="57">
        <v>5330</v>
      </c>
      <c r="AE200" s="57">
        <v>4535</v>
      </c>
      <c r="AF200" s="58">
        <f t="shared" si="15"/>
        <v>0</v>
      </c>
      <c r="AG200" s="58" t="str">
        <f t="shared" si="16"/>
        <v>颅内病变切除费（复杂）</v>
      </c>
      <c r="AH200" s="58">
        <f t="shared" si="17"/>
        <v>8290</v>
      </c>
      <c r="AI200" s="58">
        <f t="shared" si="18"/>
        <v>7395</v>
      </c>
      <c r="AJ200" s="58">
        <f t="shared" si="19"/>
        <v>6250</v>
      </c>
    </row>
    <row r="201" s="17" customFormat="1" customHeight="1" spans="1:36">
      <c r="A201" s="27">
        <v>47</v>
      </c>
      <c r="B201" s="28" t="s">
        <v>896</v>
      </c>
      <c r="C201" s="28" t="s">
        <v>897</v>
      </c>
      <c r="D201" s="28" t="s">
        <v>378</v>
      </c>
      <c r="E201" s="28" t="s">
        <v>898</v>
      </c>
      <c r="F201" s="28" t="s">
        <v>750</v>
      </c>
      <c r="G201" s="28" t="s">
        <v>40</v>
      </c>
      <c r="H201" s="28" t="s">
        <v>899</v>
      </c>
      <c r="I201" s="34">
        <v>8670</v>
      </c>
      <c r="J201" s="34">
        <v>7803</v>
      </c>
      <c r="K201" s="35">
        <v>7685.36697247706</v>
      </c>
      <c r="L201" s="35">
        <v>7792.05479452055</v>
      </c>
      <c r="M201" s="36"/>
      <c r="N201" s="40">
        <v>8290</v>
      </c>
      <c r="O201" s="40">
        <v>7395</v>
      </c>
      <c r="P201" s="40">
        <v>6250</v>
      </c>
      <c r="Q201" s="28" t="s">
        <v>42</v>
      </c>
      <c r="R201" s="38" t="s">
        <v>280</v>
      </c>
      <c r="S201" s="28" t="s">
        <v>900</v>
      </c>
      <c r="T201" s="30" t="s">
        <v>481</v>
      </c>
      <c r="U201" s="30">
        <v>330203004</v>
      </c>
      <c r="V201" s="30" t="s">
        <v>482</v>
      </c>
      <c r="W201" s="30" t="s">
        <v>483</v>
      </c>
      <c r="X201" s="30" t="s">
        <v>484</v>
      </c>
      <c r="Y201" s="30" t="s">
        <v>40</v>
      </c>
      <c r="Z201" s="30" t="s">
        <v>43</v>
      </c>
      <c r="AA201" s="51">
        <v>9900</v>
      </c>
      <c r="AB201" s="51">
        <v>8320</v>
      </c>
      <c r="AC201" s="57">
        <v>7630</v>
      </c>
      <c r="AD201" s="57">
        <v>6870</v>
      </c>
      <c r="AE201" s="57">
        <v>5840</v>
      </c>
      <c r="AF201" s="58">
        <f t="shared" si="15"/>
        <v>0</v>
      </c>
      <c r="AG201" s="58" t="str">
        <f t="shared" si="16"/>
        <v>颅内病变切除费（复杂）</v>
      </c>
      <c r="AH201" s="58">
        <f t="shared" si="17"/>
        <v>8290</v>
      </c>
      <c r="AI201" s="58">
        <f t="shared" si="18"/>
        <v>7395</v>
      </c>
      <c r="AJ201" s="58">
        <f t="shared" si="19"/>
        <v>6250</v>
      </c>
    </row>
    <row r="202" s="17" customFormat="1" customHeight="1" spans="1:36">
      <c r="A202" s="27">
        <v>47</v>
      </c>
      <c r="B202" s="28" t="s">
        <v>896</v>
      </c>
      <c r="C202" s="28" t="s">
        <v>897</v>
      </c>
      <c r="D202" s="28" t="s">
        <v>378</v>
      </c>
      <c r="E202" s="28" t="s">
        <v>898</v>
      </c>
      <c r="F202" s="28" t="s">
        <v>750</v>
      </c>
      <c r="G202" s="28" t="s">
        <v>40</v>
      </c>
      <c r="H202" s="28" t="s">
        <v>899</v>
      </c>
      <c r="I202" s="34">
        <v>8670</v>
      </c>
      <c r="J202" s="34">
        <v>7803</v>
      </c>
      <c r="K202" s="35">
        <v>7685.36697247706</v>
      </c>
      <c r="L202" s="35">
        <v>7792.05479452055</v>
      </c>
      <c r="M202" s="36"/>
      <c r="N202" s="40">
        <v>8290</v>
      </c>
      <c r="O202" s="40">
        <v>7395</v>
      </c>
      <c r="P202" s="40">
        <v>6250</v>
      </c>
      <c r="Q202" s="28" t="s">
        <v>42</v>
      </c>
      <c r="R202" s="38" t="s">
        <v>280</v>
      </c>
      <c r="S202" s="28" t="s">
        <v>900</v>
      </c>
      <c r="T202" s="30" t="s">
        <v>485</v>
      </c>
      <c r="U202" s="30">
        <v>330203003</v>
      </c>
      <c r="V202" s="30" t="s">
        <v>486</v>
      </c>
      <c r="W202" s="30" t="s">
        <v>487</v>
      </c>
      <c r="X202" s="30" t="s">
        <v>488</v>
      </c>
      <c r="Y202" s="30" t="s">
        <v>40</v>
      </c>
      <c r="Z202" s="30" t="s">
        <v>43</v>
      </c>
      <c r="AA202" s="51">
        <v>4800</v>
      </c>
      <c r="AB202" s="51">
        <v>4320</v>
      </c>
      <c r="AC202" s="57">
        <v>4220</v>
      </c>
      <c r="AD202" s="57">
        <v>3800</v>
      </c>
      <c r="AE202" s="57">
        <v>3230</v>
      </c>
      <c r="AF202" s="58">
        <f t="shared" si="15"/>
        <v>0</v>
      </c>
      <c r="AG202" s="58" t="str">
        <f t="shared" si="16"/>
        <v>颅内病变切除费（复杂）</v>
      </c>
      <c r="AH202" s="58">
        <f t="shared" si="17"/>
        <v>8290</v>
      </c>
      <c r="AI202" s="58">
        <f t="shared" si="18"/>
        <v>7395</v>
      </c>
      <c r="AJ202" s="58">
        <f t="shared" si="19"/>
        <v>6250</v>
      </c>
    </row>
    <row r="203" s="17" customFormat="1" customHeight="1" spans="1:36">
      <c r="A203" s="27" t="s">
        <v>70</v>
      </c>
      <c r="B203" s="28" t="s">
        <v>923</v>
      </c>
      <c r="C203" s="28" t="s">
        <v>924</v>
      </c>
      <c r="D203" s="28" t="s">
        <v>378</v>
      </c>
      <c r="E203" s="28"/>
      <c r="F203" s="28"/>
      <c r="G203" s="28" t="s">
        <v>40</v>
      </c>
      <c r="H203" s="31"/>
      <c r="I203" s="34">
        <v>2601</v>
      </c>
      <c r="J203" s="34">
        <v>2341</v>
      </c>
      <c r="K203" s="36"/>
      <c r="L203" s="36"/>
      <c r="M203" s="36"/>
      <c r="N203" s="40">
        <v>2485</v>
      </c>
      <c r="O203" s="40">
        <v>2220</v>
      </c>
      <c r="P203" s="40">
        <v>1875</v>
      </c>
      <c r="Q203" s="28" t="s">
        <v>42</v>
      </c>
      <c r="R203" s="36"/>
      <c r="S203" s="28" t="s">
        <v>384</v>
      </c>
      <c r="T203" s="30" t="s">
        <v>925</v>
      </c>
      <c r="U203" s="30">
        <v>33020102301</v>
      </c>
      <c r="V203" s="30" t="s">
        <v>926</v>
      </c>
      <c r="W203" s="30"/>
      <c r="X203" s="30"/>
      <c r="Y203" s="30" t="s">
        <v>40</v>
      </c>
      <c r="Z203" s="30" t="s">
        <v>43</v>
      </c>
      <c r="AA203" s="51">
        <v>8240</v>
      </c>
      <c r="AB203" s="51">
        <v>7410</v>
      </c>
      <c r="AC203" s="57">
        <v>7240</v>
      </c>
      <c r="AD203" s="57">
        <v>6515</v>
      </c>
      <c r="AE203" s="57">
        <v>5540</v>
      </c>
      <c r="AF203" s="58">
        <f t="shared" si="15"/>
        <v>12</v>
      </c>
      <c r="AG203" s="58" t="str">
        <f t="shared" si="16"/>
        <v>颅内病变切除费（复杂）</v>
      </c>
      <c r="AH203" s="58">
        <f t="shared" si="17"/>
        <v>10775</v>
      </c>
      <c r="AI203" s="58">
        <f t="shared" si="18"/>
        <v>9615</v>
      </c>
      <c r="AJ203" s="58">
        <f t="shared" si="19"/>
        <v>8125</v>
      </c>
    </row>
    <row r="204" s="17" customFormat="1" customHeight="1" spans="1:36">
      <c r="A204" s="27" t="s">
        <v>70</v>
      </c>
      <c r="B204" s="28" t="s">
        <v>923</v>
      </c>
      <c r="C204" s="28" t="s">
        <v>924</v>
      </c>
      <c r="D204" s="28" t="s">
        <v>378</v>
      </c>
      <c r="E204" s="28"/>
      <c r="F204" s="28"/>
      <c r="G204" s="28" t="s">
        <v>40</v>
      </c>
      <c r="H204" s="31"/>
      <c r="I204" s="34">
        <v>2601</v>
      </c>
      <c r="J204" s="34">
        <v>2341</v>
      </c>
      <c r="K204" s="36"/>
      <c r="L204" s="36"/>
      <c r="M204" s="36"/>
      <c r="N204" s="40">
        <v>2485</v>
      </c>
      <c r="O204" s="40">
        <v>2220</v>
      </c>
      <c r="P204" s="40">
        <v>1875</v>
      </c>
      <c r="Q204" s="28" t="s">
        <v>42</v>
      </c>
      <c r="R204" s="36"/>
      <c r="S204" s="28" t="s">
        <v>384</v>
      </c>
      <c r="T204" s="30" t="s">
        <v>927</v>
      </c>
      <c r="U204" s="30">
        <v>33020102401</v>
      </c>
      <c r="V204" s="30" t="s">
        <v>928</v>
      </c>
      <c r="W204" s="30"/>
      <c r="X204" s="30"/>
      <c r="Y204" s="30" t="s">
        <v>40</v>
      </c>
      <c r="Z204" s="30" t="s">
        <v>43</v>
      </c>
      <c r="AA204" s="51">
        <v>12870</v>
      </c>
      <c r="AB204" s="51">
        <v>10815</v>
      </c>
      <c r="AC204" s="57">
        <v>12220</v>
      </c>
      <c r="AD204" s="57">
        <v>11635</v>
      </c>
      <c r="AE204" s="57">
        <v>9295</v>
      </c>
      <c r="AF204" s="58">
        <f t="shared" si="15"/>
        <v>12</v>
      </c>
      <c r="AG204" s="58" t="str">
        <f t="shared" si="16"/>
        <v>颅内病变切除费（复杂）</v>
      </c>
      <c r="AH204" s="58">
        <f t="shared" si="17"/>
        <v>10775</v>
      </c>
      <c r="AI204" s="58">
        <f t="shared" si="18"/>
        <v>9615</v>
      </c>
      <c r="AJ204" s="58">
        <f t="shared" si="19"/>
        <v>8125</v>
      </c>
    </row>
    <row r="205" s="17" customFormat="1" customHeight="1" spans="1:36">
      <c r="A205" s="27" t="s">
        <v>70</v>
      </c>
      <c r="B205" s="28" t="s">
        <v>923</v>
      </c>
      <c r="C205" s="28" t="s">
        <v>924</v>
      </c>
      <c r="D205" s="28" t="s">
        <v>378</v>
      </c>
      <c r="E205" s="28"/>
      <c r="F205" s="28"/>
      <c r="G205" s="28" t="s">
        <v>40</v>
      </c>
      <c r="H205" s="31"/>
      <c r="I205" s="34">
        <v>2601</v>
      </c>
      <c r="J205" s="34">
        <v>2341</v>
      </c>
      <c r="K205" s="36"/>
      <c r="L205" s="36"/>
      <c r="M205" s="36"/>
      <c r="N205" s="40">
        <v>2485</v>
      </c>
      <c r="O205" s="40">
        <v>2220</v>
      </c>
      <c r="P205" s="40">
        <v>1875</v>
      </c>
      <c r="Q205" s="28" t="s">
        <v>42</v>
      </c>
      <c r="R205" s="36"/>
      <c r="S205" s="28" t="s">
        <v>384</v>
      </c>
      <c r="T205" s="30" t="s">
        <v>929</v>
      </c>
      <c r="U205" s="30">
        <v>33020103701</v>
      </c>
      <c r="V205" s="30" t="s">
        <v>930</v>
      </c>
      <c r="W205" s="30"/>
      <c r="X205" s="30"/>
      <c r="Y205" s="30" t="s">
        <v>40</v>
      </c>
      <c r="Z205" s="30" t="s">
        <v>43</v>
      </c>
      <c r="AA205" s="51">
        <v>11700</v>
      </c>
      <c r="AB205" s="51">
        <v>9830</v>
      </c>
      <c r="AC205" s="57">
        <v>9020</v>
      </c>
      <c r="AD205" s="57">
        <v>8125</v>
      </c>
      <c r="AE205" s="57">
        <v>6905</v>
      </c>
      <c r="AF205" s="58">
        <f t="shared" si="15"/>
        <v>12</v>
      </c>
      <c r="AG205" s="58" t="str">
        <f t="shared" si="16"/>
        <v>颅内病变切除费（复杂）</v>
      </c>
      <c r="AH205" s="58">
        <f t="shared" si="17"/>
        <v>10775</v>
      </c>
      <c r="AI205" s="58">
        <f t="shared" si="18"/>
        <v>9615</v>
      </c>
      <c r="AJ205" s="58">
        <f t="shared" si="19"/>
        <v>8125</v>
      </c>
    </row>
    <row r="206" s="17" customFormat="1" customHeight="1" spans="1:36">
      <c r="A206" s="27" t="s">
        <v>70</v>
      </c>
      <c r="B206" s="28" t="s">
        <v>923</v>
      </c>
      <c r="C206" s="28" t="s">
        <v>924</v>
      </c>
      <c r="D206" s="28" t="s">
        <v>378</v>
      </c>
      <c r="E206" s="28"/>
      <c r="F206" s="28"/>
      <c r="G206" s="28" t="s">
        <v>40</v>
      </c>
      <c r="H206" s="31"/>
      <c r="I206" s="34">
        <v>2601</v>
      </c>
      <c r="J206" s="34">
        <v>2341</v>
      </c>
      <c r="K206" s="36"/>
      <c r="L206" s="36"/>
      <c r="M206" s="36"/>
      <c r="N206" s="40">
        <v>2485</v>
      </c>
      <c r="O206" s="40">
        <v>2220</v>
      </c>
      <c r="P206" s="40">
        <v>1875</v>
      </c>
      <c r="Q206" s="28" t="s">
        <v>42</v>
      </c>
      <c r="R206" s="36"/>
      <c r="S206" s="28" t="s">
        <v>384</v>
      </c>
      <c r="T206" s="46" t="s">
        <v>931</v>
      </c>
      <c r="U206" s="46">
        <v>33020104801</v>
      </c>
      <c r="V206" s="48" t="s">
        <v>932</v>
      </c>
      <c r="W206" s="46"/>
      <c r="X206" s="46"/>
      <c r="Y206" s="46" t="s">
        <v>40</v>
      </c>
      <c r="Z206" s="30" t="s">
        <v>43</v>
      </c>
      <c r="AA206" s="52">
        <v>6240</v>
      </c>
      <c r="AB206" s="51">
        <v>5615</v>
      </c>
      <c r="AC206" s="57">
        <v>5485</v>
      </c>
      <c r="AD206" s="57">
        <v>4940</v>
      </c>
      <c r="AE206" s="57">
        <v>4200</v>
      </c>
      <c r="AF206" s="58">
        <f t="shared" si="15"/>
        <v>12</v>
      </c>
      <c r="AG206" s="58" t="str">
        <f t="shared" si="16"/>
        <v>颅内病变切除费（复杂）</v>
      </c>
      <c r="AH206" s="58">
        <f t="shared" si="17"/>
        <v>10775</v>
      </c>
      <c r="AI206" s="58">
        <f t="shared" si="18"/>
        <v>9615</v>
      </c>
      <c r="AJ206" s="58">
        <f t="shared" si="19"/>
        <v>8125</v>
      </c>
    </row>
    <row r="207" s="17" customFormat="1" customHeight="1" spans="1:36">
      <c r="A207" s="27" t="s">
        <v>70</v>
      </c>
      <c r="B207" s="28" t="s">
        <v>923</v>
      </c>
      <c r="C207" s="28" t="s">
        <v>924</v>
      </c>
      <c r="D207" s="28" t="s">
        <v>378</v>
      </c>
      <c r="E207" s="28"/>
      <c r="F207" s="28"/>
      <c r="G207" s="28" t="s">
        <v>40</v>
      </c>
      <c r="H207" s="31"/>
      <c r="I207" s="34">
        <v>2601</v>
      </c>
      <c r="J207" s="34">
        <v>2341</v>
      </c>
      <c r="K207" s="36"/>
      <c r="L207" s="36"/>
      <c r="M207" s="36"/>
      <c r="N207" s="40">
        <v>2485</v>
      </c>
      <c r="O207" s="40">
        <v>2220</v>
      </c>
      <c r="P207" s="40">
        <v>1875</v>
      </c>
      <c r="Q207" s="28" t="s">
        <v>42</v>
      </c>
      <c r="R207" s="36"/>
      <c r="S207" s="28" t="s">
        <v>384</v>
      </c>
      <c r="T207" s="46" t="s">
        <v>933</v>
      </c>
      <c r="U207" s="46">
        <v>33020300501</v>
      </c>
      <c r="V207" s="48" t="s">
        <v>934</v>
      </c>
      <c r="W207" s="46"/>
      <c r="X207" s="46"/>
      <c r="Y207" s="46" t="s">
        <v>40</v>
      </c>
      <c r="Z207" s="30" t="s">
        <v>43</v>
      </c>
      <c r="AA207" s="52">
        <v>6995</v>
      </c>
      <c r="AB207" s="51">
        <v>6290</v>
      </c>
      <c r="AC207" s="57">
        <v>6150</v>
      </c>
      <c r="AD207" s="57">
        <v>5540</v>
      </c>
      <c r="AE207" s="57">
        <v>4710</v>
      </c>
      <c r="AF207" s="58">
        <f t="shared" si="15"/>
        <v>12</v>
      </c>
      <c r="AG207" s="58" t="str">
        <f t="shared" si="16"/>
        <v>颅内病变切除费（复杂）</v>
      </c>
      <c r="AH207" s="58">
        <f t="shared" si="17"/>
        <v>10775</v>
      </c>
      <c r="AI207" s="58">
        <f t="shared" si="18"/>
        <v>9615</v>
      </c>
      <c r="AJ207" s="58">
        <f t="shared" si="19"/>
        <v>8125</v>
      </c>
    </row>
    <row r="208" s="17" customFormat="1" customHeight="1" spans="1:36">
      <c r="A208" s="27" t="s">
        <v>70</v>
      </c>
      <c r="B208" s="28" t="s">
        <v>923</v>
      </c>
      <c r="C208" s="28" t="s">
        <v>924</v>
      </c>
      <c r="D208" s="28" t="s">
        <v>378</v>
      </c>
      <c r="E208" s="28"/>
      <c r="F208" s="28"/>
      <c r="G208" s="28" t="s">
        <v>40</v>
      </c>
      <c r="H208" s="31"/>
      <c r="I208" s="34">
        <v>2601</v>
      </c>
      <c r="J208" s="34">
        <v>2341</v>
      </c>
      <c r="K208" s="36"/>
      <c r="L208" s="36"/>
      <c r="M208" s="36"/>
      <c r="N208" s="40">
        <v>2485</v>
      </c>
      <c r="O208" s="40">
        <v>2220</v>
      </c>
      <c r="P208" s="40">
        <v>1875</v>
      </c>
      <c r="Q208" s="28" t="s">
        <v>42</v>
      </c>
      <c r="R208" s="36"/>
      <c r="S208" s="28" t="s">
        <v>384</v>
      </c>
      <c r="T208" s="46" t="s">
        <v>935</v>
      </c>
      <c r="U208" s="46">
        <v>33020300602</v>
      </c>
      <c r="V208" s="48" t="s">
        <v>936</v>
      </c>
      <c r="W208" s="46"/>
      <c r="X208" s="46"/>
      <c r="Y208" s="46" t="s">
        <v>40</v>
      </c>
      <c r="Z208" s="30" t="s">
        <v>43</v>
      </c>
      <c r="AA208" s="52">
        <v>7490</v>
      </c>
      <c r="AB208" s="51">
        <v>6735</v>
      </c>
      <c r="AC208" s="57">
        <v>6580</v>
      </c>
      <c r="AD208" s="57">
        <v>5915</v>
      </c>
      <c r="AE208" s="57">
        <v>5030</v>
      </c>
      <c r="AF208" s="58">
        <f t="shared" si="15"/>
        <v>12</v>
      </c>
      <c r="AG208" s="58" t="str">
        <f t="shared" si="16"/>
        <v>颅内病变切除费（复杂）</v>
      </c>
      <c r="AH208" s="58">
        <f t="shared" si="17"/>
        <v>10775</v>
      </c>
      <c r="AI208" s="58">
        <f t="shared" si="18"/>
        <v>9615</v>
      </c>
      <c r="AJ208" s="58">
        <f t="shared" si="19"/>
        <v>8125</v>
      </c>
    </row>
    <row r="209" s="17" customFormat="1" customHeight="1" spans="1:36">
      <c r="A209" s="27" t="s">
        <v>70</v>
      </c>
      <c r="B209" s="28" t="s">
        <v>923</v>
      </c>
      <c r="C209" s="28" t="s">
        <v>924</v>
      </c>
      <c r="D209" s="28" t="s">
        <v>378</v>
      </c>
      <c r="E209" s="28"/>
      <c r="F209" s="28"/>
      <c r="G209" s="28" t="s">
        <v>40</v>
      </c>
      <c r="H209" s="31"/>
      <c r="I209" s="34">
        <v>2601</v>
      </c>
      <c r="J209" s="34">
        <v>2341</v>
      </c>
      <c r="K209" s="36"/>
      <c r="L209" s="36"/>
      <c r="M209" s="36"/>
      <c r="N209" s="40">
        <v>2485</v>
      </c>
      <c r="O209" s="40">
        <v>2220</v>
      </c>
      <c r="P209" s="40">
        <v>1875</v>
      </c>
      <c r="Q209" s="28" t="s">
        <v>42</v>
      </c>
      <c r="R209" s="36"/>
      <c r="S209" s="28" t="s">
        <v>384</v>
      </c>
      <c r="T209" s="46" t="s">
        <v>937</v>
      </c>
      <c r="U209" s="46">
        <v>33020300603</v>
      </c>
      <c r="V209" s="48" t="s">
        <v>938</v>
      </c>
      <c r="W209" s="46"/>
      <c r="X209" s="46"/>
      <c r="Y209" s="46" t="s">
        <v>40</v>
      </c>
      <c r="Z209" s="30" t="s">
        <v>922</v>
      </c>
      <c r="AA209" s="52">
        <v>8735</v>
      </c>
      <c r="AB209" s="51">
        <v>7860</v>
      </c>
      <c r="AC209" s="57">
        <v>7705</v>
      </c>
      <c r="AD209" s="57">
        <v>6930</v>
      </c>
      <c r="AE209" s="57">
        <v>5890</v>
      </c>
      <c r="AF209" s="58">
        <f t="shared" si="15"/>
        <v>12</v>
      </c>
      <c r="AG209" s="58" t="str">
        <f t="shared" si="16"/>
        <v>颅内病变切除费（复杂）</v>
      </c>
      <c r="AH209" s="58">
        <f t="shared" si="17"/>
        <v>10775</v>
      </c>
      <c r="AI209" s="58">
        <f t="shared" si="18"/>
        <v>9615</v>
      </c>
      <c r="AJ209" s="58">
        <f t="shared" si="19"/>
        <v>8125</v>
      </c>
    </row>
    <row r="210" s="17" customFormat="1" customHeight="1" spans="1:36">
      <c r="A210" s="27" t="s">
        <v>70</v>
      </c>
      <c r="B210" s="28" t="s">
        <v>923</v>
      </c>
      <c r="C210" s="28" t="s">
        <v>924</v>
      </c>
      <c r="D210" s="28" t="s">
        <v>378</v>
      </c>
      <c r="E210" s="28"/>
      <c r="F210" s="28"/>
      <c r="G210" s="28" t="s">
        <v>40</v>
      </c>
      <c r="H210" s="31"/>
      <c r="I210" s="34">
        <v>2601</v>
      </c>
      <c r="J210" s="34">
        <v>2341</v>
      </c>
      <c r="K210" s="36"/>
      <c r="L210" s="36"/>
      <c r="M210" s="36"/>
      <c r="N210" s="40">
        <v>2485</v>
      </c>
      <c r="O210" s="40">
        <v>2220</v>
      </c>
      <c r="P210" s="40">
        <v>1875</v>
      </c>
      <c r="Q210" s="28" t="s">
        <v>42</v>
      </c>
      <c r="R210" s="36"/>
      <c r="S210" s="28" t="s">
        <v>384</v>
      </c>
      <c r="T210" s="46" t="s">
        <v>491</v>
      </c>
      <c r="U210" s="46">
        <v>33020300401</v>
      </c>
      <c r="V210" s="48" t="s">
        <v>492</v>
      </c>
      <c r="W210" s="46"/>
      <c r="X210" s="46"/>
      <c r="Y210" s="46" t="s">
        <v>40</v>
      </c>
      <c r="Z210" s="30" t="s">
        <v>43</v>
      </c>
      <c r="AA210" s="52">
        <v>12870</v>
      </c>
      <c r="AB210" s="51">
        <v>10815</v>
      </c>
      <c r="AC210" s="57">
        <v>9920</v>
      </c>
      <c r="AD210" s="57">
        <v>8930</v>
      </c>
      <c r="AE210" s="57">
        <v>7590</v>
      </c>
      <c r="AF210" s="58">
        <f t="shared" si="15"/>
        <v>12</v>
      </c>
      <c r="AG210" s="58" t="str">
        <f t="shared" si="16"/>
        <v>颅内病变切除费（复杂）</v>
      </c>
      <c r="AH210" s="58">
        <f t="shared" si="17"/>
        <v>10775</v>
      </c>
      <c r="AI210" s="58">
        <f t="shared" si="18"/>
        <v>9615</v>
      </c>
      <c r="AJ210" s="58">
        <f t="shared" si="19"/>
        <v>8125</v>
      </c>
    </row>
    <row r="211" s="17" customFormat="1" customHeight="1" spans="1:36">
      <c r="A211" s="27" t="s">
        <v>70</v>
      </c>
      <c r="B211" s="28" t="s">
        <v>923</v>
      </c>
      <c r="C211" s="28" t="s">
        <v>924</v>
      </c>
      <c r="D211" s="28" t="s">
        <v>378</v>
      </c>
      <c r="E211" s="28"/>
      <c r="F211" s="28"/>
      <c r="G211" s="28" t="s">
        <v>40</v>
      </c>
      <c r="H211" s="31"/>
      <c r="I211" s="34">
        <v>2601</v>
      </c>
      <c r="J211" s="34">
        <v>2341</v>
      </c>
      <c r="K211" s="36"/>
      <c r="L211" s="36"/>
      <c r="M211" s="36"/>
      <c r="N211" s="40">
        <v>2485</v>
      </c>
      <c r="O211" s="40">
        <v>2220</v>
      </c>
      <c r="P211" s="40">
        <v>1875</v>
      </c>
      <c r="Q211" s="28" t="s">
        <v>42</v>
      </c>
      <c r="R211" s="36"/>
      <c r="S211" s="28" t="s">
        <v>384</v>
      </c>
      <c r="T211" s="30" t="s">
        <v>493</v>
      </c>
      <c r="U211" s="30">
        <v>33020300301</v>
      </c>
      <c r="V211" s="30" t="s">
        <v>494</v>
      </c>
      <c r="W211" s="30"/>
      <c r="X211" s="30"/>
      <c r="Y211" s="30" t="s">
        <v>40</v>
      </c>
      <c r="Z211" s="30" t="s">
        <v>43</v>
      </c>
      <c r="AA211" s="51">
        <v>6240</v>
      </c>
      <c r="AB211" s="51">
        <v>5615</v>
      </c>
      <c r="AC211" s="57">
        <v>5485</v>
      </c>
      <c r="AD211" s="57">
        <v>4940</v>
      </c>
      <c r="AE211" s="57">
        <v>4200</v>
      </c>
      <c r="AF211" s="58">
        <f t="shared" si="15"/>
        <v>12</v>
      </c>
      <c r="AG211" s="58" t="str">
        <f t="shared" si="16"/>
        <v>颅内病变切除费（复杂）</v>
      </c>
      <c r="AH211" s="58">
        <f t="shared" si="17"/>
        <v>10775</v>
      </c>
      <c r="AI211" s="58">
        <f t="shared" si="18"/>
        <v>9615</v>
      </c>
      <c r="AJ211" s="58">
        <f t="shared" si="19"/>
        <v>8125</v>
      </c>
    </row>
    <row r="212" s="17" customFormat="1" ht="41" customHeight="1" spans="1:36">
      <c r="A212" s="27">
        <v>48</v>
      </c>
      <c r="B212" s="28" t="s">
        <v>939</v>
      </c>
      <c r="C212" s="28" t="s">
        <v>940</v>
      </c>
      <c r="D212" s="28" t="s">
        <v>378</v>
      </c>
      <c r="E212" s="28" t="s">
        <v>941</v>
      </c>
      <c r="F212" s="28" t="s">
        <v>750</v>
      </c>
      <c r="G212" s="28" t="s">
        <v>40</v>
      </c>
      <c r="H212" s="28" t="s">
        <v>146</v>
      </c>
      <c r="I212" s="34">
        <v>5000</v>
      </c>
      <c r="J212" s="34">
        <v>4500</v>
      </c>
      <c r="K212" s="36"/>
      <c r="L212" s="36"/>
      <c r="M212" s="36"/>
      <c r="N212" s="40">
        <v>4700</v>
      </c>
      <c r="O212" s="40">
        <v>4350</v>
      </c>
      <c r="P212" s="40">
        <v>3700</v>
      </c>
      <c r="Q212" s="28" t="s">
        <v>42</v>
      </c>
      <c r="R212" s="38" t="s">
        <v>280</v>
      </c>
      <c r="S212" s="28" t="s">
        <v>942</v>
      </c>
      <c r="T212" s="30" t="s">
        <v>943</v>
      </c>
      <c r="U212" s="30">
        <v>330201054</v>
      </c>
      <c r="V212" s="30" t="s">
        <v>944</v>
      </c>
      <c r="W212" s="30"/>
      <c r="X212" s="30"/>
      <c r="Y212" s="30" t="s">
        <v>40</v>
      </c>
      <c r="Z212" s="30" t="s">
        <v>43</v>
      </c>
      <c r="AA212" s="51">
        <v>4800</v>
      </c>
      <c r="AB212" s="51">
        <v>4320</v>
      </c>
      <c r="AC212" s="57">
        <v>4220</v>
      </c>
      <c r="AD212" s="57">
        <v>3800</v>
      </c>
      <c r="AE212" s="57">
        <v>3230</v>
      </c>
      <c r="AF212" s="58">
        <f t="shared" si="15"/>
        <v>0</v>
      </c>
      <c r="AG212" s="58" t="str">
        <f t="shared" si="16"/>
        <v>颅底病变切除费（常规）</v>
      </c>
      <c r="AH212" s="58">
        <f t="shared" si="17"/>
        <v>4700</v>
      </c>
      <c r="AI212" s="58">
        <f t="shared" si="18"/>
        <v>4350</v>
      </c>
      <c r="AJ212" s="58">
        <f t="shared" si="19"/>
        <v>3700</v>
      </c>
    </row>
    <row r="213" s="17" customFormat="1" ht="41" customHeight="1" spans="1:36">
      <c r="A213" s="27">
        <v>48</v>
      </c>
      <c r="B213" s="28" t="s">
        <v>939</v>
      </c>
      <c r="C213" s="28" t="s">
        <v>940</v>
      </c>
      <c r="D213" s="28" t="s">
        <v>378</v>
      </c>
      <c r="E213" s="28" t="s">
        <v>941</v>
      </c>
      <c r="F213" s="28" t="s">
        <v>750</v>
      </c>
      <c r="G213" s="28" t="s">
        <v>40</v>
      </c>
      <c r="H213" s="28" t="s">
        <v>146</v>
      </c>
      <c r="I213" s="34">
        <v>5000</v>
      </c>
      <c r="J213" s="34">
        <v>4500</v>
      </c>
      <c r="K213" s="36"/>
      <c r="L213" s="36"/>
      <c r="M213" s="36"/>
      <c r="N213" s="40">
        <v>4700</v>
      </c>
      <c r="O213" s="40">
        <v>4350</v>
      </c>
      <c r="P213" s="40">
        <v>3700</v>
      </c>
      <c r="Q213" s="28" t="s">
        <v>42</v>
      </c>
      <c r="R213" s="38" t="s">
        <v>280</v>
      </c>
      <c r="S213" s="28" t="s">
        <v>942</v>
      </c>
      <c r="T213" s="30" t="s">
        <v>945</v>
      </c>
      <c r="U213" s="30">
        <v>330201056</v>
      </c>
      <c r="V213" s="30" t="s">
        <v>946</v>
      </c>
      <c r="W213" s="30"/>
      <c r="X213" s="30" t="s">
        <v>947</v>
      </c>
      <c r="Y213" s="30" t="s">
        <v>40</v>
      </c>
      <c r="Z213" s="30" t="s">
        <v>43</v>
      </c>
      <c r="AA213" s="51">
        <v>4030</v>
      </c>
      <c r="AB213" s="51">
        <v>3620</v>
      </c>
      <c r="AC213" s="57">
        <v>3540</v>
      </c>
      <c r="AD213" s="57">
        <v>3190</v>
      </c>
      <c r="AE213" s="57">
        <v>2710</v>
      </c>
      <c r="AF213" s="58">
        <f t="shared" si="15"/>
        <v>0</v>
      </c>
      <c r="AG213" s="58" t="str">
        <f t="shared" si="16"/>
        <v>颅底病变切除费（常规）</v>
      </c>
      <c r="AH213" s="58">
        <f t="shared" si="17"/>
        <v>4700</v>
      </c>
      <c r="AI213" s="58">
        <f t="shared" si="18"/>
        <v>4350</v>
      </c>
      <c r="AJ213" s="58">
        <f t="shared" si="19"/>
        <v>3700</v>
      </c>
    </row>
    <row r="214" s="17" customFormat="1" ht="27" customHeight="1" spans="1:36">
      <c r="A214" s="27" t="s">
        <v>70</v>
      </c>
      <c r="B214" s="28" t="s">
        <v>948</v>
      </c>
      <c r="C214" s="28" t="s">
        <v>949</v>
      </c>
      <c r="D214" s="28" t="s">
        <v>378</v>
      </c>
      <c r="E214" s="28"/>
      <c r="F214" s="28"/>
      <c r="G214" s="28" t="s">
        <v>40</v>
      </c>
      <c r="H214" s="28"/>
      <c r="I214" s="34">
        <v>1500</v>
      </c>
      <c r="J214" s="34">
        <v>1350</v>
      </c>
      <c r="K214" s="36"/>
      <c r="L214" s="36"/>
      <c r="M214" s="36"/>
      <c r="N214" s="40">
        <v>1410</v>
      </c>
      <c r="O214" s="40">
        <v>1305</v>
      </c>
      <c r="P214" s="40">
        <v>1110</v>
      </c>
      <c r="Q214" s="28" t="s">
        <v>42</v>
      </c>
      <c r="R214" s="36"/>
      <c r="S214" s="28" t="s">
        <v>384</v>
      </c>
      <c r="T214" s="46" t="s">
        <v>950</v>
      </c>
      <c r="U214" s="46">
        <v>33020105401</v>
      </c>
      <c r="V214" s="48" t="s">
        <v>951</v>
      </c>
      <c r="W214" s="46"/>
      <c r="X214" s="46"/>
      <c r="Y214" s="46" t="s">
        <v>40</v>
      </c>
      <c r="Z214" s="30" t="s">
        <v>43</v>
      </c>
      <c r="AA214" s="52">
        <v>6240</v>
      </c>
      <c r="AB214" s="51">
        <v>5615</v>
      </c>
      <c r="AC214" s="57">
        <v>5485</v>
      </c>
      <c r="AD214" s="57">
        <v>4940</v>
      </c>
      <c r="AE214" s="57">
        <v>4200</v>
      </c>
      <c r="AF214" s="58">
        <f t="shared" si="15"/>
        <v>12</v>
      </c>
      <c r="AG214" s="58" t="str">
        <f t="shared" si="16"/>
        <v>颅底病变切除费（常规）</v>
      </c>
      <c r="AH214" s="58">
        <f t="shared" si="17"/>
        <v>6110</v>
      </c>
      <c r="AI214" s="58">
        <f t="shared" si="18"/>
        <v>5655</v>
      </c>
      <c r="AJ214" s="58">
        <f t="shared" si="19"/>
        <v>4810</v>
      </c>
    </row>
    <row r="215" s="17" customFormat="1" ht="27" customHeight="1" spans="1:36">
      <c r="A215" s="27" t="s">
        <v>70</v>
      </c>
      <c r="B215" s="28" t="s">
        <v>948</v>
      </c>
      <c r="C215" s="28" t="s">
        <v>949</v>
      </c>
      <c r="D215" s="28" t="s">
        <v>378</v>
      </c>
      <c r="E215" s="28"/>
      <c r="F215" s="28"/>
      <c r="G215" s="28" t="s">
        <v>40</v>
      </c>
      <c r="H215" s="28"/>
      <c r="I215" s="34">
        <v>1500</v>
      </c>
      <c r="J215" s="34">
        <v>1350</v>
      </c>
      <c r="K215" s="36"/>
      <c r="L215" s="36"/>
      <c r="M215" s="36"/>
      <c r="N215" s="40">
        <v>1410</v>
      </c>
      <c r="O215" s="40">
        <v>1305</v>
      </c>
      <c r="P215" s="40">
        <v>1110</v>
      </c>
      <c r="Q215" s="28" t="s">
        <v>42</v>
      </c>
      <c r="R215" s="36"/>
      <c r="S215" s="28" t="s">
        <v>384</v>
      </c>
      <c r="T215" s="46" t="s">
        <v>952</v>
      </c>
      <c r="U215" s="46">
        <v>33020105601</v>
      </c>
      <c r="V215" s="48" t="s">
        <v>953</v>
      </c>
      <c r="W215" s="46"/>
      <c r="X215" s="46"/>
      <c r="Y215" s="46" t="s">
        <v>40</v>
      </c>
      <c r="Z215" s="30" t="s">
        <v>43</v>
      </c>
      <c r="AA215" s="52">
        <v>5240</v>
      </c>
      <c r="AB215" s="51">
        <v>4705</v>
      </c>
      <c r="AC215" s="57">
        <v>4600</v>
      </c>
      <c r="AD215" s="57">
        <v>4145</v>
      </c>
      <c r="AE215" s="57">
        <v>3525</v>
      </c>
      <c r="AF215" s="58">
        <f t="shared" si="15"/>
        <v>12</v>
      </c>
      <c r="AG215" s="58" t="str">
        <f t="shared" si="16"/>
        <v>颅底病变切除费（常规）</v>
      </c>
      <c r="AH215" s="58">
        <f t="shared" si="17"/>
        <v>6110</v>
      </c>
      <c r="AI215" s="58">
        <f t="shared" si="18"/>
        <v>5655</v>
      </c>
      <c r="AJ215" s="58">
        <f t="shared" si="19"/>
        <v>4810</v>
      </c>
    </row>
    <row r="216" s="17" customFormat="1" ht="25" customHeight="1" spans="1:36">
      <c r="A216" s="27">
        <v>49</v>
      </c>
      <c r="B216" s="28" t="s">
        <v>954</v>
      </c>
      <c r="C216" s="28" t="s">
        <v>955</v>
      </c>
      <c r="D216" s="28" t="s">
        <v>378</v>
      </c>
      <c r="E216" s="28" t="s">
        <v>956</v>
      </c>
      <c r="F216" s="28" t="s">
        <v>750</v>
      </c>
      <c r="G216" s="28" t="s">
        <v>40</v>
      </c>
      <c r="H216" s="28" t="s">
        <v>957</v>
      </c>
      <c r="I216" s="34">
        <v>9500</v>
      </c>
      <c r="J216" s="34">
        <v>8550</v>
      </c>
      <c r="K216" s="35">
        <v>8302.53012048193</v>
      </c>
      <c r="L216" s="35">
        <v>8028.57142857143</v>
      </c>
      <c r="M216" s="38" t="e">
        <v>#DIV/0!</v>
      </c>
      <c r="N216" s="40">
        <v>8930</v>
      </c>
      <c r="O216" s="40">
        <v>8265</v>
      </c>
      <c r="P216" s="40">
        <v>7030</v>
      </c>
      <c r="Q216" s="28" t="s">
        <v>42</v>
      </c>
      <c r="R216" s="38" t="s">
        <v>113</v>
      </c>
      <c r="S216" s="28" t="s">
        <v>958</v>
      </c>
      <c r="T216" s="30" t="s">
        <v>959</v>
      </c>
      <c r="U216" s="30">
        <v>330201027</v>
      </c>
      <c r="V216" s="30" t="s">
        <v>960</v>
      </c>
      <c r="W216" s="30" t="s">
        <v>961</v>
      </c>
      <c r="X216" s="30"/>
      <c r="Y216" s="30" t="s">
        <v>40</v>
      </c>
      <c r="Z216" s="30" t="s">
        <v>43</v>
      </c>
      <c r="AA216" s="51">
        <v>8400</v>
      </c>
      <c r="AB216" s="51">
        <v>7060</v>
      </c>
      <c r="AC216" s="57">
        <v>8000</v>
      </c>
      <c r="AD216" s="57">
        <v>7600</v>
      </c>
      <c r="AE216" s="57">
        <v>6050</v>
      </c>
      <c r="AF216" s="58">
        <f t="shared" si="15"/>
        <v>0</v>
      </c>
      <c r="AG216" s="58" t="str">
        <f t="shared" si="16"/>
        <v>颅底病变切除费（复杂）</v>
      </c>
      <c r="AH216" s="58">
        <f t="shared" si="17"/>
        <v>8930</v>
      </c>
      <c r="AI216" s="58">
        <f t="shared" si="18"/>
        <v>8265</v>
      </c>
      <c r="AJ216" s="58">
        <f t="shared" si="19"/>
        <v>7030</v>
      </c>
    </row>
    <row r="217" s="17" customFormat="1" ht="25" customHeight="1" spans="1:36">
      <c r="A217" s="27">
        <v>49</v>
      </c>
      <c r="B217" s="28" t="s">
        <v>954</v>
      </c>
      <c r="C217" s="28" t="s">
        <v>955</v>
      </c>
      <c r="D217" s="28" t="s">
        <v>378</v>
      </c>
      <c r="E217" s="28" t="s">
        <v>956</v>
      </c>
      <c r="F217" s="28" t="s">
        <v>750</v>
      </c>
      <c r="G217" s="28" t="s">
        <v>40</v>
      </c>
      <c r="H217" s="28" t="s">
        <v>957</v>
      </c>
      <c r="I217" s="34">
        <v>9500</v>
      </c>
      <c r="J217" s="34">
        <v>8550</v>
      </c>
      <c r="K217" s="35">
        <v>8302.53012048193</v>
      </c>
      <c r="L217" s="35">
        <v>8028.57142857143</v>
      </c>
      <c r="M217" s="38" t="e">
        <v>#DIV/0!</v>
      </c>
      <c r="N217" s="40">
        <v>8930</v>
      </c>
      <c r="O217" s="40">
        <v>8265</v>
      </c>
      <c r="P217" s="40">
        <v>7030</v>
      </c>
      <c r="Q217" s="28" t="s">
        <v>42</v>
      </c>
      <c r="R217" s="38" t="s">
        <v>113</v>
      </c>
      <c r="S217" s="28" t="s">
        <v>958</v>
      </c>
      <c r="T217" s="30" t="s">
        <v>962</v>
      </c>
      <c r="U217" s="30">
        <v>330201040</v>
      </c>
      <c r="V217" s="30" t="s">
        <v>963</v>
      </c>
      <c r="W217" s="30" t="s">
        <v>964</v>
      </c>
      <c r="X217" s="30"/>
      <c r="Y217" s="30" t="s">
        <v>40</v>
      </c>
      <c r="Z217" s="30" t="s">
        <v>43</v>
      </c>
      <c r="AA217" s="51">
        <v>9900</v>
      </c>
      <c r="AB217" s="51">
        <v>8320</v>
      </c>
      <c r="AC217" s="57">
        <v>7630</v>
      </c>
      <c r="AD217" s="57">
        <v>6870</v>
      </c>
      <c r="AE217" s="57">
        <v>5840</v>
      </c>
      <c r="AF217" s="58">
        <f t="shared" si="15"/>
        <v>0</v>
      </c>
      <c r="AG217" s="58" t="str">
        <f t="shared" si="16"/>
        <v>颅底病变切除费（复杂）</v>
      </c>
      <c r="AH217" s="58">
        <f t="shared" si="17"/>
        <v>8930</v>
      </c>
      <c r="AI217" s="58">
        <f t="shared" si="18"/>
        <v>8265</v>
      </c>
      <c r="AJ217" s="58">
        <f t="shared" si="19"/>
        <v>7030</v>
      </c>
    </row>
    <row r="218" s="17" customFormat="1" ht="25" customHeight="1" spans="1:36">
      <c r="A218" s="27">
        <v>49</v>
      </c>
      <c r="B218" s="28" t="s">
        <v>954</v>
      </c>
      <c r="C218" s="28" t="s">
        <v>955</v>
      </c>
      <c r="D218" s="28" t="s">
        <v>378</v>
      </c>
      <c r="E218" s="28" t="s">
        <v>956</v>
      </c>
      <c r="F218" s="28" t="s">
        <v>750</v>
      </c>
      <c r="G218" s="28" t="s">
        <v>40</v>
      </c>
      <c r="H218" s="28" t="s">
        <v>957</v>
      </c>
      <c r="I218" s="34">
        <v>9500</v>
      </c>
      <c r="J218" s="34">
        <v>8550</v>
      </c>
      <c r="K218" s="35">
        <v>8302.53012048193</v>
      </c>
      <c r="L218" s="35">
        <v>8028.57142857143</v>
      </c>
      <c r="M218" s="38" t="e">
        <v>#DIV/0!</v>
      </c>
      <c r="N218" s="40">
        <v>8930</v>
      </c>
      <c r="O218" s="40">
        <v>8265</v>
      </c>
      <c r="P218" s="40">
        <v>7030</v>
      </c>
      <c r="Q218" s="28" t="s">
        <v>42</v>
      </c>
      <c r="R218" s="38" t="s">
        <v>113</v>
      </c>
      <c r="S218" s="28" t="s">
        <v>958</v>
      </c>
      <c r="T218" s="30" t="s">
        <v>965</v>
      </c>
      <c r="U218" s="30">
        <v>33020104001</v>
      </c>
      <c r="V218" s="30" t="s">
        <v>966</v>
      </c>
      <c r="W218" s="30"/>
      <c r="X218" s="30"/>
      <c r="Y218" s="30" t="s">
        <v>40</v>
      </c>
      <c r="Z218" s="30" t="s">
        <v>967</v>
      </c>
      <c r="AA218" s="51">
        <v>9900</v>
      </c>
      <c r="AB218" s="51">
        <v>8320</v>
      </c>
      <c r="AC218" s="57">
        <v>7630</v>
      </c>
      <c r="AD218" s="57">
        <v>6870</v>
      </c>
      <c r="AE218" s="57">
        <v>5840</v>
      </c>
      <c r="AF218" s="58">
        <f t="shared" si="15"/>
        <v>0</v>
      </c>
      <c r="AG218" s="58" t="str">
        <f t="shared" si="16"/>
        <v>颅底病变切除费（复杂）</v>
      </c>
      <c r="AH218" s="58">
        <f t="shared" si="17"/>
        <v>8930</v>
      </c>
      <c r="AI218" s="58">
        <f t="shared" si="18"/>
        <v>8265</v>
      </c>
      <c r="AJ218" s="58">
        <f t="shared" si="19"/>
        <v>7030</v>
      </c>
    </row>
    <row r="219" s="17" customFormat="1" ht="25" customHeight="1" spans="1:36">
      <c r="A219" s="27">
        <v>49</v>
      </c>
      <c r="B219" s="28" t="s">
        <v>954</v>
      </c>
      <c r="C219" s="28" t="s">
        <v>955</v>
      </c>
      <c r="D219" s="28" t="s">
        <v>378</v>
      </c>
      <c r="E219" s="28" t="s">
        <v>956</v>
      </c>
      <c r="F219" s="28" t="s">
        <v>750</v>
      </c>
      <c r="G219" s="28" t="s">
        <v>40</v>
      </c>
      <c r="H219" s="28" t="s">
        <v>957</v>
      </c>
      <c r="I219" s="34">
        <v>9500</v>
      </c>
      <c r="J219" s="34">
        <v>8550</v>
      </c>
      <c r="K219" s="35">
        <v>8302.53012048193</v>
      </c>
      <c r="L219" s="35">
        <v>8028.57142857143</v>
      </c>
      <c r="M219" s="38" t="e">
        <v>#DIV/0!</v>
      </c>
      <c r="N219" s="40">
        <v>8930</v>
      </c>
      <c r="O219" s="40">
        <v>8265</v>
      </c>
      <c r="P219" s="40">
        <v>7030</v>
      </c>
      <c r="Q219" s="28" t="s">
        <v>42</v>
      </c>
      <c r="R219" s="38" t="s">
        <v>113</v>
      </c>
      <c r="S219" s="28" t="s">
        <v>958</v>
      </c>
      <c r="T219" s="30" t="s">
        <v>968</v>
      </c>
      <c r="U219" s="30">
        <v>33020104101</v>
      </c>
      <c r="V219" s="30" t="s">
        <v>969</v>
      </c>
      <c r="W219" s="30"/>
      <c r="X219" s="30"/>
      <c r="Y219" s="30" t="s">
        <v>40</v>
      </c>
      <c r="Z219" s="30" t="s">
        <v>970</v>
      </c>
      <c r="AA219" s="51">
        <v>9000</v>
      </c>
      <c r="AB219" s="51">
        <v>7560</v>
      </c>
      <c r="AC219" s="57">
        <v>8550</v>
      </c>
      <c r="AD219" s="57">
        <v>8100</v>
      </c>
      <c r="AE219" s="57">
        <v>6500</v>
      </c>
      <c r="AF219" s="58">
        <f t="shared" si="15"/>
        <v>0</v>
      </c>
      <c r="AG219" s="58" t="str">
        <f t="shared" si="16"/>
        <v>颅底病变切除费（复杂）</v>
      </c>
      <c r="AH219" s="58">
        <f t="shared" si="17"/>
        <v>8930</v>
      </c>
      <c r="AI219" s="58">
        <f t="shared" si="18"/>
        <v>8265</v>
      </c>
      <c r="AJ219" s="58">
        <f t="shared" si="19"/>
        <v>7030</v>
      </c>
    </row>
    <row r="220" s="17" customFormat="1" ht="25" customHeight="1" spans="1:36">
      <c r="A220" s="27">
        <v>49</v>
      </c>
      <c r="B220" s="28" t="s">
        <v>954</v>
      </c>
      <c r="C220" s="28" t="s">
        <v>955</v>
      </c>
      <c r="D220" s="28" t="s">
        <v>378</v>
      </c>
      <c r="E220" s="28" t="s">
        <v>956</v>
      </c>
      <c r="F220" s="28" t="s">
        <v>750</v>
      </c>
      <c r="G220" s="28" t="s">
        <v>40</v>
      </c>
      <c r="H220" s="28" t="s">
        <v>957</v>
      </c>
      <c r="I220" s="34">
        <v>9500</v>
      </c>
      <c r="J220" s="34">
        <v>8550</v>
      </c>
      <c r="K220" s="35">
        <v>8302.53012048193</v>
      </c>
      <c r="L220" s="35">
        <v>8028.57142857143</v>
      </c>
      <c r="M220" s="38" t="e">
        <v>#DIV/0!</v>
      </c>
      <c r="N220" s="40">
        <v>8930</v>
      </c>
      <c r="O220" s="40">
        <v>8265</v>
      </c>
      <c r="P220" s="40">
        <v>7030</v>
      </c>
      <c r="Q220" s="28" t="s">
        <v>42</v>
      </c>
      <c r="R220" s="38" t="s">
        <v>113</v>
      </c>
      <c r="S220" s="28" t="s">
        <v>958</v>
      </c>
      <c r="T220" s="30" t="s">
        <v>971</v>
      </c>
      <c r="U220" s="30">
        <v>330201041</v>
      </c>
      <c r="V220" s="30" t="s">
        <v>972</v>
      </c>
      <c r="W220" s="30" t="s">
        <v>973</v>
      </c>
      <c r="X220" s="30"/>
      <c r="Y220" s="30" t="s">
        <v>40</v>
      </c>
      <c r="Z220" s="30" t="s">
        <v>974</v>
      </c>
      <c r="AA220" s="51">
        <v>9000</v>
      </c>
      <c r="AB220" s="51">
        <v>7560</v>
      </c>
      <c r="AC220" s="57">
        <v>8550</v>
      </c>
      <c r="AD220" s="57">
        <v>8100</v>
      </c>
      <c r="AE220" s="57">
        <v>6500</v>
      </c>
      <c r="AF220" s="58">
        <f t="shared" si="15"/>
        <v>0</v>
      </c>
      <c r="AG220" s="58" t="str">
        <f t="shared" si="16"/>
        <v>颅底病变切除费（复杂）</v>
      </c>
      <c r="AH220" s="58">
        <f t="shared" si="17"/>
        <v>8930</v>
      </c>
      <c r="AI220" s="58">
        <f t="shared" si="18"/>
        <v>8265</v>
      </c>
      <c r="AJ220" s="58">
        <f t="shared" si="19"/>
        <v>7030</v>
      </c>
    </row>
    <row r="221" s="17" customFormat="1" ht="25" customHeight="1" spans="1:36">
      <c r="A221" s="27" t="s">
        <v>70</v>
      </c>
      <c r="B221" s="28" t="s">
        <v>975</v>
      </c>
      <c r="C221" s="28" t="s">
        <v>976</v>
      </c>
      <c r="D221" s="28" t="s">
        <v>378</v>
      </c>
      <c r="E221" s="28"/>
      <c r="F221" s="28"/>
      <c r="G221" s="28" t="s">
        <v>40</v>
      </c>
      <c r="H221" s="28"/>
      <c r="I221" s="34">
        <v>2850</v>
      </c>
      <c r="J221" s="34">
        <v>2565</v>
      </c>
      <c r="K221" s="36"/>
      <c r="L221" s="36"/>
      <c r="M221" s="36"/>
      <c r="N221" s="40">
        <v>2680</v>
      </c>
      <c r="O221" s="40">
        <v>2480</v>
      </c>
      <c r="P221" s="40">
        <v>2110</v>
      </c>
      <c r="Q221" s="28" t="s">
        <v>42</v>
      </c>
      <c r="R221" s="36"/>
      <c r="S221" s="28" t="s">
        <v>384</v>
      </c>
      <c r="T221" s="30" t="s">
        <v>977</v>
      </c>
      <c r="U221" s="30">
        <v>33020102701</v>
      </c>
      <c r="V221" s="30" t="s">
        <v>978</v>
      </c>
      <c r="W221" s="30"/>
      <c r="X221" s="30"/>
      <c r="Y221" s="30" t="s">
        <v>40</v>
      </c>
      <c r="Z221" s="30" t="s">
        <v>43</v>
      </c>
      <c r="AA221" s="51">
        <v>10920</v>
      </c>
      <c r="AB221" s="51">
        <v>9180</v>
      </c>
      <c r="AC221" s="57">
        <v>10400</v>
      </c>
      <c r="AD221" s="57">
        <v>9880</v>
      </c>
      <c r="AE221" s="57">
        <v>7865</v>
      </c>
      <c r="AF221" s="58">
        <f t="shared" si="15"/>
        <v>12</v>
      </c>
      <c r="AG221" s="58" t="str">
        <f t="shared" si="16"/>
        <v>颅底病变切除费（复杂）</v>
      </c>
      <c r="AH221" s="58">
        <f t="shared" si="17"/>
        <v>11610</v>
      </c>
      <c r="AI221" s="58">
        <f t="shared" si="18"/>
        <v>10745</v>
      </c>
      <c r="AJ221" s="58">
        <f t="shared" si="19"/>
        <v>9140</v>
      </c>
    </row>
    <row r="222" s="17" customFormat="1" ht="25" customHeight="1" spans="1:36">
      <c r="A222" s="27" t="s">
        <v>70</v>
      </c>
      <c r="B222" s="28" t="s">
        <v>975</v>
      </c>
      <c r="C222" s="28" t="s">
        <v>976</v>
      </c>
      <c r="D222" s="28" t="s">
        <v>378</v>
      </c>
      <c r="E222" s="28"/>
      <c r="F222" s="28"/>
      <c r="G222" s="28" t="s">
        <v>40</v>
      </c>
      <c r="H222" s="28"/>
      <c r="I222" s="34">
        <v>2850</v>
      </c>
      <c r="J222" s="34">
        <v>2565</v>
      </c>
      <c r="K222" s="36"/>
      <c r="L222" s="36"/>
      <c r="M222" s="36"/>
      <c r="N222" s="40">
        <v>2680</v>
      </c>
      <c r="O222" s="40">
        <v>2480</v>
      </c>
      <c r="P222" s="40">
        <v>2110</v>
      </c>
      <c r="Q222" s="28" t="s">
        <v>42</v>
      </c>
      <c r="R222" s="36"/>
      <c r="S222" s="28" t="s">
        <v>384</v>
      </c>
      <c r="T222" s="46" t="s">
        <v>979</v>
      </c>
      <c r="U222" s="46">
        <v>33020104002</v>
      </c>
      <c r="V222" s="48" t="s">
        <v>980</v>
      </c>
      <c r="W222" s="46"/>
      <c r="X222" s="46"/>
      <c r="Y222" s="46" t="s">
        <v>40</v>
      </c>
      <c r="Z222" s="30" t="s">
        <v>43</v>
      </c>
      <c r="AA222" s="52">
        <v>12870</v>
      </c>
      <c r="AB222" s="51">
        <v>10815</v>
      </c>
      <c r="AC222" s="57">
        <v>9920</v>
      </c>
      <c r="AD222" s="57">
        <v>8930</v>
      </c>
      <c r="AE222" s="57">
        <v>7590</v>
      </c>
      <c r="AF222" s="58">
        <f t="shared" si="15"/>
        <v>12</v>
      </c>
      <c r="AG222" s="58" t="str">
        <f t="shared" si="16"/>
        <v>颅底病变切除费（复杂）</v>
      </c>
      <c r="AH222" s="58">
        <f t="shared" si="17"/>
        <v>11610</v>
      </c>
      <c r="AI222" s="58">
        <f t="shared" si="18"/>
        <v>10745</v>
      </c>
      <c r="AJ222" s="58">
        <f t="shared" si="19"/>
        <v>9140</v>
      </c>
    </row>
    <row r="223" s="17" customFormat="1" ht="25" customHeight="1" spans="1:36">
      <c r="A223" s="27" t="s">
        <v>70</v>
      </c>
      <c r="B223" s="28" t="s">
        <v>975</v>
      </c>
      <c r="C223" s="28" t="s">
        <v>976</v>
      </c>
      <c r="D223" s="28" t="s">
        <v>378</v>
      </c>
      <c r="E223" s="28"/>
      <c r="F223" s="28"/>
      <c r="G223" s="28" t="s">
        <v>40</v>
      </c>
      <c r="H223" s="28"/>
      <c r="I223" s="34">
        <v>2850</v>
      </c>
      <c r="J223" s="34">
        <v>2565</v>
      </c>
      <c r="K223" s="36"/>
      <c r="L223" s="36"/>
      <c r="M223" s="36"/>
      <c r="N223" s="40">
        <v>2680</v>
      </c>
      <c r="O223" s="40">
        <v>2480</v>
      </c>
      <c r="P223" s="40">
        <v>2110</v>
      </c>
      <c r="Q223" s="28" t="s">
        <v>42</v>
      </c>
      <c r="R223" s="36"/>
      <c r="S223" s="28" t="s">
        <v>384</v>
      </c>
      <c r="T223" s="30" t="s">
        <v>981</v>
      </c>
      <c r="U223" s="30">
        <v>33020104102</v>
      </c>
      <c r="V223" s="30" t="s">
        <v>982</v>
      </c>
      <c r="W223" s="30"/>
      <c r="X223" s="30"/>
      <c r="Y223" s="30" t="s">
        <v>40</v>
      </c>
      <c r="Z223" s="30" t="s">
        <v>43</v>
      </c>
      <c r="AA223" s="51">
        <v>11700</v>
      </c>
      <c r="AB223" s="51">
        <v>9830</v>
      </c>
      <c r="AC223" s="57">
        <v>11115</v>
      </c>
      <c r="AD223" s="57">
        <v>10530</v>
      </c>
      <c r="AE223" s="57">
        <v>8450</v>
      </c>
      <c r="AF223" s="58">
        <f t="shared" si="15"/>
        <v>12</v>
      </c>
      <c r="AG223" s="58" t="str">
        <f t="shared" si="16"/>
        <v>颅底病变切除费（复杂）</v>
      </c>
      <c r="AH223" s="58">
        <f t="shared" si="17"/>
        <v>11610</v>
      </c>
      <c r="AI223" s="58">
        <f t="shared" si="18"/>
        <v>10745</v>
      </c>
      <c r="AJ223" s="58">
        <f t="shared" si="19"/>
        <v>9140</v>
      </c>
    </row>
    <row r="224" s="17" customFormat="1" ht="81" customHeight="1" spans="1:36">
      <c r="A224" s="29">
        <v>50</v>
      </c>
      <c r="B224" s="30" t="s">
        <v>983</v>
      </c>
      <c r="C224" s="30" t="s">
        <v>984</v>
      </c>
      <c r="D224" s="30" t="s">
        <v>378</v>
      </c>
      <c r="E224" s="31" t="s">
        <v>985</v>
      </c>
      <c r="F224" s="31" t="s">
        <v>986</v>
      </c>
      <c r="G224" s="30" t="s">
        <v>40</v>
      </c>
      <c r="H224" s="31" t="s">
        <v>987</v>
      </c>
      <c r="I224" s="37">
        <v>1000</v>
      </c>
      <c r="J224" s="37">
        <v>900</v>
      </c>
      <c r="K224" s="36">
        <v>750</v>
      </c>
      <c r="L224" s="36">
        <v>720</v>
      </c>
      <c r="M224" s="36">
        <v>612</v>
      </c>
      <c r="N224" s="41">
        <v>900</v>
      </c>
      <c r="O224" s="41">
        <v>850</v>
      </c>
      <c r="P224" s="41">
        <v>730</v>
      </c>
      <c r="Q224" s="30" t="s">
        <v>42</v>
      </c>
      <c r="R224" s="36" t="s">
        <v>687</v>
      </c>
      <c r="S224" s="31" t="s">
        <v>988</v>
      </c>
      <c r="T224" s="30" t="s">
        <v>989</v>
      </c>
      <c r="U224" s="30">
        <v>330201002</v>
      </c>
      <c r="V224" s="30" t="s">
        <v>990</v>
      </c>
      <c r="W224" s="30"/>
      <c r="X224" s="30" t="s">
        <v>991</v>
      </c>
      <c r="Y224" s="30" t="s">
        <v>40</v>
      </c>
      <c r="Z224" s="30" t="s">
        <v>43</v>
      </c>
      <c r="AA224" s="51">
        <v>750</v>
      </c>
      <c r="AB224" s="51">
        <v>675</v>
      </c>
      <c r="AC224" s="57">
        <v>750</v>
      </c>
      <c r="AD224" s="57">
        <v>720</v>
      </c>
      <c r="AE224" s="57">
        <v>612</v>
      </c>
      <c r="AF224" s="58">
        <f t="shared" si="15"/>
        <v>0</v>
      </c>
      <c r="AG224" s="58" t="str">
        <f t="shared" si="16"/>
        <v>颅骨病变切除费</v>
      </c>
      <c r="AH224" s="58">
        <f t="shared" si="17"/>
        <v>900</v>
      </c>
      <c r="AI224" s="58">
        <f t="shared" si="18"/>
        <v>850</v>
      </c>
      <c r="AJ224" s="58">
        <f t="shared" si="19"/>
        <v>730</v>
      </c>
    </row>
    <row r="225" s="17" customFormat="1" ht="36" customHeight="1" spans="1:36">
      <c r="A225" s="29" t="s">
        <v>70</v>
      </c>
      <c r="B225" s="30" t="s">
        <v>992</v>
      </c>
      <c r="C225" s="30" t="s">
        <v>993</v>
      </c>
      <c r="D225" s="30" t="s">
        <v>378</v>
      </c>
      <c r="E225" s="31" t="s">
        <v>43</v>
      </c>
      <c r="F225" s="31" t="s">
        <v>43</v>
      </c>
      <c r="G225" s="30" t="s">
        <v>40</v>
      </c>
      <c r="H225" s="31" t="s">
        <v>43</v>
      </c>
      <c r="I225" s="37">
        <v>300</v>
      </c>
      <c r="J225" s="37">
        <v>270</v>
      </c>
      <c r="K225" s="36">
        <v>75</v>
      </c>
      <c r="L225" s="36"/>
      <c r="M225" s="36"/>
      <c r="N225" s="41">
        <v>270</v>
      </c>
      <c r="O225" s="41">
        <v>255</v>
      </c>
      <c r="P225" s="41">
        <v>220</v>
      </c>
      <c r="Q225" s="30" t="s">
        <v>42</v>
      </c>
      <c r="R225" s="36"/>
      <c r="S225" s="31"/>
      <c r="T225" s="46" t="s">
        <v>994</v>
      </c>
      <c r="U225" s="46">
        <v>33020100201</v>
      </c>
      <c r="V225" s="48" t="s">
        <v>995</v>
      </c>
      <c r="W225" s="46"/>
      <c r="X225" s="46"/>
      <c r="Y225" s="46" t="s">
        <v>40</v>
      </c>
      <c r="Z225" s="30" t="s">
        <v>43</v>
      </c>
      <c r="AA225" s="52">
        <v>975</v>
      </c>
      <c r="AB225" s="51">
        <v>880</v>
      </c>
      <c r="AC225" s="57">
        <v>975</v>
      </c>
      <c r="AD225" s="57">
        <v>935</v>
      </c>
      <c r="AE225" s="57">
        <v>795</v>
      </c>
      <c r="AF225" s="58">
        <f t="shared" si="15"/>
        <v>8</v>
      </c>
      <c r="AG225" s="58" t="str">
        <f t="shared" si="16"/>
        <v>颅骨病变切除费</v>
      </c>
      <c r="AH225" s="58">
        <f t="shared" si="17"/>
        <v>1170</v>
      </c>
      <c r="AI225" s="58">
        <f t="shared" si="18"/>
        <v>1105</v>
      </c>
      <c r="AJ225" s="58">
        <f t="shared" si="19"/>
        <v>950</v>
      </c>
    </row>
    <row r="226" s="17" customFormat="1" ht="26" customHeight="1" spans="1:36">
      <c r="A226" s="27">
        <v>51</v>
      </c>
      <c r="B226" s="28" t="s">
        <v>996</v>
      </c>
      <c r="C226" s="28" t="s">
        <v>997</v>
      </c>
      <c r="D226" s="28" t="s">
        <v>378</v>
      </c>
      <c r="E226" s="28" t="s">
        <v>998</v>
      </c>
      <c r="F226" s="28" t="s">
        <v>999</v>
      </c>
      <c r="G226" s="28" t="s">
        <v>40</v>
      </c>
      <c r="H226" s="28" t="s">
        <v>1000</v>
      </c>
      <c r="I226" s="34">
        <v>2030</v>
      </c>
      <c r="J226" s="34">
        <v>1827</v>
      </c>
      <c r="K226" s="38">
        <v>1875</v>
      </c>
      <c r="L226" s="38">
        <v>1800</v>
      </c>
      <c r="M226" s="38">
        <v>1530</v>
      </c>
      <c r="N226" s="40">
        <v>1875</v>
      </c>
      <c r="O226" s="40">
        <v>1800</v>
      </c>
      <c r="P226" s="40">
        <v>1530</v>
      </c>
      <c r="Q226" s="28" t="s">
        <v>42</v>
      </c>
      <c r="R226" s="38" t="s">
        <v>153</v>
      </c>
      <c r="S226" s="28" t="s">
        <v>153</v>
      </c>
      <c r="T226" s="30" t="s">
        <v>1001</v>
      </c>
      <c r="U226" s="30">
        <v>330201007</v>
      </c>
      <c r="V226" s="30" t="s">
        <v>1002</v>
      </c>
      <c r="W226" s="30" t="s">
        <v>1003</v>
      </c>
      <c r="X226" s="30"/>
      <c r="Y226" s="30" t="s">
        <v>40</v>
      </c>
      <c r="Z226" s="30" t="s">
        <v>43</v>
      </c>
      <c r="AA226" s="51">
        <v>2030</v>
      </c>
      <c r="AB226" s="51">
        <v>1820</v>
      </c>
      <c r="AC226" s="57">
        <v>1875</v>
      </c>
      <c r="AD226" s="57">
        <v>1800</v>
      </c>
      <c r="AE226" s="57">
        <v>1530</v>
      </c>
      <c r="AF226" s="58">
        <f t="shared" si="15"/>
        <v>0</v>
      </c>
      <c r="AG226" s="58" t="str">
        <f t="shared" si="16"/>
        <v>颅骨修复费</v>
      </c>
      <c r="AH226" s="58">
        <f t="shared" si="17"/>
        <v>1875</v>
      </c>
      <c r="AI226" s="58">
        <f t="shared" si="18"/>
        <v>1800</v>
      </c>
      <c r="AJ226" s="58">
        <f t="shared" si="19"/>
        <v>1530</v>
      </c>
    </row>
    <row r="227" s="17" customFormat="1" ht="26" customHeight="1" spans="1:36">
      <c r="A227" s="27">
        <v>51</v>
      </c>
      <c r="B227" s="28" t="s">
        <v>996</v>
      </c>
      <c r="C227" s="28" t="s">
        <v>997</v>
      </c>
      <c r="D227" s="28" t="s">
        <v>378</v>
      </c>
      <c r="E227" s="28" t="s">
        <v>998</v>
      </c>
      <c r="F227" s="28" t="s">
        <v>999</v>
      </c>
      <c r="G227" s="28" t="s">
        <v>40</v>
      </c>
      <c r="H227" s="28" t="s">
        <v>1000</v>
      </c>
      <c r="I227" s="34">
        <v>2030</v>
      </c>
      <c r="J227" s="34">
        <v>1827</v>
      </c>
      <c r="K227" s="38">
        <v>1875</v>
      </c>
      <c r="L227" s="38">
        <v>1800</v>
      </c>
      <c r="M227" s="38">
        <v>1530</v>
      </c>
      <c r="N227" s="40">
        <v>1875</v>
      </c>
      <c r="O227" s="40">
        <v>1800</v>
      </c>
      <c r="P227" s="40">
        <v>1530</v>
      </c>
      <c r="Q227" s="28" t="s">
        <v>42</v>
      </c>
      <c r="R227" s="38" t="s">
        <v>153</v>
      </c>
      <c r="S227" s="28" t="s">
        <v>153</v>
      </c>
      <c r="T227" s="30" t="s">
        <v>1004</v>
      </c>
      <c r="U227" s="30">
        <v>330201009</v>
      </c>
      <c r="V227" s="30" t="s">
        <v>1005</v>
      </c>
      <c r="W227" s="30" t="s">
        <v>1006</v>
      </c>
      <c r="X227" s="30" t="s">
        <v>765</v>
      </c>
      <c r="Y227" s="30" t="s">
        <v>40</v>
      </c>
      <c r="Z227" s="30" t="s">
        <v>43</v>
      </c>
      <c r="AA227" s="51">
        <v>2030</v>
      </c>
      <c r="AB227" s="51">
        <v>1820</v>
      </c>
      <c r="AC227" s="57">
        <v>1875</v>
      </c>
      <c r="AD227" s="57">
        <v>1800</v>
      </c>
      <c r="AE227" s="57">
        <v>1530</v>
      </c>
      <c r="AF227" s="58">
        <f t="shared" si="15"/>
        <v>0</v>
      </c>
      <c r="AG227" s="58" t="str">
        <f t="shared" si="16"/>
        <v>颅骨修复费</v>
      </c>
      <c r="AH227" s="58">
        <f t="shared" si="17"/>
        <v>1875</v>
      </c>
      <c r="AI227" s="58">
        <f t="shared" si="18"/>
        <v>1800</v>
      </c>
      <c r="AJ227" s="58">
        <f t="shared" si="19"/>
        <v>1530</v>
      </c>
    </row>
    <row r="228" s="17" customFormat="1" ht="26" customHeight="1" spans="1:36">
      <c r="A228" s="27">
        <v>51</v>
      </c>
      <c r="B228" s="28" t="s">
        <v>996</v>
      </c>
      <c r="C228" s="28" t="s">
        <v>997</v>
      </c>
      <c r="D228" s="28" t="s">
        <v>378</v>
      </c>
      <c r="E228" s="28" t="s">
        <v>998</v>
      </c>
      <c r="F228" s="28" t="s">
        <v>999</v>
      </c>
      <c r="G228" s="28" t="s">
        <v>40</v>
      </c>
      <c r="H228" s="28" t="s">
        <v>1000</v>
      </c>
      <c r="I228" s="34">
        <v>2030</v>
      </c>
      <c r="J228" s="34">
        <v>1827</v>
      </c>
      <c r="K228" s="38">
        <v>1875</v>
      </c>
      <c r="L228" s="38">
        <v>1800</v>
      </c>
      <c r="M228" s="38">
        <v>1530</v>
      </c>
      <c r="N228" s="40">
        <v>1875</v>
      </c>
      <c r="O228" s="40">
        <v>1800</v>
      </c>
      <c r="P228" s="40">
        <v>1530</v>
      </c>
      <c r="Q228" s="28" t="s">
        <v>42</v>
      </c>
      <c r="R228" s="38" t="s">
        <v>153</v>
      </c>
      <c r="S228" s="28" t="s">
        <v>153</v>
      </c>
      <c r="T228" s="30" t="s">
        <v>1007</v>
      </c>
      <c r="U228" s="30">
        <v>330201055</v>
      </c>
      <c r="V228" s="30" t="s">
        <v>1008</v>
      </c>
      <c r="W228" s="30"/>
      <c r="X228" s="30" t="s">
        <v>1009</v>
      </c>
      <c r="Y228" s="30" t="s">
        <v>40</v>
      </c>
      <c r="Z228" s="30" t="s">
        <v>43</v>
      </c>
      <c r="AA228" s="51">
        <v>6000</v>
      </c>
      <c r="AB228" s="51">
        <v>5040</v>
      </c>
      <c r="AC228" s="57">
        <v>4630</v>
      </c>
      <c r="AD228" s="57">
        <v>4170</v>
      </c>
      <c r="AE228" s="57">
        <v>3540</v>
      </c>
      <c r="AF228" s="58">
        <f t="shared" si="15"/>
        <v>0</v>
      </c>
      <c r="AG228" s="58" t="str">
        <f t="shared" si="16"/>
        <v>颅骨修复费</v>
      </c>
      <c r="AH228" s="58">
        <f t="shared" si="17"/>
        <v>1875</v>
      </c>
      <c r="AI228" s="58">
        <f t="shared" si="18"/>
        <v>1800</v>
      </c>
      <c r="AJ228" s="58">
        <f t="shared" si="19"/>
        <v>1530</v>
      </c>
    </row>
    <row r="229" s="17" customFormat="1" ht="14" customHeight="1" spans="1:36">
      <c r="A229" s="27" t="s">
        <v>70</v>
      </c>
      <c r="B229" s="28" t="s">
        <v>1010</v>
      </c>
      <c r="C229" s="28" t="s">
        <v>1011</v>
      </c>
      <c r="D229" s="28" t="s">
        <v>378</v>
      </c>
      <c r="E229" s="28"/>
      <c r="F229" s="28"/>
      <c r="G229" s="28" t="s">
        <v>40</v>
      </c>
      <c r="H229" s="28"/>
      <c r="I229" s="34">
        <v>609</v>
      </c>
      <c r="J229" s="34">
        <v>548</v>
      </c>
      <c r="K229" s="36"/>
      <c r="L229" s="36"/>
      <c r="M229" s="36"/>
      <c r="N229" s="40">
        <v>565</v>
      </c>
      <c r="O229" s="40">
        <v>540</v>
      </c>
      <c r="P229" s="40">
        <v>460</v>
      </c>
      <c r="Q229" s="28" t="s">
        <v>42</v>
      </c>
      <c r="R229" s="36"/>
      <c r="S229" s="28" t="s">
        <v>384</v>
      </c>
      <c r="T229" s="46" t="s">
        <v>1012</v>
      </c>
      <c r="U229" s="46">
        <v>33020100701</v>
      </c>
      <c r="V229" s="48" t="s">
        <v>1013</v>
      </c>
      <c r="W229" s="46"/>
      <c r="X229" s="46"/>
      <c r="Y229" s="46" t="s">
        <v>40</v>
      </c>
      <c r="Z229" s="30" t="s">
        <v>43</v>
      </c>
      <c r="AA229" s="52">
        <v>2640</v>
      </c>
      <c r="AB229" s="51">
        <v>2365</v>
      </c>
      <c r="AC229" s="57">
        <v>2440</v>
      </c>
      <c r="AD229" s="57">
        <v>2340</v>
      </c>
      <c r="AE229" s="57">
        <v>1990</v>
      </c>
      <c r="AF229" s="58">
        <f t="shared" si="15"/>
        <v>6</v>
      </c>
      <c r="AG229" s="58" t="str">
        <f t="shared" si="16"/>
        <v>颅骨修复费</v>
      </c>
      <c r="AH229" s="58">
        <f t="shared" si="17"/>
        <v>2440</v>
      </c>
      <c r="AI229" s="58">
        <f t="shared" si="18"/>
        <v>2340</v>
      </c>
      <c r="AJ229" s="58">
        <f t="shared" si="19"/>
        <v>1990</v>
      </c>
    </row>
    <row r="230" s="17" customFormat="1" ht="14" customHeight="1" spans="1:36">
      <c r="A230" s="27" t="s">
        <v>70</v>
      </c>
      <c r="B230" s="28" t="s">
        <v>1010</v>
      </c>
      <c r="C230" s="28" t="s">
        <v>1011</v>
      </c>
      <c r="D230" s="28" t="s">
        <v>378</v>
      </c>
      <c r="E230" s="28"/>
      <c r="F230" s="28"/>
      <c r="G230" s="28" t="s">
        <v>40</v>
      </c>
      <c r="H230" s="28"/>
      <c r="I230" s="34">
        <v>609</v>
      </c>
      <c r="J230" s="34">
        <v>548</v>
      </c>
      <c r="K230" s="36"/>
      <c r="L230" s="36"/>
      <c r="M230" s="36"/>
      <c r="N230" s="40">
        <v>565</v>
      </c>
      <c r="O230" s="40">
        <v>540</v>
      </c>
      <c r="P230" s="40">
        <v>460</v>
      </c>
      <c r="Q230" s="28" t="s">
        <v>42</v>
      </c>
      <c r="R230" s="36"/>
      <c r="S230" s="28" t="s">
        <v>384</v>
      </c>
      <c r="T230" s="46" t="s">
        <v>1014</v>
      </c>
      <c r="U230" s="46">
        <v>33020100903</v>
      </c>
      <c r="V230" s="48" t="s">
        <v>1015</v>
      </c>
      <c r="W230" s="46"/>
      <c r="X230" s="46"/>
      <c r="Y230" s="46" t="s">
        <v>40</v>
      </c>
      <c r="Z230" s="30" t="s">
        <v>43</v>
      </c>
      <c r="AA230" s="52">
        <v>2640</v>
      </c>
      <c r="AB230" s="51">
        <v>2365</v>
      </c>
      <c r="AC230" s="57">
        <v>2440</v>
      </c>
      <c r="AD230" s="57">
        <v>2340</v>
      </c>
      <c r="AE230" s="57">
        <v>1990</v>
      </c>
      <c r="AF230" s="58">
        <f t="shared" si="15"/>
        <v>6</v>
      </c>
      <c r="AG230" s="58" t="str">
        <f t="shared" si="16"/>
        <v>颅骨修复费</v>
      </c>
      <c r="AH230" s="58">
        <f t="shared" si="17"/>
        <v>2440</v>
      </c>
      <c r="AI230" s="58">
        <f t="shared" si="18"/>
        <v>2340</v>
      </c>
      <c r="AJ230" s="58">
        <f t="shared" si="19"/>
        <v>1990</v>
      </c>
    </row>
    <row r="231" s="17" customFormat="1" ht="14" customHeight="1" spans="1:36">
      <c r="A231" s="27" t="s">
        <v>70</v>
      </c>
      <c r="B231" s="28" t="s">
        <v>1010</v>
      </c>
      <c r="C231" s="28" t="s">
        <v>1011</v>
      </c>
      <c r="D231" s="28" t="s">
        <v>378</v>
      </c>
      <c r="E231" s="28"/>
      <c r="F231" s="28"/>
      <c r="G231" s="28" t="s">
        <v>40</v>
      </c>
      <c r="H231" s="28"/>
      <c r="I231" s="34">
        <v>609</v>
      </c>
      <c r="J231" s="34">
        <v>548</v>
      </c>
      <c r="K231" s="36"/>
      <c r="L231" s="36"/>
      <c r="M231" s="36"/>
      <c r="N231" s="40">
        <v>565</v>
      </c>
      <c r="O231" s="40">
        <v>540</v>
      </c>
      <c r="P231" s="40">
        <v>460</v>
      </c>
      <c r="Q231" s="28" t="s">
        <v>42</v>
      </c>
      <c r="R231" s="36"/>
      <c r="S231" s="28" t="s">
        <v>384</v>
      </c>
      <c r="T231" s="46" t="s">
        <v>1016</v>
      </c>
      <c r="U231" s="46">
        <v>33020105501</v>
      </c>
      <c r="V231" s="48" t="s">
        <v>1017</v>
      </c>
      <c r="W231" s="46"/>
      <c r="X231" s="46"/>
      <c r="Y231" s="46" t="s">
        <v>40</v>
      </c>
      <c r="Z231" s="30" t="s">
        <v>43</v>
      </c>
      <c r="AA231" s="52">
        <v>7800</v>
      </c>
      <c r="AB231" s="51">
        <v>6550</v>
      </c>
      <c r="AC231" s="57">
        <v>6020</v>
      </c>
      <c r="AD231" s="57">
        <v>5420</v>
      </c>
      <c r="AE231" s="57">
        <v>4605</v>
      </c>
      <c r="AF231" s="58">
        <f t="shared" si="15"/>
        <v>6</v>
      </c>
      <c r="AG231" s="58" t="str">
        <f t="shared" si="16"/>
        <v>颅骨修复费</v>
      </c>
      <c r="AH231" s="58">
        <f t="shared" si="17"/>
        <v>2440</v>
      </c>
      <c r="AI231" s="58">
        <f t="shared" si="18"/>
        <v>2340</v>
      </c>
      <c r="AJ231" s="58">
        <f t="shared" si="19"/>
        <v>1990</v>
      </c>
    </row>
    <row r="232" s="17" customFormat="1" ht="68" customHeight="1" spans="1:36">
      <c r="A232" s="29">
        <v>52</v>
      </c>
      <c r="B232" s="30" t="s">
        <v>1018</v>
      </c>
      <c r="C232" s="30" t="s">
        <v>1019</v>
      </c>
      <c r="D232" s="30" t="s">
        <v>378</v>
      </c>
      <c r="E232" s="31" t="s">
        <v>1020</v>
      </c>
      <c r="F232" s="31" t="s">
        <v>1021</v>
      </c>
      <c r="G232" s="30" t="s">
        <v>40</v>
      </c>
      <c r="H232" s="31" t="s">
        <v>1022</v>
      </c>
      <c r="I232" s="37">
        <v>3415</v>
      </c>
      <c r="J232" s="37">
        <v>3074</v>
      </c>
      <c r="K232" s="36">
        <v>4630</v>
      </c>
      <c r="L232" s="36">
        <v>4170</v>
      </c>
      <c r="M232" s="36">
        <v>3540</v>
      </c>
      <c r="N232" s="41">
        <v>3100</v>
      </c>
      <c r="O232" s="41">
        <v>2800</v>
      </c>
      <c r="P232" s="41">
        <v>2380</v>
      </c>
      <c r="Q232" s="30" t="s">
        <v>42</v>
      </c>
      <c r="R232" s="36" t="s">
        <v>1023</v>
      </c>
      <c r="S232" s="31" t="s">
        <v>1024</v>
      </c>
      <c r="T232" s="30" t="s">
        <v>1025</v>
      </c>
      <c r="U232" s="30">
        <v>330201057</v>
      </c>
      <c r="V232" s="30" t="s">
        <v>1026</v>
      </c>
      <c r="W232" s="30"/>
      <c r="X232" s="30"/>
      <c r="Y232" s="30" t="s">
        <v>40</v>
      </c>
      <c r="Z232" s="30" t="s">
        <v>43</v>
      </c>
      <c r="AA232" s="51">
        <v>6000</v>
      </c>
      <c r="AB232" s="51">
        <v>5040</v>
      </c>
      <c r="AC232" s="57">
        <v>4630</v>
      </c>
      <c r="AD232" s="57">
        <v>4170</v>
      </c>
      <c r="AE232" s="57">
        <v>3540</v>
      </c>
      <c r="AF232" s="58">
        <f t="shared" si="15"/>
        <v>0</v>
      </c>
      <c r="AG232" s="58" t="str">
        <f t="shared" si="16"/>
        <v>颅骨重建费</v>
      </c>
      <c r="AH232" s="58">
        <f t="shared" si="17"/>
        <v>3100</v>
      </c>
      <c r="AI232" s="58">
        <f t="shared" si="18"/>
        <v>2800</v>
      </c>
      <c r="AJ232" s="58">
        <f t="shared" si="19"/>
        <v>2380</v>
      </c>
    </row>
    <row r="233" s="17" customFormat="1" ht="40" customHeight="1" spans="1:36">
      <c r="A233" s="29" t="s">
        <v>70</v>
      </c>
      <c r="B233" s="30" t="s">
        <v>1027</v>
      </c>
      <c r="C233" s="30" t="s">
        <v>1028</v>
      </c>
      <c r="D233" s="30" t="s">
        <v>378</v>
      </c>
      <c r="E233" s="31" t="s">
        <v>43</v>
      </c>
      <c r="F233" s="31" t="s">
        <v>43</v>
      </c>
      <c r="G233" s="30" t="s">
        <v>40</v>
      </c>
      <c r="H233" s="31" t="s">
        <v>43</v>
      </c>
      <c r="I233" s="37">
        <v>1025</v>
      </c>
      <c r="J233" s="37">
        <v>922</v>
      </c>
      <c r="K233" s="36"/>
      <c r="L233" s="36"/>
      <c r="M233" s="36"/>
      <c r="N233" s="41">
        <v>930</v>
      </c>
      <c r="O233" s="41">
        <v>840</v>
      </c>
      <c r="P233" s="41">
        <v>715</v>
      </c>
      <c r="Q233" s="30" t="s">
        <v>42</v>
      </c>
      <c r="R233" s="36"/>
      <c r="S233" s="31" t="s">
        <v>384</v>
      </c>
      <c r="T233" s="46" t="s">
        <v>1029</v>
      </c>
      <c r="U233" s="46">
        <v>33020105701</v>
      </c>
      <c r="V233" s="48" t="s">
        <v>1030</v>
      </c>
      <c r="W233" s="46"/>
      <c r="X233" s="46"/>
      <c r="Y233" s="46" t="s">
        <v>40</v>
      </c>
      <c r="Z233" s="30" t="s">
        <v>43</v>
      </c>
      <c r="AA233" s="52">
        <v>7800</v>
      </c>
      <c r="AB233" s="51">
        <v>6550</v>
      </c>
      <c r="AC233" s="57">
        <v>6020</v>
      </c>
      <c r="AD233" s="57">
        <v>5420</v>
      </c>
      <c r="AE233" s="57">
        <v>4605</v>
      </c>
      <c r="AF233" s="58">
        <f t="shared" si="15"/>
        <v>6</v>
      </c>
      <c r="AG233" s="58" t="str">
        <f t="shared" si="16"/>
        <v>颅骨重建费</v>
      </c>
      <c r="AH233" s="58">
        <f t="shared" si="17"/>
        <v>4030</v>
      </c>
      <c r="AI233" s="58">
        <f t="shared" si="18"/>
        <v>3640</v>
      </c>
      <c r="AJ233" s="58">
        <f t="shared" si="19"/>
        <v>3095</v>
      </c>
    </row>
    <row r="234" s="17" customFormat="1" ht="34" customHeight="1" spans="1:36">
      <c r="A234" s="27">
        <v>53</v>
      </c>
      <c r="B234" s="28" t="s">
        <v>1031</v>
      </c>
      <c r="C234" s="28" t="s">
        <v>1032</v>
      </c>
      <c r="D234" s="28" t="s">
        <v>378</v>
      </c>
      <c r="E234" s="28" t="s">
        <v>1033</v>
      </c>
      <c r="F234" s="28" t="s">
        <v>1034</v>
      </c>
      <c r="G234" s="28" t="s">
        <v>40</v>
      </c>
      <c r="H234" s="28" t="s">
        <v>146</v>
      </c>
      <c r="I234" s="34">
        <v>4800</v>
      </c>
      <c r="J234" s="34">
        <v>4320</v>
      </c>
      <c r="K234" s="38">
        <v>4550</v>
      </c>
      <c r="L234" s="38">
        <v>4320</v>
      </c>
      <c r="M234" s="38">
        <v>3670</v>
      </c>
      <c r="N234" s="40">
        <v>4550</v>
      </c>
      <c r="O234" s="40">
        <v>4150</v>
      </c>
      <c r="P234" s="40">
        <v>3550</v>
      </c>
      <c r="Q234" s="28" t="s">
        <v>42</v>
      </c>
      <c r="R234" s="38" t="s">
        <v>153</v>
      </c>
      <c r="S234" s="28" t="s">
        <v>1035</v>
      </c>
      <c r="T234" s="63" t="s">
        <v>1036</v>
      </c>
      <c r="U234" s="63">
        <v>330603003</v>
      </c>
      <c r="V234" s="63" t="s">
        <v>1037</v>
      </c>
      <c r="W234" s="63" t="s">
        <v>1038</v>
      </c>
      <c r="X234" s="63"/>
      <c r="Y234" s="63" t="s">
        <v>40</v>
      </c>
      <c r="Z234" s="30" t="s">
        <v>1039</v>
      </c>
      <c r="AA234" s="65">
        <v>4800</v>
      </c>
      <c r="AB234" s="51">
        <v>4030</v>
      </c>
      <c r="AC234" s="57">
        <v>4550</v>
      </c>
      <c r="AD234" s="57">
        <v>4320</v>
      </c>
      <c r="AE234" s="57">
        <v>3670</v>
      </c>
      <c r="AF234" s="58">
        <f t="shared" si="15"/>
        <v>0</v>
      </c>
      <c r="AG234" s="58" t="str">
        <f t="shared" si="16"/>
        <v>颅底重建费</v>
      </c>
      <c r="AH234" s="58">
        <f t="shared" si="17"/>
        <v>4550</v>
      </c>
      <c r="AI234" s="58">
        <f t="shared" si="18"/>
        <v>4150</v>
      </c>
      <c r="AJ234" s="58">
        <f t="shared" si="19"/>
        <v>3550</v>
      </c>
    </row>
    <row r="235" s="17" customFormat="1" ht="34" customHeight="1" spans="1:36">
      <c r="A235" s="27">
        <v>53</v>
      </c>
      <c r="B235" s="28" t="s">
        <v>1031</v>
      </c>
      <c r="C235" s="28" t="s">
        <v>1032</v>
      </c>
      <c r="D235" s="28" t="s">
        <v>378</v>
      </c>
      <c r="E235" s="28" t="s">
        <v>1033</v>
      </c>
      <c r="F235" s="28" t="s">
        <v>1034</v>
      </c>
      <c r="G235" s="28" t="s">
        <v>40</v>
      </c>
      <c r="H235" s="28" t="s">
        <v>146</v>
      </c>
      <c r="I235" s="34">
        <v>4800</v>
      </c>
      <c r="J235" s="34">
        <v>4320</v>
      </c>
      <c r="K235" s="38">
        <v>4550</v>
      </c>
      <c r="L235" s="38">
        <v>4320</v>
      </c>
      <c r="M235" s="38">
        <v>3670</v>
      </c>
      <c r="N235" s="40">
        <v>4550</v>
      </c>
      <c r="O235" s="40">
        <v>4150</v>
      </c>
      <c r="P235" s="40">
        <v>3550</v>
      </c>
      <c r="Q235" s="28" t="s">
        <v>42</v>
      </c>
      <c r="R235" s="38" t="s">
        <v>153</v>
      </c>
      <c r="S235" s="28" t="s">
        <v>1035</v>
      </c>
      <c r="T235" s="63" t="s">
        <v>1040</v>
      </c>
      <c r="U235" s="63">
        <v>33060300302</v>
      </c>
      <c r="V235" s="64" t="s">
        <v>1041</v>
      </c>
      <c r="W235" s="63"/>
      <c r="X235" s="63"/>
      <c r="Y235" s="63" t="s">
        <v>40</v>
      </c>
      <c r="Z235" s="30" t="s">
        <v>43</v>
      </c>
      <c r="AA235" s="65">
        <v>1000</v>
      </c>
      <c r="AB235" s="51">
        <v>900</v>
      </c>
      <c r="AC235" s="57">
        <v>900</v>
      </c>
      <c r="AD235" s="57">
        <v>810</v>
      </c>
      <c r="AE235" s="57">
        <v>690</v>
      </c>
      <c r="AF235" s="58">
        <f t="shared" si="15"/>
        <v>0</v>
      </c>
      <c r="AG235" s="58" t="str">
        <f t="shared" si="16"/>
        <v>颅底重建费</v>
      </c>
      <c r="AH235" s="58">
        <f t="shared" si="17"/>
        <v>4550</v>
      </c>
      <c r="AI235" s="58">
        <f t="shared" si="18"/>
        <v>4150</v>
      </c>
      <c r="AJ235" s="58">
        <f t="shared" si="19"/>
        <v>3550</v>
      </c>
    </row>
    <row r="236" s="17" customFormat="1" ht="40" customHeight="1" spans="1:36">
      <c r="A236" s="29" t="s">
        <v>70</v>
      </c>
      <c r="B236" s="30" t="s">
        <v>1042</v>
      </c>
      <c r="C236" s="30" t="s">
        <v>1043</v>
      </c>
      <c r="D236" s="30" t="s">
        <v>378</v>
      </c>
      <c r="E236" s="31" t="s">
        <v>43</v>
      </c>
      <c r="F236" s="31" t="s">
        <v>43</v>
      </c>
      <c r="G236" s="30" t="s">
        <v>40</v>
      </c>
      <c r="H236" s="31" t="s">
        <v>43</v>
      </c>
      <c r="I236" s="37">
        <v>1440</v>
      </c>
      <c r="J236" s="37">
        <v>1296</v>
      </c>
      <c r="K236" s="36"/>
      <c r="L236" s="36"/>
      <c r="M236" s="36"/>
      <c r="N236" s="41">
        <v>1365</v>
      </c>
      <c r="O236" s="41">
        <v>1245</v>
      </c>
      <c r="P236" s="41">
        <v>1065</v>
      </c>
      <c r="Q236" s="30" t="s">
        <v>42</v>
      </c>
      <c r="R236" s="36"/>
      <c r="S236" s="31" t="s">
        <v>384</v>
      </c>
      <c r="T236" s="63" t="s">
        <v>1044</v>
      </c>
      <c r="U236" s="63">
        <v>33060300301</v>
      </c>
      <c r="V236" s="64" t="s">
        <v>1045</v>
      </c>
      <c r="W236" s="63"/>
      <c r="X236" s="63"/>
      <c r="Y236" s="63" t="s">
        <v>40</v>
      </c>
      <c r="Z236" s="30" t="s">
        <v>43</v>
      </c>
      <c r="AA236" s="65">
        <v>6240</v>
      </c>
      <c r="AB236" s="51">
        <v>5240</v>
      </c>
      <c r="AC236" s="57">
        <v>5915</v>
      </c>
      <c r="AD236" s="57">
        <v>5615</v>
      </c>
      <c r="AE236" s="57">
        <v>4770</v>
      </c>
      <c r="AF236" s="58">
        <f t="shared" si="15"/>
        <v>6</v>
      </c>
      <c r="AG236" s="58" t="str">
        <f t="shared" si="16"/>
        <v>颅底重建费</v>
      </c>
      <c r="AH236" s="58">
        <f t="shared" si="17"/>
        <v>5915</v>
      </c>
      <c r="AI236" s="58">
        <f t="shared" si="18"/>
        <v>5395</v>
      </c>
      <c r="AJ236" s="58">
        <f t="shared" si="19"/>
        <v>4615</v>
      </c>
    </row>
    <row r="237" s="17" customFormat="1" customHeight="1" spans="1:36">
      <c r="A237" s="27" t="s">
        <v>70</v>
      </c>
      <c r="B237" s="28" t="s">
        <v>1046</v>
      </c>
      <c r="C237" s="28" t="s">
        <v>1047</v>
      </c>
      <c r="D237" s="28" t="s">
        <v>378</v>
      </c>
      <c r="E237" s="28"/>
      <c r="F237" s="28"/>
      <c r="G237" s="28" t="s">
        <v>40</v>
      </c>
      <c r="H237" s="28" t="s">
        <v>146</v>
      </c>
      <c r="I237" s="34">
        <v>4800</v>
      </c>
      <c r="J237" s="34">
        <v>4320</v>
      </c>
      <c r="K237" s="38">
        <v>3380</v>
      </c>
      <c r="L237" s="38">
        <v>3040</v>
      </c>
      <c r="M237" s="36"/>
      <c r="N237" s="40">
        <v>4550</v>
      </c>
      <c r="O237" s="40">
        <v>4150</v>
      </c>
      <c r="P237" s="40">
        <v>3550</v>
      </c>
      <c r="Q237" s="28" t="s">
        <v>42</v>
      </c>
      <c r="R237" s="36"/>
      <c r="S237" s="28" t="s">
        <v>1048</v>
      </c>
      <c r="T237" s="46" t="s">
        <v>1049</v>
      </c>
      <c r="U237" s="46">
        <v>330201051</v>
      </c>
      <c r="V237" s="48" t="s">
        <v>1050</v>
      </c>
      <c r="W237" s="46" t="s">
        <v>1051</v>
      </c>
      <c r="X237" s="46" t="s">
        <v>1052</v>
      </c>
      <c r="Y237" s="46" t="s">
        <v>40</v>
      </c>
      <c r="Z237" s="30" t="s">
        <v>43</v>
      </c>
      <c r="AA237" s="52">
        <v>3840</v>
      </c>
      <c r="AB237" s="51">
        <v>3460</v>
      </c>
      <c r="AC237" s="57">
        <v>3380</v>
      </c>
      <c r="AD237" s="57">
        <v>3040</v>
      </c>
      <c r="AE237" s="57">
        <v>2580</v>
      </c>
      <c r="AF237" s="58">
        <f t="shared" si="15"/>
        <v>0</v>
      </c>
      <c r="AG237" s="58" t="str">
        <f t="shared" si="16"/>
        <v>颅底重建费-脑脊液漏修补（扩展）</v>
      </c>
      <c r="AH237" s="58">
        <f t="shared" si="17"/>
        <v>4550</v>
      </c>
      <c r="AI237" s="58">
        <f t="shared" si="18"/>
        <v>4150</v>
      </c>
      <c r="AJ237" s="58">
        <f t="shared" si="19"/>
        <v>3550</v>
      </c>
    </row>
    <row r="238" s="17" customFormat="1" customHeight="1" spans="1:36">
      <c r="A238" s="27" t="s">
        <v>70</v>
      </c>
      <c r="B238" s="28" t="s">
        <v>1046</v>
      </c>
      <c r="C238" s="28" t="s">
        <v>1047</v>
      </c>
      <c r="D238" s="28" t="s">
        <v>378</v>
      </c>
      <c r="E238" s="28"/>
      <c r="F238" s="28"/>
      <c r="G238" s="28" t="s">
        <v>40</v>
      </c>
      <c r="H238" s="28" t="s">
        <v>146</v>
      </c>
      <c r="I238" s="34">
        <v>4800</v>
      </c>
      <c r="J238" s="34">
        <v>4320</v>
      </c>
      <c r="K238" s="38">
        <v>3380</v>
      </c>
      <c r="L238" s="38">
        <v>3040</v>
      </c>
      <c r="M238" s="36"/>
      <c r="N238" s="40">
        <v>4550</v>
      </c>
      <c r="O238" s="40">
        <v>4150</v>
      </c>
      <c r="P238" s="40">
        <v>3550</v>
      </c>
      <c r="Q238" s="28" t="s">
        <v>42</v>
      </c>
      <c r="R238" s="36"/>
      <c r="S238" s="28" t="s">
        <v>1048</v>
      </c>
      <c r="T238" s="46" t="s">
        <v>1053</v>
      </c>
      <c r="U238" s="46">
        <v>33020105101</v>
      </c>
      <c r="V238" s="48" t="s">
        <v>1054</v>
      </c>
      <c r="W238" s="46"/>
      <c r="X238" s="46"/>
      <c r="Y238" s="46" t="s">
        <v>40</v>
      </c>
      <c r="Z238" s="30" t="s">
        <v>43</v>
      </c>
      <c r="AA238" s="52">
        <v>4990</v>
      </c>
      <c r="AB238" s="51">
        <v>4500</v>
      </c>
      <c r="AC238" s="57">
        <v>4395</v>
      </c>
      <c r="AD238" s="57">
        <v>3950</v>
      </c>
      <c r="AE238" s="57">
        <v>3360</v>
      </c>
      <c r="AF238" s="58">
        <f t="shared" si="15"/>
        <v>0</v>
      </c>
      <c r="AG238" s="58" t="str">
        <f t="shared" si="16"/>
        <v>颅底重建费-脑脊液漏修补（扩展）</v>
      </c>
      <c r="AH238" s="58">
        <f t="shared" si="17"/>
        <v>4550</v>
      </c>
      <c r="AI238" s="58">
        <f t="shared" si="18"/>
        <v>4150</v>
      </c>
      <c r="AJ238" s="58">
        <f t="shared" si="19"/>
        <v>3550</v>
      </c>
    </row>
    <row r="239" s="17" customFormat="1" customHeight="1" spans="1:36">
      <c r="A239" s="27" t="s">
        <v>70</v>
      </c>
      <c r="B239" s="28" t="s">
        <v>1046</v>
      </c>
      <c r="C239" s="28" t="s">
        <v>1047</v>
      </c>
      <c r="D239" s="28" t="s">
        <v>378</v>
      </c>
      <c r="E239" s="28"/>
      <c r="F239" s="28"/>
      <c r="G239" s="28" t="s">
        <v>40</v>
      </c>
      <c r="H239" s="28" t="s">
        <v>146</v>
      </c>
      <c r="I239" s="34">
        <v>4800</v>
      </c>
      <c r="J239" s="34">
        <v>4320</v>
      </c>
      <c r="K239" s="38">
        <v>3380</v>
      </c>
      <c r="L239" s="38">
        <v>3040</v>
      </c>
      <c r="M239" s="36"/>
      <c r="N239" s="40">
        <v>4550</v>
      </c>
      <c r="O239" s="40">
        <v>4150</v>
      </c>
      <c r="P239" s="40">
        <v>3550</v>
      </c>
      <c r="Q239" s="28" t="s">
        <v>42</v>
      </c>
      <c r="R239" s="36"/>
      <c r="S239" s="28" t="s">
        <v>1048</v>
      </c>
      <c r="T239" s="46" t="s">
        <v>1055</v>
      </c>
      <c r="U239" s="46">
        <v>330202018</v>
      </c>
      <c r="V239" s="48" t="s">
        <v>1056</v>
      </c>
      <c r="W239" s="46"/>
      <c r="X239" s="46"/>
      <c r="Y239" s="46" t="s">
        <v>40</v>
      </c>
      <c r="Z239" s="30" t="s">
        <v>43</v>
      </c>
      <c r="AA239" s="52">
        <v>4420</v>
      </c>
      <c r="AB239" s="51">
        <v>3970</v>
      </c>
      <c r="AC239" s="57">
        <v>3880</v>
      </c>
      <c r="AD239" s="57">
        <v>3490</v>
      </c>
      <c r="AE239" s="57">
        <v>2970</v>
      </c>
      <c r="AF239" s="58">
        <f t="shared" si="15"/>
        <v>0</v>
      </c>
      <c r="AG239" s="58" t="str">
        <f t="shared" si="16"/>
        <v>颅底重建费-脑脊液漏修补（扩展）</v>
      </c>
      <c r="AH239" s="58">
        <f t="shared" si="17"/>
        <v>4550</v>
      </c>
      <c r="AI239" s="58">
        <f t="shared" si="18"/>
        <v>4150</v>
      </c>
      <c r="AJ239" s="58">
        <f t="shared" si="19"/>
        <v>3550</v>
      </c>
    </row>
    <row r="240" s="17" customFormat="1" customHeight="1" spans="1:36">
      <c r="A240" s="27" t="s">
        <v>70</v>
      </c>
      <c r="B240" s="28" t="s">
        <v>1046</v>
      </c>
      <c r="C240" s="28" t="s">
        <v>1047</v>
      </c>
      <c r="D240" s="28" t="s">
        <v>378</v>
      </c>
      <c r="E240" s="28"/>
      <c r="F240" s="28"/>
      <c r="G240" s="28" t="s">
        <v>40</v>
      </c>
      <c r="H240" s="28" t="s">
        <v>146</v>
      </c>
      <c r="I240" s="34">
        <v>4800</v>
      </c>
      <c r="J240" s="34">
        <v>4320</v>
      </c>
      <c r="K240" s="38">
        <v>3380</v>
      </c>
      <c r="L240" s="38">
        <v>3040</v>
      </c>
      <c r="M240" s="36"/>
      <c r="N240" s="40">
        <v>4550</v>
      </c>
      <c r="O240" s="40">
        <v>4150</v>
      </c>
      <c r="P240" s="40">
        <v>3550</v>
      </c>
      <c r="Q240" s="28" t="s">
        <v>42</v>
      </c>
      <c r="R240" s="36"/>
      <c r="S240" s="28" t="s">
        <v>1048</v>
      </c>
      <c r="T240" s="46" t="s">
        <v>1057</v>
      </c>
      <c r="U240" s="46">
        <v>33020201801</v>
      </c>
      <c r="V240" s="48" t="s">
        <v>1058</v>
      </c>
      <c r="W240" s="46"/>
      <c r="X240" s="46"/>
      <c r="Y240" s="46" t="s">
        <v>40</v>
      </c>
      <c r="Z240" s="30" t="s">
        <v>43</v>
      </c>
      <c r="AA240" s="52">
        <v>5745</v>
      </c>
      <c r="AB240" s="51">
        <v>5160</v>
      </c>
      <c r="AC240" s="57">
        <v>5045</v>
      </c>
      <c r="AD240" s="57">
        <v>4535</v>
      </c>
      <c r="AE240" s="57">
        <v>3855</v>
      </c>
      <c r="AF240" s="58">
        <f t="shared" si="15"/>
        <v>0</v>
      </c>
      <c r="AG240" s="58" t="str">
        <f t="shared" si="16"/>
        <v>颅底重建费-脑脊液漏修补（扩展）</v>
      </c>
      <c r="AH240" s="58">
        <f t="shared" si="17"/>
        <v>4550</v>
      </c>
      <c r="AI240" s="58">
        <f t="shared" si="18"/>
        <v>4150</v>
      </c>
      <c r="AJ240" s="58">
        <f t="shared" si="19"/>
        <v>3550</v>
      </c>
    </row>
    <row r="241" s="17" customFormat="1" ht="81" customHeight="1" spans="1:36">
      <c r="A241" s="29">
        <v>54</v>
      </c>
      <c r="B241" s="30" t="s">
        <v>1059</v>
      </c>
      <c r="C241" s="30" t="s">
        <v>1060</v>
      </c>
      <c r="D241" s="30" t="s">
        <v>378</v>
      </c>
      <c r="E241" s="31" t="s">
        <v>1061</v>
      </c>
      <c r="F241" s="31" t="s">
        <v>1062</v>
      </c>
      <c r="G241" s="30" t="s">
        <v>1063</v>
      </c>
      <c r="H241" s="31" t="s">
        <v>146</v>
      </c>
      <c r="I241" s="37">
        <v>4800</v>
      </c>
      <c r="J241" s="37">
        <v>4320</v>
      </c>
      <c r="K241" s="36">
        <v>4220</v>
      </c>
      <c r="L241" s="36"/>
      <c r="M241" s="36"/>
      <c r="N241" s="41">
        <v>4550</v>
      </c>
      <c r="O241" s="41">
        <v>4150</v>
      </c>
      <c r="P241" s="41">
        <v>3550</v>
      </c>
      <c r="Q241" s="30" t="s">
        <v>42</v>
      </c>
      <c r="R241" s="36" t="s">
        <v>113</v>
      </c>
      <c r="S241" s="31" t="s">
        <v>1064</v>
      </c>
      <c r="T241" s="30" t="s">
        <v>1065</v>
      </c>
      <c r="U241" s="30">
        <v>330201042</v>
      </c>
      <c r="V241" s="30" t="s">
        <v>1066</v>
      </c>
      <c r="W241" s="30"/>
      <c r="X241" s="30"/>
      <c r="Y241" s="30" t="s">
        <v>40</v>
      </c>
      <c r="Z241" s="30" t="s">
        <v>43</v>
      </c>
      <c r="AA241" s="51">
        <v>4800</v>
      </c>
      <c r="AB241" s="51">
        <v>4320</v>
      </c>
      <c r="AC241" s="57">
        <v>4220</v>
      </c>
      <c r="AD241" s="57">
        <v>3800</v>
      </c>
      <c r="AE241" s="57">
        <v>3230</v>
      </c>
      <c r="AF241" s="58">
        <f t="shared" si="15"/>
        <v>0</v>
      </c>
      <c r="AG241" s="58" t="str">
        <f t="shared" si="16"/>
        <v>脑室造瘘费</v>
      </c>
      <c r="AH241" s="58">
        <f t="shared" si="17"/>
        <v>4550</v>
      </c>
      <c r="AI241" s="58">
        <f t="shared" si="18"/>
        <v>4150</v>
      </c>
      <c r="AJ241" s="58">
        <f t="shared" si="19"/>
        <v>3550</v>
      </c>
    </row>
    <row r="242" s="17" customFormat="1" ht="38" customHeight="1" spans="1:36">
      <c r="A242" s="29" t="s">
        <v>70</v>
      </c>
      <c r="B242" s="30" t="s">
        <v>1067</v>
      </c>
      <c r="C242" s="30" t="s">
        <v>1068</v>
      </c>
      <c r="D242" s="30" t="s">
        <v>378</v>
      </c>
      <c r="E242" s="31" t="s">
        <v>43</v>
      </c>
      <c r="F242" s="31" t="s">
        <v>43</v>
      </c>
      <c r="G242" s="30" t="s">
        <v>1063</v>
      </c>
      <c r="H242" s="31" t="s">
        <v>43</v>
      </c>
      <c r="I242" s="37">
        <v>1440</v>
      </c>
      <c r="J242" s="37">
        <v>1296</v>
      </c>
      <c r="K242" s="36"/>
      <c r="L242" s="36"/>
      <c r="M242" s="36"/>
      <c r="N242" s="41">
        <v>1365</v>
      </c>
      <c r="O242" s="41">
        <v>1245</v>
      </c>
      <c r="P242" s="41">
        <v>1065</v>
      </c>
      <c r="Q242" s="30" t="s">
        <v>42</v>
      </c>
      <c r="R242" s="36"/>
      <c r="S242" s="31" t="s">
        <v>384</v>
      </c>
      <c r="T242" s="46" t="s">
        <v>1069</v>
      </c>
      <c r="U242" s="46">
        <v>33020104201</v>
      </c>
      <c r="V242" s="48" t="s">
        <v>1070</v>
      </c>
      <c r="W242" s="46"/>
      <c r="X242" s="46"/>
      <c r="Y242" s="46" t="s">
        <v>40</v>
      </c>
      <c r="Z242" s="30" t="s">
        <v>43</v>
      </c>
      <c r="AA242" s="52">
        <v>6240</v>
      </c>
      <c r="AB242" s="51">
        <v>5615</v>
      </c>
      <c r="AC242" s="57">
        <v>5485</v>
      </c>
      <c r="AD242" s="57">
        <v>4940</v>
      </c>
      <c r="AE242" s="57">
        <v>4200</v>
      </c>
      <c r="AF242" s="58">
        <f t="shared" si="15"/>
        <v>6</v>
      </c>
      <c r="AG242" s="58" t="str">
        <f t="shared" si="16"/>
        <v>脑室造瘘费</v>
      </c>
      <c r="AH242" s="58">
        <f t="shared" si="17"/>
        <v>5915</v>
      </c>
      <c r="AI242" s="58">
        <f t="shared" si="18"/>
        <v>5395</v>
      </c>
      <c r="AJ242" s="58">
        <f t="shared" si="19"/>
        <v>4615</v>
      </c>
    </row>
    <row r="243" s="17" customFormat="1" customHeight="1" spans="1:36">
      <c r="A243" s="27" t="s">
        <v>70</v>
      </c>
      <c r="B243" s="28" t="s">
        <v>1071</v>
      </c>
      <c r="C243" s="28" t="s">
        <v>1072</v>
      </c>
      <c r="D243" s="28" t="s">
        <v>378</v>
      </c>
      <c r="E243" s="28"/>
      <c r="F243" s="28"/>
      <c r="G243" s="28" t="s">
        <v>1063</v>
      </c>
      <c r="H243" s="28" t="s">
        <v>146</v>
      </c>
      <c r="I243" s="34">
        <v>4800</v>
      </c>
      <c r="J243" s="34">
        <v>4320</v>
      </c>
      <c r="K243" s="38">
        <v>4220</v>
      </c>
      <c r="L243" s="36"/>
      <c r="M243" s="36"/>
      <c r="N243" s="40">
        <v>4550</v>
      </c>
      <c r="O243" s="40">
        <v>4150</v>
      </c>
      <c r="P243" s="40">
        <v>3550</v>
      </c>
      <c r="Q243" s="28" t="s">
        <v>42</v>
      </c>
      <c r="R243" s="36"/>
      <c r="S243" s="28" t="s">
        <v>1048</v>
      </c>
      <c r="T243" s="30" t="s">
        <v>1073</v>
      </c>
      <c r="U243" s="30">
        <v>330201049</v>
      </c>
      <c r="V243" s="30" t="s">
        <v>1074</v>
      </c>
      <c r="W243" s="30"/>
      <c r="X243" s="30"/>
      <c r="Y243" s="30" t="s">
        <v>40</v>
      </c>
      <c r="Z243" s="30" t="s">
        <v>43</v>
      </c>
      <c r="AA243" s="51">
        <v>4800</v>
      </c>
      <c r="AB243" s="51">
        <v>4320</v>
      </c>
      <c r="AC243" s="57">
        <v>4220</v>
      </c>
      <c r="AD243" s="57">
        <v>3800</v>
      </c>
      <c r="AE243" s="57">
        <v>3230</v>
      </c>
      <c r="AF243" s="58">
        <f t="shared" si="15"/>
        <v>0</v>
      </c>
      <c r="AG243" s="58" t="str">
        <f t="shared" si="16"/>
        <v>脑室造瘘费-终板造瘘（扩展）</v>
      </c>
      <c r="AH243" s="58">
        <f t="shared" si="17"/>
        <v>4550</v>
      </c>
      <c r="AI243" s="58">
        <f t="shared" si="18"/>
        <v>4150</v>
      </c>
      <c r="AJ243" s="58">
        <f t="shared" si="19"/>
        <v>3550</v>
      </c>
    </row>
    <row r="244" s="17" customFormat="1" customHeight="1" spans="1:36">
      <c r="A244" s="27" t="s">
        <v>70</v>
      </c>
      <c r="B244" s="28" t="s">
        <v>1071</v>
      </c>
      <c r="C244" s="28" t="s">
        <v>1072</v>
      </c>
      <c r="D244" s="28" t="s">
        <v>378</v>
      </c>
      <c r="E244" s="28"/>
      <c r="F244" s="28"/>
      <c r="G244" s="28" t="s">
        <v>1063</v>
      </c>
      <c r="H244" s="28" t="s">
        <v>146</v>
      </c>
      <c r="I244" s="34">
        <v>4800</v>
      </c>
      <c r="J244" s="34">
        <v>4320</v>
      </c>
      <c r="K244" s="38">
        <v>4220</v>
      </c>
      <c r="L244" s="36"/>
      <c r="M244" s="36"/>
      <c r="N244" s="40">
        <v>4550</v>
      </c>
      <c r="O244" s="40">
        <v>4150</v>
      </c>
      <c r="P244" s="40">
        <v>3550</v>
      </c>
      <c r="Q244" s="28" t="s">
        <v>42</v>
      </c>
      <c r="R244" s="36"/>
      <c r="S244" s="28" t="s">
        <v>1048</v>
      </c>
      <c r="T244" s="46" t="s">
        <v>1075</v>
      </c>
      <c r="U244" s="46">
        <v>33020104901</v>
      </c>
      <c r="V244" s="48" t="s">
        <v>1076</v>
      </c>
      <c r="W244" s="46"/>
      <c r="X244" s="46"/>
      <c r="Y244" s="46" t="s">
        <v>40</v>
      </c>
      <c r="Z244" s="30" t="s">
        <v>43</v>
      </c>
      <c r="AA244" s="52">
        <v>6240</v>
      </c>
      <c r="AB244" s="51">
        <v>5615</v>
      </c>
      <c r="AC244" s="57">
        <v>5485</v>
      </c>
      <c r="AD244" s="57">
        <v>4940</v>
      </c>
      <c r="AE244" s="57">
        <v>4200</v>
      </c>
      <c r="AF244" s="58">
        <f t="shared" si="15"/>
        <v>0</v>
      </c>
      <c r="AG244" s="58" t="str">
        <f t="shared" si="16"/>
        <v>脑室造瘘费-终板造瘘（扩展）</v>
      </c>
      <c r="AH244" s="58">
        <f t="shared" si="17"/>
        <v>4550</v>
      </c>
      <c r="AI244" s="58">
        <f t="shared" si="18"/>
        <v>4150</v>
      </c>
      <c r="AJ244" s="58">
        <f t="shared" si="19"/>
        <v>3550</v>
      </c>
    </row>
    <row r="245" s="17" customFormat="1" customHeight="1" spans="1:36">
      <c r="A245" s="27" t="s">
        <v>70</v>
      </c>
      <c r="B245" s="28" t="s">
        <v>1071</v>
      </c>
      <c r="C245" s="28" t="s">
        <v>1072</v>
      </c>
      <c r="D245" s="28" t="s">
        <v>378</v>
      </c>
      <c r="E245" s="28"/>
      <c r="F245" s="28"/>
      <c r="G245" s="28" t="s">
        <v>1063</v>
      </c>
      <c r="H245" s="28" t="s">
        <v>146</v>
      </c>
      <c r="I245" s="34">
        <v>4800</v>
      </c>
      <c r="J245" s="34">
        <v>4320</v>
      </c>
      <c r="K245" s="38">
        <v>4220</v>
      </c>
      <c r="L245" s="36"/>
      <c r="M245" s="36"/>
      <c r="N245" s="40">
        <v>4550</v>
      </c>
      <c r="O245" s="40">
        <v>4150</v>
      </c>
      <c r="P245" s="40">
        <v>3550</v>
      </c>
      <c r="Q245" s="28" t="s">
        <v>42</v>
      </c>
      <c r="R245" s="36"/>
      <c r="S245" s="28" t="s">
        <v>1048</v>
      </c>
      <c r="T245" s="46" t="s">
        <v>1077</v>
      </c>
      <c r="U245" s="46">
        <v>33020104902</v>
      </c>
      <c r="V245" s="48" t="s">
        <v>1078</v>
      </c>
      <c r="W245" s="46"/>
      <c r="X245" s="46"/>
      <c r="Y245" s="46" t="s">
        <v>40</v>
      </c>
      <c r="Z245" s="30" t="s">
        <v>43</v>
      </c>
      <c r="AA245" s="52">
        <v>5600</v>
      </c>
      <c r="AB245" s="51">
        <v>5040</v>
      </c>
      <c r="AC245" s="57">
        <v>4595</v>
      </c>
      <c r="AD245" s="57">
        <v>4160</v>
      </c>
      <c r="AE245" s="57">
        <v>3536</v>
      </c>
      <c r="AF245" s="58">
        <f t="shared" si="15"/>
        <v>0</v>
      </c>
      <c r="AG245" s="58" t="str">
        <f t="shared" si="16"/>
        <v>脑室造瘘费-终板造瘘（扩展）</v>
      </c>
      <c r="AH245" s="58">
        <f t="shared" si="17"/>
        <v>4550</v>
      </c>
      <c r="AI245" s="58">
        <f t="shared" si="18"/>
        <v>4150</v>
      </c>
      <c r="AJ245" s="58">
        <f t="shared" si="19"/>
        <v>3550</v>
      </c>
    </row>
    <row r="246" s="17" customFormat="1" customHeight="1" spans="1:36">
      <c r="A246" s="27" t="s">
        <v>70</v>
      </c>
      <c r="B246" s="28" t="s">
        <v>1071</v>
      </c>
      <c r="C246" s="28" t="s">
        <v>1072</v>
      </c>
      <c r="D246" s="28" t="s">
        <v>378</v>
      </c>
      <c r="E246" s="28"/>
      <c r="F246" s="28"/>
      <c r="G246" s="28" t="s">
        <v>1063</v>
      </c>
      <c r="H246" s="28" t="s">
        <v>146</v>
      </c>
      <c r="I246" s="34">
        <v>4800</v>
      </c>
      <c r="J246" s="34">
        <v>4320</v>
      </c>
      <c r="K246" s="38">
        <v>4220</v>
      </c>
      <c r="L246" s="36"/>
      <c r="M246" s="36"/>
      <c r="N246" s="40">
        <v>4550</v>
      </c>
      <c r="O246" s="40">
        <v>4150</v>
      </c>
      <c r="P246" s="40">
        <v>3550</v>
      </c>
      <c r="Q246" s="28" t="s">
        <v>42</v>
      </c>
      <c r="R246" s="36"/>
      <c r="S246" s="28" t="s">
        <v>1048</v>
      </c>
      <c r="T246" s="46" t="s">
        <v>1079</v>
      </c>
      <c r="U246" s="46">
        <v>33020104903</v>
      </c>
      <c r="V246" s="48" t="s">
        <v>1080</v>
      </c>
      <c r="W246" s="46"/>
      <c r="X246" s="46"/>
      <c r="Y246" s="46" t="s">
        <v>40</v>
      </c>
      <c r="Z246" s="30" t="s">
        <v>43</v>
      </c>
      <c r="AA246" s="52">
        <v>7040</v>
      </c>
      <c r="AB246" s="51">
        <v>6335</v>
      </c>
      <c r="AC246" s="57">
        <v>5860</v>
      </c>
      <c r="AD246" s="57">
        <v>5300</v>
      </c>
      <c r="AE246" s="57">
        <v>4505</v>
      </c>
      <c r="AF246" s="58">
        <f t="shared" si="15"/>
        <v>0</v>
      </c>
      <c r="AG246" s="58" t="str">
        <f t="shared" si="16"/>
        <v>脑室造瘘费-终板造瘘（扩展）</v>
      </c>
      <c r="AH246" s="58">
        <f t="shared" si="17"/>
        <v>4550</v>
      </c>
      <c r="AI246" s="58">
        <f t="shared" si="18"/>
        <v>4150</v>
      </c>
      <c r="AJ246" s="58">
        <f t="shared" si="19"/>
        <v>3550</v>
      </c>
    </row>
    <row r="247" s="17" customFormat="1" ht="44" customHeight="1" spans="1:36">
      <c r="A247" s="29" t="s">
        <v>70</v>
      </c>
      <c r="B247" s="30" t="s">
        <v>1081</v>
      </c>
      <c r="C247" s="30" t="s">
        <v>1082</v>
      </c>
      <c r="D247" s="30" t="s">
        <v>378</v>
      </c>
      <c r="E247" s="31" t="s">
        <v>43</v>
      </c>
      <c r="F247" s="31" t="s">
        <v>43</v>
      </c>
      <c r="G247" s="30" t="s">
        <v>1063</v>
      </c>
      <c r="H247" s="31" t="s">
        <v>146</v>
      </c>
      <c r="I247" s="37">
        <v>4800</v>
      </c>
      <c r="J247" s="37">
        <v>4320</v>
      </c>
      <c r="K247" s="36"/>
      <c r="L247" s="36"/>
      <c r="M247" s="36"/>
      <c r="N247" s="41">
        <v>4550</v>
      </c>
      <c r="O247" s="41">
        <v>4150</v>
      </c>
      <c r="P247" s="41">
        <v>3550</v>
      </c>
      <c r="Q247" s="30" t="s">
        <v>42</v>
      </c>
      <c r="R247" s="36"/>
      <c r="S247" s="31" t="s">
        <v>1048</v>
      </c>
      <c r="T247" s="30" t="s">
        <v>1083</v>
      </c>
      <c r="U247" s="30" t="s">
        <v>1084</v>
      </c>
      <c r="V247" s="30" t="s">
        <v>1085</v>
      </c>
      <c r="W247" s="30" t="s">
        <v>1086</v>
      </c>
      <c r="X247" s="30" t="s">
        <v>1087</v>
      </c>
      <c r="Y247" s="30" t="s">
        <v>40</v>
      </c>
      <c r="Z247" s="30" t="s">
        <v>43</v>
      </c>
      <c r="AA247" s="51"/>
      <c r="AB247" s="51"/>
      <c r="AC247" s="57" t="s">
        <v>326</v>
      </c>
      <c r="AD247" s="57" t="s">
        <v>326</v>
      </c>
      <c r="AE247" s="57" t="s">
        <v>326</v>
      </c>
      <c r="AF247" s="58">
        <f t="shared" si="15"/>
        <v>0</v>
      </c>
      <c r="AG247" s="58" t="str">
        <f t="shared" si="16"/>
        <v>脑室造瘘费-透明隔造瘘（扩展）</v>
      </c>
      <c r="AH247" s="58">
        <f t="shared" si="17"/>
        <v>4550</v>
      </c>
      <c r="AI247" s="58">
        <f t="shared" si="18"/>
        <v>4150</v>
      </c>
      <c r="AJ247" s="58">
        <f t="shared" si="19"/>
        <v>3550</v>
      </c>
    </row>
    <row r="248" s="17" customFormat="1" ht="69" customHeight="1" spans="1:36">
      <c r="A248" s="29">
        <v>55</v>
      </c>
      <c r="B248" s="30" t="s">
        <v>1088</v>
      </c>
      <c r="C248" s="30" t="s">
        <v>1089</v>
      </c>
      <c r="D248" s="30" t="s">
        <v>378</v>
      </c>
      <c r="E248" s="31" t="s">
        <v>1090</v>
      </c>
      <c r="F248" s="31" t="s">
        <v>1091</v>
      </c>
      <c r="G248" s="30" t="s">
        <v>40</v>
      </c>
      <c r="H248" s="31" t="s">
        <v>146</v>
      </c>
      <c r="I248" s="37">
        <v>3460</v>
      </c>
      <c r="J248" s="37">
        <v>3114</v>
      </c>
      <c r="K248" s="36"/>
      <c r="L248" s="36"/>
      <c r="M248" s="36"/>
      <c r="N248" s="41">
        <v>3150</v>
      </c>
      <c r="O248" s="41">
        <v>2850</v>
      </c>
      <c r="P248" s="41">
        <v>2450</v>
      </c>
      <c r="Q248" s="30" t="s">
        <v>42</v>
      </c>
      <c r="R248" s="36" t="s">
        <v>113</v>
      </c>
      <c r="S248" s="31" t="s">
        <v>1092</v>
      </c>
      <c r="T248" s="30" t="s">
        <v>1093</v>
      </c>
      <c r="U248" s="30">
        <v>330201052</v>
      </c>
      <c r="V248" s="30" t="s">
        <v>1094</v>
      </c>
      <c r="W248" s="30" t="s">
        <v>1095</v>
      </c>
      <c r="X248" s="30" t="s">
        <v>1096</v>
      </c>
      <c r="Y248" s="30" t="s">
        <v>40</v>
      </c>
      <c r="Z248" s="30" t="s">
        <v>43</v>
      </c>
      <c r="AA248" s="51">
        <v>3460</v>
      </c>
      <c r="AB248" s="51">
        <v>3110</v>
      </c>
      <c r="AC248" s="57">
        <v>3040</v>
      </c>
      <c r="AD248" s="57">
        <v>2740</v>
      </c>
      <c r="AE248" s="57">
        <v>2330</v>
      </c>
      <c r="AF248" s="58">
        <f t="shared" si="15"/>
        <v>0</v>
      </c>
      <c r="AG248" s="58" t="str">
        <f t="shared" si="16"/>
        <v>脑脊膜膨出修补费</v>
      </c>
      <c r="AH248" s="58">
        <f t="shared" si="17"/>
        <v>3150</v>
      </c>
      <c r="AI248" s="58">
        <f t="shared" si="18"/>
        <v>2850</v>
      </c>
      <c r="AJ248" s="58">
        <f t="shared" si="19"/>
        <v>2450</v>
      </c>
    </row>
    <row r="249" s="17" customFormat="1" ht="43" customHeight="1" spans="1:36">
      <c r="A249" s="29" t="s">
        <v>70</v>
      </c>
      <c r="B249" s="30" t="s">
        <v>1097</v>
      </c>
      <c r="C249" s="30" t="s">
        <v>1098</v>
      </c>
      <c r="D249" s="30" t="s">
        <v>378</v>
      </c>
      <c r="E249" s="31" t="s">
        <v>43</v>
      </c>
      <c r="F249" s="31" t="s">
        <v>43</v>
      </c>
      <c r="G249" s="30" t="s">
        <v>40</v>
      </c>
      <c r="H249" s="31" t="s">
        <v>43</v>
      </c>
      <c r="I249" s="37">
        <v>1038</v>
      </c>
      <c r="J249" s="37">
        <v>934</v>
      </c>
      <c r="K249" s="36"/>
      <c r="L249" s="36"/>
      <c r="M249" s="36"/>
      <c r="N249" s="41">
        <v>945</v>
      </c>
      <c r="O249" s="41">
        <v>855</v>
      </c>
      <c r="P249" s="41">
        <v>735</v>
      </c>
      <c r="Q249" s="30" t="s">
        <v>42</v>
      </c>
      <c r="R249" s="36"/>
      <c r="S249" s="31" t="s">
        <v>384</v>
      </c>
      <c r="T249" s="46" t="s">
        <v>1099</v>
      </c>
      <c r="U249" s="46">
        <v>33020105201</v>
      </c>
      <c r="V249" s="48" t="s">
        <v>1100</v>
      </c>
      <c r="W249" s="46"/>
      <c r="X249" s="46"/>
      <c r="Y249" s="46" t="s">
        <v>40</v>
      </c>
      <c r="Z249" s="30" t="s">
        <v>43</v>
      </c>
      <c r="AA249" s="52">
        <v>4500</v>
      </c>
      <c r="AB249" s="51">
        <v>4045</v>
      </c>
      <c r="AC249" s="57">
        <v>3950</v>
      </c>
      <c r="AD249" s="57">
        <v>3560</v>
      </c>
      <c r="AE249" s="57">
        <v>3025</v>
      </c>
      <c r="AF249" s="58">
        <f t="shared" si="15"/>
        <v>9</v>
      </c>
      <c r="AG249" s="58" t="str">
        <f t="shared" si="16"/>
        <v>脑脊膜膨出修补费</v>
      </c>
      <c r="AH249" s="58">
        <f t="shared" si="17"/>
        <v>4095</v>
      </c>
      <c r="AI249" s="58">
        <f t="shared" si="18"/>
        <v>3705</v>
      </c>
      <c r="AJ249" s="58">
        <f t="shared" si="19"/>
        <v>3185</v>
      </c>
    </row>
    <row r="250" s="17" customFormat="1" ht="61" customHeight="1" spans="1:36">
      <c r="A250" s="27">
        <v>56</v>
      </c>
      <c r="B250" s="28" t="s">
        <v>1101</v>
      </c>
      <c r="C250" s="30" t="s">
        <v>1102</v>
      </c>
      <c r="D250" s="28" t="s">
        <v>378</v>
      </c>
      <c r="E250" s="28" t="s">
        <v>1103</v>
      </c>
      <c r="F250" s="28" t="s">
        <v>1104</v>
      </c>
      <c r="G250" s="30" t="s">
        <v>40</v>
      </c>
      <c r="H250" s="28" t="s">
        <v>1105</v>
      </c>
      <c r="I250" s="37">
        <v>9000</v>
      </c>
      <c r="J250" s="37">
        <v>8100</v>
      </c>
      <c r="K250" s="36">
        <v>8800</v>
      </c>
      <c r="L250" s="36">
        <v>8360</v>
      </c>
      <c r="M250" s="36"/>
      <c r="N250" s="41">
        <v>8800</v>
      </c>
      <c r="O250" s="41">
        <v>8100</v>
      </c>
      <c r="P250" s="41">
        <v>6900</v>
      </c>
      <c r="Q250" s="28" t="s">
        <v>42</v>
      </c>
      <c r="R250" s="36" t="s">
        <v>186</v>
      </c>
      <c r="S250" s="28" t="s">
        <v>434</v>
      </c>
      <c r="T250" s="30" t="s">
        <v>1106</v>
      </c>
      <c r="U250" s="30">
        <v>330203002</v>
      </c>
      <c r="V250" s="30" t="s">
        <v>1107</v>
      </c>
      <c r="W250" s="30" t="s">
        <v>1108</v>
      </c>
      <c r="X250" s="30" t="s">
        <v>1109</v>
      </c>
      <c r="Y250" s="30" t="s">
        <v>40</v>
      </c>
      <c r="Z250" s="30" t="s">
        <v>1110</v>
      </c>
      <c r="AA250" s="51">
        <v>9000</v>
      </c>
      <c r="AB250" s="51">
        <v>7560</v>
      </c>
      <c r="AC250" s="57">
        <v>8800</v>
      </c>
      <c r="AD250" s="57">
        <v>8360</v>
      </c>
      <c r="AE250" s="57">
        <v>7520</v>
      </c>
      <c r="AF250" s="58">
        <f t="shared" si="15"/>
        <v>0</v>
      </c>
      <c r="AG250" s="58" t="str">
        <f t="shared" si="16"/>
        <v>颅内动脉瘤夹闭成形费</v>
      </c>
      <c r="AH250" s="58">
        <f t="shared" si="17"/>
        <v>8800</v>
      </c>
      <c r="AI250" s="58">
        <f t="shared" si="18"/>
        <v>8100</v>
      </c>
      <c r="AJ250" s="58">
        <f t="shared" si="19"/>
        <v>6900</v>
      </c>
    </row>
    <row r="251" s="17" customFormat="1" ht="29" customHeight="1" spans="1:36">
      <c r="A251" s="27">
        <v>56</v>
      </c>
      <c r="B251" s="28" t="s">
        <v>1101</v>
      </c>
      <c r="C251" s="30" t="s">
        <v>1111</v>
      </c>
      <c r="D251" s="28"/>
      <c r="E251" s="28"/>
      <c r="F251" s="28"/>
      <c r="G251" s="30" t="s">
        <v>40</v>
      </c>
      <c r="H251" s="28"/>
      <c r="I251" s="37">
        <v>450</v>
      </c>
      <c r="J251" s="37">
        <v>405</v>
      </c>
      <c r="K251" s="36">
        <v>600</v>
      </c>
      <c r="L251" s="36">
        <v>540</v>
      </c>
      <c r="M251" s="36"/>
      <c r="N251" s="41">
        <v>440</v>
      </c>
      <c r="O251" s="41">
        <v>405</v>
      </c>
      <c r="P251" s="41">
        <v>345</v>
      </c>
      <c r="Q251" s="28" t="s">
        <v>42</v>
      </c>
      <c r="R251" s="36"/>
      <c r="S251" s="28" t="s">
        <v>1112</v>
      </c>
      <c r="T251" s="46" t="s">
        <v>1113</v>
      </c>
      <c r="U251" s="46">
        <v>33020300201</v>
      </c>
      <c r="V251" s="48" t="s">
        <v>1114</v>
      </c>
      <c r="W251" s="46"/>
      <c r="X251" s="46"/>
      <c r="Y251" s="46" t="s">
        <v>40</v>
      </c>
      <c r="Z251" s="30" t="s">
        <v>1115</v>
      </c>
      <c r="AA251" s="52">
        <v>600</v>
      </c>
      <c r="AB251" s="51">
        <v>540</v>
      </c>
      <c r="AC251" s="57">
        <v>600</v>
      </c>
      <c r="AD251" s="57">
        <v>540</v>
      </c>
      <c r="AE251" s="57">
        <v>460</v>
      </c>
      <c r="AF251" s="58">
        <f t="shared" si="15"/>
        <v>0</v>
      </c>
      <c r="AG251" s="58" t="str">
        <f t="shared" si="16"/>
        <v>颅内动脉瘤夹闭成形费（每增加1个动脉瘤加收5%）</v>
      </c>
      <c r="AH251" s="58">
        <f t="shared" si="17"/>
        <v>440</v>
      </c>
      <c r="AI251" s="58">
        <f t="shared" si="18"/>
        <v>405</v>
      </c>
      <c r="AJ251" s="58">
        <f t="shared" si="19"/>
        <v>345</v>
      </c>
    </row>
    <row r="252" s="17" customFormat="1" ht="27" customHeight="1" spans="1:36">
      <c r="A252" s="27" t="s">
        <v>70</v>
      </c>
      <c r="B252" s="28" t="s">
        <v>1116</v>
      </c>
      <c r="C252" s="28" t="s">
        <v>1117</v>
      </c>
      <c r="D252" s="28" t="s">
        <v>378</v>
      </c>
      <c r="E252" s="28"/>
      <c r="F252" s="28"/>
      <c r="G252" s="28" t="s">
        <v>40</v>
      </c>
      <c r="H252" s="28"/>
      <c r="I252" s="34">
        <v>2700</v>
      </c>
      <c r="J252" s="34">
        <v>2430</v>
      </c>
      <c r="K252" s="36"/>
      <c r="L252" s="36"/>
      <c r="M252" s="36"/>
      <c r="N252" s="40">
        <v>2640</v>
      </c>
      <c r="O252" s="40">
        <v>2430</v>
      </c>
      <c r="P252" s="40">
        <v>2070</v>
      </c>
      <c r="Q252" s="28" t="s">
        <v>42</v>
      </c>
      <c r="R252" s="36"/>
      <c r="S252" s="28" t="s">
        <v>384</v>
      </c>
      <c r="T252" s="46" t="s">
        <v>1118</v>
      </c>
      <c r="U252" s="46">
        <v>33020300202</v>
      </c>
      <c r="V252" s="48" t="s">
        <v>1119</v>
      </c>
      <c r="W252" s="46"/>
      <c r="X252" s="46"/>
      <c r="Y252" s="46" t="s">
        <v>40</v>
      </c>
      <c r="Z252" s="30" t="s">
        <v>43</v>
      </c>
      <c r="AA252" s="52">
        <v>11700</v>
      </c>
      <c r="AB252" s="51">
        <v>9830</v>
      </c>
      <c r="AC252" s="57">
        <v>11440</v>
      </c>
      <c r="AD252" s="57">
        <v>10865</v>
      </c>
      <c r="AE252" s="57">
        <v>9775</v>
      </c>
      <c r="AF252" s="58">
        <f t="shared" si="15"/>
        <v>11</v>
      </c>
      <c r="AG252" s="58" t="str">
        <f t="shared" si="16"/>
        <v>颅内动脉瘤夹闭成形费</v>
      </c>
      <c r="AH252" s="58">
        <f t="shared" si="17"/>
        <v>11440</v>
      </c>
      <c r="AI252" s="58">
        <f t="shared" si="18"/>
        <v>10530</v>
      </c>
      <c r="AJ252" s="58">
        <f t="shared" si="19"/>
        <v>8970</v>
      </c>
    </row>
    <row r="253" s="17" customFormat="1" ht="27" customHeight="1" spans="1:36">
      <c r="A253" s="27" t="s">
        <v>70</v>
      </c>
      <c r="B253" s="28" t="s">
        <v>1116</v>
      </c>
      <c r="C253" s="28" t="s">
        <v>1117</v>
      </c>
      <c r="D253" s="28" t="s">
        <v>378</v>
      </c>
      <c r="E253" s="28"/>
      <c r="F253" s="28"/>
      <c r="G253" s="28" t="s">
        <v>40</v>
      </c>
      <c r="H253" s="28"/>
      <c r="I253" s="34">
        <v>2700</v>
      </c>
      <c r="J253" s="34">
        <v>2430</v>
      </c>
      <c r="K253" s="36"/>
      <c r="L253" s="36"/>
      <c r="M253" s="36"/>
      <c r="N253" s="40">
        <v>2640</v>
      </c>
      <c r="O253" s="40">
        <v>2430</v>
      </c>
      <c r="P253" s="40">
        <v>2070</v>
      </c>
      <c r="Q253" s="28" t="s">
        <v>42</v>
      </c>
      <c r="R253" s="36"/>
      <c r="S253" s="28" t="s">
        <v>384</v>
      </c>
      <c r="T253" s="46" t="s">
        <v>1120</v>
      </c>
      <c r="U253" s="46">
        <v>33020300203</v>
      </c>
      <c r="V253" s="48" t="s">
        <v>1121</v>
      </c>
      <c r="W253" s="46"/>
      <c r="X253" s="46"/>
      <c r="Y253" s="46" t="s">
        <v>40</v>
      </c>
      <c r="Z253" s="30" t="s">
        <v>1122</v>
      </c>
      <c r="AA253" s="52">
        <v>780</v>
      </c>
      <c r="AB253" s="51">
        <v>700</v>
      </c>
      <c r="AC253" s="57">
        <v>780</v>
      </c>
      <c r="AD253" s="57">
        <v>700</v>
      </c>
      <c r="AE253" s="57">
        <v>595</v>
      </c>
      <c r="AF253" s="58">
        <f t="shared" si="15"/>
        <v>11</v>
      </c>
      <c r="AG253" s="58" t="str">
        <f t="shared" si="16"/>
        <v>颅内动脉瘤夹闭成形费</v>
      </c>
      <c r="AH253" s="58">
        <f t="shared" si="17"/>
        <v>11440</v>
      </c>
      <c r="AI253" s="58">
        <f t="shared" si="18"/>
        <v>10530</v>
      </c>
      <c r="AJ253" s="58">
        <f t="shared" si="19"/>
        <v>8970</v>
      </c>
    </row>
    <row r="254" s="17" customFormat="1" customHeight="1" spans="1:36">
      <c r="A254" s="27" t="s">
        <v>70</v>
      </c>
      <c r="B254" s="28" t="s">
        <v>1123</v>
      </c>
      <c r="C254" s="28" t="s">
        <v>1124</v>
      </c>
      <c r="D254" s="28" t="s">
        <v>378</v>
      </c>
      <c r="E254" s="28"/>
      <c r="F254" s="28"/>
      <c r="G254" s="28" t="s">
        <v>40</v>
      </c>
      <c r="H254" s="28"/>
      <c r="I254" s="34">
        <v>900</v>
      </c>
      <c r="J254" s="34">
        <v>810</v>
      </c>
      <c r="K254" s="36"/>
      <c r="L254" s="36"/>
      <c r="M254" s="36"/>
      <c r="N254" s="40">
        <v>880</v>
      </c>
      <c r="O254" s="40">
        <v>810</v>
      </c>
      <c r="P254" s="40">
        <v>690</v>
      </c>
      <c r="Q254" s="28" t="s">
        <v>42</v>
      </c>
      <c r="R254" s="36"/>
      <c r="S254" s="28" t="s">
        <v>1125</v>
      </c>
      <c r="T254" s="30" t="s">
        <v>1126</v>
      </c>
      <c r="U254" s="30">
        <v>330203001</v>
      </c>
      <c r="V254" s="30" t="s">
        <v>1127</v>
      </c>
      <c r="W254" s="30" t="s">
        <v>1128</v>
      </c>
      <c r="X254" s="30" t="s">
        <v>1109</v>
      </c>
      <c r="Y254" s="30" t="s">
        <v>40</v>
      </c>
      <c r="Z254" s="30" t="s">
        <v>1129</v>
      </c>
      <c r="AA254" s="51">
        <v>9900</v>
      </c>
      <c r="AB254" s="51">
        <v>8320</v>
      </c>
      <c r="AC254" s="57">
        <v>7630</v>
      </c>
      <c r="AD254" s="57">
        <v>6870</v>
      </c>
      <c r="AE254" s="57">
        <v>5840</v>
      </c>
      <c r="AF254" s="58">
        <f t="shared" si="15"/>
        <v>0</v>
      </c>
      <c r="AG254" s="58" t="str">
        <f t="shared" si="16"/>
        <v>颅内动脉瘤夹闭成形费-大型动脉瘤（加收）</v>
      </c>
      <c r="AH254" s="58">
        <f t="shared" si="17"/>
        <v>880</v>
      </c>
      <c r="AI254" s="58">
        <f t="shared" si="18"/>
        <v>810</v>
      </c>
      <c r="AJ254" s="58">
        <f t="shared" si="19"/>
        <v>690</v>
      </c>
    </row>
    <row r="255" s="17" customFormat="1" customHeight="1" spans="1:36">
      <c r="A255" s="27" t="s">
        <v>70</v>
      </c>
      <c r="B255" s="28" t="s">
        <v>1123</v>
      </c>
      <c r="C255" s="28" t="s">
        <v>1124</v>
      </c>
      <c r="D255" s="28" t="s">
        <v>378</v>
      </c>
      <c r="E255" s="28"/>
      <c r="F255" s="28"/>
      <c r="G255" s="28" t="s">
        <v>40</v>
      </c>
      <c r="H255" s="28"/>
      <c r="I255" s="34">
        <v>900</v>
      </c>
      <c r="J255" s="34">
        <v>810</v>
      </c>
      <c r="K255" s="36"/>
      <c r="L255" s="36"/>
      <c r="M255" s="36"/>
      <c r="N255" s="40">
        <v>880</v>
      </c>
      <c r="O255" s="40">
        <v>810</v>
      </c>
      <c r="P255" s="40">
        <v>690</v>
      </c>
      <c r="Q255" s="28" t="s">
        <v>42</v>
      </c>
      <c r="R255" s="36"/>
      <c r="S255" s="28" t="s">
        <v>1125</v>
      </c>
      <c r="T255" s="30" t="s">
        <v>1130</v>
      </c>
      <c r="U255" s="30">
        <v>33020300102</v>
      </c>
      <c r="V255" s="30" t="s">
        <v>1131</v>
      </c>
      <c r="W255" s="30"/>
      <c r="X255" s="30"/>
      <c r="Y255" s="30" t="s">
        <v>40</v>
      </c>
      <c r="Z255" s="30" t="s">
        <v>43</v>
      </c>
      <c r="AA255" s="51">
        <v>12870</v>
      </c>
      <c r="AB255" s="51">
        <v>10815</v>
      </c>
      <c r="AC255" s="57">
        <v>9920</v>
      </c>
      <c r="AD255" s="57">
        <v>8930</v>
      </c>
      <c r="AE255" s="57">
        <v>7590</v>
      </c>
      <c r="AF255" s="58">
        <f t="shared" si="15"/>
        <v>0</v>
      </c>
      <c r="AG255" s="58" t="str">
        <f t="shared" si="16"/>
        <v>颅内动脉瘤夹闭成形费-大型动脉瘤（加收）</v>
      </c>
      <c r="AH255" s="58">
        <f t="shared" si="17"/>
        <v>880</v>
      </c>
      <c r="AI255" s="58">
        <f t="shared" si="18"/>
        <v>810</v>
      </c>
      <c r="AJ255" s="58">
        <f t="shared" si="19"/>
        <v>690</v>
      </c>
    </row>
    <row r="256" s="17" customFormat="1" customHeight="1" spans="1:36">
      <c r="A256" s="27" t="s">
        <v>70</v>
      </c>
      <c r="B256" s="28" t="s">
        <v>1123</v>
      </c>
      <c r="C256" s="28" t="s">
        <v>1124</v>
      </c>
      <c r="D256" s="28" t="s">
        <v>378</v>
      </c>
      <c r="E256" s="28"/>
      <c r="F256" s="28"/>
      <c r="G256" s="28" t="s">
        <v>40</v>
      </c>
      <c r="H256" s="28"/>
      <c r="I256" s="34">
        <v>900</v>
      </c>
      <c r="J256" s="34">
        <v>810</v>
      </c>
      <c r="K256" s="36"/>
      <c r="L256" s="36"/>
      <c r="M256" s="36"/>
      <c r="N256" s="40">
        <v>880</v>
      </c>
      <c r="O256" s="40">
        <v>810</v>
      </c>
      <c r="P256" s="40">
        <v>690</v>
      </c>
      <c r="Q256" s="28" t="s">
        <v>42</v>
      </c>
      <c r="R256" s="36"/>
      <c r="S256" s="28" t="s">
        <v>1125</v>
      </c>
      <c r="T256" s="30" t="s">
        <v>1132</v>
      </c>
      <c r="U256" s="30">
        <v>33020300101</v>
      </c>
      <c r="V256" s="30" t="s">
        <v>1133</v>
      </c>
      <c r="W256" s="30"/>
      <c r="X256" s="30"/>
      <c r="Y256" s="30" t="s">
        <v>40</v>
      </c>
      <c r="Z256" s="30" t="s">
        <v>1134</v>
      </c>
      <c r="AA256" s="51">
        <v>1250</v>
      </c>
      <c r="AB256" s="51">
        <v>1050</v>
      </c>
      <c r="AC256" s="57">
        <v>1120</v>
      </c>
      <c r="AD256" s="57">
        <v>1010</v>
      </c>
      <c r="AE256" s="57">
        <v>860</v>
      </c>
      <c r="AF256" s="58">
        <f t="shared" si="15"/>
        <v>0</v>
      </c>
      <c r="AG256" s="58" t="str">
        <f t="shared" si="16"/>
        <v>颅内动脉瘤夹闭成形费-大型动脉瘤（加收）</v>
      </c>
      <c r="AH256" s="58">
        <f t="shared" si="17"/>
        <v>880</v>
      </c>
      <c r="AI256" s="58">
        <f t="shared" si="18"/>
        <v>810</v>
      </c>
      <c r="AJ256" s="58">
        <f t="shared" si="19"/>
        <v>690</v>
      </c>
    </row>
    <row r="257" s="17" customFormat="1" customHeight="1" spans="1:36">
      <c r="A257" s="27" t="s">
        <v>70</v>
      </c>
      <c r="B257" s="28" t="s">
        <v>1123</v>
      </c>
      <c r="C257" s="28" t="s">
        <v>1124</v>
      </c>
      <c r="D257" s="28" t="s">
        <v>378</v>
      </c>
      <c r="E257" s="28"/>
      <c r="F257" s="28"/>
      <c r="G257" s="28" t="s">
        <v>40</v>
      </c>
      <c r="H257" s="28"/>
      <c r="I257" s="34">
        <v>900</v>
      </c>
      <c r="J257" s="34">
        <v>810</v>
      </c>
      <c r="K257" s="36"/>
      <c r="L257" s="36"/>
      <c r="M257" s="36"/>
      <c r="N257" s="40">
        <v>880</v>
      </c>
      <c r="O257" s="40">
        <v>810</v>
      </c>
      <c r="P257" s="40">
        <v>690</v>
      </c>
      <c r="Q257" s="28" t="s">
        <v>42</v>
      </c>
      <c r="R257" s="36"/>
      <c r="S257" s="28" t="s">
        <v>1125</v>
      </c>
      <c r="T257" s="46" t="s">
        <v>1135</v>
      </c>
      <c r="U257" s="46">
        <v>33020300103</v>
      </c>
      <c r="V257" s="48" t="s">
        <v>1136</v>
      </c>
      <c r="W257" s="46"/>
      <c r="X257" s="46"/>
      <c r="Y257" s="46" t="s">
        <v>40</v>
      </c>
      <c r="Z257" s="30" t="s">
        <v>1137</v>
      </c>
      <c r="AA257" s="52">
        <v>1625</v>
      </c>
      <c r="AB257" s="51">
        <v>1365</v>
      </c>
      <c r="AC257" s="57">
        <v>1455</v>
      </c>
      <c r="AD257" s="57">
        <v>1315</v>
      </c>
      <c r="AE257" s="57">
        <v>1120</v>
      </c>
      <c r="AF257" s="58">
        <f t="shared" si="15"/>
        <v>0</v>
      </c>
      <c r="AG257" s="58" t="str">
        <f t="shared" si="16"/>
        <v>颅内动脉瘤夹闭成形费-大型动脉瘤（加收）</v>
      </c>
      <c r="AH257" s="58">
        <f t="shared" si="17"/>
        <v>880</v>
      </c>
      <c r="AI257" s="58">
        <f t="shared" si="18"/>
        <v>810</v>
      </c>
      <c r="AJ257" s="58">
        <f t="shared" si="19"/>
        <v>690</v>
      </c>
    </row>
    <row r="258" s="17" customFormat="1" ht="42" customHeight="1" spans="1:36">
      <c r="A258" s="27">
        <v>57</v>
      </c>
      <c r="B258" s="28" t="s">
        <v>1141</v>
      </c>
      <c r="C258" s="28" t="s">
        <v>1142</v>
      </c>
      <c r="D258" s="28" t="s">
        <v>378</v>
      </c>
      <c r="E258" s="28" t="s">
        <v>1143</v>
      </c>
      <c r="F258" s="28" t="s">
        <v>1144</v>
      </c>
      <c r="G258" s="28" t="s">
        <v>40</v>
      </c>
      <c r="H258" s="28" t="s">
        <v>1145</v>
      </c>
      <c r="I258" s="34">
        <v>5760</v>
      </c>
      <c r="J258" s="34">
        <v>5184</v>
      </c>
      <c r="K258" s="38">
        <v>5060</v>
      </c>
      <c r="L258" s="36"/>
      <c r="M258" s="36"/>
      <c r="N258" s="40">
        <v>5200</v>
      </c>
      <c r="O258" s="40">
        <v>4700</v>
      </c>
      <c r="P258" s="40">
        <v>4000</v>
      </c>
      <c r="Q258" s="28" t="s">
        <v>42</v>
      </c>
      <c r="R258" s="38" t="s">
        <v>113</v>
      </c>
      <c r="S258" s="28" t="s">
        <v>1146</v>
      </c>
      <c r="T258" s="30" t="s">
        <v>1147</v>
      </c>
      <c r="U258" s="30">
        <v>330203011</v>
      </c>
      <c r="V258" s="30" t="s">
        <v>1148</v>
      </c>
      <c r="W258" s="30" t="s">
        <v>1149</v>
      </c>
      <c r="X258" s="30"/>
      <c r="Y258" s="30" t="s">
        <v>40</v>
      </c>
      <c r="Z258" s="30" t="s">
        <v>1150</v>
      </c>
      <c r="AA258" s="51">
        <v>5760</v>
      </c>
      <c r="AB258" s="51">
        <v>5180</v>
      </c>
      <c r="AC258" s="57">
        <v>5060</v>
      </c>
      <c r="AD258" s="57">
        <v>4550</v>
      </c>
      <c r="AE258" s="57">
        <v>3870</v>
      </c>
      <c r="AF258" s="58">
        <f t="shared" si="15"/>
        <v>0</v>
      </c>
      <c r="AG258" s="58" t="str">
        <f t="shared" si="16"/>
        <v>颅内外动脉搭桥费</v>
      </c>
      <c r="AH258" s="58">
        <f t="shared" si="17"/>
        <v>5200</v>
      </c>
      <c r="AI258" s="58">
        <f t="shared" si="18"/>
        <v>4700</v>
      </c>
      <c r="AJ258" s="58">
        <f t="shared" si="19"/>
        <v>4000</v>
      </c>
    </row>
    <row r="259" s="17" customFormat="1" ht="42" customHeight="1" spans="1:36">
      <c r="A259" s="27">
        <v>57</v>
      </c>
      <c r="B259" s="28" t="s">
        <v>1141</v>
      </c>
      <c r="C259" s="28" t="s">
        <v>1142</v>
      </c>
      <c r="D259" s="28" t="s">
        <v>378</v>
      </c>
      <c r="E259" s="28" t="s">
        <v>1143</v>
      </c>
      <c r="F259" s="28" t="s">
        <v>1144</v>
      </c>
      <c r="G259" s="28" t="s">
        <v>40</v>
      </c>
      <c r="H259" s="28" t="s">
        <v>1145</v>
      </c>
      <c r="I259" s="34">
        <v>5760</v>
      </c>
      <c r="J259" s="34">
        <v>5184</v>
      </c>
      <c r="K259" s="38">
        <v>5060</v>
      </c>
      <c r="L259" s="36"/>
      <c r="M259" s="36"/>
      <c r="N259" s="40">
        <v>5200</v>
      </c>
      <c r="O259" s="40">
        <v>4700</v>
      </c>
      <c r="P259" s="40">
        <v>4000</v>
      </c>
      <c r="Q259" s="28" t="s">
        <v>42</v>
      </c>
      <c r="R259" s="38" t="s">
        <v>113</v>
      </c>
      <c r="S259" s="28" t="s">
        <v>1146</v>
      </c>
      <c r="T259" s="30" t="s">
        <v>1151</v>
      </c>
      <c r="U259" s="30">
        <v>330203012</v>
      </c>
      <c r="V259" s="30" t="s">
        <v>1152</v>
      </c>
      <c r="W259" s="30"/>
      <c r="X259" s="30"/>
      <c r="Y259" s="30" t="s">
        <v>40</v>
      </c>
      <c r="Z259" s="30" t="s">
        <v>43</v>
      </c>
      <c r="AA259" s="51">
        <v>5760</v>
      </c>
      <c r="AB259" s="51">
        <v>5180</v>
      </c>
      <c r="AC259" s="57">
        <v>5060</v>
      </c>
      <c r="AD259" s="57">
        <v>4550</v>
      </c>
      <c r="AE259" s="57">
        <v>3870</v>
      </c>
      <c r="AF259" s="58">
        <f t="shared" si="15"/>
        <v>0</v>
      </c>
      <c r="AG259" s="58" t="str">
        <f t="shared" si="16"/>
        <v>颅内外动脉搭桥费</v>
      </c>
      <c r="AH259" s="58">
        <f t="shared" si="17"/>
        <v>5200</v>
      </c>
      <c r="AI259" s="58">
        <f t="shared" si="18"/>
        <v>4700</v>
      </c>
      <c r="AJ259" s="58">
        <f t="shared" si="19"/>
        <v>4000</v>
      </c>
    </row>
    <row r="260" s="17" customFormat="1" ht="23" customHeight="1" spans="1:36">
      <c r="A260" s="27" t="s">
        <v>70</v>
      </c>
      <c r="B260" s="28" t="s">
        <v>1153</v>
      </c>
      <c r="C260" s="28" t="s">
        <v>1154</v>
      </c>
      <c r="D260" s="28" t="s">
        <v>378</v>
      </c>
      <c r="E260" s="28"/>
      <c r="F260" s="28"/>
      <c r="G260" s="28" t="s">
        <v>40</v>
      </c>
      <c r="H260" s="28"/>
      <c r="I260" s="34">
        <v>1728</v>
      </c>
      <c r="J260" s="34">
        <v>1555</v>
      </c>
      <c r="K260" s="36"/>
      <c r="L260" s="36"/>
      <c r="M260" s="36"/>
      <c r="N260" s="40">
        <v>1560</v>
      </c>
      <c r="O260" s="40">
        <v>1410</v>
      </c>
      <c r="P260" s="40">
        <v>1200</v>
      </c>
      <c r="Q260" s="28" t="s">
        <v>42</v>
      </c>
      <c r="R260" s="36"/>
      <c r="S260" s="28" t="s">
        <v>384</v>
      </c>
      <c r="T260" s="46" t="s">
        <v>1155</v>
      </c>
      <c r="U260" s="46">
        <v>33020301102</v>
      </c>
      <c r="V260" s="48" t="s">
        <v>1156</v>
      </c>
      <c r="W260" s="46"/>
      <c r="X260" s="46"/>
      <c r="Y260" s="46" t="s">
        <v>40</v>
      </c>
      <c r="Z260" s="30" t="s">
        <v>43</v>
      </c>
      <c r="AA260" s="52">
        <v>7490</v>
      </c>
      <c r="AB260" s="51">
        <v>6735</v>
      </c>
      <c r="AC260" s="57">
        <v>6580</v>
      </c>
      <c r="AD260" s="57">
        <v>5915</v>
      </c>
      <c r="AE260" s="57">
        <v>5030</v>
      </c>
      <c r="AF260" s="58">
        <f t="shared" si="15"/>
        <v>9</v>
      </c>
      <c r="AG260" s="58" t="str">
        <f t="shared" si="16"/>
        <v>颅内外动脉搭桥费</v>
      </c>
      <c r="AH260" s="58">
        <f t="shared" si="17"/>
        <v>6760</v>
      </c>
      <c r="AI260" s="58">
        <f t="shared" si="18"/>
        <v>6110</v>
      </c>
      <c r="AJ260" s="58">
        <f t="shared" si="19"/>
        <v>5200</v>
      </c>
    </row>
    <row r="261" s="17" customFormat="1" ht="23" customHeight="1" spans="1:36">
      <c r="A261" s="27" t="s">
        <v>70</v>
      </c>
      <c r="B261" s="28" t="s">
        <v>1153</v>
      </c>
      <c r="C261" s="28" t="s">
        <v>1154</v>
      </c>
      <c r="D261" s="28" t="s">
        <v>378</v>
      </c>
      <c r="E261" s="28"/>
      <c r="F261" s="28"/>
      <c r="G261" s="28" t="s">
        <v>40</v>
      </c>
      <c r="H261" s="28"/>
      <c r="I261" s="34">
        <v>1728</v>
      </c>
      <c r="J261" s="34">
        <v>1555</v>
      </c>
      <c r="K261" s="36"/>
      <c r="L261" s="36"/>
      <c r="M261" s="36"/>
      <c r="N261" s="40">
        <v>1560</v>
      </c>
      <c r="O261" s="40">
        <v>1410</v>
      </c>
      <c r="P261" s="40">
        <v>1200</v>
      </c>
      <c r="Q261" s="28" t="s">
        <v>42</v>
      </c>
      <c r="R261" s="36"/>
      <c r="S261" s="28" t="s">
        <v>384</v>
      </c>
      <c r="T261" s="46" t="s">
        <v>1157</v>
      </c>
      <c r="U261" s="46">
        <v>33020301201</v>
      </c>
      <c r="V261" s="48" t="s">
        <v>1158</v>
      </c>
      <c r="W261" s="46"/>
      <c r="X261" s="46"/>
      <c r="Y261" s="46" t="s">
        <v>40</v>
      </c>
      <c r="Z261" s="30" t="s">
        <v>43</v>
      </c>
      <c r="AA261" s="52">
        <v>7490</v>
      </c>
      <c r="AB261" s="51">
        <v>6735</v>
      </c>
      <c r="AC261" s="57">
        <v>6580</v>
      </c>
      <c r="AD261" s="57">
        <v>5915</v>
      </c>
      <c r="AE261" s="57">
        <v>5030</v>
      </c>
      <c r="AF261" s="58">
        <f t="shared" si="15"/>
        <v>9</v>
      </c>
      <c r="AG261" s="58" t="str">
        <f t="shared" si="16"/>
        <v>颅内外动脉搭桥费</v>
      </c>
      <c r="AH261" s="58">
        <f t="shared" si="17"/>
        <v>6760</v>
      </c>
      <c r="AI261" s="58">
        <f t="shared" si="18"/>
        <v>6110</v>
      </c>
      <c r="AJ261" s="58">
        <f t="shared" si="19"/>
        <v>5200</v>
      </c>
    </row>
    <row r="262" s="17" customFormat="1" ht="29" customHeight="1" spans="1:36">
      <c r="A262" s="27" t="s">
        <v>70</v>
      </c>
      <c r="B262" s="28" t="s">
        <v>1159</v>
      </c>
      <c r="C262" s="28" t="s">
        <v>1160</v>
      </c>
      <c r="D262" s="28" t="s">
        <v>378</v>
      </c>
      <c r="E262" s="28"/>
      <c r="F262" s="28"/>
      <c r="G262" s="28" t="s">
        <v>40</v>
      </c>
      <c r="H262" s="31"/>
      <c r="I262" s="34">
        <v>480</v>
      </c>
      <c r="J262" s="34">
        <v>432</v>
      </c>
      <c r="K262" s="36"/>
      <c r="L262" s="36"/>
      <c r="M262" s="36"/>
      <c r="N262" s="40">
        <v>435</v>
      </c>
      <c r="O262" s="40">
        <v>390</v>
      </c>
      <c r="P262" s="40">
        <v>335</v>
      </c>
      <c r="Q262" s="28" t="s">
        <v>42</v>
      </c>
      <c r="R262" s="36"/>
      <c r="S262" s="28" t="s">
        <v>1161</v>
      </c>
      <c r="T262" s="30" t="s">
        <v>1162</v>
      </c>
      <c r="U262" s="30">
        <v>33020301101</v>
      </c>
      <c r="V262" s="30" t="s">
        <v>1163</v>
      </c>
      <c r="W262" s="30"/>
      <c r="X262" s="30"/>
      <c r="Y262" s="30" t="s">
        <v>40</v>
      </c>
      <c r="Z262" s="30" t="s">
        <v>1164</v>
      </c>
      <c r="AA262" s="51">
        <v>6240</v>
      </c>
      <c r="AB262" s="51">
        <v>5610</v>
      </c>
      <c r="AC262" s="57">
        <v>5490</v>
      </c>
      <c r="AD262" s="57">
        <v>4935</v>
      </c>
      <c r="AE262" s="57">
        <v>4195</v>
      </c>
      <c r="AF262" s="58">
        <f t="shared" ref="AF262:AF325" si="20">IFERROR(FIND("-儿童（加收）",C262,1),0)</f>
        <v>0</v>
      </c>
      <c r="AG262" s="58" t="str">
        <f t="shared" ref="AG262:AG325" si="21">SUBSTITUTE(C262,"-儿童（加收）","")</f>
        <v>颅内外动脉搭桥费-移植血管搭桥（加收）</v>
      </c>
      <c r="AH262" s="58">
        <f t="shared" ref="AH262:AH325" si="22">IF(AF262&gt;0,_xlfn.MAXIFS(N:N,C:C,SUBSTITUTE(C262,"-儿童（加收）","")),0)+N262</f>
        <v>435</v>
      </c>
      <c r="AI262" s="58">
        <f t="shared" ref="AI262:AI325" si="23">IF(AF262&gt;0,_xlfn.MAXIFS(O:O,C:C,SUBSTITUTE(C262,"-儿童（加收）","")),0)+O262</f>
        <v>390</v>
      </c>
      <c r="AJ262" s="58">
        <f t="shared" ref="AJ262:AJ325" si="24">IF(AF262&gt;0,_xlfn.MAXIFS(P:P,C:C,SUBSTITUTE(C262,"-儿童（加收）","")),0)+P262</f>
        <v>335</v>
      </c>
    </row>
    <row r="263" s="17" customFormat="1" ht="29" customHeight="1" spans="1:36">
      <c r="A263" s="27" t="s">
        <v>70</v>
      </c>
      <c r="B263" s="28" t="s">
        <v>1159</v>
      </c>
      <c r="C263" s="28" t="s">
        <v>1160</v>
      </c>
      <c r="D263" s="28" t="s">
        <v>378</v>
      </c>
      <c r="E263" s="28"/>
      <c r="F263" s="28"/>
      <c r="G263" s="28" t="s">
        <v>40</v>
      </c>
      <c r="H263" s="31"/>
      <c r="I263" s="34">
        <v>480</v>
      </c>
      <c r="J263" s="34">
        <v>432</v>
      </c>
      <c r="K263" s="36"/>
      <c r="L263" s="36"/>
      <c r="M263" s="36"/>
      <c r="N263" s="40">
        <v>435</v>
      </c>
      <c r="O263" s="40">
        <v>390</v>
      </c>
      <c r="P263" s="40">
        <v>335</v>
      </c>
      <c r="Q263" s="28" t="s">
        <v>42</v>
      </c>
      <c r="R263" s="36"/>
      <c r="S263" s="28" t="s">
        <v>1161</v>
      </c>
      <c r="T263" s="46" t="s">
        <v>1165</v>
      </c>
      <c r="U263" s="46">
        <v>33020301103</v>
      </c>
      <c r="V263" s="48" t="s">
        <v>1166</v>
      </c>
      <c r="W263" s="46"/>
      <c r="X263" s="46"/>
      <c r="Y263" s="46" t="s">
        <v>40</v>
      </c>
      <c r="Z263" s="30" t="s">
        <v>1164</v>
      </c>
      <c r="AA263" s="52">
        <v>8110</v>
      </c>
      <c r="AB263" s="51">
        <v>7295</v>
      </c>
      <c r="AC263" s="57">
        <v>7135</v>
      </c>
      <c r="AD263" s="57">
        <v>6415</v>
      </c>
      <c r="AE263" s="57">
        <v>5455</v>
      </c>
      <c r="AF263" s="58">
        <f t="shared" si="20"/>
        <v>0</v>
      </c>
      <c r="AG263" s="58" t="str">
        <f t="shared" si="21"/>
        <v>颅内外动脉搭桥费-移植血管搭桥（加收）</v>
      </c>
      <c r="AH263" s="58">
        <f t="shared" si="22"/>
        <v>435</v>
      </c>
      <c r="AI263" s="58">
        <f t="shared" si="23"/>
        <v>390</v>
      </c>
      <c r="AJ263" s="58">
        <f t="shared" si="24"/>
        <v>335</v>
      </c>
    </row>
    <row r="264" s="17" customFormat="1" ht="20" customHeight="1" spans="1:36">
      <c r="A264" s="27">
        <v>58</v>
      </c>
      <c r="B264" s="28" t="s">
        <v>1167</v>
      </c>
      <c r="C264" s="28" t="s">
        <v>1168</v>
      </c>
      <c r="D264" s="28" t="s">
        <v>378</v>
      </c>
      <c r="E264" s="28" t="s">
        <v>1169</v>
      </c>
      <c r="F264" s="28" t="s">
        <v>1170</v>
      </c>
      <c r="G264" s="28" t="s">
        <v>40</v>
      </c>
      <c r="H264" s="31"/>
      <c r="I264" s="34">
        <v>5760</v>
      </c>
      <c r="J264" s="34">
        <v>5184</v>
      </c>
      <c r="K264" s="36"/>
      <c r="L264" s="36"/>
      <c r="M264" s="36"/>
      <c r="N264" s="40">
        <v>5200</v>
      </c>
      <c r="O264" s="40">
        <v>4700</v>
      </c>
      <c r="P264" s="40">
        <v>4000</v>
      </c>
      <c r="Q264" s="28" t="s">
        <v>42</v>
      </c>
      <c r="R264" s="38" t="s">
        <v>280</v>
      </c>
      <c r="S264" s="28" t="s">
        <v>1171</v>
      </c>
      <c r="T264" s="30" t="s">
        <v>1172</v>
      </c>
      <c r="U264" s="30">
        <v>330203015</v>
      </c>
      <c r="V264" s="30" t="s">
        <v>1173</v>
      </c>
      <c r="W264" s="30"/>
      <c r="X264" s="30"/>
      <c r="Y264" s="30" t="s">
        <v>40</v>
      </c>
      <c r="Z264" s="30" t="s">
        <v>43</v>
      </c>
      <c r="AA264" s="51">
        <v>5760</v>
      </c>
      <c r="AB264" s="51">
        <v>5180</v>
      </c>
      <c r="AC264" s="57">
        <v>5060</v>
      </c>
      <c r="AD264" s="57">
        <v>4550</v>
      </c>
      <c r="AE264" s="57">
        <v>3870</v>
      </c>
      <c r="AF264" s="58">
        <f t="shared" si="20"/>
        <v>0</v>
      </c>
      <c r="AG264" s="58" t="str">
        <f t="shared" si="21"/>
        <v>颅内血管重建费</v>
      </c>
      <c r="AH264" s="58">
        <f t="shared" si="22"/>
        <v>5200</v>
      </c>
      <c r="AI264" s="58">
        <f t="shared" si="23"/>
        <v>4700</v>
      </c>
      <c r="AJ264" s="58">
        <f t="shared" si="24"/>
        <v>4000</v>
      </c>
    </row>
    <row r="265" s="17" customFormat="1" ht="20" customHeight="1" spans="1:36">
      <c r="A265" s="27">
        <v>58</v>
      </c>
      <c r="B265" s="28" t="s">
        <v>1167</v>
      </c>
      <c r="C265" s="28" t="s">
        <v>1168</v>
      </c>
      <c r="D265" s="28" t="s">
        <v>378</v>
      </c>
      <c r="E265" s="28" t="s">
        <v>1169</v>
      </c>
      <c r="F265" s="28" t="s">
        <v>1170</v>
      </c>
      <c r="G265" s="28" t="s">
        <v>40</v>
      </c>
      <c r="H265" s="31"/>
      <c r="I265" s="34">
        <v>5760</v>
      </c>
      <c r="J265" s="34">
        <v>5184</v>
      </c>
      <c r="K265" s="36"/>
      <c r="L265" s="36"/>
      <c r="M265" s="36"/>
      <c r="N265" s="40">
        <v>5200</v>
      </c>
      <c r="O265" s="40">
        <v>4700</v>
      </c>
      <c r="P265" s="40">
        <v>4000</v>
      </c>
      <c r="Q265" s="28" t="s">
        <v>42</v>
      </c>
      <c r="R265" s="38" t="s">
        <v>280</v>
      </c>
      <c r="S265" s="28" t="s">
        <v>1171</v>
      </c>
      <c r="T265" s="30" t="s">
        <v>1174</v>
      </c>
      <c r="U265" s="30">
        <v>330201050</v>
      </c>
      <c r="V265" s="30" t="s">
        <v>1175</v>
      </c>
      <c r="W265" s="30"/>
      <c r="X265" s="30" t="s">
        <v>1176</v>
      </c>
      <c r="Y265" s="30" t="s">
        <v>40</v>
      </c>
      <c r="Z265" s="30" t="s">
        <v>43</v>
      </c>
      <c r="AA265" s="51">
        <v>6000</v>
      </c>
      <c r="AB265" s="51">
        <v>5400</v>
      </c>
      <c r="AC265" s="57">
        <v>5160</v>
      </c>
      <c r="AD265" s="57">
        <v>4640</v>
      </c>
      <c r="AE265" s="57">
        <v>3940</v>
      </c>
      <c r="AF265" s="58">
        <f t="shared" si="20"/>
        <v>0</v>
      </c>
      <c r="AG265" s="58" t="str">
        <f t="shared" si="21"/>
        <v>颅内血管重建费</v>
      </c>
      <c r="AH265" s="58">
        <f t="shared" si="22"/>
        <v>5200</v>
      </c>
      <c r="AI265" s="58">
        <f t="shared" si="23"/>
        <v>4700</v>
      </c>
      <c r="AJ265" s="58">
        <f t="shared" si="24"/>
        <v>4000</v>
      </c>
    </row>
    <row r="266" s="17" customFormat="1" ht="20" customHeight="1" spans="1:36">
      <c r="A266" s="27">
        <v>58</v>
      </c>
      <c r="B266" s="28" t="s">
        <v>1167</v>
      </c>
      <c r="C266" s="28" t="s">
        <v>1168</v>
      </c>
      <c r="D266" s="28" t="s">
        <v>378</v>
      </c>
      <c r="E266" s="28" t="s">
        <v>1169</v>
      </c>
      <c r="F266" s="28" t="s">
        <v>1170</v>
      </c>
      <c r="G266" s="28" t="s">
        <v>40</v>
      </c>
      <c r="H266" s="31"/>
      <c r="I266" s="34">
        <v>5760</v>
      </c>
      <c r="J266" s="34">
        <v>5184</v>
      </c>
      <c r="K266" s="36"/>
      <c r="L266" s="36"/>
      <c r="M266" s="36"/>
      <c r="N266" s="40">
        <v>5200</v>
      </c>
      <c r="O266" s="40">
        <v>4700</v>
      </c>
      <c r="P266" s="40">
        <v>4000</v>
      </c>
      <c r="Q266" s="28" t="s">
        <v>42</v>
      </c>
      <c r="R266" s="38" t="s">
        <v>280</v>
      </c>
      <c r="S266" s="28" t="s">
        <v>1171</v>
      </c>
      <c r="T266" s="30" t="s">
        <v>1177</v>
      </c>
      <c r="U266" s="30">
        <v>330201058</v>
      </c>
      <c r="V266" s="30" t="s">
        <v>1178</v>
      </c>
      <c r="W266" s="30" t="s">
        <v>1179</v>
      </c>
      <c r="X266" s="30"/>
      <c r="Y266" s="30" t="s">
        <v>40</v>
      </c>
      <c r="Z266" s="30" t="s">
        <v>43</v>
      </c>
      <c r="AA266" s="51">
        <v>3840</v>
      </c>
      <c r="AB266" s="51">
        <v>3460</v>
      </c>
      <c r="AC266" s="57">
        <v>3380</v>
      </c>
      <c r="AD266" s="57">
        <v>3040</v>
      </c>
      <c r="AE266" s="57">
        <v>2580</v>
      </c>
      <c r="AF266" s="58">
        <f t="shared" si="20"/>
        <v>0</v>
      </c>
      <c r="AG266" s="58" t="str">
        <f t="shared" si="21"/>
        <v>颅内血管重建费</v>
      </c>
      <c r="AH266" s="58">
        <f t="shared" si="22"/>
        <v>5200</v>
      </c>
      <c r="AI266" s="58">
        <f t="shared" si="23"/>
        <v>4700</v>
      </c>
      <c r="AJ266" s="58">
        <f t="shared" si="24"/>
        <v>4000</v>
      </c>
    </row>
    <row r="267" s="17" customFormat="1" ht="20" customHeight="1" spans="1:36">
      <c r="A267" s="27">
        <v>58</v>
      </c>
      <c r="B267" s="28" t="s">
        <v>1167</v>
      </c>
      <c r="C267" s="28" t="s">
        <v>1168</v>
      </c>
      <c r="D267" s="28" t="s">
        <v>378</v>
      </c>
      <c r="E267" s="28" t="s">
        <v>1169</v>
      </c>
      <c r="F267" s="28" t="s">
        <v>1170</v>
      </c>
      <c r="G267" s="28" t="s">
        <v>40</v>
      </c>
      <c r="H267" s="31"/>
      <c r="I267" s="34">
        <v>5760</v>
      </c>
      <c r="J267" s="34">
        <v>5184</v>
      </c>
      <c r="K267" s="36"/>
      <c r="L267" s="36"/>
      <c r="M267" s="36"/>
      <c r="N267" s="40">
        <v>5200</v>
      </c>
      <c r="O267" s="40">
        <v>4700</v>
      </c>
      <c r="P267" s="40">
        <v>4000</v>
      </c>
      <c r="Q267" s="28" t="s">
        <v>42</v>
      </c>
      <c r="R267" s="38" t="s">
        <v>280</v>
      </c>
      <c r="S267" s="28" t="s">
        <v>1171</v>
      </c>
      <c r="T267" s="36" t="s">
        <v>1180</v>
      </c>
      <c r="U267" s="36">
        <v>33020100601</v>
      </c>
      <c r="V267" s="36" t="s">
        <v>1181</v>
      </c>
      <c r="W267" s="36"/>
      <c r="X267" s="36"/>
      <c r="Y267" s="36" t="s">
        <v>40</v>
      </c>
      <c r="Z267" s="36" t="s">
        <v>43</v>
      </c>
      <c r="AA267" s="54">
        <v>2835</v>
      </c>
      <c r="AB267" s="54">
        <v>2555</v>
      </c>
      <c r="AC267" s="54">
        <v>2625</v>
      </c>
      <c r="AD267" s="54">
        <v>2520</v>
      </c>
      <c r="AE267" s="54">
        <v>2142</v>
      </c>
      <c r="AF267" s="58">
        <f t="shared" si="20"/>
        <v>0</v>
      </c>
      <c r="AG267" s="58" t="str">
        <f t="shared" si="21"/>
        <v>颅内血管重建费</v>
      </c>
      <c r="AH267" s="58">
        <f t="shared" si="22"/>
        <v>5200</v>
      </c>
      <c r="AI267" s="58">
        <f t="shared" si="23"/>
        <v>4700</v>
      </c>
      <c r="AJ267" s="58">
        <f t="shared" si="24"/>
        <v>4000</v>
      </c>
    </row>
    <row r="268" s="17" customFormat="1" customHeight="1" spans="1:36">
      <c r="A268" s="27" t="s">
        <v>70</v>
      </c>
      <c r="B268" s="28" t="s">
        <v>1182</v>
      </c>
      <c r="C268" s="28" t="s">
        <v>1183</v>
      </c>
      <c r="D268" s="28" t="s">
        <v>378</v>
      </c>
      <c r="E268" s="28"/>
      <c r="F268" s="28"/>
      <c r="G268" s="28" t="s">
        <v>40</v>
      </c>
      <c r="H268" s="28"/>
      <c r="I268" s="34">
        <v>1728</v>
      </c>
      <c r="J268" s="34">
        <v>1555</v>
      </c>
      <c r="K268" s="36"/>
      <c r="L268" s="36"/>
      <c r="M268" s="36"/>
      <c r="N268" s="40">
        <v>1560</v>
      </c>
      <c r="O268" s="40">
        <v>1410</v>
      </c>
      <c r="P268" s="40">
        <v>1200</v>
      </c>
      <c r="Q268" s="28" t="s">
        <v>42</v>
      </c>
      <c r="R268" s="36"/>
      <c r="S268" s="28" t="s">
        <v>384</v>
      </c>
      <c r="T268" s="46" t="s">
        <v>1184</v>
      </c>
      <c r="U268" s="46">
        <v>33020301501</v>
      </c>
      <c r="V268" s="48" t="s">
        <v>1185</v>
      </c>
      <c r="W268" s="46"/>
      <c r="X268" s="46"/>
      <c r="Y268" s="46" t="s">
        <v>40</v>
      </c>
      <c r="Z268" s="30" t="s">
        <v>43</v>
      </c>
      <c r="AA268" s="52">
        <v>7490</v>
      </c>
      <c r="AB268" s="51">
        <v>6735</v>
      </c>
      <c r="AC268" s="57">
        <v>6580</v>
      </c>
      <c r="AD268" s="57">
        <v>5915</v>
      </c>
      <c r="AE268" s="57">
        <v>5030</v>
      </c>
      <c r="AF268" s="58">
        <f t="shared" si="20"/>
        <v>8</v>
      </c>
      <c r="AG268" s="58" t="str">
        <f t="shared" si="21"/>
        <v>颅内血管重建费</v>
      </c>
      <c r="AH268" s="58">
        <f t="shared" si="22"/>
        <v>6760</v>
      </c>
      <c r="AI268" s="58">
        <f t="shared" si="23"/>
        <v>6110</v>
      </c>
      <c r="AJ268" s="58">
        <f t="shared" si="24"/>
        <v>5200</v>
      </c>
    </row>
    <row r="269" s="17" customFormat="1" customHeight="1" spans="1:36">
      <c r="A269" s="27" t="s">
        <v>70</v>
      </c>
      <c r="B269" s="28" t="s">
        <v>1182</v>
      </c>
      <c r="C269" s="28" t="s">
        <v>1183</v>
      </c>
      <c r="D269" s="28" t="s">
        <v>378</v>
      </c>
      <c r="E269" s="28"/>
      <c r="F269" s="28"/>
      <c r="G269" s="28" t="s">
        <v>40</v>
      </c>
      <c r="H269" s="28"/>
      <c r="I269" s="34">
        <v>1728</v>
      </c>
      <c r="J269" s="34">
        <v>1555</v>
      </c>
      <c r="K269" s="36"/>
      <c r="L269" s="36"/>
      <c r="M269" s="36"/>
      <c r="N269" s="40">
        <v>1560</v>
      </c>
      <c r="O269" s="40">
        <v>1410</v>
      </c>
      <c r="P269" s="40">
        <v>1200</v>
      </c>
      <c r="Q269" s="28" t="s">
        <v>42</v>
      </c>
      <c r="R269" s="36"/>
      <c r="S269" s="28" t="s">
        <v>384</v>
      </c>
      <c r="T269" s="46" t="s">
        <v>1186</v>
      </c>
      <c r="U269" s="46">
        <v>33020105001</v>
      </c>
      <c r="V269" s="48" t="s">
        <v>1187</v>
      </c>
      <c r="W269" s="46"/>
      <c r="X269" s="46"/>
      <c r="Y269" s="46" t="s">
        <v>40</v>
      </c>
      <c r="Z269" s="30" t="s">
        <v>43</v>
      </c>
      <c r="AA269" s="52">
        <v>7800</v>
      </c>
      <c r="AB269" s="51">
        <v>7020</v>
      </c>
      <c r="AC269" s="57">
        <v>6710</v>
      </c>
      <c r="AD269" s="57">
        <v>6030</v>
      </c>
      <c r="AE269" s="57">
        <v>5125</v>
      </c>
      <c r="AF269" s="58">
        <f t="shared" si="20"/>
        <v>8</v>
      </c>
      <c r="AG269" s="58" t="str">
        <f t="shared" si="21"/>
        <v>颅内血管重建费</v>
      </c>
      <c r="AH269" s="58">
        <f t="shared" si="22"/>
        <v>6760</v>
      </c>
      <c r="AI269" s="58">
        <f t="shared" si="23"/>
        <v>6110</v>
      </c>
      <c r="AJ269" s="58">
        <f t="shared" si="24"/>
        <v>5200</v>
      </c>
    </row>
    <row r="270" s="17" customFormat="1" customHeight="1" spans="1:36">
      <c r="A270" s="27" t="s">
        <v>70</v>
      </c>
      <c r="B270" s="28" t="s">
        <v>1182</v>
      </c>
      <c r="C270" s="28" t="s">
        <v>1183</v>
      </c>
      <c r="D270" s="28" t="s">
        <v>378</v>
      </c>
      <c r="E270" s="28"/>
      <c r="F270" s="28"/>
      <c r="G270" s="28" t="s">
        <v>40</v>
      </c>
      <c r="H270" s="28"/>
      <c r="I270" s="34">
        <v>1728</v>
      </c>
      <c r="J270" s="34">
        <v>1555</v>
      </c>
      <c r="K270" s="36"/>
      <c r="L270" s="36"/>
      <c r="M270" s="36"/>
      <c r="N270" s="40">
        <v>1560</v>
      </c>
      <c r="O270" s="40">
        <v>1410</v>
      </c>
      <c r="P270" s="40">
        <v>1200</v>
      </c>
      <c r="Q270" s="28" t="s">
        <v>42</v>
      </c>
      <c r="R270" s="36"/>
      <c r="S270" s="28" t="s">
        <v>384</v>
      </c>
      <c r="T270" s="46" t="s">
        <v>1188</v>
      </c>
      <c r="U270" s="46">
        <v>33020105801</v>
      </c>
      <c r="V270" s="48" t="s">
        <v>1189</v>
      </c>
      <c r="W270" s="46"/>
      <c r="X270" s="46"/>
      <c r="Y270" s="46" t="s">
        <v>40</v>
      </c>
      <c r="Z270" s="30" t="s">
        <v>43</v>
      </c>
      <c r="AA270" s="52">
        <v>4990</v>
      </c>
      <c r="AB270" s="51">
        <v>4500</v>
      </c>
      <c r="AC270" s="57">
        <v>4395</v>
      </c>
      <c r="AD270" s="57">
        <v>3950</v>
      </c>
      <c r="AE270" s="57">
        <v>3360</v>
      </c>
      <c r="AF270" s="58">
        <f t="shared" si="20"/>
        <v>8</v>
      </c>
      <c r="AG270" s="58" t="str">
        <f t="shared" si="21"/>
        <v>颅内血管重建费</v>
      </c>
      <c r="AH270" s="58">
        <f t="shared" si="22"/>
        <v>6760</v>
      </c>
      <c r="AI270" s="58">
        <f t="shared" si="23"/>
        <v>6110</v>
      </c>
      <c r="AJ270" s="58">
        <f t="shared" si="24"/>
        <v>5200</v>
      </c>
    </row>
    <row r="271" s="17" customFormat="1" customHeight="1" spans="1:36">
      <c r="A271" s="27" t="s">
        <v>70</v>
      </c>
      <c r="B271" s="28" t="s">
        <v>1182</v>
      </c>
      <c r="C271" s="28" t="s">
        <v>1183</v>
      </c>
      <c r="D271" s="28" t="s">
        <v>378</v>
      </c>
      <c r="E271" s="28"/>
      <c r="F271" s="28"/>
      <c r="G271" s="28" t="s">
        <v>40</v>
      </c>
      <c r="H271" s="28"/>
      <c r="I271" s="34">
        <v>1728</v>
      </c>
      <c r="J271" s="34">
        <v>1555</v>
      </c>
      <c r="K271" s="36"/>
      <c r="L271" s="36"/>
      <c r="M271" s="36"/>
      <c r="N271" s="40">
        <v>1560</v>
      </c>
      <c r="O271" s="40">
        <v>1410</v>
      </c>
      <c r="P271" s="40">
        <v>1200</v>
      </c>
      <c r="Q271" s="28" t="s">
        <v>42</v>
      </c>
      <c r="R271" s="36"/>
      <c r="S271" s="28" t="s">
        <v>384</v>
      </c>
      <c r="T271" s="69" t="s">
        <v>1190</v>
      </c>
      <c r="U271" s="69">
        <v>33020100603</v>
      </c>
      <c r="V271" s="70" t="s">
        <v>1191</v>
      </c>
      <c r="W271" s="69"/>
      <c r="X271" s="69"/>
      <c r="Y271" s="69" t="s">
        <v>40</v>
      </c>
      <c r="Z271" s="36" t="s">
        <v>43</v>
      </c>
      <c r="AA271" s="72">
        <v>3685</v>
      </c>
      <c r="AB271" s="54">
        <v>3320</v>
      </c>
      <c r="AC271" s="54">
        <v>3415</v>
      </c>
      <c r="AD271" s="54">
        <v>3275</v>
      </c>
      <c r="AE271" s="54">
        <v>2785</v>
      </c>
      <c r="AF271" s="58">
        <f t="shared" si="20"/>
        <v>8</v>
      </c>
      <c r="AG271" s="58" t="str">
        <f t="shared" si="21"/>
        <v>颅内血管重建费</v>
      </c>
      <c r="AH271" s="58">
        <f t="shared" si="22"/>
        <v>6760</v>
      </c>
      <c r="AI271" s="58">
        <f t="shared" si="23"/>
        <v>6110</v>
      </c>
      <c r="AJ271" s="58">
        <f t="shared" si="24"/>
        <v>5200</v>
      </c>
    </row>
    <row r="272" s="17" customFormat="1" customHeight="1" spans="1:36">
      <c r="A272" s="27">
        <v>59</v>
      </c>
      <c r="B272" s="28" t="s">
        <v>1192</v>
      </c>
      <c r="C272" s="28" t="s">
        <v>1193</v>
      </c>
      <c r="D272" s="28" t="s">
        <v>378</v>
      </c>
      <c r="E272" s="28" t="s">
        <v>1194</v>
      </c>
      <c r="F272" s="28" t="s">
        <v>1195</v>
      </c>
      <c r="G272" s="28" t="s">
        <v>40</v>
      </c>
      <c r="H272" s="28" t="s">
        <v>1196</v>
      </c>
      <c r="I272" s="34">
        <v>2175</v>
      </c>
      <c r="J272" s="34">
        <v>1958</v>
      </c>
      <c r="K272" s="35">
        <v>2044.32624113475</v>
      </c>
      <c r="L272" s="35">
        <v>1936.36363636364</v>
      </c>
      <c r="M272" s="38">
        <v>1224</v>
      </c>
      <c r="N272" s="40">
        <v>2050</v>
      </c>
      <c r="O272" s="40">
        <v>1940</v>
      </c>
      <c r="P272" s="40">
        <v>1650</v>
      </c>
      <c r="Q272" s="28" t="s">
        <v>42</v>
      </c>
      <c r="R272" s="38" t="s">
        <v>44</v>
      </c>
      <c r="S272" s="28" t="s">
        <v>1197</v>
      </c>
      <c r="T272" s="30" t="s">
        <v>1198</v>
      </c>
      <c r="U272" s="30">
        <v>330201019</v>
      </c>
      <c r="V272" s="30" t="s">
        <v>1199</v>
      </c>
      <c r="W272" s="30" t="s">
        <v>1200</v>
      </c>
      <c r="X272" s="30" t="s">
        <v>1201</v>
      </c>
      <c r="Y272" s="30" t="s">
        <v>40</v>
      </c>
      <c r="Z272" s="30" t="s">
        <v>43</v>
      </c>
      <c r="AA272" s="51">
        <v>2160</v>
      </c>
      <c r="AB272" s="51">
        <v>1940</v>
      </c>
      <c r="AC272" s="57">
        <v>2000</v>
      </c>
      <c r="AD272" s="57">
        <v>1920</v>
      </c>
      <c r="AE272" s="57">
        <v>1632</v>
      </c>
      <c r="AF272" s="58">
        <f t="shared" si="20"/>
        <v>0</v>
      </c>
      <c r="AG272" s="58" t="str">
        <f t="shared" si="21"/>
        <v>脑脊液分流装置置入费</v>
      </c>
      <c r="AH272" s="58">
        <f t="shared" si="22"/>
        <v>2050</v>
      </c>
      <c r="AI272" s="58">
        <f t="shared" si="23"/>
        <v>1940</v>
      </c>
      <c r="AJ272" s="58">
        <f t="shared" si="24"/>
        <v>1650</v>
      </c>
    </row>
    <row r="273" s="17" customFormat="1" customHeight="1" spans="1:36">
      <c r="A273" s="27">
        <v>59</v>
      </c>
      <c r="B273" s="28" t="s">
        <v>1192</v>
      </c>
      <c r="C273" s="28" t="s">
        <v>1193</v>
      </c>
      <c r="D273" s="28" t="s">
        <v>378</v>
      </c>
      <c r="E273" s="28" t="s">
        <v>1194</v>
      </c>
      <c r="F273" s="28" t="s">
        <v>1195</v>
      </c>
      <c r="G273" s="28" t="s">
        <v>40</v>
      </c>
      <c r="H273" s="28" t="s">
        <v>1196</v>
      </c>
      <c r="I273" s="34">
        <v>2175</v>
      </c>
      <c r="J273" s="34">
        <v>1958</v>
      </c>
      <c r="K273" s="35">
        <v>2044.32624113475</v>
      </c>
      <c r="L273" s="35">
        <v>1936.36363636364</v>
      </c>
      <c r="M273" s="38">
        <v>1224</v>
      </c>
      <c r="N273" s="40">
        <v>2050</v>
      </c>
      <c r="O273" s="40">
        <v>1940</v>
      </c>
      <c r="P273" s="40">
        <v>1650</v>
      </c>
      <c r="Q273" s="28" t="s">
        <v>42</v>
      </c>
      <c r="R273" s="38" t="s">
        <v>44</v>
      </c>
      <c r="S273" s="28" t="s">
        <v>1197</v>
      </c>
      <c r="T273" s="30" t="s">
        <v>1202</v>
      </c>
      <c r="U273" s="30">
        <v>33020101902</v>
      </c>
      <c r="V273" s="30" t="s">
        <v>1203</v>
      </c>
      <c r="W273" s="30"/>
      <c r="X273" s="30"/>
      <c r="Y273" s="30" t="s">
        <v>40</v>
      </c>
      <c r="Z273" s="30" t="s">
        <v>43</v>
      </c>
      <c r="AA273" s="51">
        <v>2960</v>
      </c>
      <c r="AB273" s="51">
        <v>2660</v>
      </c>
      <c r="AC273" s="57">
        <v>2375</v>
      </c>
      <c r="AD273" s="57">
        <v>2280</v>
      </c>
      <c r="AE273" s="57">
        <v>1938</v>
      </c>
      <c r="AF273" s="58">
        <f t="shared" si="20"/>
        <v>0</v>
      </c>
      <c r="AG273" s="58" t="str">
        <f t="shared" si="21"/>
        <v>脑脊液分流装置置入费</v>
      </c>
      <c r="AH273" s="58">
        <f t="shared" si="22"/>
        <v>2050</v>
      </c>
      <c r="AI273" s="58">
        <f t="shared" si="23"/>
        <v>1940</v>
      </c>
      <c r="AJ273" s="58">
        <f t="shared" si="24"/>
        <v>1650</v>
      </c>
    </row>
    <row r="274" s="17" customFormat="1" customHeight="1" spans="1:36">
      <c r="A274" s="27">
        <v>59</v>
      </c>
      <c r="B274" s="28" t="s">
        <v>1192</v>
      </c>
      <c r="C274" s="28" t="s">
        <v>1193</v>
      </c>
      <c r="D274" s="28" t="s">
        <v>378</v>
      </c>
      <c r="E274" s="28" t="s">
        <v>1194</v>
      </c>
      <c r="F274" s="28" t="s">
        <v>1195</v>
      </c>
      <c r="G274" s="28" t="s">
        <v>40</v>
      </c>
      <c r="H274" s="28" t="s">
        <v>1196</v>
      </c>
      <c r="I274" s="34">
        <v>2175</v>
      </c>
      <c r="J274" s="34">
        <v>1958</v>
      </c>
      <c r="K274" s="35">
        <v>2044.32624113475</v>
      </c>
      <c r="L274" s="35">
        <v>1936.36363636364</v>
      </c>
      <c r="M274" s="38">
        <v>1224</v>
      </c>
      <c r="N274" s="40">
        <v>2050</v>
      </c>
      <c r="O274" s="40">
        <v>1940</v>
      </c>
      <c r="P274" s="40">
        <v>1650</v>
      </c>
      <c r="Q274" s="28" t="s">
        <v>42</v>
      </c>
      <c r="R274" s="38" t="s">
        <v>44</v>
      </c>
      <c r="S274" s="28" t="s">
        <v>1197</v>
      </c>
      <c r="T274" s="30" t="s">
        <v>1204</v>
      </c>
      <c r="U274" s="30">
        <v>330204012</v>
      </c>
      <c r="V274" s="30" t="s">
        <v>1205</v>
      </c>
      <c r="W274" s="30"/>
      <c r="X274" s="30" t="s">
        <v>1201</v>
      </c>
      <c r="Y274" s="30" t="s">
        <v>40</v>
      </c>
      <c r="Z274" s="30" t="s">
        <v>43</v>
      </c>
      <c r="AA274" s="51">
        <v>1620</v>
      </c>
      <c r="AB274" s="51">
        <v>1460</v>
      </c>
      <c r="AC274" s="57">
        <v>1500</v>
      </c>
      <c r="AD274" s="57">
        <v>1440</v>
      </c>
      <c r="AE274" s="57">
        <v>1224</v>
      </c>
      <c r="AF274" s="58">
        <f t="shared" si="20"/>
        <v>0</v>
      </c>
      <c r="AG274" s="58" t="str">
        <f t="shared" si="21"/>
        <v>脑脊液分流装置置入费</v>
      </c>
      <c r="AH274" s="58">
        <f t="shared" si="22"/>
        <v>2050</v>
      </c>
      <c r="AI274" s="58">
        <f t="shared" si="23"/>
        <v>1940</v>
      </c>
      <c r="AJ274" s="58">
        <f t="shared" si="24"/>
        <v>1650</v>
      </c>
    </row>
    <row r="275" s="17" customFormat="1" customHeight="1" spans="1:36">
      <c r="A275" s="27">
        <v>59</v>
      </c>
      <c r="B275" s="28" t="s">
        <v>1192</v>
      </c>
      <c r="C275" s="28" t="s">
        <v>1193</v>
      </c>
      <c r="D275" s="28" t="s">
        <v>378</v>
      </c>
      <c r="E275" s="28" t="s">
        <v>1194</v>
      </c>
      <c r="F275" s="28" t="s">
        <v>1195</v>
      </c>
      <c r="G275" s="28" t="s">
        <v>40</v>
      </c>
      <c r="H275" s="28" t="s">
        <v>1196</v>
      </c>
      <c r="I275" s="34">
        <v>2175</v>
      </c>
      <c r="J275" s="34">
        <v>1958</v>
      </c>
      <c r="K275" s="35">
        <v>2044.32624113475</v>
      </c>
      <c r="L275" s="35">
        <v>1936.36363636364</v>
      </c>
      <c r="M275" s="38">
        <v>1224</v>
      </c>
      <c r="N275" s="40">
        <v>2050</v>
      </c>
      <c r="O275" s="40">
        <v>1940</v>
      </c>
      <c r="P275" s="40">
        <v>1650</v>
      </c>
      <c r="Q275" s="28" t="s">
        <v>42</v>
      </c>
      <c r="R275" s="38" t="s">
        <v>44</v>
      </c>
      <c r="S275" s="28" t="s">
        <v>1197</v>
      </c>
      <c r="T275" s="46" t="s">
        <v>1206</v>
      </c>
      <c r="U275" s="46">
        <v>33020401202</v>
      </c>
      <c r="V275" s="48" t="s">
        <v>1207</v>
      </c>
      <c r="W275" s="46"/>
      <c r="X275" s="46"/>
      <c r="Y275" s="46" t="s">
        <v>40</v>
      </c>
      <c r="Z275" s="30" t="s">
        <v>43</v>
      </c>
      <c r="AA275" s="52">
        <v>2420</v>
      </c>
      <c r="AB275" s="51">
        <v>2180</v>
      </c>
      <c r="AC275" s="57">
        <v>1875</v>
      </c>
      <c r="AD275" s="57">
        <v>1800</v>
      </c>
      <c r="AE275" s="57">
        <v>1530</v>
      </c>
      <c r="AF275" s="58">
        <f t="shared" si="20"/>
        <v>0</v>
      </c>
      <c r="AG275" s="58" t="str">
        <f t="shared" si="21"/>
        <v>脑脊液分流装置置入费</v>
      </c>
      <c r="AH275" s="58">
        <f t="shared" si="22"/>
        <v>2050</v>
      </c>
      <c r="AI275" s="58">
        <f t="shared" si="23"/>
        <v>1940</v>
      </c>
      <c r="AJ275" s="58">
        <f t="shared" si="24"/>
        <v>1650</v>
      </c>
    </row>
    <row r="276" s="17" customFormat="1" customHeight="1" spans="1:36">
      <c r="A276" s="27">
        <v>59</v>
      </c>
      <c r="B276" s="28" t="s">
        <v>1192</v>
      </c>
      <c r="C276" s="28" t="s">
        <v>1193</v>
      </c>
      <c r="D276" s="28" t="s">
        <v>378</v>
      </c>
      <c r="E276" s="28" t="s">
        <v>1194</v>
      </c>
      <c r="F276" s="28" t="s">
        <v>1195</v>
      </c>
      <c r="G276" s="28" t="s">
        <v>40</v>
      </c>
      <c r="H276" s="28" t="s">
        <v>1196</v>
      </c>
      <c r="I276" s="34">
        <v>2175</v>
      </c>
      <c r="J276" s="34">
        <v>1958</v>
      </c>
      <c r="K276" s="35">
        <v>2044.32624113475</v>
      </c>
      <c r="L276" s="35">
        <v>1936.36363636364</v>
      </c>
      <c r="M276" s="38">
        <v>1224</v>
      </c>
      <c r="N276" s="40">
        <v>2050</v>
      </c>
      <c r="O276" s="40">
        <v>1940</v>
      </c>
      <c r="P276" s="40">
        <v>1650</v>
      </c>
      <c r="Q276" s="28" t="s">
        <v>42</v>
      </c>
      <c r="R276" s="38" t="s">
        <v>44</v>
      </c>
      <c r="S276" s="28" t="s">
        <v>1197</v>
      </c>
      <c r="T276" s="30" t="s">
        <v>1208</v>
      </c>
      <c r="U276" s="30">
        <v>330204013</v>
      </c>
      <c r="V276" s="30" t="s">
        <v>1209</v>
      </c>
      <c r="W276" s="30"/>
      <c r="X276" s="30" t="s">
        <v>1201</v>
      </c>
      <c r="Y276" s="30" t="s">
        <v>40</v>
      </c>
      <c r="Z276" s="30" t="s">
        <v>43</v>
      </c>
      <c r="AA276" s="51">
        <v>2300</v>
      </c>
      <c r="AB276" s="51">
        <v>2080</v>
      </c>
      <c r="AC276" s="57">
        <v>2030</v>
      </c>
      <c r="AD276" s="57">
        <v>1830</v>
      </c>
      <c r="AE276" s="57">
        <v>1560</v>
      </c>
      <c r="AF276" s="58">
        <f t="shared" si="20"/>
        <v>0</v>
      </c>
      <c r="AG276" s="58" t="str">
        <f t="shared" si="21"/>
        <v>脑脊液分流装置置入费</v>
      </c>
      <c r="AH276" s="58">
        <f t="shared" si="22"/>
        <v>2050</v>
      </c>
      <c r="AI276" s="58">
        <f t="shared" si="23"/>
        <v>1940</v>
      </c>
      <c r="AJ276" s="58">
        <f t="shared" si="24"/>
        <v>1650</v>
      </c>
    </row>
    <row r="277" s="17" customFormat="1" customHeight="1" spans="1:36">
      <c r="A277" s="27">
        <v>59</v>
      </c>
      <c r="B277" s="28" t="s">
        <v>1192</v>
      </c>
      <c r="C277" s="28" t="s">
        <v>1193</v>
      </c>
      <c r="D277" s="28" t="s">
        <v>378</v>
      </c>
      <c r="E277" s="28" t="s">
        <v>1194</v>
      </c>
      <c r="F277" s="28" t="s">
        <v>1195</v>
      </c>
      <c r="G277" s="28" t="s">
        <v>40</v>
      </c>
      <c r="H277" s="28" t="s">
        <v>1196</v>
      </c>
      <c r="I277" s="34">
        <v>2175</v>
      </c>
      <c r="J277" s="34">
        <v>1958</v>
      </c>
      <c r="K277" s="35">
        <v>2044.32624113475</v>
      </c>
      <c r="L277" s="35">
        <v>1936.36363636364</v>
      </c>
      <c r="M277" s="38">
        <v>1224</v>
      </c>
      <c r="N277" s="40">
        <v>2050</v>
      </c>
      <c r="O277" s="40">
        <v>1940</v>
      </c>
      <c r="P277" s="40">
        <v>1650</v>
      </c>
      <c r="Q277" s="28" t="s">
        <v>42</v>
      </c>
      <c r="R277" s="38" t="s">
        <v>44</v>
      </c>
      <c r="S277" s="28" t="s">
        <v>1197</v>
      </c>
      <c r="T277" s="46" t="s">
        <v>1210</v>
      </c>
      <c r="U277" s="46">
        <v>33020401302</v>
      </c>
      <c r="V277" s="48" t="s">
        <v>1211</v>
      </c>
      <c r="W277" s="46"/>
      <c r="X277" s="46"/>
      <c r="Y277" s="46" t="s">
        <v>40</v>
      </c>
      <c r="Z277" s="30" t="s">
        <v>43</v>
      </c>
      <c r="AA277" s="52">
        <v>3100</v>
      </c>
      <c r="AB277" s="51">
        <v>2800</v>
      </c>
      <c r="AC277" s="57">
        <v>2405</v>
      </c>
      <c r="AD277" s="57">
        <v>2190</v>
      </c>
      <c r="AE277" s="57">
        <v>1866</v>
      </c>
      <c r="AF277" s="58">
        <f t="shared" si="20"/>
        <v>0</v>
      </c>
      <c r="AG277" s="58" t="str">
        <f t="shared" si="21"/>
        <v>脑脊液分流装置置入费</v>
      </c>
      <c r="AH277" s="58">
        <f t="shared" si="22"/>
        <v>2050</v>
      </c>
      <c r="AI277" s="58">
        <f t="shared" si="23"/>
        <v>1940</v>
      </c>
      <c r="AJ277" s="58">
        <f t="shared" si="24"/>
        <v>1650</v>
      </c>
    </row>
    <row r="278" s="17" customFormat="1" customHeight="1" spans="1:36">
      <c r="A278" s="27">
        <v>59</v>
      </c>
      <c r="B278" s="28" t="s">
        <v>1192</v>
      </c>
      <c r="C278" s="28" t="s">
        <v>1193</v>
      </c>
      <c r="D278" s="28" t="s">
        <v>378</v>
      </c>
      <c r="E278" s="28" t="s">
        <v>1194</v>
      </c>
      <c r="F278" s="28" t="s">
        <v>1195</v>
      </c>
      <c r="G278" s="28" t="s">
        <v>40</v>
      </c>
      <c r="H278" s="28" t="s">
        <v>1196</v>
      </c>
      <c r="I278" s="34">
        <v>2175</v>
      </c>
      <c r="J278" s="34">
        <v>1958</v>
      </c>
      <c r="K278" s="35">
        <v>2044.32624113475</v>
      </c>
      <c r="L278" s="35">
        <v>1936.36363636364</v>
      </c>
      <c r="M278" s="38">
        <v>1224</v>
      </c>
      <c r="N278" s="40">
        <v>2050</v>
      </c>
      <c r="O278" s="40">
        <v>1940</v>
      </c>
      <c r="P278" s="40">
        <v>1650</v>
      </c>
      <c r="Q278" s="28" t="s">
        <v>42</v>
      </c>
      <c r="R278" s="38" t="s">
        <v>44</v>
      </c>
      <c r="S278" s="28" t="s">
        <v>1197</v>
      </c>
      <c r="T278" s="69" t="s">
        <v>1212</v>
      </c>
      <c r="U278" s="69">
        <v>31010001604</v>
      </c>
      <c r="V278" s="70" t="s">
        <v>1213</v>
      </c>
      <c r="W278" s="71"/>
      <c r="X278" s="69"/>
      <c r="Y278" s="69" t="s">
        <v>40</v>
      </c>
      <c r="Z278" s="36" t="s">
        <v>43</v>
      </c>
      <c r="AA278" s="72">
        <v>200</v>
      </c>
      <c r="AB278" s="54">
        <v>180</v>
      </c>
      <c r="AC278" s="54">
        <v>180</v>
      </c>
      <c r="AD278" s="54">
        <v>165</v>
      </c>
      <c r="AE278" s="54">
        <v>140</v>
      </c>
      <c r="AF278" s="58">
        <f t="shared" si="20"/>
        <v>0</v>
      </c>
      <c r="AG278" s="58" t="str">
        <f t="shared" si="21"/>
        <v>脑脊液分流装置置入费</v>
      </c>
      <c r="AH278" s="58">
        <f t="shared" si="22"/>
        <v>2050</v>
      </c>
      <c r="AI278" s="58">
        <f t="shared" si="23"/>
        <v>1940</v>
      </c>
      <c r="AJ278" s="58">
        <f t="shared" si="24"/>
        <v>1650</v>
      </c>
    </row>
    <row r="279" s="17" customFormat="1" customHeight="1" spans="1:36">
      <c r="A279" s="27" t="s">
        <v>70</v>
      </c>
      <c r="B279" s="28" t="s">
        <v>1214</v>
      </c>
      <c r="C279" s="28" t="s">
        <v>1215</v>
      </c>
      <c r="D279" s="28" t="s">
        <v>378</v>
      </c>
      <c r="E279" s="28"/>
      <c r="F279" s="28"/>
      <c r="G279" s="28" t="s">
        <v>40</v>
      </c>
      <c r="H279" s="28"/>
      <c r="I279" s="34">
        <v>653</v>
      </c>
      <c r="J279" s="34">
        <v>587</v>
      </c>
      <c r="K279" s="38">
        <v>550</v>
      </c>
      <c r="L279" s="36"/>
      <c r="M279" s="36"/>
      <c r="N279" s="40">
        <v>615</v>
      </c>
      <c r="O279" s="40">
        <v>580</v>
      </c>
      <c r="P279" s="40">
        <v>495</v>
      </c>
      <c r="Q279" s="28" t="s">
        <v>42</v>
      </c>
      <c r="R279" s="36"/>
      <c r="S279" s="28" t="s">
        <v>384</v>
      </c>
      <c r="T279" s="30" t="s">
        <v>1216</v>
      </c>
      <c r="U279" s="30">
        <v>33020101901</v>
      </c>
      <c r="V279" s="30" t="s">
        <v>1217</v>
      </c>
      <c r="W279" s="30"/>
      <c r="X279" s="30"/>
      <c r="Y279" s="30" t="s">
        <v>40</v>
      </c>
      <c r="Z279" s="30" t="s">
        <v>43</v>
      </c>
      <c r="AA279" s="51">
        <v>2810</v>
      </c>
      <c r="AB279" s="51">
        <v>2520</v>
      </c>
      <c r="AC279" s="57">
        <v>2600</v>
      </c>
      <c r="AD279" s="57">
        <v>2495</v>
      </c>
      <c r="AE279" s="57">
        <v>2120</v>
      </c>
      <c r="AF279" s="58">
        <f t="shared" si="20"/>
        <v>11</v>
      </c>
      <c r="AG279" s="58" t="str">
        <f t="shared" si="21"/>
        <v>脑脊液分流装置置入费</v>
      </c>
      <c r="AH279" s="58">
        <f t="shared" si="22"/>
        <v>2665</v>
      </c>
      <c r="AI279" s="58">
        <f t="shared" si="23"/>
        <v>2520</v>
      </c>
      <c r="AJ279" s="58">
        <f t="shared" si="24"/>
        <v>2145</v>
      </c>
    </row>
    <row r="280" s="17" customFormat="1" customHeight="1" spans="1:36">
      <c r="A280" s="27" t="s">
        <v>70</v>
      </c>
      <c r="B280" s="28" t="s">
        <v>1214</v>
      </c>
      <c r="C280" s="28" t="s">
        <v>1215</v>
      </c>
      <c r="D280" s="28" t="s">
        <v>378</v>
      </c>
      <c r="E280" s="28"/>
      <c r="F280" s="28"/>
      <c r="G280" s="28" t="s">
        <v>40</v>
      </c>
      <c r="H280" s="28"/>
      <c r="I280" s="34">
        <v>653</v>
      </c>
      <c r="J280" s="34">
        <v>587</v>
      </c>
      <c r="K280" s="38">
        <v>550</v>
      </c>
      <c r="L280" s="36"/>
      <c r="M280" s="36"/>
      <c r="N280" s="40">
        <v>615</v>
      </c>
      <c r="O280" s="40">
        <v>580</v>
      </c>
      <c r="P280" s="40">
        <v>495</v>
      </c>
      <c r="Q280" s="28" t="s">
        <v>42</v>
      </c>
      <c r="R280" s="36"/>
      <c r="S280" s="28" t="s">
        <v>384</v>
      </c>
      <c r="T280" s="30" t="s">
        <v>1218</v>
      </c>
      <c r="U280" s="30">
        <v>33020101903</v>
      </c>
      <c r="V280" s="30" t="s">
        <v>1219</v>
      </c>
      <c r="W280" s="30"/>
      <c r="X280" s="30"/>
      <c r="Y280" s="30" t="s">
        <v>40</v>
      </c>
      <c r="Z280" s="30" t="s">
        <v>43</v>
      </c>
      <c r="AA280" s="51">
        <v>3610</v>
      </c>
      <c r="AB280" s="51">
        <v>3240</v>
      </c>
      <c r="AC280" s="57">
        <v>2975</v>
      </c>
      <c r="AD280" s="57">
        <v>2855</v>
      </c>
      <c r="AE280" s="57">
        <v>2425</v>
      </c>
      <c r="AF280" s="58">
        <f t="shared" si="20"/>
        <v>11</v>
      </c>
      <c r="AG280" s="58" t="str">
        <f t="shared" si="21"/>
        <v>脑脊液分流装置置入费</v>
      </c>
      <c r="AH280" s="58">
        <f t="shared" si="22"/>
        <v>2665</v>
      </c>
      <c r="AI280" s="58">
        <f t="shared" si="23"/>
        <v>2520</v>
      </c>
      <c r="AJ280" s="58">
        <f t="shared" si="24"/>
        <v>2145</v>
      </c>
    </row>
    <row r="281" s="17" customFormat="1" customHeight="1" spans="1:36">
      <c r="A281" s="27" t="s">
        <v>70</v>
      </c>
      <c r="B281" s="28" t="s">
        <v>1214</v>
      </c>
      <c r="C281" s="28" t="s">
        <v>1215</v>
      </c>
      <c r="D281" s="28" t="s">
        <v>378</v>
      </c>
      <c r="E281" s="28"/>
      <c r="F281" s="28"/>
      <c r="G281" s="28" t="s">
        <v>40</v>
      </c>
      <c r="H281" s="28"/>
      <c r="I281" s="34">
        <v>653</v>
      </c>
      <c r="J281" s="34">
        <v>587</v>
      </c>
      <c r="K281" s="38">
        <v>550</v>
      </c>
      <c r="L281" s="36"/>
      <c r="M281" s="36"/>
      <c r="N281" s="40">
        <v>615</v>
      </c>
      <c r="O281" s="40">
        <v>580</v>
      </c>
      <c r="P281" s="40">
        <v>495</v>
      </c>
      <c r="Q281" s="28" t="s">
        <v>42</v>
      </c>
      <c r="R281" s="36"/>
      <c r="S281" s="28" t="s">
        <v>384</v>
      </c>
      <c r="T281" s="46" t="s">
        <v>1220</v>
      </c>
      <c r="U281" s="46">
        <v>33020401201</v>
      </c>
      <c r="V281" s="48" t="s">
        <v>1221</v>
      </c>
      <c r="W281" s="46"/>
      <c r="X281" s="46"/>
      <c r="Y281" s="46" t="s">
        <v>40</v>
      </c>
      <c r="Z281" s="30" t="s">
        <v>43</v>
      </c>
      <c r="AA281" s="52">
        <v>2105</v>
      </c>
      <c r="AB281" s="51">
        <v>1900</v>
      </c>
      <c r="AC281" s="57">
        <v>1950</v>
      </c>
      <c r="AD281" s="57">
        <v>1870</v>
      </c>
      <c r="AE281" s="57">
        <v>1590</v>
      </c>
      <c r="AF281" s="58">
        <f t="shared" si="20"/>
        <v>11</v>
      </c>
      <c r="AG281" s="58" t="str">
        <f t="shared" si="21"/>
        <v>脑脊液分流装置置入费</v>
      </c>
      <c r="AH281" s="58">
        <f t="shared" si="22"/>
        <v>2665</v>
      </c>
      <c r="AI281" s="58">
        <f t="shared" si="23"/>
        <v>2520</v>
      </c>
      <c r="AJ281" s="58">
        <f t="shared" si="24"/>
        <v>2145</v>
      </c>
    </row>
    <row r="282" s="17" customFormat="1" customHeight="1" spans="1:36">
      <c r="A282" s="27" t="s">
        <v>70</v>
      </c>
      <c r="B282" s="28" t="s">
        <v>1214</v>
      </c>
      <c r="C282" s="28" t="s">
        <v>1215</v>
      </c>
      <c r="D282" s="28" t="s">
        <v>378</v>
      </c>
      <c r="E282" s="28"/>
      <c r="F282" s="28"/>
      <c r="G282" s="28" t="s">
        <v>40</v>
      </c>
      <c r="H282" s="28"/>
      <c r="I282" s="34">
        <v>653</v>
      </c>
      <c r="J282" s="34">
        <v>587</v>
      </c>
      <c r="K282" s="38">
        <v>550</v>
      </c>
      <c r="L282" s="36"/>
      <c r="M282" s="36"/>
      <c r="N282" s="40">
        <v>615</v>
      </c>
      <c r="O282" s="40">
        <v>580</v>
      </c>
      <c r="P282" s="40">
        <v>495</v>
      </c>
      <c r="Q282" s="28" t="s">
        <v>42</v>
      </c>
      <c r="R282" s="36"/>
      <c r="S282" s="28" t="s">
        <v>384</v>
      </c>
      <c r="T282" s="46" t="s">
        <v>1222</v>
      </c>
      <c r="U282" s="46">
        <v>33020401203</v>
      </c>
      <c r="V282" s="48" t="s">
        <v>1223</v>
      </c>
      <c r="W282" s="46"/>
      <c r="X282" s="46"/>
      <c r="Y282" s="46" t="s">
        <v>40</v>
      </c>
      <c r="Z282" s="30" t="s">
        <v>43</v>
      </c>
      <c r="AA282" s="52">
        <v>2905</v>
      </c>
      <c r="AB282" s="51">
        <v>2620</v>
      </c>
      <c r="AC282" s="57">
        <v>2325</v>
      </c>
      <c r="AD282" s="57">
        <v>2230</v>
      </c>
      <c r="AE282" s="57">
        <v>1895</v>
      </c>
      <c r="AF282" s="58">
        <f t="shared" si="20"/>
        <v>11</v>
      </c>
      <c r="AG282" s="58" t="str">
        <f t="shared" si="21"/>
        <v>脑脊液分流装置置入费</v>
      </c>
      <c r="AH282" s="58">
        <f t="shared" si="22"/>
        <v>2665</v>
      </c>
      <c r="AI282" s="58">
        <f t="shared" si="23"/>
        <v>2520</v>
      </c>
      <c r="AJ282" s="58">
        <f t="shared" si="24"/>
        <v>2145</v>
      </c>
    </row>
    <row r="283" s="17" customFormat="1" customHeight="1" spans="1:36">
      <c r="A283" s="27" t="s">
        <v>70</v>
      </c>
      <c r="B283" s="28" t="s">
        <v>1214</v>
      </c>
      <c r="C283" s="28" t="s">
        <v>1215</v>
      </c>
      <c r="D283" s="28" t="s">
        <v>378</v>
      </c>
      <c r="E283" s="28"/>
      <c r="F283" s="28"/>
      <c r="G283" s="28" t="s">
        <v>40</v>
      </c>
      <c r="H283" s="28"/>
      <c r="I283" s="34">
        <v>653</v>
      </c>
      <c r="J283" s="34">
        <v>587</v>
      </c>
      <c r="K283" s="38">
        <v>550</v>
      </c>
      <c r="L283" s="36"/>
      <c r="M283" s="36"/>
      <c r="N283" s="40">
        <v>615</v>
      </c>
      <c r="O283" s="40">
        <v>580</v>
      </c>
      <c r="P283" s="40">
        <v>495</v>
      </c>
      <c r="Q283" s="28" t="s">
        <v>42</v>
      </c>
      <c r="R283" s="36"/>
      <c r="S283" s="28" t="s">
        <v>384</v>
      </c>
      <c r="T283" s="46" t="s">
        <v>1224</v>
      </c>
      <c r="U283" s="46">
        <v>33020401301</v>
      </c>
      <c r="V283" s="48" t="s">
        <v>1225</v>
      </c>
      <c r="W283" s="46"/>
      <c r="X283" s="46"/>
      <c r="Y283" s="46" t="s">
        <v>40</v>
      </c>
      <c r="Z283" s="30" t="s">
        <v>43</v>
      </c>
      <c r="AA283" s="52">
        <v>2990</v>
      </c>
      <c r="AB283" s="51">
        <v>2705</v>
      </c>
      <c r="AC283" s="57">
        <v>2640</v>
      </c>
      <c r="AD283" s="57">
        <v>2380</v>
      </c>
      <c r="AE283" s="57">
        <v>2025</v>
      </c>
      <c r="AF283" s="58">
        <f t="shared" si="20"/>
        <v>11</v>
      </c>
      <c r="AG283" s="58" t="str">
        <f t="shared" si="21"/>
        <v>脑脊液分流装置置入费</v>
      </c>
      <c r="AH283" s="58">
        <f t="shared" si="22"/>
        <v>2665</v>
      </c>
      <c r="AI283" s="58">
        <f t="shared" si="23"/>
        <v>2520</v>
      </c>
      <c r="AJ283" s="58">
        <f t="shared" si="24"/>
        <v>2145</v>
      </c>
    </row>
    <row r="284" s="17" customFormat="1" customHeight="1" spans="1:36">
      <c r="A284" s="27" t="s">
        <v>70</v>
      </c>
      <c r="B284" s="28" t="s">
        <v>1214</v>
      </c>
      <c r="C284" s="28" t="s">
        <v>1215</v>
      </c>
      <c r="D284" s="28" t="s">
        <v>378</v>
      </c>
      <c r="E284" s="28"/>
      <c r="F284" s="28"/>
      <c r="G284" s="28" t="s">
        <v>40</v>
      </c>
      <c r="H284" s="28"/>
      <c r="I284" s="34">
        <v>653</v>
      </c>
      <c r="J284" s="34">
        <v>587</v>
      </c>
      <c r="K284" s="38">
        <v>550</v>
      </c>
      <c r="L284" s="36"/>
      <c r="M284" s="36"/>
      <c r="N284" s="40">
        <v>615</v>
      </c>
      <c r="O284" s="40">
        <v>580</v>
      </c>
      <c r="P284" s="40">
        <v>495</v>
      </c>
      <c r="Q284" s="28" t="s">
        <v>42</v>
      </c>
      <c r="R284" s="36"/>
      <c r="S284" s="28" t="s">
        <v>384</v>
      </c>
      <c r="T284" s="46" t="s">
        <v>1226</v>
      </c>
      <c r="U284" s="46">
        <v>33020401303</v>
      </c>
      <c r="V284" s="48" t="s">
        <v>1227</v>
      </c>
      <c r="W284" s="46"/>
      <c r="X284" s="46"/>
      <c r="Y284" s="46" t="s">
        <v>40</v>
      </c>
      <c r="Z284" s="30" t="s">
        <v>43</v>
      </c>
      <c r="AA284" s="52">
        <v>3790</v>
      </c>
      <c r="AB284" s="51">
        <v>3425</v>
      </c>
      <c r="AC284" s="57">
        <v>3015</v>
      </c>
      <c r="AD284" s="57">
        <v>2740</v>
      </c>
      <c r="AE284" s="57">
        <v>2330</v>
      </c>
      <c r="AF284" s="58">
        <f t="shared" si="20"/>
        <v>11</v>
      </c>
      <c r="AG284" s="58" t="str">
        <f t="shared" si="21"/>
        <v>脑脊液分流装置置入费</v>
      </c>
      <c r="AH284" s="58">
        <f t="shared" si="22"/>
        <v>2665</v>
      </c>
      <c r="AI284" s="58">
        <f t="shared" si="23"/>
        <v>2520</v>
      </c>
      <c r="AJ284" s="58">
        <f t="shared" si="24"/>
        <v>2145</v>
      </c>
    </row>
    <row r="285" s="17" customFormat="1" customHeight="1" spans="1:36">
      <c r="A285" s="27" t="s">
        <v>70</v>
      </c>
      <c r="B285" s="28" t="s">
        <v>1214</v>
      </c>
      <c r="C285" s="28" t="s">
        <v>1215</v>
      </c>
      <c r="D285" s="28" t="s">
        <v>378</v>
      </c>
      <c r="E285" s="28"/>
      <c r="F285" s="28"/>
      <c r="G285" s="28" t="s">
        <v>40</v>
      </c>
      <c r="H285" s="28"/>
      <c r="I285" s="34">
        <v>653</v>
      </c>
      <c r="J285" s="34">
        <v>587</v>
      </c>
      <c r="K285" s="38">
        <v>550</v>
      </c>
      <c r="L285" s="36"/>
      <c r="M285" s="36"/>
      <c r="N285" s="40">
        <v>615</v>
      </c>
      <c r="O285" s="40">
        <v>580</v>
      </c>
      <c r="P285" s="40">
        <v>495</v>
      </c>
      <c r="Q285" s="28" t="s">
        <v>42</v>
      </c>
      <c r="R285" s="36"/>
      <c r="S285" s="28" t="s">
        <v>384</v>
      </c>
      <c r="T285" s="69" t="s">
        <v>1228</v>
      </c>
      <c r="U285" s="69">
        <v>31010001605</v>
      </c>
      <c r="V285" s="70" t="s">
        <v>1229</v>
      </c>
      <c r="W285" s="71"/>
      <c r="X285" s="69"/>
      <c r="Y285" s="69" t="s">
        <v>40</v>
      </c>
      <c r="Z285" s="36" t="s">
        <v>43</v>
      </c>
      <c r="AA285" s="72">
        <v>260</v>
      </c>
      <c r="AB285" s="54">
        <v>234</v>
      </c>
      <c r="AC285" s="54">
        <v>235</v>
      </c>
      <c r="AD285" s="54">
        <v>215</v>
      </c>
      <c r="AE285" s="54">
        <v>180</v>
      </c>
      <c r="AF285" s="58">
        <f t="shared" si="20"/>
        <v>11</v>
      </c>
      <c r="AG285" s="58" t="str">
        <f t="shared" si="21"/>
        <v>脑脊液分流装置置入费</v>
      </c>
      <c r="AH285" s="58">
        <f t="shared" si="22"/>
        <v>2665</v>
      </c>
      <c r="AI285" s="58">
        <f t="shared" si="23"/>
        <v>2520</v>
      </c>
      <c r="AJ285" s="58">
        <f t="shared" si="24"/>
        <v>2145</v>
      </c>
    </row>
    <row r="286" s="17" customFormat="1" ht="65" customHeight="1" spans="1:36">
      <c r="A286" s="29">
        <v>61</v>
      </c>
      <c r="B286" s="30" t="s">
        <v>1238</v>
      </c>
      <c r="C286" s="30" t="s">
        <v>1239</v>
      </c>
      <c r="D286" s="30" t="s">
        <v>378</v>
      </c>
      <c r="E286" s="31" t="s">
        <v>1240</v>
      </c>
      <c r="F286" s="31" t="s">
        <v>1241</v>
      </c>
      <c r="G286" s="30" t="s">
        <v>40</v>
      </c>
      <c r="H286" s="31" t="s">
        <v>1242</v>
      </c>
      <c r="I286" s="37">
        <v>1220</v>
      </c>
      <c r="J286" s="37">
        <v>1098</v>
      </c>
      <c r="K286" s="36">
        <v>1125</v>
      </c>
      <c r="L286" s="36">
        <v>1080</v>
      </c>
      <c r="M286" s="36">
        <v>918</v>
      </c>
      <c r="N286" s="41">
        <v>1125</v>
      </c>
      <c r="O286" s="41">
        <v>1080</v>
      </c>
      <c r="P286" s="41">
        <v>918</v>
      </c>
      <c r="Q286" s="30" t="s">
        <v>42</v>
      </c>
      <c r="R286" s="36" t="s">
        <v>153</v>
      </c>
      <c r="S286" s="31" t="s">
        <v>153</v>
      </c>
      <c r="T286" s="30" t="s">
        <v>1243</v>
      </c>
      <c r="U286" s="30">
        <v>330201018</v>
      </c>
      <c r="V286" s="30" t="s">
        <v>1244</v>
      </c>
      <c r="W286" s="30" t="s">
        <v>1245</v>
      </c>
      <c r="X286" s="30" t="s">
        <v>1246</v>
      </c>
      <c r="Y286" s="30" t="s">
        <v>40</v>
      </c>
      <c r="Z286" s="30" t="s">
        <v>43</v>
      </c>
      <c r="AA286" s="51">
        <v>1220</v>
      </c>
      <c r="AB286" s="51">
        <v>1090</v>
      </c>
      <c r="AC286" s="57">
        <v>1125</v>
      </c>
      <c r="AD286" s="57">
        <v>1080</v>
      </c>
      <c r="AE286" s="57">
        <v>918</v>
      </c>
      <c r="AF286" s="58">
        <f t="shared" si="20"/>
        <v>0</v>
      </c>
      <c r="AG286" s="58" t="str">
        <f t="shared" si="21"/>
        <v>颅内压监测探头置入费</v>
      </c>
      <c r="AH286" s="58">
        <f t="shared" si="22"/>
        <v>1125</v>
      </c>
      <c r="AI286" s="58">
        <f t="shared" si="23"/>
        <v>1080</v>
      </c>
      <c r="AJ286" s="58">
        <f t="shared" si="24"/>
        <v>918</v>
      </c>
    </row>
    <row r="287" s="17" customFormat="1" ht="60" customHeight="1" spans="1:36">
      <c r="A287" s="29" t="s">
        <v>70</v>
      </c>
      <c r="B287" s="30" t="s">
        <v>1247</v>
      </c>
      <c r="C287" s="30" t="s">
        <v>1248</v>
      </c>
      <c r="D287" s="30" t="s">
        <v>378</v>
      </c>
      <c r="E287" s="31" t="s">
        <v>43</v>
      </c>
      <c r="F287" s="31" t="s">
        <v>43</v>
      </c>
      <c r="G287" s="30" t="s">
        <v>40</v>
      </c>
      <c r="H287" s="31" t="s">
        <v>43</v>
      </c>
      <c r="I287" s="37">
        <v>366</v>
      </c>
      <c r="J287" s="37">
        <v>329</v>
      </c>
      <c r="K287" s="36"/>
      <c r="L287" s="36"/>
      <c r="M287" s="36"/>
      <c r="N287" s="41">
        <v>340</v>
      </c>
      <c r="O287" s="41">
        <v>325</v>
      </c>
      <c r="P287" s="41">
        <v>275</v>
      </c>
      <c r="Q287" s="30" t="s">
        <v>42</v>
      </c>
      <c r="R287" s="36"/>
      <c r="S287" s="31" t="s">
        <v>384</v>
      </c>
      <c r="T287" s="30" t="s">
        <v>1249</v>
      </c>
      <c r="U287" s="30">
        <v>33020101801</v>
      </c>
      <c r="V287" s="30" t="s">
        <v>1250</v>
      </c>
      <c r="W287" s="30"/>
      <c r="X287" s="30"/>
      <c r="Y287" s="30" t="s">
        <v>40</v>
      </c>
      <c r="Z287" s="30"/>
      <c r="AA287" s="51">
        <v>1585</v>
      </c>
      <c r="AB287" s="51">
        <v>1415</v>
      </c>
      <c r="AC287" s="57">
        <v>1465</v>
      </c>
      <c r="AD287" s="57">
        <v>1405</v>
      </c>
      <c r="AE287" s="57">
        <v>1195</v>
      </c>
      <c r="AF287" s="58">
        <f t="shared" si="20"/>
        <v>11</v>
      </c>
      <c r="AG287" s="58" t="str">
        <f t="shared" si="21"/>
        <v>颅内压监测探头置入费</v>
      </c>
      <c r="AH287" s="58">
        <f t="shared" si="22"/>
        <v>1465</v>
      </c>
      <c r="AI287" s="58">
        <f t="shared" si="23"/>
        <v>1405</v>
      </c>
      <c r="AJ287" s="58">
        <f t="shared" si="24"/>
        <v>1193</v>
      </c>
    </row>
    <row r="288" s="17" customFormat="1" ht="51" customHeight="1" spans="1:36">
      <c r="A288" s="29">
        <v>63</v>
      </c>
      <c r="B288" s="30" t="s">
        <v>1256</v>
      </c>
      <c r="C288" s="30" t="s">
        <v>1257</v>
      </c>
      <c r="D288" s="30" t="s">
        <v>378</v>
      </c>
      <c r="E288" s="31" t="s">
        <v>1258</v>
      </c>
      <c r="F288" s="31" t="s">
        <v>1259</v>
      </c>
      <c r="G288" s="30" t="s">
        <v>40</v>
      </c>
      <c r="H288" s="31" t="s">
        <v>146</v>
      </c>
      <c r="I288" s="37">
        <v>2430</v>
      </c>
      <c r="J288" s="37">
        <v>2187</v>
      </c>
      <c r="K288" s="36">
        <v>2250</v>
      </c>
      <c r="L288" s="36">
        <v>2160</v>
      </c>
      <c r="M288" s="36">
        <v>1836</v>
      </c>
      <c r="N288" s="41">
        <v>2250</v>
      </c>
      <c r="O288" s="41">
        <v>2160</v>
      </c>
      <c r="P288" s="41">
        <v>1836</v>
      </c>
      <c r="Q288" s="30" t="s">
        <v>42</v>
      </c>
      <c r="R288" s="36" t="s">
        <v>153</v>
      </c>
      <c r="S288" s="31" t="s">
        <v>153</v>
      </c>
      <c r="T288" s="30" t="s">
        <v>1260</v>
      </c>
      <c r="U288" s="30">
        <v>330204006</v>
      </c>
      <c r="V288" s="30" t="s">
        <v>1261</v>
      </c>
      <c r="W288" s="30" t="s">
        <v>1262</v>
      </c>
      <c r="X288" s="30"/>
      <c r="Y288" s="30" t="s">
        <v>40</v>
      </c>
      <c r="Z288" s="30" t="s">
        <v>43</v>
      </c>
      <c r="AA288" s="51">
        <v>2430</v>
      </c>
      <c r="AB288" s="51">
        <v>2190</v>
      </c>
      <c r="AC288" s="57">
        <v>2250</v>
      </c>
      <c r="AD288" s="57">
        <v>2160</v>
      </c>
      <c r="AE288" s="57">
        <v>1836</v>
      </c>
      <c r="AF288" s="58">
        <f t="shared" si="20"/>
        <v>0</v>
      </c>
      <c r="AG288" s="58" t="str">
        <f t="shared" si="21"/>
        <v>椎管内切开引流费</v>
      </c>
      <c r="AH288" s="58">
        <f t="shared" si="22"/>
        <v>2250</v>
      </c>
      <c r="AI288" s="58">
        <f t="shared" si="23"/>
        <v>2160</v>
      </c>
      <c r="AJ288" s="58">
        <f t="shared" si="24"/>
        <v>1836</v>
      </c>
    </row>
    <row r="289" s="17" customFormat="1" ht="66" customHeight="1" spans="1:36">
      <c r="A289" s="29" t="s">
        <v>70</v>
      </c>
      <c r="B289" s="30" t="s">
        <v>1263</v>
      </c>
      <c r="C289" s="30" t="s">
        <v>1264</v>
      </c>
      <c r="D289" s="30" t="s">
        <v>378</v>
      </c>
      <c r="E289" s="31" t="s">
        <v>43</v>
      </c>
      <c r="F289" s="31" t="s">
        <v>43</v>
      </c>
      <c r="G289" s="30" t="s">
        <v>40</v>
      </c>
      <c r="H289" s="31" t="s">
        <v>43</v>
      </c>
      <c r="I289" s="37">
        <v>729</v>
      </c>
      <c r="J289" s="37">
        <v>656</v>
      </c>
      <c r="K289" s="36"/>
      <c r="L289" s="36"/>
      <c r="M289" s="36"/>
      <c r="N289" s="41">
        <v>675</v>
      </c>
      <c r="O289" s="41">
        <v>650</v>
      </c>
      <c r="P289" s="41">
        <v>550</v>
      </c>
      <c r="Q289" s="30" t="s">
        <v>42</v>
      </c>
      <c r="R289" s="36"/>
      <c r="S289" s="31" t="s">
        <v>384</v>
      </c>
      <c r="T289" s="30" t="s">
        <v>1265</v>
      </c>
      <c r="U289" s="30">
        <v>33020400601</v>
      </c>
      <c r="V289" s="30" t="s">
        <v>1266</v>
      </c>
      <c r="W289" s="30"/>
      <c r="X289" s="30"/>
      <c r="Y289" s="30" t="s">
        <v>40</v>
      </c>
      <c r="Z289" s="30" t="s">
        <v>43</v>
      </c>
      <c r="AA289" s="51">
        <v>3160</v>
      </c>
      <c r="AB289" s="51">
        <v>2845</v>
      </c>
      <c r="AC289" s="57">
        <v>2925</v>
      </c>
      <c r="AD289" s="57">
        <v>2810</v>
      </c>
      <c r="AE289" s="57">
        <v>2390</v>
      </c>
      <c r="AF289" s="58">
        <f t="shared" si="20"/>
        <v>9</v>
      </c>
      <c r="AG289" s="58" t="str">
        <f t="shared" si="21"/>
        <v>椎管内切开引流费</v>
      </c>
      <c r="AH289" s="58">
        <f t="shared" si="22"/>
        <v>2925</v>
      </c>
      <c r="AI289" s="58">
        <f t="shared" si="23"/>
        <v>2810</v>
      </c>
      <c r="AJ289" s="58">
        <f t="shared" si="24"/>
        <v>2386</v>
      </c>
    </row>
    <row r="290" s="17" customFormat="1" ht="70" customHeight="1" spans="1:36">
      <c r="A290" s="29">
        <v>64</v>
      </c>
      <c r="B290" s="30" t="s">
        <v>1267</v>
      </c>
      <c r="C290" s="30" t="s">
        <v>1268</v>
      </c>
      <c r="D290" s="30" t="s">
        <v>378</v>
      </c>
      <c r="E290" s="31" t="s">
        <v>1269</v>
      </c>
      <c r="F290" s="31" t="s">
        <v>1270</v>
      </c>
      <c r="G290" s="30" t="s">
        <v>40</v>
      </c>
      <c r="H290" s="31" t="s">
        <v>43</v>
      </c>
      <c r="I290" s="37">
        <v>3460</v>
      </c>
      <c r="J290" s="37">
        <v>3114</v>
      </c>
      <c r="K290" s="36">
        <v>3040</v>
      </c>
      <c r="L290" s="36"/>
      <c r="M290" s="36"/>
      <c r="N290" s="41">
        <v>3150</v>
      </c>
      <c r="O290" s="41">
        <v>2850</v>
      </c>
      <c r="P290" s="41">
        <v>2450</v>
      </c>
      <c r="Q290" s="30" t="s">
        <v>42</v>
      </c>
      <c r="R290" s="36" t="s">
        <v>113</v>
      </c>
      <c r="S290" s="31" t="s">
        <v>1271</v>
      </c>
      <c r="T290" s="30" t="s">
        <v>1272</v>
      </c>
      <c r="U290" s="30">
        <v>330204002</v>
      </c>
      <c r="V290" s="30" t="s">
        <v>1273</v>
      </c>
      <c r="W290" s="30"/>
      <c r="X290" s="30" t="s">
        <v>1201</v>
      </c>
      <c r="Y290" s="30" t="s">
        <v>40</v>
      </c>
      <c r="Z290" s="30" t="s">
        <v>43</v>
      </c>
      <c r="AA290" s="51">
        <v>3460</v>
      </c>
      <c r="AB290" s="51">
        <v>3110</v>
      </c>
      <c r="AC290" s="57">
        <v>3040</v>
      </c>
      <c r="AD290" s="57">
        <v>2740</v>
      </c>
      <c r="AE290" s="57">
        <v>2330</v>
      </c>
      <c r="AF290" s="58">
        <f t="shared" si="20"/>
        <v>0</v>
      </c>
      <c r="AG290" s="58" t="str">
        <f t="shared" si="21"/>
        <v>脊髓内引流费</v>
      </c>
      <c r="AH290" s="58">
        <f t="shared" si="22"/>
        <v>3150</v>
      </c>
      <c r="AI290" s="58">
        <f t="shared" si="23"/>
        <v>2850</v>
      </c>
      <c r="AJ290" s="58">
        <f t="shared" si="24"/>
        <v>2450</v>
      </c>
    </row>
    <row r="291" s="17" customFormat="1" ht="45" customHeight="1" spans="1:36">
      <c r="A291" s="29" t="s">
        <v>70</v>
      </c>
      <c r="B291" s="30" t="s">
        <v>1274</v>
      </c>
      <c r="C291" s="30" t="s">
        <v>1275</v>
      </c>
      <c r="D291" s="30" t="s">
        <v>378</v>
      </c>
      <c r="E291" s="31" t="s">
        <v>43</v>
      </c>
      <c r="F291" s="31" t="s">
        <v>43</v>
      </c>
      <c r="G291" s="30" t="s">
        <v>40</v>
      </c>
      <c r="H291" s="31" t="s">
        <v>43</v>
      </c>
      <c r="I291" s="37">
        <v>1038</v>
      </c>
      <c r="J291" s="37">
        <v>934</v>
      </c>
      <c r="K291" s="36"/>
      <c r="L291" s="36"/>
      <c r="M291" s="36"/>
      <c r="N291" s="41">
        <v>945</v>
      </c>
      <c r="O291" s="41">
        <v>855</v>
      </c>
      <c r="P291" s="41">
        <v>735</v>
      </c>
      <c r="Q291" s="30" t="s">
        <v>42</v>
      </c>
      <c r="R291" s="36"/>
      <c r="S291" s="31" t="s">
        <v>384</v>
      </c>
      <c r="T291" s="46" t="s">
        <v>1276</v>
      </c>
      <c r="U291" s="46">
        <v>33020400201</v>
      </c>
      <c r="V291" s="48" t="s">
        <v>1277</v>
      </c>
      <c r="W291" s="46"/>
      <c r="X291" s="46"/>
      <c r="Y291" s="46" t="s">
        <v>40</v>
      </c>
      <c r="Z291" s="30" t="s">
        <v>43</v>
      </c>
      <c r="AA291" s="52">
        <v>4500</v>
      </c>
      <c r="AB291" s="51">
        <v>4045</v>
      </c>
      <c r="AC291" s="57">
        <v>3950</v>
      </c>
      <c r="AD291" s="57">
        <v>3560</v>
      </c>
      <c r="AE291" s="57">
        <v>3025</v>
      </c>
      <c r="AF291" s="58">
        <f t="shared" si="20"/>
        <v>7</v>
      </c>
      <c r="AG291" s="58" t="str">
        <f t="shared" si="21"/>
        <v>脊髓内引流费</v>
      </c>
      <c r="AH291" s="58">
        <f t="shared" si="22"/>
        <v>4095</v>
      </c>
      <c r="AI291" s="58">
        <f t="shared" si="23"/>
        <v>3705</v>
      </c>
      <c r="AJ291" s="58">
        <f t="shared" si="24"/>
        <v>3185</v>
      </c>
    </row>
    <row r="292" s="17" customFormat="1" ht="31" customHeight="1" spans="1:36">
      <c r="A292" s="27">
        <v>65</v>
      </c>
      <c r="B292" s="28" t="s">
        <v>1278</v>
      </c>
      <c r="C292" s="28" t="s">
        <v>1279</v>
      </c>
      <c r="D292" s="28" t="s">
        <v>378</v>
      </c>
      <c r="E292" s="28" t="s">
        <v>1280</v>
      </c>
      <c r="F292" s="28" t="s">
        <v>1281</v>
      </c>
      <c r="G292" s="28" t="s">
        <v>40</v>
      </c>
      <c r="H292" s="28"/>
      <c r="I292" s="34">
        <v>5200</v>
      </c>
      <c r="J292" s="34">
        <v>4680</v>
      </c>
      <c r="K292" s="38">
        <v>4730</v>
      </c>
      <c r="L292" s="38">
        <v>4260</v>
      </c>
      <c r="M292" s="36"/>
      <c r="N292" s="40">
        <v>4730</v>
      </c>
      <c r="O292" s="40">
        <v>4260</v>
      </c>
      <c r="P292" s="40">
        <v>3620</v>
      </c>
      <c r="Q292" s="28" t="s">
        <v>42</v>
      </c>
      <c r="R292" s="38" t="s">
        <v>153</v>
      </c>
      <c r="S292" s="28" t="s">
        <v>153</v>
      </c>
      <c r="T292" s="30" t="s">
        <v>1282</v>
      </c>
      <c r="U292" s="30">
        <v>330204007</v>
      </c>
      <c r="V292" s="30" t="s">
        <v>1283</v>
      </c>
      <c r="W292" s="30" t="s">
        <v>1284</v>
      </c>
      <c r="X292" s="30"/>
      <c r="Y292" s="30" t="s">
        <v>40</v>
      </c>
      <c r="Z292" s="30" t="s">
        <v>1285</v>
      </c>
      <c r="AA292" s="51">
        <v>5380</v>
      </c>
      <c r="AB292" s="51">
        <v>4840</v>
      </c>
      <c r="AC292" s="57">
        <v>4730</v>
      </c>
      <c r="AD292" s="57">
        <v>4260</v>
      </c>
      <c r="AE292" s="57">
        <v>3620</v>
      </c>
      <c r="AF292" s="58">
        <f t="shared" si="20"/>
        <v>0</v>
      </c>
      <c r="AG292" s="58" t="str">
        <f t="shared" si="21"/>
        <v>髓内病变切除费（常规）</v>
      </c>
      <c r="AH292" s="58">
        <f t="shared" si="22"/>
        <v>4730</v>
      </c>
      <c r="AI292" s="58">
        <f t="shared" si="23"/>
        <v>4260</v>
      </c>
      <c r="AJ292" s="58">
        <f t="shared" si="24"/>
        <v>3620</v>
      </c>
    </row>
    <row r="293" s="17" customFormat="1" ht="31" customHeight="1" spans="1:36">
      <c r="A293" s="27">
        <v>65</v>
      </c>
      <c r="B293" s="28" t="s">
        <v>1278</v>
      </c>
      <c r="C293" s="28" t="s">
        <v>1279</v>
      </c>
      <c r="D293" s="28" t="s">
        <v>378</v>
      </c>
      <c r="E293" s="28" t="s">
        <v>1280</v>
      </c>
      <c r="F293" s="28" t="s">
        <v>1281</v>
      </c>
      <c r="G293" s="28" t="s">
        <v>40</v>
      </c>
      <c r="H293" s="28"/>
      <c r="I293" s="34">
        <v>5200</v>
      </c>
      <c r="J293" s="34">
        <v>4680</v>
      </c>
      <c r="K293" s="38">
        <v>4730</v>
      </c>
      <c r="L293" s="38">
        <v>4260</v>
      </c>
      <c r="M293" s="36"/>
      <c r="N293" s="40">
        <v>4730</v>
      </c>
      <c r="O293" s="40">
        <v>4260</v>
      </c>
      <c r="P293" s="40">
        <v>3620</v>
      </c>
      <c r="Q293" s="28" t="s">
        <v>42</v>
      </c>
      <c r="R293" s="38" t="s">
        <v>153</v>
      </c>
      <c r="S293" s="28" t="s">
        <v>153</v>
      </c>
      <c r="T293" s="30" t="s">
        <v>1286</v>
      </c>
      <c r="U293" s="30">
        <v>330204010</v>
      </c>
      <c r="V293" s="30" t="s">
        <v>1287</v>
      </c>
      <c r="W293" s="30"/>
      <c r="X293" s="30" t="s">
        <v>765</v>
      </c>
      <c r="Y293" s="30" t="s">
        <v>40</v>
      </c>
      <c r="Z293" s="30" t="s">
        <v>43</v>
      </c>
      <c r="AA293" s="51">
        <v>3460</v>
      </c>
      <c r="AB293" s="51">
        <v>3110</v>
      </c>
      <c r="AC293" s="57">
        <v>3040</v>
      </c>
      <c r="AD293" s="57">
        <v>2740</v>
      </c>
      <c r="AE293" s="57">
        <v>2330</v>
      </c>
      <c r="AF293" s="58">
        <f t="shared" si="20"/>
        <v>0</v>
      </c>
      <c r="AG293" s="58" t="str">
        <f t="shared" si="21"/>
        <v>髓内病变切除费（常规）</v>
      </c>
      <c r="AH293" s="58">
        <f t="shared" si="22"/>
        <v>4730</v>
      </c>
      <c r="AI293" s="58">
        <f t="shared" si="23"/>
        <v>4260</v>
      </c>
      <c r="AJ293" s="58">
        <f t="shared" si="24"/>
        <v>3620</v>
      </c>
    </row>
    <row r="294" s="17" customFormat="1" ht="31" customHeight="1" spans="1:36">
      <c r="A294" s="27" t="s">
        <v>70</v>
      </c>
      <c r="B294" s="28" t="s">
        <v>1288</v>
      </c>
      <c r="C294" s="28" t="s">
        <v>1289</v>
      </c>
      <c r="D294" s="28" t="s">
        <v>378</v>
      </c>
      <c r="E294" s="28"/>
      <c r="F294" s="28"/>
      <c r="G294" s="28" t="s">
        <v>40</v>
      </c>
      <c r="H294" s="28"/>
      <c r="I294" s="34">
        <v>1560</v>
      </c>
      <c r="J294" s="34">
        <v>1404</v>
      </c>
      <c r="K294" s="38">
        <v>1420</v>
      </c>
      <c r="L294" s="36"/>
      <c r="M294" s="36"/>
      <c r="N294" s="40">
        <v>1420</v>
      </c>
      <c r="O294" s="40">
        <v>1280</v>
      </c>
      <c r="P294" s="40">
        <v>1085</v>
      </c>
      <c r="Q294" s="28" t="s">
        <v>42</v>
      </c>
      <c r="R294" s="36"/>
      <c r="S294" s="28" t="s">
        <v>384</v>
      </c>
      <c r="T294" s="46" t="s">
        <v>1290</v>
      </c>
      <c r="U294" s="46">
        <v>33020401001</v>
      </c>
      <c r="V294" s="48" t="s">
        <v>1291</v>
      </c>
      <c r="W294" s="46"/>
      <c r="X294" s="46"/>
      <c r="Y294" s="46" t="s">
        <v>40</v>
      </c>
      <c r="Z294" s="30" t="s">
        <v>43</v>
      </c>
      <c r="AA294" s="52">
        <v>4500</v>
      </c>
      <c r="AB294" s="51">
        <v>4045</v>
      </c>
      <c r="AC294" s="57">
        <v>3950</v>
      </c>
      <c r="AD294" s="57">
        <v>3560</v>
      </c>
      <c r="AE294" s="57">
        <v>3025</v>
      </c>
      <c r="AF294" s="58">
        <f t="shared" si="20"/>
        <v>12</v>
      </c>
      <c r="AG294" s="58" t="str">
        <f t="shared" si="21"/>
        <v>髓内病变切除费（常规）</v>
      </c>
      <c r="AH294" s="58">
        <f t="shared" si="22"/>
        <v>6150</v>
      </c>
      <c r="AI294" s="58">
        <f t="shared" si="23"/>
        <v>5540</v>
      </c>
      <c r="AJ294" s="58">
        <f t="shared" si="24"/>
        <v>4705</v>
      </c>
    </row>
    <row r="295" s="17" customFormat="1" ht="31" customHeight="1" spans="1:36">
      <c r="A295" s="27" t="s">
        <v>70</v>
      </c>
      <c r="B295" s="28" t="s">
        <v>1288</v>
      </c>
      <c r="C295" s="28" t="s">
        <v>1289</v>
      </c>
      <c r="D295" s="28" t="s">
        <v>378</v>
      </c>
      <c r="E295" s="28"/>
      <c r="F295" s="28"/>
      <c r="G295" s="28" t="s">
        <v>40</v>
      </c>
      <c r="H295" s="28"/>
      <c r="I295" s="34">
        <v>1560</v>
      </c>
      <c r="J295" s="34">
        <v>1404</v>
      </c>
      <c r="K295" s="38">
        <v>1420</v>
      </c>
      <c r="L295" s="36"/>
      <c r="M295" s="36"/>
      <c r="N295" s="40">
        <v>1420</v>
      </c>
      <c r="O295" s="40">
        <v>1280</v>
      </c>
      <c r="P295" s="40">
        <v>1085</v>
      </c>
      <c r="Q295" s="28" t="s">
        <v>42</v>
      </c>
      <c r="R295" s="36"/>
      <c r="S295" s="28" t="s">
        <v>384</v>
      </c>
      <c r="T295" s="30" t="s">
        <v>1292</v>
      </c>
      <c r="U295" s="30">
        <v>33020400702</v>
      </c>
      <c r="V295" s="30" t="s">
        <v>1293</v>
      </c>
      <c r="W295" s="30"/>
      <c r="X295" s="30"/>
      <c r="Y295" s="30" t="s">
        <v>40</v>
      </c>
      <c r="Z295" s="30" t="s">
        <v>43</v>
      </c>
      <c r="AA295" s="51">
        <v>6995</v>
      </c>
      <c r="AB295" s="51">
        <v>6290</v>
      </c>
      <c r="AC295" s="57">
        <v>6150</v>
      </c>
      <c r="AD295" s="57">
        <v>5540</v>
      </c>
      <c r="AE295" s="57">
        <v>4710</v>
      </c>
      <c r="AF295" s="58">
        <f t="shared" si="20"/>
        <v>12</v>
      </c>
      <c r="AG295" s="58" t="str">
        <f t="shared" si="21"/>
        <v>髓内病变切除费（常规）</v>
      </c>
      <c r="AH295" s="58">
        <f t="shared" si="22"/>
        <v>6150</v>
      </c>
      <c r="AI295" s="58">
        <f t="shared" si="23"/>
        <v>5540</v>
      </c>
      <c r="AJ295" s="58">
        <f t="shared" si="24"/>
        <v>4705</v>
      </c>
    </row>
    <row r="296" s="17" customFormat="1" ht="40" customHeight="1" spans="1:36">
      <c r="A296" s="27">
        <v>66</v>
      </c>
      <c r="B296" s="28" t="s">
        <v>1294</v>
      </c>
      <c r="C296" s="28" t="s">
        <v>1295</v>
      </c>
      <c r="D296" s="28" t="s">
        <v>378</v>
      </c>
      <c r="E296" s="28" t="s">
        <v>1296</v>
      </c>
      <c r="F296" s="28" t="s">
        <v>1281</v>
      </c>
      <c r="G296" s="28" t="s">
        <v>40</v>
      </c>
      <c r="H296" s="28" t="s">
        <v>1297</v>
      </c>
      <c r="I296" s="34">
        <v>7230</v>
      </c>
      <c r="J296" s="34">
        <v>6507</v>
      </c>
      <c r="K296" s="38">
        <v>5335</v>
      </c>
      <c r="L296" s="38">
        <v>6250</v>
      </c>
      <c r="M296" s="36"/>
      <c r="N296" s="40">
        <v>6575</v>
      </c>
      <c r="O296" s="40">
        <v>5925</v>
      </c>
      <c r="P296" s="40">
        <v>5035</v>
      </c>
      <c r="Q296" s="28" t="s">
        <v>42</v>
      </c>
      <c r="R296" s="38" t="s">
        <v>280</v>
      </c>
      <c r="S296" s="28" t="s">
        <v>1298</v>
      </c>
      <c r="T296" s="30" t="s">
        <v>1299</v>
      </c>
      <c r="U296" s="30">
        <v>330204011</v>
      </c>
      <c r="V296" s="30" t="s">
        <v>1300</v>
      </c>
      <c r="W296" s="30"/>
      <c r="X296" s="30" t="s">
        <v>1301</v>
      </c>
      <c r="Y296" s="30" t="s">
        <v>40</v>
      </c>
      <c r="Z296" s="30" t="s">
        <v>43</v>
      </c>
      <c r="AA296" s="51">
        <v>9000</v>
      </c>
      <c r="AB296" s="51">
        <v>7560</v>
      </c>
      <c r="AC296" s="57">
        <v>6940</v>
      </c>
      <c r="AD296" s="57">
        <v>6250</v>
      </c>
      <c r="AE296" s="57">
        <v>5310</v>
      </c>
      <c r="AF296" s="58">
        <f t="shared" si="20"/>
        <v>0</v>
      </c>
      <c r="AG296" s="58" t="str">
        <f t="shared" si="21"/>
        <v>髓内病变切除费（复杂）</v>
      </c>
      <c r="AH296" s="58">
        <f t="shared" si="22"/>
        <v>6575</v>
      </c>
      <c r="AI296" s="58">
        <f t="shared" si="23"/>
        <v>5925</v>
      </c>
      <c r="AJ296" s="58">
        <f t="shared" si="24"/>
        <v>5035</v>
      </c>
    </row>
    <row r="297" s="17" customFormat="1" ht="40" customHeight="1" spans="1:36">
      <c r="A297" s="27">
        <v>66</v>
      </c>
      <c r="B297" s="28" t="s">
        <v>1294</v>
      </c>
      <c r="C297" s="28" t="s">
        <v>1295</v>
      </c>
      <c r="D297" s="28" t="s">
        <v>378</v>
      </c>
      <c r="E297" s="28" t="s">
        <v>1296</v>
      </c>
      <c r="F297" s="28" t="s">
        <v>1281</v>
      </c>
      <c r="G297" s="28" t="s">
        <v>40</v>
      </c>
      <c r="H297" s="28" t="s">
        <v>1297</v>
      </c>
      <c r="I297" s="34">
        <v>7230</v>
      </c>
      <c r="J297" s="34">
        <v>6507</v>
      </c>
      <c r="K297" s="38">
        <v>5335</v>
      </c>
      <c r="L297" s="38">
        <v>6250</v>
      </c>
      <c r="M297" s="36"/>
      <c r="N297" s="40">
        <v>6575</v>
      </c>
      <c r="O297" s="40">
        <v>5925</v>
      </c>
      <c r="P297" s="40">
        <v>5035</v>
      </c>
      <c r="Q297" s="28" t="s">
        <v>42</v>
      </c>
      <c r="R297" s="38" t="s">
        <v>280</v>
      </c>
      <c r="S297" s="28" t="s">
        <v>1298</v>
      </c>
      <c r="T297" s="30" t="s">
        <v>1302</v>
      </c>
      <c r="U297" s="30">
        <v>33020400701</v>
      </c>
      <c r="V297" s="30" t="s">
        <v>1303</v>
      </c>
      <c r="W297" s="30"/>
      <c r="X297" s="30"/>
      <c r="Y297" s="30" t="s">
        <v>40</v>
      </c>
      <c r="Z297" s="30" t="s">
        <v>1304</v>
      </c>
      <c r="AA297" s="51">
        <v>6050</v>
      </c>
      <c r="AB297" s="51">
        <v>5445</v>
      </c>
      <c r="AC297" s="57">
        <v>5335</v>
      </c>
      <c r="AD297" s="57">
        <v>4805</v>
      </c>
      <c r="AE297" s="57">
        <v>4085</v>
      </c>
      <c r="AF297" s="58">
        <f t="shared" si="20"/>
        <v>0</v>
      </c>
      <c r="AG297" s="58" t="str">
        <f t="shared" si="21"/>
        <v>髓内病变切除费（复杂）</v>
      </c>
      <c r="AH297" s="58">
        <f t="shared" si="22"/>
        <v>6575</v>
      </c>
      <c r="AI297" s="58">
        <f t="shared" si="23"/>
        <v>5925</v>
      </c>
      <c r="AJ297" s="58">
        <f t="shared" si="24"/>
        <v>5035</v>
      </c>
    </row>
    <row r="298" s="17" customFormat="1" ht="40" customHeight="1" spans="1:36">
      <c r="A298" s="27" t="s">
        <v>70</v>
      </c>
      <c r="B298" s="28" t="s">
        <v>1305</v>
      </c>
      <c r="C298" s="28" t="s">
        <v>1306</v>
      </c>
      <c r="D298" s="28" t="s">
        <v>378</v>
      </c>
      <c r="E298" s="28"/>
      <c r="F298" s="28"/>
      <c r="G298" s="28" t="s">
        <v>40</v>
      </c>
      <c r="H298" s="31"/>
      <c r="I298" s="34">
        <v>2169</v>
      </c>
      <c r="J298" s="34">
        <v>1952</v>
      </c>
      <c r="K298" s="36"/>
      <c r="L298" s="36"/>
      <c r="M298" s="36"/>
      <c r="N298" s="40">
        <v>1975</v>
      </c>
      <c r="O298" s="40">
        <v>1780</v>
      </c>
      <c r="P298" s="40">
        <v>1510</v>
      </c>
      <c r="Q298" s="28" t="s">
        <v>42</v>
      </c>
      <c r="R298" s="36"/>
      <c r="S298" s="28" t="s">
        <v>384</v>
      </c>
      <c r="T298" s="46" t="s">
        <v>1307</v>
      </c>
      <c r="U298" s="46">
        <v>33020401101</v>
      </c>
      <c r="V298" s="48" t="s">
        <v>1308</v>
      </c>
      <c r="W298" s="46"/>
      <c r="X298" s="46"/>
      <c r="Y298" s="46" t="s">
        <v>40</v>
      </c>
      <c r="Z298" s="30" t="s">
        <v>43</v>
      </c>
      <c r="AA298" s="52">
        <v>11700</v>
      </c>
      <c r="AB298" s="51">
        <v>9830</v>
      </c>
      <c r="AC298" s="57">
        <v>9020</v>
      </c>
      <c r="AD298" s="57">
        <v>8125</v>
      </c>
      <c r="AE298" s="57">
        <v>6905</v>
      </c>
      <c r="AF298" s="58">
        <f t="shared" si="20"/>
        <v>12</v>
      </c>
      <c r="AG298" s="58" t="str">
        <f t="shared" si="21"/>
        <v>髓内病变切除费（复杂）</v>
      </c>
      <c r="AH298" s="58">
        <f t="shared" si="22"/>
        <v>8550</v>
      </c>
      <c r="AI298" s="58">
        <f t="shared" si="23"/>
        <v>7705</v>
      </c>
      <c r="AJ298" s="58">
        <f t="shared" si="24"/>
        <v>6545</v>
      </c>
    </row>
    <row r="299" s="17" customFormat="1" ht="40" customHeight="1" spans="1:36">
      <c r="A299" s="27" t="s">
        <v>70</v>
      </c>
      <c r="B299" s="28" t="s">
        <v>1305</v>
      </c>
      <c r="C299" s="28" t="s">
        <v>1306</v>
      </c>
      <c r="D299" s="28" t="s">
        <v>378</v>
      </c>
      <c r="E299" s="28"/>
      <c r="F299" s="28"/>
      <c r="G299" s="28" t="s">
        <v>40</v>
      </c>
      <c r="H299" s="31"/>
      <c r="I299" s="34">
        <v>2169</v>
      </c>
      <c r="J299" s="34">
        <v>1952</v>
      </c>
      <c r="K299" s="36"/>
      <c r="L299" s="36"/>
      <c r="M299" s="36"/>
      <c r="N299" s="40">
        <v>1975</v>
      </c>
      <c r="O299" s="40">
        <v>1780</v>
      </c>
      <c r="P299" s="40">
        <v>1510</v>
      </c>
      <c r="Q299" s="28" t="s">
        <v>42</v>
      </c>
      <c r="R299" s="36"/>
      <c r="S299" s="28" t="s">
        <v>384</v>
      </c>
      <c r="T299" s="46" t="s">
        <v>1309</v>
      </c>
      <c r="U299" s="46">
        <v>33020400703</v>
      </c>
      <c r="V299" s="48" t="s">
        <v>1310</v>
      </c>
      <c r="W299" s="46"/>
      <c r="X299" s="46"/>
      <c r="Y299" s="46" t="s">
        <v>40</v>
      </c>
      <c r="Z299" s="30" t="s">
        <v>1304</v>
      </c>
      <c r="AA299" s="52">
        <v>7865</v>
      </c>
      <c r="AB299" s="51">
        <v>7080</v>
      </c>
      <c r="AC299" s="57">
        <v>6935</v>
      </c>
      <c r="AD299" s="57">
        <v>6245</v>
      </c>
      <c r="AE299" s="57">
        <v>5310</v>
      </c>
      <c r="AF299" s="58">
        <f t="shared" si="20"/>
        <v>12</v>
      </c>
      <c r="AG299" s="58" t="str">
        <f t="shared" si="21"/>
        <v>髓内病变切除费（复杂）</v>
      </c>
      <c r="AH299" s="58">
        <f t="shared" si="22"/>
        <v>8550</v>
      </c>
      <c r="AI299" s="58">
        <f t="shared" si="23"/>
        <v>7705</v>
      </c>
      <c r="AJ299" s="58">
        <f t="shared" si="24"/>
        <v>6545</v>
      </c>
    </row>
    <row r="300" s="17" customFormat="1" ht="40" customHeight="1" spans="1:36">
      <c r="A300" s="27">
        <v>67</v>
      </c>
      <c r="B300" s="28" t="s">
        <v>1311</v>
      </c>
      <c r="C300" s="28" t="s">
        <v>1312</v>
      </c>
      <c r="D300" s="28" t="s">
        <v>378</v>
      </c>
      <c r="E300" s="28" t="s">
        <v>1313</v>
      </c>
      <c r="F300" s="28" t="s">
        <v>1281</v>
      </c>
      <c r="G300" s="28" t="s">
        <v>40</v>
      </c>
      <c r="H300" s="28" t="s">
        <v>146</v>
      </c>
      <c r="I300" s="34">
        <v>3510</v>
      </c>
      <c r="J300" s="34">
        <v>3159</v>
      </c>
      <c r="K300" s="38">
        <v>3160</v>
      </c>
      <c r="L300" s="38">
        <v>2850</v>
      </c>
      <c r="M300" s="38">
        <v>2420</v>
      </c>
      <c r="N300" s="40">
        <v>3160</v>
      </c>
      <c r="O300" s="40">
        <v>2850</v>
      </c>
      <c r="P300" s="40">
        <v>2420</v>
      </c>
      <c r="Q300" s="28" t="s">
        <v>42</v>
      </c>
      <c r="R300" s="38" t="s">
        <v>153</v>
      </c>
      <c r="S300" s="28" t="s">
        <v>153</v>
      </c>
      <c r="T300" s="30" t="s">
        <v>1314</v>
      </c>
      <c r="U300" s="30">
        <v>330204008</v>
      </c>
      <c r="V300" s="30" t="s">
        <v>1315</v>
      </c>
      <c r="W300" s="30" t="s">
        <v>1316</v>
      </c>
      <c r="X300" s="30"/>
      <c r="Y300" s="30" t="s">
        <v>40</v>
      </c>
      <c r="Z300" s="30" t="s">
        <v>43</v>
      </c>
      <c r="AA300" s="51">
        <v>3510</v>
      </c>
      <c r="AB300" s="51">
        <v>3160</v>
      </c>
      <c r="AC300" s="57">
        <v>3160</v>
      </c>
      <c r="AD300" s="57">
        <v>2850</v>
      </c>
      <c r="AE300" s="57">
        <v>2420</v>
      </c>
      <c r="AF300" s="58">
        <f t="shared" si="20"/>
        <v>0</v>
      </c>
      <c r="AG300" s="58" t="str">
        <f t="shared" si="21"/>
        <v>髓外病变切除费（常规）</v>
      </c>
      <c r="AH300" s="58">
        <f t="shared" si="22"/>
        <v>3160</v>
      </c>
      <c r="AI300" s="58">
        <f t="shared" si="23"/>
        <v>2850</v>
      </c>
      <c r="AJ300" s="58">
        <f t="shared" si="24"/>
        <v>2420</v>
      </c>
    </row>
    <row r="301" s="17" customFormat="1" ht="51" customHeight="1" spans="1:36">
      <c r="A301" s="27">
        <v>67</v>
      </c>
      <c r="B301" s="28" t="s">
        <v>1311</v>
      </c>
      <c r="C301" s="28" t="s">
        <v>1312</v>
      </c>
      <c r="D301" s="28" t="s">
        <v>378</v>
      </c>
      <c r="E301" s="28" t="s">
        <v>1313</v>
      </c>
      <c r="F301" s="28" t="s">
        <v>1281</v>
      </c>
      <c r="G301" s="28" t="s">
        <v>40</v>
      </c>
      <c r="H301" s="28" t="s">
        <v>146</v>
      </c>
      <c r="I301" s="34">
        <v>3510</v>
      </c>
      <c r="J301" s="34">
        <v>3159</v>
      </c>
      <c r="K301" s="38">
        <v>3160</v>
      </c>
      <c r="L301" s="38">
        <v>2850</v>
      </c>
      <c r="M301" s="38">
        <v>2420</v>
      </c>
      <c r="N301" s="40">
        <v>3160</v>
      </c>
      <c r="O301" s="40">
        <v>2850</v>
      </c>
      <c r="P301" s="40">
        <v>2420</v>
      </c>
      <c r="Q301" s="28" t="s">
        <v>42</v>
      </c>
      <c r="R301" s="38" t="s">
        <v>153</v>
      </c>
      <c r="S301" s="28" t="s">
        <v>153</v>
      </c>
      <c r="T301" s="30" t="s">
        <v>1317</v>
      </c>
      <c r="U301" s="30">
        <v>330204009</v>
      </c>
      <c r="V301" s="30" t="s">
        <v>1318</v>
      </c>
      <c r="W301" s="30" t="s">
        <v>1319</v>
      </c>
      <c r="X301" s="30"/>
      <c r="Y301" s="30" t="s">
        <v>40</v>
      </c>
      <c r="Z301" s="30" t="s">
        <v>1320</v>
      </c>
      <c r="AA301" s="51">
        <v>3510</v>
      </c>
      <c r="AB301" s="51">
        <v>3160</v>
      </c>
      <c r="AC301" s="57">
        <v>3160</v>
      </c>
      <c r="AD301" s="57">
        <v>2850</v>
      </c>
      <c r="AE301" s="57">
        <v>2420</v>
      </c>
      <c r="AF301" s="58">
        <f t="shared" si="20"/>
        <v>0</v>
      </c>
      <c r="AG301" s="58" t="str">
        <f t="shared" si="21"/>
        <v>髓外病变切除费（常规）</v>
      </c>
      <c r="AH301" s="58">
        <f t="shared" si="22"/>
        <v>3160</v>
      </c>
      <c r="AI301" s="58">
        <f t="shared" si="23"/>
        <v>2850</v>
      </c>
      <c r="AJ301" s="58">
        <f t="shared" si="24"/>
        <v>2420</v>
      </c>
    </row>
    <row r="302" s="17" customFormat="1" ht="33" customHeight="1" spans="1:36">
      <c r="A302" s="27" t="s">
        <v>70</v>
      </c>
      <c r="B302" s="28" t="s">
        <v>1321</v>
      </c>
      <c r="C302" s="28" t="s">
        <v>1322</v>
      </c>
      <c r="D302" s="28" t="s">
        <v>378</v>
      </c>
      <c r="E302" s="28"/>
      <c r="F302" s="28"/>
      <c r="G302" s="28" t="s">
        <v>40</v>
      </c>
      <c r="H302" s="28"/>
      <c r="I302" s="34">
        <v>1053</v>
      </c>
      <c r="J302" s="34">
        <v>948</v>
      </c>
      <c r="K302" s="36"/>
      <c r="L302" s="36"/>
      <c r="M302" s="36"/>
      <c r="N302" s="40">
        <v>950</v>
      </c>
      <c r="O302" s="40">
        <v>855</v>
      </c>
      <c r="P302" s="40">
        <v>725</v>
      </c>
      <c r="Q302" s="28" t="s">
        <v>42</v>
      </c>
      <c r="R302" s="36"/>
      <c r="S302" s="28" t="s">
        <v>384</v>
      </c>
      <c r="T302" s="30" t="s">
        <v>1323</v>
      </c>
      <c r="U302" s="30">
        <v>33020400801</v>
      </c>
      <c r="V302" s="30" t="s">
        <v>1324</v>
      </c>
      <c r="W302" s="30"/>
      <c r="X302" s="30"/>
      <c r="Y302" s="30" t="s">
        <v>40</v>
      </c>
      <c r="Z302" s="30" t="s">
        <v>43</v>
      </c>
      <c r="AA302" s="51">
        <v>4560</v>
      </c>
      <c r="AB302" s="51">
        <v>4110</v>
      </c>
      <c r="AC302" s="57">
        <v>4110</v>
      </c>
      <c r="AD302" s="57">
        <v>3705</v>
      </c>
      <c r="AE302" s="57">
        <v>3145</v>
      </c>
      <c r="AF302" s="58">
        <f t="shared" si="20"/>
        <v>12</v>
      </c>
      <c r="AG302" s="58" t="str">
        <f t="shared" si="21"/>
        <v>髓外病变切除费（常规）</v>
      </c>
      <c r="AH302" s="58">
        <f t="shared" si="22"/>
        <v>4110</v>
      </c>
      <c r="AI302" s="58">
        <f t="shared" si="23"/>
        <v>3705</v>
      </c>
      <c r="AJ302" s="58">
        <f t="shared" si="24"/>
        <v>3145</v>
      </c>
    </row>
    <row r="303" s="17" customFormat="1" ht="33" customHeight="1" spans="1:36">
      <c r="A303" s="27" t="s">
        <v>70</v>
      </c>
      <c r="B303" s="28" t="s">
        <v>1321</v>
      </c>
      <c r="C303" s="28" t="s">
        <v>1322</v>
      </c>
      <c r="D303" s="28" t="s">
        <v>378</v>
      </c>
      <c r="E303" s="28"/>
      <c r="F303" s="28"/>
      <c r="G303" s="28" t="s">
        <v>40</v>
      </c>
      <c r="H303" s="28"/>
      <c r="I303" s="34">
        <v>1053</v>
      </c>
      <c r="J303" s="34">
        <v>948</v>
      </c>
      <c r="K303" s="36"/>
      <c r="L303" s="36"/>
      <c r="M303" s="36"/>
      <c r="N303" s="40">
        <v>950</v>
      </c>
      <c r="O303" s="40">
        <v>855</v>
      </c>
      <c r="P303" s="40">
        <v>725</v>
      </c>
      <c r="Q303" s="28" t="s">
        <v>42</v>
      </c>
      <c r="R303" s="36"/>
      <c r="S303" s="28" t="s">
        <v>384</v>
      </c>
      <c r="T303" s="30" t="s">
        <v>1325</v>
      </c>
      <c r="U303" s="30">
        <v>33020400902</v>
      </c>
      <c r="V303" s="30" t="s">
        <v>1326</v>
      </c>
      <c r="W303" s="30"/>
      <c r="X303" s="30"/>
      <c r="Y303" s="30" t="s">
        <v>40</v>
      </c>
      <c r="Z303" s="30" t="s">
        <v>43</v>
      </c>
      <c r="AA303" s="51">
        <v>4560</v>
      </c>
      <c r="AB303" s="51">
        <v>4110</v>
      </c>
      <c r="AC303" s="57">
        <v>4110</v>
      </c>
      <c r="AD303" s="57">
        <v>3705</v>
      </c>
      <c r="AE303" s="57">
        <v>3145</v>
      </c>
      <c r="AF303" s="58">
        <f t="shared" si="20"/>
        <v>12</v>
      </c>
      <c r="AG303" s="58" t="str">
        <f t="shared" si="21"/>
        <v>髓外病变切除费（常规）</v>
      </c>
      <c r="AH303" s="58">
        <f t="shared" si="22"/>
        <v>4110</v>
      </c>
      <c r="AI303" s="58">
        <f t="shared" si="23"/>
        <v>3705</v>
      </c>
      <c r="AJ303" s="58">
        <f t="shared" si="24"/>
        <v>3145</v>
      </c>
    </row>
    <row r="304" s="17" customFormat="1" ht="80" customHeight="1" spans="1:36">
      <c r="A304" s="29">
        <v>68</v>
      </c>
      <c r="B304" s="30" t="s">
        <v>1327</v>
      </c>
      <c r="C304" s="30" t="s">
        <v>1328</v>
      </c>
      <c r="D304" s="30" t="s">
        <v>378</v>
      </c>
      <c r="E304" s="31" t="s">
        <v>1329</v>
      </c>
      <c r="F304" s="31" t="s">
        <v>1281</v>
      </c>
      <c r="G304" s="30" t="s">
        <v>40</v>
      </c>
      <c r="H304" s="31" t="s">
        <v>1330</v>
      </c>
      <c r="I304" s="37">
        <v>4030</v>
      </c>
      <c r="J304" s="37">
        <v>3627</v>
      </c>
      <c r="K304" s="36">
        <v>3630</v>
      </c>
      <c r="L304" s="36">
        <v>3270</v>
      </c>
      <c r="M304" s="36">
        <v>2780</v>
      </c>
      <c r="N304" s="41">
        <v>3630</v>
      </c>
      <c r="O304" s="41">
        <v>3270</v>
      </c>
      <c r="P304" s="41">
        <v>2780</v>
      </c>
      <c r="Q304" s="30" t="s">
        <v>42</v>
      </c>
      <c r="R304" s="36" t="s">
        <v>153</v>
      </c>
      <c r="S304" s="31" t="s">
        <v>153</v>
      </c>
      <c r="T304" s="30" t="s">
        <v>1331</v>
      </c>
      <c r="U304" s="30">
        <v>33020400901</v>
      </c>
      <c r="V304" s="30" t="s">
        <v>1332</v>
      </c>
      <c r="W304" s="30"/>
      <c r="X304" s="30"/>
      <c r="Y304" s="30" t="s">
        <v>40</v>
      </c>
      <c r="Z304" s="30" t="s">
        <v>1304</v>
      </c>
      <c r="AA304" s="51">
        <v>4030</v>
      </c>
      <c r="AB304" s="51">
        <v>3630</v>
      </c>
      <c r="AC304" s="57">
        <v>3630</v>
      </c>
      <c r="AD304" s="57">
        <v>3270</v>
      </c>
      <c r="AE304" s="57">
        <v>2780</v>
      </c>
      <c r="AF304" s="58">
        <f t="shared" si="20"/>
        <v>0</v>
      </c>
      <c r="AG304" s="58" t="str">
        <f t="shared" si="21"/>
        <v>髓外病变切除费（复杂）</v>
      </c>
      <c r="AH304" s="58">
        <f t="shared" si="22"/>
        <v>3630</v>
      </c>
      <c r="AI304" s="58">
        <f t="shared" si="23"/>
        <v>3270</v>
      </c>
      <c r="AJ304" s="58">
        <f t="shared" si="24"/>
        <v>2780</v>
      </c>
    </row>
    <row r="305" s="17" customFormat="1" ht="36" customHeight="1" spans="1:36">
      <c r="A305" s="29" t="s">
        <v>70</v>
      </c>
      <c r="B305" s="30" t="s">
        <v>1333</v>
      </c>
      <c r="C305" s="30" t="s">
        <v>1334</v>
      </c>
      <c r="D305" s="30" t="s">
        <v>378</v>
      </c>
      <c r="E305" s="31" t="s">
        <v>43</v>
      </c>
      <c r="F305" s="31" t="s">
        <v>43</v>
      </c>
      <c r="G305" s="30" t="s">
        <v>40</v>
      </c>
      <c r="H305" s="31"/>
      <c r="I305" s="37">
        <v>1209</v>
      </c>
      <c r="J305" s="37">
        <v>1088</v>
      </c>
      <c r="K305" s="36"/>
      <c r="L305" s="36"/>
      <c r="M305" s="36"/>
      <c r="N305" s="41">
        <v>1090</v>
      </c>
      <c r="O305" s="41">
        <v>980</v>
      </c>
      <c r="P305" s="41">
        <v>835</v>
      </c>
      <c r="Q305" s="30" t="s">
        <v>42</v>
      </c>
      <c r="R305" s="36"/>
      <c r="S305" s="31" t="s">
        <v>384</v>
      </c>
      <c r="T305" s="46" t="s">
        <v>1335</v>
      </c>
      <c r="U305" s="46">
        <v>33020400903</v>
      </c>
      <c r="V305" s="48" t="s">
        <v>1336</v>
      </c>
      <c r="W305" s="50"/>
      <c r="X305" s="50"/>
      <c r="Y305" s="50" t="s">
        <v>40</v>
      </c>
      <c r="Z305" s="30" t="s">
        <v>1304</v>
      </c>
      <c r="AA305" s="62">
        <v>5240</v>
      </c>
      <c r="AB305" s="51">
        <v>4720</v>
      </c>
      <c r="AC305" s="57">
        <v>4730</v>
      </c>
      <c r="AD305" s="57">
        <v>4250</v>
      </c>
      <c r="AE305" s="57">
        <v>3615</v>
      </c>
      <c r="AF305" s="58">
        <f t="shared" si="20"/>
        <v>12</v>
      </c>
      <c r="AG305" s="58" t="str">
        <f t="shared" si="21"/>
        <v>髓外病变切除费（复杂）</v>
      </c>
      <c r="AH305" s="58">
        <f t="shared" si="22"/>
        <v>4720</v>
      </c>
      <c r="AI305" s="58">
        <f t="shared" si="23"/>
        <v>4250</v>
      </c>
      <c r="AJ305" s="58">
        <f t="shared" si="24"/>
        <v>3615</v>
      </c>
    </row>
    <row r="306" s="17" customFormat="1" ht="24" customHeight="1" spans="1:36">
      <c r="A306" s="27">
        <v>69</v>
      </c>
      <c r="B306" s="28" t="s">
        <v>1337</v>
      </c>
      <c r="C306" s="28" t="s">
        <v>1338</v>
      </c>
      <c r="D306" s="28" t="s">
        <v>378</v>
      </c>
      <c r="E306" s="28" t="s">
        <v>1339</v>
      </c>
      <c r="F306" s="28" t="s">
        <v>1340</v>
      </c>
      <c r="G306" s="28" t="s">
        <v>40</v>
      </c>
      <c r="H306" s="28"/>
      <c r="I306" s="34">
        <v>5000</v>
      </c>
      <c r="J306" s="34">
        <v>4500</v>
      </c>
      <c r="K306" s="38">
        <v>4640</v>
      </c>
      <c r="L306" s="38">
        <v>3261.33333333333</v>
      </c>
      <c r="M306" s="36"/>
      <c r="N306" s="40">
        <v>4700</v>
      </c>
      <c r="O306" s="40">
        <v>4350</v>
      </c>
      <c r="P306" s="40">
        <v>3700</v>
      </c>
      <c r="Q306" s="28" t="s">
        <v>42</v>
      </c>
      <c r="R306" s="38" t="s">
        <v>113</v>
      </c>
      <c r="S306" s="28" t="s">
        <v>1341</v>
      </c>
      <c r="T306" s="30" t="s">
        <v>1342</v>
      </c>
      <c r="U306" s="30">
        <v>330203007</v>
      </c>
      <c r="V306" s="30" t="s">
        <v>1343</v>
      </c>
      <c r="W306" s="30" t="s">
        <v>1344</v>
      </c>
      <c r="X306" s="30"/>
      <c r="Y306" s="30" t="s">
        <v>40</v>
      </c>
      <c r="Z306" s="30" t="s">
        <v>1345</v>
      </c>
      <c r="AA306" s="51">
        <v>4800</v>
      </c>
      <c r="AB306" s="51">
        <v>4320</v>
      </c>
      <c r="AC306" s="57">
        <v>4220</v>
      </c>
      <c r="AD306" s="57">
        <v>3800</v>
      </c>
      <c r="AE306" s="57">
        <v>3230</v>
      </c>
      <c r="AF306" s="58">
        <f t="shared" si="20"/>
        <v>0</v>
      </c>
      <c r="AG306" s="58" t="str">
        <f t="shared" si="21"/>
        <v>颈动脉内/外膜剥脱费</v>
      </c>
      <c r="AH306" s="58">
        <f t="shared" si="22"/>
        <v>4700</v>
      </c>
      <c r="AI306" s="58">
        <f t="shared" si="23"/>
        <v>4350</v>
      </c>
      <c r="AJ306" s="58">
        <f t="shared" si="24"/>
        <v>3700</v>
      </c>
    </row>
    <row r="307" s="17" customFormat="1" ht="24" customHeight="1" spans="1:36">
      <c r="A307" s="27">
        <v>69</v>
      </c>
      <c r="B307" s="28" t="s">
        <v>1337</v>
      </c>
      <c r="C307" s="28" t="s">
        <v>1338</v>
      </c>
      <c r="D307" s="28" t="s">
        <v>378</v>
      </c>
      <c r="E307" s="28" t="s">
        <v>1339</v>
      </c>
      <c r="F307" s="28" t="s">
        <v>1340</v>
      </c>
      <c r="G307" s="28" t="s">
        <v>40</v>
      </c>
      <c r="H307" s="28"/>
      <c r="I307" s="34">
        <v>5000</v>
      </c>
      <c r="J307" s="34">
        <v>4500</v>
      </c>
      <c r="K307" s="38">
        <v>4640</v>
      </c>
      <c r="L307" s="38">
        <v>3261.33333333333</v>
      </c>
      <c r="M307" s="36"/>
      <c r="N307" s="40">
        <v>4700</v>
      </c>
      <c r="O307" s="40">
        <v>4350</v>
      </c>
      <c r="P307" s="40">
        <v>3700</v>
      </c>
      <c r="Q307" s="28" t="s">
        <v>42</v>
      </c>
      <c r="R307" s="38" t="s">
        <v>113</v>
      </c>
      <c r="S307" s="28" t="s">
        <v>1341</v>
      </c>
      <c r="T307" s="46" t="s">
        <v>1346</v>
      </c>
      <c r="U307" s="46">
        <v>33020300701</v>
      </c>
      <c r="V307" s="48" t="s">
        <v>1347</v>
      </c>
      <c r="W307" s="46"/>
      <c r="X307" s="46"/>
      <c r="Y307" s="46" t="s">
        <v>40</v>
      </c>
      <c r="Z307" s="30" t="s">
        <v>1348</v>
      </c>
      <c r="AA307" s="52">
        <v>5280</v>
      </c>
      <c r="AB307" s="51">
        <v>4752</v>
      </c>
      <c r="AC307" s="57">
        <v>3960</v>
      </c>
      <c r="AD307" s="57">
        <v>3560</v>
      </c>
      <c r="AE307" s="57">
        <v>3030</v>
      </c>
      <c r="AF307" s="58">
        <f t="shared" si="20"/>
        <v>0</v>
      </c>
      <c r="AG307" s="58" t="str">
        <f t="shared" si="21"/>
        <v>颈动脉内/外膜剥脱费</v>
      </c>
      <c r="AH307" s="58">
        <f t="shared" si="22"/>
        <v>4700</v>
      </c>
      <c r="AI307" s="58">
        <f t="shared" si="23"/>
        <v>4350</v>
      </c>
      <c r="AJ307" s="58">
        <f t="shared" si="24"/>
        <v>3700</v>
      </c>
    </row>
    <row r="308" s="17" customFormat="1" ht="24" customHeight="1" spans="1:36">
      <c r="A308" s="27">
        <v>69</v>
      </c>
      <c r="B308" s="28" t="s">
        <v>1337</v>
      </c>
      <c r="C308" s="28" t="s">
        <v>1338</v>
      </c>
      <c r="D308" s="28" t="s">
        <v>378</v>
      </c>
      <c r="E308" s="28" t="s">
        <v>1339</v>
      </c>
      <c r="F308" s="28" t="s">
        <v>1340</v>
      </c>
      <c r="G308" s="28" t="s">
        <v>40</v>
      </c>
      <c r="H308" s="28"/>
      <c r="I308" s="34">
        <v>5000</v>
      </c>
      <c r="J308" s="34">
        <v>4500</v>
      </c>
      <c r="K308" s="38">
        <v>4640</v>
      </c>
      <c r="L308" s="38">
        <v>3261.33333333333</v>
      </c>
      <c r="M308" s="36"/>
      <c r="N308" s="40">
        <v>4700</v>
      </c>
      <c r="O308" s="40">
        <v>4350</v>
      </c>
      <c r="P308" s="40">
        <v>3700</v>
      </c>
      <c r="Q308" s="28" t="s">
        <v>42</v>
      </c>
      <c r="R308" s="38" t="s">
        <v>113</v>
      </c>
      <c r="S308" s="28" t="s">
        <v>1341</v>
      </c>
      <c r="T308" s="30" t="s">
        <v>1349</v>
      </c>
      <c r="U308" s="30">
        <v>330203010</v>
      </c>
      <c r="V308" s="30" t="s">
        <v>1350</v>
      </c>
      <c r="W308" s="30" t="s">
        <v>1351</v>
      </c>
      <c r="X308" s="30"/>
      <c r="Y308" s="30" t="s">
        <v>145</v>
      </c>
      <c r="Z308" s="30" t="s">
        <v>1352</v>
      </c>
      <c r="AA308" s="51">
        <v>2880</v>
      </c>
      <c r="AB308" s="51">
        <v>2590</v>
      </c>
      <c r="AC308" s="57">
        <v>2530</v>
      </c>
      <c r="AD308" s="57">
        <v>2280</v>
      </c>
      <c r="AE308" s="57">
        <v>1940</v>
      </c>
      <c r="AF308" s="58">
        <f t="shared" si="20"/>
        <v>0</v>
      </c>
      <c r="AG308" s="58" t="str">
        <f t="shared" si="21"/>
        <v>颈动脉内/外膜剥脱费</v>
      </c>
      <c r="AH308" s="58">
        <f t="shared" si="22"/>
        <v>4700</v>
      </c>
      <c r="AI308" s="58">
        <f t="shared" si="23"/>
        <v>4350</v>
      </c>
      <c r="AJ308" s="58">
        <f t="shared" si="24"/>
        <v>3700</v>
      </c>
    </row>
    <row r="309" s="17" customFormat="1" ht="24" customHeight="1" spans="1:36">
      <c r="A309" s="27">
        <v>69</v>
      </c>
      <c r="B309" s="28" t="s">
        <v>1337</v>
      </c>
      <c r="C309" s="28" t="s">
        <v>1338</v>
      </c>
      <c r="D309" s="28" t="s">
        <v>378</v>
      </c>
      <c r="E309" s="28" t="s">
        <v>1339</v>
      </c>
      <c r="F309" s="28" t="s">
        <v>1340</v>
      </c>
      <c r="G309" s="28" t="s">
        <v>40</v>
      </c>
      <c r="H309" s="28"/>
      <c r="I309" s="34">
        <v>5000</v>
      </c>
      <c r="J309" s="34">
        <v>4500</v>
      </c>
      <c r="K309" s="38">
        <v>4640</v>
      </c>
      <c r="L309" s="38">
        <v>3261.33333333333</v>
      </c>
      <c r="M309" s="36"/>
      <c r="N309" s="40">
        <v>4700</v>
      </c>
      <c r="O309" s="40">
        <v>4350</v>
      </c>
      <c r="P309" s="40">
        <v>3700</v>
      </c>
      <c r="Q309" s="28" t="s">
        <v>42</v>
      </c>
      <c r="R309" s="38" t="s">
        <v>113</v>
      </c>
      <c r="S309" s="28" t="s">
        <v>1341</v>
      </c>
      <c r="T309" s="30" t="s">
        <v>1353</v>
      </c>
      <c r="U309" s="30">
        <v>33020301001</v>
      </c>
      <c r="V309" s="30" t="s">
        <v>1354</v>
      </c>
      <c r="W309" s="30"/>
      <c r="X309" s="30"/>
      <c r="Y309" s="30" t="s">
        <v>1355</v>
      </c>
      <c r="Z309" s="30" t="s">
        <v>1355</v>
      </c>
      <c r="AA309" s="51">
        <v>5760</v>
      </c>
      <c r="AB309" s="51">
        <v>5180</v>
      </c>
      <c r="AC309" s="57">
        <v>5060</v>
      </c>
      <c r="AD309" s="57">
        <v>4560</v>
      </c>
      <c r="AE309" s="57">
        <v>3880</v>
      </c>
      <c r="AF309" s="58">
        <f t="shared" si="20"/>
        <v>0</v>
      </c>
      <c r="AG309" s="58" t="str">
        <f t="shared" si="21"/>
        <v>颈动脉内/外膜剥脱费</v>
      </c>
      <c r="AH309" s="58">
        <f t="shared" si="22"/>
        <v>4700</v>
      </c>
      <c r="AI309" s="58">
        <f t="shared" si="23"/>
        <v>4350</v>
      </c>
      <c r="AJ309" s="58">
        <f t="shared" si="24"/>
        <v>3700</v>
      </c>
    </row>
    <row r="310" s="17" customFormat="1" ht="24" customHeight="1" spans="1:36">
      <c r="A310" s="27" t="s">
        <v>70</v>
      </c>
      <c r="B310" s="28" t="s">
        <v>1356</v>
      </c>
      <c r="C310" s="28" t="s">
        <v>1357</v>
      </c>
      <c r="D310" s="66" t="s">
        <v>378</v>
      </c>
      <c r="E310" s="28"/>
      <c r="F310" s="28"/>
      <c r="G310" s="28" t="s">
        <v>40</v>
      </c>
      <c r="H310" s="28"/>
      <c r="I310" s="34">
        <v>1500</v>
      </c>
      <c r="J310" s="34">
        <v>1350</v>
      </c>
      <c r="K310" s="36"/>
      <c r="L310" s="36"/>
      <c r="M310" s="36"/>
      <c r="N310" s="40">
        <v>1410</v>
      </c>
      <c r="O310" s="40">
        <v>1305</v>
      </c>
      <c r="P310" s="40">
        <v>1110</v>
      </c>
      <c r="Q310" s="28" t="s">
        <v>42</v>
      </c>
      <c r="R310" s="36"/>
      <c r="S310" s="28" t="s">
        <v>384</v>
      </c>
      <c r="T310" s="46" t="s">
        <v>1358</v>
      </c>
      <c r="U310" s="46">
        <v>33020300702</v>
      </c>
      <c r="V310" s="48" t="s">
        <v>1359</v>
      </c>
      <c r="W310" s="46"/>
      <c r="X310" s="46"/>
      <c r="Y310" s="46" t="s">
        <v>40</v>
      </c>
      <c r="Z310" s="30" t="s">
        <v>43</v>
      </c>
      <c r="AA310" s="52">
        <v>6240</v>
      </c>
      <c r="AB310" s="51">
        <v>5615</v>
      </c>
      <c r="AC310" s="57">
        <v>5485</v>
      </c>
      <c r="AD310" s="57">
        <v>4940</v>
      </c>
      <c r="AE310" s="57">
        <v>4200</v>
      </c>
      <c r="AF310" s="58">
        <f t="shared" si="20"/>
        <v>11</v>
      </c>
      <c r="AG310" s="58" t="str">
        <f t="shared" si="21"/>
        <v>颈动脉内/外膜剥脱费</v>
      </c>
      <c r="AH310" s="58">
        <f t="shared" si="22"/>
        <v>6110</v>
      </c>
      <c r="AI310" s="58">
        <f t="shared" si="23"/>
        <v>5655</v>
      </c>
      <c r="AJ310" s="58">
        <f t="shared" si="24"/>
        <v>4810</v>
      </c>
    </row>
    <row r="311" s="17" customFormat="1" ht="24" customHeight="1" spans="1:36">
      <c r="A311" s="27" t="s">
        <v>70</v>
      </c>
      <c r="B311" s="28" t="s">
        <v>1356</v>
      </c>
      <c r="C311" s="28" t="s">
        <v>1357</v>
      </c>
      <c r="D311" s="67" t="s">
        <v>378</v>
      </c>
      <c r="E311" s="28"/>
      <c r="F311" s="28"/>
      <c r="G311" s="28" t="s">
        <v>40</v>
      </c>
      <c r="H311" s="28"/>
      <c r="I311" s="34">
        <v>1500</v>
      </c>
      <c r="J311" s="34">
        <v>1350</v>
      </c>
      <c r="K311" s="36"/>
      <c r="L311" s="36"/>
      <c r="M311" s="36"/>
      <c r="N311" s="40">
        <v>1410</v>
      </c>
      <c r="O311" s="40">
        <v>1305</v>
      </c>
      <c r="P311" s="40">
        <v>1110</v>
      </c>
      <c r="Q311" s="28" t="s">
        <v>42</v>
      </c>
      <c r="R311" s="36"/>
      <c r="S311" s="28" t="s">
        <v>384</v>
      </c>
      <c r="T311" s="46" t="s">
        <v>1360</v>
      </c>
      <c r="U311" s="46">
        <v>33020300703</v>
      </c>
      <c r="V311" s="48" t="s">
        <v>1361</v>
      </c>
      <c r="W311" s="46"/>
      <c r="X311" s="46"/>
      <c r="Y311" s="46" t="s">
        <v>40</v>
      </c>
      <c r="Z311" s="30" t="s">
        <v>1348</v>
      </c>
      <c r="AA311" s="52">
        <v>6865</v>
      </c>
      <c r="AB311" s="51">
        <v>6180</v>
      </c>
      <c r="AC311" s="57">
        <v>5150</v>
      </c>
      <c r="AD311" s="57">
        <v>4630</v>
      </c>
      <c r="AE311" s="57">
        <v>3935</v>
      </c>
      <c r="AF311" s="58">
        <f t="shared" si="20"/>
        <v>11</v>
      </c>
      <c r="AG311" s="58" t="str">
        <f t="shared" si="21"/>
        <v>颈动脉内/外膜剥脱费</v>
      </c>
      <c r="AH311" s="58">
        <f t="shared" si="22"/>
        <v>6110</v>
      </c>
      <c r="AI311" s="58">
        <f t="shared" si="23"/>
        <v>5655</v>
      </c>
      <c r="AJ311" s="58">
        <f t="shared" si="24"/>
        <v>4810</v>
      </c>
    </row>
    <row r="312" s="17" customFormat="1" ht="24" customHeight="1" spans="1:36">
      <c r="A312" s="27" t="s">
        <v>70</v>
      </c>
      <c r="B312" s="28" t="s">
        <v>1356</v>
      </c>
      <c r="C312" s="28" t="s">
        <v>1357</v>
      </c>
      <c r="D312" s="67" t="s">
        <v>378</v>
      </c>
      <c r="E312" s="28"/>
      <c r="F312" s="28"/>
      <c r="G312" s="28" t="s">
        <v>40</v>
      </c>
      <c r="H312" s="28"/>
      <c r="I312" s="34">
        <v>1500</v>
      </c>
      <c r="J312" s="34">
        <v>1350</v>
      </c>
      <c r="K312" s="36"/>
      <c r="L312" s="36"/>
      <c r="M312" s="36"/>
      <c r="N312" s="40">
        <v>1410</v>
      </c>
      <c r="O312" s="40">
        <v>1305</v>
      </c>
      <c r="P312" s="40">
        <v>1110</v>
      </c>
      <c r="Q312" s="28" t="s">
        <v>42</v>
      </c>
      <c r="R312" s="36"/>
      <c r="S312" s="28" t="s">
        <v>384</v>
      </c>
      <c r="T312" s="30" t="s">
        <v>1362</v>
      </c>
      <c r="U312" s="30">
        <v>33020301002</v>
      </c>
      <c r="V312" s="30" t="s">
        <v>1363</v>
      </c>
      <c r="W312" s="30"/>
      <c r="X312" s="30"/>
      <c r="Y312" s="30" t="s">
        <v>145</v>
      </c>
      <c r="Z312" s="30" t="s">
        <v>43</v>
      </c>
      <c r="AA312" s="51">
        <v>3745</v>
      </c>
      <c r="AB312" s="51">
        <v>3365</v>
      </c>
      <c r="AC312" s="57">
        <v>3290</v>
      </c>
      <c r="AD312" s="57">
        <v>2965</v>
      </c>
      <c r="AE312" s="57">
        <v>2520</v>
      </c>
      <c r="AF312" s="58">
        <f t="shared" si="20"/>
        <v>11</v>
      </c>
      <c r="AG312" s="58" t="str">
        <f t="shared" si="21"/>
        <v>颈动脉内/外膜剥脱费</v>
      </c>
      <c r="AH312" s="58">
        <f t="shared" si="22"/>
        <v>6110</v>
      </c>
      <c r="AI312" s="58">
        <f t="shared" si="23"/>
        <v>5655</v>
      </c>
      <c r="AJ312" s="58">
        <f t="shared" si="24"/>
        <v>4810</v>
      </c>
    </row>
    <row r="313" s="17" customFormat="1" ht="24" customHeight="1" spans="1:36">
      <c r="A313" s="27" t="s">
        <v>70</v>
      </c>
      <c r="B313" s="28" t="s">
        <v>1356</v>
      </c>
      <c r="C313" s="28" t="s">
        <v>1357</v>
      </c>
      <c r="D313" s="68" t="s">
        <v>378</v>
      </c>
      <c r="E313" s="28"/>
      <c r="F313" s="28"/>
      <c r="G313" s="28" t="s">
        <v>40</v>
      </c>
      <c r="H313" s="28"/>
      <c r="I313" s="34">
        <v>1500</v>
      </c>
      <c r="J313" s="34">
        <v>1350</v>
      </c>
      <c r="K313" s="36"/>
      <c r="L313" s="36"/>
      <c r="M313" s="36"/>
      <c r="N313" s="40">
        <v>1410</v>
      </c>
      <c r="O313" s="40">
        <v>1305</v>
      </c>
      <c r="P313" s="40">
        <v>1110</v>
      </c>
      <c r="Q313" s="28" t="s">
        <v>42</v>
      </c>
      <c r="R313" s="36"/>
      <c r="S313" s="28" t="s">
        <v>384</v>
      </c>
      <c r="T313" s="30" t="s">
        <v>1364</v>
      </c>
      <c r="U313" s="30">
        <v>33020301003</v>
      </c>
      <c r="V313" s="30" t="s">
        <v>1365</v>
      </c>
      <c r="W313" s="30"/>
      <c r="X313" s="30"/>
      <c r="Y313" s="30" t="s">
        <v>1355</v>
      </c>
      <c r="Z313" s="30" t="s">
        <v>1355</v>
      </c>
      <c r="AA313" s="51">
        <v>7490</v>
      </c>
      <c r="AB313" s="51">
        <v>6735</v>
      </c>
      <c r="AC313" s="57">
        <v>6580</v>
      </c>
      <c r="AD313" s="57">
        <v>5930</v>
      </c>
      <c r="AE313" s="57">
        <v>5040</v>
      </c>
      <c r="AF313" s="58">
        <f t="shared" si="20"/>
        <v>11</v>
      </c>
      <c r="AG313" s="58" t="str">
        <f t="shared" si="21"/>
        <v>颈动脉内/外膜剥脱费</v>
      </c>
      <c r="AH313" s="58">
        <f t="shared" si="22"/>
        <v>6110</v>
      </c>
      <c r="AI313" s="58">
        <f t="shared" si="23"/>
        <v>5655</v>
      </c>
      <c r="AJ313" s="58">
        <f t="shared" si="24"/>
        <v>4810</v>
      </c>
    </row>
    <row r="314" s="17" customFormat="1" ht="27" customHeight="1" spans="1:36">
      <c r="A314" s="27">
        <v>70</v>
      </c>
      <c r="B314" s="28" t="s">
        <v>1366</v>
      </c>
      <c r="C314" s="28" t="s">
        <v>1367</v>
      </c>
      <c r="D314" s="28" t="s">
        <v>378</v>
      </c>
      <c r="E314" s="28" t="s">
        <v>1368</v>
      </c>
      <c r="F314" s="28" t="s">
        <v>1369</v>
      </c>
      <c r="G314" s="28" t="s">
        <v>40</v>
      </c>
      <c r="H314" s="31"/>
      <c r="I314" s="34">
        <v>4800</v>
      </c>
      <c r="J314" s="34">
        <v>4320</v>
      </c>
      <c r="K314" s="36"/>
      <c r="L314" s="36"/>
      <c r="M314" s="36"/>
      <c r="N314" s="40">
        <v>4550</v>
      </c>
      <c r="O314" s="40">
        <v>4150</v>
      </c>
      <c r="P314" s="40">
        <v>3550</v>
      </c>
      <c r="Q314" s="28" t="s">
        <v>42</v>
      </c>
      <c r="R314" s="38" t="s">
        <v>280</v>
      </c>
      <c r="S314" s="28" t="s">
        <v>1370</v>
      </c>
      <c r="T314" s="30" t="s">
        <v>1371</v>
      </c>
      <c r="U314" s="30">
        <v>330203008</v>
      </c>
      <c r="V314" s="30" t="s">
        <v>1372</v>
      </c>
      <c r="W314" s="30"/>
      <c r="X314" s="30"/>
      <c r="Y314" s="30" t="s">
        <v>40</v>
      </c>
      <c r="Z314" s="30" t="s">
        <v>1345</v>
      </c>
      <c r="AA314" s="51">
        <v>4800</v>
      </c>
      <c r="AB314" s="51">
        <v>4320</v>
      </c>
      <c r="AC314" s="57">
        <v>4220</v>
      </c>
      <c r="AD314" s="57">
        <v>3800</v>
      </c>
      <c r="AE314" s="57">
        <v>3230</v>
      </c>
      <c r="AF314" s="58">
        <f t="shared" si="20"/>
        <v>0</v>
      </c>
      <c r="AG314" s="58" t="str">
        <f t="shared" si="21"/>
        <v>椎动脉内/外膜剥脱费</v>
      </c>
      <c r="AH314" s="58">
        <f t="shared" si="22"/>
        <v>4550</v>
      </c>
      <c r="AI314" s="58">
        <f t="shared" si="23"/>
        <v>4150</v>
      </c>
      <c r="AJ314" s="58">
        <f t="shared" si="24"/>
        <v>3550</v>
      </c>
    </row>
    <row r="315" s="17" customFormat="1" ht="27" customHeight="1" spans="1:36">
      <c r="A315" s="27">
        <v>70</v>
      </c>
      <c r="B315" s="28" t="s">
        <v>1366</v>
      </c>
      <c r="C315" s="28" t="s">
        <v>1367</v>
      </c>
      <c r="D315" s="28" t="s">
        <v>378</v>
      </c>
      <c r="E315" s="28" t="s">
        <v>1368</v>
      </c>
      <c r="F315" s="28" t="s">
        <v>1369</v>
      </c>
      <c r="G315" s="28" t="s">
        <v>40</v>
      </c>
      <c r="H315" s="31"/>
      <c r="I315" s="34">
        <v>4800</v>
      </c>
      <c r="J315" s="34">
        <v>4320</v>
      </c>
      <c r="K315" s="36"/>
      <c r="L315" s="36"/>
      <c r="M315" s="36"/>
      <c r="N315" s="40">
        <v>4550</v>
      </c>
      <c r="O315" s="40">
        <v>4150</v>
      </c>
      <c r="P315" s="40">
        <v>3550</v>
      </c>
      <c r="Q315" s="28" t="s">
        <v>42</v>
      </c>
      <c r="R315" s="38" t="s">
        <v>280</v>
      </c>
      <c r="S315" s="28" t="s">
        <v>1370</v>
      </c>
      <c r="T315" s="46" t="s">
        <v>1373</v>
      </c>
      <c r="U315" s="46">
        <v>33020300801</v>
      </c>
      <c r="V315" s="48" t="s">
        <v>1374</v>
      </c>
      <c r="W315" s="46"/>
      <c r="X315" s="46"/>
      <c r="Y315" s="46" t="s">
        <v>40</v>
      </c>
      <c r="Z315" s="30" t="s">
        <v>1348</v>
      </c>
      <c r="AA315" s="52">
        <v>5280</v>
      </c>
      <c r="AB315" s="51">
        <v>4752</v>
      </c>
      <c r="AC315" s="57">
        <v>3960</v>
      </c>
      <c r="AD315" s="57">
        <v>3560</v>
      </c>
      <c r="AE315" s="57">
        <v>3030</v>
      </c>
      <c r="AF315" s="58">
        <f t="shared" si="20"/>
        <v>0</v>
      </c>
      <c r="AG315" s="58" t="str">
        <f t="shared" si="21"/>
        <v>椎动脉内/外膜剥脱费</v>
      </c>
      <c r="AH315" s="58">
        <f t="shared" si="22"/>
        <v>4550</v>
      </c>
      <c r="AI315" s="58">
        <f t="shared" si="23"/>
        <v>4150</v>
      </c>
      <c r="AJ315" s="58">
        <f t="shared" si="24"/>
        <v>3550</v>
      </c>
    </row>
    <row r="316" s="17" customFormat="1" ht="27" customHeight="1" spans="1:36">
      <c r="A316" s="27">
        <v>70</v>
      </c>
      <c r="B316" s="28" t="s">
        <v>1366</v>
      </c>
      <c r="C316" s="28" t="s">
        <v>1367</v>
      </c>
      <c r="D316" s="28" t="s">
        <v>378</v>
      </c>
      <c r="E316" s="28" t="s">
        <v>1368</v>
      </c>
      <c r="F316" s="28" t="s">
        <v>1369</v>
      </c>
      <c r="G316" s="28" t="s">
        <v>40</v>
      </c>
      <c r="H316" s="31"/>
      <c r="I316" s="34">
        <v>4800</v>
      </c>
      <c r="J316" s="34">
        <v>4320</v>
      </c>
      <c r="K316" s="36"/>
      <c r="L316" s="36"/>
      <c r="M316" s="36"/>
      <c r="N316" s="40">
        <v>4550</v>
      </c>
      <c r="O316" s="40">
        <v>4150</v>
      </c>
      <c r="P316" s="40">
        <v>3550</v>
      </c>
      <c r="Q316" s="28" t="s">
        <v>42</v>
      </c>
      <c r="R316" s="38" t="s">
        <v>280</v>
      </c>
      <c r="S316" s="28" t="s">
        <v>1370</v>
      </c>
      <c r="T316" s="30" t="s">
        <v>1375</v>
      </c>
      <c r="U316" s="30">
        <v>330203009</v>
      </c>
      <c r="V316" s="30" t="s">
        <v>1376</v>
      </c>
      <c r="W316" s="30"/>
      <c r="X316" s="30"/>
      <c r="Y316" s="30" t="s">
        <v>40</v>
      </c>
      <c r="Z316" s="30" t="s">
        <v>43</v>
      </c>
      <c r="AA316" s="51">
        <v>3460</v>
      </c>
      <c r="AB316" s="51">
        <v>3110</v>
      </c>
      <c r="AC316" s="57">
        <v>3040</v>
      </c>
      <c r="AD316" s="57">
        <v>2740</v>
      </c>
      <c r="AE316" s="57">
        <v>2330</v>
      </c>
      <c r="AF316" s="58">
        <f t="shared" si="20"/>
        <v>0</v>
      </c>
      <c r="AG316" s="58" t="str">
        <f t="shared" si="21"/>
        <v>椎动脉内/外膜剥脱费</v>
      </c>
      <c r="AH316" s="58">
        <f t="shared" si="22"/>
        <v>4550</v>
      </c>
      <c r="AI316" s="58">
        <f t="shared" si="23"/>
        <v>4150</v>
      </c>
      <c r="AJ316" s="58">
        <f t="shared" si="24"/>
        <v>3550</v>
      </c>
    </row>
    <row r="317" s="17" customFormat="1" ht="28" customHeight="1" spans="1:36">
      <c r="A317" s="27" t="s">
        <v>70</v>
      </c>
      <c r="B317" s="28" t="s">
        <v>1377</v>
      </c>
      <c r="C317" s="28" t="s">
        <v>1378</v>
      </c>
      <c r="D317" s="28" t="s">
        <v>378</v>
      </c>
      <c r="E317" s="28"/>
      <c r="F317" s="28"/>
      <c r="G317" s="28" t="s">
        <v>40</v>
      </c>
      <c r="H317" s="28"/>
      <c r="I317" s="34">
        <v>1440</v>
      </c>
      <c r="J317" s="34">
        <v>1296</v>
      </c>
      <c r="K317" s="36"/>
      <c r="L317" s="36"/>
      <c r="M317" s="36"/>
      <c r="N317" s="40">
        <v>1365</v>
      </c>
      <c r="O317" s="40">
        <v>1245</v>
      </c>
      <c r="P317" s="40">
        <v>1065</v>
      </c>
      <c r="Q317" s="28" t="s">
        <v>42</v>
      </c>
      <c r="R317" s="36"/>
      <c r="S317" s="31"/>
      <c r="T317" s="46" t="s">
        <v>1379</v>
      </c>
      <c r="U317" s="46">
        <v>33020300802</v>
      </c>
      <c r="V317" s="48" t="s">
        <v>1380</v>
      </c>
      <c r="W317" s="46"/>
      <c r="X317" s="46"/>
      <c r="Y317" s="46" t="s">
        <v>40</v>
      </c>
      <c r="Z317" s="30" t="s">
        <v>43</v>
      </c>
      <c r="AA317" s="52">
        <v>6240</v>
      </c>
      <c r="AB317" s="51">
        <v>5615</v>
      </c>
      <c r="AC317" s="57">
        <v>5485</v>
      </c>
      <c r="AD317" s="57">
        <v>4940</v>
      </c>
      <c r="AE317" s="57">
        <v>4200</v>
      </c>
      <c r="AF317" s="58">
        <f t="shared" si="20"/>
        <v>11</v>
      </c>
      <c r="AG317" s="58" t="str">
        <f t="shared" si="21"/>
        <v>椎动脉内/外膜剥脱费</v>
      </c>
      <c r="AH317" s="58">
        <f t="shared" si="22"/>
        <v>5915</v>
      </c>
      <c r="AI317" s="58">
        <f t="shared" si="23"/>
        <v>5395</v>
      </c>
      <c r="AJ317" s="58">
        <f t="shared" si="24"/>
        <v>4615</v>
      </c>
    </row>
    <row r="318" s="17" customFormat="1" ht="28" customHeight="1" spans="1:36">
      <c r="A318" s="27" t="s">
        <v>70</v>
      </c>
      <c r="B318" s="28" t="s">
        <v>1377</v>
      </c>
      <c r="C318" s="28" t="s">
        <v>1378</v>
      </c>
      <c r="D318" s="28" t="s">
        <v>378</v>
      </c>
      <c r="E318" s="28"/>
      <c r="F318" s="28"/>
      <c r="G318" s="28" t="s">
        <v>40</v>
      </c>
      <c r="H318" s="28"/>
      <c r="I318" s="34">
        <v>1440</v>
      </c>
      <c r="J318" s="34">
        <v>1296</v>
      </c>
      <c r="K318" s="36"/>
      <c r="L318" s="36"/>
      <c r="M318" s="36"/>
      <c r="N318" s="40">
        <v>1365</v>
      </c>
      <c r="O318" s="40">
        <v>1245</v>
      </c>
      <c r="P318" s="40">
        <v>1065</v>
      </c>
      <c r="Q318" s="28" t="s">
        <v>42</v>
      </c>
      <c r="R318" s="36"/>
      <c r="S318" s="31"/>
      <c r="T318" s="46" t="s">
        <v>1381</v>
      </c>
      <c r="U318" s="46">
        <v>33020300803</v>
      </c>
      <c r="V318" s="48" t="s">
        <v>1382</v>
      </c>
      <c r="W318" s="46"/>
      <c r="X318" s="46"/>
      <c r="Y318" s="46" t="s">
        <v>40</v>
      </c>
      <c r="Z318" s="30" t="s">
        <v>1348</v>
      </c>
      <c r="AA318" s="52">
        <v>6865</v>
      </c>
      <c r="AB318" s="51">
        <v>6180</v>
      </c>
      <c r="AC318" s="57">
        <v>5150</v>
      </c>
      <c r="AD318" s="57">
        <v>4630</v>
      </c>
      <c r="AE318" s="57">
        <v>3935</v>
      </c>
      <c r="AF318" s="58">
        <f t="shared" si="20"/>
        <v>11</v>
      </c>
      <c r="AG318" s="58" t="str">
        <f t="shared" si="21"/>
        <v>椎动脉内/外膜剥脱费</v>
      </c>
      <c r="AH318" s="58">
        <f t="shared" si="22"/>
        <v>5915</v>
      </c>
      <c r="AI318" s="58">
        <f t="shared" si="23"/>
        <v>5395</v>
      </c>
      <c r="AJ318" s="58">
        <f t="shared" si="24"/>
        <v>4615</v>
      </c>
    </row>
    <row r="319" s="17" customFormat="1" ht="28" customHeight="1" spans="1:36">
      <c r="A319" s="27" t="s">
        <v>70</v>
      </c>
      <c r="B319" s="28" t="s">
        <v>1377</v>
      </c>
      <c r="C319" s="28" t="s">
        <v>1378</v>
      </c>
      <c r="D319" s="28" t="s">
        <v>378</v>
      </c>
      <c r="E319" s="28"/>
      <c r="F319" s="28"/>
      <c r="G319" s="28" t="s">
        <v>40</v>
      </c>
      <c r="H319" s="28"/>
      <c r="I319" s="34">
        <v>1440</v>
      </c>
      <c r="J319" s="34">
        <v>1296</v>
      </c>
      <c r="K319" s="36"/>
      <c r="L319" s="36"/>
      <c r="M319" s="36"/>
      <c r="N319" s="40">
        <v>1365</v>
      </c>
      <c r="O319" s="40">
        <v>1245</v>
      </c>
      <c r="P319" s="40">
        <v>1065</v>
      </c>
      <c r="Q319" s="28" t="s">
        <v>42</v>
      </c>
      <c r="R319" s="36"/>
      <c r="S319" s="31"/>
      <c r="T319" s="46" t="s">
        <v>1383</v>
      </c>
      <c r="U319" s="46">
        <v>33020300901</v>
      </c>
      <c r="V319" s="48" t="s">
        <v>1384</v>
      </c>
      <c r="W319" s="46"/>
      <c r="X319" s="46"/>
      <c r="Y319" s="46" t="s">
        <v>40</v>
      </c>
      <c r="Z319" s="30" t="s">
        <v>43</v>
      </c>
      <c r="AA319" s="52">
        <v>4500</v>
      </c>
      <c r="AB319" s="51">
        <v>4045</v>
      </c>
      <c r="AC319" s="57">
        <v>3950</v>
      </c>
      <c r="AD319" s="57">
        <v>3560</v>
      </c>
      <c r="AE319" s="57">
        <v>3025</v>
      </c>
      <c r="AF319" s="58">
        <f t="shared" si="20"/>
        <v>11</v>
      </c>
      <c r="AG319" s="58" t="str">
        <f t="shared" si="21"/>
        <v>椎动脉内/外膜剥脱费</v>
      </c>
      <c r="AH319" s="58">
        <f t="shared" si="22"/>
        <v>5915</v>
      </c>
      <c r="AI319" s="58">
        <f t="shared" si="23"/>
        <v>5395</v>
      </c>
      <c r="AJ319" s="58">
        <f t="shared" si="24"/>
        <v>4615</v>
      </c>
    </row>
    <row r="320" s="17" customFormat="1" ht="54" customHeight="1" spans="1:36">
      <c r="A320" s="29">
        <v>71</v>
      </c>
      <c r="B320" s="30" t="s">
        <v>1385</v>
      </c>
      <c r="C320" s="30" t="s">
        <v>1386</v>
      </c>
      <c r="D320" s="30" t="s">
        <v>378</v>
      </c>
      <c r="E320" s="31" t="s">
        <v>1387</v>
      </c>
      <c r="F320" s="31" t="s">
        <v>1388</v>
      </c>
      <c r="G320" s="30" t="s">
        <v>40</v>
      </c>
      <c r="H320" s="31" t="s">
        <v>43</v>
      </c>
      <c r="I320" s="37">
        <v>2430</v>
      </c>
      <c r="J320" s="37">
        <v>2187</v>
      </c>
      <c r="K320" s="36">
        <v>2250</v>
      </c>
      <c r="L320" s="36">
        <v>2160</v>
      </c>
      <c r="M320" s="36">
        <v>1836</v>
      </c>
      <c r="N320" s="41">
        <v>2250</v>
      </c>
      <c r="O320" s="41">
        <v>2160</v>
      </c>
      <c r="P320" s="41">
        <v>1836</v>
      </c>
      <c r="Q320" s="30" t="s">
        <v>42</v>
      </c>
      <c r="R320" s="36" t="s">
        <v>153</v>
      </c>
      <c r="S320" s="31" t="s">
        <v>153</v>
      </c>
      <c r="T320" s="30" t="s">
        <v>1389</v>
      </c>
      <c r="U320" s="30">
        <v>330203013</v>
      </c>
      <c r="V320" s="30" t="s">
        <v>1390</v>
      </c>
      <c r="W320" s="30" t="s">
        <v>1391</v>
      </c>
      <c r="X320" s="30"/>
      <c r="Y320" s="30" t="s">
        <v>40</v>
      </c>
      <c r="Z320" s="30" t="s">
        <v>43</v>
      </c>
      <c r="AA320" s="51">
        <v>2430</v>
      </c>
      <c r="AB320" s="51">
        <v>2190</v>
      </c>
      <c r="AC320" s="57">
        <v>2250</v>
      </c>
      <c r="AD320" s="57">
        <v>2160</v>
      </c>
      <c r="AE320" s="57">
        <v>1836</v>
      </c>
      <c r="AF320" s="58">
        <f t="shared" si="20"/>
        <v>0</v>
      </c>
      <c r="AG320" s="58" t="str">
        <f t="shared" si="21"/>
        <v>颞肌颞浅动脉贴敷费</v>
      </c>
      <c r="AH320" s="58">
        <f t="shared" si="22"/>
        <v>2250</v>
      </c>
      <c r="AI320" s="58">
        <f t="shared" si="23"/>
        <v>2160</v>
      </c>
      <c r="AJ320" s="58">
        <f t="shared" si="24"/>
        <v>1836</v>
      </c>
    </row>
    <row r="321" s="17" customFormat="1" ht="29" customHeight="1" spans="1:36">
      <c r="A321" s="29" t="s">
        <v>70</v>
      </c>
      <c r="B321" s="30" t="s">
        <v>1392</v>
      </c>
      <c r="C321" s="30" t="s">
        <v>1393</v>
      </c>
      <c r="D321" s="30" t="s">
        <v>378</v>
      </c>
      <c r="E321" s="31" t="s">
        <v>43</v>
      </c>
      <c r="F321" s="31" t="s">
        <v>43</v>
      </c>
      <c r="G321" s="30" t="s">
        <v>40</v>
      </c>
      <c r="H321" s="31" t="s">
        <v>43</v>
      </c>
      <c r="I321" s="37">
        <v>729</v>
      </c>
      <c r="J321" s="37">
        <v>656</v>
      </c>
      <c r="K321" s="36"/>
      <c r="L321" s="36"/>
      <c r="M321" s="36"/>
      <c r="N321" s="41">
        <v>675</v>
      </c>
      <c r="O321" s="41">
        <v>650</v>
      </c>
      <c r="P321" s="41">
        <v>550</v>
      </c>
      <c r="Q321" s="30" t="s">
        <v>42</v>
      </c>
      <c r="R321" s="36"/>
      <c r="S321" s="31" t="s">
        <v>384</v>
      </c>
      <c r="T321" s="46" t="s">
        <v>1394</v>
      </c>
      <c r="U321" s="46">
        <v>33020301301</v>
      </c>
      <c r="V321" s="48" t="s">
        <v>1395</v>
      </c>
      <c r="W321" s="46"/>
      <c r="X321" s="46"/>
      <c r="Y321" s="46" t="s">
        <v>40</v>
      </c>
      <c r="Z321" s="30" t="s">
        <v>43</v>
      </c>
      <c r="AA321" s="52">
        <v>3160</v>
      </c>
      <c r="AB321" s="51">
        <v>2845</v>
      </c>
      <c r="AC321" s="57">
        <v>2925</v>
      </c>
      <c r="AD321" s="57">
        <v>2810</v>
      </c>
      <c r="AE321" s="57">
        <v>2390</v>
      </c>
      <c r="AF321" s="58">
        <f t="shared" si="20"/>
        <v>10</v>
      </c>
      <c r="AG321" s="58" t="str">
        <f t="shared" si="21"/>
        <v>颞肌颞浅动脉贴敷费</v>
      </c>
      <c r="AH321" s="58">
        <f t="shared" si="22"/>
        <v>2925</v>
      </c>
      <c r="AI321" s="58">
        <f t="shared" si="23"/>
        <v>2810</v>
      </c>
      <c r="AJ321" s="58">
        <f t="shared" si="24"/>
        <v>2386</v>
      </c>
    </row>
    <row r="322" s="17" customFormat="1" ht="57" customHeight="1" spans="1:36">
      <c r="A322" s="29">
        <v>72</v>
      </c>
      <c r="B322" s="30" t="s">
        <v>1396</v>
      </c>
      <c r="C322" s="30" t="s">
        <v>1397</v>
      </c>
      <c r="D322" s="30" t="s">
        <v>378</v>
      </c>
      <c r="E322" s="31" t="s">
        <v>1398</v>
      </c>
      <c r="F322" s="31" t="s">
        <v>1399</v>
      </c>
      <c r="G322" s="30" t="s">
        <v>40</v>
      </c>
      <c r="H322" s="31" t="s">
        <v>43</v>
      </c>
      <c r="I322" s="37">
        <v>1350</v>
      </c>
      <c r="J322" s="37">
        <v>1215</v>
      </c>
      <c r="K322" s="36">
        <v>1250</v>
      </c>
      <c r="L322" s="36">
        <v>1200</v>
      </c>
      <c r="M322" s="36">
        <v>1020</v>
      </c>
      <c r="N322" s="41">
        <v>1250</v>
      </c>
      <c r="O322" s="41">
        <v>1200</v>
      </c>
      <c r="P322" s="41">
        <v>1020</v>
      </c>
      <c r="Q322" s="30" t="s">
        <v>42</v>
      </c>
      <c r="R322" s="36" t="s">
        <v>153</v>
      </c>
      <c r="S322" s="31" t="s">
        <v>153</v>
      </c>
      <c r="T322" s="30" t="s">
        <v>1400</v>
      </c>
      <c r="U322" s="30">
        <v>330203014</v>
      </c>
      <c r="V322" s="30" t="s">
        <v>1401</v>
      </c>
      <c r="W322" s="30" t="s">
        <v>1402</v>
      </c>
      <c r="X322" s="30" t="s">
        <v>1403</v>
      </c>
      <c r="Y322" s="30" t="s">
        <v>40</v>
      </c>
      <c r="Z322" s="30" t="s">
        <v>43</v>
      </c>
      <c r="AA322" s="51">
        <v>1350</v>
      </c>
      <c r="AB322" s="51">
        <v>1215</v>
      </c>
      <c r="AC322" s="57">
        <v>1250</v>
      </c>
      <c r="AD322" s="57">
        <v>1200</v>
      </c>
      <c r="AE322" s="57">
        <v>1020</v>
      </c>
      <c r="AF322" s="58">
        <f t="shared" si="20"/>
        <v>0</v>
      </c>
      <c r="AG322" s="58" t="str">
        <f t="shared" si="21"/>
        <v>颈部动脉结扎费</v>
      </c>
      <c r="AH322" s="58">
        <f t="shared" si="22"/>
        <v>1250</v>
      </c>
      <c r="AI322" s="58">
        <f t="shared" si="23"/>
        <v>1200</v>
      </c>
      <c r="AJ322" s="58">
        <f t="shared" si="24"/>
        <v>1020</v>
      </c>
    </row>
    <row r="323" s="17" customFormat="1" ht="26" customHeight="1" spans="1:36">
      <c r="A323" s="29" t="s">
        <v>70</v>
      </c>
      <c r="B323" s="30" t="s">
        <v>1404</v>
      </c>
      <c r="C323" s="30" t="s">
        <v>1405</v>
      </c>
      <c r="D323" s="30" t="s">
        <v>378</v>
      </c>
      <c r="E323" s="31" t="s">
        <v>43</v>
      </c>
      <c r="F323" s="31" t="s">
        <v>43</v>
      </c>
      <c r="G323" s="30" t="s">
        <v>40</v>
      </c>
      <c r="H323" s="31" t="s">
        <v>43</v>
      </c>
      <c r="I323" s="37">
        <v>405</v>
      </c>
      <c r="J323" s="37">
        <v>365</v>
      </c>
      <c r="K323" s="36"/>
      <c r="L323" s="36"/>
      <c r="M323" s="36"/>
      <c r="N323" s="41">
        <v>375</v>
      </c>
      <c r="O323" s="41">
        <v>360</v>
      </c>
      <c r="P323" s="41">
        <v>305</v>
      </c>
      <c r="Q323" s="30" t="s">
        <v>42</v>
      </c>
      <c r="R323" s="36"/>
      <c r="S323" s="31" t="s">
        <v>384</v>
      </c>
      <c r="T323" s="30" t="s">
        <v>1406</v>
      </c>
      <c r="U323" s="30">
        <v>33020301401</v>
      </c>
      <c r="V323" s="30" t="s">
        <v>1407</v>
      </c>
      <c r="W323" s="30"/>
      <c r="X323" s="30"/>
      <c r="Y323" s="30" t="s">
        <v>40</v>
      </c>
      <c r="Z323" s="30" t="s">
        <v>43</v>
      </c>
      <c r="AA323" s="51">
        <v>1755</v>
      </c>
      <c r="AB323" s="51">
        <v>1580</v>
      </c>
      <c r="AC323" s="57">
        <v>1625</v>
      </c>
      <c r="AD323" s="57">
        <v>1560</v>
      </c>
      <c r="AE323" s="57">
        <v>1325</v>
      </c>
      <c r="AF323" s="58">
        <f t="shared" si="20"/>
        <v>8</v>
      </c>
      <c r="AG323" s="58" t="str">
        <f t="shared" si="21"/>
        <v>颈部动脉结扎费</v>
      </c>
      <c r="AH323" s="58">
        <f t="shared" si="22"/>
        <v>1625</v>
      </c>
      <c r="AI323" s="58">
        <f t="shared" si="23"/>
        <v>1560</v>
      </c>
      <c r="AJ323" s="58">
        <f t="shared" si="24"/>
        <v>1325</v>
      </c>
    </row>
    <row r="324" s="17" customFormat="1" ht="22" customHeight="1" spans="1:36">
      <c r="A324" s="27">
        <v>73</v>
      </c>
      <c r="B324" s="28" t="s">
        <v>1408</v>
      </c>
      <c r="C324" s="28" t="s">
        <v>1409</v>
      </c>
      <c r="D324" s="28" t="s">
        <v>378</v>
      </c>
      <c r="E324" s="28" t="s">
        <v>1410</v>
      </c>
      <c r="F324" s="28" t="s">
        <v>1411</v>
      </c>
      <c r="G324" s="28" t="s">
        <v>40</v>
      </c>
      <c r="H324" s="28" t="s">
        <v>1412</v>
      </c>
      <c r="I324" s="34">
        <v>4820</v>
      </c>
      <c r="J324" s="34">
        <v>4338</v>
      </c>
      <c r="K324" s="38">
        <v>4390</v>
      </c>
      <c r="L324" s="36"/>
      <c r="M324" s="36"/>
      <c r="N324" s="40">
        <v>4390</v>
      </c>
      <c r="O324" s="40">
        <v>3950</v>
      </c>
      <c r="P324" s="40">
        <v>3360</v>
      </c>
      <c r="Q324" s="28" t="s">
        <v>42</v>
      </c>
      <c r="R324" s="38" t="s">
        <v>153</v>
      </c>
      <c r="S324" s="28" t="s">
        <v>153</v>
      </c>
      <c r="T324" s="30" t="s">
        <v>1413</v>
      </c>
      <c r="U324" s="30">
        <v>330201017</v>
      </c>
      <c r="V324" s="30" t="s">
        <v>1414</v>
      </c>
      <c r="W324" s="30"/>
      <c r="X324" s="30"/>
      <c r="Y324" s="30" t="s">
        <v>40</v>
      </c>
      <c r="Z324" s="30" t="s">
        <v>43</v>
      </c>
      <c r="AA324" s="51">
        <v>3460</v>
      </c>
      <c r="AB324" s="51">
        <v>3110</v>
      </c>
      <c r="AC324" s="57">
        <v>3040</v>
      </c>
      <c r="AD324" s="57">
        <v>2740</v>
      </c>
      <c r="AE324" s="57">
        <v>2330</v>
      </c>
      <c r="AF324" s="58">
        <f t="shared" si="20"/>
        <v>0</v>
      </c>
      <c r="AG324" s="58" t="str">
        <f t="shared" si="21"/>
        <v>颅神经切断费</v>
      </c>
      <c r="AH324" s="58">
        <f t="shared" si="22"/>
        <v>4390</v>
      </c>
      <c r="AI324" s="58">
        <f t="shared" si="23"/>
        <v>3950</v>
      </c>
      <c r="AJ324" s="58">
        <f t="shared" si="24"/>
        <v>3360</v>
      </c>
    </row>
    <row r="325" s="17" customFormat="1" ht="22" customHeight="1" spans="1:36">
      <c r="A325" s="27">
        <v>73</v>
      </c>
      <c r="B325" s="28" t="s">
        <v>1408</v>
      </c>
      <c r="C325" s="28" t="s">
        <v>1409</v>
      </c>
      <c r="D325" s="28" t="s">
        <v>378</v>
      </c>
      <c r="E325" s="28" t="s">
        <v>1410</v>
      </c>
      <c r="F325" s="28" t="s">
        <v>1411</v>
      </c>
      <c r="G325" s="28" t="s">
        <v>40</v>
      </c>
      <c r="H325" s="28" t="s">
        <v>1412</v>
      </c>
      <c r="I325" s="34">
        <v>4820</v>
      </c>
      <c r="J325" s="34">
        <v>4338</v>
      </c>
      <c r="K325" s="38">
        <v>4390</v>
      </c>
      <c r="L325" s="36"/>
      <c r="M325" s="36"/>
      <c r="N325" s="40">
        <v>4390</v>
      </c>
      <c r="O325" s="40">
        <v>3950</v>
      </c>
      <c r="P325" s="40">
        <v>3360</v>
      </c>
      <c r="Q325" s="28" t="s">
        <v>42</v>
      </c>
      <c r="R325" s="38" t="s">
        <v>153</v>
      </c>
      <c r="S325" s="28" t="s">
        <v>153</v>
      </c>
      <c r="T325" s="30" t="s">
        <v>1415</v>
      </c>
      <c r="U325" s="30">
        <v>330202001</v>
      </c>
      <c r="V325" s="30" t="s">
        <v>1416</v>
      </c>
      <c r="W325" s="30"/>
      <c r="X325" s="30"/>
      <c r="Y325" s="30" t="s">
        <v>40</v>
      </c>
      <c r="Z325" s="30" t="s">
        <v>43</v>
      </c>
      <c r="AA325" s="51">
        <v>4990</v>
      </c>
      <c r="AB325" s="51">
        <v>4490</v>
      </c>
      <c r="AC325" s="57">
        <v>4390</v>
      </c>
      <c r="AD325" s="57">
        <v>3950</v>
      </c>
      <c r="AE325" s="57">
        <v>3360</v>
      </c>
      <c r="AF325" s="58">
        <f t="shared" si="20"/>
        <v>0</v>
      </c>
      <c r="AG325" s="58" t="str">
        <f t="shared" si="21"/>
        <v>颅神经切断费</v>
      </c>
      <c r="AH325" s="58">
        <f t="shared" si="22"/>
        <v>4390</v>
      </c>
      <c r="AI325" s="58">
        <f t="shared" si="23"/>
        <v>3950</v>
      </c>
      <c r="AJ325" s="58">
        <f t="shared" si="24"/>
        <v>3360</v>
      </c>
    </row>
    <row r="326" s="17" customFormat="1" ht="22" customHeight="1" spans="1:36">
      <c r="A326" s="27">
        <v>73</v>
      </c>
      <c r="B326" s="28" t="s">
        <v>1408</v>
      </c>
      <c r="C326" s="28" t="s">
        <v>1409</v>
      </c>
      <c r="D326" s="28" t="s">
        <v>378</v>
      </c>
      <c r="E326" s="28" t="s">
        <v>1410</v>
      </c>
      <c r="F326" s="28" t="s">
        <v>1411</v>
      </c>
      <c r="G326" s="28" t="s">
        <v>40</v>
      </c>
      <c r="H326" s="28" t="s">
        <v>1412</v>
      </c>
      <c r="I326" s="34">
        <v>4820</v>
      </c>
      <c r="J326" s="34">
        <v>4338</v>
      </c>
      <c r="K326" s="38">
        <v>4390</v>
      </c>
      <c r="L326" s="36"/>
      <c r="M326" s="36"/>
      <c r="N326" s="40">
        <v>4390</v>
      </c>
      <c r="O326" s="40">
        <v>3950</v>
      </c>
      <c r="P326" s="40">
        <v>3360</v>
      </c>
      <c r="Q326" s="28" t="s">
        <v>42</v>
      </c>
      <c r="R326" s="38" t="s">
        <v>153</v>
      </c>
      <c r="S326" s="28" t="s">
        <v>153</v>
      </c>
      <c r="T326" s="30" t="s">
        <v>1417</v>
      </c>
      <c r="U326" s="30">
        <v>330202005</v>
      </c>
      <c r="V326" s="30" t="s">
        <v>1418</v>
      </c>
      <c r="W326" s="30"/>
      <c r="X326" s="30"/>
      <c r="Y326" s="30" t="s">
        <v>40</v>
      </c>
      <c r="Z326" s="30" t="s">
        <v>43</v>
      </c>
      <c r="AA326" s="51">
        <v>3840</v>
      </c>
      <c r="AB326" s="51">
        <v>3460</v>
      </c>
      <c r="AC326" s="57">
        <v>3380</v>
      </c>
      <c r="AD326" s="57">
        <v>3040</v>
      </c>
      <c r="AE326" s="57">
        <v>2580</v>
      </c>
      <c r="AF326" s="58">
        <f t="shared" ref="AF326:AF384" si="25">IFERROR(FIND("-儿童（加收）",C326,1),0)</f>
        <v>0</v>
      </c>
      <c r="AG326" s="58" t="str">
        <f t="shared" ref="AG326:AG384" si="26">SUBSTITUTE(C326,"-儿童（加收）","")</f>
        <v>颅神经切断费</v>
      </c>
      <c r="AH326" s="58">
        <f t="shared" ref="AH326:AH384" si="27">IF(AF326&gt;0,_xlfn.MAXIFS(N:N,C:C,SUBSTITUTE(C326,"-儿童（加收）","")),0)+N326</f>
        <v>4390</v>
      </c>
      <c r="AI326" s="58">
        <f t="shared" ref="AI326:AI384" si="28">IF(AF326&gt;0,_xlfn.MAXIFS(O:O,C:C,SUBSTITUTE(C326,"-儿童（加收）","")),0)+O326</f>
        <v>3950</v>
      </c>
      <c r="AJ326" s="58">
        <f t="shared" ref="AJ326:AJ384" si="29">IF(AF326&gt;0,_xlfn.MAXIFS(P:P,C:C,SUBSTITUTE(C326,"-儿童（加收）","")),0)+P326</f>
        <v>3360</v>
      </c>
    </row>
    <row r="327" s="17" customFormat="1" ht="22" customHeight="1" spans="1:36">
      <c r="A327" s="27">
        <v>73</v>
      </c>
      <c r="B327" s="28" t="s">
        <v>1408</v>
      </c>
      <c r="C327" s="28" t="s">
        <v>1409</v>
      </c>
      <c r="D327" s="28" t="s">
        <v>378</v>
      </c>
      <c r="E327" s="28" t="s">
        <v>1410</v>
      </c>
      <c r="F327" s="28" t="s">
        <v>1411</v>
      </c>
      <c r="G327" s="28" t="s">
        <v>40</v>
      </c>
      <c r="H327" s="28" t="s">
        <v>1412</v>
      </c>
      <c r="I327" s="34">
        <v>4820</v>
      </c>
      <c r="J327" s="34">
        <v>4338</v>
      </c>
      <c r="K327" s="38">
        <v>4390</v>
      </c>
      <c r="L327" s="36"/>
      <c r="M327" s="36"/>
      <c r="N327" s="40">
        <v>4390</v>
      </c>
      <c r="O327" s="40">
        <v>3950</v>
      </c>
      <c r="P327" s="40">
        <v>3360</v>
      </c>
      <c r="Q327" s="28" t="s">
        <v>42</v>
      </c>
      <c r="R327" s="38" t="s">
        <v>153</v>
      </c>
      <c r="S327" s="28" t="s">
        <v>153</v>
      </c>
      <c r="T327" s="30" t="s">
        <v>1419</v>
      </c>
      <c r="U327" s="30">
        <v>330202006</v>
      </c>
      <c r="V327" s="30" t="s">
        <v>1420</v>
      </c>
      <c r="W327" s="30"/>
      <c r="X327" s="30"/>
      <c r="Y327" s="30" t="s">
        <v>40</v>
      </c>
      <c r="Z327" s="30" t="s">
        <v>43</v>
      </c>
      <c r="AA327" s="51">
        <v>4420</v>
      </c>
      <c r="AB327" s="51">
        <v>3970</v>
      </c>
      <c r="AC327" s="57">
        <v>3880</v>
      </c>
      <c r="AD327" s="57">
        <v>3490</v>
      </c>
      <c r="AE327" s="57">
        <v>2970</v>
      </c>
      <c r="AF327" s="58">
        <f t="shared" si="25"/>
        <v>0</v>
      </c>
      <c r="AG327" s="58" t="str">
        <f t="shared" si="26"/>
        <v>颅神经切断费</v>
      </c>
      <c r="AH327" s="58">
        <f t="shared" si="27"/>
        <v>4390</v>
      </c>
      <c r="AI327" s="58">
        <f t="shared" si="28"/>
        <v>3950</v>
      </c>
      <c r="AJ327" s="58">
        <f t="shared" si="29"/>
        <v>3360</v>
      </c>
    </row>
    <row r="328" s="17" customFormat="1" ht="22" customHeight="1" spans="1:36">
      <c r="A328" s="27">
        <v>73</v>
      </c>
      <c r="B328" s="28" t="s">
        <v>1408</v>
      </c>
      <c r="C328" s="28" t="s">
        <v>1409</v>
      </c>
      <c r="D328" s="28" t="s">
        <v>378</v>
      </c>
      <c r="E328" s="28" t="s">
        <v>1410</v>
      </c>
      <c r="F328" s="28" t="s">
        <v>1411</v>
      </c>
      <c r="G328" s="28" t="s">
        <v>40</v>
      </c>
      <c r="H328" s="28" t="s">
        <v>1412</v>
      </c>
      <c r="I328" s="34">
        <v>4820</v>
      </c>
      <c r="J328" s="34">
        <v>4338</v>
      </c>
      <c r="K328" s="38">
        <v>4390</v>
      </c>
      <c r="L328" s="36"/>
      <c r="M328" s="36"/>
      <c r="N328" s="40">
        <v>4390</v>
      </c>
      <c r="O328" s="40">
        <v>3950</v>
      </c>
      <c r="P328" s="40">
        <v>3360</v>
      </c>
      <c r="Q328" s="28" t="s">
        <v>42</v>
      </c>
      <c r="R328" s="38" t="s">
        <v>153</v>
      </c>
      <c r="S328" s="28" t="s">
        <v>153</v>
      </c>
      <c r="T328" s="30" t="s">
        <v>1421</v>
      </c>
      <c r="U328" s="30">
        <v>330202014</v>
      </c>
      <c r="V328" s="30" t="s">
        <v>1422</v>
      </c>
      <c r="W328" s="30"/>
      <c r="X328" s="30"/>
      <c r="Y328" s="30" t="s">
        <v>40</v>
      </c>
      <c r="Z328" s="30" t="s">
        <v>43</v>
      </c>
      <c r="AA328" s="51">
        <v>4420</v>
      </c>
      <c r="AB328" s="51">
        <v>3970</v>
      </c>
      <c r="AC328" s="57">
        <v>3880</v>
      </c>
      <c r="AD328" s="57">
        <v>3490</v>
      </c>
      <c r="AE328" s="57">
        <v>2970</v>
      </c>
      <c r="AF328" s="58">
        <f t="shared" si="25"/>
        <v>0</v>
      </c>
      <c r="AG328" s="58" t="str">
        <f t="shared" si="26"/>
        <v>颅神经切断费</v>
      </c>
      <c r="AH328" s="58">
        <f t="shared" si="27"/>
        <v>4390</v>
      </c>
      <c r="AI328" s="58">
        <f t="shared" si="28"/>
        <v>3950</v>
      </c>
      <c r="AJ328" s="58">
        <f t="shared" si="29"/>
        <v>3360</v>
      </c>
    </row>
    <row r="329" s="17" customFormat="1" ht="22" customHeight="1" spans="1:36">
      <c r="A329" s="27">
        <v>73</v>
      </c>
      <c r="B329" s="28" t="s">
        <v>1408</v>
      </c>
      <c r="C329" s="28" t="s">
        <v>1409</v>
      </c>
      <c r="D329" s="28" t="s">
        <v>378</v>
      </c>
      <c r="E329" s="28" t="s">
        <v>1410</v>
      </c>
      <c r="F329" s="28" t="s">
        <v>1411</v>
      </c>
      <c r="G329" s="28" t="s">
        <v>40</v>
      </c>
      <c r="H329" s="28" t="s">
        <v>1412</v>
      </c>
      <c r="I329" s="34">
        <v>4820</v>
      </c>
      <c r="J329" s="34">
        <v>4338</v>
      </c>
      <c r="K329" s="38">
        <v>4390</v>
      </c>
      <c r="L329" s="36"/>
      <c r="M329" s="36"/>
      <c r="N329" s="40">
        <v>4390</v>
      </c>
      <c r="O329" s="40">
        <v>3950</v>
      </c>
      <c r="P329" s="40">
        <v>3360</v>
      </c>
      <c r="Q329" s="28" t="s">
        <v>42</v>
      </c>
      <c r="R329" s="38" t="s">
        <v>153</v>
      </c>
      <c r="S329" s="28" t="s">
        <v>153</v>
      </c>
      <c r="T329" s="30" t="s">
        <v>1423</v>
      </c>
      <c r="U329" s="30">
        <v>330202015</v>
      </c>
      <c r="V329" s="30" t="s">
        <v>1424</v>
      </c>
      <c r="W329" s="30"/>
      <c r="X329" s="30"/>
      <c r="Y329" s="30" t="s">
        <v>40</v>
      </c>
      <c r="Z329" s="30" t="s">
        <v>43</v>
      </c>
      <c r="AA329" s="51">
        <v>4420</v>
      </c>
      <c r="AB329" s="51">
        <v>3970</v>
      </c>
      <c r="AC329" s="57">
        <v>3880</v>
      </c>
      <c r="AD329" s="57">
        <v>3490</v>
      </c>
      <c r="AE329" s="57">
        <v>2970</v>
      </c>
      <c r="AF329" s="58">
        <f t="shared" si="25"/>
        <v>0</v>
      </c>
      <c r="AG329" s="58" t="str">
        <f t="shared" si="26"/>
        <v>颅神经切断费</v>
      </c>
      <c r="AH329" s="58">
        <f t="shared" si="27"/>
        <v>4390</v>
      </c>
      <c r="AI329" s="58">
        <f t="shared" si="28"/>
        <v>3950</v>
      </c>
      <c r="AJ329" s="58">
        <f t="shared" si="29"/>
        <v>3360</v>
      </c>
    </row>
    <row r="330" s="17" customFormat="1" ht="22" customHeight="1" spans="1:36">
      <c r="A330" s="27">
        <v>73</v>
      </c>
      <c r="B330" s="28" t="s">
        <v>1408</v>
      </c>
      <c r="C330" s="28" t="s">
        <v>1409</v>
      </c>
      <c r="D330" s="28" t="s">
        <v>378</v>
      </c>
      <c r="E330" s="28" t="s">
        <v>1410</v>
      </c>
      <c r="F330" s="28" t="s">
        <v>1411</v>
      </c>
      <c r="G330" s="28" t="s">
        <v>40</v>
      </c>
      <c r="H330" s="28" t="s">
        <v>1412</v>
      </c>
      <c r="I330" s="34">
        <v>4820</v>
      </c>
      <c r="J330" s="34">
        <v>4338</v>
      </c>
      <c r="K330" s="38">
        <v>4390</v>
      </c>
      <c r="L330" s="36"/>
      <c r="M330" s="36"/>
      <c r="N330" s="40">
        <v>4390</v>
      </c>
      <c r="O330" s="40">
        <v>3950</v>
      </c>
      <c r="P330" s="40">
        <v>3360</v>
      </c>
      <c r="Q330" s="28" t="s">
        <v>42</v>
      </c>
      <c r="R330" s="38" t="s">
        <v>153</v>
      </c>
      <c r="S330" s="28" t="s">
        <v>153</v>
      </c>
      <c r="T330" s="30" t="s">
        <v>1425</v>
      </c>
      <c r="U330" s="30">
        <v>330202016</v>
      </c>
      <c r="V330" s="30" t="s">
        <v>1426</v>
      </c>
      <c r="W330" s="30"/>
      <c r="X330" s="30"/>
      <c r="Y330" s="30" t="s">
        <v>40</v>
      </c>
      <c r="Z330" s="30" t="s">
        <v>43</v>
      </c>
      <c r="AA330" s="51">
        <v>4420</v>
      </c>
      <c r="AB330" s="51">
        <v>3970</v>
      </c>
      <c r="AC330" s="57">
        <v>3880</v>
      </c>
      <c r="AD330" s="57">
        <v>3490</v>
      </c>
      <c r="AE330" s="57">
        <v>2970</v>
      </c>
      <c r="AF330" s="58">
        <f t="shared" si="25"/>
        <v>0</v>
      </c>
      <c r="AG330" s="58" t="str">
        <f t="shared" si="26"/>
        <v>颅神经切断费</v>
      </c>
      <c r="AH330" s="58">
        <f t="shared" si="27"/>
        <v>4390</v>
      </c>
      <c r="AI330" s="58">
        <f t="shared" si="28"/>
        <v>3950</v>
      </c>
      <c r="AJ330" s="58">
        <f t="shared" si="29"/>
        <v>3360</v>
      </c>
    </row>
    <row r="331" s="17" customFormat="1" ht="22" customHeight="1" spans="1:36">
      <c r="A331" s="27">
        <v>73</v>
      </c>
      <c r="B331" s="28" t="s">
        <v>1408</v>
      </c>
      <c r="C331" s="28" t="s">
        <v>1409</v>
      </c>
      <c r="D331" s="28" t="s">
        <v>378</v>
      </c>
      <c r="E331" s="28" t="s">
        <v>1410</v>
      </c>
      <c r="F331" s="28" t="s">
        <v>1411</v>
      </c>
      <c r="G331" s="28" t="s">
        <v>40</v>
      </c>
      <c r="H331" s="28" t="s">
        <v>1412</v>
      </c>
      <c r="I331" s="34">
        <v>4820</v>
      </c>
      <c r="J331" s="34">
        <v>4338</v>
      </c>
      <c r="K331" s="38">
        <v>4390</v>
      </c>
      <c r="L331" s="36"/>
      <c r="M331" s="36"/>
      <c r="N331" s="40">
        <v>4390</v>
      </c>
      <c r="O331" s="40">
        <v>3950</v>
      </c>
      <c r="P331" s="40">
        <v>3360</v>
      </c>
      <c r="Q331" s="28" t="s">
        <v>42</v>
      </c>
      <c r="R331" s="38" t="s">
        <v>153</v>
      </c>
      <c r="S331" s="28" t="s">
        <v>153</v>
      </c>
      <c r="T331" s="30" t="s">
        <v>1427</v>
      </c>
      <c r="U331" s="30">
        <v>330202017</v>
      </c>
      <c r="V331" s="30" t="s">
        <v>1428</v>
      </c>
      <c r="W331" s="30" t="s">
        <v>1429</v>
      </c>
      <c r="X331" s="30"/>
      <c r="Y331" s="30" t="s">
        <v>40</v>
      </c>
      <c r="Z331" s="30" t="s">
        <v>43</v>
      </c>
      <c r="AA331" s="51">
        <v>4420</v>
      </c>
      <c r="AB331" s="51">
        <v>3970</v>
      </c>
      <c r="AC331" s="57">
        <v>3880</v>
      </c>
      <c r="AD331" s="57">
        <v>3490</v>
      </c>
      <c r="AE331" s="57">
        <v>2970</v>
      </c>
      <c r="AF331" s="58">
        <f t="shared" si="25"/>
        <v>0</v>
      </c>
      <c r="AG331" s="58" t="str">
        <f t="shared" si="26"/>
        <v>颅神经切断费</v>
      </c>
      <c r="AH331" s="58">
        <f t="shared" si="27"/>
        <v>4390</v>
      </c>
      <c r="AI331" s="58">
        <f t="shared" si="28"/>
        <v>3950</v>
      </c>
      <c r="AJ331" s="58">
        <f t="shared" si="29"/>
        <v>3360</v>
      </c>
    </row>
    <row r="332" s="17" customFormat="1" ht="20" customHeight="1" spans="1:36">
      <c r="A332" s="27" t="s">
        <v>70</v>
      </c>
      <c r="B332" s="28" t="s">
        <v>1430</v>
      </c>
      <c r="C332" s="28" t="s">
        <v>1431</v>
      </c>
      <c r="D332" s="28" t="s">
        <v>378</v>
      </c>
      <c r="E332" s="28"/>
      <c r="F332" s="28"/>
      <c r="G332" s="28" t="s">
        <v>40</v>
      </c>
      <c r="H332" s="28"/>
      <c r="I332" s="34">
        <v>1446</v>
      </c>
      <c r="J332" s="34">
        <v>1301</v>
      </c>
      <c r="K332" s="36"/>
      <c r="L332" s="36"/>
      <c r="M332" s="36"/>
      <c r="N332" s="40">
        <v>1315</v>
      </c>
      <c r="O332" s="40">
        <v>1185</v>
      </c>
      <c r="P332" s="40">
        <v>1010</v>
      </c>
      <c r="Q332" s="28" t="s">
        <v>42</v>
      </c>
      <c r="R332" s="36"/>
      <c r="S332" s="28" t="s">
        <v>384</v>
      </c>
      <c r="T332" s="46" t="s">
        <v>1432</v>
      </c>
      <c r="U332" s="46">
        <v>33020101701</v>
      </c>
      <c r="V332" s="48" t="s">
        <v>1433</v>
      </c>
      <c r="W332" s="46"/>
      <c r="X332" s="46"/>
      <c r="Y332" s="46" t="s">
        <v>40</v>
      </c>
      <c r="Z332" s="30" t="s">
        <v>43</v>
      </c>
      <c r="AA332" s="52">
        <v>4500</v>
      </c>
      <c r="AB332" s="51">
        <v>4045</v>
      </c>
      <c r="AC332" s="57">
        <v>3950</v>
      </c>
      <c r="AD332" s="57">
        <v>3560</v>
      </c>
      <c r="AE332" s="57">
        <v>3025</v>
      </c>
      <c r="AF332" s="58">
        <f t="shared" si="25"/>
        <v>7</v>
      </c>
      <c r="AG332" s="58" t="str">
        <f t="shared" si="26"/>
        <v>颅神经切断费</v>
      </c>
      <c r="AH332" s="58">
        <f t="shared" si="27"/>
        <v>5705</v>
      </c>
      <c r="AI332" s="58">
        <f t="shared" si="28"/>
        <v>5135</v>
      </c>
      <c r="AJ332" s="58">
        <f t="shared" si="29"/>
        <v>4370</v>
      </c>
    </row>
    <row r="333" s="17" customFormat="1" ht="20" customHeight="1" spans="1:36">
      <c r="A333" s="27" t="s">
        <v>70</v>
      </c>
      <c r="B333" s="28" t="s">
        <v>1430</v>
      </c>
      <c r="C333" s="28" t="s">
        <v>1431</v>
      </c>
      <c r="D333" s="28" t="s">
        <v>378</v>
      </c>
      <c r="E333" s="28"/>
      <c r="F333" s="28"/>
      <c r="G333" s="28" t="s">
        <v>40</v>
      </c>
      <c r="H333" s="28"/>
      <c r="I333" s="34">
        <v>1446</v>
      </c>
      <c r="J333" s="34">
        <v>1301</v>
      </c>
      <c r="K333" s="36"/>
      <c r="L333" s="36"/>
      <c r="M333" s="36"/>
      <c r="N333" s="40">
        <v>1315</v>
      </c>
      <c r="O333" s="40">
        <v>1185</v>
      </c>
      <c r="P333" s="40">
        <v>1010</v>
      </c>
      <c r="Q333" s="28" t="s">
        <v>42</v>
      </c>
      <c r="R333" s="36"/>
      <c r="S333" s="28" t="s">
        <v>384</v>
      </c>
      <c r="T333" s="46" t="s">
        <v>1434</v>
      </c>
      <c r="U333" s="46">
        <v>33020200101</v>
      </c>
      <c r="V333" s="48" t="s">
        <v>1435</v>
      </c>
      <c r="W333" s="46"/>
      <c r="X333" s="46"/>
      <c r="Y333" s="46" t="s">
        <v>40</v>
      </c>
      <c r="Z333" s="30" t="s">
        <v>43</v>
      </c>
      <c r="AA333" s="52">
        <v>6485</v>
      </c>
      <c r="AB333" s="51">
        <v>5835</v>
      </c>
      <c r="AC333" s="57">
        <v>5705</v>
      </c>
      <c r="AD333" s="57">
        <v>5135</v>
      </c>
      <c r="AE333" s="57">
        <v>4365</v>
      </c>
      <c r="AF333" s="58">
        <f t="shared" si="25"/>
        <v>7</v>
      </c>
      <c r="AG333" s="58" t="str">
        <f t="shared" si="26"/>
        <v>颅神经切断费</v>
      </c>
      <c r="AH333" s="58">
        <f t="shared" si="27"/>
        <v>5705</v>
      </c>
      <c r="AI333" s="58">
        <f t="shared" si="28"/>
        <v>5135</v>
      </c>
      <c r="AJ333" s="58">
        <f t="shared" si="29"/>
        <v>4370</v>
      </c>
    </row>
    <row r="334" s="17" customFormat="1" ht="20" customHeight="1" spans="1:36">
      <c r="A334" s="27" t="s">
        <v>70</v>
      </c>
      <c r="B334" s="28" t="s">
        <v>1430</v>
      </c>
      <c r="C334" s="28" t="s">
        <v>1431</v>
      </c>
      <c r="D334" s="28" t="s">
        <v>378</v>
      </c>
      <c r="E334" s="28"/>
      <c r="F334" s="28"/>
      <c r="G334" s="28" t="s">
        <v>40</v>
      </c>
      <c r="H334" s="28"/>
      <c r="I334" s="34">
        <v>1446</v>
      </c>
      <c r="J334" s="34">
        <v>1301</v>
      </c>
      <c r="K334" s="36"/>
      <c r="L334" s="36"/>
      <c r="M334" s="36"/>
      <c r="N334" s="40">
        <v>1315</v>
      </c>
      <c r="O334" s="40">
        <v>1185</v>
      </c>
      <c r="P334" s="40">
        <v>1010</v>
      </c>
      <c r="Q334" s="28" t="s">
        <v>42</v>
      </c>
      <c r="R334" s="36"/>
      <c r="S334" s="28" t="s">
        <v>384</v>
      </c>
      <c r="T334" s="46" t="s">
        <v>1436</v>
      </c>
      <c r="U334" s="46">
        <v>33020200501</v>
      </c>
      <c r="V334" s="48" t="s">
        <v>1437</v>
      </c>
      <c r="W334" s="46"/>
      <c r="X334" s="46"/>
      <c r="Y334" s="46" t="s">
        <v>40</v>
      </c>
      <c r="Z334" s="30" t="s">
        <v>43</v>
      </c>
      <c r="AA334" s="52">
        <v>4990</v>
      </c>
      <c r="AB334" s="51">
        <v>4500</v>
      </c>
      <c r="AC334" s="57">
        <v>4395</v>
      </c>
      <c r="AD334" s="57">
        <v>3950</v>
      </c>
      <c r="AE334" s="57">
        <v>3360</v>
      </c>
      <c r="AF334" s="58">
        <f t="shared" si="25"/>
        <v>7</v>
      </c>
      <c r="AG334" s="58" t="str">
        <f t="shared" si="26"/>
        <v>颅神经切断费</v>
      </c>
      <c r="AH334" s="58">
        <f t="shared" si="27"/>
        <v>5705</v>
      </c>
      <c r="AI334" s="58">
        <f t="shared" si="28"/>
        <v>5135</v>
      </c>
      <c r="AJ334" s="58">
        <f t="shared" si="29"/>
        <v>4370</v>
      </c>
    </row>
    <row r="335" s="17" customFormat="1" ht="20" customHeight="1" spans="1:36">
      <c r="A335" s="27" t="s">
        <v>70</v>
      </c>
      <c r="B335" s="28" t="s">
        <v>1430</v>
      </c>
      <c r="C335" s="28" t="s">
        <v>1431</v>
      </c>
      <c r="D335" s="28" t="s">
        <v>378</v>
      </c>
      <c r="E335" s="28"/>
      <c r="F335" s="28"/>
      <c r="G335" s="28" t="s">
        <v>40</v>
      </c>
      <c r="H335" s="28"/>
      <c r="I335" s="34">
        <v>1446</v>
      </c>
      <c r="J335" s="34">
        <v>1301</v>
      </c>
      <c r="K335" s="36"/>
      <c r="L335" s="36"/>
      <c r="M335" s="36"/>
      <c r="N335" s="40">
        <v>1315</v>
      </c>
      <c r="O335" s="40">
        <v>1185</v>
      </c>
      <c r="P335" s="40">
        <v>1010</v>
      </c>
      <c r="Q335" s="28" t="s">
        <v>42</v>
      </c>
      <c r="R335" s="36"/>
      <c r="S335" s="28" t="s">
        <v>384</v>
      </c>
      <c r="T335" s="46" t="s">
        <v>1438</v>
      </c>
      <c r="U335" s="46">
        <v>33020200601</v>
      </c>
      <c r="V335" s="48" t="s">
        <v>1439</v>
      </c>
      <c r="W335" s="46"/>
      <c r="X335" s="46"/>
      <c r="Y335" s="46" t="s">
        <v>40</v>
      </c>
      <c r="Z335" s="30" t="s">
        <v>43</v>
      </c>
      <c r="AA335" s="52">
        <v>5745</v>
      </c>
      <c r="AB335" s="51">
        <v>5160</v>
      </c>
      <c r="AC335" s="57">
        <v>5045</v>
      </c>
      <c r="AD335" s="57">
        <v>4535</v>
      </c>
      <c r="AE335" s="57">
        <v>3855</v>
      </c>
      <c r="AF335" s="58">
        <f t="shared" si="25"/>
        <v>7</v>
      </c>
      <c r="AG335" s="58" t="str">
        <f t="shared" si="26"/>
        <v>颅神经切断费</v>
      </c>
      <c r="AH335" s="58">
        <f t="shared" si="27"/>
        <v>5705</v>
      </c>
      <c r="AI335" s="58">
        <f t="shared" si="28"/>
        <v>5135</v>
      </c>
      <c r="AJ335" s="58">
        <f t="shared" si="29"/>
        <v>4370</v>
      </c>
    </row>
    <row r="336" s="17" customFormat="1" ht="20" customHeight="1" spans="1:36">
      <c r="A336" s="27" t="s">
        <v>70</v>
      </c>
      <c r="B336" s="28" t="s">
        <v>1430</v>
      </c>
      <c r="C336" s="28" t="s">
        <v>1431</v>
      </c>
      <c r="D336" s="28" t="s">
        <v>378</v>
      </c>
      <c r="E336" s="28"/>
      <c r="F336" s="28"/>
      <c r="G336" s="28" t="s">
        <v>40</v>
      </c>
      <c r="H336" s="28"/>
      <c r="I336" s="34">
        <v>1446</v>
      </c>
      <c r="J336" s="34">
        <v>1301</v>
      </c>
      <c r="K336" s="36"/>
      <c r="L336" s="36"/>
      <c r="M336" s="36"/>
      <c r="N336" s="40">
        <v>1315</v>
      </c>
      <c r="O336" s="40">
        <v>1185</v>
      </c>
      <c r="P336" s="40">
        <v>1010</v>
      </c>
      <c r="Q336" s="28" t="s">
        <v>42</v>
      </c>
      <c r="R336" s="36"/>
      <c r="S336" s="28" t="s">
        <v>384</v>
      </c>
      <c r="T336" s="46" t="s">
        <v>1440</v>
      </c>
      <c r="U336" s="46">
        <v>33020201401</v>
      </c>
      <c r="V336" s="48" t="s">
        <v>1441</v>
      </c>
      <c r="W336" s="46"/>
      <c r="X336" s="46"/>
      <c r="Y336" s="46" t="s">
        <v>40</v>
      </c>
      <c r="Z336" s="30" t="s">
        <v>43</v>
      </c>
      <c r="AA336" s="52">
        <v>5745</v>
      </c>
      <c r="AB336" s="51">
        <v>5160</v>
      </c>
      <c r="AC336" s="57">
        <v>5045</v>
      </c>
      <c r="AD336" s="57">
        <v>4535</v>
      </c>
      <c r="AE336" s="57">
        <v>3855</v>
      </c>
      <c r="AF336" s="58">
        <f t="shared" si="25"/>
        <v>7</v>
      </c>
      <c r="AG336" s="58" t="str">
        <f t="shared" si="26"/>
        <v>颅神经切断费</v>
      </c>
      <c r="AH336" s="58">
        <f t="shared" si="27"/>
        <v>5705</v>
      </c>
      <c r="AI336" s="58">
        <f t="shared" si="28"/>
        <v>5135</v>
      </c>
      <c r="AJ336" s="58">
        <f t="shared" si="29"/>
        <v>4370</v>
      </c>
    </row>
    <row r="337" s="17" customFormat="1" ht="20" customHeight="1" spans="1:36">
      <c r="A337" s="27" t="s">
        <v>70</v>
      </c>
      <c r="B337" s="28" t="s">
        <v>1430</v>
      </c>
      <c r="C337" s="28" t="s">
        <v>1431</v>
      </c>
      <c r="D337" s="28" t="s">
        <v>378</v>
      </c>
      <c r="E337" s="28"/>
      <c r="F337" s="28"/>
      <c r="G337" s="28" t="s">
        <v>40</v>
      </c>
      <c r="H337" s="28"/>
      <c r="I337" s="34">
        <v>1446</v>
      </c>
      <c r="J337" s="34">
        <v>1301</v>
      </c>
      <c r="K337" s="36"/>
      <c r="L337" s="36"/>
      <c r="M337" s="36"/>
      <c r="N337" s="40">
        <v>1315</v>
      </c>
      <c r="O337" s="40">
        <v>1185</v>
      </c>
      <c r="P337" s="40">
        <v>1010</v>
      </c>
      <c r="Q337" s="28" t="s">
        <v>42</v>
      </c>
      <c r="R337" s="36"/>
      <c r="S337" s="28" t="s">
        <v>384</v>
      </c>
      <c r="T337" s="46" t="s">
        <v>1442</v>
      </c>
      <c r="U337" s="46">
        <v>33020201501</v>
      </c>
      <c r="V337" s="48" t="s">
        <v>1443</v>
      </c>
      <c r="W337" s="46"/>
      <c r="X337" s="46"/>
      <c r="Y337" s="46" t="s">
        <v>40</v>
      </c>
      <c r="Z337" s="30" t="s">
        <v>43</v>
      </c>
      <c r="AA337" s="52">
        <v>5745</v>
      </c>
      <c r="AB337" s="51">
        <v>5160</v>
      </c>
      <c r="AC337" s="57">
        <v>5045</v>
      </c>
      <c r="AD337" s="57">
        <v>4535</v>
      </c>
      <c r="AE337" s="57">
        <v>3855</v>
      </c>
      <c r="AF337" s="58">
        <f t="shared" si="25"/>
        <v>7</v>
      </c>
      <c r="AG337" s="58" t="str">
        <f t="shared" si="26"/>
        <v>颅神经切断费</v>
      </c>
      <c r="AH337" s="58">
        <f t="shared" si="27"/>
        <v>5705</v>
      </c>
      <c r="AI337" s="58">
        <f t="shared" si="28"/>
        <v>5135</v>
      </c>
      <c r="AJ337" s="58">
        <f t="shared" si="29"/>
        <v>4370</v>
      </c>
    </row>
    <row r="338" s="17" customFormat="1" ht="20" customHeight="1" spans="1:36">
      <c r="A338" s="27" t="s">
        <v>70</v>
      </c>
      <c r="B338" s="28" t="s">
        <v>1430</v>
      </c>
      <c r="C338" s="28" t="s">
        <v>1431</v>
      </c>
      <c r="D338" s="28" t="s">
        <v>378</v>
      </c>
      <c r="E338" s="28"/>
      <c r="F338" s="28"/>
      <c r="G338" s="28" t="s">
        <v>40</v>
      </c>
      <c r="H338" s="28"/>
      <c r="I338" s="34">
        <v>1446</v>
      </c>
      <c r="J338" s="34">
        <v>1301</v>
      </c>
      <c r="K338" s="36"/>
      <c r="L338" s="36"/>
      <c r="M338" s="36"/>
      <c r="N338" s="40">
        <v>1315</v>
      </c>
      <c r="O338" s="40">
        <v>1185</v>
      </c>
      <c r="P338" s="40">
        <v>1010</v>
      </c>
      <c r="Q338" s="28" t="s">
        <v>42</v>
      </c>
      <c r="R338" s="36"/>
      <c r="S338" s="28" t="s">
        <v>384</v>
      </c>
      <c r="T338" s="46" t="s">
        <v>1444</v>
      </c>
      <c r="U338" s="46">
        <v>33020201601</v>
      </c>
      <c r="V338" s="48" t="s">
        <v>1445</v>
      </c>
      <c r="W338" s="46"/>
      <c r="X338" s="46"/>
      <c r="Y338" s="46" t="s">
        <v>40</v>
      </c>
      <c r="Z338" s="30" t="s">
        <v>43</v>
      </c>
      <c r="AA338" s="52">
        <v>5745</v>
      </c>
      <c r="AB338" s="51">
        <v>5160</v>
      </c>
      <c r="AC338" s="57">
        <v>5045</v>
      </c>
      <c r="AD338" s="57">
        <v>4535</v>
      </c>
      <c r="AE338" s="57">
        <v>3855</v>
      </c>
      <c r="AF338" s="58">
        <f t="shared" si="25"/>
        <v>7</v>
      </c>
      <c r="AG338" s="58" t="str">
        <f t="shared" si="26"/>
        <v>颅神经切断费</v>
      </c>
      <c r="AH338" s="58">
        <f t="shared" si="27"/>
        <v>5705</v>
      </c>
      <c r="AI338" s="58">
        <f t="shared" si="28"/>
        <v>5135</v>
      </c>
      <c r="AJ338" s="58">
        <f t="shared" si="29"/>
        <v>4370</v>
      </c>
    </row>
    <row r="339" s="17" customFormat="1" ht="20" customHeight="1" spans="1:36">
      <c r="A339" s="27" t="s">
        <v>70</v>
      </c>
      <c r="B339" s="28" t="s">
        <v>1430</v>
      </c>
      <c r="C339" s="28" t="s">
        <v>1431</v>
      </c>
      <c r="D339" s="28" t="s">
        <v>378</v>
      </c>
      <c r="E339" s="28"/>
      <c r="F339" s="28"/>
      <c r="G339" s="28" t="s">
        <v>40</v>
      </c>
      <c r="H339" s="28"/>
      <c r="I339" s="34">
        <v>1446</v>
      </c>
      <c r="J339" s="34">
        <v>1301</v>
      </c>
      <c r="K339" s="36"/>
      <c r="L339" s="36"/>
      <c r="M339" s="36"/>
      <c r="N339" s="40">
        <v>1315</v>
      </c>
      <c r="O339" s="40">
        <v>1185</v>
      </c>
      <c r="P339" s="40">
        <v>1010</v>
      </c>
      <c r="Q339" s="28" t="s">
        <v>42</v>
      </c>
      <c r="R339" s="36"/>
      <c r="S339" s="28" t="s">
        <v>384</v>
      </c>
      <c r="T339" s="30" t="s">
        <v>1446</v>
      </c>
      <c r="U339" s="30">
        <v>33020201701</v>
      </c>
      <c r="V339" s="30" t="s">
        <v>1447</v>
      </c>
      <c r="W339" s="30"/>
      <c r="X339" s="30"/>
      <c r="Y339" s="30" t="s">
        <v>40</v>
      </c>
      <c r="Z339" s="30" t="s">
        <v>43</v>
      </c>
      <c r="AA339" s="51">
        <v>5745</v>
      </c>
      <c r="AB339" s="51">
        <v>5160</v>
      </c>
      <c r="AC339" s="57">
        <v>5045</v>
      </c>
      <c r="AD339" s="57">
        <v>4535</v>
      </c>
      <c r="AE339" s="57">
        <v>3855</v>
      </c>
      <c r="AF339" s="58">
        <f t="shared" si="25"/>
        <v>7</v>
      </c>
      <c r="AG339" s="58" t="str">
        <f t="shared" si="26"/>
        <v>颅神经切断费</v>
      </c>
      <c r="AH339" s="58">
        <f t="shared" si="27"/>
        <v>5705</v>
      </c>
      <c r="AI339" s="58">
        <f t="shared" si="28"/>
        <v>5135</v>
      </c>
      <c r="AJ339" s="58">
        <f t="shared" si="29"/>
        <v>4370</v>
      </c>
    </row>
    <row r="340" s="17" customFormat="1" ht="24" customHeight="1" spans="1:36">
      <c r="A340" s="27">
        <v>74</v>
      </c>
      <c r="B340" s="28" t="s">
        <v>1448</v>
      </c>
      <c r="C340" s="28" t="s">
        <v>1449</v>
      </c>
      <c r="D340" s="28" t="s">
        <v>378</v>
      </c>
      <c r="E340" s="28" t="s">
        <v>1450</v>
      </c>
      <c r="F340" s="28" t="s">
        <v>1451</v>
      </c>
      <c r="G340" s="28" t="s">
        <v>40</v>
      </c>
      <c r="H340" s="28" t="s">
        <v>1452</v>
      </c>
      <c r="I340" s="34">
        <v>3683</v>
      </c>
      <c r="J340" s="34">
        <v>3315</v>
      </c>
      <c r="K340" s="36"/>
      <c r="L340" s="38">
        <v>2740</v>
      </c>
      <c r="M340" s="36"/>
      <c r="N340" s="40">
        <v>3350</v>
      </c>
      <c r="O340" s="40">
        <v>3000</v>
      </c>
      <c r="P340" s="40">
        <v>2550</v>
      </c>
      <c r="Q340" s="28" t="s">
        <v>42</v>
      </c>
      <c r="R340" s="38" t="s">
        <v>280</v>
      </c>
      <c r="S340" s="28" t="s">
        <v>1453</v>
      </c>
      <c r="T340" s="30" t="s">
        <v>1454</v>
      </c>
      <c r="U340" s="30">
        <v>330204003</v>
      </c>
      <c r="V340" s="30" t="s">
        <v>1455</v>
      </c>
      <c r="W340" s="30"/>
      <c r="X340" s="30"/>
      <c r="Y340" s="30" t="s">
        <v>40</v>
      </c>
      <c r="Z340" s="30" t="s">
        <v>43</v>
      </c>
      <c r="AA340" s="51">
        <v>4800</v>
      </c>
      <c r="AB340" s="51">
        <v>4320</v>
      </c>
      <c r="AC340" s="57">
        <v>4130</v>
      </c>
      <c r="AD340" s="57">
        <v>3720</v>
      </c>
      <c r="AE340" s="57">
        <v>3160</v>
      </c>
      <c r="AF340" s="58">
        <f t="shared" si="25"/>
        <v>0</v>
      </c>
      <c r="AG340" s="58" t="str">
        <f t="shared" si="26"/>
        <v>脊髓及脊神经切断费</v>
      </c>
      <c r="AH340" s="58">
        <f t="shared" si="27"/>
        <v>3350</v>
      </c>
      <c r="AI340" s="58">
        <f t="shared" si="28"/>
        <v>3000</v>
      </c>
      <c r="AJ340" s="58">
        <f t="shared" si="29"/>
        <v>2550</v>
      </c>
    </row>
    <row r="341" s="17" customFormat="1" ht="24" customHeight="1" spans="1:36">
      <c r="A341" s="27">
        <v>74</v>
      </c>
      <c r="B341" s="28" t="s">
        <v>1448</v>
      </c>
      <c r="C341" s="28" t="s">
        <v>1449</v>
      </c>
      <c r="D341" s="28" t="s">
        <v>378</v>
      </c>
      <c r="E341" s="28" t="s">
        <v>1450</v>
      </c>
      <c r="F341" s="28" t="s">
        <v>1451</v>
      </c>
      <c r="G341" s="28" t="s">
        <v>40</v>
      </c>
      <c r="H341" s="28" t="s">
        <v>1452</v>
      </c>
      <c r="I341" s="34">
        <v>3683</v>
      </c>
      <c r="J341" s="34">
        <v>3315</v>
      </c>
      <c r="K341" s="36"/>
      <c r="L341" s="38">
        <v>2740</v>
      </c>
      <c r="M341" s="36"/>
      <c r="N341" s="40">
        <v>3350</v>
      </c>
      <c r="O341" s="40">
        <v>3000</v>
      </c>
      <c r="P341" s="40">
        <v>2550</v>
      </c>
      <c r="Q341" s="28" t="s">
        <v>42</v>
      </c>
      <c r="R341" s="38" t="s">
        <v>280</v>
      </c>
      <c r="S341" s="28" t="s">
        <v>1453</v>
      </c>
      <c r="T341" s="30" t="s">
        <v>1456</v>
      </c>
      <c r="U341" s="30">
        <v>330204005</v>
      </c>
      <c r="V341" s="30" t="s">
        <v>1457</v>
      </c>
      <c r="W341" s="30" t="s">
        <v>1458</v>
      </c>
      <c r="X341" s="30"/>
      <c r="Y341" s="30" t="s">
        <v>40</v>
      </c>
      <c r="Z341" s="30" t="s">
        <v>43</v>
      </c>
      <c r="AA341" s="51">
        <v>4800</v>
      </c>
      <c r="AB341" s="51">
        <v>4320</v>
      </c>
      <c r="AC341" s="57">
        <v>4130</v>
      </c>
      <c r="AD341" s="57">
        <v>3720</v>
      </c>
      <c r="AE341" s="57">
        <v>3160</v>
      </c>
      <c r="AF341" s="58">
        <f t="shared" si="25"/>
        <v>0</v>
      </c>
      <c r="AG341" s="58" t="str">
        <f t="shared" si="26"/>
        <v>脊髓及脊神经切断费</v>
      </c>
      <c r="AH341" s="58">
        <f t="shared" si="27"/>
        <v>3350</v>
      </c>
      <c r="AI341" s="58">
        <f t="shared" si="28"/>
        <v>3000</v>
      </c>
      <c r="AJ341" s="58">
        <f t="shared" si="29"/>
        <v>2550</v>
      </c>
    </row>
    <row r="342" s="17" customFormat="1" ht="24" customHeight="1" spans="1:36">
      <c r="A342" s="27">
        <v>74</v>
      </c>
      <c r="B342" s="28" t="s">
        <v>1448</v>
      </c>
      <c r="C342" s="28" t="s">
        <v>1449</v>
      </c>
      <c r="D342" s="28" t="s">
        <v>378</v>
      </c>
      <c r="E342" s="28" t="s">
        <v>1450</v>
      </c>
      <c r="F342" s="28" t="s">
        <v>1451</v>
      </c>
      <c r="G342" s="28" t="s">
        <v>40</v>
      </c>
      <c r="H342" s="28" t="s">
        <v>1452</v>
      </c>
      <c r="I342" s="34">
        <v>3683</v>
      </c>
      <c r="J342" s="34">
        <v>3315</v>
      </c>
      <c r="K342" s="36"/>
      <c r="L342" s="38">
        <v>2740</v>
      </c>
      <c r="M342" s="36"/>
      <c r="N342" s="40">
        <v>3350</v>
      </c>
      <c r="O342" s="40">
        <v>3000</v>
      </c>
      <c r="P342" s="40">
        <v>2550</v>
      </c>
      <c r="Q342" s="28" t="s">
        <v>42</v>
      </c>
      <c r="R342" s="38" t="s">
        <v>280</v>
      </c>
      <c r="S342" s="28" t="s">
        <v>1453</v>
      </c>
      <c r="T342" s="30" t="s">
        <v>1459</v>
      </c>
      <c r="U342" s="30">
        <v>33020400501</v>
      </c>
      <c r="V342" s="30" t="s">
        <v>1460</v>
      </c>
      <c r="W342" s="30"/>
      <c r="X342" s="30"/>
      <c r="Y342" s="30" t="s">
        <v>40</v>
      </c>
      <c r="Z342" s="30" t="s">
        <v>1461</v>
      </c>
      <c r="AA342" s="51">
        <v>4800</v>
      </c>
      <c r="AB342" s="51">
        <v>4320</v>
      </c>
      <c r="AC342" s="57">
        <v>4130</v>
      </c>
      <c r="AD342" s="57">
        <v>3720</v>
      </c>
      <c r="AE342" s="57">
        <v>3160</v>
      </c>
      <c r="AF342" s="58">
        <f t="shared" si="25"/>
        <v>0</v>
      </c>
      <c r="AG342" s="58" t="str">
        <f t="shared" si="26"/>
        <v>脊髓及脊神经切断费</v>
      </c>
      <c r="AH342" s="58">
        <f t="shared" si="27"/>
        <v>3350</v>
      </c>
      <c r="AI342" s="58">
        <f t="shared" si="28"/>
        <v>3000</v>
      </c>
      <c r="AJ342" s="58">
        <f t="shared" si="29"/>
        <v>2550</v>
      </c>
    </row>
    <row r="343" s="17" customFormat="1" ht="24" customHeight="1" spans="1:36">
      <c r="A343" s="27">
        <v>74</v>
      </c>
      <c r="B343" s="28" t="s">
        <v>1448</v>
      </c>
      <c r="C343" s="28" t="s">
        <v>1449</v>
      </c>
      <c r="D343" s="28" t="s">
        <v>378</v>
      </c>
      <c r="E343" s="28" t="s">
        <v>1450</v>
      </c>
      <c r="F343" s="28" t="s">
        <v>1451</v>
      </c>
      <c r="G343" s="28" t="s">
        <v>40</v>
      </c>
      <c r="H343" s="28" t="s">
        <v>1452</v>
      </c>
      <c r="I343" s="34">
        <v>3683</v>
      </c>
      <c r="J343" s="34">
        <v>3315</v>
      </c>
      <c r="K343" s="36"/>
      <c r="L343" s="38">
        <v>2740</v>
      </c>
      <c r="M343" s="36"/>
      <c r="N343" s="40">
        <v>3350</v>
      </c>
      <c r="O343" s="40">
        <v>3000</v>
      </c>
      <c r="P343" s="40">
        <v>2550</v>
      </c>
      <c r="Q343" s="28" t="s">
        <v>42</v>
      </c>
      <c r="R343" s="38" t="s">
        <v>280</v>
      </c>
      <c r="S343" s="28" t="s">
        <v>1453</v>
      </c>
      <c r="T343" s="30" t="s">
        <v>1462</v>
      </c>
      <c r="U343" s="30">
        <v>330204014</v>
      </c>
      <c r="V343" s="30" t="s">
        <v>1463</v>
      </c>
      <c r="W343" s="30"/>
      <c r="X343" s="30"/>
      <c r="Y343" s="30" t="s">
        <v>40</v>
      </c>
      <c r="Z343" s="30" t="s">
        <v>43</v>
      </c>
      <c r="AA343" s="51">
        <v>3460</v>
      </c>
      <c r="AB343" s="51">
        <v>3110</v>
      </c>
      <c r="AC343" s="57">
        <v>3040</v>
      </c>
      <c r="AD343" s="57">
        <v>2740</v>
      </c>
      <c r="AE343" s="57">
        <v>2330</v>
      </c>
      <c r="AF343" s="58">
        <f t="shared" si="25"/>
        <v>0</v>
      </c>
      <c r="AG343" s="58" t="str">
        <f t="shared" si="26"/>
        <v>脊髓及脊神经切断费</v>
      </c>
      <c r="AH343" s="58">
        <f t="shared" si="27"/>
        <v>3350</v>
      </c>
      <c r="AI343" s="58">
        <f t="shared" si="28"/>
        <v>3000</v>
      </c>
      <c r="AJ343" s="58">
        <f t="shared" si="29"/>
        <v>2550</v>
      </c>
    </row>
    <row r="344" s="17" customFormat="1" ht="18" customHeight="1" spans="1:36">
      <c r="A344" s="27" t="s">
        <v>70</v>
      </c>
      <c r="B344" s="28" t="s">
        <v>1464</v>
      </c>
      <c r="C344" s="28" t="s">
        <v>1465</v>
      </c>
      <c r="D344" s="28" t="s">
        <v>378</v>
      </c>
      <c r="E344" s="28"/>
      <c r="F344" s="28"/>
      <c r="G344" s="28" t="s">
        <v>40</v>
      </c>
      <c r="H344" s="31"/>
      <c r="I344" s="34">
        <v>1105</v>
      </c>
      <c r="J344" s="34">
        <v>995</v>
      </c>
      <c r="K344" s="36"/>
      <c r="L344" s="36"/>
      <c r="M344" s="36"/>
      <c r="N344" s="40">
        <v>1005</v>
      </c>
      <c r="O344" s="40">
        <v>900</v>
      </c>
      <c r="P344" s="40">
        <v>765</v>
      </c>
      <c r="Q344" s="28" t="s">
        <v>42</v>
      </c>
      <c r="R344" s="36"/>
      <c r="S344" s="28" t="s">
        <v>384</v>
      </c>
      <c r="T344" s="46" t="s">
        <v>1466</v>
      </c>
      <c r="U344" s="46">
        <v>33020400301</v>
      </c>
      <c r="V344" s="48" t="s">
        <v>1467</v>
      </c>
      <c r="W344" s="46"/>
      <c r="X344" s="46"/>
      <c r="Y344" s="46" t="s">
        <v>40</v>
      </c>
      <c r="Z344" s="30" t="s">
        <v>43</v>
      </c>
      <c r="AA344" s="52">
        <v>6240</v>
      </c>
      <c r="AB344" s="51">
        <v>5615</v>
      </c>
      <c r="AC344" s="57">
        <v>5370</v>
      </c>
      <c r="AD344" s="57">
        <v>4835</v>
      </c>
      <c r="AE344" s="57">
        <v>4110</v>
      </c>
      <c r="AF344" s="58">
        <f t="shared" si="25"/>
        <v>10</v>
      </c>
      <c r="AG344" s="58" t="str">
        <f t="shared" si="26"/>
        <v>脊髓及脊神经切断费</v>
      </c>
      <c r="AH344" s="58">
        <f t="shared" si="27"/>
        <v>4355</v>
      </c>
      <c r="AI344" s="58">
        <f t="shared" si="28"/>
        <v>3900</v>
      </c>
      <c r="AJ344" s="58">
        <f t="shared" si="29"/>
        <v>3315</v>
      </c>
    </row>
    <row r="345" s="17" customFormat="1" ht="18" customHeight="1" spans="1:36">
      <c r="A345" s="27" t="s">
        <v>70</v>
      </c>
      <c r="B345" s="28" t="s">
        <v>1464</v>
      </c>
      <c r="C345" s="28" t="s">
        <v>1465</v>
      </c>
      <c r="D345" s="28" t="s">
        <v>378</v>
      </c>
      <c r="E345" s="28"/>
      <c r="F345" s="28"/>
      <c r="G345" s="28" t="s">
        <v>40</v>
      </c>
      <c r="H345" s="31"/>
      <c r="I345" s="34">
        <v>1105</v>
      </c>
      <c r="J345" s="34">
        <v>995</v>
      </c>
      <c r="K345" s="36"/>
      <c r="L345" s="36"/>
      <c r="M345" s="36"/>
      <c r="N345" s="40">
        <v>1005</v>
      </c>
      <c r="O345" s="40">
        <v>900</v>
      </c>
      <c r="P345" s="40">
        <v>765</v>
      </c>
      <c r="Q345" s="28" t="s">
        <v>42</v>
      </c>
      <c r="R345" s="36"/>
      <c r="S345" s="28" t="s">
        <v>384</v>
      </c>
      <c r="T345" s="46" t="s">
        <v>1468</v>
      </c>
      <c r="U345" s="46">
        <v>33020400502</v>
      </c>
      <c r="V345" s="48" t="s">
        <v>1469</v>
      </c>
      <c r="W345" s="46"/>
      <c r="X345" s="46"/>
      <c r="Y345" s="46" t="s">
        <v>40</v>
      </c>
      <c r="Z345" s="30" t="s">
        <v>43</v>
      </c>
      <c r="AA345" s="52">
        <v>6240</v>
      </c>
      <c r="AB345" s="51">
        <v>5615</v>
      </c>
      <c r="AC345" s="57">
        <v>5370</v>
      </c>
      <c r="AD345" s="57">
        <v>4835</v>
      </c>
      <c r="AE345" s="57">
        <v>4110</v>
      </c>
      <c r="AF345" s="58">
        <f t="shared" si="25"/>
        <v>10</v>
      </c>
      <c r="AG345" s="58" t="str">
        <f t="shared" si="26"/>
        <v>脊髓及脊神经切断费</v>
      </c>
      <c r="AH345" s="58">
        <f t="shared" si="27"/>
        <v>4355</v>
      </c>
      <c r="AI345" s="58">
        <f t="shared" si="28"/>
        <v>3900</v>
      </c>
      <c r="AJ345" s="58">
        <f t="shared" si="29"/>
        <v>3315</v>
      </c>
    </row>
    <row r="346" s="17" customFormat="1" ht="18" customHeight="1" spans="1:36">
      <c r="A346" s="27" t="s">
        <v>70</v>
      </c>
      <c r="B346" s="28" t="s">
        <v>1464</v>
      </c>
      <c r="C346" s="28" t="s">
        <v>1465</v>
      </c>
      <c r="D346" s="28" t="s">
        <v>378</v>
      </c>
      <c r="E346" s="28"/>
      <c r="F346" s="28"/>
      <c r="G346" s="28" t="s">
        <v>40</v>
      </c>
      <c r="H346" s="31"/>
      <c r="I346" s="34">
        <v>1105</v>
      </c>
      <c r="J346" s="34">
        <v>995</v>
      </c>
      <c r="K346" s="36"/>
      <c r="L346" s="36"/>
      <c r="M346" s="36"/>
      <c r="N346" s="40">
        <v>1005</v>
      </c>
      <c r="O346" s="40">
        <v>900</v>
      </c>
      <c r="P346" s="40">
        <v>765</v>
      </c>
      <c r="Q346" s="28" t="s">
        <v>42</v>
      </c>
      <c r="R346" s="36"/>
      <c r="S346" s="28" t="s">
        <v>384</v>
      </c>
      <c r="T346" s="46" t="s">
        <v>1470</v>
      </c>
      <c r="U346" s="46">
        <v>33020401401</v>
      </c>
      <c r="V346" s="48" t="s">
        <v>1471</v>
      </c>
      <c r="W346" s="46"/>
      <c r="X346" s="46"/>
      <c r="Y346" s="46" t="s">
        <v>40</v>
      </c>
      <c r="Z346" s="30" t="s">
        <v>43</v>
      </c>
      <c r="AA346" s="52">
        <v>4500</v>
      </c>
      <c r="AB346" s="51">
        <v>4045</v>
      </c>
      <c r="AC346" s="57">
        <v>3950</v>
      </c>
      <c r="AD346" s="57">
        <v>3560</v>
      </c>
      <c r="AE346" s="57">
        <v>3025</v>
      </c>
      <c r="AF346" s="58">
        <f t="shared" si="25"/>
        <v>10</v>
      </c>
      <c r="AG346" s="58" t="str">
        <f t="shared" si="26"/>
        <v>脊髓及脊神经切断费</v>
      </c>
      <c r="AH346" s="58">
        <f t="shared" si="27"/>
        <v>4355</v>
      </c>
      <c r="AI346" s="58">
        <f t="shared" si="28"/>
        <v>3900</v>
      </c>
      <c r="AJ346" s="58">
        <f t="shared" si="29"/>
        <v>3315</v>
      </c>
    </row>
    <row r="347" s="17" customFormat="1" ht="18" customHeight="1" spans="1:36">
      <c r="A347" s="27">
        <v>75</v>
      </c>
      <c r="B347" s="28" t="s">
        <v>1472</v>
      </c>
      <c r="C347" s="28" t="s">
        <v>1473</v>
      </c>
      <c r="D347" s="28" t="s">
        <v>378</v>
      </c>
      <c r="E347" s="28" t="s">
        <v>1474</v>
      </c>
      <c r="F347" s="28" t="s">
        <v>1451</v>
      </c>
      <c r="G347" s="28" t="s">
        <v>40</v>
      </c>
      <c r="H347" s="28" t="s">
        <v>1475</v>
      </c>
      <c r="I347" s="34">
        <v>2880</v>
      </c>
      <c r="J347" s="34">
        <v>2592</v>
      </c>
      <c r="K347" s="38">
        <v>2530</v>
      </c>
      <c r="L347" s="36"/>
      <c r="M347" s="36"/>
      <c r="N347" s="40">
        <v>2600</v>
      </c>
      <c r="O347" s="40">
        <v>2350</v>
      </c>
      <c r="P347" s="40">
        <v>2000</v>
      </c>
      <c r="Q347" s="28" t="s">
        <v>42</v>
      </c>
      <c r="R347" s="38" t="s">
        <v>113</v>
      </c>
      <c r="S347" s="28" t="s">
        <v>1476</v>
      </c>
      <c r="T347" s="30" t="s">
        <v>1477</v>
      </c>
      <c r="U347" s="30">
        <v>330204015</v>
      </c>
      <c r="V347" s="30" t="s">
        <v>1478</v>
      </c>
      <c r="W347" s="30" t="s">
        <v>1479</v>
      </c>
      <c r="X347" s="30"/>
      <c r="Y347" s="30" t="s">
        <v>40</v>
      </c>
      <c r="Z347" s="30" t="s">
        <v>43</v>
      </c>
      <c r="AA347" s="51">
        <v>2880</v>
      </c>
      <c r="AB347" s="51">
        <v>2590</v>
      </c>
      <c r="AC347" s="57">
        <v>2530</v>
      </c>
      <c r="AD347" s="57">
        <v>2280</v>
      </c>
      <c r="AE347" s="57">
        <v>1940</v>
      </c>
      <c r="AF347" s="58">
        <f t="shared" si="25"/>
        <v>0</v>
      </c>
      <c r="AG347" s="58" t="str">
        <f t="shared" si="26"/>
        <v>内脏神经切断费</v>
      </c>
      <c r="AH347" s="58">
        <f t="shared" si="27"/>
        <v>2600</v>
      </c>
      <c r="AI347" s="58">
        <f t="shared" si="28"/>
        <v>2350</v>
      </c>
      <c r="AJ347" s="58">
        <f t="shared" si="29"/>
        <v>2000</v>
      </c>
    </row>
    <row r="348" s="17" customFormat="1" ht="18" customHeight="1" spans="1:36">
      <c r="A348" s="27">
        <v>75</v>
      </c>
      <c r="B348" s="28" t="s">
        <v>1472</v>
      </c>
      <c r="C348" s="28" t="s">
        <v>1473</v>
      </c>
      <c r="D348" s="28" t="s">
        <v>378</v>
      </c>
      <c r="E348" s="28" t="s">
        <v>1474</v>
      </c>
      <c r="F348" s="28" t="s">
        <v>1451</v>
      </c>
      <c r="G348" s="28" t="s">
        <v>40</v>
      </c>
      <c r="H348" s="28" t="s">
        <v>1475</v>
      </c>
      <c r="I348" s="34">
        <v>2880</v>
      </c>
      <c r="J348" s="34">
        <v>2592</v>
      </c>
      <c r="K348" s="38">
        <v>2530</v>
      </c>
      <c r="L348" s="36"/>
      <c r="M348" s="36"/>
      <c r="N348" s="40">
        <v>2600</v>
      </c>
      <c r="O348" s="40">
        <v>2350</v>
      </c>
      <c r="P348" s="40">
        <v>2000</v>
      </c>
      <c r="Q348" s="28" t="s">
        <v>42</v>
      </c>
      <c r="R348" s="38" t="s">
        <v>113</v>
      </c>
      <c r="S348" s="28" t="s">
        <v>1476</v>
      </c>
      <c r="T348" s="30" t="s">
        <v>1480</v>
      </c>
      <c r="U348" s="30">
        <v>331007018</v>
      </c>
      <c r="V348" s="30" t="s">
        <v>1481</v>
      </c>
      <c r="W348" s="30" t="s">
        <v>1482</v>
      </c>
      <c r="X348" s="30"/>
      <c r="Y348" s="30" t="s">
        <v>40</v>
      </c>
      <c r="Z348" s="30" t="s">
        <v>43</v>
      </c>
      <c r="AA348" s="51">
        <v>2880</v>
      </c>
      <c r="AB348" s="51">
        <v>2590</v>
      </c>
      <c r="AC348" s="57">
        <v>2530</v>
      </c>
      <c r="AD348" s="57">
        <v>2280</v>
      </c>
      <c r="AE348" s="57">
        <v>1940</v>
      </c>
      <c r="AF348" s="58">
        <f t="shared" si="25"/>
        <v>0</v>
      </c>
      <c r="AG348" s="58" t="str">
        <f t="shared" si="26"/>
        <v>内脏神经切断费</v>
      </c>
      <c r="AH348" s="58">
        <f t="shared" si="27"/>
        <v>2600</v>
      </c>
      <c r="AI348" s="58">
        <f t="shared" si="28"/>
        <v>2350</v>
      </c>
      <c r="AJ348" s="58">
        <f t="shared" si="29"/>
        <v>2000</v>
      </c>
    </row>
    <row r="349" s="17" customFormat="1" ht="18" customHeight="1" spans="1:36">
      <c r="A349" s="27">
        <v>75</v>
      </c>
      <c r="B349" s="28" t="s">
        <v>1472</v>
      </c>
      <c r="C349" s="28" t="s">
        <v>1473</v>
      </c>
      <c r="D349" s="28" t="s">
        <v>378</v>
      </c>
      <c r="E349" s="28" t="s">
        <v>1474</v>
      </c>
      <c r="F349" s="28" t="s">
        <v>1451</v>
      </c>
      <c r="G349" s="28" t="s">
        <v>40</v>
      </c>
      <c r="H349" s="28" t="s">
        <v>1475</v>
      </c>
      <c r="I349" s="34">
        <v>2880</v>
      </c>
      <c r="J349" s="34">
        <v>2592</v>
      </c>
      <c r="K349" s="38">
        <v>2530</v>
      </c>
      <c r="L349" s="36"/>
      <c r="M349" s="36"/>
      <c r="N349" s="40">
        <v>2600</v>
      </c>
      <c r="O349" s="40">
        <v>2350</v>
      </c>
      <c r="P349" s="40">
        <v>2000</v>
      </c>
      <c r="Q349" s="28" t="s">
        <v>42</v>
      </c>
      <c r="R349" s="38" t="s">
        <v>113</v>
      </c>
      <c r="S349" s="28" t="s">
        <v>1476</v>
      </c>
      <c r="T349" s="46" t="s">
        <v>1483</v>
      </c>
      <c r="U349" s="46">
        <v>33100701802</v>
      </c>
      <c r="V349" s="48" t="s">
        <v>1484</v>
      </c>
      <c r="W349" s="46"/>
      <c r="X349" s="46"/>
      <c r="Y349" s="46"/>
      <c r="Z349" s="30" t="s">
        <v>43</v>
      </c>
      <c r="AA349" s="53">
        <v>3680</v>
      </c>
      <c r="AB349" s="51">
        <v>3310</v>
      </c>
      <c r="AC349" s="57">
        <v>3155</v>
      </c>
      <c r="AD349" s="57">
        <v>2880</v>
      </c>
      <c r="AE349" s="57">
        <v>2450</v>
      </c>
      <c r="AF349" s="58">
        <f t="shared" si="25"/>
        <v>0</v>
      </c>
      <c r="AG349" s="58" t="str">
        <f t="shared" si="26"/>
        <v>内脏神经切断费</v>
      </c>
      <c r="AH349" s="58">
        <f t="shared" si="27"/>
        <v>2600</v>
      </c>
      <c r="AI349" s="58">
        <f t="shared" si="28"/>
        <v>2350</v>
      </c>
      <c r="AJ349" s="58">
        <f t="shared" si="29"/>
        <v>2000</v>
      </c>
    </row>
    <row r="350" s="17" customFormat="1" ht="18" customHeight="1" spans="1:36">
      <c r="A350" s="27">
        <v>75</v>
      </c>
      <c r="B350" s="28" t="s">
        <v>1472</v>
      </c>
      <c r="C350" s="28" t="s">
        <v>1473</v>
      </c>
      <c r="D350" s="28" t="s">
        <v>378</v>
      </c>
      <c r="E350" s="28" t="s">
        <v>1474</v>
      </c>
      <c r="F350" s="28" t="s">
        <v>1451</v>
      </c>
      <c r="G350" s="28" t="s">
        <v>40</v>
      </c>
      <c r="H350" s="28" t="s">
        <v>1475</v>
      </c>
      <c r="I350" s="34">
        <v>2880</v>
      </c>
      <c r="J350" s="34">
        <v>2592</v>
      </c>
      <c r="K350" s="38">
        <v>2530</v>
      </c>
      <c r="L350" s="36"/>
      <c r="M350" s="36"/>
      <c r="N350" s="40">
        <v>2600</v>
      </c>
      <c r="O350" s="40">
        <v>2350</v>
      </c>
      <c r="P350" s="40">
        <v>2000</v>
      </c>
      <c r="Q350" s="28" t="s">
        <v>42</v>
      </c>
      <c r="R350" s="38" t="s">
        <v>113</v>
      </c>
      <c r="S350" s="28" t="s">
        <v>1476</v>
      </c>
      <c r="T350" s="46" t="s">
        <v>1485</v>
      </c>
      <c r="U350" s="46">
        <v>331002013</v>
      </c>
      <c r="V350" s="48" t="s">
        <v>1486</v>
      </c>
      <c r="W350" s="46" t="s">
        <v>1487</v>
      </c>
      <c r="X350" s="46"/>
      <c r="Y350" s="46"/>
      <c r="Z350" s="30" t="s">
        <v>43</v>
      </c>
      <c r="AA350" s="53">
        <v>2300</v>
      </c>
      <c r="AB350" s="51">
        <v>2080</v>
      </c>
      <c r="AC350" s="57">
        <v>2030</v>
      </c>
      <c r="AD350" s="57">
        <v>1830</v>
      </c>
      <c r="AE350" s="57">
        <v>1560</v>
      </c>
      <c r="AF350" s="58">
        <f t="shared" si="25"/>
        <v>0</v>
      </c>
      <c r="AG350" s="58" t="str">
        <f t="shared" si="26"/>
        <v>内脏神经切断费</v>
      </c>
      <c r="AH350" s="58">
        <f t="shared" si="27"/>
        <v>2600</v>
      </c>
      <c r="AI350" s="58">
        <f t="shared" si="28"/>
        <v>2350</v>
      </c>
      <c r="AJ350" s="58">
        <f t="shared" si="29"/>
        <v>2000</v>
      </c>
    </row>
    <row r="351" s="17" customFormat="1" ht="18" customHeight="1" spans="1:36">
      <c r="A351" s="27">
        <v>75</v>
      </c>
      <c r="B351" s="28" t="s">
        <v>1472</v>
      </c>
      <c r="C351" s="28" t="s">
        <v>1473</v>
      </c>
      <c r="D351" s="28" t="s">
        <v>378</v>
      </c>
      <c r="E351" s="28" t="s">
        <v>1474</v>
      </c>
      <c r="F351" s="28" t="s">
        <v>1451</v>
      </c>
      <c r="G351" s="28" t="s">
        <v>40</v>
      </c>
      <c r="H351" s="28" t="s">
        <v>1475</v>
      </c>
      <c r="I351" s="34">
        <v>2880</v>
      </c>
      <c r="J351" s="34">
        <v>2592</v>
      </c>
      <c r="K351" s="38">
        <v>2530</v>
      </c>
      <c r="L351" s="36"/>
      <c r="M351" s="36"/>
      <c r="N351" s="40">
        <v>2600</v>
      </c>
      <c r="O351" s="40">
        <v>2350</v>
      </c>
      <c r="P351" s="40">
        <v>2000</v>
      </c>
      <c r="Q351" s="28" t="s">
        <v>42</v>
      </c>
      <c r="R351" s="38" t="s">
        <v>113</v>
      </c>
      <c r="S351" s="28" t="s">
        <v>1476</v>
      </c>
      <c r="T351" s="46" t="s">
        <v>1488</v>
      </c>
      <c r="U351" s="46">
        <v>33100201302</v>
      </c>
      <c r="V351" s="48" t="s">
        <v>1489</v>
      </c>
      <c r="W351" s="46"/>
      <c r="X351" s="46"/>
      <c r="Y351" s="46"/>
      <c r="Z351" s="30" t="s">
        <v>43</v>
      </c>
      <c r="AA351" s="53">
        <v>3100</v>
      </c>
      <c r="AB351" s="51">
        <v>2800</v>
      </c>
      <c r="AC351" s="57">
        <v>2655</v>
      </c>
      <c r="AD351" s="57">
        <v>2430</v>
      </c>
      <c r="AE351" s="57">
        <v>2070</v>
      </c>
      <c r="AF351" s="58">
        <f t="shared" si="25"/>
        <v>0</v>
      </c>
      <c r="AG351" s="58" t="str">
        <f t="shared" si="26"/>
        <v>内脏神经切断费</v>
      </c>
      <c r="AH351" s="58">
        <f t="shared" si="27"/>
        <v>2600</v>
      </c>
      <c r="AI351" s="58">
        <f t="shared" si="28"/>
        <v>2350</v>
      </c>
      <c r="AJ351" s="58">
        <f t="shared" si="29"/>
        <v>2000</v>
      </c>
    </row>
    <row r="352" s="17" customFormat="1" ht="18" customHeight="1" spans="1:36">
      <c r="A352" s="27" t="s">
        <v>70</v>
      </c>
      <c r="B352" s="28" t="s">
        <v>1490</v>
      </c>
      <c r="C352" s="28" t="s">
        <v>1491</v>
      </c>
      <c r="D352" s="28" t="s">
        <v>378</v>
      </c>
      <c r="E352" s="28"/>
      <c r="F352" s="28"/>
      <c r="G352" s="28" t="s">
        <v>40</v>
      </c>
      <c r="H352" s="28"/>
      <c r="I352" s="34">
        <v>864</v>
      </c>
      <c r="J352" s="34">
        <v>778</v>
      </c>
      <c r="K352" s="36"/>
      <c r="L352" s="36"/>
      <c r="M352" s="36"/>
      <c r="N352" s="40">
        <v>780</v>
      </c>
      <c r="O352" s="40">
        <v>705</v>
      </c>
      <c r="P352" s="40">
        <v>600</v>
      </c>
      <c r="Q352" s="28" t="s">
        <v>42</v>
      </c>
      <c r="R352" s="36"/>
      <c r="S352" s="28" t="s">
        <v>384</v>
      </c>
      <c r="T352" s="46" t="s">
        <v>1492</v>
      </c>
      <c r="U352" s="46">
        <v>33020401501</v>
      </c>
      <c r="V352" s="48" t="s">
        <v>1493</v>
      </c>
      <c r="W352" s="46"/>
      <c r="X352" s="46"/>
      <c r="Y352" s="46" t="s">
        <v>40</v>
      </c>
      <c r="Z352" s="30" t="s">
        <v>43</v>
      </c>
      <c r="AA352" s="52">
        <v>3745</v>
      </c>
      <c r="AB352" s="51">
        <v>3365</v>
      </c>
      <c r="AC352" s="57">
        <v>3290</v>
      </c>
      <c r="AD352" s="57">
        <v>2965</v>
      </c>
      <c r="AE352" s="57">
        <v>2520</v>
      </c>
      <c r="AF352" s="58">
        <f t="shared" si="25"/>
        <v>8</v>
      </c>
      <c r="AG352" s="58" t="str">
        <f t="shared" si="26"/>
        <v>内脏神经切断费</v>
      </c>
      <c r="AH352" s="58">
        <f t="shared" si="27"/>
        <v>3380</v>
      </c>
      <c r="AI352" s="58">
        <f t="shared" si="28"/>
        <v>3055</v>
      </c>
      <c r="AJ352" s="58">
        <f t="shared" si="29"/>
        <v>2600</v>
      </c>
    </row>
    <row r="353" s="17" customFormat="1" ht="18" customHeight="1" spans="1:36">
      <c r="A353" s="27" t="s">
        <v>70</v>
      </c>
      <c r="B353" s="28" t="s">
        <v>1490</v>
      </c>
      <c r="C353" s="28" t="s">
        <v>1491</v>
      </c>
      <c r="D353" s="28" t="s">
        <v>378</v>
      </c>
      <c r="E353" s="28"/>
      <c r="F353" s="28"/>
      <c r="G353" s="28" t="s">
        <v>40</v>
      </c>
      <c r="H353" s="28"/>
      <c r="I353" s="34">
        <v>864</v>
      </c>
      <c r="J353" s="34">
        <v>778</v>
      </c>
      <c r="K353" s="36"/>
      <c r="L353" s="36"/>
      <c r="M353" s="36"/>
      <c r="N353" s="40">
        <v>780</v>
      </c>
      <c r="O353" s="40">
        <v>705</v>
      </c>
      <c r="P353" s="40">
        <v>600</v>
      </c>
      <c r="Q353" s="28" t="s">
        <v>42</v>
      </c>
      <c r="R353" s="36"/>
      <c r="S353" s="28" t="s">
        <v>384</v>
      </c>
      <c r="T353" s="46" t="s">
        <v>1494</v>
      </c>
      <c r="U353" s="46">
        <v>33100701801</v>
      </c>
      <c r="V353" s="48" t="s">
        <v>1495</v>
      </c>
      <c r="W353" s="46"/>
      <c r="X353" s="46"/>
      <c r="Y353" s="46"/>
      <c r="Z353" s="30" t="s">
        <v>43</v>
      </c>
      <c r="AA353" s="53">
        <v>3745</v>
      </c>
      <c r="AB353" s="51">
        <v>3365</v>
      </c>
      <c r="AC353" s="57">
        <v>3290</v>
      </c>
      <c r="AD353" s="57">
        <v>2965</v>
      </c>
      <c r="AE353" s="57">
        <v>2520</v>
      </c>
      <c r="AF353" s="58">
        <f t="shared" si="25"/>
        <v>8</v>
      </c>
      <c r="AG353" s="58" t="str">
        <f t="shared" si="26"/>
        <v>内脏神经切断费</v>
      </c>
      <c r="AH353" s="58">
        <f t="shared" si="27"/>
        <v>3380</v>
      </c>
      <c r="AI353" s="58">
        <f t="shared" si="28"/>
        <v>3055</v>
      </c>
      <c r="AJ353" s="58">
        <f t="shared" si="29"/>
        <v>2600</v>
      </c>
    </row>
    <row r="354" s="17" customFormat="1" ht="18" customHeight="1" spans="1:36">
      <c r="A354" s="27" t="s">
        <v>70</v>
      </c>
      <c r="B354" s="28" t="s">
        <v>1490</v>
      </c>
      <c r="C354" s="28" t="s">
        <v>1491</v>
      </c>
      <c r="D354" s="28" t="s">
        <v>378</v>
      </c>
      <c r="E354" s="28"/>
      <c r="F354" s="28"/>
      <c r="G354" s="28" t="s">
        <v>40</v>
      </c>
      <c r="H354" s="28"/>
      <c r="I354" s="34">
        <v>864</v>
      </c>
      <c r="J354" s="34">
        <v>778</v>
      </c>
      <c r="K354" s="36"/>
      <c r="L354" s="36"/>
      <c r="M354" s="36"/>
      <c r="N354" s="40">
        <v>780</v>
      </c>
      <c r="O354" s="40">
        <v>705</v>
      </c>
      <c r="P354" s="40">
        <v>600</v>
      </c>
      <c r="Q354" s="28" t="s">
        <v>42</v>
      </c>
      <c r="R354" s="36"/>
      <c r="S354" s="28" t="s">
        <v>384</v>
      </c>
      <c r="T354" s="46" t="s">
        <v>1496</v>
      </c>
      <c r="U354" s="46">
        <v>33100701803</v>
      </c>
      <c r="V354" s="48" t="s">
        <v>1497</v>
      </c>
      <c r="W354" s="46"/>
      <c r="X354" s="46"/>
      <c r="Y354" s="46"/>
      <c r="Z354" s="30" t="s">
        <v>43</v>
      </c>
      <c r="AA354" s="53">
        <v>4545</v>
      </c>
      <c r="AB354" s="51">
        <v>4085</v>
      </c>
      <c r="AC354" s="57">
        <v>3915</v>
      </c>
      <c r="AD354" s="57">
        <v>3565</v>
      </c>
      <c r="AE354" s="57">
        <v>3030</v>
      </c>
      <c r="AF354" s="58">
        <f t="shared" si="25"/>
        <v>8</v>
      </c>
      <c r="AG354" s="58" t="str">
        <f t="shared" si="26"/>
        <v>内脏神经切断费</v>
      </c>
      <c r="AH354" s="58">
        <f t="shared" si="27"/>
        <v>3380</v>
      </c>
      <c r="AI354" s="58">
        <f t="shared" si="28"/>
        <v>3055</v>
      </c>
      <c r="AJ354" s="58">
        <f t="shared" si="29"/>
        <v>2600</v>
      </c>
    </row>
    <row r="355" s="17" customFormat="1" ht="18" customHeight="1" spans="1:36">
      <c r="A355" s="27" t="s">
        <v>70</v>
      </c>
      <c r="B355" s="28" t="s">
        <v>1490</v>
      </c>
      <c r="C355" s="28" t="s">
        <v>1491</v>
      </c>
      <c r="D355" s="28" t="s">
        <v>378</v>
      </c>
      <c r="E355" s="28"/>
      <c r="F355" s="28"/>
      <c r="G355" s="28" t="s">
        <v>40</v>
      </c>
      <c r="H355" s="28"/>
      <c r="I355" s="34">
        <v>864</v>
      </c>
      <c r="J355" s="34">
        <v>778</v>
      </c>
      <c r="K355" s="36"/>
      <c r="L355" s="36"/>
      <c r="M355" s="36"/>
      <c r="N355" s="40">
        <v>780</v>
      </c>
      <c r="O355" s="40">
        <v>705</v>
      </c>
      <c r="P355" s="40">
        <v>600</v>
      </c>
      <c r="Q355" s="28" t="s">
        <v>42</v>
      </c>
      <c r="R355" s="36"/>
      <c r="S355" s="28" t="s">
        <v>384</v>
      </c>
      <c r="T355" s="46" t="s">
        <v>1498</v>
      </c>
      <c r="U355" s="46">
        <v>33100201301</v>
      </c>
      <c r="V355" s="48" t="s">
        <v>1499</v>
      </c>
      <c r="W355" s="46"/>
      <c r="X355" s="46"/>
      <c r="Y355" s="46"/>
      <c r="Z355" s="30" t="s">
        <v>43</v>
      </c>
      <c r="AA355" s="53">
        <v>2990</v>
      </c>
      <c r="AB355" s="51">
        <v>2705</v>
      </c>
      <c r="AC355" s="57">
        <v>2640</v>
      </c>
      <c r="AD355" s="57">
        <v>2380</v>
      </c>
      <c r="AE355" s="57">
        <v>2025</v>
      </c>
      <c r="AF355" s="58">
        <f t="shared" si="25"/>
        <v>8</v>
      </c>
      <c r="AG355" s="58" t="str">
        <f t="shared" si="26"/>
        <v>内脏神经切断费</v>
      </c>
      <c r="AH355" s="58">
        <f t="shared" si="27"/>
        <v>3380</v>
      </c>
      <c r="AI355" s="58">
        <f t="shared" si="28"/>
        <v>3055</v>
      </c>
      <c r="AJ355" s="58">
        <f t="shared" si="29"/>
        <v>2600</v>
      </c>
    </row>
    <row r="356" s="17" customFormat="1" ht="18" customHeight="1" spans="1:36">
      <c r="A356" s="27" t="s">
        <v>70</v>
      </c>
      <c r="B356" s="28" t="s">
        <v>1490</v>
      </c>
      <c r="C356" s="28" t="s">
        <v>1491</v>
      </c>
      <c r="D356" s="28" t="s">
        <v>378</v>
      </c>
      <c r="E356" s="28"/>
      <c r="F356" s="28"/>
      <c r="G356" s="28" t="s">
        <v>40</v>
      </c>
      <c r="H356" s="28"/>
      <c r="I356" s="34">
        <v>864</v>
      </c>
      <c r="J356" s="34">
        <v>778</v>
      </c>
      <c r="K356" s="36"/>
      <c r="L356" s="36"/>
      <c r="M356" s="36"/>
      <c r="N356" s="40">
        <v>780</v>
      </c>
      <c r="O356" s="40">
        <v>705</v>
      </c>
      <c r="P356" s="40">
        <v>600</v>
      </c>
      <c r="Q356" s="28" t="s">
        <v>42</v>
      </c>
      <c r="R356" s="36"/>
      <c r="S356" s="28" t="s">
        <v>384</v>
      </c>
      <c r="T356" s="46" t="s">
        <v>1500</v>
      </c>
      <c r="U356" s="46">
        <v>33100201303</v>
      </c>
      <c r="V356" s="48" t="s">
        <v>1501</v>
      </c>
      <c r="W356" s="46"/>
      <c r="X356" s="46"/>
      <c r="Y356" s="46"/>
      <c r="Z356" s="30" t="s">
        <v>43</v>
      </c>
      <c r="AA356" s="53">
        <v>3790</v>
      </c>
      <c r="AB356" s="51">
        <v>3425</v>
      </c>
      <c r="AC356" s="57">
        <v>3265</v>
      </c>
      <c r="AD356" s="57">
        <v>2980</v>
      </c>
      <c r="AE356" s="57">
        <v>2535</v>
      </c>
      <c r="AF356" s="58">
        <f t="shared" si="25"/>
        <v>8</v>
      </c>
      <c r="AG356" s="58" t="str">
        <f t="shared" si="26"/>
        <v>内脏神经切断费</v>
      </c>
      <c r="AH356" s="58">
        <f t="shared" si="27"/>
        <v>3380</v>
      </c>
      <c r="AI356" s="58">
        <f t="shared" si="28"/>
        <v>3055</v>
      </c>
      <c r="AJ356" s="58">
        <f t="shared" si="29"/>
        <v>2600</v>
      </c>
    </row>
    <row r="357" s="17" customFormat="1" ht="28" customHeight="1" spans="1:36">
      <c r="A357" s="27">
        <v>76</v>
      </c>
      <c r="B357" s="28" t="s">
        <v>1502</v>
      </c>
      <c r="C357" s="28" t="s">
        <v>1503</v>
      </c>
      <c r="D357" s="28" t="s">
        <v>378</v>
      </c>
      <c r="E357" s="28" t="s">
        <v>1504</v>
      </c>
      <c r="F357" s="28" t="s">
        <v>1451</v>
      </c>
      <c r="G357" s="28" t="s">
        <v>40</v>
      </c>
      <c r="H357" s="28" t="s">
        <v>1505</v>
      </c>
      <c r="I357" s="34">
        <v>1290</v>
      </c>
      <c r="J357" s="34">
        <v>1161</v>
      </c>
      <c r="K357" s="38">
        <v>1187.5</v>
      </c>
      <c r="L357" s="38">
        <v>1080</v>
      </c>
      <c r="M357" s="36"/>
      <c r="N357" s="40">
        <v>1190</v>
      </c>
      <c r="O357" s="40">
        <v>1080</v>
      </c>
      <c r="P357" s="40">
        <v>920</v>
      </c>
      <c r="Q357" s="28" t="s">
        <v>42</v>
      </c>
      <c r="R357" s="38" t="s">
        <v>44</v>
      </c>
      <c r="S357" s="28" t="s">
        <v>207</v>
      </c>
      <c r="T357" s="30" t="s">
        <v>1506</v>
      </c>
      <c r="U357" s="30">
        <v>330202002</v>
      </c>
      <c r="V357" s="30" t="s">
        <v>1507</v>
      </c>
      <c r="W357" s="30"/>
      <c r="X357" s="30"/>
      <c r="Y357" s="30" t="s">
        <v>373</v>
      </c>
      <c r="Z357" s="30" t="s">
        <v>1508</v>
      </c>
      <c r="AA357" s="51">
        <v>1220</v>
      </c>
      <c r="AB357" s="51">
        <v>1090</v>
      </c>
      <c r="AC357" s="57">
        <v>1125</v>
      </c>
      <c r="AD357" s="57">
        <v>1080</v>
      </c>
      <c r="AE357" s="57">
        <v>918</v>
      </c>
      <c r="AF357" s="58">
        <f t="shared" si="25"/>
        <v>0</v>
      </c>
      <c r="AG357" s="58" t="str">
        <f t="shared" si="26"/>
        <v>周围神经切断费</v>
      </c>
      <c r="AH357" s="58">
        <f t="shared" si="27"/>
        <v>1190</v>
      </c>
      <c r="AI357" s="58">
        <f t="shared" si="28"/>
        <v>1080</v>
      </c>
      <c r="AJ357" s="58">
        <f t="shared" si="29"/>
        <v>920</v>
      </c>
    </row>
    <row r="358" s="17" customFormat="1" ht="28" customHeight="1" spans="1:36">
      <c r="A358" s="27">
        <v>76</v>
      </c>
      <c r="B358" s="28" t="s">
        <v>1502</v>
      </c>
      <c r="C358" s="28" t="s">
        <v>1503</v>
      </c>
      <c r="D358" s="28" t="s">
        <v>378</v>
      </c>
      <c r="E358" s="28" t="s">
        <v>1504</v>
      </c>
      <c r="F358" s="28" t="s">
        <v>1451</v>
      </c>
      <c r="G358" s="28" t="s">
        <v>40</v>
      </c>
      <c r="H358" s="28" t="s">
        <v>1505</v>
      </c>
      <c r="I358" s="34">
        <v>1290</v>
      </c>
      <c r="J358" s="34">
        <v>1161</v>
      </c>
      <c r="K358" s="38">
        <v>1187.5</v>
      </c>
      <c r="L358" s="38">
        <v>1080</v>
      </c>
      <c r="M358" s="36"/>
      <c r="N358" s="40">
        <v>1190</v>
      </c>
      <c r="O358" s="40">
        <v>1080</v>
      </c>
      <c r="P358" s="40">
        <v>920</v>
      </c>
      <c r="Q358" s="28" t="s">
        <v>42</v>
      </c>
      <c r="R358" s="38" t="s">
        <v>44</v>
      </c>
      <c r="S358" s="28" t="s">
        <v>207</v>
      </c>
      <c r="T358" s="30" t="s">
        <v>1509</v>
      </c>
      <c r="U358" s="30">
        <v>33020200201</v>
      </c>
      <c r="V358" s="30" t="s">
        <v>1510</v>
      </c>
      <c r="W358" s="30"/>
      <c r="X358" s="30"/>
      <c r="Y358" s="30" t="s">
        <v>373</v>
      </c>
      <c r="Z358" s="30" t="s">
        <v>1511</v>
      </c>
      <c r="AA358" s="51">
        <v>1290</v>
      </c>
      <c r="AB358" s="51">
        <v>1153</v>
      </c>
      <c r="AC358" s="57">
        <v>1187.5</v>
      </c>
      <c r="AD358" s="57">
        <v>1140</v>
      </c>
      <c r="AE358" s="57">
        <v>969</v>
      </c>
      <c r="AF358" s="58">
        <f t="shared" si="25"/>
        <v>0</v>
      </c>
      <c r="AG358" s="58" t="str">
        <f t="shared" si="26"/>
        <v>周围神经切断费</v>
      </c>
      <c r="AH358" s="58">
        <f t="shared" si="27"/>
        <v>1190</v>
      </c>
      <c r="AI358" s="58">
        <f t="shared" si="28"/>
        <v>1080</v>
      </c>
      <c r="AJ358" s="58">
        <f t="shared" si="29"/>
        <v>920</v>
      </c>
    </row>
    <row r="359" s="17" customFormat="1" ht="28" customHeight="1" spans="1:36">
      <c r="A359" s="27">
        <v>76</v>
      </c>
      <c r="B359" s="28" t="s">
        <v>1502</v>
      </c>
      <c r="C359" s="28" t="s">
        <v>1503</v>
      </c>
      <c r="D359" s="28" t="s">
        <v>378</v>
      </c>
      <c r="E359" s="28" t="s">
        <v>1504</v>
      </c>
      <c r="F359" s="28" t="s">
        <v>1451</v>
      </c>
      <c r="G359" s="28" t="s">
        <v>40</v>
      </c>
      <c r="H359" s="28" t="s">
        <v>1505</v>
      </c>
      <c r="I359" s="34">
        <v>1290</v>
      </c>
      <c r="J359" s="34">
        <v>1161</v>
      </c>
      <c r="K359" s="38">
        <v>1187.5</v>
      </c>
      <c r="L359" s="38">
        <v>1080</v>
      </c>
      <c r="M359" s="36"/>
      <c r="N359" s="40">
        <v>1190</v>
      </c>
      <c r="O359" s="40">
        <v>1080</v>
      </c>
      <c r="P359" s="40">
        <v>920</v>
      </c>
      <c r="Q359" s="28" t="s">
        <v>42</v>
      </c>
      <c r="R359" s="38" t="s">
        <v>44</v>
      </c>
      <c r="S359" s="28" t="s">
        <v>207</v>
      </c>
      <c r="T359" s="30" t="s">
        <v>1512</v>
      </c>
      <c r="U359" s="30">
        <v>330202003</v>
      </c>
      <c r="V359" s="30" t="s">
        <v>1513</v>
      </c>
      <c r="W359" s="30"/>
      <c r="X359" s="30"/>
      <c r="Y359" s="30" t="s">
        <v>373</v>
      </c>
      <c r="Z359" s="30" t="s">
        <v>43</v>
      </c>
      <c r="AA359" s="51">
        <v>1080</v>
      </c>
      <c r="AB359" s="51">
        <v>970</v>
      </c>
      <c r="AC359" s="57">
        <v>1000</v>
      </c>
      <c r="AD359" s="57">
        <v>960</v>
      </c>
      <c r="AE359" s="57">
        <v>816</v>
      </c>
      <c r="AF359" s="58">
        <f t="shared" si="25"/>
        <v>0</v>
      </c>
      <c r="AG359" s="58" t="str">
        <f t="shared" si="26"/>
        <v>周围神经切断费</v>
      </c>
      <c r="AH359" s="58">
        <f t="shared" si="27"/>
        <v>1190</v>
      </c>
      <c r="AI359" s="58">
        <f t="shared" si="28"/>
        <v>1080</v>
      </c>
      <c r="AJ359" s="58">
        <f t="shared" si="29"/>
        <v>920</v>
      </c>
    </row>
    <row r="360" s="17" customFormat="1" ht="19" customHeight="1" spans="1:36">
      <c r="A360" s="27" t="s">
        <v>70</v>
      </c>
      <c r="B360" s="28" t="s">
        <v>1514</v>
      </c>
      <c r="C360" s="28" t="s">
        <v>1515</v>
      </c>
      <c r="D360" s="28" t="s">
        <v>378</v>
      </c>
      <c r="E360" s="28"/>
      <c r="F360" s="28"/>
      <c r="G360" s="28" t="s">
        <v>40</v>
      </c>
      <c r="H360" s="28"/>
      <c r="I360" s="34">
        <v>387</v>
      </c>
      <c r="J360" s="34">
        <v>348</v>
      </c>
      <c r="K360" s="36"/>
      <c r="L360" s="36"/>
      <c r="M360" s="36"/>
      <c r="N360" s="40">
        <v>355</v>
      </c>
      <c r="O360" s="40">
        <v>325</v>
      </c>
      <c r="P360" s="40">
        <v>275</v>
      </c>
      <c r="Q360" s="28" t="s">
        <v>42</v>
      </c>
      <c r="R360" s="36"/>
      <c r="S360" s="28" t="s">
        <v>384</v>
      </c>
      <c r="T360" s="30" t="s">
        <v>1516</v>
      </c>
      <c r="U360" s="30">
        <v>33020200202</v>
      </c>
      <c r="V360" s="30" t="s">
        <v>1517</v>
      </c>
      <c r="W360" s="30"/>
      <c r="X360" s="30"/>
      <c r="Y360" s="30" t="s">
        <v>373</v>
      </c>
      <c r="Z360" s="30" t="s">
        <v>43</v>
      </c>
      <c r="AA360" s="51">
        <v>1585</v>
      </c>
      <c r="AB360" s="51">
        <v>1415</v>
      </c>
      <c r="AC360" s="57">
        <v>1465</v>
      </c>
      <c r="AD360" s="57">
        <v>1405</v>
      </c>
      <c r="AE360" s="57">
        <v>1195</v>
      </c>
      <c r="AF360" s="58">
        <f t="shared" si="25"/>
        <v>8</v>
      </c>
      <c r="AG360" s="58" t="str">
        <f t="shared" si="26"/>
        <v>周围神经切断费</v>
      </c>
      <c r="AH360" s="58">
        <f t="shared" si="27"/>
        <v>1545</v>
      </c>
      <c r="AI360" s="58">
        <f t="shared" si="28"/>
        <v>1405</v>
      </c>
      <c r="AJ360" s="58">
        <f t="shared" si="29"/>
        <v>1195</v>
      </c>
    </row>
    <row r="361" s="17" customFormat="1" ht="19" customHeight="1" spans="1:36">
      <c r="A361" s="27" t="s">
        <v>70</v>
      </c>
      <c r="B361" s="28" t="s">
        <v>1514</v>
      </c>
      <c r="C361" s="28" t="s">
        <v>1515</v>
      </c>
      <c r="D361" s="28" t="s">
        <v>378</v>
      </c>
      <c r="E361" s="28"/>
      <c r="F361" s="28"/>
      <c r="G361" s="28" t="s">
        <v>40</v>
      </c>
      <c r="H361" s="28"/>
      <c r="I361" s="34">
        <v>387</v>
      </c>
      <c r="J361" s="34">
        <v>348</v>
      </c>
      <c r="K361" s="36"/>
      <c r="L361" s="36"/>
      <c r="M361" s="36"/>
      <c r="N361" s="40">
        <v>355</v>
      </c>
      <c r="O361" s="40">
        <v>325</v>
      </c>
      <c r="P361" s="40">
        <v>275</v>
      </c>
      <c r="Q361" s="28" t="s">
        <v>42</v>
      </c>
      <c r="R361" s="36"/>
      <c r="S361" s="28" t="s">
        <v>384</v>
      </c>
      <c r="T361" s="30" t="s">
        <v>1518</v>
      </c>
      <c r="U361" s="30">
        <v>33020200203</v>
      </c>
      <c r="V361" s="30" t="s">
        <v>1519</v>
      </c>
      <c r="W361" s="30"/>
      <c r="X361" s="30"/>
      <c r="Y361" s="30" t="s">
        <v>373</v>
      </c>
      <c r="Z361" s="30" t="s">
        <v>1511</v>
      </c>
      <c r="AA361" s="51">
        <v>1675</v>
      </c>
      <c r="AB361" s="51">
        <v>1500</v>
      </c>
      <c r="AC361" s="57">
        <v>1545</v>
      </c>
      <c r="AD361" s="57">
        <v>1480</v>
      </c>
      <c r="AE361" s="57">
        <v>1260</v>
      </c>
      <c r="AF361" s="58">
        <f t="shared" si="25"/>
        <v>8</v>
      </c>
      <c r="AG361" s="58" t="str">
        <f t="shared" si="26"/>
        <v>周围神经切断费</v>
      </c>
      <c r="AH361" s="58">
        <f t="shared" si="27"/>
        <v>1545</v>
      </c>
      <c r="AI361" s="58">
        <f t="shared" si="28"/>
        <v>1405</v>
      </c>
      <c r="AJ361" s="58">
        <f t="shared" si="29"/>
        <v>1195</v>
      </c>
    </row>
    <row r="362" s="17" customFormat="1" ht="19" customHeight="1" spans="1:36">
      <c r="A362" s="27" t="s">
        <v>70</v>
      </c>
      <c r="B362" s="28" t="s">
        <v>1514</v>
      </c>
      <c r="C362" s="28" t="s">
        <v>1515</v>
      </c>
      <c r="D362" s="28" t="s">
        <v>378</v>
      </c>
      <c r="E362" s="28"/>
      <c r="F362" s="28"/>
      <c r="G362" s="28" t="s">
        <v>40</v>
      </c>
      <c r="H362" s="28"/>
      <c r="I362" s="34">
        <v>387</v>
      </c>
      <c r="J362" s="34">
        <v>348</v>
      </c>
      <c r="K362" s="36"/>
      <c r="L362" s="36"/>
      <c r="M362" s="36"/>
      <c r="N362" s="40">
        <v>355</v>
      </c>
      <c r="O362" s="40">
        <v>325</v>
      </c>
      <c r="P362" s="40">
        <v>275</v>
      </c>
      <c r="Q362" s="28" t="s">
        <v>42</v>
      </c>
      <c r="R362" s="36"/>
      <c r="S362" s="28" t="s">
        <v>384</v>
      </c>
      <c r="T362" s="46" t="s">
        <v>1520</v>
      </c>
      <c r="U362" s="46">
        <v>33020200301</v>
      </c>
      <c r="V362" s="48" t="s">
        <v>1521</v>
      </c>
      <c r="W362" s="46"/>
      <c r="X362" s="46"/>
      <c r="Y362" s="46" t="s">
        <v>373</v>
      </c>
      <c r="Z362" s="30" t="s">
        <v>43</v>
      </c>
      <c r="AA362" s="52">
        <v>1405</v>
      </c>
      <c r="AB362" s="51">
        <v>1260</v>
      </c>
      <c r="AC362" s="57">
        <v>1300</v>
      </c>
      <c r="AD362" s="57">
        <v>1250</v>
      </c>
      <c r="AE362" s="57">
        <v>1065</v>
      </c>
      <c r="AF362" s="58">
        <f t="shared" si="25"/>
        <v>8</v>
      </c>
      <c r="AG362" s="58" t="str">
        <f t="shared" si="26"/>
        <v>周围神经切断费</v>
      </c>
      <c r="AH362" s="58">
        <f t="shared" si="27"/>
        <v>1545</v>
      </c>
      <c r="AI362" s="58">
        <f t="shared" si="28"/>
        <v>1405</v>
      </c>
      <c r="AJ362" s="58">
        <f t="shared" si="29"/>
        <v>1195</v>
      </c>
    </row>
    <row r="363" s="17" customFormat="1" ht="65" customHeight="1" spans="1:36">
      <c r="A363" s="29">
        <v>77</v>
      </c>
      <c r="B363" s="30" t="s">
        <v>1522</v>
      </c>
      <c r="C363" s="30" t="s">
        <v>1523</v>
      </c>
      <c r="D363" s="30" t="s">
        <v>378</v>
      </c>
      <c r="E363" s="31" t="s">
        <v>1524</v>
      </c>
      <c r="F363" s="31" t="s">
        <v>1525</v>
      </c>
      <c r="G363" s="30" t="s">
        <v>40</v>
      </c>
      <c r="H363" s="31" t="s">
        <v>1526</v>
      </c>
      <c r="I363" s="37">
        <v>3840</v>
      </c>
      <c r="J363" s="37">
        <v>3456</v>
      </c>
      <c r="K363" s="36">
        <v>3380</v>
      </c>
      <c r="L363" s="36">
        <v>3040</v>
      </c>
      <c r="M363" s="36">
        <v>2580</v>
      </c>
      <c r="N363" s="41">
        <v>3600</v>
      </c>
      <c r="O363" s="41">
        <v>3300</v>
      </c>
      <c r="P363" s="41">
        <v>2800</v>
      </c>
      <c r="Q363" s="30" t="s">
        <v>42</v>
      </c>
      <c r="R363" s="36" t="s">
        <v>113</v>
      </c>
      <c r="S363" s="31" t="s">
        <v>1527</v>
      </c>
      <c r="T363" s="30" t="s">
        <v>1528</v>
      </c>
      <c r="U363" s="30">
        <v>330202007</v>
      </c>
      <c r="V363" s="30" t="s">
        <v>1529</v>
      </c>
      <c r="W363" s="30" t="s">
        <v>1530</v>
      </c>
      <c r="X363" s="30"/>
      <c r="Y363" s="30" t="s">
        <v>40</v>
      </c>
      <c r="Z363" s="30" t="s">
        <v>43</v>
      </c>
      <c r="AA363" s="51">
        <v>3840</v>
      </c>
      <c r="AB363" s="51">
        <v>3460</v>
      </c>
      <c r="AC363" s="57">
        <v>3380</v>
      </c>
      <c r="AD363" s="57">
        <v>3040</v>
      </c>
      <c r="AE363" s="57">
        <v>2580</v>
      </c>
      <c r="AF363" s="58">
        <f t="shared" si="25"/>
        <v>0</v>
      </c>
      <c r="AG363" s="58" t="str">
        <f t="shared" si="26"/>
        <v>颅神经松解费</v>
      </c>
      <c r="AH363" s="58">
        <f t="shared" si="27"/>
        <v>3600</v>
      </c>
      <c r="AI363" s="58">
        <f t="shared" si="28"/>
        <v>3300</v>
      </c>
      <c r="AJ363" s="58">
        <f t="shared" si="29"/>
        <v>2800</v>
      </c>
    </row>
    <row r="364" s="17" customFormat="1" ht="37" customHeight="1" spans="1:36">
      <c r="A364" s="29" t="s">
        <v>70</v>
      </c>
      <c r="B364" s="30" t="s">
        <v>1531</v>
      </c>
      <c r="C364" s="30" t="s">
        <v>1532</v>
      </c>
      <c r="D364" s="30" t="s">
        <v>378</v>
      </c>
      <c r="E364" s="31" t="s">
        <v>43</v>
      </c>
      <c r="F364" s="31" t="s">
        <v>43</v>
      </c>
      <c r="G364" s="30" t="s">
        <v>40</v>
      </c>
      <c r="H364" s="31" t="s">
        <v>43</v>
      </c>
      <c r="I364" s="37">
        <v>1152</v>
      </c>
      <c r="J364" s="37">
        <v>1037</v>
      </c>
      <c r="K364" s="36"/>
      <c r="L364" s="36"/>
      <c r="M364" s="36"/>
      <c r="N364" s="41">
        <v>1080</v>
      </c>
      <c r="O364" s="41">
        <v>990</v>
      </c>
      <c r="P364" s="41">
        <v>840</v>
      </c>
      <c r="Q364" s="30" t="s">
        <v>42</v>
      </c>
      <c r="R364" s="36"/>
      <c r="S364" s="31" t="s">
        <v>384</v>
      </c>
      <c r="T364" s="30" t="s">
        <v>1533</v>
      </c>
      <c r="U364" s="30">
        <v>33020200701</v>
      </c>
      <c r="V364" s="30" t="s">
        <v>1534</v>
      </c>
      <c r="W364" s="30"/>
      <c r="X364" s="30"/>
      <c r="Y364" s="30" t="s">
        <v>40</v>
      </c>
      <c r="Z364" s="30" t="s">
        <v>43</v>
      </c>
      <c r="AA364" s="51">
        <v>4990</v>
      </c>
      <c r="AB364" s="51">
        <v>4500</v>
      </c>
      <c r="AC364" s="57">
        <v>4395</v>
      </c>
      <c r="AD364" s="57">
        <v>3950</v>
      </c>
      <c r="AE364" s="57">
        <v>3360</v>
      </c>
      <c r="AF364" s="58">
        <f t="shared" si="25"/>
        <v>7</v>
      </c>
      <c r="AG364" s="58" t="str">
        <f t="shared" si="26"/>
        <v>颅神经松解费</v>
      </c>
      <c r="AH364" s="58">
        <f t="shared" si="27"/>
        <v>4680</v>
      </c>
      <c r="AI364" s="58">
        <f t="shared" si="28"/>
        <v>4290</v>
      </c>
      <c r="AJ364" s="58">
        <f t="shared" si="29"/>
        <v>3640</v>
      </c>
    </row>
    <row r="365" s="17" customFormat="1" ht="27" customHeight="1" spans="1:36">
      <c r="A365" s="27">
        <v>78</v>
      </c>
      <c r="B365" s="28" t="s">
        <v>1535</v>
      </c>
      <c r="C365" s="28" t="s">
        <v>1536</v>
      </c>
      <c r="D365" s="28" t="s">
        <v>378</v>
      </c>
      <c r="E365" s="28" t="s">
        <v>1537</v>
      </c>
      <c r="F365" s="28" t="s">
        <v>1538</v>
      </c>
      <c r="G365" s="28" t="s">
        <v>40</v>
      </c>
      <c r="H365" s="28" t="s">
        <v>1539</v>
      </c>
      <c r="I365" s="34">
        <v>3555</v>
      </c>
      <c r="J365" s="34">
        <v>3200</v>
      </c>
      <c r="K365" s="35">
        <v>3279.1440377804</v>
      </c>
      <c r="L365" s="35">
        <v>2933.05135951662</v>
      </c>
      <c r="M365" s="35">
        <v>1904.44444444444</v>
      </c>
      <c r="N365" s="40">
        <v>3280</v>
      </c>
      <c r="O365" s="40">
        <v>2940</v>
      </c>
      <c r="P365" s="40">
        <v>2500</v>
      </c>
      <c r="Q365" s="28" t="s">
        <v>42</v>
      </c>
      <c r="R365" s="38" t="s">
        <v>44</v>
      </c>
      <c r="S365" s="28" t="s">
        <v>207</v>
      </c>
      <c r="T365" s="30" t="s">
        <v>1540</v>
      </c>
      <c r="U365" s="30">
        <v>330204001</v>
      </c>
      <c r="V365" s="30" t="s">
        <v>1541</v>
      </c>
      <c r="W365" s="30"/>
      <c r="X365" s="30"/>
      <c r="Y365" s="30" t="s">
        <v>40</v>
      </c>
      <c r="Z365" s="30" t="s">
        <v>43</v>
      </c>
      <c r="AA365" s="51">
        <v>3840</v>
      </c>
      <c r="AB365" s="51">
        <v>3460</v>
      </c>
      <c r="AC365" s="57">
        <v>3380</v>
      </c>
      <c r="AD365" s="57">
        <v>3040</v>
      </c>
      <c r="AE365" s="57">
        <v>2580</v>
      </c>
      <c r="AF365" s="58">
        <f t="shared" si="25"/>
        <v>0</v>
      </c>
      <c r="AG365" s="58" t="str">
        <f t="shared" si="26"/>
        <v>脊髓及神经根松解费</v>
      </c>
      <c r="AH365" s="58">
        <f t="shared" si="27"/>
        <v>3280</v>
      </c>
      <c r="AI365" s="58">
        <f t="shared" si="28"/>
        <v>2940</v>
      </c>
      <c r="AJ365" s="58">
        <f t="shared" si="29"/>
        <v>2500</v>
      </c>
    </row>
    <row r="366" s="17" customFormat="1" ht="27" customHeight="1" spans="1:36">
      <c r="A366" s="27">
        <v>78</v>
      </c>
      <c r="B366" s="28" t="s">
        <v>1535</v>
      </c>
      <c r="C366" s="28" t="s">
        <v>1536</v>
      </c>
      <c r="D366" s="28" t="s">
        <v>378</v>
      </c>
      <c r="E366" s="28" t="s">
        <v>1537</v>
      </c>
      <c r="F366" s="28" t="s">
        <v>1538</v>
      </c>
      <c r="G366" s="28" t="s">
        <v>40</v>
      </c>
      <c r="H366" s="28" t="s">
        <v>1539</v>
      </c>
      <c r="I366" s="34">
        <v>3555</v>
      </c>
      <c r="J366" s="34">
        <v>3200</v>
      </c>
      <c r="K366" s="35">
        <v>3279.1440377804</v>
      </c>
      <c r="L366" s="35">
        <v>2933.05135951662</v>
      </c>
      <c r="M366" s="35">
        <v>1904.44444444444</v>
      </c>
      <c r="N366" s="40">
        <v>3280</v>
      </c>
      <c r="O366" s="40">
        <v>2940</v>
      </c>
      <c r="P366" s="40">
        <v>2500</v>
      </c>
      <c r="Q366" s="28" t="s">
        <v>42</v>
      </c>
      <c r="R366" s="38" t="s">
        <v>44</v>
      </c>
      <c r="S366" s="28" t="s">
        <v>207</v>
      </c>
      <c r="T366" s="30" t="s">
        <v>1542</v>
      </c>
      <c r="U366" s="30">
        <v>330204004</v>
      </c>
      <c r="V366" s="30" t="s">
        <v>1543</v>
      </c>
      <c r="W366" s="30"/>
      <c r="X366" s="30"/>
      <c r="Y366" s="30" t="s">
        <v>40</v>
      </c>
      <c r="Z366" s="30" t="s">
        <v>43</v>
      </c>
      <c r="AA366" s="51">
        <v>3840</v>
      </c>
      <c r="AB366" s="51">
        <v>3460</v>
      </c>
      <c r="AC366" s="57">
        <v>3380</v>
      </c>
      <c r="AD366" s="57">
        <v>3040</v>
      </c>
      <c r="AE366" s="57">
        <v>2580</v>
      </c>
      <c r="AF366" s="58">
        <f t="shared" si="25"/>
        <v>0</v>
      </c>
      <c r="AG366" s="58" t="str">
        <f t="shared" si="26"/>
        <v>脊髓及神经根松解费</v>
      </c>
      <c r="AH366" s="58">
        <f t="shared" si="27"/>
        <v>3280</v>
      </c>
      <c r="AI366" s="58">
        <f t="shared" si="28"/>
        <v>2940</v>
      </c>
      <c r="AJ366" s="58">
        <f t="shared" si="29"/>
        <v>2500</v>
      </c>
    </row>
    <row r="367" s="17" customFormat="1" ht="27" customHeight="1" spans="1:36">
      <c r="A367" s="27">
        <v>78</v>
      </c>
      <c r="B367" s="28" t="s">
        <v>1535</v>
      </c>
      <c r="C367" s="28" t="s">
        <v>1536</v>
      </c>
      <c r="D367" s="28" t="s">
        <v>378</v>
      </c>
      <c r="E367" s="28" t="s">
        <v>1537</v>
      </c>
      <c r="F367" s="28" t="s">
        <v>1538</v>
      </c>
      <c r="G367" s="28" t="s">
        <v>40</v>
      </c>
      <c r="H367" s="28" t="s">
        <v>1539</v>
      </c>
      <c r="I367" s="34">
        <v>3555</v>
      </c>
      <c r="J367" s="34">
        <v>3200</v>
      </c>
      <c r="K367" s="35">
        <v>3279.1440377804</v>
      </c>
      <c r="L367" s="35">
        <v>2933.05135951662</v>
      </c>
      <c r="M367" s="35">
        <v>1904.44444444444</v>
      </c>
      <c r="N367" s="40">
        <v>3280</v>
      </c>
      <c r="O367" s="40">
        <v>2940</v>
      </c>
      <c r="P367" s="40">
        <v>2500</v>
      </c>
      <c r="Q367" s="28" t="s">
        <v>42</v>
      </c>
      <c r="R367" s="38" t="s">
        <v>44</v>
      </c>
      <c r="S367" s="28" t="s">
        <v>207</v>
      </c>
      <c r="T367" s="30" t="s">
        <v>1544</v>
      </c>
      <c r="U367" s="30">
        <v>330204017</v>
      </c>
      <c r="V367" s="30" t="s">
        <v>1545</v>
      </c>
      <c r="W367" s="30"/>
      <c r="X367" s="30"/>
      <c r="Y367" s="30" t="s">
        <v>40</v>
      </c>
      <c r="Z367" s="30" t="s">
        <v>43</v>
      </c>
      <c r="AA367" s="51">
        <v>2640</v>
      </c>
      <c r="AB367" s="51">
        <v>2360</v>
      </c>
      <c r="AC367" s="57">
        <v>2375</v>
      </c>
      <c r="AD367" s="57">
        <v>2140</v>
      </c>
      <c r="AE367" s="57">
        <v>1820</v>
      </c>
      <c r="AF367" s="58">
        <f t="shared" si="25"/>
        <v>0</v>
      </c>
      <c r="AG367" s="58" t="str">
        <f t="shared" si="26"/>
        <v>脊髓及神经根松解费</v>
      </c>
      <c r="AH367" s="58">
        <f t="shared" si="27"/>
        <v>3280</v>
      </c>
      <c r="AI367" s="58">
        <f t="shared" si="28"/>
        <v>2940</v>
      </c>
      <c r="AJ367" s="58">
        <f t="shared" si="29"/>
        <v>2500</v>
      </c>
    </row>
    <row r="368" s="17" customFormat="1" ht="19" customHeight="1" spans="1:36">
      <c r="A368" s="27" t="s">
        <v>70</v>
      </c>
      <c r="B368" s="28" t="s">
        <v>1546</v>
      </c>
      <c r="C368" s="28" t="s">
        <v>1547</v>
      </c>
      <c r="D368" s="28" t="s">
        <v>378</v>
      </c>
      <c r="E368" s="28"/>
      <c r="F368" s="28"/>
      <c r="G368" s="28" t="s">
        <v>40</v>
      </c>
      <c r="H368" s="31"/>
      <c r="I368" s="34">
        <v>1067</v>
      </c>
      <c r="J368" s="34">
        <v>960</v>
      </c>
      <c r="K368" s="38">
        <v>1006.25</v>
      </c>
      <c r="L368" s="36"/>
      <c r="M368" s="36"/>
      <c r="N368" s="40">
        <v>985</v>
      </c>
      <c r="O368" s="40">
        <v>880</v>
      </c>
      <c r="P368" s="40">
        <v>750</v>
      </c>
      <c r="Q368" s="28" t="s">
        <v>42</v>
      </c>
      <c r="R368" s="36"/>
      <c r="S368" s="28" t="s">
        <v>384</v>
      </c>
      <c r="T368" s="46" t="s">
        <v>1548</v>
      </c>
      <c r="U368" s="46">
        <v>33020400101</v>
      </c>
      <c r="V368" s="48" t="s">
        <v>1549</v>
      </c>
      <c r="W368" s="46"/>
      <c r="X368" s="46"/>
      <c r="Y368" s="46" t="s">
        <v>40</v>
      </c>
      <c r="Z368" s="30" t="s">
        <v>43</v>
      </c>
      <c r="AA368" s="52">
        <v>4990</v>
      </c>
      <c r="AB368" s="51">
        <v>4500</v>
      </c>
      <c r="AC368" s="57">
        <v>4395</v>
      </c>
      <c r="AD368" s="57">
        <v>3950</v>
      </c>
      <c r="AE368" s="57">
        <v>3360</v>
      </c>
      <c r="AF368" s="58">
        <f t="shared" si="25"/>
        <v>10</v>
      </c>
      <c r="AG368" s="58" t="str">
        <f t="shared" si="26"/>
        <v>脊髓及神经根松解费</v>
      </c>
      <c r="AH368" s="58">
        <f t="shared" si="27"/>
        <v>4265</v>
      </c>
      <c r="AI368" s="58">
        <f t="shared" si="28"/>
        <v>3820</v>
      </c>
      <c r="AJ368" s="58">
        <f t="shared" si="29"/>
        <v>3250</v>
      </c>
    </row>
    <row r="369" s="17" customFormat="1" ht="19" customHeight="1" spans="1:36">
      <c r="A369" s="27" t="s">
        <v>70</v>
      </c>
      <c r="B369" s="28" t="s">
        <v>1546</v>
      </c>
      <c r="C369" s="28" t="s">
        <v>1547</v>
      </c>
      <c r="D369" s="28" t="s">
        <v>378</v>
      </c>
      <c r="E369" s="28"/>
      <c r="F369" s="28"/>
      <c r="G369" s="28" t="s">
        <v>40</v>
      </c>
      <c r="H369" s="31"/>
      <c r="I369" s="34">
        <v>1067</v>
      </c>
      <c r="J369" s="34">
        <v>960</v>
      </c>
      <c r="K369" s="38">
        <v>1006.25</v>
      </c>
      <c r="L369" s="36"/>
      <c r="M369" s="36"/>
      <c r="N369" s="40">
        <v>985</v>
      </c>
      <c r="O369" s="40">
        <v>880</v>
      </c>
      <c r="P369" s="40">
        <v>750</v>
      </c>
      <c r="Q369" s="28" t="s">
        <v>42</v>
      </c>
      <c r="R369" s="36"/>
      <c r="S369" s="28" t="s">
        <v>384</v>
      </c>
      <c r="T369" s="46" t="s">
        <v>1550</v>
      </c>
      <c r="U369" s="46">
        <v>33020400401</v>
      </c>
      <c r="V369" s="48" t="s">
        <v>1551</v>
      </c>
      <c r="W369" s="46"/>
      <c r="X369" s="46"/>
      <c r="Y369" s="46" t="s">
        <v>40</v>
      </c>
      <c r="Z369" s="30" t="s">
        <v>43</v>
      </c>
      <c r="AA369" s="52">
        <v>4990</v>
      </c>
      <c r="AB369" s="51">
        <v>4500</v>
      </c>
      <c r="AC369" s="57">
        <v>4395</v>
      </c>
      <c r="AD369" s="57">
        <v>3950</v>
      </c>
      <c r="AE369" s="57">
        <v>3360</v>
      </c>
      <c r="AF369" s="58">
        <f t="shared" si="25"/>
        <v>10</v>
      </c>
      <c r="AG369" s="58" t="str">
        <f t="shared" si="26"/>
        <v>脊髓及神经根松解费</v>
      </c>
      <c r="AH369" s="58">
        <f t="shared" si="27"/>
        <v>4265</v>
      </c>
      <c r="AI369" s="58">
        <f t="shared" si="28"/>
        <v>3820</v>
      </c>
      <c r="AJ369" s="58">
        <f t="shared" si="29"/>
        <v>3250</v>
      </c>
    </row>
    <row r="370" s="17" customFormat="1" ht="19" customHeight="1" spans="1:36">
      <c r="A370" s="27" t="s">
        <v>70</v>
      </c>
      <c r="B370" s="28" t="s">
        <v>1546</v>
      </c>
      <c r="C370" s="28" t="s">
        <v>1547</v>
      </c>
      <c r="D370" s="28" t="s">
        <v>378</v>
      </c>
      <c r="E370" s="28"/>
      <c r="F370" s="28"/>
      <c r="G370" s="28" t="s">
        <v>40</v>
      </c>
      <c r="H370" s="31"/>
      <c r="I370" s="34">
        <v>1067</v>
      </c>
      <c r="J370" s="34">
        <v>960</v>
      </c>
      <c r="K370" s="38">
        <v>1006.25</v>
      </c>
      <c r="L370" s="36"/>
      <c r="M370" s="36"/>
      <c r="N370" s="40">
        <v>985</v>
      </c>
      <c r="O370" s="40">
        <v>880</v>
      </c>
      <c r="P370" s="40">
        <v>750</v>
      </c>
      <c r="Q370" s="28" t="s">
        <v>42</v>
      </c>
      <c r="R370" s="36"/>
      <c r="S370" s="28" t="s">
        <v>384</v>
      </c>
      <c r="T370" s="46" t="s">
        <v>1552</v>
      </c>
      <c r="U370" s="46">
        <v>33020401701</v>
      </c>
      <c r="V370" s="48" t="s">
        <v>1553</v>
      </c>
      <c r="W370" s="50"/>
      <c r="X370" s="50"/>
      <c r="Y370" s="50" t="s">
        <v>40</v>
      </c>
      <c r="Z370" s="30" t="s">
        <v>43</v>
      </c>
      <c r="AA370" s="62">
        <v>3430</v>
      </c>
      <c r="AB370" s="51">
        <v>3070</v>
      </c>
      <c r="AC370" s="57">
        <v>3090</v>
      </c>
      <c r="AD370" s="57">
        <v>2780</v>
      </c>
      <c r="AE370" s="57">
        <v>2365</v>
      </c>
      <c r="AF370" s="58">
        <f t="shared" si="25"/>
        <v>10</v>
      </c>
      <c r="AG370" s="58" t="str">
        <f t="shared" si="26"/>
        <v>脊髓及神经根松解费</v>
      </c>
      <c r="AH370" s="58">
        <f t="shared" si="27"/>
        <v>4265</v>
      </c>
      <c r="AI370" s="58">
        <f t="shared" si="28"/>
        <v>3820</v>
      </c>
      <c r="AJ370" s="58">
        <f t="shared" si="29"/>
        <v>3250</v>
      </c>
    </row>
    <row r="371" s="17" customFormat="1" ht="100" customHeight="1" spans="1:36">
      <c r="A371" s="29">
        <v>80</v>
      </c>
      <c r="B371" s="30" t="s">
        <v>1560</v>
      </c>
      <c r="C371" s="30" t="s">
        <v>1561</v>
      </c>
      <c r="D371" s="30" t="s">
        <v>378</v>
      </c>
      <c r="E371" s="31" t="s">
        <v>1562</v>
      </c>
      <c r="F371" s="31" t="s">
        <v>1538</v>
      </c>
      <c r="G371" s="30" t="s">
        <v>40</v>
      </c>
      <c r="H371" s="31" t="s">
        <v>1563</v>
      </c>
      <c r="I371" s="37">
        <v>2400</v>
      </c>
      <c r="J371" s="37">
        <v>2160</v>
      </c>
      <c r="K371" s="36">
        <v>2160</v>
      </c>
      <c r="L371" s="36">
        <v>1950</v>
      </c>
      <c r="M371" s="36">
        <v>1660</v>
      </c>
      <c r="N371" s="41">
        <v>2160</v>
      </c>
      <c r="O371" s="41">
        <v>1950</v>
      </c>
      <c r="P371" s="41">
        <v>1660</v>
      </c>
      <c r="Q371" s="30" t="s">
        <v>42</v>
      </c>
      <c r="R371" s="36" t="s">
        <v>153</v>
      </c>
      <c r="S371" s="31" t="s">
        <v>153</v>
      </c>
      <c r="T371" s="30" t="s">
        <v>1564</v>
      </c>
      <c r="U371" s="30">
        <v>330202011</v>
      </c>
      <c r="V371" s="30" t="s">
        <v>1565</v>
      </c>
      <c r="W371" s="30" t="s">
        <v>1566</v>
      </c>
      <c r="X371" s="30"/>
      <c r="Y371" s="30" t="s">
        <v>40</v>
      </c>
      <c r="Z371" s="30" t="s">
        <v>43</v>
      </c>
      <c r="AA371" s="51">
        <v>2400</v>
      </c>
      <c r="AB371" s="51">
        <v>2160</v>
      </c>
      <c r="AC371" s="57">
        <v>2160</v>
      </c>
      <c r="AD371" s="57">
        <v>1950</v>
      </c>
      <c r="AE371" s="57">
        <v>1660</v>
      </c>
      <c r="AF371" s="58">
        <f t="shared" si="25"/>
        <v>0</v>
      </c>
      <c r="AG371" s="58" t="str">
        <f t="shared" si="26"/>
        <v>周围神经松解费</v>
      </c>
      <c r="AH371" s="58">
        <f t="shared" si="27"/>
        <v>2160</v>
      </c>
      <c r="AI371" s="58">
        <f t="shared" si="28"/>
        <v>1950</v>
      </c>
      <c r="AJ371" s="58">
        <f t="shared" si="29"/>
        <v>1660</v>
      </c>
    </row>
    <row r="372" s="17" customFormat="1" ht="35" customHeight="1" spans="1:36">
      <c r="A372" s="29" t="s">
        <v>70</v>
      </c>
      <c r="B372" s="30" t="s">
        <v>1567</v>
      </c>
      <c r="C372" s="30" t="s">
        <v>1568</v>
      </c>
      <c r="D372" s="30" t="s">
        <v>378</v>
      </c>
      <c r="E372" s="31" t="s">
        <v>43</v>
      </c>
      <c r="F372" s="31" t="s">
        <v>43</v>
      </c>
      <c r="G372" s="30" t="s">
        <v>40</v>
      </c>
      <c r="H372" s="31" t="s">
        <v>43</v>
      </c>
      <c r="I372" s="37">
        <v>720</v>
      </c>
      <c r="J372" s="37">
        <v>648</v>
      </c>
      <c r="K372" s="36"/>
      <c r="L372" s="36"/>
      <c r="M372" s="36"/>
      <c r="N372" s="41">
        <v>650</v>
      </c>
      <c r="O372" s="41">
        <v>585</v>
      </c>
      <c r="P372" s="41">
        <v>500</v>
      </c>
      <c r="Q372" s="30" t="s">
        <v>42</v>
      </c>
      <c r="R372" s="36"/>
      <c r="S372" s="31" t="s">
        <v>384</v>
      </c>
      <c r="T372" s="30" t="s">
        <v>1569</v>
      </c>
      <c r="U372" s="30">
        <v>33020201101</v>
      </c>
      <c r="V372" s="30" t="s">
        <v>1570</v>
      </c>
      <c r="W372" s="30"/>
      <c r="X372" s="30"/>
      <c r="Y372" s="30" t="s">
        <v>40</v>
      </c>
      <c r="Z372" s="30" t="s">
        <v>43</v>
      </c>
      <c r="AA372" s="51">
        <v>3120</v>
      </c>
      <c r="AB372" s="51">
        <v>2810</v>
      </c>
      <c r="AC372" s="57">
        <v>2810</v>
      </c>
      <c r="AD372" s="57">
        <v>2535</v>
      </c>
      <c r="AE372" s="57">
        <v>2160</v>
      </c>
      <c r="AF372" s="58">
        <f t="shared" si="25"/>
        <v>8</v>
      </c>
      <c r="AG372" s="58" t="str">
        <f t="shared" si="26"/>
        <v>周围神经松解费</v>
      </c>
      <c r="AH372" s="58">
        <f t="shared" si="27"/>
        <v>2810</v>
      </c>
      <c r="AI372" s="58">
        <f t="shared" si="28"/>
        <v>2535</v>
      </c>
      <c r="AJ372" s="58">
        <f t="shared" si="29"/>
        <v>2160</v>
      </c>
    </row>
    <row r="373" s="17" customFormat="1" ht="16" customHeight="1" spans="1:36">
      <c r="A373" s="27">
        <v>81</v>
      </c>
      <c r="B373" s="28" t="s">
        <v>1571</v>
      </c>
      <c r="C373" s="28" t="s">
        <v>1572</v>
      </c>
      <c r="D373" s="28" t="s">
        <v>378</v>
      </c>
      <c r="E373" s="28" t="s">
        <v>1573</v>
      </c>
      <c r="F373" s="28" t="s">
        <v>1574</v>
      </c>
      <c r="G373" s="28" t="s">
        <v>151</v>
      </c>
      <c r="H373" s="28" t="s">
        <v>146</v>
      </c>
      <c r="I373" s="34">
        <v>3400</v>
      </c>
      <c r="J373" s="34">
        <v>3060</v>
      </c>
      <c r="K373" s="36"/>
      <c r="L373" s="36"/>
      <c r="M373" s="36"/>
      <c r="N373" s="40">
        <v>3250</v>
      </c>
      <c r="O373" s="40">
        <v>2900</v>
      </c>
      <c r="P373" s="40">
        <v>2450</v>
      </c>
      <c r="Q373" s="28" t="s">
        <v>42</v>
      </c>
      <c r="R373" s="38" t="s">
        <v>280</v>
      </c>
      <c r="S373" s="28" t="s">
        <v>1575</v>
      </c>
      <c r="T373" s="30" t="s">
        <v>1576</v>
      </c>
      <c r="U373" s="30">
        <v>330202008</v>
      </c>
      <c r="V373" s="30" t="s">
        <v>1577</v>
      </c>
      <c r="W373" s="30" t="s">
        <v>1578</v>
      </c>
      <c r="X373" s="30"/>
      <c r="Y373" s="30" t="s">
        <v>40</v>
      </c>
      <c r="Z373" s="30" t="s">
        <v>43</v>
      </c>
      <c r="AA373" s="51">
        <v>2880</v>
      </c>
      <c r="AB373" s="51">
        <v>2590</v>
      </c>
      <c r="AC373" s="57">
        <v>2530</v>
      </c>
      <c r="AD373" s="57">
        <v>2280</v>
      </c>
      <c r="AE373" s="57">
        <v>1940</v>
      </c>
      <c r="AF373" s="58">
        <f t="shared" si="25"/>
        <v>0</v>
      </c>
      <c r="AG373" s="58" t="str">
        <f t="shared" si="26"/>
        <v>颅神经修复吻合费</v>
      </c>
      <c r="AH373" s="58">
        <f t="shared" si="27"/>
        <v>3250</v>
      </c>
      <c r="AI373" s="58">
        <f t="shared" si="28"/>
        <v>2900</v>
      </c>
      <c r="AJ373" s="58">
        <f t="shared" si="29"/>
        <v>2450</v>
      </c>
    </row>
    <row r="374" s="17" customFormat="1" ht="16" customHeight="1" spans="1:36">
      <c r="A374" s="27">
        <v>81</v>
      </c>
      <c r="B374" s="28" t="s">
        <v>1571</v>
      </c>
      <c r="C374" s="28" t="s">
        <v>1572</v>
      </c>
      <c r="D374" s="28" t="s">
        <v>378</v>
      </c>
      <c r="E374" s="28" t="s">
        <v>1573</v>
      </c>
      <c r="F374" s="28" t="s">
        <v>1574</v>
      </c>
      <c r="G374" s="28" t="s">
        <v>151</v>
      </c>
      <c r="H374" s="28" t="s">
        <v>146</v>
      </c>
      <c r="I374" s="34">
        <v>3400</v>
      </c>
      <c r="J374" s="34">
        <v>3060</v>
      </c>
      <c r="K374" s="36"/>
      <c r="L374" s="36"/>
      <c r="M374" s="36"/>
      <c r="N374" s="40">
        <v>3250</v>
      </c>
      <c r="O374" s="40">
        <v>2900</v>
      </c>
      <c r="P374" s="40">
        <v>2450</v>
      </c>
      <c r="Q374" s="28" t="s">
        <v>42</v>
      </c>
      <c r="R374" s="38" t="s">
        <v>280</v>
      </c>
      <c r="S374" s="28" t="s">
        <v>1575</v>
      </c>
      <c r="T374" s="30" t="s">
        <v>1579</v>
      </c>
      <c r="U374" s="30">
        <v>330202009</v>
      </c>
      <c r="V374" s="30" t="s">
        <v>1580</v>
      </c>
      <c r="W374" s="30" t="s">
        <v>1581</v>
      </c>
      <c r="X374" s="30"/>
      <c r="Y374" s="30" t="s">
        <v>40</v>
      </c>
      <c r="Z374" s="30" t="s">
        <v>43</v>
      </c>
      <c r="AA374" s="51">
        <v>3460</v>
      </c>
      <c r="AB374" s="51">
        <v>3110</v>
      </c>
      <c r="AC374" s="57">
        <v>3040</v>
      </c>
      <c r="AD374" s="57">
        <v>2740</v>
      </c>
      <c r="AE374" s="57">
        <v>2330</v>
      </c>
      <c r="AF374" s="58">
        <f t="shared" si="25"/>
        <v>0</v>
      </c>
      <c r="AG374" s="58" t="str">
        <f t="shared" si="26"/>
        <v>颅神经修复吻合费</v>
      </c>
      <c r="AH374" s="58">
        <f t="shared" si="27"/>
        <v>3250</v>
      </c>
      <c r="AI374" s="58">
        <f t="shared" si="28"/>
        <v>2900</v>
      </c>
      <c r="AJ374" s="58">
        <f t="shared" si="29"/>
        <v>2450</v>
      </c>
    </row>
    <row r="375" s="17" customFormat="1" ht="16" customHeight="1" spans="1:36">
      <c r="A375" s="27">
        <v>81</v>
      </c>
      <c r="B375" s="28" t="s">
        <v>1571</v>
      </c>
      <c r="C375" s="28" t="s">
        <v>1572</v>
      </c>
      <c r="D375" s="28" t="s">
        <v>378</v>
      </c>
      <c r="E375" s="28" t="s">
        <v>1573</v>
      </c>
      <c r="F375" s="28" t="s">
        <v>1574</v>
      </c>
      <c r="G375" s="28" t="s">
        <v>151</v>
      </c>
      <c r="H375" s="28" t="s">
        <v>146</v>
      </c>
      <c r="I375" s="34">
        <v>3400</v>
      </c>
      <c r="J375" s="34">
        <v>3060</v>
      </c>
      <c r="K375" s="36"/>
      <c r="L375" s="36"/>
      <c r="M375" s="36"/>
      <c r="N375" s="40">
        <v>3250</v>
      </c>
      <c r="O375" s="40">
        <v>2900</v>
      </c>
      <c r="P375" s="40">
        <v>2450</v>
      </c>
      <c r="Q375" s="28" t="s">
        <v>42</v>
      </c>
      <c r="R375" s="38" t="s">
        <v>280</v>
      </c>
      <c r="S375" s="28" t="s">
        <v>1575</v>
      </c>
      <c r="T375" s="30" t="s">
        <v>1582</v>
      </c>
      <c r="U375" s="30">
        <v>330202010</v>
      </c>
      <c r="V375" s="30" t="s">
        <v>1583</v>
      </c>
      <c r="W375" s="30"/>
      <c r="X375" s="30" t="s">
        <v>1584</v>
      </c>
      <c r="Y375" s="30" t="s">
        <v>40</v>
      </c>
      <c r="Z375" s="30" t="s">
        <v>43</v>
      </c>
      <c r="AA375" s="51">
        <v>3130</v>
      </c>
      <c r="AB375" s="51">
        <v>2800</v>
      </c>
      <c r="AC375" s="57">
        <v>2815</v>
      </c>
      <c r="AD375" s="57">
        <v>2535</v>
      </c>
      <c r="AE375" s="57">
        <v>2155</v>
      </c>
      <c r="AF375" s="58">
        <f t="shared" si="25"/>
        <v>0</v>
      </c>
      <c r="AG375" s="58" t="str">
        <f t="shared" si="26"/>
        <v>颅神经修复吻合费</v>
      </c>
      <c r="AH375" s="58">
        <f t="shared" si="27"/>
        <v>3250</v>
      </c>
      <c r="AI375" s="58">
        <f t="shared" si="28"/>
        <v>2900</v>
      </c>
      <c r="AJ375" s="58">
        <f t="shared" si="29"/>
        <v>2450</v>
      </c>
    </row>
    <row r="376" s="17" customFormat="1" ht="16" customHeight="1" spans="1:36">
      <c r="A376" s="27">
        <v>81</v>
      </c>
      <c r="B376" s="28" t="s">
        <v>1571</v>
      </c>
      <c r="C376" s="28" t="s">
        <v>1572</v>
      </c>
      <c r="D376" s="28" t="s">
        <v>378</v>
      </c>
      <c r="E376" s="28" t="s">
        <v>1573</v>
      </c>
      <c r="F376" s="28" t="s">
        <v>1574</v>
      </c>
      <c r="G376" s="28" t="s">
        <v>151</v>
      </c>
      <c r="H376" s="28" t="s">
        <v>146</v>
      </c>
      <c r="I376" s="34">
        <v>3400</v>
      </c>
      <c r="J376" s="34">
        <v>3060</v>
      </c>
      <c r="K376" s="36"/>
      <c r="L376" s="36"/>
      <c r="M376" s="36"/>
      <c r="N376" s="40">
        <v>3250</v>
      </c>
      <c r="O376" s="40">
        <v>2900</v>
      </c>
      <c r="P376" s="40">
        <v>2450</v>
      </c>
      <c r="Q376" s="28" t="s">
        <v>42</v>
      </c>
      <c r="R376" s="38" t="s">
        <v>280</v>
      </c>
      <c r="S376" s="28" t="s">
        <v>1575</v>
      </c>
      <c r="T376" s="30" t="s">
        <v>1585</v>
      </c>
      <c r="U376" s="30">
        <v>330202012</v>
      </c>
      <c r="V376" s="30" t="s">
        <v>1586</v>
      </c>
      <c r="W376" s="30"/>
      <c r="X376" s="30"/>
      <c r="Y376" s="30" t="s">
        <v>40</v>
      </c>
      <c r="Z376" s="30" t="s">
        <v>43</v>
      </c>
      <c r="AA376" s="51">
        <v>2400</v>
      </c>
      <c r="AB376" s="51">
        <v>2160</v>
      </c>
      <c r="AC376" s="57">
        <v>2160</v>
      </c>
      <c r="AD376" s="57">
        <v>1950</v>
      </c>
      <c r="AE376" s="57">
        <v>1660</v>
      </c>
      <c r="AF376" s="58">
        <f t="shared" si="25"/>
        <v>0</v>
      </c>
      <c r="AG376" s="58" t="str">
        <f t="shared" si="26"/>
        <v>颅神经修复吻合费</v>
      </c>
      <c r="AH376" s="58">
        <f t="shared" si="27"/>
        <v>3250</v>
      </c>
      <c r="AI376" s="58">
        <f t="shared" si="28"/>
        <v>2900</v>
      </c>
      <c r="AJ376" s="58">
        <f t="shared" si="29"/>
        <v>2450</v>
      </c>
    </row>
    <row r="377" s="17" customFormat="1" ht="16" customHeight="1" spans="1:36">
      <c r="A377" s="27">
        <v>81</v>
      </c>
      <c r="B377" s="28" t="s">
        <v>1571</v>
      </c>
      <c r="C377" s="28" t="s">
        <v>1572</v>
      </c>
      <c r="D377" s="28" t="s">
        <v>378</v>
      </c>
      <c r="E377" s="28" t="s">
        <v>1573</v>
      </c>
      <c r="F377" s="28" t="s">
        <v>1574</v>
      </c>
      <c r="G377" s="28" t="s">
        <v>151</v>
      </c>
      <c r="H377" s="28" t="s">
        <v>146</v>
      </c>
      <c r="I377" s="34">
        <v>3400</v>
      </c>
      <c r="J377" s="34">
        <v>3060</v>
      </c>
      <c r="K377" s="36"/>
      <c r="L377" s="36"/>
      <c r="M377" s="36"/>
      <c r="N377" s="40">
        <v>3250</v>
      </c>
      <c r="O377" s="40">
        <v>2900</v>
      </c>
      <c r="P377" s="40">
        <v>2450</v>
      </c>
      <c r="Q377" s="28" t="s">
        <v>42</v>
      </c>
      <c r="R377" s="38" t="s">
        <v>280</v>
      </c>
      <c r="S377" s="28" t="s">
        <v>1575</v>
      </c>
      <c r="T377" s="30" t="s">
        <v>1587</v>
      </c>
      <c r="U377" s="30">
        <v>330202013</v>
      </c>
      <c r="V377" s="30" t="s">
        <v>1588</v>
      </c>
      <c r="W377" s="30"/>
      <c r="X377" s="30"/>
      <c r="Y377" s="30" t="s">
        <v>40</v>
      </c>
      <c r="Z377" s="30" t="s">
        <v>43</v>
      </c>
      <c r="AA377" s="51">
        <v>2400</v>
      </c>
      <c r="AB377" s="51">
        <v>2160</v>
      </c>
      <c r="AC377" s="57">
        <v>2160</v>
      </c>
      <c r="AD377" s="57">
        <v>1950</v>
      </c>
      <c r="AE377" s="57">
        <v>1660</v>
      </c>
      <c r="AF377" s="58">
        <f t="shared" si="25"/>
        <v>0</v>
      </c>
      <c r="AG377" s="58" t="str">
        <f t="shared" si="26"/>
        <v>颅神经修复吻合费</v>
      </c>
      <c r="AH377" s="58">
        <f t="shared" si="27"/>
        <v>3250</v>
      </c>
      <c r="AI377" s="58">
        <f t="shared" si="28"/>
        <v>2900</v>
      </c>
      <c r="AJ377" s="58">
        <f t="shared" si="29"/>
        <v>2450</v>
      </c>
    </row>
    <row r="378" s="17" customFormat="1" ht="16" customHeight="1" spans="1:36">
      <c r="A378" s="27" t="s">
        <v>70</v>
      </c>
      <c r="B378" s="28" t="s">
        <v>1589</v>
      </c>
      <c r="C378" s="28" t="s">
        <v>1590</v>
      </c>
      <c r="D378" s="28" t="s">
        <v>378</v>
      </c>
      <c r="E378" s="28"/>
      <c r="F378" s="28"/>
      <c r="G378" s="28" t="s">
        <v>151</v>
      </c>
      <c r="H378" s="28"/>
      <c r="I378" s="34">
        <v>1020</v>
      </c>
      <c r="J378" s="34">
        <v>918</v>
      </c>
      <c r="K378" s="36"/>
      <c r="L378" s="36"/>
      <c r="M378" s="36"/>
      <c r="N378" s="40">
        <v>975</v>
      </c>
      <c r="O378" s="40">
        <v>870</v>
      </c>
      <c r="P378" s="40">
        <v>735</v>
      </c>
      <c r="Q378" s="28" t="s">
        <v>42</v>
      </c>
      <c r="R378" s="36"/>
      <c r="S378" s="31"/>
      <c r="T378" s="30" t="s">
        <v>1591</v>
      </c>
      <c r="U378" s="30">
        <v>33020200801</v>
      </c>
      <c r="V378" s="30" t="s">
        <v>1592</v>
      </c>
      <c r="W378" s="30"/>
      <c r="X378" s="30"/>
      <c r="Y378" s="30" t="s">
        <v>40</v>
      </c>
      <c r="Z378" s="30" t="s">
        <v>43</v>
      </c>
      <c r="AA378" s="51">
        <v>3745</v>
      </c>
      <c r="AB378" s="51">
        <v>3365</v>
      </c>
      <c r="AC378" s="57">
        <v>3290</v>
      </c>
      <c r="AD378" s="57">
        <v>2965</v>
      </c>
      <c r="AE378" s="57">
        <v>2520</v>
      </c>
      <c r="AF378" s="58">
        <f t="shared" si="25"/>
        <v>9</v>
      </c>
      <c r="AG378" s="58" t="str">
        <f t="shared" si="26"/>
        <v>颅神经修复吻合费</v>
      </c>
      <c r="AH378" s="58">
        <f t="shared" si="27"/>
        <v>4225</v>
      </c>
      <c r="AI378" s="58">
        <f t="shared" si="28"/>
        <v>3770</v>
      </c>
      <c r="AJ378" s="58">
        <f t="shared" si="29"/>
        <v>3185</v>
      </c>
    </row>
    <row r="379" s="17" customFormat="1" ht="16" customHeight="1" spans="1:36">
      <c r="A379" s="27" t="s">
        <v>70</v>
      </c>
      <c r="B379" s="28" t="s">
        <v>1589</v>
      </c>
      <c r="C379" s="28" t="s">
        <v>1590</v>
      </c>
      <c r="D379" s="28" t="s">
        <v>378</v>
      </c>
      <c r="E379" s="28"/>
      <c r="F379" s="28"/>
      <c r="G379" s="28" t="s">
        <v>151</v>
      </c>
      <c r="H379" s="28"/>
      <c r="I379" s="34">
        <v>1020</v>
      </c>
      <c r="J379" s="34">
        <v>918</v>
      </c>
      <c r="K379" s="36"/>
      <c r="L379" s="36"/>
      <c r="M379" s="36"/>
      <c r="N379" s="40">
        <v>975</v>
      </c>
      <c r="O379" s="40">
        <v>870</v>
      </c>
      <c r="P379" s="40">
        <v>735</v>
      </c>
      <c r="Q379" s="28" t="s">
        <v>42</v>
      </c>
      <c r="R379" s="36"/>
      <c r="S379" s="31"/>
      <c r="T379" s="30" t="s">
        <v>1593</v>
      </c>
      <c r="U379" s="30">
        <v>33020200901</v>
      </c>
      <c r="V379" s="30" t="s">
        <v>1594</v>
      </c>
      <c r="W379" s="30"/>
      <c r="X379" s="30"/>
      <c r="Y379" s="30" t="s">
        <v>40</v>
      </c>
      <c r="Z379" s="30" t="s">
        <v>43</v>
      </c>
      <c r="AA379" s="51">
        <v>4500</v>
      </c>
      <c r="AB379" s="51">
        <v>4045</v>
      </c>
      <c r="AC379" s="57">
        <v>3950</v>
      </c>
      <c r="AD379" s="57">
        <v>3560</v>
      </c>
      <c r="AE379" s="57">
        <v>3025</v>
      </c>
      <c r="AF379" s="58">
        <f t="shared" si="25"/>
        <v>9</v>
      </c>
      <c r="AG379" s="58" t="str">
        <f t="shared" si="26"/>
        <v>颅神经修复吻合费</v>
      </c>
      <c r="AH379" s="58">
        <f t="shared" si="27"/>
        <v>4225</v>
      </c>
      <c r="AI379" s="58">
        <f t="shared" si="28"/>
        <v>3770</v>
      </c>
      <c r="AJ379" s="58">
        <f t="shared" si="29"/>
        <v>3185</v>
      </c>
    </row>
    <row r="380" s="17" customFormat="1" ht="16" customHeight="1" spans="1:36">
      <c r="A380" s="27" t="s">
        <v>70</v>
      </c>
      <c r="B380" s="28" t="s">
        <v>1589</v>
      </c>
      <c r="C380" s="28" t="s">
        <v>1590</v>
      </c>
      <c r="D380" s="28" t="s">
        <v>378</v>
      </c>
      <c r="E380" s="28"/>
      <c r="F380" s="28"/>
      <c r="G380" s="28" t="s">
        <v>151</v>
      </c>
      <c r="H380" s="28"/>
      <c r="I380" s="34">
        <v>1020</v>
      </c>
      <c r="J380" s="34">
        <v>918</v>
      </c>
      <c r="K380" s="36"/>
      <c r="L380" s="36"/>
      <c r="M380" s="36"/>
      <c r="N380" s="40">
        <v>975</v>
      </c>
      <c r="O380" s="40">
        <v>870</v>
      </c>
      <c r="P380" s="40">
        <v>735</v>
      </c>
      <c r="Q380" s="28" t="s">
        <v>42</v>
      </c>
      <c r="R380" s="36"/>
      <c r="S380" s="31"/>
      <c r="T380" s="46" t="s">
        <v>1595</v>
      </c>
      <c r="U380" s="46">
        <v>33020201001</v>
      </c>
      <c r="V380" s="48" t="s">
        <v>1596</v>
      </c>
      <c r="W380" s="50"/>
      <c r="X380" s="50"/>
      <c r="Y380" s="50" t="s">
        <v>40</v>
      </c>
      <c r="Z380" s="30" t="s">
        <v>43</v>
      </c>
      <c r="AA380" s="62">
        <v>4060</v>
      </c>
      <c r="AB380" s="51">
        <v>3640</v>
      </c>
      <c r="AC380" s="57">
        <v>3660</v>
      </c>
      <c r="AD380" s="57">
        <v>3295</v>
      </c>
      <c r="AE380" s="57">
        <v>2800</v>
      </c>
      <c r="AF380" s="58">
        <f t="shared" si="25"/>
        <v>9</v>
      </c>
      <c r="AG380" s="58" t="str">
        <f t="shared" si="26"/>
        <v>颅神经修复吻合费</v>
      </c>
      <c r="AH380" s="58">
        <f t="shared" si="27"/>
        <v>4225</v>
      </c>
      <c r="AI380" s="58">
        <f t="shared" si="28"/>
        <v>3770</v>
      </c>
      <c r="AJ380" s="58">
        <f t="shared" si="29"/>
        <v>3185</v>
      </c>
    </row>
    <row r="381" s="17" customFormat="1" ht="16" customHeight="1" spans="1:36">
      <c r="A381" s="27" t="s">
        <v>70</v>
      </c>
      <c r="B381" s="28" t="s">
        <v>1589</v>
      </c>
      <c r="C381" s="28" t="s">
        <v>1590</v>
      </c>
      <c r="D381" s="28" t="s">
        <v>378</v>
      </c>
      <c r="E381" s="28"/>
      <c r="F381" s="28"/>
      <c r="G381" s="28" t="s">
        <v>151</v>
      </c>
      <c r="H381" s="28"/>
      <c r="I381" s="34">
        <v>1020</v>
      </c>
      <c r="J381" s="34">
        <v>918</v>
      </c>
      <c r="K381" s="36"/>
      <c r="L381" s="36"/>
      <c r="M381" s="36"/>
      <c r="N381" s="40">
        <v>975</v>
      </c>
      <c r="O381" s="40">
        <v>870</v>
      </c>
      <c r="P381" s="40">
        <v>735</v>
      </c>
      <c r="Q381" s="28" t="s">
        <v>42</v>
      </c>
      <c r="R381" s="36"/>
      <c r="S381" s="31"/>
      <c r="T381" s="46" t="s">
        <v>1597</v>
      </c>
      <c r="U381" s="46">
        <v>33020201201</v>
      </c>
      <c r="V381" s="48" t="s">
        <v>1598</v>
      </c>
      <c r="W381" s="50"/>
      <c r="X381" s="50"/>
      <c r="Y381" s="50" t="s">
        <v>40</v>
      </c>
      <c r="Z381" s="30" t="s">
        <v>43</v>
      </c>
      <c r="AA381" s="62">
        <v>3120</v>
      </c>
      <c r="AB381" s="51">
        <v>2810</v>
      </c>
      <c r="AC381" s="57">
        <v>2810</v>
      </c>
      <c r="AD381" s="57">
        <v>2535</v>
      </c>
      <c r="AE381" s="57">
        <v>2160</v>
      </c>
      <c r="AF381" s="58">
        <f t="shared" si="25"/>
        <v>9</v>
      </c>
      <c r="AG381" s="58" t="str">
        <f t="shared" si="26"/>
        <v>颅神经修复吻合费</v>
      </c>
      <c r="AH381" s="58">
        <f t="shared" si="27"/>
        <v>4225</v>
      </c>
      <c r="AI381" s="58">
        <f t="shared" si="28"/>
        <v>3770</v>
      </c>
      <c r="AJ381" s="58">
        <f t="shared" si="29"/>
        <v>3185</v>
      </c>
    </row>
    <row r="382" s="17" customFormat="1" ht="16" customHeight="1" spans="1:36">
      <c r="A382" s="27" t="s">
        <v>70</v>
      </c>
      <c r="B382" s="28" t="s">
        <v>1589</v>
      </c>
      <c r="C382" s="28" t="s">
        <v>1590</v>
      </c>
      <c r="D382" s="28" t="s">
        <v>378</v>
      </c>
      <c r="E382" s="28"/>
      <c r="F382" s="28"/>
      <c r="G382" s="28" t="s">
        <v>151</v>
      </c>
      <c r="H382" s="28"/>
      <c r="I382" s="34">
        <v>1020</v>
      </c>
      <c r="J382" s="34">
        <v>918</v>
      </c>
      <c r="K382" s="36"/>
      <c r="L382" s="36"/>
      <c r="M382" s="36"/>
      <c r="N382" s="40">
        <v>975</v>
      </c>
      <c r="O382" s="40">
        <v>870</v>
      </c>
      <c r="P382" s="40">
        <v>735</v>
      </c>
      <c r="Q382" s="28" t="s">
        <v>42</v>
      </c>
      <c r="R382" s="36"/>
      <c r="S382" s="31"/>
      <c r="T382" s="46" t="s">
        <v>1599</v>
      </c>
      <c r="U382" s="46">
        <v>33020201301</v>
      </c>
      <c r="V382" s="48" t="s">
        <v>1600</v>
      </c>
      <c r="W382" s="50"/>
      <c r="X382" s="50"/>
      <c r="Y382" s="50" t="s">
        <v>40</v>
      </c>
      <c r="Z382" s="30" t="s">
        <v>43</v>
      </c>
      <c r="AA382" s="62">
        <v>3120</v>
      </c>
      <c r="AB382" s="51">
        <v>2810</v>
      </c>
      <c r="AC382" s="57">
        <v>2810</v>
      </c>
      <c r="AD382" s="57">
        <v>2535</v>
      </c>
      <c r="AE382" s="57">
        <v>2160</v>
      </c>
      <c r="AF382" s="58">
        <f t="shared" si="25"/>
        <v>9</v>
      </c>
      <c r="AG382" s="58" t="str">
        <f t="shared" si="26"/>
        <v>颅神经修复吻合费</v>
      </c>
      <c r="AH382" s="58">
        <f t="shared" si="27"/>
        <v>4225</v>
      </c>
      <c r="AI382" s="58">
        <f t="shared" si="28"/>
        <v>3770</v>
      </c>
      <c r="AJ382" s="58">
        <f t="shared" si="29"/>
        <v>3185</v>
      </c>
    </row>
    <row r="383" s="17" customFormat="1" ht="82" customHeight="1" spans="1:36">
      <c r="A383" s="29">
        <v>82</v>
      </c>
      <c r="B383" s="30" t="s">
        <v>1601</v>
      </c>
      <c r="C383" s="30" t="s">
        <v>1602</v>
      </c>
      <c r="D383" s="30" t="s">
        <v>378</v>
      </c>
      <c r="E383" s="31" t="s">
        <v>1603</v>
      </c>
      <c r="F383" s="31" t="s">
        <v>1604</v>
      </c>
      <c r="G383" s="30" t="s">
        <v>151</v>
      </c>
      <c r="H383" s="31" t="s">
        <v>43</v>
      </c>
      <c r="I383" s="37">
        <v>3230</v>
      </c>
      <c r="J383" s="37">
        <v>2907</v>
      </c>
      <c r="K383" s="36"/>
      <c r="L383" s="36"/>
      <c r="M383" s="36"/>
      <c r="N383" s="41">
        <v>2950</v>
      </c>
      <c r="O383" s="41">
        <v>2650</v>
      </c>
      <c r="P383" s="41">
        <v>2250</v>
      </c>
      <c r="Q383" s="30" t="s">
        <v>42</v>
      </c>
      <c r="R383" s="36" t="s">
        <v>101</v>
      </c>
      <c r="S383" s="31" t="s">
        <v>321</v>
      </c>
      <c r="T383" s="46" t="s">
        <v>1605</v>
      </c>
      <c r="U383" s="46">
        <v>330204019</v>
      </c>
      <c r="V383" s="48" t="s">
        <v>1606</v>
      </c>
      <c r="W383" s="46"/>
      <c r="X383" s="46"/>
      <c r="Y383" s="46" t="s">
        <v>40</v>
      </c>
      <c r="Z383" s="30" t="s">
        <v>43</v>
      </c>
      <c r="AA383" s="52"/>
      <c r="AB383" s="51" t="s">
        <v>43</v>
      </c>
      <c r="AC383" s="57" t="s">
        <v>43</v>
      </c>
      <c r="AD383" s="57" t="s">
        <v>43</v>
      </c>
      <c r="AE383" s="57" t="s">
        <v>43</v>
      </c>
      <c r="AF383" s="58">
        <f t="shared" si="25"/>
        <v>0</v>
      </c>
      <c r="AG383" s="58" t="str">
        <f t="shared" si="26"/>
        <v>周围神经修复吻合费</v>
      </c>
      <c r="AH383" s="58">
        <f t="shared" si="27"/>
        <v>2950</v>
      </c>
      <c r="AI383" s="58">
        <f t="shared" si="28"/>
        <v>2650</v>
      </c>
      <c r="AJ383" s="58">
        <f t="shared" si="29"/>
        <v>2250</v>
      </c>
    </row>
    <row r="384" s="17" customFormat="1" ht="37" customHeight="1" spans="1:36">
      <c r="A384" s="29" t="s">
        <v>70</v>
      </c>
      <c r="B384" s="30" t="s">
        <v>1607</v>
      </c>
      <c r="C384" s="30" t="s">
        <v>1608</v>
      </c>
      <c r="D384" s="30" t="s">
        <v>378</v>
      </c>
      <c r="E384" s="31" t="s">
        <v>43</v>
      </c>
      <c r="F384" s="31" t="s">
        <v>43</v>
      </c>
      <c r="G384" s="30" t="s">
        <v>151</v>
      </c>
      <c r="H384" s="31" t="s">
        <v>43</v>
      </c>
      <c r="I384" s="37">
        <v>969</v>
      </c>
      <c r="J384" s="37">
        <v>872</v>
      </c>
      <c r="K384" s="36"/>
      <c r="L384" s="36"/>
      <c r="M384" s="36"/>
      <c r="N384" s="41">
        <v>885</v>
      </c>
      <c r="O384" s="41">
        <v>795</v>
      </c>
      <c r="P384" s="41">
        <v>675</v>
      </c>
      <c r="Q384" s="30" t="s">
        <v>42</v>
      </c>
      <c r="R384" s="36"/>
      <c r="S384" s="31" t="s">
        <v>384</v>
      </c>
      <c r="T384" s="46" t="s">
        <v>1609</v>
      </c>
      <c r="U384" s="46">
        <v>33020401901</v>
      </c>
      <c r="V384" s="48" t="s">
        <v>1610</v>
      </c>
      <c r="W384" s="46"/>
      <c r="X384" s="46"/>
      <c r="Y384" s="46" t="s">
        <v>40</v>
      </c>
      <c r="Z384" s="30" t="s">
        <v>43</v>
      </c>
      <c r="AA384" s="52"/>
      <c r="AB384" s="51" t="s">
        <v>43</v>
      </c>
      <c r="AC384" s="57" t="s">
        <v>43</v>
      </c>
      <c r="AD384" s="57" t="s">
        <v>43</v>
      </c>
      <c r="AE384" s="57" t="s">
        <v>43</v>
      </c>
      <c r="AF384" s="58">
        <f t="shared" si="25"/>
        <v>10</v>
      </c>
      <c r="AG384" s="58" t="str">
        <f t="shared" si="26"/>
        <v>周围神经修复吻合费</v>
      </c>
      <c r="AH384" s="58">
        <f t="shared" si="27"/>
        <v>3835</v>
      </c>
      <c r="AI384" s="58">
        <f t="shared" si="28"/>
        <v>3445</v>
      </c>
      <c r="AJ384" s="58">
        <f t="shared" si="29"/>
        <v>2925</v>
      </c>
    </row>
  </sheetData>
  <autoFilter ref="A4:AE384">
    <extLst/>
  </autoFilter>
  <printOptions horizontalCentered="1"/>
  <pageMargins left="0.393055555555556" right="0.393055555555556" top="0.590277777777778" bottom="0.590277777777778" header="0.5" footer="0.5"/>
  <pageSetup paperSize="8" scale="41" fitToHeight="0" orientation="landscape" horizontalDpi="600"/>
  <headerFooter/>
  <rowBreaks count="1" manualBreakCount="1">
    <brk id="193" max="16383" man="1"/>
  </row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81"/>
  <sheetViews>
    <sheetView topLeftCell="F1" workbookViewId="0">
      <selection activeCell="G12" sqref="G12"/>
    </sheetView>
  </sheetViews>
  <sheetFormatPr defaultColWidth="9" defaultRowHeight="14.25"/>
  <cols>
    <col min="4" max="4" width="19.875" customWidth="1"/>
    <col min="5" max="5" width="30.375" customWidth="1"/>
    <col min="6" max="6" width="28.25" customWidth="1"/>
    <col min="7" max="7" width="39.75" customWidth="1"/>
    <col min="14" max="16" width="12.625"/>
    <col min="23" max="23" width="13" customWidth="1"/>
  </cols>
  <sheetData>
    <row r="1" ht="38.25" spans="1:23">
      <c r="A1" s="9" t="s">
        <v>1612</v>
      </c>
      <c r="B1" s="9" t="s">
        <v>1613</v>
      </c>
      <c r="C1" s="9" t="s">
        <v>1614</v>
      </c>
      <c r="D1" s="10" t="s">
        <v>1615</v>
      </c>
      <c r="E1" s="9" t="s">
        <v>1616</v>
      </c>
      <c r="F1" s="10" t="s">
        <v>1617</v>
      </c>
      <c r="G1" s="9" t="s">
        <v>1618</v>
      </c>
      <c r="H1" s="9" t="s">
        <v>1619</v>
      </c>
      <c r="I1" s="9" t="s">
        <v>1620</v>
      </c>
      <c r="J1" s="9" t="s">
        <v>1621</v>
      </c>
      <c r="K1" s="9" t="s">
        <v>1622</v>
      </c>
      <c r="L1" s="9" t="s">
        <v>1623</v>
      </c>
      <c r="M1" s="9" t="s">
        <v>1624</v>
      </c>
      <c r="N1" s="9" t="s">
        <v>1625</v>
      </c>
      <c r="O1" s="9" t="s">
        <v>1626</v>
      </c>
      <c r="P1" s="9" t="s">
        <v>1627</v>
      </c>
      <c r="Q1" s="9" t="s">
        <v>1628</v>
      </c>
      <c r="R1" s="9" t="s">
        <v>1629</v>
      </c>
      <c r="S1" s="9" t="s">
        <v>1630</v>
      </c>
      <c r="T1" s="9" t="s">
        <v>1631</v>
      </c>
      <c r="U1" s="9" t="s">
        <v>1632</v>
      </c>
      <c r="V1" s="9" t="s">
        <v>1633</v>
      </c>
      <c r="W1" s="13" t="str">
        <f>"insert into server_list_change_all_20250525 ("&amp;_xlfn.TEXTJOIN(",",TRUE,A1:V1)&amp;") values"</f>
        <v>insert into server_list_change_all_20250525 (id,code,sever_type,change_time,old_hilist_code,new_hilist_code,hilist_name,selfpay_prop,old_price,old_price_city,old_price_town,old_price_village,new_price,new_price_city,new_price_town,new_price_village,unit,batch,is_use_old,merge_type,cnt_change_model,cnt_change_value) values</v>
      </c>
    </row>
    <row r="2" spans="1:23">
      <c r="A2">
        <v>2714</v>
      </c>
      <c r="B2" t="s">
        <v>1634</v>
      </c>
      <c r="C2">
        <v>1</v>
      </c>
      <c r="D2" s="11" t="s">
        <v>1635</v>
      </c>
      <c r="E2" t="s">
        <v>46</v>
      </c>
      <c r="F2" t="s">
        <v>46</v>
      </c>
      <c r="G2" t="s">
        <v>47</v>
      </c>
      <c r="H2" t="s">
        <v>1634</v>
      </c>
      <c r="I2" t="s">
        <v>1634</v>
      </c>
      <c r="J2">
        <v>33</v>
      </c>
      <c r="K2">
        <v>30</v>
      </c>
      <c r="L2">
        <v>25.5</v>
      </c>
      <c r="M2" t="s">
        <v>1634</v>
      </c>
      <c r="N2">
        <v>98</v>
      </c>
      <c r="O2">
        <v>90</v>
      </c>
      <c r="P2">
        <v>78</v>
      </c>
      <c r="Q2" t="s">
        <v>40</v>
      </c>
      <c r="R2">
        <v>26</v>
      </c>
      <c r="S2">
        <v>1</v>
      </c>
      <c r="T2" t="s">
        <v>1636</v>
      </c>
      <c r="U2" t="s">
        <v>1637</v>
      </c>
      <c r="V2">
        <v>0</v>
      </c>
      <c r="W2" s="14" t="str">
        <f>"("&amp;A2&amp;","&amp;B2&amp;","&amp;C2&amp;",'"&amp;D2&amp;"','"&amp;E2&amp;"','"&amp;F2&amp;"','"&amp;G2&amp;"',"&amp;H2&amp;","&amp;I2&amp;","&amp;J2&amp;","&amp;K2&amp;","&amp;L2&amp;","&amp;M2&amp;","&amp;N2&amp;","&amp;O2&amp;","&amp;P2&amp;",'"&amp;Q2&amp;"',"&amp;R2&amp;","&amp;S2&amp;",'"&amp;T2&amp;"','"&amp;U2&amp;"',"&amp;V2&amp;"),"</f>
        <v>(2714,null,1,'2026-04-28 00:00:00','003101000010000-310100001','003101000010000-310100001','脑电图',null,null,33,30,25.5,null,98,90,78,'次',26,1,'normal','main',0),</v>
      </c>
    </row>
    <row r="3" spans="1:23">
      <c r="A3">
        <v>2715</v>
      </c>
      <c r="B3" t="s">
        <v>1634</v>
      </c>
      <c r="C3">
        <v>1</v>
      </c>
      <c r="D3" s="11" t="s">
        <v>1635</v>
      </c>
      <c r="E3" t="s">
        <v>50</v>
      </c>
      <c r="F3" t="s">
        <v>50</v>
      </c>
      <c r="G3" t="s">
        <v>51</v>
      </c>
      <c r="H3" t="s">
        <v>1634</v>
      </c>
      <c r="I3" t="s">
        <v>1634</v>
      </c>
      <c r="J3">
        <v>49.5</v>
      </c>
      <c r="K3">
        <v>45</v>
      </c>
      <c r="L3">
        <v>38.3</v>
      </c>
      <c r="M3" t="s">
        <v>1634</v>
      </c>
      <c r="N3">
        <v>98</v>
      </c>
      <c r="O3">
        <v>90</v>
      </c>
      <c r="P3">
        <v>78</v>
      </c>
      <c r="Q3" t="s">
        <v>40</v>
      </c>
      <c r="R3">
        <v>26</v>
      </c>
      <c r="S3">
        <v>1</v>
      </c>
      <c r="T3" t="s">
        <v>1636</v>
      </c>
      <c r="U3" t="s">
        <v>1637</v>
      </c>
      <c r="V3">
        <v>0</v>
      </c>
      <c r="W3" s="14" t="str">
        <f t="shared" ref="W3:W66" si="0">"("&amp;A3&amp;","&amp;B3&amp;","&amp;C3&amp;",'"&amp;D3&amp;"','"&amp;E3&amp;"','"&amp;F3&amp;"','"&amp;G3&amp;"',"&amp;H3&amp;","&amp;I3&amp;","&amp;J3&amp;","&amp;K3&amp;","&amp;L3&amp;","&amp;M3&amp;","&amp;N3&amp;","&amp;O3&amp;","&amp;P3&amp;",'"&amp;Q3&amp;"',"&amp;R3&amp;","&amp;S3&amp;",'"&amp;T3&amp;"','"&amp;U3&amp;"',"&amp;V3&amp;"),"</f>
        <v>(2715,null,1,'2026-04-28 00:00:00','003101000010001-31010000101','003101000010001-31010000101','脑电图（脑电发生源定位）',null,null,49.5,45,38.3,null,98,90,78,'次',26,1,'normal','main',0),</v>
      </c>
    </row>
    <row r="4" spans="1:23">
      <c r="A4">
        <v>2716</v>
      </c>
      <c r="B4" t="s">
        <v>1634</v>
      </c>
      <c r="C4">
        <v>1</v>
      </c>
      <c r="D4" s="11" t="s">
        <v>1635</v>
      </c>
      <c r="E4" t="s">
        <v>53</v>
      </c>
      <c r="F4" t="s">
        <v>53</v>
      </c>
      <c r="G4" t="s">
        <v>54</v>
      </c>
      <c r="H4" t="s">
        <v>1634</v>
      </c>
      <c r="I4" t="s">
        <v>1634</v>
      </c>
      <c r="J4">
        <v>110</v>
      </c>
      <c r="K4">
        <v>100</v>
      </c>
      <c r="L4">
        <v>85</v>
      </c>
      <c r="M4" t="s">
        <v>1634</v>
      </c>
      <c r="N4">
        <v>98</v>
      </c>
      <c r="O4">
        <v>90</v>
      </c>
      <c r="P4">
        <v>78</v>
      </c>
      <c r="Q4" t="s">
        <v>40</v>
      </c>
      <c r="R4">
        <v>26</v>
      </c>
      <c r="S4">
        <v>1</v>
      </c>
      <c r="T4" t="s">
        <v>1636</v>
      </c>
      <c r="U4" t="s">
        <v>1637</v>
      </c>
      <c r="V4">
        <v>0</v>
      </c>
      <c r="W4" s="14" t="str">
        <f t="shared" si="0"/>
        <v>(2716,null,1,'2026-04-28 00:00:00','003101000030000-310100003','003101000030000-310100003','脑地形图',null,null,110,100,85,null,98,90,78,'次',26,1,'normal','main',0),</v>
      </c>
    </row>
    <row r="5" spans="1:23">
      <c r="A5">
        <v>2717</v>
      </c>
      <c r="B5" t="s">
        <v>1634</v>
      </c>
      <c r="C5">
        <v>1</v>
      </c>
      <c r="D5" s="11" t="s">
        <v>1635</v>
      </c>
      <c r="E5" t="s">
        <v>56</v>
      </c>
      <c r="F5" t="s">
        <v>56</v>
      </c>
      <c r="G5" t="s">
        <v>57</v>
      </c>
      <c r="H5" t="s">
        <v>1634</v>
      </c>
      <c r="I5" t="s">
        <v>1634</v>
      </c>
      <c r="J5">
        <v>286</v>
      </c>
      <c r="K5">
        <v>260</v>
      </c>
      <c r="L5">
        <v>221</v>
      </c>
      <c r="M5" t="s">
        <v>1634</v>
      </c>
      <c r="N5">
        <v>98</v>
      </c>
      <c r="O5">
        <v>90</v>
      </c>
      <c r="P5">
        <v>78</v>
      </c>
      <c r="Q5" t="s">
        <v>40</v>
      </c>
      <c r="R5">
        <v>26</v>
      </c>
      <c r="S5">
        <v>1</v>
      </c>
      <c r="T5" t="s">
        <v>1636</v>
      </c>
      <c r="U5" t="s">
        <v>1637</v>
      </c>
      <c r="V5">
        <v>0</v>
      </c>
      <c r="W5" s="14" t="str">
        <f t="shared" si="0"/>
        <v>(2717,null,1,'2026-04-28 00:00:00','003101000040000-310100004','003101000040000-310100004','动态脑电图',null,null,286,260,221,null,98,90,78,'次',26,1,'normal','main',0),</v>
      </c>
    </row>
    <row r="6" spans="1:23">
      <c r="A6">
        <v>2718</v>
      </c>
      <c r="B6" t="s">
        <v>1634</v>
      </c>
      <c r="C6">
        <v>1</v>
      </c>
      <c r="D6" s="11" t="s">
        <v>1635</v>
      </c>
      <c r="E6" t="s">
        <v>59</v>
      </c>
      <c r="F6" t="s">
        <v>59</v>
      </c>
      <c r="G6" t="s">
        <v>60</v>
      </c>
      <c r="H6" t="s">
        <v>1634</v>
      </c>
      <c r="I6" t="s">
        <v>1634</v>
      </c>
      <c r="J6">
        <v>286</v>
      </c>
      <c r="K6">
        <v>260</v>
      </c>
      <c r="L6">
        <v>221</v>
      </c>
      <c r="M6" t="s">
        <v>1634</v>
      </c>
      <c r="N6">
        <v>98</v>
      </c>
      <c r="O6">
        <v>90</v>
      </c>
      <c r="P6">
        <v>78</v>
      </c>
      <c r="Q6" t="s">
        <v>40</v>
      </c>
      <c r="R6">
        <v>26</v>
      </c>
      <c r="S6">
        <v>1</v>
      </c>
      <c r="T6" t="s">
        <v>1636</v>
      </c>
      <c r="U6" t="s">
        <v>1637</v>
      </c>
      <c r="V6">
        <v>0</v>
      </c>
      <c r="W6" s="14" t="str">
        <f t="shared" si="0"/>
        <v>(2718,null,1,'2026-04-28 00:00:00','003101000040100-31010000401','003101000040100-31010000401','动态脑电图（24小时脑电视频监测）',null,null,286,260,221,null,98,90,78,'次',26,1,'normal','main',0),</v>
      </c>
    </row>
    <row r="7" spans="1:23">
      <c r="A7">
        <v>2719</v>
      </c>
      <c r="B7" t="s">
        <v>1634</v>
      </c>
      <c r="C7">
        <v>1</v>
      </c>
      <c r="D7" s="11" t="s">
        <v>1635</v>
      </c>
      <c r="E7" t="s">
        <v>62</v>
      </c>
      <c r="F7" t="s">
        <v>62</v>
      </c>
      <c r="G7" t="s">
        <v>63</v>
      </c>
      <c r="H7" t="s">
        <v>1634</v>
      </c>
      <c r="I7" t="s">
        <v>1634</v>
      </c>
      <c r="J7">
        <v>286</v>
      </c>
      <c r="K7">
        <v>260</v>
      </c>
      <c r="L7">
        <v>221</v>
      </c>
      <c r="M7" t="s">
        <v>1634</v>
      </c>
      <c r="N7">
        <v>98</v>
      </c>
      <c r="O7">
        <v>90</v>
      </c>
      <c r="P7">
        <v>78</v>
      </c>
      <c r="Q7" t="s">
        <v>40</v>
      </c>
      <c r="R7">
        <v>26</v>
      </c>
      <c r="S7">
        <v>1</v>
      </c>
      <c r="T7" t="s">
        <v>1636</v>
      </c>
      <c r="U7" t="s">
        <v>1637</v>
      </c>
      <c r="V7">
        <v>0</v>
      </c>
      <c r="W7" s="14" t="str">
        <f t="shared" si="0"/>
        <v>(2719,null,1,'2026-04-28 00:00:00','003101000040200-31010000402','003101000040200-31010000402','动态脑电图（24小时脑电Holter）',null,null,286,260,221,null,98,90,78,'次',26,1,'normal','main',0),</v>
      </c>
    </row>
    <row r="8" spans="1:23">
      <c r="A8">
        <v>2720</v>
      </c>
      <c r="B8" t="s">
        <v>1634</v>
      </c>
      <c r="C8">
        <v>1</v>
      </c>
      <c r="D8" s="11" t="s">
        <v>1635</v>
      </c>
      <c r="E8" t="s">
        <v>65</v>
      </c>
      <c r="F8" t="s">
        <v>65</v>
      </c>
      <c r="G8" t="s">
        <v>66</v>
      </c>
      <c r="H8" t="s">
        <v>1634</v>
      </c>
      <c r="I8" t="s">
        <v>1634</v>
      </c>
      <c r="J8">
        <v>27.5</v>
      </c>
      <c r="K8">
        <v>25</v>
      </c>
      <c r="L8">
        <v>21.3</v>
      </c>
      <c r="M8" t="s">
        <v>1634</v>
      </c>
      <c r="N8" s="12">
        <v>24.5</v>
      </c>
      <c r="O8">
        <v>22.5</v>
      </c>
      <c r="P8">
        <v>19.5</v>
      </c>
      <c r="Q8" t="s">
        <v>68</v>
      </c>
      <c r="R8">
        <v>26</v>
      </c>
      <c r="S8">
        <v>1</v>
      </c>
      <c r="T8" t="s">
        <v>1636</v>
      </c>
      <c r="U8" t="s">
        <v>1637</v>
      </c>
      <c r="V8">
        <v>0</v>
      </c>
      <c r="W8" s="14" t="str">
        <f t="shared" si="0"/>
        <v>(2720,null,1,'2026-04-28 00:00:00','003101000050000-310100005','003101000050000-310100005','脑电图录象监测',null,null,27.5,25,21.3,null,24.5,22.5,19.5,'小时',26,1,'normal','main',0),</v>
      </c>
    </row>
    <row r="9" spans="1:23">
      <c r="A9">
        <v>2721</v>
      </c>
      <c r="B9" t="s">
        <v>1634</v>
      </c>
      <c r="C9">
        <v>1</v>
      </c>
      <c r="D9" s="11" t="s">
        <v>1635</v>
      </c>
      <c r="E9" t="s">
        <v>77</v>
      </c>
      <c r="F9" t="s">
        <v>77</v>
      </c>
      <c r="G9" t="s">
        <v>78</v>
      </c>
      <c r="H9" t="s">
        <v>1634</v>
      </c>
      <c r="I9" t="s">
        <v>1634</v>
      </c>
      <c r="J9">
        <v>66</v>
      </c>
      <c r="K9">
        <v>60</v>
      </c>
      <c r="L9">
        <v>51</v>
      </c>
      <c r="M9" t="s">
        <v>1634</v>
      </c>
      <c r="N9" s="12">
        <v>107</v>
      </c>
      <c r="O9">
        <v>98</v>
      </c>
      <c r="P9">
        <v>85</v>
      </c>
      <c r="Q9" t="s">
        <v>40</v>
      </c>
      <c r="R9">
        <v>26</v>
      </c>
      <c r="S9">
        <v>1</v>
      </c>
      <c r="T9" t="s">
        <v>1636</v>
      </c>
      <c r="U9" t="s">
        <v>1637</v>
      </c>
      <c r="V9">
        <v>0</v>
      </c>
      <c r="W9" s="14" t="str">
        <f t="shared" si="0"/>
        <v>(2721,null,1,'2026-04-28 00:00:00','003101000020000-310100002','003101000020000-310100002','特殊脑电图',null,null,66,60,51,null,107,98,85,'次',26,1,'normal','main',0),</v>
      </c>
    </row>
    <row r="10" spans="1:23">
      <c r="A10">
        <v>2722</v>
      </c>
      <c r="B10" t="s">
        <v>1634</v>
      </c>
      <c r="C10">
        <v>1</v>
      </c>
      <c r="D10" s="11" t="s">
        <v>1635</v>
      </c>
      <c r="E10" t="s">
        <v>80</v>
      </c>
      <c r="F10" t="s">
        <v>80</v>
      </c>
      <c r="G10" t="s">
        <v>81</v>
      </c>
      <c r="H10" t="s">
        <v>1634</v>
      </c>
      <c r="I10" t="s">
        <v>1634</v>
      </c>
      <c r="J10">
        <v>66</v>
      </c>
      <c r="K10">
        <v>60</v>
      </c>
      <c r="L10">
        <v>51</v>
      </c>
      <c r="M10" t="s">
        <v>1634</v>
      </c>
      <c r="N10" s="12">
        <v>107</v>
      </c>
      <c r="O10">
        <v>98</v>
      </c>
      <c r="P10">
        <v>85</v>
      </c>
      <c r="Q10" t="s">
        <v>40</v>
      </c>
      <c r="R10">
        <v>26</v>
      </c>
      <c r="S10">
        <v>1</v>
      </c>
      <c r="T10" t="s">
        <v>1636</v>
      </c>
      <c r="U10" t="s">
        <v>1637</v>
      </c>
      <c r="V10">
        <v>0</v>
      </c>
      <c r="W10" s="14" t="str">
        <f t="shared" si="0"/>
        <v>(2722,null,1,'2026-04-28 00:00:00','003101000020100-31010000201','003101000020100-31010000201','特殊脑电图（特殊电极鼻咽或蝶骨或皮层等）',null,null,66,60,51,null,107,98,85,'次',26,1,'normal','main',0),</v>
      </c>
    </row>
    <row r="11" spans="1:23">
      <c r="A11">
        <v>2723</v>
      </c>
      <c r="B11" t="s">
        <v>1634</v>
      </c>
      <c r="C11">
        <v>1</v>
      </c>
      <c r="D11" s="11" t="s">
        <v>1635</v>
      </c>
      <c r="E11" t="s">
        <v>85</v>
      </c>
      <c r="F11" t="s">
        <v>85</v>
      </c>
      <c r="G11" t="s">
        <v>86</v>
      </c>
      <c r="H11" t="s">
        <v>1634</v>
      </c>
      <c r="I11" t="s">
        <v>1634</v>
      </c>
      <c r="J11">
        <v>66</v>
      </c>
      <c r="K11">
        <v>60</v>
      </c>
      <c r="L11">
        <v>51</v>
      </c>
      <c r="M11" t="s">
        <v>1634</v>
      </c>
      <c r="N11" s="12">
        <v>107</v>
      </c>
      <c r="O11">
        <v>98</v>
      </c>
      <c r="P11">
        <v>85</v>
      </c>
      <c r="Q11" t="s">
        <v>40</v>
      </c>
      <c r="R11">
        <v>26</v>
      </c>
      <c r="S11">
        <v>1</v>
      </c>
      <c r="T11" t="s">
        <v>1636</v>
      </c>
      <c r="U11" t="s">
        <v>1637</v>
      </c>
      <c r="V11">
        <v>0</v>
      </c>
      <c r="W11" s="14" t="str">
        <f t="shared" si="0"/>
        <v>(2723,null,1,'2026-04-28 00:00:00','003101000020200-31010000202','003101000020200-31010000202','特殊脑电图（特殊诱发）',null,null,66,60,51,null,107,98,85,'次',26,1,'normal','main',0),</v>
      </c>
    </row>
    <row r="12" spans="1:23">
      <c r="A12">
        <v>2724</v>
      </c>
      <c r="B12" t="s">
        <v>1634</v>
      </c>
      <c r="C12">
        <v>1</v>
      </c>
      <c r="D12" s="11" t="s">
        <v>1635</v>
      </c>
      <c r="E12" t="s">
        <v>92</v>
      </c>
      <c r="F12" t="s">
        <v>92</v>
      </c>
      <c r="G12" t="s">
        <v>93</v>
      </c>
      <c r="H12" t="s">
        <v>1634</v>
      </c>
      <c r="I12" t="s">
        <v>1634</v>
      </c>
      <c r="J12">
        <v>115</v>
      </c>
      <c r="K12">
        <v>105</v>
      </c>
      <c r="L12">
        <v>95</v>
      </c>
      <c r="M12" t="s">
        <v>1634</v>
      </c>
      <c r="N12" s="12">
        <v>61.25</v>
      </c>
      <c r="O12" s="12">
        <v>56.25</v>
      </c>
      <c r="P12" s="12">
        <v>48.75</v>
      </c>
      <c r="Q12" t="s">
        <v>68</v>
      </c>
      <c r="R12">
        <v>26</v>
      </c>
      <c r="S12">
        <v>1</v>
      </c>
      <c r="T12" t="s">
        <v>1636</v>
      </c>
      <c r="U12" t="s">
        <v>1637</v>
      </c>
      <c r="V12">
        <v>0</v>
      </c>
      <c r="W12" s="14" t="str">
        <f t="shared" si="0"/>
        <v>(2724,null,1,'2026-04-28 00:00:00','003101000050000-31010000501','003101000050000-31010000501','颅内电极视频脑电图录像监测',null,null,115,105,95,null,61.25,56.25,48.75,'小时',26,1,'normal','main',0),</v>
      </c>
    </row>
    <row r="13" spans="1:23">
      <c r="A13">
        <v>2725</v>
      </c>
      <c r="B13" t="s">
        <v>1634</v>
      </c>
      <c r="C13">
        <v>1</v>
      </c>
      <c r="D13" s="11" t="s">
        <v>1635</v>
      </c>
      <c r="E13" t="s">
        <v>103</v>
      </c>
      <c r="F13" t="s">
        <v>103</v>
      </c>
      <c r="G13" t="s">
        <v>104</v>
      </c>
      <c r="H13" t="s">
        <v>1634</v>
      </c>
      <c r="I13" t="s">
        <v>1634</v>
      </c>
      <c r="J13">
        <v>0</v>
      </c>
      <c r="K13">
        <v>0</v>
      </c>
      <c r="L13">
        <v>0</v>
      </c>
      <c r="M13" t="s">
        <v>1634</v>
      </c>
      <c r="N13">
        <v>3900</v>
      </c>
      <c r="O13">
        <v>3600</v>
      </c>
      <c r="P13">
        <v>3060</v>
      </c>
      <c r="Q13" t="s">
        <v>40</v>
      </c>
      <c r="R13">
        <v>26</v>
      </c>
      <c r="S13">
        <v>1</v>
      </c>
      <c r="T13" t="s">
        <v>1636</v>
      </c>
      <c r="U13" t="s">
        <v>1637</v>
      </c>
      <c r="V13">
        <v>0</v>
      </c>
      <c r="W13" s="14" t="str">
        <f t="shared" si="0"/>
        <v>(2725,null,1,'2026-04-28 00:00:00','003101000060000-310100006','003101000060000-310100006','脑磁图',null,null,0,0,0,null,3900,3600,3060,'次',26,1,'normal','main',0),</v>
      </c>
    </row>
    <row r="14" spans="1:23">
      <c r="A14">
        <v>2726</v>
      </c>
      <c r="B14" t="s">
        <v>1634</v>
      </c>
      <c r="C14">
        <v>1</v>
      </c>
      <c r="D14" s="11" t="s">
        <v>1635</v>
      </c>
      <c r="E14" t="s">
        <v>115</v>
      </c>
      <c r="F14" t="s">
        <v>115</v>
      </c>
      <c r="G14" t="s">
        <v>116</v>
      </c>
      <c r="H14" t="s">
        <v>1634</v>
      </c>
      <c r="I14" t="s">
        <v>1634</v>
      </c>
      <c r="J14">
        <v>0</v>
      </c>
      <c r="K14">
        <v>0</v>
      </c>
      <c r="L14">
        <v>0</v>
      </c>
      <c r="M14" t="s">
        <v>1634</v>
      </c>
      <c r="N14">
        <v>27</v>
      </c>
      <c r="O14">
        <v>25</v>
      </c>
      <c r="P14">
        <v>21</v>
      </c>
      <c r="Q14" t="s">
        <v>40</v>
      </c>
      <c r="R14">
        <v>26</v>
      </c>
      <c r="S14">
        <v>1</v>
      </c>
      <c r="T14" t="s">
        <v>1636</v>
      </c>
      <c r="U14" t="s">
        <v>1637</v>
      </c>
      <c r="V14">
        <v>0</v>
      </c>
      <c r="W14" s="14" t="str">
        <f t="shared" si="0"/>
        <v>(2726,null,1,'2026-04-28 00:00:00','003101000150000-310100015','003101000150000-310100015','感觉阈值测量',null,null,0,0,0,null,27,25,21,'次',26,1,'normal','main',0),</v>
      </c>
    </row>
    <row r="15" spans="1:23">
      <c r="A15">
        <v>2727</v>
      </c>
      <c r="B15" t="s">
        <v>1634</v>
      </c>
      <c r="C15">
        <v>1</v>
      </c>
      <c r="D15" s="11" t="s">
        <v>1635</v>
      </c>
      <c r="E15" t="s">
        <v>118</v>
      </c>
      <c r="F15" t="s">
        <v>118</v>
      </c>
      <c r="G15" t="s">
        <v>119</v>
      </c>
      <c r="H15" t="s">
        <v>1634</v>
      </c>
      <c r="I15" t="s">
        <v>1634</v>
      </c>
      <c r="J15">
        <v>22</v>
      </c>
      <c r="K15">
        <v>20</v>
      </c>
      <c r="L15">
        <v>17</v>
      </c>
      <c r="M15" t="s">
        <v>1634</v>
      </c>
      <c r="N15">
        <v>27</v>
      </c>
      <c r="O15">
        <v>25</v>
      </c>
      <c r="P15">
        <v>21</v>
      </c>
      <c r="Q15" t="s">
        <v>40</v>
      </c>
      <c r="R15">
        <v>26</v>
      </c>
      <c r="S15">
        <v>1</v>
      </c>
      <c r="T15" t="s">
        <v>1636</v>
      </c>
      <c r="U15" t="s">
        <v>1637</v>
      </c>
      <c r="V15">
        <v>0</v>
      </c>
      <c r="W15" s="14" t="str">
        <f t="shared" si="0"/>
        <v>(2727,null,1,'2026-04-28 00:00:00','003101000210000-310100021','003101000210000-310100021','植物神经功能检查',null,null,22,20,17,null,27,25,21,'次',26,1,'normal','main',0),</v>
      </c>
    </row>
    <row r="16" spans="1:23">
      <c r="A16">
        <v>2728</v>
      </c>
      <c r="B16" t="s">
        <v>1634</v>
      </c>
      <c r="C16">
        <v>1</v>
      </c>
      <c r="D16" s="11" t="s">
        <v>1635</v>
      </c>
      <c r="E16" t="s">
        <v>120</v>
      </c>
      <c r="F16" t="s">
        <v>120</v>
      </c>
      <c r="G16" t="s">
        <v>121</v>
      </c>
      <c r="H16" t="s">
        <v>1634</v>
      </c>
      <c r="I16" t="s">
        <v>1634</v>
      </c>
      <c r="J16">
        <v>4.5</v>
      </c>
      <c r="K16">
        <v>4</v>
      </c>
      <c r="L16">
        <v>3.5</v>
      </c>
      <c r="M16" t="s">
        <v>1634</v>
      </c>
      <c r="N16" s="12">
        <v>0</v>
      </c>
      <c r="O16">
        <v>0</v>
      </c>
      <c r="P16">
        <v>0</v>
      </c>
      <c r="Q16" t="s">
        <v>68</v>
      </c>
      <c r="R16">
        <v>26</v>
      </c>
      <c r="S16">
        <v>1</v>
      </c>
      <c r="T16" t="s">
        <v>1636</v>
      </c>
      <c r="U16" t="s">
        <v>1637</v>
      </c>
      <c r="V16">
        <v>0</v>
      </c>
      <c r="W16" s="14" t="str">
        <f t="shared" si="0"/>
        <v>(2728,null,1,'2026-04-28 00:00:00','003101000220000-310100022','003101000220000-310100022','多功能神经肌肉功能监测',null,null,4.5,4,3.5,null,0,0,0,'小时',26,1,'normal','main',0),</v>
      </c>
    </row>
    <row r="17" spans="1:23">
      <c r="A17">
        <v>2729</v>
      </c>
      <c r="B17" t="s">
        <v>1634</v>
      </c>
      <c r="C17">
        <v>1</v>
      </c>
      <c r="D17" s="11" t="s">
        <v>1635</v>
      </c>
      <c r="E17" t="s">
        <v>123</v>
      </c>
      <c r="F17" t="s">
        <v>123</v>
      </c>
      <c r="G17" t="s">
        <v>124</v>
      </c>
      <c r="H17" t="s">
        <v>1634</v>
      </c>
      <c r="I17" t="s">
        <v>1634</v>
      </c>
      <c r="J17">
        <v>4.5</v>
      </c>
      <c r="K17">
        <v>4</v>
      </c>
      <c r="L17">
        <v>3.5</v>
      </c>
      <c r="M17" t="s">
        <v>1634</v>
      </c>
      <c r="N17" s="12">
        <v>0</v>
      </c>
      <c r="O17">
        <v>0</v>
      </c>
      <c r="P17">
        <v>0</v>
      </c>
      <c r="Q17" t="s">
        <v>68</v>
      </c>
      <c r="R17">
        <v>26</v>
      </c>
      <c r="S17">
        <v>1</v>
      </c>
      <c r="T17" t="s">
        <v>1636</v>
      </c>
      <c r="U17" t="s">
        <v>1637</v>
      </c>
      <c r="V17">
        <v>0</v>
      </c>
      <c r="W17" s="14" t="str">
        <f t="shared" si="0"/>
        <v>(2729,null,1,'2026-04-28 00:00:00','003101000220100-31010002201','003101000220100-31010002201','多功能神经肌肉功能监测（表面肌电测定）',null,null,4.5,4,3.5,null,0,0,0,'小时',26,1,'normal','main',0),</v>
      </c>
    </row>
    <row r="18" spans="1:23">
      <c r="A18">
        <v>2730</v>
      </c>
      <c r="B18" t="s">
        <v>1634</v>
      </c>
      <c r="C18">
        <v>1</v>
      </c>
      <c r="D18" s="11" t="s">
        <v>1635</v>
      </c>
      <c r="E18" t="s">
        <v>125</v>
      </c>
      <c r="F18" t="s">
        <v>125</v>
      </c>
      <c r="G18" t="s">
        <v>126</v>
      </c>
      <c r="H18" t="s">
        <v>1634</v>
      </c>
      <c r="I18" t="s">
        <v>1634</v>
      </c>
      <c r="J18">
        <v>22</v>
      </c>
      <c r="K18">
        <v>20</v>
      </c>
      <c r="L18">
        <v>17</v>
      </c>
      <c r="M18" t="s">
        <v>1634</v>
      </c>
      <c r="N18">
        <v>27</v>
      </c>
      <c r="O18">
        <v>25</v>
      </c>
      <c r="P18">
        <v>21</v>
      </c>
      <c r="Q18" t="s">
        <v>129</v>
      </c>
      <c r="R18">
        <v>26</v>
      </c>
      <c r="S18">
        <v>1</v>
      </c>
      <c r="T18" t="s">
        <v>1636</v>
      </c>
      <c r="U18" t="s">
        <v>1637</v>
      </c>
      <c r="V18">
        <v>0</v>
      </c>
      <c r="W18" s="14" t="str">
        <f t="shared" si="0"/>
        <v>(2730,null,1,'2026-04-28 00:00:00','003101000230000-310100023','003101000230000-310100023','肌电图',null,null,22,20,17,null,27,25,21,'每条肌肉',26,1,'normal','main',0),</v>
      </c>
    </row>
    <row r="19" spans="1:23">
      <c r="A19">
        <v>2731</v>
      </c>
      <c r="B19" t="s">
        <v>1634</v>
      </c>
      <c r="C19">
        <v>1</v>
      </c>
      <c r="D19" s="11" t="s">
        <v>1635</v>
      </c>
      <c r="E19" t="s">
        <v>131</v>
      </c>
      <c r="F19" t="s">
        <v>131</v>
      </c>
      <c r="G19" t="s">
        <v>132</v>
      </c>
      <c r="H19" t="s">
        <v>1634</v>
      </c>
      <c r="I19" t="s">
        <v>1634</v>
      </c>
      <c r="J19">
        <v>66</v>
      </c>
      <c r="K19">
        <v>60</v>
      </c>
      <c r="L19">
        <v>51</v>
      </c>
      <c r="M19" t="s">
        <v>1634</v>
      </c>
      <c r="N19">
        <v>27</v>
      </c>
      <c r="O19">
        <v>25</v>
      </c>
      <c r="P19">
        <v>21</v>
      </c>
      <c r="Q19" t="s">
        <v>40</v>
      </c>
      <c r="R19">
        <v>26</v>
      </c>
      <c r="S19">
        <v>1</v>
      </c>
      <c r="T19" t="s">
        <v>1636</v>
      </c>
      <c r="U19" t="s">
        <v>1637</v>
      </c>
      <c r="V19">
        <v>0</v>
      </c>
      <c r="W19" s="14" t="str">
        <f t="shared" si="0"/>
        <v>(2731,null,1,'2026-04-28 00:00:00','003101000260000-310100026','003101000260000-310100026','多轨迹断层肌电图',null,null,66,60,51,null,27,25,21,'次',26,1,'normal','main',0),</v>
      </c>
    </row>
    <row r="20" spans="1:23">
      <c r="A20">
        <v>2732</v>
      </c>
      <c r="B20" t="s">
        <v>1634</v>
      </c>
      <c r="C20">
        <v>1</v>
      </c>
      <c r="D20" s="11" t="s">
        <v>1635</v>
      </c>
      <c r="E20" t="s">
        <v>133</v>
      </c>
      <c r="F20" t="s">
        <v>133</v>
      </c>
      <c r="G20" t="s">
        <v>134</v>
      </c>
      <c r="H20" t="s">
        <v>1634</v>
      </c>
      <c r="I20" t="s">
        <v>1634</v>
      </c>
      <c r="J20">
        <v>21</v>
      </c>
      <c r="K20">
        <v>20</v>
      </c>
      <c r="L20">
        <v>17</v>
      </c>
      <c r="M20" t="s">
        <v>1634</v>
      </c>
      <c r="N20">
        <v>27</v>
      </c>
      <c r="O20">
        <v>25</v>
      </c>
      <c r="P20">
        <v>21</v>
      </c>
      <c r="Q20" t="s">
        <v>136</v>
      </c>
      <c r="R20">
        <v>26</v>
      </c>
      <c r="S20">
        <v>1</v>
      </c>
      <c r="T20" t="s">
        <v>1636</v>
      </c>
      <c r="U20" t="s">
        <v>1637</v>
      </c>
      <c r="V20">
        <v>0</v>
      </c>
      <c r="W20" s="14" t="str">
        <f t="shared" si="0"/>
        <v>(2732,null,1,'2026-04-28 00:00:00','003105040030000-310504003','003105040030000-310504003','面神经肌电图检查',null,null,21,20,17,null,27,25,21,'每区',26,1,'normal','main',0),</v>
      </c>
    </row>
    <row r="21" spans="1:23">
      <c r="A21">
        <v>2733</v>
      </c>
      <c r="B21" t="s">
        <v>1634</v>
      </c>
      <c r="C21">
        <v>1</v>
      </c>
      <c r="D21" s="11" t="s">
        <v>1635</v>
      </c>
      <c r="E21" t="s">
        <v>141</v>
      </c>
      <c r="F21" t="s">
        <v>141</v>
      </c>
      <c r="G21" t="s">
        <v>142</v>
      </c>
      <c r="H21" t="s">
        <v>1634</v>
      </c>
      <c r="I21" t="s">
        <v>1634</v>
      </c>
      <c r="J21">
        <v>44</v>
      </c>
      <c r="K21">
        <v>40</v>
      </c>
      <c r="L21">
        <v>34</v>
      </c>
      <c r="M21" t="s">
        <v>1634</v>
      </c>
      <c r="N21" s="12">
        <v>54</v>
      </c>
      <c r="O21">
        <v>50</v>
      </c>
      <c r="P21">
        <v>42</v>
      </c>
      <c r="Q21" t="s">
        <v>129</v>
      </c>
      <c r="R21">
        <v>26</v>
      </c>
      <c r="S21">
        <v>1</v>
      </c>
      <c r="T21" t="s">
        <v>1636</v>
      </c>
      <c r="U21" t="s">
        <v>1637</v>
      </c>
      <c r="V21">
        <v>0</v>
      </c>
      <c r="W21" s="14" t="str">
        <f t="shared" si="0"/>
        <v>(2733,null,1,'2026-04-28 00:00:00','003101000240000-310100024','003101000240000-310100024','单纤维肌电图',null,null,44,40,34,null,54,50,42,'每条肌肉',26,1,'normal','main',0),</v>
      </c>
    </row>
    <row r="22" spans="1:23">
      <c r="A22">
        <v>2734</v>
      </c>
      <c r="B22" t="s">
        <v>1634</v>
      </c>
      <c r="C22">
        <v>1</v>
      </c>
      <c r="D22" s="11" t="s">
        <v>1635</v>
      </c>
      <c r="E22" t="s">
        <v>155</v>
      </c>
      <c r="F22" t="s">
        <v>155</v>
      </c>
      <c r="G22" t="s">
        <v>156</v>
      </c>
      <c r="H22" t="s">
        <v>1634</v>
      </c>
      <c r="I22" t="s">
        <v>1634</v>
      </c>
      <c r="J22">
        <v>22</v>
      </c>
      <c r="K22">
        <v>20</v>
      </c>
      <c r="L22">
        <v>17</v>
      </c>
      <c r="M22" t="s">
        <v>1634</v>
      </c>
      <c r="N22">
        <v>22</v>
      </c>
      <c r="O22">
        <v>20</v>
      </c>
      <c r="P22">
        <v>17</v>
      </c>
      <c r="Q22" t="s">
        <v>158</v>
      </c>
      <c r="R22">
        <v>26</v>
      </c>
      <c r="S22">
        <v>1</v>
      </c>
      <c r="T22" t="s">
        <v>1636</v>
      </c>
      <c r="U22" t="s">
        <v>1637</v>
      </c>
      <c r="V22">
        <v>0</v>
      </c>
      <c r="W22" s="14" t="str">
        <f t="shared" si="0"/>
        <v>(2734,null,1,'2026-04-28 00:00:00','003101000070000-310100007','003101000070000-310100007','神经传导速度测定',null,null,22,20,17,null,22,20,17,'每条神经',26,1,'normal','main',0),</v>
      </c>
    </row>
    <row r="23" spans="1:23">
      <c r="A23">
        <v>2735</v>
      </c>
      <c r="B23" t="s">
        <v>1634</v>
      </c>
      <c r="C23">
        <v>1</v>
      </c>
      <c r="D23" s="11" t="s">
        <v>1635</v>
      </c>
      <c r="E23" t="s">
        <v>172</v>
      </c>
      <c r="F23" t="s">
        <v>172</v>
      </c>
      <c r="G23" t="s">
        <v>173</v>
      </c>
      <c r="H23" t="s">
        <v>1634</v>
      </c>
      <c r="I23" t="s">
        <v>1634</v>
      </c>
      <c r="J23">
        <v>22</v>
      </c>
      <c r="K23">
        <v>20</v>
      </c>
      <c r="L23">
        <v>17</v>
      </c>
      <c r="M23" t="s">
        <v>1634</v>
      </c>
      <c r="N23" s="12">
        <v>22</v>
      </c>
      <c r="O23" s="12">
        <v>20</v>
      </c>
      <c r="P23" s="12">
        <v>17</v>
      </c>
      <c r="Q23" t="s">
        <v>158</v>
      </c>
      <c r="R23">
        <v>26</v>
      </c>
      <c r="S23">
        <v>1</v>
      </c>
      <c r="T23" t="s">
        <v>1636</v>
      </c>
      <c r="U23" t="s">
        <v>1637</v>
      </c>
      <c r="V23">
        <v>0</v>
      </c>
      <c r="W23" s="14" t="str">
        <f t="shared" si="0"/>
        <v>(2735,null,1,'2026-04-28 00:00:00','003101000080000-310100008','003101000080000-310100008','神经电图',null,null,22,20,17,null,22,20,17,'每条神经',26,1,'normal','main',0),</v>
      </c>
    </row>
    <row r="24" spans="1:23">
      <c r="A24">
        <v>2736</v>
      </c>
      <c r="B24" t="s">
        <v>1634</v>
      </c>
      <c r="C24">
        <v>1</v>
      </c>
      <c r="D24" s="11" t="s">
        <v>1635</v>
      </c>
      <c r="E24" t="s">
        <v>188</v>
      </c>
      <c r="F24" t="s">
        <v>188</v>
      </c>
      <c r="G24" t="s">
        <v>189</v>
      </c>
      <c r="H24" t="s">
        <v>1634</v>
      </c>
      <c r="I24" t="s">
        <v>1634</v>
      </c>
      <c r="J24">
        <v>66</v>
      </c>
      <c r="K24">
        <v>60</v>
      </c>
      <c r="L24">
        <v>51</v>
      </c>
      <c r="M24" t="s">
        <v>1634</v>
      </c>
      <c r="N24">
        <v>66</v>
      </c>
      <c r="O24">
        <v>59</v>
      </c>
      <c r="P24">
        <v>51</v>
      </c>
      <c r="Q24" t="s">
        <v>40</v>
      </c>
      <c r="R24">
        <v>26</v>
      </c>
      <c r="S24">
        <v>1</v>
      </c>
      <c r="T24" t="s">
        <v>1636</v>
      </c>
      <c r="U24" t="s">
        <v>1637</v>
      </c>
      <c r="V24">
        <v>0</v>
      </c>
      <c r="W24" s="14" t="str">
        <f t="shared" si="0"/>
        <v>(2736,null,1,'2026-04-28 00:00:00','003101000110000-310100011','003101000110000-310100011','事件相关电位',null,null,66,60,51,null,66,59,51,'次',26,1,'normal','main',0),</v>
      </c>
    </row>
    <row r="25" spans="1:23">
      <c r="A25">
        <v>2737</v>
      </c>
      <c r="B25" t="s">
        <v>1634</v>
      </c>
      <c r="C25">
        <v>1</v>
      </c>
      <c r="D25" s="11" t="s">
        <v>1635</v>
      </c>
      <c r="E25" t="s">
        <v>192</v>
      </c>
      <c r="F25" t="s">
        <v>192</v>
      </c>
      <c r="G25" t="s">
        <v>193</v>
      </c>
      <c r="H25" t="s">
        <v>1634</v>
      </c>
      <c r="I25" t="s">
        <v>1634</v>
      </c>
      <c r="J25">
        <v>99</v>
      </c>
      <c r="K25">
        <v>90</v>
      </c>
      <c r="L25">
        <v>76.5</v>
      </c>
      <c r="M25" t="s">
        <v>1634</v>
      </c>
      <c r="N25">
        <v>66</v>
      </c>
      <c r="O25">
        <v>59</v>
      </c>
      <c r="P25">
        <v>51</v>
      </c>
      <c r="Q25" t="s">
        <v>40</v>
      </c>
      <c r="R25">
        <v>26</v>
      </c>
      <c r="S25">
        <v>1</v>
      </c>
      <c r="T25" t="s">
        <v>1636</v>
      </c>
      <c r="U25" t="s">
        <v>1637</v>
      </c>
      <c r="V25">
        <v>0</v>
      </c>
      <c r="W25" s="14" t="str">
        <f t="shared" si="0"/>
        <v>(2737,null,1,'2026-04-28 00:00:00','003101000110001-31010001101','003101000110001-31010001101','事件相关电位（增加N400检查）',null,null,99,90,76.5,null,66,59,51,'次',26,1,'normal','main',0),</v>
      </c>
    </row>
    <row r="26" spans="1:23">
      <c r="A26">
        <v>2738</v>
      </c>
      <c r="B26" t="s">
        <v>1634</v>
      </c>
      <c r="C26">
        <v>1</v>
      </c>
      <c r="D26" s="11" t="s">
        <v>1635</v>
      </c>
      <c r="E26" t="s">
        <v>199</v>
      </c>
      <c r="F26" t="s">
        <v>199</v>
      </c>
      <c r="G26" t="s">
        <v>200</v>
      </c>
      <c r="H26" t="s">
        <v>1634</v>
      </c>
      <c r="I26" t="s">
        <v>1634</v>
      </c>
      <c r="J26">
        <v>66</v>
      </c>
      <c r="K26">
        <v>60</v>
      </c>
      <c r="L26">
        <v>51</v>
      </c>
      <c r="M26" t="s">
        <v>1634</v>
      </c>
      <c r="N26">
        <v>66</v>
      </c>
      <c r="O26">
        <v>59</v>
      </c>
      <c r="P26">
        <v>51</v>
      </c>
      <c r="Q26" t="s">
        <v>40</v>
      </c>
      <c r="R26">
        <v>26</v>
      </c>
      <c r="S26">
        <v>1</v>
      </c>
      <c r="T26" t="s">
        <v>1636</v>
      </c>
      <c r="U26" t="s">
        <v>1637</v>
      </c>
      <c r="V26">
        <v>0</v>
      </c>
      <c r="W26" s="14" t="str">
        <f t="shared" si="0"/>
        <v>(2738,null,1,'2026-04-28 00:00:00','003101000120000-310100012','003101000120000-310100012','脑干听觉诱发电位',null,null,66,60,51,null,66,59,51,'次',26,1,'normal','main',0),</v>
      </c>
    </row>
    <row r="27" spans="1:23">
      <c r="A27">
        <v>2739</v>
      </c>
      <c r="B27" t="s">
        <v>1634</v>
      </c>
      <c r="C27">
        <v>1</v>
      </c>
      <c r="D27" s="11" t="s">
        <v>1635</v>
      </c>
      <c r="E27" t="s">
        <v>208</v>
      </c>
      <c r="F27" t="s">
        <v>208</v>
      </c>
      <c r="G27" t="s">
        <v>209</v>
      </c>
      <c r="H27" t="s">
        <v>1634</v>
      </c>
      <c r="I27" t="s">
        <v>1634</v>
      </c>
      <c r="J27">
        <v>88</v>
      </c>
      <c r="K27">
        <v>80</v>
      </c>
      <c r="L27">
        <v>68</v>
      </c>
      <c r="M27" t="s">
        <v>1634</v>
      </c>
      <c r="N27">
        <v>88</v>
      </c>
      <c r="O27">
        <v>80</v>
      </c>
      <c r="P27">
        <v>68</v>
      </c>
      <c r="Q27" t="s">
        <v>206</v>
      </c>
      <c r="R27">
        <v>26</v>
      </c>
      <c r="S27">
        <v>1</v>
      </c>
      <c r="T27" t="s">
        <v>1636</v>
      </c>
      <c r="U27" t="s">
        <v>1637</v>
      </c>
      <c r="V27">
        <v>0</v>
      </c>
      <c r="W27" s="14" t="str">
        <f t="shared" si="0"/>
        <v>(2739,null,1,'2026-04-28 00:00:00','003101000090000-310100009','003101000090000-310100009','体感诱发电位',null,null,88,80,68,null,88,80,68,'单肢',26,1,'normal','main',0),</v>
      </c>
    </row>
    <row r="28" spans="1:23">
      <c r="A28">
        <v>2740</v>
      </c>
      <c r="B28" t="s">
        <v>1634</v>
      </c>
      <c r="C28">
        <v>1</v>
      </c>
      <c r="D28" s="11" t="s">
        <v>1635</v>
      </c>
      <c r="E28" t="s">
        <v>212</v>
      </c>
      <c r="F28" t="s">
        <v>212</v>
      </c>
      <c r="G28" t="s">
        <v>213</v>
      </c>
      <c r="H28" t="s">
        <v>1634</v>
      </c>
      <c r="I28" t="s">
        <v>1634</v>
      </c>
      <c r="J28">
        <v>105.6</v>
      </c>
      <c r="K28">
        <v>96</v>
      </c>
      <c r="L28">
        <v>81.6</v>
      </c>
      <c r="M28" t="s">
        <v>1634</v>
      </c>
      <c r="N28">
        <v>88</v>
      </c>
      <c r="O28">
        <v>80</v>
      </c>
      <c r="P28">
        <v>68</v>
      </c>
      <c r="Q28" t="s">
        <v>206</v>
      </c>
      <c r="R28">
        <v>26</v>
      </c>
      <c r="S28">
        <v>1</v>
      </c>
      <c r="T28" t="s">
        <v>1636</v>
      </c>
      <c r="U28" t="s">
        <v>1637</v>
      </c>
      <c r="V28">
        <v>0</v>
      </c>
      <c r="W28" s="14" t="str">
        <f t="shared" si="0"/>
        <v>(2740,null,1,'2026-04-28 00:00:00','003101000090001-31010000901','003101000090001-31010000901','体感诱发电位（诱发电位地形图分析）',null,null,105.6,96,81.6,null,88,80,68,'单肢',26,1,'normal','main',0),</v>
      </c>
    </row>
    <row r="29" spans="1:23">
      <c r="A29">
        <v>2741</v>
      </c>
      <c r="B29" t="s">
        <v>1634</v>
      </c>
      <c r="C29">
        <v>1</v>
      </c>
      <c r="D29" s="11" t="s">
        <v>1635</v>
      </c>
      <c r="E29" t="s">
        <v>221</v>
      </c>
      <c r="F29" t="s">
        <v>221</v>
      </c>
      <c r="G29" t="s">
        <v>222</v>
      </c>
      <c r="H29" t="s">
        <v>1634</v>
      </c>
      <c r="I29" t="s">
        <v>1634</v>
      </c>
      <c r="J29">
        <v>54</v>
      </c>
      <c r="K29">
        <v>50</v>
      </c>
      <c r="L29">
        <v>42</v>
      </c>
      <c r="M29" t="s">
        <v>1634</v>
      </c>
      <c r="N29">
        <v>54</v>
      </c>
      <c r="O29">
        <v>50</v>
      </c>
      <c r="P29">
        <v>42</v>
      </c>
      <c r="Q29" t="s">
        <v>40</v>
      </c>
      <c r="R29">
        <v>26</v>
      </c>
      <c r="S29">
        <v>1</v>
      </c>
      <c r="T29" t="s">
        <v>1636</v>
      </c>
      <c r="U29" t="s">
        <v>1637</v>
      </c>
      <c r="V29">
        <v>0</v>
      </c>
      <c r="W29" s="14" t="str">
        <f t="shared" si="0"/>
        <v>(2741,null,1,'2026-04-28 00:00:00','003101000100000-310100010','003101000100000-310100010','运动诱发电位',null,null,54,50,42,null,54,50,42,'次',26,1,'normal','main',0),</v>
      </c>
    </row>
    <row r="30" spans="1:23">
      <c r="A30">
        <v>2742</v>
      </c>
      <c r="B30" t="s">
        <v>1634</v>
      </c>
      <c r="C30">
        <v>1</v>
      </c>
      <c r="D30" s="11" t="s">
        <v>1635</v>
      </c>
      <c r="E30" t="s">
        <v>228</v>
      </c>
      <c r="F30" t="s">
        <v>228</v>
      </c>
      <c r="G30" t="s">
        <v>229</v>
      </c>
      <c r="H30" t="s">
        <v>1634</v>
      </c>
      <c r="I30" t="s">
        <v>1634</v>
      </c>
      <c r="J30">
        <v>8</v>
      </c>
      <c r="K30">
        <v>8</v>
      </c>
      <c r="L30">
        <v>6.8</v>
      </c>
      <c r="M30" t="s">
        <v>1634</v>
      </c>
      <c r="N30">
        <v>32</v>
      </c>
      <c r="O30">
        <v>30</v>
      </c>
      <c r="P30">
        <v>27</v>
      </c>
      <c r="Q30" t="s">
        <v>231</v>
      </c>
      <c r="R30">
        <v>26</v>
      </c>
      <c r="S30">
        <v>1</v>
      </c>
      <c r="T30" t="s">
        <v>1636</v>
      </c>
      <c r="U30" t="s">
        <v>1637</v>
      </c>
      <c r="V30">
        <v>0</v>
      </c>
      <c r="W30" s="14" t="str">
        <f t="shared" si="0"/>
        <v>(2742,null,1,'2026-04-28 00:00:00','003401000070000-340100007','003401000070000-340100007','电诊断',null,null,8,8,6.8,null,32,30,27,'每块肌肉或每条神经',26,1,'normal','main',0),</v>
      </c>
    </row>
    <row r="31" spans="1:23">
      <c r="A31">
        <v>2743</v>
      </c>
      <c r="B31" t="s">
        <v>1634</v>
      </c>
      <c r="C31">
        <v>1</v>
      </c>
      <c r="D31" s="11" t="s">
        <v>1635</v>
      </c>
      <c r="E31" t="s">
        <v>245</v>
      </c>
      <c r="F31" t="s">
        <v>245</v>
      </c>
      <c r="H31" t="s">
        <v>1634</v>
      </c>
      <c r="I31" t="s">
        <v>1634</v>
      </c>
      <c r="J31">
        <v>0</v>
      </c>
      <c r="K31">
        <v>0</v>
      </c>
      <c r="L31">
        <v>0</v>
      </c>
      <c r="M31" t="s">
        <v>1634</v>
      </c>
      <c r="N31">
        <v>6</v>
      </c>
      <c r="O31">
        <v>5.8</v>
      </c>
      <c r="P31">
        <v>5.4</v>
      </c>
      <c r="R31">
        <v>26</v>
      </c>
      <c r="S31">
        <v>1</v>
      </c>
      <c r="T31" t="s">
        <v>1636</v>
      </c>
      <c r="U31" t="s">
        <v>1637</v>
      </c>
      <c r="V31">
        <v>0</v>
      </c>
      <c r="W31" s="14" t="str">
        <f t="shared" si="0"/>
        <v>(2743,null,1,'2026-04-28 00:00:00','003101000140000-310100014','003101000140000-310100014','',null,null,0,0,0,null,6,5.8,5.4,'',26,1,'normal','main',0),</v>
      </c>
    </row>
    <row r="32" spans="1:23">
      <c r="A32">
        <v>2744</v>
      </c>
      <c r="B32" t="s">
        <v>1634</v>
      </c>
      <c r="C32">
        <v>1</v>
      </c>
      <c r="D32" s="11" t="s">
        <v>1635</v>
      </c>
      <c r="E32" t="s">
        <v>245</v>
      </c>
      <c r="F32" t="s">
        <v>245</v>
      </c>
      <c r="G32" t="s">
        <v>250</v>
      </c>
      <c r="H32" t="s">
        <v>1634</v>
      </c>
      <c r="I32" t="s">
        <v>1634</v>
      </c>
      <c r="J32">
        <v>3.3</v>
      </c>
      <c r="K32">
        <v>3</v>
      </c>
      <c r="L32">
        <v>2.6</v>
      </c>
      <c r="M32" t="s">
        <v>1634</v>
      </c>
      <c r="N32">
        <v>3</v>
      </c>
      <c r="O32">
        <v>2.9</v>
      </c>
      <c r="P32">
        <v>2.7</v>
      </c>
      <c r="Q32" t="s">
        <v>68</v>
      </c>
      <c r="R32">
        <v>26</v>
      </c>
      <c r="S32">
        <v>1</v>
      </c>
      <c r="T32" t="s">
        <v>1636</v>
      </c>
      <c r="U32" t="s">
        <v>1637</v>
      </c>
      <c r="V32">
        <v>0</v>
      </c>
      <c r="W32" s="14" t="str">
        <f t="shared" si="0"/>
        <v>(2744,null,1,'2026-04-28 00:00:00','003101000140000-310100014','003101000140000-310100014','颅内压监测',null,null,3.3,3,2.6,null,3,2.9,2.7,'小时',26,1,'normal','main',0),</v>
      </c>
    </row>
    <row r="33" spans="1:23">
      <c r="A33">
        <v>2745</v>
      </c>
      <c r="B33" t="s">
        <v>1634</v>
      </c>
      <c r="C33">
        <v>1</v>
      </c>
      <c r="D33" s="11" t="s">
        <v>1635</v>
      </c>
      <c r="E33" t="s">
        <v>251</v>
      </c>
      <c r="F33" t="s">
        <v>251</v>
      </c>
      <c r="G33" t="s">
        <v>252</v>
      </c>
      <c r="H33" t="s">
        <v>1634</v>
      </c>
      <c r="I33" t="s">
        <v>1634</v>
      </c>
      <c r="J33">
        <v>0</v>
      </c>
      <c r="K33">
        <v>0</v>
      </c>
      <c r="L33">
        <v>0</v>
      </c>
      <c r="M33" t="s">
        <v>1634</v>
      </c>
      <c r="N33">
        <v>3</v>
      </c>
      <c r="O33">
        <v>2.9</v>
      </c>
      <c r="P33">
        <v>2.7</v>
      </c>
      <c r="Q33" t="s">
        <v>40</v>
      </c>
      <c r="R33">
        <v>26</v>
      </c>
      <c r="S33">
        <v>1</v>
      </c>
      <c r="T33" t="s">
        <v>1636</v>
      </c>
      <c r="U33" t="s">
        <v>1637</v>
      </c>
      <c r="V33">
        <v>0</v>
      </c>
      <c r="W33" s="14" t="str">
        <f t="shared" si="0"/>
        <v>(2745,null,1,'2026-04-28 00:00:00','003112020020000-311202002','003112020020000-311202002','新生儿测颅压',null,null,0,0,0,null,3,2.9,2.7,'次',26,1,'normal','main',0),</v>
      </c>
    </row>
    <row r="34" spans="1:23">
      <c r="A34">
        <v>2746</v>
      </c>
      <c r="B34" t="s">
        <v>1634</v>
      </c>
      <c r="C34">
        <v>1</v>
      </c>
      <c r="D34" s="11" t="s">
        <v>1635</v>
      </c>
      <c r="E34" t="s">
        <v>260</v>
      </c>
      <c r="F34" t="s">
        <v>260</v>
      </c>
      <c r="G34" t="s">
        <v>261</v>
      </c>
      <c r="H34" t="s">
        <v>1634</v>
      </c>
      <c r="I34" t="s">
        <v>1634</v>
      </c>
      <c r="J34">
        <v>3345</v>
      </c>
      <c r="K34">
        <v>3015</v>
      </c>
      <c r="L34">
        <v>2415</v>
      </c>
      <c r="M34" t="s">
        <v>1634</v>
      </c>
      <c r="N34" s="12">
        <v>3344</v>
      </c>
      <c r="O34" s="12">
        <v>3016</v>
      </c>
      <c r="P34" s="12">
        <v>2416</v>
      </c>
      <c r="Q34" t="s">
        <v>40</v>
      </c>
      <c r="R34">
        <v>26</v>
      </c>
      <c r="S34">
        <v>1</v>
      </c>
      <c r="T34" t="s">
        <v>1636</v>
      </c>
      <c r="U34" t="s">
        <v>1637</v>
      </c>
      <c r="V34">
        <v>0</v>
      </c>
      <c r="W34" s="14" t="str">
        <f t="shared" si="0"/>
        <v>(2746,null,1,'2026-04-28 00:00:00','003206000010000-320600001','003206000010000-320600001','经股动脉插管全脑动脉造影术',null,null,3345,3015,2415,null,3344,3016,2416,'次',26,1,'normal','main',0),</v>
      </c>
    </row>
    <row r="35" spans="1:23">
      <c r="A35">
        <v>2747</v>
      </c>
      <c r="B35" t="s">
        <v>1634</v>
      </c>
      <c r="C35">
        <v>1</v>
      </c>
      <c r="D35" s="11" t="s">
        <v>1635</v>
      </c>
      <c r="E35" t="s">
        <v>263</v>
      </c>
      <c r="F35" t="s">
        <v>263</v>
      </c>
      <c r="G35" t="s">
        <v>264</v>
      </c>
      <c r="H35" t="s">
        <v>1634</v>
      </c>
      <c r="I35" t="s">
        <v>1634</v>
      </c>
      <c r="J35">
        <v>4350</v>
      </c>
      <c r="K35">
        <v>3920</v>
      </c>
      <c r="L35">
        <v>3140</v>
      </c>
      <c r="M35" t="s">
        <v>1634</v>
      </c>
      <c r="N35" s="12">
        <v>3344</v>
      </c>
      <c r="O35" s="12">
        <v>3016</v>
      </c>
      <c r="P35" s="12">
        <v>2416</v>
      </c>
      <c r="Q35" t="s">
        <v>40</v>
      </c>
      <c r="R35">
        <v>26</v>
      </c>
      <c r="S35">
        <v>1</v>
      </c>
      <c r="T35" t="s">
        <v>1636</v>
      </c>
      <c r="U35" t="s">
        <v>1637</v>
      </c>
      <c r="V35">
        <v>0</v>
      </c>
      <c r="W35" s="14" t="str">
        <f t="shared" si="0"/>
        <v>(2747,null,1,'2026-04-28 00:00:00','003206000010000-32060000101','003206000010000-32060000101','小儿经股动脉插管全脑动脉造影术',null,null,4350,3920,3140,null,3344,3016,2416,'次',26,1,'normal','main',0),</v>
      </c>
    </row>
    <row r="36" spans="1:23">
      <c r="A36">
        <v>2748</v>
      </c>
      <c r="B36" t="s">
        <v>1634</v>
      </c>
      <c r="C36">
        <v>1</v>
      </c>
      <c r="D36" s="11" t="s">
        <v>1635</v>
      </c>
      <c r="E36" t="s">
        <v>271</v>
      </c>
      <c r="F36" t="s">
        <v>271</v>
      </c>
      <c r="G36" t="s">
        <v>272</v>
      </c>
      <c r="H36" t="s">
        <v>1634</v>
      </c>
      <c r="I36" t="s">
        <v>1634</v>
      </c>
      <c r="J36">
        <v>2430</v>
      </c>
      <c r="K36">
        <v>2200</v>
      </c>
      <c r="L36">
        <v>1870</v>
      </c>
      <c r="M36" t="s">
        <v>1634</v>
      </c>
      <c r="N36" s="12">
        <v>2437.5</v>
      </c>
      <c r="O36" s="12">
        <v>2200</v>
      </c>
      <c r="P36" s="12">
        <v>1875</v>
      </c>
      <c r="Q36" t="s">
        <v>40</v>
      </c>
      <c r="R36">
        <v>26</v>
      </c>
      <c r="S36">
        <v>1</v>
      </c>
      <c r="T36" t="s">
        <v>1636</v>
      </c>
      <c r="U36" t="s">
        <v>1637</v>
      </c>
      <c r="V36">
        <v>0</v>
      </c>
      <c r="W36" s="14" t="str">
        <f t="shared" si="0"/>
        <v>(2748,null,1,'2026-04-28 00:00:00','003206000100000-320600010','003206000100000-320600010','脊髓动脉造影术',null,null,2430,2200,1870,null,2437.5,2200,1875,'次',26,1,'normal','main',0),</v>
      </c>
    </row>
    <row r="37" spans="1:23">
      <c r="A37">
        <v>2749</v>
      </c>
      <c r="B37" t="s">
        <v>1634</v>
      </c>
      <c r="C37">
        <v>1</v>
      </c>
      <c r="D37" s="11" t="s">
        <v>1635</v>
      </c>
      <c r="E37" t="s">
        <v>273</v>
      </c>
      <c r="F37" t="s">
        <v>273</v>
      </c>
      <c r="G37" t="s">
        <v>274</v>
      </c>
      <c r="H37" t="s">
        <v>1634</v>
      </c>
      <c r="I37" t="s">
        <v>1634</v>
      </c>
      <c r="J37">
        <v>3160</v>
      </c>
      <c r="K37">
        <v>2860</v>
      </c>
      <c r="L37">
        <v>2430</v>
      </c>
      <c r="M37" t="s">
        <v>1634</v>
      </c>
      <c r="N37" s="12">
        <v>2437.5</v>
      </c>
      <c r="O37" s="12">
        <v>2200</v>
      </c>
      <c r="P37" s="12">
        <v>1875</v>
      </c>
      <c r="Q37" t="s">
        <v>40</v>
      </c>
      <c r="R37">
        <v>26</v>
      </c>
      <c r="S37">
        <v>1</v>
      </c>
      <c r="T37" t="s">
        <v>1636</v>
      </c>
      <c r="U37" t="s">
        <v>1637</v>
      </c>
      <c r="V37">
        <v>0</v>
      </c>
      <c r="W37" s="14" t="str">
        <f t="shared" si="0"/>
        <v>(2749,null,1,'2026-04-28 00:00:00','003206000100000-32060001001','003206000100000-32060001001','小儿脊髓动脉造影术',null,null,3160,2860,2430,null,2437.5,2200,1875,'次',26,1,'normal','main',0),</v>
      </c>
    </row>
    <row r="38" spans="1:23">
      <c r="A38">
        <v>2750</v>
      </c>
      <c r="B38" t="s">
        <v>1634</v>
      </c>
      <c r="C38">
        <v>1</v>
      </c>
      <c r="D38" s="11" t="s">
        <v>1635</v>
      </c>
      <c r="E38" t="s">
        <v>282</v>
      </c>
      <c r="F38" t="s">
        <v>282</v>
      </c>
      <c r="G38" t="s">
        <v>283</v>
      </c>
      <c r="H38" t="s">
        <v>1634</v>
      </c>
      <c r="I38" t="s">
        <v>1634</v>
      </c>
      <c r="J38">
        <v>55</v>
      </c>
      <c r="K38">
        <v>50</v>
      </c>
      <c r="L38">
        <v>42.5</v>
      </c>
      <c r="M38" t="s">
        <v>1634</v>
      </c>
      <c r="N38">
        <v>48</v>
      </c>
      <c r="O38">
        <v>45</v>
      </c>
      <c r="P38">
        <v>40</v>
      </c>
      <c r="Q38" t="s">
        <v>68</v>
      </c>
      <c r="R38">
        <v>26</v>
      </c>
      <c r="S38">
        <v>1</v>
      </c>
      <c r="T38" t="s">
        <v>1636</v>
      </c>
      <c r="U38" t="s">
        <v>1637</v>
      </c>
      <c r="V38">
        <v>0</v>
      </c>
      <c r="W38" s="14" t="str">
        <f t="shared" si="0"/>
        <v>(2750,null,1,'2026-04-28 00:00:00','003101000130000-310100013','003101000130000-310100013','术中颅神经监测',null,null,55,50,42.5,null,48,45,40,'小时',26,1,'normal','main',0),</v>
      </c>
    </row>
    <row r="39" spans="1:23">
      <c r="A39">
        <v>2751</v>
      </c>
      <c r="B39" t="s">
        <v>1634</v>
      </c>
      <c r="C39">
        <v>1</v>
      </c>
      <c r="D39" s="11" t="s">
        <v>1635</v>
      </c>
      <c r="E39" t="s">
        <v>284</v>
      </c>
      <c r="F39" t="s">
        <v>284</v>
      </c>
      <c r="G39" t="s">
        <v>285</v>
      </c>
      <c r="H39" t="s">
        <v>1634</v>
      </c>
      <c r="I39" t="s">
        <v>1634</v>
      </c>
      <c r="J39">
        <v>22</v>
      </c>
      <c r="K39">
        <v>20</v>
      </c>
      <c r="L39">
        <v>17</v>
      </c>
      <c r="M39" t="s">
        <v>1634</v>
      </c>
      <c r="N39">
        <v>48</v>
      </c>
      <c r="O39">
        <v>45</v>
      </c>
      <c r="P39">
        <v>40</v>
      </c>
      <c r="Q39" t="s">
        <v>68</v>
      </c>
      <c r="R39">
        <v>26</v>
      </c>
      <c r="S39">
        <v>1</v>
      </c>
      <c r="T39" t="s">
        <v>1636</v>
      </c>
      <c r="U39" t="s">
        <v>1637</v>
      </c>
      <c r="V39">
        <v>0</v>
      </c>
      <c r="W39" s="14" t="str">
        <f t="shared" si="0"/>
        <v>(2751,null,1,'2026-04-28 00:00:00','003101000010000-31010000102','003101000010000-31010000102','脑电图（术中监测）',null,null,22,20,17,null,48,45,40,'小时',26,1,'normal','main',0),</v>
      </c>
    </row>
    <row r="40" spans="1:23">
      <c r="A40">
        <v>2752</v>
      </c>
      <c r="B40" t="s">
        <v>1634</v>
      </c>
      <c r="C40">
        <v>1</v>
      </c>
      <c r="D40" s="11" t="s">
        <v>1635</v>
      </c>
      <c r="E40" t="s">
        <v>287</v>
      </c>
      <c r="F40" t="s">
        <v>287</v>
      </c>
      <c r="G40" t="s">
        <v>288</v>
      </c>
      <c r="H40" t="s">
        <v>1634</v>
      </c>
      <c r="I40" t="s">
        <v>1634</v>
      </c>
      <c r="J40">
        <v>22</v>
      </c>
      <c r="K40">
        <v>20</v>
      </c>
      <c r="L40">
        <v>17</v>
      </c>
      <c r="M40" t="s">
        <v>1634</v>
      </c>
      <c r="N40">
        <v>48</v>
      </c>
      <c r="O40">
        <v>45</v>
      </c>
      <c r="P40">
        <v>40</v>
      </c>
      <c r="Q40" t="s">
        <v>68</v>
      </c>
      <c r="R40">
        <v>26</v>
      </c>
      <c r="S40">
        <v>1</v>
      </c>
      <c r="T40" t="s">
        <v>1636</v>
      </c>
      <c r="U40" t="s">
        <v>1637</v>
      </c>
      <c r="V40">
        <v>0</v>
      </c>
      <c r="W40" s="14" t="str">
        <f t="shared" si="0"/>
        <v>(2752,null,1,'2026-04-28 00:00:00','003101000090000-31010000902','003101000090000-31010000902','体感诱发电位术中监测',null,null,22,20,17,null,48,45,40,'小时',26,1,'normal','main',0),</v>
      </c>
    </row>
    <row r="41" spans="1:23">
      <c r="A41">
        <v>2753</v>
      </c>
      <c r="B41" t="s">
        <v>1634</v>
      </c>
      <c r="C41">
        <v>1</v>
      </c>
      <c r="D41" s="11" t="s">
        <v>1635</v>
      </c>
      <c r="E41" t="s">
        <v>289</v>
      </c>
      <c r="F41" t="s">
        <v>289</v>
      </c>
      <c r="G41" t="s">
        <v>290</v>
      </c>
      <c r="H41" t="s">
        <v>1634</v>
      </c>
      <c r="I41" t="s">
        <v>1634</v>
      </c>
      <c r="J41">
        <v>100</v>
      </c>
      <c r="K41">
        <v>100</v>
      </c>
      <c r="L41">
        <v>85</v>
      </c>
      <c r="M41" t="s">
        <v>1634</v>
      </c>
      <c r="N41">
        <v>48</v>
      </c>
      <c r="O41">
        <v>45</v>
      </c>
      <c r="P41">
        <v>40</v>
      </c>
      <c r="Q41" t="s">
        <v>292</v>
      </c>
      <c r="R41">
        <v>26</v>
      </c>
      <c r="S41">
        <v>1</v>
      </c>
      <c r="T41" t="s">
        <v>1636</v>
      </c>
      <c r="U41" t="s">
        <v>1637</v>
      </c>
      <c r="V41">
        <v>0</v>
      </c>
      <c r="W41" s="14" t="str">
        <f t="shared" si="0"/>
        <v>(2753,null,1,'2026-04-28 00:00:00','003302000000002-330202023','003302000000002-330202023','神经刺激器引导下神经定位',null,null,100,100,85,null,48,45,40,'半小时',26,1,'normal','main',0),</v>
      </c>
    </row>
    <row r="42" spans="1:23">
      <c r="A42">
        <v>2754</v>
      </c>
      <c r="B42" t="s">
        <v>1634</v>
      </c>
      <c r="C42">
        <v>1</v>
      </c>
      <c r="D42" s="11" t="s">
        <v>1635</v>
      </c>
      <c r="E42" t="s">
        <v>294</v>
      </c>
      <c r="F42" t="s">
        <v>294</v>
      </c>
      <c r="G42" t="s">
        <v>295</v>
      </c>
      <c r="H42" t="s">
        <v>1634</v>
      </c>
      <c r="I42" t="s">
        <v>1634</v>
      </c>
      <c r="J42">
        <v>5.5</v>
      </c>
      <c r="K42">
        <v>5</v>
      </c>
      <c r="L42">
        <v>4.3</v>
      </c>
      <c r="M42" t="s">
        <v>1634</v>
      </c>
      <c r="N42">
        <v>5</v>
      </c>
      <c r="O42">
        <v>4.8</v>
      </c>
      <c r="P42">
        <v>4.5</v>
      </c>
      <c r="Q42" t="s">
        <v>68</v>
      </c>
      <c r="R42">
        <v>26</v>
      </c>
      <c r="S42">
        <v>1</v>
      </c>
      <c r="T42" t="s">
        <v>1636</v>
      </c>
      <c r="U42" t="s">
        <v>1637</v>
      </c>
      <c r="V42">
        <v>0</v>
      </c>
      <c r="W42" s="14" t="str">
        <f t="shared" si="0"/>
        <v>(2754,null,1,'2026-04-28 00:00:00','003101000250000-310100025','003101000250000-310100025','肌电图监测',null,null,5.5,5,4.3,null,5,4.8,4.5,'小时',26,1,'normal','main',0),</v>
      </c>
    </row>
    <row r="43" spans="1:23">
      <c r="A43">
        <v>2755</v>
      </c>
      <c r="B43" t="s">
        <v>1634</v>
      </c>
      <c r="C43">
        <v>1</v>
      </c>
      <c r="D43" s="11" t="s">
        <v>1635</v>
      </c>
      <c r="E43" t="s">
        <v>307</v>
      </c>
      <c r="F43" t="s">
        <v>307</v>
      </c>
      <c r="G43" t="s">
        <v>308</v>
      </c>
      <c r="H43" t="s">
        <v>1634</v>
      </c>
      <c r="I43" t="s">
        <v>1634</v>
      </c>
      <c r="J43">
        <v>0</v>
      </c>
      <c r="K43">
        <v>0</v>
      </c>
      <c r="L43">
        <v>0</v>
      </c>
      <c r="M43" t="s">
        <v>1634</v>
      </c>
      <c r="N43">
        <v>90</v>
      </c>
      <c r="O43">
        <v>81</v>
      </c>
      <c r="P43">
        <v>69</v>
      </c>
      <c r="Q43" t="s">
        <v>40</v>
      </c>
      <c r="R43">
        <v>26</v>
      </c>
      <c r="S43">
        <v>1</v>
      </c>
      <c r="T43" t="s">
        <v>1636</v>
      </c>
      <c r="U43" t="s">
        <v>1637</v>
      </c>
      <c r="V43">
        <v>0</v>
      </c>
      <c r="W43" s="14" t="str">
        <f t="shared" si="0"/>
        <v>(2755,null,1,'2026-04-28 00:00:00','003101000310000-310100031','003101000310000-310100031','慢性小脑电刺激术',null,null,0,0,0,null,90,81,69,'次',26,1,'normal','main',0),</v>
      </c>
    </row>
    <row r="44" spans="1:23">
      <c r="A44">
        <v>2756</v>
      </c>
      <c r="B44" t="s">
        <v>1634</v>
      </c>
      <c r="C44">
        <v>1</v>
      </c>
      <c r="D44" s="11" t="s">
        <v>1635</v>
      </c>
      <c r="E44" t="s">
        <v>309</v>
      </c>
      <c r="F44" t="s">
        <v>309</v>
      </c>
      <c r="G44" t="s">
        <v>310</v>
      </c>
      <c r="H44" t="s">
        <v>1634</v>
      </c>
      <c r="I44" t="s">
        <v>1634</v>
      </c>
      <c r="J44">
        <v>90</v>
      </c>
      <c r="K44">
        <v>81</v>
      </c>
      <c r="L44">
        <v>68.9</v>
      </c>
      <c r="M44" t="s">
        <v>1634</v>
      </c>
      <c r="N44">
        <v>90</v>
      </c>
      <c r="O44">
        <v>81</v>
      </c>
      <c r="P44">
        <v>69</v>
      </c>
      <c r="Q44" t="s">
        <v>40</v>
      </c>
      <c r="R44">
        <v>26</v>
      </c>
      <c r="S44">
        <v>1</v>
      </c>
      <c r="T44" t="s">
        <v>1636</v>
      </c>
      <c r="U44" t="s">
        <v>1637</v>
      </c>
      <c r="V44">
        <v>0</v>
      </c>
      <c r="W44" s="14" t="str">
        <f t="shared" si="0"/>
        <v>(2756,null,1,'2026-04-28 00:00:00','003101000100000-340100030','003101000100000-340100030','经颅重复磁刺激治疗',null,null,90,81,68.9,null,90,81,69,'次',26,1,'normal','main',0),</v>
      </c>
    </row>
    <row r="45" spans="1:23">
      <c r="A45">
        <v>2757</v>
      </c>
      <c r="B45" t="s">
        <v>1634</v>
      </c>
      <c r="C45">
        <v>1</v>
      </c>
      <c r="D45" s="11" t="s">
        <v>1635</v>
      </c>
      <c r="E45" t="s">
        <v>322</v>
      </c>
      <c r="F45" t="s">
        <v>322</v>
      </c>
      <c r="G45" t="s">
        <v>324</v>
      </c>
      <c r="H45" t="s">
        <v>1634</v>
      </c>
      <c r="I45" t="s">
        <v>1634</v>
      </c>
      <c r="J45">
        <v>0</v>
      </c>
      <c r="K45">
        <v>0</v>
      </c>
      <c r="L45">
        <v>0</v>
      </c>
      <c r="M45" t="s">
        <v>1634</v>
      </c>
      <c r="N45">
        <v>135</v>
      </c>
      <c r="O45">
        <v>122</v>
      </c>
      <c r="P45">
        <v>105</v>
      </c>
      <c r="Q45" t="s">
        <v>40</v>
      </c>
      <c r="R45">
        <v>26</v>
      </c>
      <c r="S45">
        <v>1</v>
      </c>
      <c r="T45" t="s">
        <v>1636</v>
      </c>
      <c r="U45" t="s">
        <v>1637</v>
      </c>
      <c r="V45">
        <v>0</v>
      </c>
      <c r="W45" s="14" t="str">
        <f t="shared" si="0"/>
        <v>(2757,null,1,'2026-04-28 00:00:00','003302010350000-A330201064','003302010350000-A330201064','脑深部神经刺激器功能分析和随访调试',null,null,0,0,0,null,135,122,105,'次',26,1,'normal','main',0),</v>
      </c>
    </row>
    <row r="46" spans="1:23">
      <c r="A46">
        <v>2758</v>
      </c>
      <c r="B46" t="s">
        <v>1634</v>
      </c>
      <c r="C46">
        <v>1</v>
      </c>
      <c r="D46" s="11" t="s">
        <v>1635</v>
      </c>
      <c r="E46" t="s">
        <v>331</v>
      </c>
      <c r="F46" t="s">
        <v>331</v>
      </c>
      <c r="G46" t="s">
        <v>332</v>
      </c>
      <c r="H46" t="s">
        <v>1634</v>
      </c>
      <c r="I46" t="s">
        <v>1634</v>
      </c>
      <c r="J46">
        <v>38</v>
      </c>
      <c r="K46">
        <v>28</v>
      </c>
      <c r="L46">
        <v>23.8</v>
      </c>
      <c r="M46" t="s">
        <v>1634</v>
      </c>
      <c r="N46">
        <v>60</v>
      </c>
      <c r="O46">
        <v>54</v>
      </c>
      <c r="P46">
        <v>47</v>
      </c>
      <c r="Q46" t="s">
        <v>40</v>
      </c>
      <c r="R46">
        <v>26</v>
      </c>
      <c r="S46">
        <v>1</v>
      </c>
      <c r="T46" t="s">
        <v>1636</v>
      </c>
      <c r="U46" t="s">
        <v>1637</v>
      </c>
      <c r="V46">
        <v>0</v>
      </c>
      <c r="W46" s="14" t="str">
        <f t="shared" si="0"/>
        <v>(2758,null,1,'2026-04-28 00:00:00','003101000270000-310100027','003101000270000-310100027','神经阻滞治疗',null,null,38,28,23.8,null,60,54,47,'次',26,1,'normal','main',0),</v>
      </c>
    </row>
    <row r="47" spans="1:23">
      <c r="A47">
        <v>2759</v>
      </c>
      <c r="B47" t="s">
        <v>1634</v>
      </c>
      <c r="C47">
        <v>1</v>
      </c>
      <c r="D47" s="11" t="s">
        <v>1635</v>
      </c>
      <c r="E47" t="s">
        <v>333</v>
      </c>
      <c r="F47" t="s">
        <v>333</v>
      </c>
      <c r="G47" t="s">
        <v>334</v>
      </c>
      <c r="H47" t="s">
        <v>1634</v>
      </c>
      <c r="I47" t="s">
        <v>1634</v>
      </c>
      <c r="J47">
        <v>330</v>
      </c>
      <c r="K47">
        <v>300</v>
      </c>
      <c r="L47">
        <v>255</v>
      </c>
      <c r="M47" t="s">
        <v>1634</v>
      </c>
      <c r="N47">
        <v>60</v>
      </c>
      <c r="O47">
        <v>54</v>
      </c>
      <c r="P47">
        <v>47</v>
      </c>
      <c r="Q47" t="s">
        <v>40</v>
      </c>
      <c r="R47">
        <v>26</v>
      </c>
      <c r="S47">
        <v>1</v>
      </c>
      <c r="T47" t="s">
        <v>1636</v>
      </c>
      <c r="U47" t="s">
        <v>1637</v>
      </c>
      <c r="V47">
        <v>0</v>
      </c>
      <c r="W47" s="14" t="str">
        <f t="shared" si="0"/>
        <v>(2759,null,1,'2026-04-28 00:00:00','003101000330000-310100033','003101000330000-310100033','周围神经毁损术',null,null,330,300,255,null,60,54,47,'次',26,1,'normal','main',0),</v>
      </c>
    </row>
    <row r="48" spans="1:23">
      <c r="A48">
        <v>2760</v>
      </c>
      <c r="B48" t="s">
        <v>1634</v>
      </c>
      <c r="C48">
        <v>1</v>
      </c>
      <c r="D48" s="11" t="s">
        <v>1635</v>
      </c>
      <c r="E48" t="s">
        <v>337</v>
      </c>
      <c r="F48" t="s">
        <v>337</v>
      </c>
      <c r="G48" t="s">
        <v>338</v>
      </c>
      <c r="H48" t="s">
        <v>1634</v>
      </c>
      <c r="I48" t="s">
        <v>1634</v>
      </c>
      <c r="J48">
        <v>330</v>
      </c>
      <c r="K48">
        <v>300</v>
      </c>
      <c r="L48">
        <v>255</v>
      </c>
      <c r="M48" t="s">
        <v>1634</v>
      </c>
      <c r="N48">
        <v>60</v>
      </c>
      <c r="O48">
        <v>54</v>
      </c>
      <c r="P48">
        <v>47</v>
      </c>
      <c r="Q48" t="s">
        <v>40</v>
      </c>
      <c r="R48">
        <v>26</v>
      </c>
      <c r="S48">
        <v>1</v>
      </c>
      <c r="T48" t="s">
        <v>1636</v>
      </c>
      <c r="U48" t="s">
        <v>1637</v>
      </c>
      <c r="V48">
        <v>0</v>
      </c>
      <c r="W48" s="14" t="str">
        <f t="shared" si="0"/>
        <v>(2760,null,1,'2026-04-28 00:00:00','003101000340000-310100034','003101000340000-310100034','交感神经节毁损术',null,null,330,300,255,null,60,54,47,'次',26,1,'normal','main',0),</v>
      </c>
    </row>
    <row r="49" spans="1:23">
      <c r="A49">
        <v>2761</v>
      </c>
      <c r="B49" t="s">
        <v>1634</v>
      </c>
      <c r="C49">
        <v>1</v>
      </c>
      <c r="D49" s="11" t="s">
        <v>1635</v>
      </c>
      <c r="E49" t="s">
        <v>341</v>
      </c>
      <c r="F49" t="s">
        <v>341</v>
      </c>
      <c r="G49" t="s">
        <v>342</v>
      </c>
      <c r="H49" t="s">
        <v>1634</v>
      </c>
      <c r="I49" t="s">
        <v>1634</v>
      </c>
      <c r="J49">
        <v>495</v>
      </c>
      <c r="K49">
        <v>450</v>
      </c>
      <c r="L49">
        <v>382.5</v>
      </c>
      <c r="M49" t="s">
        <v>1634</v>
      </c>
      <c r="N49">
        <v>60</v>
      </c>
      <c r="O49">
        <v>54</v>
      </c>
      <c r="P49">
        <v>47</v>
      </c>
      <c r="Q49" t="s">
        <v>40</v>
      </c>
      <c r="R49">
        <v>26</v>
      </c>
      <c r="S49">
        <v>1</v>
      </c>
      <c r="T49" t="s">
        <v>1636</v>
      </c>
      <c r="U49" t="s">
        <v>1637</v>
      </c>
      <c r="V49">
        <v>0</v>
      </c>
      <c r="W49" s="14" t="str">
        <f t="shared" si="0"/>
        <v>(2761,null,1,'2026-04-28 00:00:00','003101000340001-31010003401','003101000340001-31010003401','交感神经节毁损术（胸交感神经毁损）',null,null,495,450,382.5,null,60,54,47,'次',26,1,'normal','main',0),</v>
      </c>
    </row>
    <row r="50" spans="1:23">
      <c r="A50">
        <v>2762</v>
      </c>
      <c r="B50" t="s">
        <v>1634</v>
      </c>
      <c r="C50">
        <v>1</v>
      </c>
      <c r="D50" s="11" t="s">
        <v>1635</v>
      </c>
      <c r="E50" t="s">
        <v>347</v>
      </c>
      <c r="F50" t="s">
        <v>347</v>
      </c>
      <c r="G50" t="s">
        <v>348</v>
      </c>
      <c r="H50" t="s">
        <v>1634</v>
      </c>
      <c r="I50" t="s">
        <v>1634</v>
      </c>
      <c r="J50">
        <v>350</v>
      </c>
      <c r="K50">
        <v>315</v>
      </c>
      <c r="L50">
        <v>265</v>
      </c>
      <c r="M50" t="s">
        <v>1634</v>
      </c>
      <c r="N50" s="12">
        <v>410</v>
      </c>
      <c r="O50" s="12">
        <v>369</v>
      </c>
      <c r="P50" s="12">
        <v>317</v>
      </c>
      <c r="Q50" t="s">
        <v>40</v>
      </c>
      <c r="R50">
        <v>26</v>
      </c>
      <c r="S50">
        <v>1</v>
      </c>
      <c r="T50" t="s">
        <v>1636</v>
      </c>
      <c r="U50" t="s">
        <v>1637</v>
      </c>
      <c r="V50">
        <v>0</v>
      </c>
      <c r="W50" s="14" t="str">
        <f t="shared" si="0"/>
        <v>(2762,null,1,'2026-04-28 00:00:00','003101000280000-310100028','003101000280000-310100028','经皮穿刺三叉神经半月节注射治疗术',null,null,350,315,265,null,410,369,317,'次',26,1,'normal','main',0),</v>
      </c>
    </row>
    <row r="51" spans="1:23">
      <c r="A51">
        <v>2763</v>
      </c>
      <c r="B51" t="s">
        <v>1634</v>
      </c>
      <c r="C51">
        <v>1</v>
      </c>
      <c r="D51" s="11" t="s">
        <v>1635</v>
      </c>
      <c r="E51" t="s">
        <v>351</v>
      </c>
      <c r="F51" t="s">
        <v>351</v>
      </c>
      <c r="G51" t="s">
        <v>352</v>
      </c>
      <c r="H51" t="s">
        <v>1634</v>
      </c>
      <c r="I51" t="s">
        <v>1634</v>
      </c>
      <c r="J51">
        <v>455</v>
      </c>
      <c r="K51">
        <v>410</v>
      </c>
      <c r="L51">
        <v>345</v>
      </c>
      <c r="M51" t="s">
        <v>1634</v>
      </c>
      <c r="N51" s="12">
        <v>410</v>
      </c>
      <c r="O51" s="12">
        <v>369</v>
      </c>
      <c r="P51" s="12">
        <v>317</v>
      </c>
      <c r="Q51" t="s">
        <v>40</v>
      </c>
      <c r="R51">
        <v>26</v>
      </c>
      <c r="S51">
        <v>1</v>
      </c>
      <c r="T51" t="s">
        <v>1636</v>
      </c>
      <c r="U51" t="s">
        <v>1637</v>
      </c>
      <c r="V51">
        <v>0</v>
      </c>
      <c r="W51" s="14" t="str">
        <f t="shared" si="0"/>
        <v>(2763,null,1,'2026-04-28 00:00:00','003101000280000-31010002801','003101000280000-31010002801','小儿经皮穿刺三叉神经半月节注射治疗术',null,null,455,410,345,null,410,369,317,'次',26,1,'normal','main',0),</v>
      </c>
    </row>
    <row r="52" spans="1:23">
      <c r="A52">
        <v>2764</v>
      </c>
      <c r="B52" t="s">
        <v>1634</v>
      </c>
      <c r="C52">
        <v>1</v>
      </c>
      <c r="D52" s="11" t="s">
        <v>1635</v>
      </c>
      <c r="E52" t="s">
        <v>353</v>
      </c>
      <c r="F52" t="s">
        <v>353</v>
      </c>
      <c r="G52" t="s">
        <v>354</v>
      </c>
      <c r="H52" t="s">
        <v>1634</v>
      </c>
      <c r="I52" t="s">
        <v>1634</v>
      </c>
      <c r="J52">
        <v>350</v>
      </c>
      <c r="K52">
        <v>315</v>
      </c>
      <c r="L52">
        <v>265</v>
      </c>
      <c r="M52" t="s">
        <v>1634</v>
      </c>
      <c r="N52" s="12">
        <v>410</v>
      </c>
      <c r="O52" s="12">
        <v>369</v>
      </c>
      <c r="P52" s="12">
        <v>317</v>
      </c>
      <c r="Q52" t="s">
        <v>40</v>
      </c>
      <c r="R52">
        <v>26</v>
      </c>
      <c r="S52">
        <v>1</v>
      </c>
      <c r="T52" t="s">
        <v>1636</v>
      </c>
      <c r="U52" t="s">
        <v>1637</v>
      </c>
      <c r="V52">
        <v>0</v>
      </c>
      <c r="W52" s="14" t="str">
        <f t="shared" si="0"/>
        <v>(2764,null,1,'2026-04-28 00:00:00','003101000290000-310100029','003101000290000-310100029','经皮穿刺三叉神经半月节射频温控热凝术',null,null,350,315,265,null,410,369,317,'次',26,1,'normal','main',0),</v>
      </c>
    </row>
    <row r="53" spans="1:23">
      <c r="A53">
        <v>2765</v>
      </c>
      <c r="B53" t="s">
        <v>1634</v>
      </c>
      <c r="C53">
        <v>1</v>
      </c>
      <c r="D53" s="11" t="s">
        <v>1635</v>
      </c>
      <c r="E53" t="s">
        <v>356</v>
      </c>
      <c r="F53" t="s">
        <v>356</v>
      </c>
      <c r="G53" t="s">
        <v>357</v>
      </c>
      <c r="H53" t="s">
        <v>1634</v>
      </c>
      <c r="I53" t="s">
        <v>1634</v>
      </c>
      <c r="J53">
        <v>455</v>
      </c>
      <c r="K53">
        <v>410</v>
      </c>
      <c r="L53">
        <v>345</v>
      </c>
      <c r="M53" t="s">
        <v>1634</v>
      </c>
      <c r="N53" s="12">
        <v>410</v>
      </c>
      <c r="O53" s="12">
        <v>369</v>
      </c>
      <c r="P53" s="12">
        <v>317</v>
      </c>
      <c r="Q53" t="s">
        <v>40</v>
      </c>
      <c r="R53">
        <v>26</v>
      </c>
      <c r="S53">
        <v>1</v>
      </c>
      <c r="T53" t="s">
        <v>1636</v>
      </c>
      <c r="U53" t="s">
        <v>1637</v>
      </c>
      <c r="V53">
        <v>0</v>
      </c>
      <c r="W53" s="14" t="str">
        <f t="shared" si="0"/>
        <v>(2765,null,1,'2026-04-28 00:00:00','003101000290000-31010002901','003101000290000-31010002901','小儿经皮穿刺三叉神经半月节射频温控热凝术',null,null,455,410,345,null,410,369,317,'次',26,1,'normal','main',0),</v>
      </c>
    </row>
    <row r="54" spans="1:23">
      <c r="A54">
        <v>2766</v>
      </c>
      <c r="B54" t="s">
        <v>1634</v>
      </c>
      <c r="C54">
        <v>1</v>
      </c>
      <c r="D54" s="11" t="s">
        <v>1635</v>
      </c>
      <c r="E54" t="s">
        <v>358</v>
      </c>
      <c r="F54" t="s">
        <v>358</v>
      </c>
      <c r="G54" t="s">
        <v>359</v>
      </c>
      <c r="H54" t="s">
        <v>1634</v>
      </c>
      <c r="I54" t="s">
        <v>1634</v>
      </c>
      <c r="J54">
        <v>350</v>
      </c>
      <c r="K54">
        <v>315</v>
      </c>
      <c r="L54">
        <v>265</v>
      </c>
      <c r="M54" t="s">
        <v>1634</v>
      </c>
      <c r="N54" s="12">
        <v>410</v>
      </c>
      <c r="O54" s="12">
        <v>369</v>
      </c>
      <c r="P54" s="12">
        <v>317</v>
      </c>
      <c r="Q54" t="s">
        <v>40</v>
      </c>
      <c r="R54">
        <v>26</v>
      </c>
      <c r="S54">
        <v>1</v>
      </c>
      <c r="T54" t="s">
        <v>1636</v>
      </c>
      <c r="U54" t="s">
        <v>1637</v>
      </c>
      <c r="V54">
        <v>0</v>
      </c>
      <c r="W54" s="14" t="str">
        <f t="shared" si="0"/>
        <v>(2766,null,1,'2026-04-28 00:00:00','003101000300000-310100030','003101000300000-310100030','经皮穿刺三叉神经干注射术',null,null,350,315,265,null,410,369,317,'次',26,1,'normal','main',0),</v>
      </c>
    </row>
    <row r="55" spans="1:23">
      <c r="A55">
        <v>2767</v>
      </c>
      <c r="B55" t="s">
        <v>1634</v>
      </c>
      <c r="C55">
        <v>1</v>
      </c>
      <c r="D55" s="11" t="s">
        <v>1635</v>
      </c>
      <c r="E55" t="s">
        <v>360</v>
      </c>
      <c r="F55" t="s">
        <v>360</v>
      </c>
      <c r="G55" t="s">
        <v>361</v>
      </c>
      <c r="H55" t="s">
        <v>1634</v>
      </c>
      <c r="I55" t="s">
        <v>1634</v>
      </c>
      <c r="J55">
        <v>455</v>
      </c>
      <c r="K55">
        <v>410</v>
      </c>
      <c r="L55">
        <v>345</v>
      </c>
      <c r="M55" t="s">
        <v>1634</v>
      </c>
      <c r="N55" s="12">
        <v>410</v>
      </c>
      <c r="O55" s="12">
        <v>369</v>
      </c>
      <c r="P55" s="12">
        <v>317</v>
      </c>
      <c r="Q55" t="s">
        <v>40</v>
      </c>
      <c r="R55">
        <v>26</v>
      </c>
      <c r="S55">
        <v>1</v>
      </c>
      <c r="T55" t="s">
        <v>1636</v>
      </c>
      <c r="U55" t="s">
        <v>1637</v>
      </c>
      <c r="V55">
        <v>0</v>
      </c>
      <c r="W55" s="14" t="str">
        <f t="shared" si="0"/>
        <v>(2767,null,1,'2026-04-28 00:00:00','003101000300000-31010003001','003101000300000-31010003001','小儿经皮穿刺三叉神经干注射术',null,null,455,410,345,null,410,369,317,'次',26,1,'normal','main',0),</v>
      </c>
    </row>
    <row r="56" spans="1:23">
      <c r="A56">
        <v>2768</v>
      </c>
      <c r="B56" t="s">
        <v>1634</v>
      </c>
      <c r="C56">
        <v>1</v>
      </c>
      <c r="D56" s="11" t="s">
        <v>1635</v>
      </c>
      <c r="E56" t="s">
        <v>362</v>
      </c>
      <c r="F56" t="s">
        <v>362</v>
      </c>
      <c r="G56" t="s">
        <v>363</v>
      </c>
      <c r="H56" t="s">
        <v>1634</v>
      </c>
      <c r="I56" t="s">
        <v>1634</v>
      </c>
      <c r="J56">
        <v>198</v>
      </c>
      <c r="K56">
        <v>180</v>
      </c>
      <c r="L56">
        <v>153</v>
      </c>
      <c r="M56" t="s">
        <v>1634</v>
      </c>
      <c r="N56" s="12">
        <v>410</v>
      </c>
      <c r="O56" s="12">
        <v>369</v>
      </c>
      <c r="P56" s="12">
        <v>317</v>
      </c>
      <c r="Q56" t="s">
        <v>40</v>
      </c>
      <c r="R56">
        <v>26</v>
      </c>
      <c r="S56">
        <v>1</v>
      </c>
      <c r="T56" t="s">
        <v>1636</v>
      </c>
      <c r="U56" t="s">
        <v>1637</v>
      </c>
      <c r="V56">
        <v>0</v>
      </c>
      <c r="W56" s="14" t="str">
        <f t="shared" si="0"/>
        <v>(2768,null,1,'2026-04-28 00:00:00','003101000330001-31010003301','003101000330001-31010003301','周围神经毁损术（三叉神经干颅骨外段毁损加收）',null,null,198,180,153,null,410,369,317,'次',26,1,'normal','main',0),</v>
      </c>
    </row>
    <row r="57" spans="1:23">
      <c r="A57">
        <v>2769</v>
      </c>
      <c r="B57" t="s">
        <v>1634</v>
      </c>
      <c r="C57">
        <v>1</v>
      </c>
      <c r="D57" s="11" t="s">
        <v>1635</v>
      </c>
      <c r="E57" t="s">
        <v>365</v>
      </c>
      <c r="F57" t="s">
        <v>365</v>
      </c>
      <c r="G57" t="s">
        <v>366</v>
      </c>
      <c r="H57" t="s">
        <v>1634</v>
      </c>
      <c r="I57" t="s">
        <v>1634</v>
      </c>
      <c r="J57">
        <v>396</v>
      </c>
      <c r="K57">
        <v>360</v>
      </c>
      <c r="L57">
        <v>306</v>
      </c>
      <c r="M57" t="s">
        <v>1634</v>
      </c>
      <c r="N57" s="12">
        <v>410</v>
      </c>
      <c r="O57" s="12">
        <v>369</v>
      </c>
      <c r="P57" s="12">
        <v>317</v>
      </c>
      <c r="Q57" t="s">
        <v>40</v>
      </c>
      <c r="R57">
        <v>26</v>
      </c>
      <c r="S57">
        <v>1</v>
      </c>
      <c r="T57" t="s">
        <v>1636</v>
      </c>
      <c r="U57" t="s">
        <v>1637</v>
      </c>
      <c r="V57">
        <v>0</v>
      </c>
      <c r="W57" s="14" t="str">
        <f t="shared" si="0"/>
        <v>(2769,null,1,'2026-04-28 00:00:00','003101000330001-31010003302','003101000330001-31010003302','周围神经毁损术（三叉神经节后段毁损加收）',null,null,396,360,306,null,410,369,317,'次',26,1,'normal','main',0),</v>
      </c>
    </row>
    <row r="58" spans="1:23">
      <c r="A58">
        <v>2770</v>
      </c>
      <c r="B58" t="s">
        <v>1634</v>
      </c>
      <c r="C58">
        <v>1</v>
      </c>
      <c r="D58" s="11" t="s">
        <v>1635</v>
      </c>
      <c r="E58" t="s">
        <v>368</v>
      </c>
      <c r="F58" t="s">
        <v>368</v>
      </c>
      <c r="G58" t="s">
        <v>369</v>
      </c>
      <c r="H58" t="s">
        <v>1634</v>
      </c>
      <c r="I58" t="s">
        <v>1634</v>
      </c>
      <c r="J58">
        <v>594</v>
      </c>
      <c r="K58">
        <v>540</v>
      </c>
      <c r="L58">
        <v>459</v>
      </c>
      <c r="M58" t="s">
        <v>1634</v>
      </c>
      <c r="N58" s="12">
        <v>410</v>
      </c>
      <c r="O58" s="12">
        <v>369</v>
      </c>
      <c r="P58" s="12">
        <v>317</v>
      </c>
      <c r="Q58" t="s">
        <v>40</v>
      </c>
      <c r="R58">
        <v>26</v>
      </c>
      <c r="S58">
        <v>1</v>
      </c>
      <c r="T58" t="s">
        <v>1636</v>
      </c>
      <c r="U58" t="s">
        <v>1637</v>
      </c>
      <c r="V58">
        <v>0</v>
      </c>
      <c r="W58" s="14" t="str">
        <f t="shared" si="0"/>
        <v>(2770,null,1,'2026-04-28 00:00:00','003101000330001-31010003303','003101000330001-31010003303','周围神经毁损术（三叉神经节前段毁损加收）',null,null,594,540,459,null,410,369,317,'次',26,1,'normal','main',0),</v>
      </c>
    </row>
    <row r="59" spans="1:23">
      <c r="A59">
        <v>2771</v>
      </c>
      <c r="B59" t="s">
        <v>1634</v>
      </c>
      <c r="C59">
        <v>1</v>
      </c>
      <c r="D59" s="11" t="s">
        <v>1635</v>
      </c>
      <c r="E59" t="s">
        <v>371</v>
      </c>
      <c r="F59" t="s">
        <v>371</v>
      </c>
      <c r="G59" t="s">
        <v>372</v>
      </c>
      <c r="H59" t="s">
        <v>1634</v>
      </c>
      <c r="I59" t="s">
        <v>1634</v>
      </c>
      <c r="J59">
        <v>625</v>
      </c>
      <c r="K59">
        <v>600</v>
      </c>
      <c r="L59">
        <v>510</v>
      </c>
      <c r="M59" t="s">
        <v>1634</v>
      </c>
      <c r="N59" s="12">
        <v>410</v>
      </c>
      <c r="O59" s="12">
        <v>369</v>
      </c>
      <c r="P59" s="12">
        <v>317</v>
      </c>
      <c r="Q59" t="s">
        <v>373</v>
      </c>
      <c r="R59">
        <v>26</v>
      </c>
      <c r="S59">
        <v>1</v>
      </c>
      <c r="T59" t="s">
        <v>1636</v>
      </c>
      <c r="U59" t="s">
        <v>1637</v>
      </c>
      <c r="V59">
        <v>0</v>
      </c>
      <c r="W59" s="14" t="str">
        <f t="shared" si="0"/>
        <v>(2771,null,1,'2026-04-28 00:00:00','003302020040000-330202004','003302020040000-330202004','三叉神经干鞘膜内注射术',null,null,625,600,510,null,410,369,317,'每神经支',26,1,'normal','main',0),</v>
      </c>
    </row>
    <row r="60" spans="1:23">
      <c r="A60">
        <v>2772</v>
      </c>
      <c r="B60" t="s">
        <v>1634</v>
      </c>
      <c r="C60">
        <v>1</v>
      </c>
      <c r="D60" s="11" t="s">
        <v>1635</v>
      </c>
      <c r="E60" t="s">
        <v>374</v>
      </c>
      <c r="F60" t="s">
        <v>374</v>
      </c>
      <c r="G60" t="s">
        <v>375</v>
      </c>
      <c r="H60" t="s">
        <v>1634</v>
      </c>
      <c r="I60" t="s">
        <v>1634</v>
      </c>
      <c r="J60">
        <v>815</v>
      </c>
      <c r="K60">
        <v>780</v>
      </c>
      <c r="L60">
        <v>665</v>
      </c>
      <c r="M60" t="s">
        <v>1634</v>
      </c>
      <c r="N60" s="12">
        <v>410</v>
      </c>
      <c r="O60" s="12">
        <v>369</v>
      </c>
      <c r="P60" s="12">
        <v>317</v>
      </c>
      <c r="Q60" t="s">
        <v>373</v>
      </c>
      <c r="R60">
        <v>26</v>
      </c>
      <c r="S60">
        <v>1</v>
      </c>
      <c r="T60" t="s">
        <v>1636</v>
      </c>
      <c r="U60" t="s">
        <v>1637</v>
      </c>
      <c r="V60">
        <v>0</v>
      </c>
      <c r="W60" s="14" t="str">
        <f t="shared" si="0"/>
        <v>(2772,null,1,'2026-04-28 00:00:00','003302020040000-33020200401','003302020040000-33020200401','小儿三叉神经干鞘膜内注射术',null,null,815,780,665,null,410,369,317,'每神经支',26,1,'normal','main',0),</v>
      </c>
    </row>
    <row r="61" spans="1:23">
      <c r="A61">
        <v>2773</v>
      </c>
      <c r="B61" t="s">
        <v>1634</v>
      </c>
      <c r="C61">
        <v>1</v>
      </c>
      <c r="D61" s="11" t="s">
        <v>1635</v>
      </c>
      <c r="E61" t="s">
        <v>398</v>
      </c>
      <c r="F61" t="s">
        <v>398</v>
      </c>
      <c r="G61" t="s">
        <v>399</v>
      </c>
      <c r="H61" t="s">
        <v>1634</v>
      </c>
      <c r="I61" t="s">
        <v>1634</v>
      </c>
      <c r="J61">
        <v>3240</v>
      </c>
      <c r="K61">
        <v>2920</v>
      </c>
      <c r="L61">
        <v>2480</v>
      </c>
      <c r="M61" t="s">
        <v>1634</v>
      </c>
      <c r="N61" s="12">
        <v>3240</v>
      </c>
      <c r="O61" s="12">
        <v>2920</v>
      </c>
      <c r="P61" s="12">
        <v>2480</v>
      </c>
      <c r="Q61" t="s">
        <v>40</v>
      </c>
      <c r="R61">
        <v>26</v>
      </c>
      <c r="S61">
        <v>1</v>
      </c>
      <c r="T61" t="s">
        <v>1636</v>
      </c>
      <c r="U61" t="s">
        <v>1637</v>
      </c>
      <c r="V61">
        <v>0</v>
      </c>
      <c r="W61" s="14" t="str">
        <f t="shared" si="0"/>
        <v>(2773,null,1,'2026-04-28 00:00:00','003206000030000-320600003','003206000030000-320600003','经皮穿刺脑血管腔内球囊成形术',null,null,3240,2920,2480,null,3240,2920,2480,'次',26,1,'normal','main',0),</v>
      </c>
    </row>
    <row r="62" spans="1:23">
      <c r="A62">
        <v>2774</v>
      </c>
      <c r="B62" t="s">
        <v>1634</v>
      </c>
      <c r="C62">
        <v>1</v>
      </c>
      <c r="D62" s="11" t="s">
        <v>1635</v>
      </c>
      <c r="E62" t="s">
        <v>402</v>
      </c>
      <c r="F62" t="s">
        <v>402</v>
      </c>
      <c r="G62" t="s">
        <v>403</v>
      </c>
      <c r="H62" t="s">
        <v>1634</v>
      </c>
      <c r="I62" t="s">
        <v>1634</v>
      </c>
      <c r="J62">
        <v>4210</v>
      </c>
      <c r="K62">
        <v>3795</v>
      </c>
      <c r="L62">
        <v>3225</v>
      </c>
      <c r="M62" t="s">
        <v>1634</v>
      </c>
      <c r="N62" s="12">
        <v>4050</v>
      </c>
      <c r="O62" s="12">
        <v>3650</v>
      </c>
      <c r="P62" s="12">
        <v>3100</v>
      </c>
      <c r="Q62" t="s">
        <v>40</v>
      </c>
      <c r="R62">
        <v>26</v>
      </c>
      <c r="S62">
        <v>1</v>
      </c>
      <c r="T62" t="s">
        <v>1636</v>
      </c>
      <c r="U62" t="s">
        <v>1637</v>
      </c>
      <c r="V62">
        <v>0</v>
      </c>
      <c r="W62" s="14" t="str">
        <f t="shared" si="0"/>
        <v>(2774,null,1,'2026-04-28 00:00:00','003206000030000-32060000301','003206000030000-32060000301','小儿经皮穿刺脑血管腔内球囊成形术',null,null,4210,3795,3225,null,4050,3650,3100,'次',26,1,'normal','main',0),</v>
      </c>
    </row>
    <row r="63" spans="1:23">
      <c r="A63">
        <v>2775</v>
      </c>
      <c r="B63" t="s">
        <v>1634</v>
      </c>
      <c r="C63">
        <v>1</v>
      </c>
      <c r="D63" s="11" t="s">
        <v>1635</v>
      </c>
      <c r="E63" t="s">
        <v>413</v>
      </c>
      <c r="F63" t="s">
        <v>413</v>
      </c>
      <c r="G63" t="s">
        <v>414</v>
      </c>
      <c r="H63" t="s">
        <v>1634</v>
      </c>
      <c r="I63" t="s">
        <v>1634</v>
      </c>
      <c r="J63">
        <v>4350</v>
      </c>
      <c r="K63">
        <v>3920</v>
      </c>
      <c r="L63">
        <v>3140</v>
      </c>
      <c r="M63" t="s">
        <v>1634</v>
      </c>
      <c r="N63" s="12">
        <v>4350</v>
      </c>
      <c r="O63" s="12">
        <v>3920</v>
      </c>
      <c r="P63" s="12">
        <v>3140</v>
      </c>
      <c r="Q63" t="s">
        <v>40</v>
      </c>
      <c r="R63">
        <v>26</v>
      </c>
      <c r="S63">
        <v>1</v>
      </c>
      <c r="T63" t="s">
        <v>1636</v>
      </c>
      <c r="U63" t="s">
        <v>1637</v>
      </c>
      <c r="V63">
        <v>0</v>
      </c>
      <c r="W63" s="14" t="str">
        <f t="shared" si="0"/>
        <v>(2775,null,1,'2026-04-28 00:00:00','003206000040000-320600004','003206000040000-320600004','经皮穿刺脑血管腔内支架置入术',null,null,4350,3920,3140,null,4350,3920,3140,'次',26,1,'normal','main',0),</v>
      </c>
    </row>
    <row r="64" spans="1:23">
      <c r="A64">
        <v>2776</v>
      </c>
      <c r="B64" t="s">
        <v>1634</v>
      </c>
      <c r="C64">
        <v>1</v>
      </c>
      <c r="D64" s="11" t="s">
        <v>1635</v>
      </c>
      <c r="E64" t="s">
        <v>417</v>
      </c>
      <c r="F64" t="s">
        <v>417</v>
      </c>
      <c r="G64" t="s">
        <v>418</v>
      </c>
      <c r="H64" t="s">
        <v>1634</v>
      </c>
      <c r="I64" t="s">
        <v>1634</v>
      </c>
      <c r="J64">
        <v>5655</v>
      </c>
      <c r="K64">
        <v>5095</v>
      </c>
      <c r="L64">
        <v>4080</v>
      </c>
      <c r="M64" t="s">
        <v>1634</v>
      </c>
      <c r="N64" s="12">
        <v>5440</v>
      </c>
      <c r="O64" s="12">
        <v>4900</v>
      </c>
      <c r="P64" s="12">
        <v>3925</v>
      </c>
      <c r="Q64" t="s">
        <v>40</v>
      </c>
      <c r="R64">
        <v>26</v>
      </c>
      <c r="S64">
        <v>1</v>
      </c>
      <c r="T64" t="s">
        <v>1636</v>
      </c>
      <c r="U64" t="s">
        <v>1637</v>
      </c>
      <c r="V64">
        <v>0</v>
      </c>
      <c r="W64" s="14" t="str">
        <f t="shared" si="0"/>
        <v>(2776,null,1,'2026-04-28 00:00:00','003206000040000-32060000401','003206000040000-32060000401','小儿经皮穿刺脑血管腔内支架置入术',null,null,5655,5095,4080,null,5440,4900,3925,'次',26,1,'normal','main',0),</v>
      </c>
    </row>
    <row r="65" spans="1:23">
      <c r="A65">
        <v>2777</v>
      </c>
      <c r="B65" t="s">
        <v>1634</v>
      </c>
      <c r="C65">
        <v>1</v>
      </c>
      <c r="D65" s="11" t="s">
        <v>1635</v>
      </c>
      <c r="E65" t="s">
        <v>435</v>
      </c>
      <c r="F65" t="s">
        <v>435</v>
      </c>
      <c r="G65" t="s">
        <v>436</v>
      </c>
      <c r="H65" t="s">
        <v>1634</v>
      </c>
      <c r="I65" t="s">
        <v>1634</v>
      </c>
      <c r="J65">
        <v>4550</v>
      </c>
      <c r="K65">
        <v>4500</v>
      </c>
      <c r="L65">
        <v>4450</v>
      </c>
      <c r="M65" t="s">
        <v>1634</v>
      </c>
      <c r="N65">
        <v>4550</v>
      </c>
      <c r="O65">
        <v>4150</v>
      </c>
      <c r="P65">
        <v>3550</v>
      </c>
      <c r="Q65" t="s">
        <v>40</v>
      </c>
      <c r="R65">
        <v>26</v>
      </c>
      <c r="S65">
        <v>1</v>
      </c>
      <c r="T65" t="s">
        <v>1636</v>
      </c>
      <c r="U65" t="s">
        <v>1637</v>
      </c>
      <c r="V65">
        <v>0</v>
      </c>
      <c r="W65" s="14" t="str">
        <f t="shared" si="0"/>
        <v>(2777,null,1,'2026-04-28 00:00:00','353206000120000-320600012','353206000120000-320600012','经皮穿刺脑血管腔内取栓术',null,null,4550,4500,4450,null,4550,4150,3550,'次',26,1,'normal','main',0),</v>
      </c>
    </row>
    <row r="66" spans="1:23">
      <c r="A66">
        <v>2778</v>
      </c>
      <c r="B66" t="s">
        <v>1634</v>
      </c>
      <c r="C66">
        <v>1</v>
      </c>
      <c r="D66" s="11" t="s">
        <v>1635</v>
      </c>
      <c r="E66" t="s">
        <v>445</v>
      </c>
      <c r="F66" t="s">
        <v>445</v>
      </c>
      <c r="G66" t="s">
        <v>446</v>
      </c>
      <c r="H66" t="s">
        <v>1634</v>
      </c>
      <c r="I66" t="s">
        <v>1634</v>
      </c>
      <c r="J66">
        <v>3240</v>
      </c>
      <c r="K66">
        <v>2920</v>
      </c>
      <c r="L66">
        <v>2480</v>
      </c>
      <c r="M66" t="s">
        <v>1634</v>
      </c>
      <c r="N66">
        <v>3500</v>
      </c>
      <c r="O66">
        <v>3200</v>
      </c>
      <c r="P66">
        <v>2700</v>
      </c>
      <c r="Q66" t="s">
        <v>40</v>
      </c>
      <c r="R66">
        <v>26</v>
      </c>
      <c r="S66">
        <v>1</v>
      </c>
      <c r="T66" t="s">
        <v>1636</v>
      </c>
      <c r="U66" t="s">
        <v>1637</v>
      </c>
      <c r="V66">
        <v>0</v>
      </c>
      <c r="W66" s="14" t="str">
        <f t="shared" si="0"/>
        <v>(2778,null,1,'2026-04-28 00:00:00','003206000050000-320600005','003206000050000-320600005','经皮穿刺脑血管腔内溶栓术',null,null,3240,2920,2480,null,3500,3200,2700,'次',26,1,'normal','main',0),</v>
      </c>
    </row>
    <row r="67" spans="1:23">
      <c r="A67">
        <v>2779</v>
      </c>
      <c r="B67" t="s">
        <v>1634</v>
      </c>
      <c r="C67">
        <v>1</v>
      </c>
      <c r="D67" s="11" t="s">
        <v>1635</v>
      </c>
      <c r="E67" t="s">
        <v>449</v>
      </c>
      <c r="F67" t="s">
        <v>449</v>
      </c>
      <c r="G67" t="s">
        <v>450</v>
      </c>
      <c r="H67" t="s">
        <v>1634</v>
      </c>
      <c r="I67" t="s">
        <v>1634</v>
      </c>
      <c r="J67">
        <v>4210</v>
      </c>
      <c r="K67">
        <v>3795</v>
      </c>
      <c r="L67">
        <v>3225</v>
      </c>
      <c r="M67" t="s">
        <v>1634</v>
      </c>
      <c r="N67">
        <v>4550</v>
      </c>
      <c r="O67">
        <v>4160</v>
      </c>
      <c r="P67">
        <v>3510</v>
      </c>
      <c r="Q67" t="s">
        <v>40</v>
      </c>
      <c r="R67">
        <v>26</v>
      </c>
      <c r="S67">
        <v>1</v>
      </c>
      <c r="T67" t="s">
        <v>1636</v>
      </c>
      <c r="U67" t="s">
        <v>1637</v>
      </c>
      <c r="V67">
        <v>0</v>
      </c>
      <c r="W67" s="14" t="str">
        <f t="shared" ref="W67:W130" si="1">"("&amp;A67&amp;","&amp;B67&amp;","&amp;C67&amp;",'"&amp;D67&amp;"','"&amp;E67&amp;"','"&amp;F67&amp;"','"&amp;G67&amp;"',"&amp;H67&amp;","&amp;I67&amp;","&amp;J67&amp;","&amp;K67&amp;","&amp;L67&amp;","&amp;M67&amp;","&amp;N67&amp;","&amp;O67&amp;","&amp;P67&amp;",'"&amp;Q67&amp;"',"&amp;R67&amp;","&amp;S67&amp;",'"&amp;T67&amp;"','"&amp;U67&amp;"',"&amp;V67&amp;"),"</f>
        <v>(2779,null,1,'2026-04-28 00:00:00','003206000050000-32060000501','003206000050000-32060000501','小儿经皮穿刺脑血管腔内溶栓术',null,null,4210,3795,3225,null,4550,4160,3510,'次',26,1,'normal','main',0),</v>
      </c>
    </row>
    <row r="68" spans="1:23">
      <c r="A68">
        <v>2780</v>
      </c>
      <c r="B68" t="s">
        <v>1634</v>
      </c>
      <c r="C68">
        <v>1</v>
      </c>
      <c r="D68" s="11" t="s">
        <v>1635</v>
      </c>
      <c r="E68" t="s">
        <v>454</v>
      </c>
      <c r="F68" t="s">
        <v>454</v>
      </c>
      <c r="G68" t="s">
        <v>455</v>
      </c>
      <c r="H68" t="s">
        <v>1634</v>
      </c>
      <c r="I68" t="s">
        <v>1634</v>
      </c>
      <c r="J68">
        <v>2915</v>
      </c>
      <c r="K68">
        <v>2625</v>
      </c>
      <c r="L68">
        <v>2230</v>
      </c>
      <c r="M68" t="s">
        <v>1634</v>
      </c>
      <c r="N68">
        <v>3500</v>
      </c>
      <c r="O68">
        <v>3200</v>
      </c>
      <c r="P68">
        <v>2700</v>
      </c>
      <c r="Q68" t="s">
        <v>40</v>
      </c>
      <c r="R68">
        <v>26</v>
      </c>
      <c r="S68">
        <v>1</v>
      </c>
      <c r="T68" t="s">
        <v>1636</v>
      </c>
      <c r="U68" t="s">
        <v>1637</v>
      </c>
      <c r="V68">
        <v>0</v>
      </c>
      <c r="W68" s="14" t="str">
        <f t="shared" si="1"/>
        <v>(2780,null,1,'2026-04-28 00:00:00','003206000060000-320600006','003206000060000-320600006','经皮穿刺脑血管腔内化疗术',null,null,2915,2625,2230,null,3500,3200,2700,'次',26,1,'normal','main',0),</v>
      </c>
    </row>
    <row r="69" spans="1:23">
      <c r="A69">
        <v>2781</v>
      </c>
      <c r="B69" t="s">
        <v>1634</v>
      </c>
      <c r="C69">
        <v>1</v>
      </c>
      <c r="D69" s="11" t="s">
        <v>1635</v>
      </c>
      <c r="E69" t="s">
        <v>456</v>
      </c>
      <c r="F69" t="s">
        <v>456</v>
      </c>
      <c r="G69" t="s">
        <v>457</v>
      </c>
      <c r="H69" t="s">
        <v>1634</v>
      </c>
      <c r="I69" t="s">
        <v>1634</v>
      </c>
      <c r="J69">
        <v>3790</v>
      </c>
      <c r="K69">
        <v>3415</v>
      </c>
      <c r="L69">
        <v>2900</v>
      </c>
      <c r="M69" t="s">
        <v>1634</v>
      </c>
      <c r="N69">
        <v>3500</v>
      </c>
      <c r="O69">
        <v>3200</v>
      </c>
      <c r="P69">
        <v>2700</v>
      </c>
      <c r="Q69" t="s">
        <v>40</v>
      </c>
      <c r="R69">
        <v>26</v>
      </c>
      <c r="S69">
        <v>1</v>
      </c>
      <c r="T69" t="s">
        <v>1636</v>
      </c>
      <c r="U69" t="s">
        <v>1637</v>
      </c>
      <c r="V69">
        <v>0</v>
      </c>
      <c r="W69" s="14" t="str">
        <f t="shared" si="1"/>
        <v>(2781,null,1,'2026-04-28 00:00:00','003206000060000-32060000601','003206000060000-32060000601','小儿经皮穿刺脑血管腔内化疗术',null,null,3790,3415,2900,null,3500,3200,2700,'次',26,1,'normal','main',0),</v>
      </c>
    </row>
    <row r="70" spans="1:23">
      <c r="A70">
        <v>2782</v>
      </c>
      <c r="B70" t="s">
        <v>1634</v>
      </c>
      <c r="C70">
        <v>1</v>
      </c>
      <c r="D70" s="11" t="s">
        <v>1635</v>
      </c>
      <c r="E70" t="s">
        <v>468</v>
      </c>
      <c r="F70" t="s">
        <v>468</v>
      </c>
      <c r="G70" t="s">
        <v>469</v>
      </c>
      <c r="H70" t="s">
        <v>1634</v>
      </c>
      <c r="I70" t="s">
        <v>1634</v>
      </c>
      <c r="J70">
        <v>4535</v>
      </c>
      <c r="K70">
        <v>4080</v>
      </c>
      <c r="L70">
        <v>3470</v>
      </c>
      <c r="M70" t="s">
        <v>1634</v>
      </c>
      <c r="N70" s="12">
        <v>3840</v>
      </c>
      <c r="O70" s="12">
        <v>3510</v>
      </c>
      <c r="P70" s="12">
        <v>2965</v>
      </c>
      <c r="Q70" t="s">
        <v>40</v>
      </c>
      <c r="R70">
        <v>26</v>
      </c>
      <c r="S70">
        <v>1</v>
      </c>
      <c r="T70" t="s">
        <v>1636</v>
      </c>
      <c r="U70" t="s">
        <v>1637</v>
      </c>
      <c r="V70">
        <v>0</v>
      </c>
      <c r="W70" s="14" t="str">
        <f t="shared" si="1"/>
        <v>(2782,null,1,'2026-04-28 00:00:00','003206000020000-320600002','003206000020000-320600002','单纯脑动静脉瘘栓塞术',null,null,4535,4080,3470,null,3840,3510,2965,'次',26,1,'normal','main',0),</v>
      </c>
    </row>
    <row r="71" spans="1:23">
      <c r="A71">
        <v>2783</v>
      </c>
      <c r="B71" t="s">
        <v>1634</v>
      </c>
      <c r="C71">
        <v>1</v>
      </c>
      <c r="D71" s="11" t="s">
        <v>1635</v>
      </c>
      <c r="E71" t="s">
        <v>470</v>
      </c>
      <c r="F71" t="s">
        <v>470</v>
      </c>
      <c r="G71" t="s">
        <v>471</v>
      </c>
      <c r="H71" t="s">
        <v>1634</v>
      </c>
      <c r="I71" t="s">
        <v>1634</v>
      </c>
      <c r="J71">
        <v>5895</v>
      </c>
      <c r="K71">
        <v>5305</v>
      </c>
      <c r="L71">
        <v>4510</v>
      </c>
      <c r="M71" t="s">
        <v>1634</v>
      </c>
      <c r="N71" s="12">
        <v>3840</v>
      </c>
      <c r="O71" s="12">
        <v>3510</v>
      </c>
      <c r="P71" s="12">
        <v>2965</v>
      </c>
      <c r="Q71" t="s">
        <v>40</v>
      </c>
      <c r="R71">
        <v>26</v>
      </c>
      <c r="S71">
        <v>1</v>
      </c>
      <c r="T71" t="s">
        <v>1636</v>
      </c>
      <c r="U71" t="s">
        <v>1637</v>
      </c>
      <c r="V71">
        <v>0</v>
      </c>
      <c r="W71" s="14" t="str">
        <f t="shared" si="1"/>
        <v>(2783,null,1,'2026-04-28 00:00:00','003206000020000-32060000201','003206000020000-32060000201','小儿单纯脑动静脉瘘栓塞术',null,null,5895,5305,4510,null,3840,3510,2965,'次',26,1,'normal','main',0),</v>
      </c>
    </row>
    <row r="72" spans="1:23">
      <c r="A72">
        <v>2784</v>
      </c>
      <c r="B72" t="s">
        <v>1634</v>
      </c>
      <c r="C72">
        <v>1</v>
      </c>
      <c r="D72" s="11" t="s">
        <v>1635</v>
      </c>
      <c r="E72" t="s">
        <v>472</v>
      </c>
      <c r="F72" t="s">
        <v>472</v>
      </c>
      <c r="G72" t="s">
        <v>473</v>
      </c>
      <c r="H72" t="s">
        <v>1634</v>
      </c>
      <c r="I72" t="s">
        <v>1634</v>
      </c>
      <c r="J72">
        <v>3240</v>
      </c>
      <c r="K72">
        <v>2920</v>
      </c>
      <c r="L72">
        <v>2480</v>
      </c>
      <c r="M72" t="s">
        <v>1634</v>
      </c>
      <c r="N72" s="12">
        <v>3840</v>
      </c>
      <c r="O72" s="12">
        <v>3510</v>
      </c>
      <c r="P72" s="12">
        <v>2965</v>
      </c>
      <c r="Q72" t="s">
        <v>40</v>
      </c>
      <c r="R72">
        <v>26</v>
      </c>
      <c r="S72">
        <v>1</v>
      </c>
      <c r="T72" t="s">
        <v>1636</v>
      </c>
      <c r="U72" t="s">
        <v>1637</v>
      </c>
      <c r="V72">
        <v>0</v>
      </c>
      <c r="W72" s="14" t="str">
        <f t="shared" si="1"/>
        <v>(2784,null,1,'2026-04-28 00:00:00','003206000090000-320600009','003206000090000-320600009','脑及颅内血管畸形栓塞术',null,null,3240,2920,2480,null,3840,3510,2965,'次',26,1,'normal','main',0),</v>
      </c>
    </row>
    <row r="73" spans="1:23">
      <c r="A73">
        <v>2785</v>
      </c>
      <c r="B73" t="s">
        <v>1634</v>
      </c>
      <c r="C73">
        <v>1</v>
      </c>
      <c r="D73" s="11" t="s">
        <v>1635</v>
      </c>
      <c r="E73" t="s">
        <v>474</v>
      </c>
      <c r="F73" t="s">
        <v>474</v>
      </c>
      <c r="G73" t="s">
        <v>475</v>
      </c>
      <c r="H73" t="s">
        <v>1634</v>
      </c>
      <c r="I73" t="s">
        <v>1634</v>
      </c>
      <c r="J73">
        <v>4210</v>
      </c>
      <c r="K73">
        <v>3795</v>
      </c>
      <c r="L73">
        <v>3225</v>
      </c>
      <c r="M73" t="s">
        <v>1634</v>
      </c>
      <c r="N73" s="12">
        <v>3840</v>
      </c>
      <c r="O73" s="12">
        <v>3510</v>
      </c>
      <c r="P73" s="12">
        <v>2965</v>
      </c>
      <c r="Q73" t="s">
        <v>40</v>
      </c>
      <c r="R73">
        <v>26</v>
      </c>
      <c r="S73">
        <v>1</v>
      </c>
      <c r="T73" t="s">
        <v>1636</v>
      </c>
      <c r="U73" t="s">
        <v>1637</v>
      </c>
      <c r="V73">
        <v>0</v>
      </c>
      <c r="W73" s="14" t="str">
        <f t="shared" si="1"/>
        <v>(2785,null,1,'2026-04-28 00:00:00','003206000090000-32060000901','003206000090000-32060000901','小儿脑及颅内血管畸形栓塞术',null,null,4210,3795,3225,null,3840,3510,2965,'次',26,1,'normal','main',0),</v>
      </c>
    </row>
    <row r="74" spans="1:23">
      <c r="A74">
        <v>2786</v>
      </c>
      <c r="B74" t="s">
        <v>1634</v>
      </c>
      <c r="C74">
        <v>1</v>
      </c>
      <c r="D74" s="11" t="s">
        <v>1635</v>
      </c>
      <c r="E74" t="s">
        <v>479</v>
      </c>
      <c r="F74" t="s">
        <v>479</v>
      </c>
      <c r="G74" t="s">
        <v>480</v>
      </c>
      <c r="H74" t="s">
        <v>1634</v>
      </c>
      <c r="I74" t="s">
        <v>1634</v>
      </c>
      <c r="J74">
        <v>4690</v>
      </c>
      <c r="K74">
        <v>4220</v>
      </c>
      <c r="L74">
        <v>3375</v>
      </c>
      <c r="M74" t="s">
        <v>1634</v>
      </c>
      <c r="N74">
        <v>4690</v>
      </c>
      <c r="O74">
        <v>4220</v>
      </c>
      <c r="P74">
        <v>3375</v>
      </c>
      <c r="Q74" t="s">
        <v>40</v>
      </c>
      <c r="R74">
        <v>26</v>
      </c>
      <c r="S74">
        <v>1</v>
      </c>
      <c r="T74" t="s">
        <v>1636</v>
      </c>
      <c r="U74" t="s">
        <v>1637</v>
      </c>
      <c r="V74">
        <v>0</v>
      </c>
      <c r="W74" s="14" t="str">
        <f t="shared" si="1"/>
        <v>(2786,null,1,'2026-04-28 00:00:00','003206000080000-320600008','003206000080000-320600008','颅内动脉瘤栓塞术',null,null,4690,4220,3375,null,4690,4220,3375,'次',26,1,'normal','main',0),</v>
      </c>
    </row>
    <row r="75" spans="1:23">
      <c r="A75">
        <v>2787</v>
      </c>
      <c r="B75" t="s">
        <v>1634</v>
      </c>
      <c r="C75">
        <v>1</v>
      </c>
      <c r="D75" s="11" t="s">
        <v>1635</v>
      </c>
      <c r="E75" t="s">
        <v>481</v>
      </c>
      <c r="F75" t="s">
        <v>481</v>
      </c>
      <c r="G75" t="s">
        <v>482</v>
      </c>
      <c r="H75" t="s">
        <v>1634</v>
      </c>
      <c r="I75" t="s">
        <v>1634</v>
      </c>
      <c r="J75">
        <v>7630</v>
      </c>
      <c r="K75">
        <v>6870</v>
      </c>
      <c r="L75">
        <v>5840</v>
      </c>
      <c r="M75" t="s">
        <v>1634</v>
      </c>
      <c r="N75">
        <v>4690</v>
      </c>
      <c r="O75">
        <v>4220</v>
      </c>
      <c r="P75">
        <v>3375</v>
      </c>
      <c r="Q75" t="s">
        <v>40</v>
      </c>
      <c r="R75">
        <v>26</v>
      </c>
      <c r="S75">
        <v>1</v>
      </c>
      <c r="T75" t="s">
        <v>1636</v>
      </c>
      <c r="U75" t="s">
        <v>1637</v>
      </c>
      <c r="V75">
        <v>0</v>
      </c>
      <c r="W75" s="14" t="str">
        <f t="shared" si="1"/>
        <v>(2787,null,1,'2026-04-28 00:00:00','003302030040000-330203004','003302030040000-330203004','颅内巨大动静脉畸形栓塞后切除术',null,null,7630,6870,5840,null,4690,4220,3375,'次',26,1,'normal','main',0),</v>
      </c>
    </row>
    <row r="76" spans="1:23">
      <c r="A76">
        <v>2788</v>
      </c>
      <c r="B76" t="s">
        <v>1634</v>
      </c>
      <c r="C76">
        <v>1</v>
      </c>
      <c r="D76" s="11" t="s">
        <v>1635</v>
      </c>
      <c r="E76" t="s">
        <v>485</v>
      </c>
      <c r="F76" t="s">
        <v>485</v>
      </c>
      <c r="G76" t="s">
        <v>486</v>
      </c>
      <c r="H76" t="s">
        <v>1634</v>
      </c>
      <c r="I76" t="s">
        <v>1634</v>
      </c>
      <c r="J76">
        <v>4220</v>
      </c>
      <c r="K76">
        <v>3800</v>
      </c>
      <c r="L76">
        <v>3230</v>
      </c>
      <c r="M76" t="s">
        <v>1634</v>
      </c>
      <c r="N76">
        <v>4690</v>
      </c>
      <c r="O76">
        <v>4220</v>
      </c>
      <c r="P76">
        <v>3375</v>
      </c>
      <c r="Q76" t="s">
        <v>40</v>
      </c>
      <c r="R76">
        <v>26</v>
      </c>
      <c r="S76">
        <v>1</v>
      </c>
      <c r="T76" t="s">
        <v>1636</v>
      </c>
      <c r="U76" t="s">
        <v>1637</v>
      </c>
      <c r="V76">
        <v>0</v>
      </c>
      <c r="W76" s="14" t="str">
        <f t="shared" si="1"/>
        <v>(2788,null,1,'2026-04-28 00:00:00','003302030030000-330203003','003302030030000-330203003','颅内动脉瘤包裹术',null,null,4220,3800,3230,null,4690,4220,3375,'次',26,1,'normal','main',0),</v>
      </c>
    </row>
    <row r="77" spans="1:23">
      <c r="A77">
        <v>2789</v>
      </c>
      <c r="B77" t="s">
        <v>1634</v>
      </c>
      <c r="C77">
        <v>1</v>
      </c>
      <c r="D77" s="11" t="s">
        <v>1635</v>
      </c>
      <c r="E77" t="s">
        <v>491</v>
      </c>
      <c r="F77" t="s">
        <v>491</v>
      </c>
      <c r="G77" t="s">
        <v>492</v>
      </c>
      <c r="H77" t="s">
        <v>1634</v>
      </c>
      <c r="I77" t="s">
        <v>1634</v>
      </c>
      <c r="J77">
        <v>9920</v>
      </c>
      <c r="K77">
        <v>8930</v>
      </c>
      <c r="L77">
        <v>7590</v>
      </c>
      <c r="M77" t="s">
        <v>1634</v>
      </c>
      <c r="N77">
        <v>6095</v>
      </c>
      <c r="O77">
        <v>5485</v>
      </c>
      <c r="P77">
        <v>4390</v>
      </c>
      <c r="Q77" t="s">
        <v>40</v>
      </c>
      <c r="R77">
        <v>26</v>
      </c>
      <c r="S77">
        <v>1</v>
      </c>
      <c r="T77" t="s">
        <v>1636</v>
      </c>
      <c r="U77" t="s">
        <v>1637</v>
      </c>
      <c r="V77">
        <v>0</v>
      </c>
      <c r="W77" s="14" t="str">
        <f t="shared" si="1"/>
        <v>(2789,null,1,'2026-04-28 00:00:00','003302030040000-33020300401','003302030040000-33020300401','小儿颅内巨大动静脉畸形栓塞后切除术',null,null,9920,8930,7590,null,6095,5485,4390,'次',26,1,'normal','main',0),</v>
      </c>
    </row>
    <row r="78" spans="1:23">
      <c r="A78">
        <v>2790</v>
      </c>
      <c r="B78" t="s">
        <v>1634</v>
      </c>
      <c r="C78">
        <v>1</v>
      </c>
      <c r="D78" s="11" t="s">
        <v>1635</v>
      </c>
      <c r="E78" t="s">
        <v>493</v>
      </c>
      <c r="F78" t="s">
        <v>493</v>
      </c>
      <c r="G78" t="s">
        <v>494</v>
      </c>
      <c r="H78" t="s">
        <v>1634</v>
      </c>
      <c r="I78" t="s">
        <v>1634</v>
      </c>
      <c r="J78">
        <v>5485</v>
      </c>
      <c r="K78">
        <v>4940</v>
      </c>
      <c r="L78">
        <v>4200</v>
      </c>
      <c r="M78" t="s">
        <v>1634</v>
      </c>
      <c r="N78">
        <v>6095</v>
      </c>
      <c r="O78">
        <v>5485</v>
      </c>
      <c r="P78">
        <v>4390</v>
      </c>
      <c r="Q78" t="s">
        <v>40</v>
      </c>
      <c r="R78">
        <v>26</v>
      </c>
      <c r="S78">
        <v>1</v>
      </c>
      <c r="T78" t="s">
        <v>1636</v>
      </c>
      <c r="U78" t="s">
        <v>1637</v>
      </c>
      <c r="V78">
        <v>0</v>
      </c>
      <c r="W78" s="14" t="str">
        <f t="shared" si="1"/>
        <v>(2790,null,1,'2026-04-28 00:00:00','003302030030000-33020300301','003302030030000-33020300301','小儿颅内动脉瘤包裹术',null,null,5485,4940,4200,null,6095,5485,4390,'次',26,1,'normal','main',0),</v>
      </c>
    </row>
    <row r="79" spans="1:23">
      <c r="A79">
        <v>2791</v>
      </c>
      <c r="B79" t="s">
        <v>1634</v>
      </c>
      <c r="C79">
        <v>1</v>
      </c>
      <c r="D79" s="11" t="s">
        <v>1635</v>
      </c>
      <c r="E79" t="s">
        <v>495</v>
      </c>
      <c r="F79" t="s">
        <v>495</v>
      </c>
      <c r="G79" t="s">
        <v>496</v>
      </c>
      <c r="H79" t="s">
        <v>1634</v>
      </c>
      <c r="I79" t="s">
        <v>1634</v>
      </c>
      <c r="J79">
        <v>6095</v>
      </c>
      <c r="K79">
        <v>5485</v>
      </c>
      <c r="L79">
        <v>4390</v>
      </c>
      <c r="M79" t="s">
        <v>1634</v>
      </c>
      <c r="N79">
        <v>6095</v>
      </c>
      <c r="O79">
        <v>5485</v>
      </c>
      <c r="P79">
        <v>4390</v>
      </c>
      <c r="Q79" t="s">
        <v>40</v>
      </c>
      <c r="R79">
        <v>26</v>
      </c>
      <c r="S79">
        <v>1</v>
      </c>
      <c r="T79" t="s">
        <v>1636</v>
      </c>
      <c r="U79" t="s">
        <v>1637</v>
      </c>
      <c r="V79">
        <v>0</v>
      </c>
      <c r="W79" s="14" t="str">
        <f t="shared" si="1"/>
        <v>(2791,null,1,'2026-04-28 00:00:00','003206000080000-32060000801','003206000080000-32060000801','小儿颅内动脉瘤栓塞术',null,null,6095,5485,4390,null,6095,5485,4390,'次',26,1,'normal','main',0),</v>
      </c>
    </row>
    <row r="80" spans="1:23">
      <c r="A80">
        <v>2792</v>
      </c>
      <c r="B80" t="s">
        <v>1634</v>
      </c>
      <c r="C80">
        <v>1</v>
      </c>
      <c r="D80" s="11" t="s">
        <v>1635</v>
      </c>
      <c r="E80" t="s">
        <v>504</v>
      </c>
      <c r="F80" t="s">
        <v>504</v>
      </c>
      <c r="G80" t="s">
        <v>505</v>
      </c>
      <c r="H80" t="s">
        <v>1634</v>
      </c>
      <c r="I80" t="s">
        <v>1634</v>
      </c>
      <c r="J80">
        <v>5265</v>
      </c>
      <c r="K80">
        <v>4740</v>
      </c>
      <c r="L80">
        <v>4025</v>
      </c>
      <c r="M80" t="s">
        <v>1634</v>
      </c>
      <c r="N80" s="12">
        <v>4685</v>
      </c>
      <c r="O80" s="12">
        <v>4320</v>
      </c>
      <c r="P80" s="12">
        <v>3630</v>
      </c>
      <c r="Q80" t="s">
        <v>40</v>
      </c>
      <c r="R80">
        <v>26</v>
      </c>
      <c r="S80">
        <v>1</v>
      </c>
      <c r="T80" t="s">
        <v>1636</v>
      </c>
      <c r="U80" t="s">
        <v>1637</v>
      </c>
      <c r="V80">
        <v>0</v>
      </c>
      <c r="W80" s="14" t="str">
        <f t="shared" si="1"/>
        <v>(2792,null,1,'2026-04-28 00:00:00','003206000110000-32060001101','003206000110000-32060001101','小儿脊髓血管畸形栓塞术',null,null,5265,4740,4025,null,4685,4320,3630,'次',26,1,'normal','main',0),</v>
      </c>
    </row>
    <row r="81" spans="1:23">
      <c r="A81">
        <v>2793</v>
      </c>
      <c r="B81" t="s">
        <v>1634</v>
      </c>
      <c r="C81">
        <v>1</v>
      </c>
      <c r="D81" s="11" t="s">
        <v>1635</v>
      </c>
      <c r="E81" t="s">
        <v>509</v>
      </c>
      <c r="F81" t="s">
        <v>509</v>
      </c>
      <c r="G81" t="s">
        <v>510</v>
      </c>
      <c r="H81" t="s">
        <v>1634</v>
      </c>
      <c r="I81" t="s">
        <v>1634</v>
      </c>
      <c r="J81">
        <v>4050</v>
      </c>
      <c r="K81">
        <v>3645</v>
      </c>
      <c r="L81">
        <v>3095</v>
      </c>
      <c r="M81" t="s">
        <v>1634</v>
      </c>
      <c r="N81" s="12">
        <v>4340</v>
      </c>
      <c r="O81" s="12">
        <v>3996</v>
      </c>
      <c r="P81" s="12">
        <v>3352</v>
      </c>
      <c r="Q81" t="s">
        <v>40</v>
      </c>
      <c r="R81">
        <v>26</v>
      </c>
      <c r="S81">
        <v>1</v>
      </c>
      <c r="T81" t="s">
        <v>1636</v>
      </c>
      <c r="U81" t="s">
        <v>1637</v>
      </c>
      <c r="V81">
        <v>0</v>
      </c>
      <c r="W81" s="14" t="str">
        <f t="shared" si="1"/>
        <v>(2793,null,1,'2026-04-28 00:00:00','003206000110000-320600011','003206000110000-320600011','脊髓血管畸形栓塞术',null,null,4050,3645,3095,null,4340,3996,3352,'次',26,1,'normal','main',0),</v>
      </c>
    </row>
    <row r="82" spans="1:23">
      <c r="A82">
        <v>2794</v>
      </c>
      <c r="B82" t="s">
        <v>1634</v>
      </c>
      <c r="C82">
        <v>1</v>
      </c>
      <c r="D82" s="11" t="s">
        <v>1635</v>
      </c>
      <c r="E82" t="s">
        <v>517</v>
      </c>
      <c r="F82" t="s">
        <v>517</v>
      </c>
      <c r="G82" t="s">
        <v>518</v>
      </c>
      <c r="H82" t="s">
        <v>1634</v>
      </c>
      <c r="I82" t="s">
        <v>1634</v>
      </c>
      <c r="J82">
        <v>4300</v>
      </c>
      <c r="K82">
        <v>4300</v>
      </c>
      <c r="L82">
        <v>3655</v>
      </c>
      <c r="M82" t="s">
        <v>1634</v>
      </c>
      <c r="N82">
        <v>3800</v>
      </c>
      <c r="O82">
        <v>3450</v>
      </c>
      <c r="P82">
        <v>2950</v>
      </c>
      <c r="Q82" t="s">
        <v>40</v>
      </c>
      <c r="R82">
        <v>26</v>
      </c>
      <c r="S82">
        <v>1</v>
      </c>
      <c r="T82" t="s">
        <v>1636</v>
      </c>
      <c r="U82" t="s">
        <v>1637</v>
      </c>
      <c r="V82">
        <v>0</v>
      </c>
      <c r="W82" s="14" t="str">
        <f t="shared" si="1"/>
        <v>(2794,null,1,'2026-04-28 00:00:00','003302010610000-330202021','003302010610000-330202021','运动皮层电刺激镇痛术',null,null,4300,4300,3655,null,3800,3450,2950,'次',26,1,'normal','main',0),</v>
      </c>
    </row>
    <row r="83" spans="1:23">
      <c r="A83">
        <v>2795</v>
      </c>
      <c r="B83" t="s">
        <v>1634</v>
      </c>
      <c r="C83">
        <v>1</v>
      </c>
      <c r="D83" s="11" t="s">
        <v>1635</v>
      </c>
      <c r="E83" t="s">
        <v>521</v>
      </c>
      <c r="F83" t="s">
        <v>521</v>
      </c>
      <c r="G83" t="s">
        <v>522</v>
      </c>
      <c r="H83" t="s">
        <v>1634</v>
      </c>
      <c r="I83" t="s">
        <v>1634</v>
      </c>
      <c r="J83">
        <v>6450</v>
      </c>
      <c r="K83">
        <v>6450</v>
      </c>
      <c r="L83">
        <v>5482.5</v>
      </c>
      <c r="M83" t="s">
        <v>1634</v>
      </c>
      <c r="N83">
        <v>3800</v>
      </c>
      <c r="O83">
        <v>3450</v>
      </c>
      <c r="P83">
        <v>2950</v>
      </c>
      <c r="Q83" t="s">
        <v>40</v>
      </c>
      <c r="R83">
        <v>26</v>
      </c>
      <c r="S83">
        <v>1</v>
      </c>
      <c r="T83" t="s">
        <v>1636</v>
      </c>
      <c r="U83" t="s">
        <v>1637</v>
      </c>
      <c r="V83">
        <v>0</v>
      </c>
      <c r="W83" s="14" t="str">
        <f t="shared" si="1"/>
        <v>(2795,null,1,'2026-04-28 00:00:00','003302010610000-330202022','003302010610000-330202022','运动皮层电刺激镇痛术（双侧）',null,null,6450,6450,5482.5,null,3800,3450,2950,'次',26,1,'normal','main',0),</v>
      </c>
    </row>
    <row r="84" spans="1:23">
      <c r="A84">
        <v>2796</v>
      </c>
      <c r="B84" t="s">
        <v>1634</v>
      </c>
      <c r="C84">
        <v>1</v>
      </c>
      <c r="D84" s="11" t="s">
        <v>1635</v>
      </c>
      <c r="E84" t="s">
        <v>529</v>
      </c>
      <c r="F84" t="s">
        <v>529</v>
      </c>
      <c r="G84" t="s">
        <v>530</v>
      </c>
      <c r="H84" t="s">
        <v>1634</v>
      </c>
      <c r="I84" t="s">
        <v>1634</v>
      </c>
      <c r="J84">
        <v>3710</v>
      </c>
      <c r="K84">
        <v>3340</v>
      </c>
      <c r="L84">
        <v>2840</v>
      </c>
      <c r="M84" t="s">
        <v>1634</v>
      </c>
      <c r="N84">
        <v>4100</v>
      </c>
      <c r="O84">
        <v>3700</v>
      </c>
      <c r="P84">
        <v>3150</v>
      </c>
      <c r="Q84" t="s">
        <v>40</v>
      </c>
      <c r="R84">
        <v>26</v>
      </c>
      <c r="S84">
        <v>1</v>
      </c>
      <c r="T84" t="s">
        <v>1636</v>
      </c>
      <c r="U84" t="s">
        <v>1637</v>
      </c>
      <c r="V84">
        <v>0</v>
      </c>
      <c r="W84" s="14" t="str">
        <f t="shared" si="1"/>
        <v>(2796,null,1,'2026-04-28 00:00:00','003302010350000-330201035','003302010350000-330201035','脑深部电极置入术',null,null,3710,3340,2840,null,4100,3700,3150,'次',26,1,'normal','main',0),</v>
      </c>
    </row>
    <row r="85" spans="1:23">
      <c r="A85">
        <v>2797</v>
      </c>
      <c r="B85" t="s">
        <v>1634</v>
      </c>
      <c r="C85">
        <v>1</v>
      </c>
      <c r="D85" s="11" t="s">
        <v>1635</v>
      </c>
      <c r="E85" t="s">
        <v>532</v>
      </c>
      <c r="F85" t="s">
        <v>532</v>
      </c>
      <c r="G85" t="s">
        <v>533</v>
      </c>
      <c r="H85" t="s">
        <v>1634</v>
      </c>
      <c r="I85" t="s">
        <v>1634</v>
      </c>
      <c r="J85">
        <v>3300</v>
      </c>
      <c r="K85">
        <v>3300</v>
      </c>
      <c r="L85">
        <v>2805</v>
      </c>
      <c r="M85" t="s">
        <v>1634</v>
      </c>
      <c r="N85">
        <v>4100</v>
      </c>
      <c r="O85">
        <v>3700</v>
      </c>
      <c r="P85">
        <v>3150</v>
      </c>
      <c r="Q85" t="s">
        <v>40</v>
      </c>
      <c r="R85">
        <v>26</v>
      </c>
      <c r="S85">
        <v>1</v>
      </c>
      <c r="T85" t="s">
        <v>1636</v>
      </c>
      <c r="U85" t="s">
        <v>1637</v>
      </c>
      <c r="V85">
        <v>0</v>
      </c>
      <c r="W85" s="14" t="str">
        <f t="shared" si="1"/>
        <v>(2797,null,1,'2026-04-28 00:00:00','003302020190000-330202020','003302020190000-330202020','脑深部电刺激镇痛术',null,null,3300,3300,2805,null,4100,3700,3150,'次',26,1,'normal','main',0),</v>
      </c>
    </row>
    <row r="86" spans="1:23">
      <c r="A86">
        <v>2798</v>
      </c>
      <c r="B86" t="s">
        <v>1634</v>
      </c>
      <c r="C86">
        <v>1</v>
      </c>
      <c r="D86" s="11" t="s">
        <v>1635</v>
      </c>
      <c r="E86" t="s">
        <v>536</v>
      </c>
      <c r="F86" t="s">
        <v>536</v>
      </c>
      <c r="G86" t="s">
        <v>538</v>
      </c>
      <c r="H86" t="s">
        <v>1634</v>
      </c>
      <c r="I86" t="s">
        <v>1634</v>
      </c>
      <c r="J86">
        <v>0</v>
      </c>
      <c r="K86">
        <v>0</v>
      </c>
      <c r="L86">
        <v>0</v>
      </c>
      <c r="M86" t="s">
        <v>1634</v>
      </c>
      <c r="N86">
        <v>4100</v>
      </c>
      <c r="O86">
        <v>3700</v>
      </c>
      <c r="P86">
        <v>3150</v>
      </c>
      <c r="Q86" t="s">
        <v>40</v>
      </c>
      <c r="R86">
        <v>26</v>
      </c>
      <c r="S86">
        <v>1</v>
      </c>
      <c r="T86" t="s">
        <v>1636</v>
      </c>
      <c r="U86" t="s">
        <v>1637</v>
      </c>
      <c r="V86">
        <v>0</v>
      </c>
      <c r="W86" s="14" t="str">
        <f t="shared" si="1"/>
        <v>(2798,null,1,'2026-04-28 00:00:00','003302010350000-A330201063','003302010350000-A330201063','脑深部刺激器置换术',null,null,0,0,0,null,4100,3700,3150,'次',26,1,'normal','main',0),</v>
      </c>
    </row>
    <row r="87" spans="1:23">
      <c r="A87">
        <v>2799</v>
      </c>
      <c r="B87" t="s">
        <v>1634</v>
      </c>
      <c r="C87">
        <v>1</v>
      </c>
      <c r="D87" s="11" t="s">
        <v>1635</v>
      </c>
      <c r="E87" t="s">
        <v>543</v>
      </c>
      <c r="F87" t="s">
        <v>543</v>
      </c>
      <c r="G87" t="s">
        <v>544</v>
      </c>
      <c r="H87" t="s">
        <v>1634</v>
      </c>
      <c r="I87" t="s">
        <v>1634</v>
      </c>
      <c r="J87">
        <v>4825</v>
      </c>
      <c r="K87">
        <v>4340</v>
      </c>
      <c r="L87">
        <v>3690</v>
      </c>
      <c r="M87" t="s">
        <v>1634</v>
      </c>
      <c r="N87">
        <v>5330</v>
      </c>
      <c r="O87">
        <v>4810</v>
      </c>
      <c r="P87">
        <v>4095</v>
      </c>
      <c r="Q87" t="s">
        <v>40</v>
      </c>
      <c r="R87">
        <v>26</v>
      </c>
      <c r="S87">
        <v>1</v>
      </c>
      <c r="T87" t="s">
        <v>1636</v>
      </c>
      <c r="U87" t="s">
        <v>1637</v>
      </c>
      <c r="V87">
        <v>0</v>
      </c>
      <c r="W87" s="14" t="str">
        <f t="shared" si="1"/>
        <v>(2799,null,1,'2026-04-28 00:00:00','003302010350000-33020103501','003302010350000-33020103501','小儿脑深部电极置入术',null,null,4825,4340,3690,null,5330,4810,4095,'次',26,1,'normal','main',0),</v>
      </c>
    </row>
    <row r="88" spans="1:23">
      <c r="A88">
        <v>2800</v>
      </c>
      <c r="B88" t="s">
        <v>1634</v>
      </c>
      <c r="C88">
        <v>1</v>
      </c>
      <c r="D88" s="11" t="s">
        <v>1635</v>
      </c>
      <c r="E88" t="s">
        <v>550</v>
      </c>
      <c r="F88" t="s">
        <v>550</v>
      </c>
      <c r="G88" t="s">
        <v>552</v>
      </c>
      <c r="H88" t="s">
        <v>1634</v>
      </c>
      <c r="I88" t="s">
        <v>1634</v>
      </c>
      <c r="J88">
        <v>0</v>
      </c>
      <c r="K88">
        <v>0</v>
      </c>
      <c r="L88">
        <v>0</v>
      </c>
      <c r="M88" t="s">
        <v>1634</v>
      </c>
      <c r="N88">
        <v>1230</v>
      </c>
      <c r="O88">
        <v>1110</v>
      </c>
      <c r="P88">
        <v>945</v>
      </c>
      <c r="Q88" t="s">
        <v>40</v>
      </c>
      <c r="R88">
        <v>26</v>
      </c>
      <c r="S88">
        <v>1</v>
      </c>
      <c r="T88" t="s">
        <v>1636</v>
      </c>
      <c r="U88" t="s">
        <v>1637</v>
      </c>
      <c r="V88">
        <v>0</v>
      </c>
      <c r="W88" s="14" t="str">
        <f t="shared" si="1"/>
        <v>(2800,null,1,'2026-04-28 00:00:00','003302010350000-A330201062','003302010350000-A330201062','脑深部刺激器取出术',null,null,0,0,0,null,1230,1110,945,'次',26,1,'normal','main',0),</v>
      </c>
    </row>
    <row r="89" spans="1:23">
      <c r="A89">
        <v>2801</v>
      </c>
      <c r="B89" t="s">
        <v>1634</v>
      </c>
      <c r="C89">
        <v>1</v>
      </c>
      <c r="D89" s="11" t="s">
        <v>1635</v>
      </c>
      <c r="E89" t="s">
        <v>561</v>
      </c>
      <c r="F89" t="s">
        <v>561</v>
      </c>
      <c r="G89" t="s">
        <v>562</v>
      </c>
      <c r="H89" t="s">
        <v>1634</v>
      </c>
      <c r="I89" t="s">
        <v>1634</v>
      </c>
      <c r="J89">
        <v>3300</v>
      </c>
      <c r="K89">
        <v>3200</v>
      </c>
      <c r="L89">
        <v>3100</v>
      </c>
      <c r="M89" t="s">
        <v>1634</v>
      </c>
      <c r="N89">
        <v>3300</v>
      </c>
      <c r="O89">
        <v>3100</v>
      </c>
      <c r="P89">
        <v>2750</v>
      </c>
      <c r="Q89" t="s">
        <v>40</v>
      </c>
      <c r="R89">
        <v>26</v>
      </c>
      <c r="S89">
        <v>1</v>
      </c>
      <c r="T89" t="s">
        <v>1636</v>
      </c>
      <c r="U89" t="s">
        <v>1637</v>
      </c>
      <c r="V89">
        <v>0</v>
      </c>
      <c r="W89" s="14" t="str">
        <f t="shared" si="1"/>
        <v>(2801,null,1,'2026-04-28 00:00:00','003301000180000-310100036','003301000180000-310100036','经皮穿刺电刺激镇痛术',null,null,3300,3200,3100,null,3300,3100,2750,'次',26,1,'normal','main',0),</v>
      </c>
    </row>
    <row r="90" spans="1:23">
      <c r="A90">
        <v>2802</v>
      </c>
      <c r="B90" t="s">
        <v>1634</v>
      </c>
      <c r="C90">
        <v>1</v>
      </c>
      <c r="D90" s="11" t="s">
        <v>1635</v>
      </c>
      <c r="E90" t="s">
        <v>572</v>
      </c>
      <c r="F90" t="s">
        <v>572</v>
      </c>
      <c r="G90" t="s">
        <v>573</v>
      </c>
      <c r="H90" t="s">
        <v>1634</v>
      </c>
      <c r="I90" t="s">
        <v>1634</v>
      </c>
      <c r="J90">
        <v>900</v>
      </c>
      <c r="K90">
        <v>850</v>
      </c>
      <c r="L90">
        <v>800</v>
      </c>
      <c r="M90" t="s">
        <v>1634</v>
      </c>
      <c r="N90">
        <v>940</v>
      </c>
      <c r="O90">
        <v>885</v>
      </c>
      <c r="P90">
        <v>785</v>
      </c>
      <c r="Q90" t="s">
        <v>40</v>
      </c>
      <c r="R90">
        <v>26</v>
      </c>
      <c r="S90">
        <v>1</v>
      </c>
      <c r="T90" t="s">
        <v>1636</v>
      </c>
      <c r="U90" t="s">
        <v>1637</v>
      </c>
      <c r="V90">
        <v>0</v>
      </c>
      <c r="W90" s="14" t="str">
        <f t="shared" si="1"/>
        <v>(2802,null,1,'2026-04-28 00:00:00','353302040270000-330204025','353302040270000-330204025','脊髓电刺激电极取出术',null,null,900,850,800,null,940,885,785,'次',26,1,'normal','main',0),</v>
      </c>
    </row>
    <row r="91" spans="1:23">
      <c r="A91">
        <v>2803</v>
      </c>
      <c r="B91" t="s">
        <v>1634</v>
      </c>
      <c r="C91">
        <v>1</v>
      </c>
      <c r="D91" s="11" t="s">
        <v>1635</v>
      </c>
      <c r="E91" t="s">
        <v>599</v>
      </c>
      <c r="F91" t="s">
        <v>599</v>
      </c>
      <c r="G91" t="s">
        <v>600</v>
      </c>
      <c r="H91" t="s">
        <v>1634</v>
      </c>
      <c r="I91" t="s">
        <v>1634</v>
      </c>
      <c r="J91">
        <v>1000</v>
      </c>
      <c r="K91">
        <v>960</v>
      </c>
      <c r="L91">
        <v>816</v>
      </c>
      <c r="M91" t="s">
        <v>1634</v>
      </c>
      <c r="N91">
        <v>1000</v>
      </c>
      <c r="O91">
        <v>960</v>
      </c>
      <c r="P91">
        <v>816</v>
      </c>
      <c r="Q91" t="s">
        <v>40</v>
      </c>
      <c r="R91">
        <v>26</v>
      </c>
      <c r="S91">
        <v>1</v>
      </c>
      <c r="T91" t="s">
        <v>1636</v>
      </c>
      <c r="U91" t="s">
        <v>1637</v>
      </c>
      <c r="V91">
        <v>0</v>
      </c>
      <c r="W91" s="14" t="str">
        <f t="shared" si="1"/>
        <v>(2803,null,1,'2026-04-28 00:00:00','003302010100000-330201010','003302010100000-330201010','颅骨钻孔探查术',null,null,1000,960,816,null,1000,960,816,'次',26,1,'normal','main',0),</v>
      </c>
    </row>
    <row r="92" spans="1:23">
      <c r="A92">
        <v>2804</v>
      </c>
      <c r="B92" t="s">
        <v>1634</v>
      </c>
      <c r="C92">
        <v>1</v>
      </c>
      <c r="D92" s="11" t="s">
        <v>1635</v>
      </c>
      <c r="E92" t="s">
        <v>602</v>
      </c>
      <c r="F92" t="s">
        <v>602</v>
      </c>
      <c r="G92" t="s">
        <v>603</v>
      </c>
      <c r="H92" t="s">
        <v>1634</v>
      </c>
      <c r="I92" t="s">
        <v>1634</v>
      </c>
      <c r="J92">
        <v>1250</v>
      </c>
      <c r="K92">
        <v>1200</v>
      </c>
      <c r="L92">
        <v>1020</v>
      </c>
      <c r="M92" t="s">
        <v>1634</v>
      </c>
      <c r="N92">
        <v>1000</v>
      </c>
      <c r="O92">
        <v>960</v>
      </c>
      <c r="P92">
        <v>816</v>
      </c>
      <c r="Q92" t="s">
        <v>40</v>
      </c>
      <c r="R92">
        <v>26</v>
      </c>
      <c r="S92">
        <v>1</v>
      </c>
      <c r="T92" t="s">
        <v>1636</v>
      </c>
      <c r="U92" t="s">
        <v>1637</v>
      </c>
      <c r="V92">
        <v>0</v>
      </c>
      <c r="W92" s="14" t="str">
        <f t="shared" si="1"/>
        <v>(2804,null,1,'2026-04-28 00:00:00','003302010100001-33020101001','003302010100001-33020101001','颅骨钻孔探查术（两孔以上）',null,null,1250,1200,1020,null,1000,960,816,'次',26,1,'normal','main',0),</v>
      </c>
    </row>
    <row r="93" spans="1:23">
      <c r="A93">
        <v>2805</v>
      </c>
      <c r="B93" t="s">
        <v>1634</v>
      </c>
      <c r="C93">
        <v>1</v>
      </c>
      <c r="D93" s="11" t="s">
        <v>1635</v>
      </c>
      <c r="E93" t="s">
        <v>607</v>
      </c>
      <c r="F93" t="s">
        <v>607</v>
      </c>
      <c r="G93" t="s">
        <v>608</v>
      </c>
      <c r="H93" t="s">
        <v>1634</v>
      </c>
      <c r="I93" t="s">
        <v>1634</v>
      </c>
      <c r="J93">
        <v>1300</v>
      </c>
      <c r="K93">
        <v>1250</v>
      </c>
      <c r="L93">
        <v>1065</v>
      </c>
      <c r="M93" t="s">
        <v>1634</v>
      </c>
      <c r="N93">
        <v>1300</v>
      </c>
      <c r="O93">
        <v>1250</v>
      </c>
      <c r="P93">
        <v>1061</v>
      </c>
      <c r="Q93" t="s">
        <v>40</v>
      </c>
      <c r="R93">
        <v>26</v>
      </c>
      <c r="S93">
        <v>1</v>
      </c>
      <c r="T93" t="s">
        <v>1636</v>
      </c>
      <c r="U93" t="s">
        <v>1637</v>
      </c>
      <c r="V93">
        <v>0</v>
      </c>
      <c r="W93" s="14" t="str">
        <f t="shared" si="1"/>
        <v>(2805,null,1,'2026-04-28 00:00:00','003302010100000-33020101002','003302010100000-33020101002','小儿颅骨钻孔探查术',null,null,1300,1250,1065,null,1300,1250,1061,'次',26,1,'normal','main',0),</v>
      </c>
    </row>
    <row r="94" spans="1:23">
      <c r="A94">
        <v>2806</v>
      </c>
      <c r="B94" t="s">
        <v>1634</v>
      </c>
      <c r="C94">
        <v>1</v>
      </c>
      <c r="D94" s="11" t="s">
        <v>1635</v>
      </c>
      <c r="E94" t="s">
        <v>609</v>
      </c>
      <c r="F94" t="s">
        <v>609</v>
      </c>
      <c r="G94" t="s">
        <v>610</v>
      </c>
      <c r="H94" t="s">
        <v>1634</v>
      </c>
      <c r="I94" t="s">
        <v>1634</v>
      </c>
      <c r="J94">
        <v>1625</v>
      </c>
      <c r="K94">
        <v>1560</v>
      </c>
      <c r="L94">
        <v>1325</v>
      </c>
      <c r="M94" t="s">
        <v>1634</v>
      </c>
      <c r="N94">
        <v>1300</v>
      </c>
      <c r="O94">
        <v>1250</v>
      </c>
      <c r="P94">
        <v>1061</v>
      </c>
      <c r="Q94" t="s">
        <v>40</v>
      </c>
      <c r="R94">
        <v>26</v>
      </c>
      <c r="S94">
        <v>1</v>
      </c>
      <c r="T94" t="s">
        <v>1636</v>
      </c>
      <c r="U94" t="s">
        <v>1637</v>
      </c>
      <c r="V94">
        <v>0</v>
      </c>
      <c r="W94" s="14" t="str">
        <f t="shared" si="1"/>
        <v>(2806,null,1,'2026-04-28 00:00:00','003302010100001-33020101003','003302010100001-33020101003','小儿颅骨钻孔探查术（两孔以上）',null,null,1625,1560,1325,null,1300,1250,1061,'次',26,1,'normal','main',0),</v>
      </c>
    </row>
    <row r="95" spans="1:23">
      <c r="A95">
        <v>2807</v>
      </c>
      <c r="B95" t="s">
        <v>1634</v>
      </c>
      <c r="C95">
        <v>1</v>
      </c>
      <c r="D95" s="11" t="s">
        <v>1635</v>
      </c>
      <c r="E95" t="s">
        <v>617</v>
      </c>
      <c r="F95" t="s">
        <v>617</v>
      </c>
      <c r="G95" t="s">
        <v>618</v>
      </c>
      <c r="H95" t="s">
        <v>1634</v>
      </c>
      <c r="I95" t="s">
        <v>1634</v>
      </c>
      <c r="J95">
        <v>165</v>
      </c>
      <c r="K95">
        <v>150</v>
      </c>
      <c r="L95">
        <v>127.5</v>
      </c>
      <c r="M95" t="s">
        <v>1634</v>
      </c>
      <c r="N95">
        <v>1050</v>
      </c>
      <c r="O95">
        <v>950</v>
      </c>
      <c r="P95">
        <v>810</v>
      </c>
      <c r="Q95" t="s">
        <v>40</v>
      </c>
      <c r="R95">
        <v>26</v>
      </c>
      <c r="S95">
        <v>1</v>
      </c>
      <c r="T95" t="s">
        <v>1636</v>
      </c>
      <c r="U95" t="s">
        <v>1637</v>
      </c>
      <c r="V95">
        <v>0</v>
      </c>
      <c r="W95" s="14" t="str">
        <f t="shared" si="1"/>
        <v>(2807,null,1,'2026-04-28 00:00:00','003101000190000-310100019','003101000190000-310100019','硬脑膜下穿刺术',null,null,165,150,127.5,null,1050,950,810,'次',26,1,'normal','main',0),</v>
      </c>
    </row>
    <row r="96" spans="1:23">
      <c r="A96">
        <v>2808</v>
      </c>
      <c r="B96" t="s">
        <v>1634</v>
      </c>
      <c r="C96">
        <v>1</v>
      </c>
      <c r="D96" s="11" t="s">
        <v>1635</v>
      </c>
      <c r="E96" t="s">
        <v>619</v>
      </c>
      <c r="F96" t="s">
        <v>619</v>
      </c>
      <c r="G96" t="s">
        <v>620</v>
      </c>
      <c r="H96" t="s">
        <v>1634</v>
      </c>
      <c r="I96" t="s">
        <v>1634</v>
      </c>
      <c r="J96">
        <v>875</v>
      </c>
      <c r="K96">
        <v>840</v>
      </c>
      <c r="L96">
        <v>714</v>
      </c>
      <c r="M96" t="s">
        <v>1634</v>
      </c>
      <c r="N96">
        <v>1050</v>
      </c>
      <c r="O96">
        <v>950</v>
      </c>
      <c r="P96">
        <v>810</v>
      </c>
      <c r="Q96" t="s">
        <v>40</v>
      </c>
      <c r="R96">
        <v>26</v>
      </c>
      <c r="S96">
        <v>1</v>
      </c>
      <c r="T96" t="s">
        <v>1636</v>
      </c>
      <c r="U96" t="s">
        <v>1637</v>
      </c>
      <c r="V96">
        <v>0</v>
      </c>
      <c r="W96" s="14" t="str">
        <f t="shared" si="1"/>
        <v>(2808,null,1,'2026-04-28 00:00:00','003302010040000-330201004','003302010040000-330201004','颅内硬膜外血肿引流术',null,null,875,840,714,null,1050,950,810,'次',26,1,'normal','main',0),</v>
      </c>
    </row>
    <row r="97" spans="1:23">
      <c r="A97">
        <v>2809</v>
      </c>
      <c r="B97" t="s">
        <v>1634</v>
      </c>
      <c r="C97">
        <v>1</v>
      </c>
      <c r="D97" s="11" t="s">
        <v>1635</v>
      </c>
      <c r="E97" t="s">
        <v>622</v>
      </c>
      <c r="F97" t="s">
        <v>622</v>
      </c>
      <c r="G97" t="s">
        <v>623</v>
      </c>
      <c r="H97" t="s">
        <v>1634</v>
      </c>
      <c r="I97" t="s">
        <v>1634</v>
      </c>
      <c r="J97">
        <v>875</v>
      </c>
      <c r="K97">
        <v>840</v>
      </c>
      <c r="L97">
        <v>714</v>
      </c>
      <c r="M97" t="s">
        <v>1634</v>
      </c>
      <c r="N97">
        <v>1050</v>
      </c>
      <c r="O97">
        <v>950</v>
      </c>
      <c r="P97">
        <v>810</v>
      </c>
      <c r="Q97" t="s">
        <v>40</v>
      </c>
      <c r="R97">
        <v>26</v>
      </c>
      <c r="S97">
        <v>1</v>
      </c>
      <c r="T97" t="s">
        <v>1636</v>
      </c>
      <c r="U97" t="s">
        <v>1637</v>
      </c>
      <c r="V97">
        <v>0</v>
      </c>
      <c r="W97" s="14" t="str">
        <f t="shared" si="1"/>
        <v>(2809,null,1,'2026-04-28 00:00:00','003302010040100-33020100401','003302010040100-33020100401','颅内硬膜外血肿引流术（脓肿引流）',null,null,875,840,714,null,1050,950,810,'次',26,1,'normal','main',0),</v>
      </c>
    </row>
    <row r="98" spans="1:23">
      <c r="A98">
        <v>2810</v>
      </c>
      <c r="B98" t="s">
        <v>1634</v>
      </c>
      <c r="C98">
        <v>1</v>
      </c>
      <c r="D98" s="11" t="s">
        <v>1635</v>
      </c>
      <c r="E98" t="s">
        <v>624</v>
      </c>
      <c r="F98" t="s">
        <v>624</v>
      </c>
      <c r="G98" t="s">
        <v>625</v>
      </c>
      <c r="H98" t="s">
        <v>1634</v>
      </c>
      <c r="I98" t="s">
        <v>1634</v>
      </c>
      <c r="J98">
        <v>0</v>
      </c>
      <c r="K98">
        <v>0</v>
      </c>
      <c r="L98">
        <v>0</v>
      </c>
      <c r="M98" t="s">
        <v>1634</v>
      </c>
      <c r="N98">
        <v>1050</v>
      </c>
      <c r="O98">
        <v>950</v>
      </c>
      <c r="P98">
        <v>810</v>
      </c>
      <c r="Q98" t="s">
        <v>40</v>
      </c>
      <c r="R98">
        <v>26</v>
      </c>
      <c r="S98">
        <v>1</v>
      </c>
      <c r="T98" t="s">
        <v>1636</v>
      </c>
      <c r="U98" t="s">
        <v>1637</v>
      </c>
      <c r="V98">
        <v>0</v>
      </c>
      <c r="W98" s="14" t="str">
        <f t="shared" si="1"/>
        <v>(2810,null,1,'2026-04-28 00:00:00','003101000180000-310100018','003101000180000-310100018','枕大池穿刺术',null,null,0,0,0,null,1050,950,810,'次',26,1,'normal','main',0),</v>
      </c>
    </row>
    <row r="99" spans="1:23">
      <c r="A99">
        <v>2811</v>
      </c>
      <c r="B99" t="s">
        <v>1634</v>
      </c>
      <c r="C99">
        <v>1</v>
      </c>
      <c r="D99" s="11" t="s">
        <v>1635</v>
      </c>
      <c r="E99" t="s">
        <v>626</v>
      </c>
      <c r="F99" t="s">
        <v>626</v>
      </c>
      <c r="G99" t="s">
        <v>627</v>
      </c>
      <c r="H99" t="s">
        <v>1634</v>
      </c>
      <c r="I99" t="s">
        <v>1634</v>
      </c>
      <c r="J99">
        <v>1875</v>
      </c>
      <c r="K99">
        <v>1800</v>
      </c>
      <c r="L99">
        <v>1530</v>
      </c>
      <c r="M99" t="s">
        <v>1634</v>
      </c>
      <c r="N99">
        <v>1050</v>
      </c>
      <c r="O99">
        <v>950</v>
      </c>
      <c r="P99">
        <v>810</v>
      </c>
      <c r="Q99" t="s">
        <v>40</v>
      </c>
      <c r="R99">
        <v>26</v>
      </c>
      <c r="S99">
        <v>1</v>
      </c>
      <c r="T99" t="s">
        <v>1636</v>
      </c>
      <c r="U99" t="s">
        <v>1637</v>
      </c>
      <c r="V99">
        <v>0</v>
      </c>
      <c r="W99" s="14" t="str">
        <f t="shared" si="1"/>
        <v>(2811,null,1,'2026-04-28 00:00:00','003302010130000-330201013','003302010130000-330201013','慢性硬膜下血肿钻孔术',null,null,1875,1800,1530,null,1050,950,810,'次',26,1,'normal','main',0),</v>
      </c>
    </row>
    <row r="100" spans="1:23">
      <c r="A100">
        <v>2812</v>
      </c>
      <c r="B100" t="s">
        <v>1634</v>
      </c>
      <c r="C100">
        <v>1</v>
      </c>
      <c r="D100" s="11" t="s">
        <v>1635</v>
      </c>
      <c r="E100" t="s">
        <v>629</v>
      </c>
      <c r="F100" t="s">
        <v>629</v>
      </c>
      <c r="G100" t="s">
        <v>630</v>
      </c>
      <c r="H100" t="s">
        <v>1634</v>
      </c>
      <c r="I100" t="s">
        <v>1634</v>
      </c>
      <c r="J100">
        <v>2250</v>
      </c>
      <c r="K100">
        <v>2160</v>
      </c>
      <c r="L100">
        <v>1656</v>
      </c>
      <c r="M100" t="s">
        <v>1634</v>
      </c>
      <c r="N100">
        <v>1050</v>
      </c>
      <c r="O100">
        <v>950</v>
      </c>
      <c r="P100">
        <v>810</v>
      </c>
      <c r="Q100" t="s">
        <v>40</v>
      </c>
      <c r="R100">
        <v>26</v>
      </c>
      <c r="S100">
        <v>1</v>
      </c>
      <c r="T100" t="s">
        <v>1636</v>
      </c>
      <c r="U100" t="s">
        <v>1637</v>
      </c>
      <c r="V100">
        <v>0</v>
      </c>
      <c r="W100" s="14" t="str">
        <f t="shared" si="1"/>
        <v>(2812,null,1,'2026-04-28 00:00:00','003302010130000-33020101302','003302010130000-33020101302','经颅内镜慢性硬膜下血肿钻孔术',null,null,2250,2160,1656,null,1050,950,810,'次',26,1,'normal','main',0),</v>
      </c>
    </row>
    <row r="101" spans="1:23">
      <c r="A101">
        <v>2813</v>
      </c>
      <c r="B101" t="s">
        <v>1634</v>
      </c>
      <c r="C101">
        <v>1</v>
      </c>
      <c r="D101" s="11" t="s">
        <v>1635</v>
      </c>
      <c r="E101" t="s">
        <v>633</v>
      </c>
      <c r="F101" t="s">
        <v>633</v>
      </c>
      <c r="G101" t="s">
        <v>634</v>
      </c>
      <c r="H101" t="s">
        <v>1634</v>
      </c>
      <c r="I101" t="s">
        <v>1634</v>
      </c>
      <c r="J101">
        <v>215</v>
      </c>
      <c r="K101">
        <v>195</v>
      </c>
      <c r="L101">
        <v>165</v>
      </c>
      <c r="M101" t="s">
        <v>1634</v>
      </c>
      <c r="N101">
        <v>1365</v>
      </c>
      <c r="O101">
        <v>1235</v>
      </c>
      <c r="P101">
        <v>1055</v>
      </c>
      <c r="Q101" t="s">
        <v>40</v>
      </c>
      <c r="R101">
        <v>26</v>
      </c>
      <c r="S101">
        <v>1</v>
      </c>
      <c r="T101" t="s">
        <v>1636</v>
      </c>
      <c r="U101" t="s">
        <v>1637</v>
      </c>
      <c r="V101">
        <v>0</v>
      </c>
      <c r="W101" s="14" t="str">
        <f t="shared" si="1"/>
        <v>(2813,null,1,'2026-04-28 00:00:00','003101000190000-31010001901','003101000190000-31010001901','小儿硬脑膜下穿刺术',null,null,215,195,165,null,1365,1235,1055,'次',26,1,'normal','main',0),</v>
      </c>
    </row>
    <row r="102" spans="1:23">
      <c r="A102">
        <v>2814</v>
      </c>
      <c r="B102" t="s">
        <v>1634</v>
      </c>
      <c r="C102">
        <v>1</v>
      </c>
      <c r="D102" s="11" t="s">
        <v>1635</v>
      </c>
      <c r="E102" t="s">
        <v>635</v>
      </c>
      <c r="F102" t="s">
        <v>635</v>
      </c>
      <c r="G102" t="s">
        <v>636</v>
      </c>
      <c r="H102" t="s">
        <v>1634</v>
      </c>
      <c r="I102" t="s">
        <v>1634</v>
      </c>
      <c r="J102">
        <v>1140</v>
      </c>
      <c r="K102">
        <v>1090</v>
      </c>
      <c r="L102">
        <v>925</v>
      </c>
      <c r="M102" t="s">
        <v>1634</v>
      </c>
      <c r="N102">
        <v>1365</v>
      </c>
      <c r="O102">
        <v>1235</v>
      </c>
      <c r="P102">
        <v>1055</v>
      </c>
      <c r="Q102" t="s">
        <v>40</v>
      </c>
      <c r="R102">
        <v>26</v>
      </c>
      <c r="S102">
        <v>1</v>
      </c>
      <c r="T102" t="s">
        <v>1636</v>
      </c>
      <c r="U102" t="s">
        <v>1637</v>
      </c>
      <c r="V102">
        <v>0</v>
      </c>
      <c r="W102" s="14" t="str">
        <f t="shared" si="1"/>
        <v>(2814,null,1,'2026-04-28 00:00:00','003302010040000-33020100402','003302010040000-33020100402','小儿颅内硬膜外血肿引流术',null,null,1140,1090,925,null,1365,1235,1055,'次',26,1,'normal','main',0),</v>
      </c>
    </row>
    <row r="103" spans="1:23">
      <c r="A103">
        <v>2815</v>
      </c>
      <c r="B103" t="s">
        <v>1634</v>
      </c>
      <c r="C103">
        <v>1</v>
      </c>
      <c r="D103" s="11" t="s">
        <v>1635</v>
      </c>
      <c r="E103" t="s">
        <v>637</v>
      </c>
      <c r="F103" t="s">
        <v>637</v>
      </c>
      <c r="G103" t="s">
        <v>638</v>
      </c>
      <c r="H103" t="s">
        <v>1634</v>
      </c>
      <c r="I103" t="s">
        <v>1634</v>
      </c>
      <c r="J103">
        <v>2440</v>
      </c>
      <c r="K103">
        <v>2340</v>
      </c>
      <c r="L103">
        <v>1990</v>
      </c>
      <c r="M103" t="s">
        <v>1634</v>
      </c>
      <c r="N103">
        <v>1365</v>
      </c>
      <c r="O103">
        <v>1235</v>
      </c>
      <c r="P103">
        <v>1055</v>
      </c>
      <c r="Q103" t="s">
        <v>40</v>
      </c>
      <c r="R103">
        <v>26</v>
      </c>
      <c r="S103">
        <v>1</v>
      </c>
      <c r="T103" t="s">
        <v>1636</v>
      </c>
      <c r="U103" t="s">
        <v>1637</v>
      </c>
      <c r="V103">
        <v>0</v>
      </c>
      <c r="W103" s="14" t="str">
        <f t="shared" si="1"/>
        <v>(2815,null,1,'2026-04-28 00:00:00','003302010130000-33020101301','003302010130000-33020101301','小儿慢性硬膜下血肿钻孔术',null,null,2440,2340,1990,null,1365,1235,1055,'次',26,1,'normal','main',0),</v>
      </c>
    </row>
    <row r="104" spans="1:23">
      <c r="A104">
        <v>2816</v>
      </c>
      <c r="B104" t="s">
        <v>1634</v>
      </c>
      <c r="C104">
        <v>1</v>
      </c>
      <c r="D104" s="11" t="s">
        <v>1635</v>
      </c>
      <c r="E104" t="s">
        <v>639</v>
      </c>
      <c r="F104" t="s">
        <v>639</v>
      </c>
      <c r="G104" t="s">
        <v>640</v>
      </c>
      <c r="H104" t="s">
        <v>1634</v>
      </c>
      <c r="I104" t="s">
        <v>1634</v>
      </c>
      <c r="J104">
        <v>2815</v>
      </c>
      <c r="K104">
        <v>2700</v>
      </c>
      <c r="L104">
        <v>2295</v>
      </c>
      <c r="M104" t="s">
        <v>1634</v>
      </c>
      <c r="N104">
        <v>1365</v>
      </c>
      <c r="O104">
        <v>1235</v>
      </c>
      <c r="P104">
        <v>1055</v>
      </c>
      <c r="Q104" t="s">
        <v>40</v>
      </c>
      <c r="R104">
        <v>26</v>
      </c>
      <c r="S104">
        <v>1</v>
      </c>
      <c r="T104" t="s">
        <v>1636</v>
      </c>
      <c r="U104" t="s">
        <v>1637</v>
      </c>
      <c r="V104">
        <v>0</v>
      </c>
      <c r="W104" s="14" t="str">
        <f t="shared" si="1"/>
        <v>(2816,null,1,'2026-04-28 00:00:00','003302010130000-33020101303','003302010130000-33020101303','小儿经颅内镜慢性硬膜下血肿钻孔术',null,null,2815,2700,2295,null,1365,1235,1055,'次',26,1,'normal','main',0),</v>
      </c>
    </row>
    <row r="105" spans="1:23">
      <c r="A105">
        <v>2817</v>
      </c>
      <c r="B105" t="s">
        <v>1634</v>
      </c>
      <c r="C105">
        <v>1</v>
      </c>
      <c r="D105" s="11" t="s">
        <v>1635</v>
      </c>
      <c r="E105" t="s">
        <v>644</v>
      </c>
      <c r="F105" t="s">
        <v>644</v>
      </c>
      <c r="G105" t="s">
        <v>645</v>
      </c>
      <c r="H105" t="s">
        <v>1634</v>
      </c>
      <c r="I105" t="s">
        <v>1634</v>
      </c>
      <c r="J105">
        <v>165</v>
      </c>
      <c r="K105">
        <v>150</v>
      </c>
      <c r="L105">
        <v>127.5</v>
      </c>
      <c r="M105" t="s">
        <v>1634</v>
      </c>
      <c r="N105" s="12">
        <v>1260</v>
      </c>
      <c r="O105" s="12">
        <v>1140</v>
      </c>
      <c r="P105" s="12">
        <v>972</v>
      </c>
      <c r="Q105" t="s">
        <v>40</v>
      </c>
      <c r="R105">
        <v>26</v>
      </c>
      <c r="S105">
        <v>1</v>
      </c>
      <c r="T105" t="s">
        <v>1636</v>
      </c>
      <c r="U105" t="s">
        <v>1637</v>
      </c>
      <c r="V105">
        <v>0</v>
      </c>
      <c r="W105" s="14" t="str">
        <f t="shared" si="1"/>
        <v>(2817,null,1,'2026-04-28 00:00:00','003101000170000-310100017','003101000170000-310100017','侧脑室穿刺术',null,null,165,150,127.5,null,1260,1140,972,'次',26,1,'normal','main',0),</v>
      </c>
    </row>
    <row r="106" spans="1:23">
      <c r="A106">
        <v>2818</v>
      </c>
      <c r="B106" t="s">
        <v>1634</v>
      </c>
      <c r="C106">
        <v>1</v>
      </c>
      <c r="D106" s="11" t="s">
        <v>1635</v>
      </c>
      <c r="E106" t="s">
        <v>647</v>
      </c>
      <c r="F106" t="s">
        <v>647</v>
      </c>
      <c r="G106" t="s">
        <v>648</v>
      </c>
      <c r="H106" t="s">
        <v>1634</v>
      </c>
      <c r="I106" t="s">
        <v>1634</v>
      </c>
      <c r="J106">
        <v>165</v>
      </c>
      <c r="K106">
        <v>150</v>
      </c>
      <c r="L106">
        <v>127.5</v>
      </c>
      <c r="M106" t="s">
        <v>1634</v>
      </c>
      <c r="N106" s="12">
        <v>1260</v>
      </c>
      <c r="O106" s="12">
        <v>1140</v>
      </c>
      <c r="P106" s="12">
        <v>972</v>
      </c>
      <c r="Q106" t="s">
        <v>40</v>
      </c>
      <c r="R106">
        <v>26</v>
      </c>
      <c r="S106">
        <v>1</v>
      </c>
      <c r="T106" t="s">
        <v>1636</v>
      </c>
      <c r="U106" t="s">
        <v>1637</v>
      </c>
      <c r="V106">
        <v>0</v>
      </c>
      <c r="W106" s="14" t="str">
        <f t="shared" si="1"/>
        <v>(2818,null,1,'2026-04-28 00:00:00','003101000170200-31010001702','003101000170200-31010001702','侧脑室穿刺术（注药）',null,null,165,150,127.5,null,1260,1140,972,'次',26,1,'normal','main',0),</v>
      </c>
    </row>
    <row r="107" spans="1:23">
      <c r="A107">
        <v>2819</v>
      </c>
      <c r="B107" t="s">
        <v>1634</v>
      </c>
      <c r="C107">
        <v>1</v>
      </c>
      <c r="D107" s="11" t="s">
        <v>1635</v>
      </c>
      <c r="E107" t="s">
        <v>650</v>
      </c>
      <c r="F107" t="s">
        <v>650</v>
      </c>
      <c r="G107" t="s">
        <v>651</v>
      </c>
      <c r="H107" t="s">
        <v>1634</v>
      </c>
      <c r="I107" t="s">
        <v>1634</v>
      </c>
      <c r="J107">
        <v>215</v>
      </c>
      <c r="K107">
        <v>195</v>
      </c>
      <c r="L107">
        <v>165</v>
      </c>
      <c r="M107" t="s">
        <v>1634</v>
      </c>
      <c r="N107" s="12">
        <v>1260</v>
      </c>
      <c r="O107" s="12">
        <v>1140</v>
      </c>
      <c r="P107" s="12">
        <v>972</v>
      </c>
      <c r="Q107" t="s">
        <v>40</v>
      </c>
      <c r="R107">
        <v>26</v>
      </c>
      <c r="S107">
        <v>1</v>
      </c>
      <c r="T107" t="s">
        <v>1636</v>
      </c>
      <c r="U107" t="s">
        <v>1637</v>
      </c>
      <c r="V107">
        <v>0</v>
      </c>
      <c r="W107" s="14" t="str">
        <f t="shared" si="1"/>
        <v>(2819,null,1,'2026-04-28 00:00:00','003101000170000-31010001703','003101000170000-31010001703','小儿侧脑室穿刺术',null,null,215,195,165,null,1260,1140,972,'次',26,1,'normal','main',0),</v>
      </c>
    </row>
    <row r="108" spans="1:23">
      <c r="A108">
        <v>2820</v>
      </c>
      <c r="B108" t="s">
        <v>1634</v>
      </c>
      <c r="C108">
        <v>1</v>
      </c>
      <c r="D108" s="11" t="s">
        <v>1635</v>
      </c>
      <c r="E108" t="s">
        <v>652</v>
      </c>
      <c r="F108" t="s">
        <v>652</v>
      </c>
      <c r="G108" t="s">
        <v>653</v>
      </c>
      <c r="H108" t="s">
        <v>1634</v>
      </c>
      <c r="I108" t="s">
        <v>1634</v>
      </c>
      <c r="J108">
        <v>165</v>
      </c>
      <c r="K108">
        <v>150</v>
      </c>
      <c r="L108">
        <v>127.5</v>
      </c>
      <c r="M108" t="s">
        <v>1634</v>
      </c>
      <c r="N108" s="12">
        <v>1260</v>
      </c>
      <c r="O108" s="12">
        <v>1140</v>
      </c>
      <c r="P108" s="12">
        <v>972</v>
      </c>
      <c r="Q108" t="s">
        <v>40</v>
      </c>
      <c r="R108">
        <v>26</v>
      </c>
      <c r="S108">
        <v>1</v>
      </c>
      <c r="T108" t="s">
        <v>1636</v>
      </c>
      <c r="U108" t="s">
        <v>1637</v>
      </c>
      <c r="V108">
        <v>0</v>
      </c>
      <c r="W108" s="14" t="str">
        <f t="shared" si="1"/>
        <v>(2820,null,1,'2026-04-28 00:00:00','003101000170100-31010001701','003101000170100-31010001701','侧脑室穿刺术（侧脑室引流）',null,null,165,150,127.5,null,1260,1140,972,'次',26,1,'normal','main',0),</v>
      </c>
    </row>
    <row r="109" spans="1:23">
      <c r="A109">
        <v>2821</v>
      </c>
      <c r="B109" t="s">
        <v>1634</v>
      </c>
      <c r="C109">
        <v>1</v>
      </c>
      <c r="D109" s="11" t="s">
        <v>1635</v>
      </c>
      <c r="E109" t="s">
        <v>655</v>
      </c>
      <c r="F109" t="s">
        <v>655</v>
      </c>
      <c r="G109" t="s">
        <v>656</v>
      </c>
      <c r="H109" t="s">
        <v>1634</v>
      </c>
      <c r="I109" t="s">
        <v>1634</v>
      </c>
      <c r="J109">
        <v>1125</v>
      </c>
      <c r="K109">
        <v>1080</v>
      </c>
      <c r="L109">
        <v>918</v>
      </c>
      <c r="M109" t="s">
        <v>1634</v>
      </c>
      <c r="N109" s="12">
        <v>1260</v>
      </c>
      <c r="O109" s="12">
        <v>1140</v>
      </c>
      <c r="P109" s="12">
        <v>972</v>
      </c>
      <c r="Q109" t="s">
        <v>40</v>
      </c>
      <c r="R109">
        <v>26</v>
      </c>
      <c r="S109">
        <v>1</v>
      </c>
      <c r="T109" t="s">
        <v>1636</v>
      </c>
      <c r="U109" t="s">
        <v>1637</v>
      </c>
      <c r="V109">
        <v>0</v>
      </c>
      <c r="W109" s="14" t="str">
        <f t="shared" si="1"/>
        <v>(2821,null,1,'2026-04-28 00:00:00','003302010050000-330201005','003302010050000-330201005','脑脓肿穿刺引流术',null,null,1125,1080,918,null,1260,1140,972,'次',26,1,'normal','main',0),</v>
      </c>
    </row>
    <row r="110" spans="1:23">
      <c r="A110">
        <v>2822</v>
      </c>
      <c r="B110" t="s">
        <v>1634</v>
      </c>
      <c r="C110">
        <v>1</v>
      </c>
      <c r="D110" s="11" t="s">
        <v>1635</v>
      </c>
      <c r="E110" t="s">
        <v>658</v>
      </c>
      <c r="F110" t="s">
        <v>658</v>
      </c>
      <c r="G110" t="s">
        <v>659</v>
      </c>
      <c r="H110" t="s">
        <v>1634</v>
      </c>
      <c r="I110" t="s">
        <v>1634</v>
      </c>
      <c r="J110">
        <v>1465</v>
      </c>
      <c r="K110">
        <v>1405</v>
      </c>
      <c r="L110">
        <v>1195</v>
      </c>
      <c r="M110" t="s">
        <v>1634</v>
      </c>
      <c r="N110" s="12">
        <v>1260</v>
      </c>
      <c r="O110" s="12">
        <v>1140</v>
      </c>
      <c r="P110" s="12">
        <v>972</v>
      </c>
      <c r="Q110" t="s">
        <v>40</v>
      </c>
      <c r="R110">
        <v>26</v>
      </c>
      <c r="S110">
        <v>1</v>
      </c>
      <c r="T110" t="s">
        <v>1636</v>
      </c>
      <c r="U110" t="s">
        <v>1637</v>
      </c>
      <c r="V110">
        <v>0</v>
      </c>
      <c r="W110" s="14" t="str">
        <f t="shared" si="1"/>
        <v>(2822,null,1,'2026-04-28 00:00:00','003302010050000-33020100501','003302010050000-33020100501','小儿脑脓肿穿刺引流术',null,null,1465,1405,1195,null,1260,1140,972,'次',26,1,'normal','main',0),</v>
      </c>
    </row>
    <row r="111" spans="1:23">
      <c r="A111">
        <v>2823</v>
      </c>
      <c r="B111" t="s">
        <v>1634</v>
      </c>
      <c r="C111">
        <v>1</v>
      </c>
      <c r="D111" s="11" t="s">
        <v>1635</v>
      </c>
      <c r="E111" t="s">
        <v>660</v>
      </c>
      <c r="F111" t="s">
        <v>660</v>
      </c>
      <c r="G111" t="s">
        <v>661</v>
      </c>
      <c r="H111" t="s">
        <v>1634</v>
      </c>
      <c r="I111" t="s">
        <v>1634</v>
      </c>
      <c r="J111">
        <v>1000</v>
      </c>
      <c r="K111">
        <v>960</v>
      </c>
      <c r="L111">
        <v>816</v>
      </c>
      <c r="M111" t="s">
        <v>1634</v>
      </c>
      <c r="N111" s="12">
        <v>1260</v>
      </c>
      <c r="O111" s="12">
        <v>1140</v>
      </c>
      <c r="P111" s="12">
        <v>972</v>
      </c>
      <c r="Q111" t="s">
        <v>40</v>
      </c>
      <c r="R111">
        <v>26</v>
      </c>
      <c r="S111">
        <v>1</v>
      </c>
      <c r="T111" t="s">
        <v>1636</v>
      </c>
      <c r="U111" t="s">
        <v>1637</v>
      </c>
      <c r="V111">
        <v>0</v>
      </c>
      <c r="W111" s="14" t="str">
        <f t="shared" si="1"/>
        <v>(2823,null,1,'2026-04-28 00:00:00','003302010200000-330201020','003302010200000-330201020','脑室钻孔伴脑室引流术',null,null,1000,960,816,null,1260,1140,972,'次',26,1,'normal','main',0),</v>
      </c>
    </row>
    <row r="112" spans="1:23">
      <c r="A112">
        <v>2824</v>
      </c>
      <c r="B112" t="s">
        <v>1634</v>
      </c>
      <c r="C112">
        <v>1</v>
      </c>
      <c r="D112" s="11" t="s">
        <v>1635</v>
      </c>
      <c r="E112" t="s">
        <v>662</v>
      </c>
      <c r="F112" t="s">
        <v>662</v>
      </c>
      <c r="G112" t="s">
        <v>663</v>
      </c>
      <c r="H112" t="s">
        <v>1634</v>
      </c>
      <c r="I112" t="s">
        <v>1634</v>
      </c>
      <c r="J112">
        <v>1300</v>
      </c>
      <c r="K112">
        <v>1250</v>
      </c>
      <c r="L112">
        <v>1065</v>
      </c>
      <c r="M112" t="s">
        <v>1634</v>
      </c>
      <c r="N112" s="12">
        <v>1260</v>
      </c>
      <c r="O112" s="12">
        <v>1140</v>
      </c>
      <c r="P112" s="12">
        <v>972</v>
      </c>
      <c r="Q112" t="s">
        <v>40</v>
      </c>
      <c r="R112">
        <v>26</v>
      </c>
      <c r="S112">
        <v>1</v>
      </c>
      <c r="T112" t="s">
        <v>1636</v>
      </c>
      <c r="U112" t="s">
        <v>1637</v>
      </c>
      <c r="V112">
        <v>0</v>
      </c>
      <c r="W112" s="14" t="str">
        <f t="shared" si="1"/>
        <v>(2824,null,1,'2026-04-28 00:00:00','003302010200000-33020102001','003302010200000-33020102001','小儿脑室钻孔伴脑室引流术',null,null,1300,1250,1065,null,1260,1140,972,'次',26,1,'normal','main',0),</v>
      </c>
    </row>
    <row r="113" spans="1:23">
      <c r="A113">
        <v>2825</v>
      </c>
      <c r="B113" t="s">
        <v>1634</v>
      </c>
      <c r="C113">
        <v>1</v>
      </c>
      <c r="D113" s="11" t="s">
        <v>1635</v>
      </c>
      <c r="E113" t="s">
        <v>664</v>
      </c>
      <c r="F113" t="s">
        <v>664</v>
      </c>
      <c r="G113" t="s">
        <v>665</v>
      </c>
      <c r="H113" t="s">
        <v>1634</v>
      </c>
      <c r="I113" t="s">
        <v>1634</v>
      </c>
      <c r="J113">
        <v>2000</v>
      </c>
      <c r="K113">
        <v>1920</v>
      </c>
      <c r="L113">
        <v>1632</v>
      </c>
      <c r="M113" t="s">
        <v>1634</v>
      </c>
      <c r="N113" s="12">
        <v>1260</v>
      </c>
      <c r="O113" s="12">
        <v>1140</v>
      </c>
      <c r="P113" s="12">
        <v>972</v>
      </c>
      <c r="Q113" t="s">
        <v>40</v>
      </c>
      <c r="R113">
        <v>26</v>
      </c>
      <c r="S113">
        <v>1</v>
      </c>
      <c r="T113" t="s">
        <v>1636</v>
      </c>
      <c r="U113" t="s">
        <v>1637</v>
      </c>
      <c r="V113">
        <v>0</v>
      </c>
      <c r="W113" s="14" t="str">
        <f t="shared" si="1"/>
        <v>(2825,null,1,'2026-04-28 00:00:00','003302010210000-330201021','003302010210000-330201021','颅内蛛网膜囊肿分流术',null,null,2000,1920,1632,null,1260,1140,972,'次',26,1,'normal','main',0),</v>
      </c>
    </row>
    <row r="114" spans="1:23">
      <c r="A114">
        <v>2826</v>
      </c>
      <c r="B114" t="s">
        <v>1634</v>
      </c>
      <c r="C114">
        <v>1</v>
      </c>
      <c r="D114" s="11" t="s">
        <v>1635</v>
      </c>
      <c r="E114" t="s">
        <v>667</v>
      </c>
      <c r="F114" t="s">
        <v>667</v>
      </c>
      <c r="G114" t="s">
        <v>668</v>
      </c>
      <c r="H114" t="s">
        <v>1634</v>
      </c>
      <c r="I114" t="s">
        <v>1634</v>
      </c>
      <c r="J114">
        <v>2600</v>
      </c>
      <c r="K114">
        <v>2495</v>
      </c>
      <c r="L114">
        <v>2120</v>
      </c>
      <c r="M114" t="s">
        <v>1634</v>
      </c>
      <c r="N114" s="12">
        <v>1260</v>
      </c>
      <c r="O114" s="12">
        <v>1140</v>
      </c>
      <c r="P114" s="12">
        <v>972</v>
      </c>
      <c r="Q114" t="s">
        <v>40</v>
      </c>
      <c r="R114">
        <v>26</v>
      </c>
      <c r="S114">
        <v>1</v>
      </c>
      <c r="T114" t="s">
        <v>1636</v>
      </c>
      <c r="U114" t="s">
        <v>1637</v>
      </c>
      <c r="V114">
        <v>0</v>
      </c>
      <c r="W114" s="14" t="str">
        <f t="shared" si="1"/>
        <v>(2826,null,1,'2026-04-28 00:00:00','003302010210000-33020102101','003302010210000-33020102101','小儿颅内蛛网膜囊肿分流术',null,null,2600,2495,2120,null,1260,1140,972,'次',26,1,'normal','main',0),</v>
      </c>
    </row>
    <row r="115" spans="1:23">
      <c r="A115">
        <v>2827</v>
      </c>
      <c r="B115" t="s">
        <v>1634</v>
      </c>
      <c r="C115">
        <v>1</v>
      </c>
      <c r="D115" s="11" t="s">
        <v>1635</v>
      </c>
      <c r="E115" t="s">
        <v>669</v>
      </c>
      <c r="F115" t="s">
        <v>669</v>
      </c>
      <c r="G115" t="s">
        <v>670</v>
      </c>
      <c r="H115" t="s">
        <v>1634</v>
      </c>
      <c r="I115" t="s">
        <v>1634</v>
      </c>
      <c r="J115">
        <v>2375</v>
      </c>
      <c r="K115">
        <v>2280</v>
      </c>
      <c r="L115">
        <v>1938</v>
      </c>
      <c r="M115" t="s">
        <v>1634</v>
      </c>
      <c r="N115" s="12">
        <v>1260</v>
      </c>
      <c r="O115" s="12">
        <v>1140</v>
      </c>
      <c r="P115" s="12">
        <v>972</v>
      </c>
      <c r="Q115" t="s">
        <v>40</v>
      </c>
      <c r="R115">
        <v>26</v>
      </c>
      <c r="S115">
        <v>1</v>
      </c>
      <c r="T115" t="s">
        <v>1636</v>
      </c>
      <c r="U115" t="s">
        <v>1637</v>
      </c>
      <c r="V115">
        <v>0</v>
      </c>
      <c r="W115" s="14" t="str">
        <f t="shared" si="1"/>
        <v>(2827,null,1,'2026-04-28 00:00:00','003302010210000-33020102102','003302010210000-33020102102','经颅内镜颅内蛛网膜囊肿分流术',null,null,2375,2280,1938,null,1260,1140,972,'次',26,1,'normal','main',0),</v>
      </c>
    </row>
    <row r="116" spans="1:23">
      <c r="A116">
        <v>2828</v>
      </c>
      <c r="B116" t="s">
        <v>1634</v>
      </c>
      <c r="C116">
        <v>1</v>
      </c>
      <c r="D116" s="11" t="s">
        <v>1635</v>
      </c>
      <c r="E116" t="s">
        <v>671</v>
      </c>
      <c r="F116" t="s">
        <v>671</v>
      </c>
      <c r="G116" t="s">
        <v>672</v>
      </c>
      <c r="H116" t="s">
        <v>1634</v>
      </c>
      <c r="I116" t="s">
        <v>1634</v>
      </c>
      <c r="J116">
        <v>2975</v>
      </c>
      <c r="K116">
        <v>2855</v>
      </c>
      <c r="L116">
        <v>2425</v>
      </c>
      <c r="M116" t="s">
        <v>1634</v>
      </c>
      <c r="N116" s="12">
        <v>1260</v>
      </c>
      <c r="O116" s="12">
        <v>1140</v>
      </c>
      <c r="P116" s="12">
        <v>972</v>
      </c>
      <c r="Q116" t="s">
        <v>40</v>
      </c>
      <c r="R116">
        <v>26</v>
      </c>
      <c r="S116">
        <v>1</v>
      </c>
      <c r="T116" t="s">
        <v>1636</v>
      </c>
      <c r="U116" t="s">
        <v>1637</v>
      </c>
      <c r="V116">
        <v>0</v>
      </c>
      <c r="W116" s="14" t="str">
        <f t="shared" si="1"/>
        <v>(2828,null,1,'2026-04-28 00:00:00','003302010210000-33020102103','003302010210000-33020102103','小儿经颅内镜颅内蛛网膜囊肿分流术',null,null,2975,2855,2425,null,1260,1140,972,'次',26,1,'normal','main',0),</v>
      </c>
    </row>
    <row r="117" spans="1:23">
      <c r="A117">
        <v>2829</v>
      </c>
      <c r="B117" t="s">
        <v>1634</v>
      </c>
      <c r="C117">
        <v>1</v>
      </c>
      <c r="D117" s="11" t="s">
        <v>1635</v>
      </c>
      <c r="E117" t="s">
        <v>675</v>
      </c>
      <c r="F117" t="s">
        <v>675</v>
      </c>
      <c r="G117" t="s">
        <v>676</v>
      </c>
      <c r="H117" t="s">
        <v>1634</v>
      </c>
      <c r="I117" t="s">
        <v>1634</v>
      </c>
      <c r="J117">
        <v>795</v>
      </c>
      <c r="K117">
        <v>715</v>
      </c>
      <c r="L117">
        <v>605</v>
      </c>
      <c r="M117" t="s">
        <v>1634</v>
      </c>
      <c r="N117">
        <v>1050</v>
      </c>
      <c r="O117">
        <v>950</v>
      </c>
      <c r="P117">
        <v>810</v>
      </c>
      <c r="Q117" t="s">
        <v>40</v>
      </c>
      <c r="R117">
        <v>26</v>
      </c>
      <c r="S117">
        <v>1</v>
      </c>
      <c r="T117" t="s">
        <v>1636</v>
      </c>
      <c r="U117" t="s">
        <v>1637</v>
      </c>
      <c r="V117">
        <v>0</v>
      </c>
      <c r="W117" s="14" t="str">
        <f t="shared" si="1"/>
        <v>(2829,null,1,'2026-04-28 00:00:00','003302040180000-330204018','003302040180000-330204018','经皮穿刺骶神经囊肿治疗术',null,null,795,715,605,null,1050,950,810,'次',26,1,'normal','main',0),</v>
      </c>
    </row>
    <row r="118" spans="1:23">
      <c r="A118">
        <v>2830</v>
      </c>
      <c r="B118" t="s">
        <v>1634</v>
      </c>
      <c r="C118">
        <v>1</v>
      </c>
      <c r="D118" s="11" t="s">
        <v>1635</v>
      </c>
      <c r="E118" t="s">
        <v>677</v>
      </c>
      <c r="F118" t="s">
        <v>677</v>
      </c>
      <c r="G118" t="s">
        <v>678</v>
      </c>
      <c r="H118" t="s">
        <v>1634</v>
      </c>
      <c r="I118" t="s">
        <v>1634</v>
      </c>
      <c r="J118">
        <v>1035</v>
      </c>
      <c r="K118">
        <v>930</v>
      </c>
      <c r="L118">
        <v>785</v>
      </c>
      <c r="M118" t="s">
        <v>1634</v>
      </c>
      <c r="N118">
        <v>1050</v>
      </c>
      <c r="O118">
        <v>950</v>
      </c>
      <c r="P118">
        <v>810</v>
      </c>
      <c r="Q118" t="s">
        <v>40</v>
      </c>
      <c r="R118">
        <v>26</v>
      </c>
      <c r="S118">
        <v>1</v>
      </c>
      <c r="T118" t="s">
        <v>1636</v>
      </c>
      <c r="U118" t="s">
        <v>1637</v>
      </c>
      <c r="V118">
        <v>0</v>
      </c>
      <c r="W118" s="14" t="str">
        <f t="shared" si="1"/>
        <v>(2830,null,1,'2026-04-28 00:00:00','003302040180000-33020401801','003302040180000-33020401801','小儿经皮穿刺骶神经囊肿治疗术',null,null,1035,930,785,null,1050,950,810,'次',26,1,'normal','main',0),</v>
      </c>
    </row>
    <row r="119" spans="1:23">
      <c r="A119">
        <v>2831</v>
      </c>
      <c r="B119" t="s">
        <v>1634</v>
      </c>
      <c r="C119">
        <v>1</v>
      </c>
      <c r="D119" s="11" t="s">
        <v>1635</v>
      </c>
      <c r="E119" t="s">
        <v>679</v>
      </c>
      <c r="F119" t="s">
        <v>679</v>
      </c>
      <c r="G119" t="s">
        <v>680</v>
      </c>
      <c r="H119" t="s">
        <v>1634</v>
      </c>
      <c r="I119" t="s">
        <v>1634</v>
      </c>
      <c r="J119">
        <v>180</v>
      </c>
      <c r="K119">
        <v>165</v>
      </c>
      <c r="L119">
        <v>140</v>
      </c>
      <c r="M119" t="s">
        <v>1634</v>
      </c>
      <c r="N119">
        <v>1050</v>
      </c>
      <c r="O119">
        <v>950</v>
      </c>
      <c r="P119">
        <v>810</v>
      </c>
      <c r="Q119" t="s">
        <v>40</v>
      </c>
      <c r="R119">
        <v>26</v>
      </c>
      <c r="S119">
        <v>1</v>
      </c>
      <c r="T119" t="s">
        <v>1636</v>
      </c>
      <c r="U119" t="s">
        <v>1637</v>
      </c>
      <c r="V119">
        <v>0</v>
      </c>
      <c r="W119" s="14" t="str">
        <f t="shared" si="1"/>
        <v>(2831,null,1,'2026-04-28 00:00:00','003101000180000-31010001606','003101000180000-31010001606','腰大池引流术',null,null,180,165,140,null,1050,950,810,'次',26,1,'normal','main',0),</v>
      </c>
    </row>
    <row r="120" spans="1:23">
      <c r="A120">
        <v>2832</v>
      </c>
      <c r="B120" t="s">
        <v>1634</v>
      </c>
      <c r="C120">
        <v>1</v>
      </c>
      <c r="D120" s="11" t="s">
        <v>1635</v>
      </c>
      <c r="E120" t="s">
        <v>681</v>
      </c>
      <c r="F120" t="s">
        <v>681</v>
      </c>
      <c r="G120" t="s">
        <v>682</v>
      </c>
      <c r="H120" t="s">
        <v>1634</v>
      </c>
      <c r="I120" t="s">
        <v>1634</v>
      </c>
      <c r="J120">
        <v>235</v>
      </c>
      <c r="K120">
        <v>215</v>
      </c>
      <c r="L120">
        <v>180</v>
      </c>
      <c r="M120" t="s">
        <v>1634</v>
      </c>
      <c r="N120">
        <v>1050</v>
      </c>
      <c r="O120">
        <v>950</v>
      </c>
      <c r="P120">
        <v>810</v>
      </c>
      <c r="Q120" t="s">
        <v>40</v>
      </c>
      <c r="R120">
        <v>26</v>
      </c>
      <c r="S120">
        <v>1</v>
      </c>
      <c r="T120" t="s">
        <v>1636</v>
      </c>
      <c r="U120" t="s">
        <v>1637</v>
      </c>
      <c r="V120">
        <v>0</v>
      </c>
      <c r="W120" s="14" t="str">
        <f t="shared" si="1"/>
        <v>(2832,null,1,'2026-04-28 00:00:00','003101000180000-31010001607','003101000180000-31010001607','小儿腰大池引流术',null,null,235,215,180,null,1050,950,810,'次',26,1,'normal','main',0),</v>
      </c>
    </row>
    <row r="121" spans="1:23">
      <c r="A121">
        <v>2833</v>
      </c>
      <c r="B121" t="s">
        <v>1634</v>
      </c>
      <c r="C121">
        <v>1</v>
      </c>
      <c r="D121" s="11" t="s">
        <v>1635</v>
      </c>
      <c r="E121" t="s">
        <v>689</v>
      </c>
      <c r="F121" t="s">
        <v>689</v>
      </c>
      <c r="G121" t="s">
        <v>690</v>
      </c>
      <c r="H121" t="s">
        <v>1634</v>
      </c>
      <c r="I121" t="s">
        <v>1634</v>
      </c>
      <c r="J121">
        <v>250</v>
      </c>
      <c r="K121">
        <v>240</v>
      </c>
      <c r="L121">
        <v>204</v>
      </c>
      <c r="M121" t="s">
        <v>1634</v>
      </c>
      <c r="N121">
        <v>620</v>
      </c>
      <c r="O121">
        <v>560</v>
      </c>
      <c r="P121" s="12">
        <v>480</v>
      </c>
      <c r="Q121" t="s">
        <v>40</v>
      </c>
      <c r="R121">
        <v>26</v>
      </c>
      <c r="S121">
        <v>1</v>
      </c>
      <c r="T121" t="s">
        <v>1636</v>
      </c>
      <c r="U121" t="s">
        <v>1637</v>
      </c>
      <c r="V121">
        <v>0</v>
      </c>
      <c r="W121" s="14" t="str">
        <f t="shared" si="1"/>
        <v>(2833,null,1,'2026-04-28 00:00:00','003302040200000-330204020','003302040200000-330204020','脑脊液置换术',null,null,250,240,204,null,620,560,480,'次',26,1,'normal','main',0),</v>
      </c>
    </row>
    <row r="122" spans="1:23">
      <c r="A122">
        <v>2834</v>
      </c>
      <c r="B122" t="s">
        <v>1634</v>
      </c>
      <c r="C122">
        <v>1</v>
      </c>
      <c r="D122" s="11" t="s">
        <v>1635</v>
      </c>
      <c r="E122" t="s">
        <v>693</v>
      </c>
      <c r="F122" t="s">
        <v>693</v>
      </c>
      <c r="G122" t="s">
        <v>694</v>
      </c>
      <c r="H122" t="s">
        <v>1634</v>
      </c>
      <c r="I122" t="s">
        <v>1634</v>
      </c>
      <c r="J122">
        <v>325</v>
      </c>
      <c r="K122">
        <v>310</v>
      </c>
      <c r="L122">
        <v>265</v>
      </c>
      <c r="M122" t="s">
        <v>1634</v>
      </c>
      <c r="N122" s="12">
        <v>805</v>
      </c>
      <c r="O122">
        <v>730</v>
      </c>
      <c r="P122" s="12">
        <v>625</v>
      </c>
      <c r="Q122" t="s">
        <v>40</v>
      </c>
      <c r="R122">
        <v>26</v>
      </c>
      <c r="S122">
        <v>1</v>
      </c>
      <c r="T122" t="s">
        <v>1636</v>
      </c>
      <c r="U122" t="s">
        <v>1637</v>
      </c>
      <c r="V122">
        <v>0</v>
      </c>
      <c r="W122" s="14" t="str">
        <f t="shared" si="1"/>
        <v>(2834,null,1,'2026-04-28 00:00:00','003302040200000-33020402001','003302040200000-33020402001','小儿脑脊液置换术',null,null,325,310,265,null,805,730,625,'次',26,1,'normal','main',0),</v>
      </c>
    </row>
    <row r="123" spans="1:23">
      <c r="A123">
        <v>2835</v>
      </c>
      <c r="B123" t="s">
        <v>1634</v>
      </c>
      <c r="C123">
        <v>1</v>
      </c>
      <c r="D123" s="11" t="s">
        <v>1635</v>
      </c>
      <c r="E123" t="s">
        <v>700</v>
      </c>
      <c r="F123" t="s">
        <v>700</v>
      </c>
      <c r="G123" t="s">
        <v>701</v>
      </c>
      <c r="H123" t="s">
        <v>1634</v>
      </c>
      <c r="I123" t="s">
        <v>1634</v>
      </c>
      <c r="J123">
        <v>1500</v>
      </c>
      <c r="K123">
        <v>1440</v>
      </c>
      <c r="L123">
        <v>1224</v>
      </c>
      <c r="M123" t="s">
        <v>1634</v>
      </c>
      <c r="N123">
        <v>1520</v>
      </c>
      <c r="O123">
        <v>1440</v>
      </c>
      <c r="P123">
        <v>1225</v>
      </c>
      <c r="Q123" t="s">
        <v>40</v>
      </c>
      <c r="R123">
        <v>26</v>
      </c>
      <c r="S123">
        <v>1</v>
      </c>
      <c r="T123" t="s">
        <v>1636</v>
      </c>
      <c r="U123" t="s">
        <v>1637</v>
      </c>
      <c r="V123">
        <v>0</v>
      </c>
      <c r="W123" s="14" t="str">
        <f t="shared" si="1"/>
        <v>(2835,null,1,'2026-04-28 00:00:00','003302040210000-330204021','003302040210000-330204021','欧玛亚（Omaya）管置入术',null,null,1500,1440,1224,null,1520,1440,1225,'次',26,1,'normal','main',0),</v>
      </c>
    </row>
    <row r="124" spans="1:23">
      <c r="A124">
        <v>2836</v>
      </c>
      <c r="B124" t="s">
        <v>1634</v>
      </c>
      <c r="C124">
        <v>1</v>
      </c>
      <c r="D124" s="11" t="s">
        <v>1635</v>
      </c>
      <c r="E124" t="s">
        <v>704</v>
      </c>
      <c r="F124" t="s">
        <v>704</v>
      </c>
      <c r="G124" t="s">
        <v>705</v>
      </c>
      <c r="H124" t="s">
        <v>1634</v>
      </c>
      <c r="I124" t="s">
        <v>1634</v>
      </c>
      <c r="J124">
        <v>1875</v>
      </c>
      <c r="K124">
        <v>1800</v>
      </c>
      <c r="L124">
        <v>1530</v>
      </c>
      <c r="M124" t="s">
        <v>1634</v>
      </c>
      <c r="N124">
        <v>1520</v>
      </c>
      <c r="O124">
        <v>1440</v>
      </c>
      <c r="P124">
        <v>1225</v>
      </c>
      <c r="Q124" t="s">
        <v>40</v>
      </c>
      <c r="R124">
        <v>26</v>
      </c>
      <c r="S124">
        <v>1</v>
      </c>
      <c r="T124" t="s">
        <v>1636</v>
      </c>
      <c r="U124" t="s">
        <v>1637</v>
      </c>
      <c r="V124">
        <v>0</v>
      </c>
      <c r="W124" s="14" t="str">
        <f t="shared" si="1"/>
        <v>(2836,null,1,'2026-04-28 00:00:00','003302040210000-33020402102','003302040210000-33020402102','经颅内镜欧玛亚（Omaya）管置入术',null,null,1875,1800,1530,null,1520,1440,1225,'次',26,1,'normal','main',0),</v>
      </c>
    </row>
    <row r="125" spans="1:23">
      <c r="A125">
        <v>2837</v>
      </c>
      <c r="B125" t="s">
        <v>1634</v>
      </c>
      <c r="C125">
        <v>1</v>
      </c>
      <c r="D125" s="11" t="s">
        <v>1635</v>
      </c>
      <c r="E125" t="s">
        <v>708</v>
      </c>
      <c r="F125" t="s">
        <v>708</v>
      </c>
      <c r="G125" t="s">
        <v>709</v>
      </c>
      <c r="H125" t="s">
        <v>1634</v>
      </c>
      <c r="I125" t="s">
        <v>1634</v>
      </c>
      <c r="J125">
        <v>1950</v>
      </c>
      <c r="K125">
        <v>1870</v>
      </c>
      <c r="L125">
        <v>1590</v>
      </c>
      <c r="M125" t="s">
        <v>1634</v>
      </c>
      <c r="N125">
        <v>1975</v>
      </c>
      <c r="O125">
        <v>1870</v>
      </c>
      <c r="P125">
        <v>1595</v>
      </c>
      <c r="Q125" t="s">
        <v>40</v>
      </c>
      <c r="R125">
        <v>26</v>
      </c>
      <c r="S125">
        <v>1</v>
      </c>
      <c r="T125" t="s">
        <v>1636</v>
      </c>
      <c r="U125" t="s">
        <v>1637</v>
      </c>
      <c r="V125">
        <v>0</v>
      </c>
      <c r="W125" s="14" t="str">
        <f t="shared" si="1"/>
        <v>(2837,null,1,'2026-04-28 00:00:00','003302040210000-33020402101','003302040210000-33020402101','小儿欧玛亚（Omaya）管置入术',null,null,1950,1870,1590,null,1975,1870,1595,'次',26,1,'normal','main',0),</v>
      </c>
    </row>
    <row r="126" spans="1:23">
      <c r="A126">
        <v>2838</v>
      </c>
      <c r="B126" t="s">
        <v>1634</v>
      </c>
      <c r="C126">
        <v>1</v>
      </c>
      <c r="D126" s="11" t="s">
        <v>1635</v>
      </c>
      <c r="E126" t="s">
        <v>710</v>
      </c>
      <c r="F126" t="s">
        <v>710</v>
      </c>
      <c r="G126" t="s">
        <v>711</v>
      </c>
      <c r="H126" t="s">
        <v>1634</v>
      </c>
      <c r="I126" t="s">
        <v>1634</v>
      </c>
      <c r="J126">
        <v>2325</v>
      </c>
      <c r="K126">
        <v>2230</v>
      </c>
      <c r="L126">
        <v>1895</v>
      </c>
      <c r="M126" t="s">
        <v>1634</v>
      </c>
      <c r="N126">
        <v>1975</v>
      </c>
      <c r="O126">
        <v>1870</v>
      </c>
      <c r="P126">
        <v>1595</v>
      </c>
      <c r="Q126" t="s">
        <v>40</v>
      </c>
      <c r="R126">
        <v>26</v>
      </c>
      <c r="S126">
        <v>1</v>
      </c>
      <c r="T126" t="s">
        <v>1636</v>
      </c>
      <c r="U126" t="s">
        <v>1637</v>
      </c>
      <c r="V126">
        <v>0</v>
      </c>
      <c r="W126" s="14" t="str">
        <f t="shared" si="1"/>
        <v>(2838,null,1,'2026-04-28 00:00:00','003302040210000-33020402103','003302040210000-33020402103','小儿经颅内镜欧玛亚（Omaya）管置入术',null,null,2325,2230,1895,null,1975,1870,1595,'次',26,1,'normal','main',0),</v>
      </c>
    </row>
    <row r="127" spans="1:23">
      <c r="A127">
        <v>2839</v>
      </c>
      <c r="B127" t="s">
        <v>1634</v>
      </c>
      <c r="C127">
        <v>1</v>
      </c>
      <c r="D127" s="11" t="s">
        <v>1635</v>
      </c>
      <c r="E127" t="s">
        <v>731</v>
      </c>
      <c r="F127" t="s">
        <v>731</v>
      </c>
      <c r="G127" t="s">
        <v>732</v>
      </c>
      <c r="H127" t="s">
        <v>1634</v>
      </c>
      <c r="I127" t="s">
        <v>1634</v>
      </c>
      <c r="J127">
        <v>1875</v>
      </c>
      <c r="K127">
        <v>1800</v>
      </c>
      <c r="L127">
        <v>1530</v>
      </c>
      <c r="M127" t="s">
        <v>1634</v>
      </c>
      <c r="N127">
        <v>2450</v>
      </c>
      <c r="O127">
        <v>2250</v>
      </c>
      <c r="P127">
        <v>1950</v>
      </c>
      <c r="Q127" t="s">
        <v>40</v>
      </c>
      <c r="R127">
        <v>26</v>
      </c>
      <c r="S127">
        <v>1</v>
      </c>
      <c r="T127" t="s">
        <v>1636</v>
      </c>
      <c r="U127" t="s">
        <v>1637</v>
      </c>
      <c r="V127">
        <v>0</v>
      </c>
      <c r="W127" s="14" t="str">
        <f t="shared" si="1"/>
        <v>(2839,null,1,'2026-04-28 00:00:00','003302010080000-330201008','003302010080000-330201008','去颅骨骨瓣减压术',null,null,1875,1800,1530,null,2450,2250,1950,'次',26,1,'normal','main',0),</v>
      </c>
    </row>
    <row r="128" spans="1:23">
      <c r="A128">
        <v>2840</v>
      </c>
      <c r="B128" t="s">
        <v>1634</v>
      </c>
      <c r="C128">
        <v>1</v>
      </c>
      <c r="D128" s="11" t="s">
        <v>1635</v>
      </c>
      <c r="E128" t="s">
        <v>733</v>
      </c>
      <c r="F128" t="s">
        <v>733</v>
      </c>
      <c r="G128" t="s">
        <v>734</v>
      </c>
      <c r="H128" t="s">
        <v>1634</v>
      </c>
      <c r="I128" t="s">
        <v>1634</v>
      </c>
      <c r="J128">
        <v>3040</v>
      </c>
      <c r="K128">
        <v>2740</v>
      </c>
      <c r="L128">
        <v>2330</v>
      </c>
      <c r="M128" t="s">
        <v>1634</v>
      </c>
      <c r="N128">
        <v>2450</v>
      </c>
      <c r="O128">
        <v>2250</v>
      </c>
      <c r="P128">
        <v>1950</v>
      </c>
      <c r="Q128" t="s">
        <v>40</v>
      </c>
      <c r="R128">
        <v>26</v>
      </c>
      <c r="S128">
        <v>1</v>
      </c>
      <c r="T128" t="s">
        <v>1636</v>
      </c>
      <c r="U128" t="s">
        <v>1637</v>
      </c>
      <c r="V128">
        <v>0</v>
      </c>
      <c r="W128" s="14" t="str">
        <f t="shared" si="1"/>
        <v>(2840,null,1,'2026-04-28 00:00:00','003302010160000-330201016','003302010160000-330201016','开颅颅内减压术',null,null,3040,2740,2330,null,2450,2250,1950,'次',26,1,'normal','main',0),</v>
      </c>
    </row>
    <row r="129" spans="1:23">
      <c r="A129">
        <v>2841</v>
      </c>
      <c r="B129" t="s">
        <v>1634</v>
      </c>
      <c r="C129">
        <v>1</v>
      </c>
      <c r="D129" s="11" t="s">
        <v>1635</v>
      </c>
      <c r="E129" t="s">
        <v>736</v>
      </c>
      <c r="F129" t="s">
        <v>736</v>
      </c>
      <c r="G129" t="s">
        <v>737</v>
      </c>
      <c r="H129" t="s">
        <v>1634</v>
      </c>
      <c r="I129" t="s">
        <v>1634</v>
      </c>
      <c r="J129">
        <v>4050</v>
      </c>
      <c r="K129">
        <v>3650</v>
      </c>
      <c r="L129">
        <v>3100</v>
      </c>
      <c r="M129" t="s">
        <v>1634</v>
      </c>
      <c r="N129">
        <v>2450</v>
      </c>
      <c r="O129">
        <v>2250</v>
      </c>
      <c r="P129">
        <v>1950</v>
      </c>
      <c r="Q129" t="s">
        <v>40</v>
      </c>
      <c r="R129">
        <v>26</v>
      </c>
      <c r="S129">
        <v>1</v>
      </c>
      <c r="T129" t="s">
        <v>1636</v>
      </c>
      <c r="U129" t="s">
        <v>1637</v>
      </c>
      <c r="V129">
        <v>0</v>
      </c>
      <c r="W129" s="14" t="str">
        <f t="shared" si="1"/>
        <v>(2841,null,1,'2026-04-28 00:00:00','003302010530000-330201053','003302010530000-330201053','环枕畸形减压术',null,null,4050,3650,3100,null,2450,2250,1950,'次',26,1,'normal','main',0),</v>
      </c>
    </row>
    <row r="130" spans="1:23">
      <c r="A130">
        <v>2842</v>
      </c>
      <c r="B130" t="s">
        <v>1634</v>
      </c>
      <c r="C130">
        <v>1</v>
      </c>
      <c r="D130" s="11" t="s">
        <v>1635</v>
      </c>
      <c r="E130" t="s">
        <v>741</v>
      </c>
      <c r="F130" t="s">
        <v>741</v>
      </c>
      <c r="G130" t="s">
        <v>742</v>
      </c>
      <c r="H130" t="s">
        <v>1634</v>
      </c>
      <c r="I130" t="s">
        <v>1634</v>
      </c>
      <c r="J130">
        <v>2440</v>
      </c>
      <c r="K130">
        <v>2340</v>
      </c>
      <c r="L130">
        <v>1990</v>
      </c>
      <c r="M130" t="s">
        <v>1634</v>
      </c>
      <c r="N130">
        <v>3185</v>
      </c>
      <c r="O130">
        <v>2925</v>
      </c>
      <c r="P130">
        <v>2535</v>
      </c>
      <c r="Q130" t="s">
        <v>40</v>
      </c>
      <c r="R130">
        <v>26</v>
      </c>
      <c r="S130">
        <v>1</v>
      </c>
      <c r="T130" t="s">
        <v>1636</v>
      </c>
      <c r="U130" t="s">
        <v>1637</v>
      </c>
      <c r="V130">
        <v>0</v>
      </c>
      <c r="W130" s="14" t="str">
        <f t="shared" si="1"/>
        <v>(2842,null,1,'2026-04-28 00:00:00','003302010080000-33020100802','003302010080000-33020100802','小儿去颅骨骨瓣减压术',null,null,2440,2340,1990,null,3185,2925,2535,'次',26,1,'normal','main',0),</v>
      </c>
    </row>
    <row r="131" spans="1:23">
      <c r="A131">
        <v>2843</v>
      </c>
      <c r="B131" t="s">
        <v>1634</v>
      </c>
      <c r="C131">
        <v>1</v>
      </c>
      <c r="D131" s="11" t="s">
        <v>1635</v>
      </c>
      <c r="E131" t="s">
        <v>743</v>
      </c>
      <c r="F131" t="s">
        <v>743</v>
      </c>
      <c r="G131" t="s">
        <v>744</v>
      </c>
      <c r="H131" t="s">
        <v>1634</v>
      </c>
      <c r="I131" t="s">
        <v>1634</v>
      </c>
      <c r="J131">
        <v>3950</v>
      </c>
      <c r="K131">
        <v>3560</v>
      </c>
      <c r="L131">
        <v>3025</v>
      </c>
      <c r="M131" t="s">
        <v>1634</v>
      </c>
      <c r="N131">
        <v>3185</v>
      </c>
      <c r="O131">
        <v>2925</v>
      </c>
      <c r="P131">
        <v>2535</v>
      </c>
      <c r="Q131" t="s">
        <v>40</v>
      </c>
      <c r="R131">
        <v>26</v>
      </c>
      <c r="S131">
        <v>1</v>
      </c>
      <c r="T131" t="s">
        <v>1636</v>
      </c>
      <c r="U131" t="s">
        <v>1637</v>
      </c>
      <c r="V131">
        <v>0</v>
      </c>
      <c r="W131" s="14" t="str">
        <f t="shared" ref="W131:W194" si="2">"("&amp;A131&amp;","&amp;B131&amp;","&amp;C131&amp;",'"&amp;D131&amp;"','"&amp;E131&amp;"','"&amp;F131&amp;"','"&amp;G131&amp;"',"&amp;H131&amp;","&amp;I131&amp;","&amp;J131&amp;","&amp;K131&amp;","&amp;L131&amp;","&amp;M131&amp;","&amp;N131&amp;","&amp;O131&amp;","&amp;P131&amp;",'"&amp;Q131&amp;"',"&amp;R131&amp;","&amp;S131&amp;",'"&amp;T131&amp;"','"&amp;U131&amp;"',"&amp;V131&amp;"),"</f>
        <v>(2843,null,1,'2026-04-28 00:00:00','003302010160000-33020101601','003302010160000-33020101601','小儿开颅颅内减压术',null,null,3950,3560,3025,null,3185,2925,2535,'次',26,1,'normal','main',0),</v>
      </c>
    </row>
    <row r="132" spans="1:23">
      <c r="A132">
        <v>2844</v>
      </c>
      <c r="B132" t="s">
        <v>1634</v>
      </c>
      <c r="C132">
        <v>1</v>
      </c>
      <c r="D132" s="11" t="s">
        <v>1635</v>
      </c>
      <c r="E132" t="s">
        <v>745</v>
      </c>
      <c r="F132" t="s">
        <v>745</v>
      </c>
      <c r="G132" t="s">
        <v>746</v>
      </c>
      <c r="H132" t="s">
        <v>1634</v>
      </c>
      <c r="I132" t="s">
        <v>1634</v>
      </c>
      <c r="J132">
        <v>5265</v>
      </c>
      <c r="K132">
        <v>4745</v>
      </c>
      <c r="L132">
        <v>4035</v>
      </c>
      <c r="M132" t="s">
        <v>1634</v>
      </c>
      <c r="N132">
        <v>3185</v>
      </c>
      <c r="O132">
        <v>2925</v>
      </c>
      <c r="P132">
        <v>2535</v>
      </c>
      <c r="Q132" t="s">
        <v>40</v>
      </c>
      <c r="R132">
        <v>26</v>
      </c>
      <c r="S132">
        <v>1</v>
      </c>
      <c r="T132" t="s">
        <v>1636</v>
      </c>
      <c r="U132" t="s">
        <v>1637</v>
      </c>
      <c r="V132">
        <v>0</v>
      </c>
      <c r="W132" s="14" t="str">
        <f t="shared" si="2"/>
        <v>(2844,null,1,'2026-04-28 00:00:00','003302010530000-33020105301','003302010530000-33020105301','小儿环枕畸形减压术',null,null,5265,4745,4035,null,3185,2925,2535,'次',26,1,'normal','main',0),</v>
      </c>
    </row>
    <row r="133" spans="1:23">
      <c r="A133">
        <v>2845</v>
      </c>
      <c r="B133" t="s">
        <v>1634</v>
      </c>
      <c r="C133">
        <v>1</v>
      </c>
      <c r="D133" s="11" t="s">
        <v>1635</v>
      </c>
      <c r="E133" t="s">
        <v>752</v>
      </c>
      <c r="F133" t="s">
        <v>752</v>
      </c>
      <c r="G133" t="s">
        <v>753</v>
      </c>
      <c r="H133" t="s">
        <v>1634</v>
      </c>
      <c r="I133" t="s">
        <v>1634</v>
      </c>
      <c r="J133">
        <v>2250</v>
      </c>
      <c r="K133">
        <v>2160</v>
      </c>
      <c r="L133">
        <v>1836</v>
      </c>
      <c r="M133" t="s">
        <v>1634</v>
      </c>
      <c r="N133">
        <v>3250</v>
      </c>
      <c r="O133">
        <v>2900</v>
      </c>
      <c r="P133">
        <v>2450</v>
      </c>
      <c r="Q133" t="s">
        <v>40</v>
      </c>
      <c r="R133">
        <v>26</v>
      </c>
      <c r="S133">
        <v>1</v>
      </c>
      <c r="T133" t="s">
        <v>1636</v>
      </c>
      <c r="U133" t="s">
        <v>1637</v>
      </c>
      <c r="V133">
        <v>0</v>
      </c>
      <c r="W133" s="14" t="str">
        <f t="shared" si="2"/>
        <v>(2845,null,1,'2026-04-28 00:00:00','003302010140000-330201014','003302010140000-330201014','颅内多发血肿清除术',null,null,2250,2160,1836,null,3250,2900,2450,'次',26,1,'normal','main',0),</v>
      </c>
    </row>
    <row r="134" spans="1:23">
      <c r="A134">
        <v>2846</v>
      </c>
      <c r="B134" t="s">
        <v>1634</v>
      </c>
      <c r="C134">
        <v>1</v>
      </c>
      <c r="D134" s="11" t="s">
        <v>1635</v>
      </c>
      <c r="E134" t="s">
        <v>756</v>
      </c>
      <c r="F134" t="s">
        <v>756</v>
      </c>
      <c r="G134" t="s">
        <v>757</v>
      </c>
      <c r="H134" t="s">
        <v>1634</v>
      </c>
      <c r="I134" t="s">
        <v>1634</v>
      </c>
      <c r="J134">
        <v>3125</v>
      </c>
      <c r="K134">
        <v>3000</v>
      </c>
      <c r="L134">
        <v>2550</v>
      </c>
      <c r="M134" t="s">
        <v>1634</v>
      </c>
      <c r="N134">
        <v>3250</v>
      </c>
      <c r="O134">
        <v>2900</v>
      </c>
      <c r="P134">
        <v>2450</v>
      </c>
      <c r="Q134" t="s">
        <v>40</v>
      </c>
      <c r="R134">
        <v>26</v>
      </c>
      <c r="S134">
        <v>1</v>
      </c>
      <c r="T134" t="s">
        <v>1636</v>
      </c>
      <c r="U134" t="s">
        <v>1637</v>
      </c>
      <c r="V134">
        <v>0</v>
      </c>
      <c r="W134" s="14" t="str">
        <f t="shared" si="2"/>
        <v>(2846,null,1,'2026-04-28 00:00:00','003302010140001-33020101401','003302010140001-33020101401','颅内多发血肿清除术（非同一部位血肿）',null,null,3125,3000,2550,null,3250,2900,2450,'次',26,1,'normal','main',0),</v>
      </c>
    </row>
    <row r="135" spans="1:23">
      <c r="A135">
        <v>2847</v>
      </c>
      <c r="B135" t="s">
        <v>1634</v>
      </c>
      <c r="C135">
        <v>1</v>
      </c>
      <c r="D135" s="11" t="s">
        <v>1635</v>
      </c>
      <c r="E135" t="s">
        <v>759</v>
      </c>
      <c r="F135" t="s">
        <v>759</v>
      </c>
      <c r="G135" t="s">
        <v>760</v>
      </c>
      <c r="H135" t="s">
        <v>1634</v>
      </c>
      <c r="I135" t="s">
        <v>1634</v>
      </c>
      <c r="J135">
        <v>2250</v>
      </c>
      <c r="K135">
        <v>2160</v>
      </c>
      <c r="L135">
        <v>1836</v>
      </c>
      <c r="M135" t="s">
        <v>1634</v>
      </c>
      <c r="N135">
        <v>3250</v>
      </c>
      <c r="O135">
        <v>2900</v>
      </c>
      <c r="P135">
        <v>2450</v>
      </c>
      <c r="Q135" t="s">
        <v>40</v>
      </c>
      <c r="R135">
        <v>26</v>
      </c>
      <c r="S135">
        <v>1</v>
      </c>
      <c r="T135" t="s">
        <v>1636</v>
      </c>
      <c r="U135" t="s">
        <v>1637</v>
      </c>
      <c r="V135">
        <v>0</v>
      </c>
      <c r="W135" s="14" t="str">
        <f t="shared" si="2"/>
        <v>(2847,null,1,'2026-04-28 00:00:00','003302010150000-330201015','003302010150000-330201015','颅内血肿清除术',null,null,2250,2160,1836,null,3250,2900,2450,'次',26,1,'normal','main',0),</v>
      </c>
    </row>
    <row r="136" spans="1:23">
      <c r="A136">
        <v>2848</v>
      </c>
      <c r="B136" t="s">
        <v>1634</v>
      </c>
      <c r="C136">
        <v>1</v>
      </c>
      <c r="D136" s="11" t="s">
        <v>1635</v>
      </c>
      <c r="E136" t="s">
        <v>762</v>
      </c>
      <c r="F136" t="s">
        <v>762</v>
      </c>
      <c r="G136" t="s">
        <v>763</v>
      </c>
      <c r="H136" t="s">
        <v>1634</v>
      </c>
      <c r="I136" t="s">
        <v>1634</v>
      </c>
      <c r="J136">
        <v>3000</v>
      </c>
      <c r="K136">
        <v>2850</v>
      </c>
      <c r="L136">
        <v>2280</v>
      </c>
      <c r="M136" t="s">
        <v>1634</v>
      </c>
      <c r="N136">
        <v>3250</v>
      </c>
      <c r="O136">
        <v>2900</v>
      </c>
      <c r="P136">
        <v>2450</v>
      </c>
      <c r="Q136" t="s">
        <v>40</v>
      </c>
      <c r="R136">
        <v>26</v>
      </c>
      <c r="S136">
        <v>1</v>
      </c>
      <c r="T136" t="s">
        <v>1636</v>
      </c>
      <c r="U136" t="s">
        <v>1637</v>
      </c>
      <c r="V136">
        <v>0</v>
      </c>
      <c r="W136" s="14" t="str">
        <f t="shared" si="2"/>
        <v>(2848,null,1,'2026-04-28 00:00:00','003302010220000-330201022','003302010220000-330201022','幕上浅部病变切除术',null,null,3000,2850,2280,null,3250,2900,2450,'次',26,1,'normal','main',0),</v>
      </c>
    </row>
    <row r="137" spans="1:23">
      <c r="A137">
        <v>2849</v>
      </c>
      <c r="B137" t="s">
        <v>1634</v>
      </c>
      <c r="C137">
        <v>1</v>
      </c>
      <c r="D137" s="11" t="s">
        <v>1635</v>
      </c>
      <c r="E137" t="s">
        <v>766</v>
      </c>
      <c r="F137" t="s">
        <v>766</v>
      </c>
      <c r="G137" t="s">
        <v>767</v>
      </c>
      <c r="H137" t="s">
        <v>1634</v>
      </c>
      <c r="I137" t="s">
        <v>1634</v>
      </c>
      <c r="J137">
        <v>6600</v>
      </c>
      <c r="K137">
        <v>5940</v>
      </c>
      <c r="L137">
        <v>5050</v>
      </c>
      <c r="M137" t="s">
        <v>1634</v>
      </c>
      <c r="N137">
        <v>3250</v>
      </c>
      <c r="O137">
        <v>2900</v>
      </c>
      <c r="P137">
        <v>2450</v>
      </c>
      <c r="Q137" t="s">
        <v>40</v>
      </c>
      <c r="R137">
        <v>26</v>
      </c>
      <c r="S137">
        <v>1</v>
      </c>
      <c r="T137" t="s">
        <v>1636</v>
      </c>
      <c r="U137" t="s">
        <v>1637</v>
      </c>
      <c r="V137">
        <v>0</v>
      </c>
      <c r="W137" s="14" t="str">
        <f t="shared" si="2"/>
        <v>(2849,null,1,'2026-04-28 00:00:00','003302010250000-330201025','003302010250000-330201025','第四脑室肿瘤切除术',null,null,6600,5940,5050,null,3250,2900,2450,'次',26,1,'normal','main',0),</v>
      </c>
    </row>
    <row r="138" spans="1:23">
      <c r="A138">
        <v>2850</v>
      </c>
      <c r="B138" t="s">
        <v>1634</v>
      </c>
      <c r="C138">
        <v>1</v>
      </c>
      <c r="D138" s="11" t="s">
        <v>1635</v>
      </c>
      <c r="E138" t="s">
        <v>769</v>
      </c>
      <c r="F138" t="s">
        <v>769</v>
      </c>
      <c r="G138" t="s">
        <v>770</v>
      </c>
      <c r="H138" t="s">
        <v>1634</v>
      </c>
      <c r="I138" t="s">
        <v>1634</v>
      </c>
      <c r="J138">
        <v>5060</v>
      </c>
      <c r="K138">
        <v>4550</v>
      </c>
      <c r="L138">
        <v>3870</v>
      </c>
      <c r="M138" t="s">
        <v>1634</v>
      </c>
      <c r="N138">
        <v>3250</v>
      </c>
      <c r="O138">
        <v>2900</v>
      </c>
      <c r="P138">
        <v>2450</v>
      </c>
      <c r="Q138" t="s">
        <v>40</v>
      </c>
      <c r="R138">
        <v>26</v>
      </c>
      <c r="S138">
        <v>1</v>
      </c>
      <c r="T138" t="s">
        <v>1636</v>
      </c>
      <c r="U138" t="s">
        <v>1637</v>
      </c>
      <c r="V138">
        <v>0</v>
      </c>
      <c r="W138" s="14" t="str">
        <f t="shared" si="2"/>
        <v>(2850,null,1,'2026-04-28 00:00:00','003302010260000-330201026','003302010260000-330201026','经颅内镜脑室肿瘤切除术',null,null,5060,4550,3870,null,3250,2900,2450,'次',26,1,'normal','main',0),</v>
      </c>
    </row>
    <row r="139" spans="1:23">
      <c r="A139">
        <v>2851</v>
      </c>
      <c r="B139" t="s">
        <v>1634</v>
      </c>
      <c r="C139">
        <v>1</v>
      </c>
      <c r="D139" s="11" t="s">
        <v>1635</v>
      </c>
      <c r="E139" t="s">
        <v>771</v>
      </c>
      <c r="F139" t="s">
        <v>771</v>
      </c>
      <c r="G139" t="s">
        <v>772</v>
      </c>
      <c r="H139" t="s">
        <v>1634</v>
      </c>
      <c r="I139" t="s">
        <v>1634</v>
      </c>
      <c r="J139">
        <v>3040</v>
      </c>
      <c r="K139">
        <v>2740</v>
      </c>
      <c r="L139">
        <v>2330</v>
      </c>
      <c r="M139" t="s">
        <v>1634</v>
      </c>
      <c r="N139">
        <v>3250</v>
      </c>
      <c r="O139">
        <v>2900</v>
      </c>
      <c r="P139">
        <v>2450</v>
      </c>
      <c r="Q139" t="s">
        <v>40</v>
      </c>
      <c r="R139">
        <v>26</v>
      </c>
      <c r="S139">
        <v>1</v>
      </c>
      <c r="T139" t="s">
        <v>1636</v>
      </c>
      <c r="U139" t="s">
        <v>1637</v>
      </c>
      <c r="V139">
        <v>0</v>
      </c>
      <c r="W139" s="14" t="str">
        <f t="shared" si="2"/>
        <v>(2851,null,1,'2026-04-28 00:00:00','003302010280000-330201028','003302010280000-330201028','脑皮质切除术',null,null,3040,2740,2330,null,3250,2900,2450,'次',26,1,'normal','main',0),</v>
      </c>
    </row>
    <row r="140" spans="1:23">
      <c r="A140">
        <v>2852</v>
      </c>
      <c r="B140" t="s">
        <v>1634</v>
      </c>
      <c r="C140">
        <v>1</v>
      </c>
      <c r="D140" s="11" t="s">
        <v>1635</v>
      </c>
      <c r="E140" t="s">
        <v>773</v>
      </c>
      <c r="F140" t="s">
        <v>773</v>
      </c>
      <c r="G140" t="s">
        <v>774</v>
      </c>
      <c r="H140" t="s">
        <v>1634</v>
      </c>
      <c r="I140" t="s">
        <v>1634</v>
      </c>
      <c r="J140">
        <v>5780</v>
      </c>
      <c r="K140">
        <v>5200</v>
      </c>
      <c r="L140">
        <v>4420</v>
      </c>
      <c r="M140" t="s">
        <v>1634</v>
      </c>
      <c r="N140">
        <v>3250</v>
      </c>
      <c r="O140">
        <v>2900</v>
      </c>
      <c r="P140">
        <v>2450</v>
      </c>
      <c r="Q140" t="s">
        <v>40</v>
      </c>
      <c r="R140">
        <v>26</v>
      </c>
      <c r="S140">
        <v>1</v>
      </c>
      <c r="T140" t="s">
        <v>1636</v>
      </c>
      <c r="U140" t="s">
        <v>1637</v>
      </c>
      <c r="V140">
        <v>0</v>
      </c>
      <c r="W140" s="14" t="str">
        <f t="shared" si="2"/>
        <v>(2852,null,1,'2026-04-28 00:00:00','003302010290000-330201029','003302010290000-330201029','大脑半球切除术',null,null,5780,5200,4420,null,3250,2900,2450,'次',26,1,'normal','main',0),</v>
      </c>
    </row>
    <row r="141" spans="1:23">
      <c r="A141">
        <v>2853</v>
      </c>
      <c r="B141" t="s">
        <v>1634</v>
      </c>
      <c r="C141">
        <v>1</v>
      </c>
      <c r="D141" s="11" t="s">
        <v>1635</v>
      </c>
      <c r="E141" t="s">
        <v>776</v>
      </c>
      <c r="F141" t="s">
        <v>776</v>
      </c>
      <c r="G141" t="s">
        <v>777</v>
      </c>
      <c r="H141" t="s">
        <v>1634</v>
      </c>
      <c r="I141" t="s">
        <v>1634</v>
      </c>
      <c r="J141">
        <v>6940</v>
      </c>
      <c r="K141">
        <v>6250</v>
      </c>
      <c r="L141">
        <v>5310</v>
      </c>
      <c r="M141" t="s">
        <v>1634</v>
      </c>
      <c r="N141">
        <v>3250</v>
      </c>
      <c r="O141">
        <v>2900</v>
      </c>
      <c r="P141">
        <v>2450</v>
      </c>
      <c r="Q141" t="s">
        <v>40</v>
      </c>
      <c r="R141">
        <v>26</v>
      </c>
      <c r="S141">
        <v>1</v>
      </c>
      <c r="T141" t="s">
        <v>1636</v>
      </c>
      <c r="U141" t="s">
        <v>1637</v>
      </c>
      <c r="V141">
        <v>0</v>
      </c>
      <c r="W141" s="14" t="str">
        <f t="shared" si="2"/>
        <v>(2853,null,1,'2026-04-28 00:00:00','003302010300000-330201030','003302010300000-330201030','选择性杏仁核海马切除术',null,null,6940,6250,5310,null,3250,2900,2450,'次',26,1,'normal','main',0),</v>
      </c>
    </row>
    <row r="142" spans="1:23">
      <c r="A142">
        <v>2854</v>
      </c>
      <c r="B142" t="s">
        <v>1634</v>
      </c>
      <c r="C142">
        <v>1</v>
      </c>
      <c r="D142" s="11" t="s">
        <v>1635</v>
      </c>
      <c r="E142" t="s">
        <v>778</v>
      </c>
      <c r="F142" t="s">
        <v>778</v>
      </c>
      <c r="G142" t="s">
        <v>779</v>
      </c>
      <c r="H142" t="s">
        <v>1634</v>
      </c>
      <c r="I142" t="s">
        <v>1634</v>
      </c>
      <c r="J142">
        <v>4625</v>
      </c>
      <c r="K142">
        <v>4160</v>
      </c>
      <c r="L142">
        <v>3540</v>
      </c>
      <c r="M142" t="s">
        <v>1634</v>
      </c>
      <c r="N142">
        <v>3250</v>
      </c>
      <c r="O142">
        <v>2900</v>
      </c>
      <c r="P142">
        <v>2450</v>
      </c>
      <c r="Q142" t="s">
        <v>40</v>
      </c>
      <c r="R142">
        <v>26</v>
      </c>
      <c r="S142">
        <v>1</v>
      </c>
      <c r="T142" t="s">
        <v>1636</v>
      </c>
      <c r="U142" t="s">
        <v>1637</v>
      </c>
      <c r="V142">
        <v>0</v>
      </c>
      <c r="W142" s="14" t="str">
        <f t="shared" si="2"/>
        <v>(2854,null,1,'2026-04-28 00:00:00','003302010310000-330201031','003302010310000-330201031','胼胝体切开术',null,null,4625,4160,3540,null,3250,2900,2450,'次',26,1,'normal','main',0),</v>
      </c>
    </row>
    <row r="143" spans="1:23">
      <c r="A143">
        <v>2855</v>
      </c>
      <c r="B143" t="s">
        <v>1634</v>
      </c>
      <c r="C143">
        <v>1</v>
      </c>
      <c r="D143" s="11" t="s">
        <v>1635</v>
      </c>
      <c r="E143" t="s">
        <v>781</v>
      </c>
      <c r="F143" t="s">
        <v>781</v>
      </c>
      <c r="G143" t="s">
        <v>782</v>
      </c>
      <c r="H143" t="s">
        <v>1634</v>
      </c>
      <c r="I143" t="s">
        <v>1634</v>
      </c>
      <c r="J143">
        <v>3710</v>
      </c>
      <c r="K143">
        <v>3340</v>
      </c>
      <c r="L143">
        <v>2840</v>
      </c>
      <c r="M143" t="s">
        <v>1634</v>
      </c>
      <c r="N143">
        <v>3250</v>
      </c>
      <c r="O143">
        <v>2900</v>
      </c>
      <c r="P143">
        <v>2450</v>
      </c>
      <c r="Q143" t="s">
        <v>40</v>
      </c>
      <c r="R143">
        <v>26</v>
      </c>
      <c r="S143">
        <v>1</v>
      </c>
      <c r="T143" t="s">
        <v>1636</v>
      </c>
      <c r="U143" t="s">
        <v>1637</v>
      </c>
      <c r="V143">
        <v>0</v>
      </c>
      <c r="W143" s="14" t="str">
        <f t="shared" si="2"/>
        <v>(2855,null,1,'2026-04-28 00:00:00','003302010320000-330201032','003302010320000-330201032','多处软脑膜下横纤维切断术',null,null,3710,3340,2840,null,3250,2900,2450,'次',26,1,'normal','main',0),</v>
      </c>
    </row>
    <row r="144" spans="1:23">
      <c r="A144">
        <v>2856</v>
      </c>
      <c r="B144" t="s">
        <v>1634</v>
      </c>
      <c r="C144">
        <v>1</v>
      </c>
      <c r="D144" s="11" t="s">
        <v>1635</v>
      </c>
      <c r="E144" t="s">
        <v>783</v>
      </c>
      <c r="F144" t="s">
        <v>783</v>
      </c>
      <c r="G144" t="s">
        <v>784</v>
      </c>
      <c r="H144" t="s">
        <v>1634</v>
      </c>
      <c r="I144" t="s">
        <v>1634</v>
      </c>
      <c r="J144">
        <v>4740</v>
      </c>
      <c r="K144">
        <v>4270</v>
      </c>
      <c r="L144">
        <v>3630</v>
      </c>
      <c r="M144" t="s">
        <v>1634</v>
      </c>
      <c r="N144">
        <v>3250</v>
      </c>
      <c r="O144">
        <v>2900</v>
      </c>
      <c r="P144">
        <v>2450</v>
      </c>
      <c r="Q144" t="s">
        <v>40</v>
      </c>
      <c r="R144">
        <v>26</v>
      </c>
      <c r="S144">
        <v>1</v>
      </c>
      <c r="T144" t="s">
        <v>1636</v>
      </c>
      <c r="U144" t="s">
        <v>1637</v>
      </c>
      <c r="V144">
        <v>0</v>
      </c>
      <c r="W144" s="14" t="str">
        <f t="shared" si="2"/>
        <v>(2856,null,1,'2026-04-28 00:00:00','003302010330000-330201033','003302010330000-330201033','癫痫病灶切除术',null,null,4740,4270,3630,null,3250,2900,2450,'次',26,1,'normal','main',0),</v>
      </c>
    </row>
    <row r="145" spans="1:23">
      <c r="A145">
        <v>2857</v>
      </c>
      <c r="B145" t="s">
        <v>1634</v>
      </c>
      <c r="C145">
        <v>1</v>
      </c>
      <c r="D145" s="11" t="s">
        <v>1635</v>
      </c>
      <c r="E145" t="s">
        <v>787</v>
      </c>
      <c r="F145" t="s">
        <v>787</v>
      </c>
      <c r="G145" t="s">
        <v>788</v>
      </c>
      <c r="H145" t="s">
        <v>1634</v>
      </c>
      <c r="I145" t="s">
        <v>1634</v>
      </c>
      <c r="J145">
        <v>0</v>
      </c>
      <c r="K145">
        <v>0</v>
      </c>
      <c r="L145">
        <v>0</v>
      </c>
      <c r="M145" t="s">
        <v>1634</v>
      </c>
      <c r="N145">
        <v>3250</v>
      </c>
      <c r="O145">
        <v>2900</v>
      </c>
      <c r="P145">
        <v>2450</v>
      </c>
      <c r="Q145" t="s">
        <v>40</v>
      </c>
      <c r="R145">
        <v>26</v>
      </c>
      <c r="S145">
        <v>1</v>
      </c>
      <c r="T145" t="s">
        <v>1636</v>
      </c>
      <c r="U145" t="s">
        <v>1637</v>
      </c>
      <c r="V145">
        <v>0</v>
      </c>
      <c r="W145" s="14" t="str">
        <f t="shared" si="2"/>
        <v>(2857,null,1,'2026-04-28 00:00:00','003302010340000-330201034','003302010340000-330201034','癫痫刀手术',null,null,0,0,0,null,3250,2900,2450,'次',26,1,'normal','main',0),</v>
      </c>
    </row>
    <row r="146" spans="1:23">
      <c r="A146">
        <v>2858</v>
      </c>
      <c r="B146" t="s">
        <v>1634</v>
      </c>
      <c r="C146">
        <v>1</v>
      </c>
      <c r="D146" s="11" t="s">
        <v>1635</v>
      </c>
      <c r="E146" t="s">
        <v>791</v>
      </c>
      <c r="F146" t="s">
        <v>791</v>
      </c>
      <c r="G146" t="s">
        <v>792</v>
      </c>
      <c r="H146" t="s">
        <v>1634</v>
      </c>
      <c r="I146" t="s">
        <v>1634</v>
      </c>
      <c r="J146">
        <v>4740</v>
      </c>
      <c r="K146">
        <v>4270</v>
      </c>
      <c r="L146">
        <v>3630</v>
      </c>
      <c r="M146" t="s">
        <v>1634</v>
      </c>
      <c r="N146">
        <v>3250</v>
      </c>
      <c r="O146">
        <v>2900</v>
      </c>
      <c r="P146">
        <v>2450</v>
      </c>
      <c r="Q146" t="s">
        <v>40</v>
      </c>
      <c r="R146">
        <v>26</v>
      </c>
      <c r="S146">
        <v>1</v>
      </c>
      <c r="T146" t="s">
        <v>1636</v>
      </c>
      <c r="U146" t="s">
        <v>1637</v>
      </c>
      <c r="V146">
        <v>0</v>
      </c>
      <c r="W146" s="14" t="str">
        <f t="shared" si="2"/>
        <v>(2858,null,1,'2026-04-28 00:00:00','003302010360000-330201036','003302010360000-330201036','小脑半球病变切除术',null,null,4740,4270,3630,null,3250,2900,2450,'次',26,1,'normal','main',0),</v>
      </c>
    </row>
    <row r="147" spans="1:23">
      <c r="A147">
        <v>2859</v>
      </c>
      <c r="B147" t="s">
        <v>1634</v>
      </c>
      <c r="C147">
        <v>1</v>
      </c>
      <c r="D147" s="11" t="s">
        <v>1635</v>
      </c>
      <c r="E147" t="s">
        <v>794</v>
      </c>
      <c r="F147" t="s">
        <v>794</v>
      </c>
      <c r="G147" t="s">
        <v>795</v>
      </c>
      <c r="H147" t="s">
        <v>1634</v>
      </c>
      <c r="I147" t="s">
        <v>1634</v>
      </c>
      <c r="J147">
        <v>9400</v>
      </c>
      <c r="K147">
        <v>8950</v>
      </c>
      <c r="L147">
        <v>7150</v>
      </c>
      <c r="M147" t="s">
        <v>1634</v>
      </c>
      <c r="N147">
        <v>3250</v>
      </c>
      <c r="O147">
        <v>2900</v>
      </c>
      <c r="P147">
        <v>2450</v>
      </c>
      <c r="Q147" t="s">
        <v>40</v>
      </c>
      <c r="R147">
        <v>26</v>
      </c>
      <c r="S147">
        <v>1</v>
      </c>
      <c r="T147" t="s">
        <v>1636</v>
      </c>
      <c r="U147" t="s">
        <v>1637</v>
      </c>
      <c r="V147">
        <v>0</v>
      </c>
      <c r="W147" s="14" t="str">
        <f t="shared" si="2"/>
        <v>(2859,null,1,'2026-04-28 00:00:00','003302010380000-330201038','003302010380000-330201038','鞍区占位病变切除术',null,null,9400,8950,7150,null,3250,2900,2450,'次',26,1,'normal','main',0),</v>
      </c>
    </row>
    <row r="148" spans="1:23">
      <c r="A148">
        <v>2860</v>
      </c>
      <c r="B148" t="s">
        <v>1634</v>
      </c>
      <c r="C148">
        <v>1</v>
      </c>
      <c r="D148" s="11" t="s">
        <v>1635</v>
      </c>
      <c r="E148" t="s">
        <v>797</v>
      </c>
      <c r="F148" t="s">
        <v>797</v>
      </c>
      <c r="G148" t="s">
        <v>798</v>
      </c>
      <c r="H148" t="s">
        <v>1634</v>
      </c>
      <c r="I148" t="s">
        <v>1634</v>
      </c>
      <c r="J148">
        <v>9775</v>
      </c>
      <c r="K148">
        <v>9310</v>
      </c>
      <c r="L148">
        <v>7456</v>
      </c>
      <c r="M148" t="s">
        <v>1634</v>
      </c>
      <c r="N148">
        <v>3250</v>
      </c>
      <c r="O148">
        <v>2900</v>
      </c>
      <c r="P148">
        <v>2450</v>
      </c>
      <c r="Q148" t="s">
        <v>40</v>
      </c>
      <c r="R148">
        <v>26</v>
      </c>
      <c r="S148">
        <v>1</v>
      </c>
      <c r="T148" t="s">
        <v>1636</v>
      </c>
      <c r="U148" t="s">
        <v>1637</v>
      </c>
      <c r="V148">
        <v>0</v>
      </c>
      <c r="W148" s="14" t="str">
        <f t="shared" si="2"/>
        <v>(2860,null,1,'2026-04-28 00:00:00','003302010380000-33020103802','003302010380000-33020103802','经颅内镜鞍区占位病变切除术',null,null,9775,9310,7456,null,3250,2900,2450,'次',26,1,'normal','main',0),</v>
      </c>
    </row>
    <row r="149" spans="1:23">
      <c r="A149">
        <v>2861</v>
      </c>
      <c r="B149" t="s">
        <v>1634</v>
      </c>
      <c r="C149">
        <v>1</v>
      </c>
      <c r="D149" s="11" t="s">
        <v>1635</v>
      </c>
      <c r="E149" t="s">
        <v>799</v>
      </c>
      <c r="F149" t="s">
        <v>799</v>
      </c>
      <c r="G149" t="s">
        <v>800</v>
      </c>
      <c r="H149" t="s">
        <v>1634</v>
      </c>
      <c r="I149" t="s">
        <v>1634</v>
      </c>
      <c r="J149">
        <v>5320</v>
      </c>
      <c r="K149">
        <v>4790</v>
      </c>
      <c r="L149">
        <v>4070</v>
      </c>
      <c r="M149" t="s">
        <v>1634</v>
      </c>
      <c r="N149">
        <v>3250</v>
      </c>
      <c r="O149">
        <v>2900</v>
      </c>
      <c r="P149">
        <v>2450</v>
      </c>
      <c r="Q149" t="s">
        <v>40</v>
      </c>
      <c r="R149">
        <v>26</v>
      </c>
      <c r="S149">
        <v>1</v>
      </c>
      <c r="T149" t="s">
        <v>1636</v>
      </c>
      <c r="U149" t="s">
        <v>1637</v>
      </c>
      <c r="V149">
        <v>0</v>
      </c>
      <c r="W149" s="14" t="str">
        <f t="shared" si="2"/>
        <v>(2861,null,1,'2026-04-28 00:00:00','003302010390000-330201039','003302010390000-330201039','垂体瘤切除术',null,null,5320,4790,4070,null,3250,2900,2450,'次',26,1,'normal','main',0),</v>
      </c>
    </row>
    <row r="150" spans="1:23">
      <c r="A150">
        <v>2862</v>
      </c>
      <c r="B150" t="s">
        <v>1634</v>
      </c>
      <c r="C150">
        <v>1</v>
      </c>
      <c r="D150" s="11" t="s">
        <v>1635</v>
      </c>
      <c r="E150" t="s">
        <v>802</v>
      </c>
      <c r="F150" t="s">
        <v>802</v>
      </c>
      <c r="G150" t="s">
        <v>803</v>
      </c>
      <c r="H150" t="s">
        <v>1634</v>
      </c>
      <c r="I150" t="s">
        <v>1634</v>
      </c>
      <c r="J150">
        <v>5695</v>
      </c>
      <c r="K150">
        <v>5150</v>
      </c>
      <c r="L150">
        <v>4376</v>
      </c>
      <c r="M150" t="s">
        <v>1634</v>
      </c>
      <c r="N150">
        <v>3250</v>
      </c>
      <c r="O150">
        <v>2900</v>
      </c>
      <c r="P150">
        <v>2450</v>
      </c>
      <c r="Q150" t="s">
        <v>40</v>
      </c>
      <c r="R150">
        <v>26</v>
      </c>
      <c r="S150">
        <v>1</v>
      </c>
      <c r="T150" t="s">
        <v>1636</v>
      </c>
      <c r="U150" t="s">
        <v>1637</v>
      </c>
      <c r="V150">
        <v>0</v>
      </c>
      <c r="W150" s="14" t="str">
        <f t="shared" si="2"/>
        <v>(2862,null,1,'2026-04-28 00:00:00','003302010390000-33020103902','003302010390000-33020103902','经颅内镜垂体瘤切除术',null,null,5695,5150,4376,null,3250,2900,2450,'次',26,1,'normal','main',0),</v>
      </c>
    </row>
    <row r="151" spans="1:23">
      <c r="A151">
        <v>2863</v>
      </c>
      <c r="B151" t="s">
        <v>1634</v>
      </c>
      <c r="C151">
        <v>1</v>
      </c>
      <c r="D151" s="11" t="s">
        <v>1635</v>
      </c>
      <c r="E151" t="s">
        <v>804</v>
      </c>
      <c r="F151" t="s">
        <v>804</v>
      </c>
      <c r="G151" t="s">
        <v>805</v>
      </c>
      <c r="H151" t="s">
        <v>1634</v>
      </c>
      <c r="I151" t="s">
        <v>1634</v>
      </c>
      <c r="J151">
        <v>4220</v>
      </c>
      <c r="K151">
        <v>3800</v>
      </c>
      <c r="L151">
        <v>3230</v>
      </c>
      <c r="M151" t="s">
        <v>1634</v>
      </c>
      <c r="N151">
        <v>3250</v>
      </c>
      <c r="O151">
        <v>2900</v>
      </c>
      <c r="P151">
        <v>2450</v>
      </c>
      <c r="Q151" t="s">
        <v>40</v>
      </c>
      <c r="R151">
        <v>26</v>
      </c>
      <c r="S151">
        <v>1</v>
      </c>
      <c r="T151" t="s">
        <v>1636</v>
      </c>
      <c r="U151" t="s">
        <v>1637</v>
      </c>
      <c r="V151">
        <v>0</v>
      </c>
      <c r="W151" s="14" t="str">
        <f t="shared" si="2"/>
        <v>(2863,null,1,'2026-04-28 00:00:00','003302010430000-330201043','003302010430000-330201043','经脑室镜胶样囊肿切除术',null,null,4220,3800,3230,null,3250,2900,2450,'次',26,1,'normal','main',0),</v>
      </c>
    </row>
    <row r="152" spans="1:23">
      <c r="A152">
        <v>2864</v>
      </c>
      <c r="B152" t="s">
        <v>1634</v>
      </c>
      <c r="C152">
        <v>1</v>
      </c>
      <c r="D152" s="11" t="s">
        <v>1635</v>
      </c>
      <c r="E152" t="s">
        <v>806</v>
      </c>
      <c r="F152" t="s">
        <v>806</v>
      </c>
      <c r="G152" t="s">
        <v>807</v>
      </c>
      <c r="H152" t="s">
        <v>1634</v>
      </c>
      <c r="I152" t="s">
        <v>1634</v>
      </c>
      <c r="J152">
        <v>4595</v>
      </c>
      <c r="K152">
        <v>4160</v>
      </c>
      <c r="L152">
        <v>3536</v>
      </c>
      <c r="M152" t="s">
        <v>1634</v>
      </c>
      <c r="N152">
        <v>3250</v>
      </c>
      <c r="O152">
        <v>2900</v>
      </c>
      <c r="P152">
        <v>2450</v>
      </c>
      <c r="Q152" t="s">
        <v>40</v>
      </c>
      <c r="R152">
        <v>26</v>
      </c>
      <c r="S152">
        <v>1</v>
      </c>
      <c r="T152" t="s">
        <v>1636</v>
      </c>
      <c r="U152" t="s">
        <v>1637</v>
      </c>
      <c r="V152">
        <v>0</v>
      </c>
      <c r="W152" s="14" t="str">
        <f t="shared" si="2"/>
        <v>(2864,null,1,'2026-04-28 00:00:00','003302010430000-33020104302','003302010430000-33020104302','经颅内镜经脑室镜胶样囊肿切除术',null,null,4595,4160,3536,null,3250,2900,2450,'次',26,1,'normal','main',0),</v>
      </c>
    </row>
    <row r="153" spans="1:23">
      <c r="A153">
        <v>2865</v>
      </c>
      <c r="B153" t="s">
        <v>1634</v>
      </c>
      <c r="C153">
        <v>1</v>
      </c>
      <c r="D153" s="11" t="s">
        <v>1635</v>
      </c>
      <c r="E153" t="s">
        <v>808</v>
      </c>
      <c r="F153" t="s">
        <v>808</v>
      </c>
      <c r="G153" t="s">
        <v>809</v>
      </c>
      <c r="H153" t="s">
        <v>1634</v>
      </c>
      <c r="I153" t="s">
        <v>1634</v>
      </c>
      <c r="J153">
        <v>3380</v>
      </c>
      <c r="K153">
        <v>3040</v>
      </c>
      <c r="L153">
        <v>2580</v>
      </c>
      <c r="M153" t="s">
        <v>1634</v>
      </c>
      <c r="N153">
        <v>3250</v>
      </c>
      <c r="O153">
        <v>2900</v>
      </c>
      <c r="P153">
        <v>2450</v>
      </c>
      <c r="Q153" t="s">
        <v>40</v>
      </c>
      <c r="R153">
        <v>26</v>
      </c>
      <c r="S153">
        <v>1</v>
      </c>
      <c r="T153" t="s">
        <v>1636</v>
      </c>
      <c r="U153" t="s">
        <v>1637</v>
      </c>
      <c r="V153">
        <v>0</v>
      </c>
      <c r="W153" s="14" t="str">
        <f t="shared" si="2"/>
        <v>(2865,null,1,'2026-04-28 00:00:00','003302010440000-330201044','003302010440000-330201044','脑囊虫摘除术',null,null,3380,3040,2580,null,3250,2900,2450,'次',26,1,'normal','main',0),</v>
      </c>
    </row>
    <row r="154" spans="1:23">
      <c r="A154">
        <v>2866</v>
      </c>
      <c r="B154" t="s">
        <v>1634</v>
      </c>
      <c r="C154">
        <v>1</v>
      </c>
      <c r="D154" s="11" t="s">
        <v>1635</v>
      </c>
      <c r="E154" t="s">
        <v>810</v>
      </c>
      <c r="F154" t="s">
        <v>810</v>
      </c>
      <c r="G154" t="s">
        <v>811</v>
      </c>
      <c r="H154" t="s">
        <v>1634</v>
      </c>
      <c r="I154" t="s">
        <v>1634</v>
      </c>
      <c r="J154">
        <v>6480</v>
      </c>
      <c r="K154">
        <v>5830</v>
      </c>
      <c r="L154">
        <v>4960</v>
      </c>
      <c r="M154" t="s">
        <v>1634</v>
      </c>
      <c r="N154">
        <v>3250</v>
      </c>
      <c r="O154">
        <v>2900</v>
      </c>
      <c r="P154">
        <v>2450</v>
      </c>
      <c r="Q154" t="s">
        <v>40</v>
      </c>
      <c r="R154">
        <v>26</v>
      </c>
      <c r="S154">
        <v>1</v>
      </c>
      <c r="T154" t="s">
        <v>1636</v>
      </c>
      <c r="U154" t="s">
        <v>1637</v>
      </c>
      <c r="V154">
        <v>0</v>
      </c>
      <c r="W154" s="14" t="str">
        <f t="shared" si="2"/>
        <v>(2866,null,1,'2026-04-28 00:00:00','003302010450000-330201045','003302010450000-330201045','经颅内镜经鼻蝶垂体肿瘤切除术',null,null,6480,5830,4960,null,3250,2900,2450,'次',26,1,'normal','main',0),</v>
      </c>
    </row>
    <row r="155" spans="1:23">
      <c r="A155">
        <v>2867</v>
      </c>
      <c r="B155" t="s">
        <v>1634</v>
      </c>
      <c r="C155">
        <v>1</v>
      </c>
      <c r="D155" s="11" t="s">
        <v>1635</v>
      </c>
      <c r="E155" t="s">
        <v>812</v>
      </c>
      <c r="F155" t="s">
        <v>812</v>
      </c>
      <c r="G155" t="s">
        <v>813</v>
      </c>
      <c r="H155" t="s">
        <v>1634</v>
      </c>
      <c r="I155" t="s">
        <v>1634</v>
      </c>
      <c r="J155">
        <v>4220</v>
      </c>
      <c r="K155">
        <v>3800</v>
      </c>
      <c r="L155">
        <v>3230</v>
      </c>
      <c r="M155" t="s">
        <v>1634</v>
      </c>
      <c r="N155">
        <v>3250</v>
      </c>
      <c r="O155">
        <v>2900</v>
      </c>
      <c r="P155">
        <v>2450</v>
      </c>
      <c r="Q155" t="s">
        <v>40</v>
      </c>
      <c r="R155">
        <v>26</v>
      </c>
      <c r="S155">
        <v>1</v>
      </c>
      <c r="T155" t="s">
        <v>1636</v>
      </c>
      <c r="U155" t="s">
        <v>1637</v>
      </c>
      <c r="V155">
        <v>0</v>
      </c>
      <c r="W155" s="14" t="str">
        <f t="shared" si="2"/>
        <v>(2867,null,1,'2026-04-28 00:00:00','003302010460000-330201046','003302010460000-330201046','经颅内镜脑内囊肿造口术',null,null,4220,3800,3230,null,3250,2900,2450,'次',26,1,'normal','main',0),</v>
      </c>
    </row>
    <row r="156" spans="1:23">
      <c r="A156">
        <v>2868</v>
      </c>
      <c r="B156" t="s">
        <v>1634</v>
      </c>
      <c r="C156">
        <v>1</v>
      </c>
      <c r="D156" s="11" t="s">
        <v>1635</v>
      </c>
      <c r="E156" t="s">
        <v>814</v>
      </c>
      <c r="F156" t="s">
        <v>814</v>
      </c>
      <c r="G156" t="s">
        <v>815</v>
      </c>
      <c r="H156" t="s">
        <v>1634</v>
      </c>
      <c r="I156" t="s">
        <v>1634</v>
      </c>
      <c r="J156">
        <v>4220</v>
      </c>
      <c r="K156">
        <v>3800</v>
      </c>
      <c r="L156">
        <v>3230</v>
      </c>
      <c r="M156" t="s">
        <v>1634</v>
      </c>
      <c r="N156">
        <v>3250</v>
      </c>
      <c r="O156">
        <v>2900</v>
      </c>
      <c r="P156">
        <v>2450</v>
      </c>
      <c r="Q156" t="s">
        <v>40</v>
      </c>
      <c r="R156">
        <v>26</v>
      </c>
      <c r="S156">
        <v>1</v>
      </c>
      <c r="T156" t="s">
        <v>1636</v>
      </c>
      <c r="U156" t="s">
        <v>1637</v>
      </c>
      <c r="V156">
        <v>0</v>
      </c>
      <c r="W156" s="14" t="str">
        <f t="shared" si="2"/>
        <v>(2868,null,1,'2026-04-28 00:00:00','003302010470000-330201047','003302010470000-330201047','经颅内镜脑内异物摘除术',null,null,4220,3800,3230,null,3250,2900,2450,'次',26,1,'normal','main',0),</v>
      </c>
    </row>
    <row r="157" spans="1:23">
      <c r="A157">
        <v>2869</v>
      </c>
      <c r="B157" t="s">
        <v>1634</v>
      </c>
      <c r="C157">
        <v>1</v>
      </c>
      <c r="D157" s="11" t="s">
        <v>1635</v>
      </c>
      <c r="E157" t="s">
        <v>817</v>
      </c>
      <c r="F157" t="s">
        <v>817</v>
      </c>
      <c r="G157" t="s">
        <v>818</v>
      </c>
      <c r="H157" t="s">
        <v>1634</v>
      </c>
      <c r="I157" t="s">
        <v>1634</v>
      </c>
      <c r="J157">
        <v>5060</v>
      </c>
      <c r="K157">
        <v>4550</v>
      </c>
      <c r="L157">
        <v>3870</v>
      </c>
      <c r="M157" t="s">
        <v>1634</v>
      </c>
      <c r="N157">
        <v>3250</v>
      </c>
      <c r="O157">
        <v>2900</v>
      </c>
      <c r="P157">
        <v>2450</v>
      </c>
      <c r="Q157" t="s">
        <v>820</v>
      </c>
      <c r="R157">
        <v>26</v>
      </c>
      <c r="S157">
        <v>1</v>
      </c>
      <c r="T157" t="s">
        <v>1636</v>
      </c>
      <c r="U157" t="s">
        <v>1637</v>
      </c>
      <c r="V157">
        <v>0</v>
      </c>
      <c r="W157" s="14" t="str">
        <f t="shared" si="2"/>
        <v>(2869,null,1,'2026-04-28 00:00:00','003302010600000-330201060','003302010600000-330201060','立体定向脑深部核团毁损术',null,null,5060,4550,3870,null,3250,2900,2450,'靶点',26,1,'normal','main',0),</v>
      </c>
    </row>
    <row r="158" spans="1:23">
      <c r="A158">
        <v>2870</v>
      </c>
      <c r="B158" t="s">
        <v>1634</v>
      </c>
      <c r="C158">
        <v>1</v>
      </c>
      <c r="D158" s="11" t="s">
        <v>1635</v>
      </c>
      <c r="E158" t="s">
        <v>822</v>
      </c>
      <c r="F158" t="s">
        <v>822</v>
      </c>
      <c r="G158" t="s">
        <v>823</v>
      </c>
      <c r="H158" t="s">
        <v>1634</v>
      </c>
      <c r="I158" t="s">
        <v>1634</v>
      </c>
      <c r="J158">
        <v>7220</v>
      </c>
      <c r="K158">
        <v>6490</v>
      </c>
      <c r="L158">
        <v>5520</v>
      </c>
      <c r="M158" t="s">
        <v>1634</v>
      </c>
      <c r="N158">
        <v>3250</v>
      </c>
      <c r="O158">
        <v>2900</v>
      </c>
      <c r="P158">
        <v>2450</v>
      </c>
      <c r="Q158" t="s">
        <v>820</v>
      </c>
      <c r="R158">
        <v>26</v>
      </c>
      <c r="S158">
        <v>1</v>
      </c>
      <c r="T158" t="s">
        <v>1636</v>
      </c>
      <c r="U158" t="s">
        <v>1637</v>
      </c>
      <c r="V158">
        <v>0</v>
      </c>
      <c r="W158" s="14" t="str">
        <f t="shared" si="2"/>
        <v>(2870,null,1,'2026-04-28 00:00:00','003302010600001-33020106001','003302010600001-33020106001','立体定向脑深部核团毁损术（两个以上“靶点”）',null,null,7220,6490,5520,null,3250,2900,2450,'靶点',26,1,'normal','main',0),</v>
      </c>
    </row>
    <row r="159" spans="1:23">
      <c r="A159">
        <v>2871</v>
      </c>
      <c r="B159" t="s">
        <v>1634</v>
      </c>
      <c r="C159">
        <v>1</v>
      </c>
      <c r="D159" s="11" t="s">
        <v>1635</v>
      </c>
      <c r="E159" t="s">
        <v>825</v>
      </c>
      <c r="F159" t="s">
        <v>825</v>
      </c>
      <c r="G159" t="s">
        <v>826</v>
      </c>
      <c r="H159" t="s">
        <v>1634</v>
      </c>
      <c r="I159" t="s">
        <v>1634</v>
      </c>
      <c r="J159">
        <v>4130</v>
      </c>
      <c r="K159">
        <v>3720</v>
      </c>
      <c r="L159">
        <v>3160</v>
      </c>
      <c r="M159" t="s">
        <v>1634</v>
      </c>
      <c r="N159">
        <v>3250</v>
      </c>
      <c r="O159">
        <v>2900</v>
      </c>
      <c r="P159">
        <v>2450</v>
      </c>
      <c r="Q159" t="s">
        <v>40</v>
      </c>
      <c r="R159">
        <v>26</v>
      </c>
      <c r="S159">
        <v>1</v>
      </c>
      <c r="T159" t="s">
        <v>1636</v>
      </c>
      <c r="U159" t="s">
        <v>1637</v>
      </c>
      <c r="V159">
        <v>0</v>
      </c>
      <c r="W159" s="14" t="str">
        <f t="shared" si="2"/>
        <v>(2871,null,1,'2026-04-28 00:00:00','003302010590000-330201059','003302010590000-330201059','立体定向颅内肿物清除术',null,null,4130,3720,3160,null,3250,2900,2450,'次',26,1,'normal','main',0),</v>
      </c>
    </row>
    <row r="160" spans="1:23">
      <c r="A160">
        <v>2872</v>
      </c>
      <c r="B160" t="s">
        <v>1634</v>
      </c>
      <c r="C160">
        <v>1</v>
      </c>
      <c r="D160" s="11" t="s">
        <v>1635</v>
      </c>
      <c r="E160" t="s">
        <v>829</v>
      </c>
      <c r="F160" t="s">
        <v>829</v>
      </c>
      <c r="G160" t="s">
        <v>830</v>
      </c>
      <c r="H160" t="s">
        <v>1634</v>
      </c>
      <c r="I160" t="s">
        <v>1634</v>
      </c>
      <c r="J160">
        <v>4505</v>
      </c>
      <c r="K160">
        <v>4080</v>
      </c>
      <c r="L160">
        <v>3466</v>
      </c>
      <c r="M160" t="s">
        <v>1634</v>
      </c>
      <c r="N160">
        <v>3250</v>
      </c>
      <c r="O160">
        <v>2900</v>
      </c>
      <c r="P160">
        <v>2450</v>
      </c>
      <c r="Q160" t="s">
        <v>40</v>
      </c>
      <c r="R160">
        <v>26</v>
      </c>
      <c r="S160">
        <v>1</v>
      </c>
      <c r="T160" t="s">
        <v>1636</v>
      </c>
      <c r="U160" t="s">
        <v>1637</v>
      </c>
      <c r="V160">
        <v>0</v>
      </c>
      <c r="W160" s="14" t="str">
        <f t="shared" si="2"/>
        <v>(2872,null,1,'2026-04-28 00:00:00','003302010590000-33020105902','003302010590000-33020105902','经颅内镜立体定向颅内肿物清除术',null,null,4505,4080,3466,null,3250,2900,2450,'次',26,1,'normal','main',0),</v>
      </c>
    </row>
    <row r="161" spans="1:23">
      <c r="A161">
        <v>2873</v>
      </c>
      <c r="B161" t="s">
        <v>1634</v>
      </c>
      <c r="C161">
        <v>1</v>
      </c>
      <c r="D161" s="11" t="s">
        <v>1635</v>
      </c>
      <c r="E161" t="s">
        <v>831</v>
      </c>
      <c r="F161" t="s">
        <v>831</v>
      </c>
      <c r="G161" t="s">
        <v>832</v>
      </c>
      <c r="H161" t="s">
        <v>1634</v>
      </c>
      <c r="I161" t="s">
        <v>1634</v>
      </c>
      <c r="J161">
        <v>2250</v>
      </c>
      <c r="K161">
        <v>2160</v>
      </c>
      <c r="L161">
        <v>1836</v>
      </c>
      <c r="M161" t="s">
        <v>1634</v>
      </c>
      <c r="N161">
        <v>3250</v>
      </c>
      <c r="O161">
        <v>2900</v>
      </c>
      <c r="P161">
        <v>2450</v>
      </c>
      <c r="Q161" t="s">
        <v>40</v>
      </c>
      <c r="R161">
        <v>26</v>
      </c>
      <c r="S161">
        <v>1</v>
      </c>
      <c r="T161" t="s">
        <v>1636</v>
      </c>
      <c r="U161" t="s">
        <v>1637</v>
      </c>
      <c r="V161">
        <v>0</v>
      </c>
      <c r="W161" s="14" t="str">
        <f t="shared" si="2"/>
        <v>(2873,null,1,'2026-04-28 00:00:00','003302010060000-330201006','003302010060000-330201006','开放性颅脑损伤清除术',null,null,2250,2160,1836,null,3250,2900,2450,'次',26,1,'normal','main',0),</v>
      </c>
    </row>
    <row r="162" spans="1:23">
      <c r="A162">
        <v>2874</v>
      </c>
      <c r="B162" t="s">
        <v>1634</v>
      </c>
      <c r="C162">
        <v>1</v>
      </c>
      <c r="D162" s="11" t="s">
        <v>1635</v>
      </c>
      <c r="E162" t="s">
        <v>838</v>
      </c>
      <c r="F162" t="s">
        <v>838</v>
      </c>
      <c r="G162" t="s">
        <v>839</v>
      </c>
      <c r="H162" t="s">
        <v>1634</v>
      </c>
      <c r="I162" t="s">
        <v>1634</v>
      </c>
      <c r="J162">
        <v>2925</v>
      </c>
      <c r="K162">
        <v>2810</v>
      </c>
      <c r="L162">
        <v>2390</v>
      </c>
      <c r="M162" t="s">
        <v>1634</v>
      </c>
      <c r="N162">
        <v>4225</v>
      </c>
      <c r="O162">
        <v>3770</v>
      </c>
      <c r="P162">
        <v>3185</v>
      </c>
      <c r="Q162" t="s">
        <v>40</v>
      </c>
      <c r="R162">
        <v>26</v>
      </c>
      <c r="S162">
        <v>1</v>
      </c>
      <c r="T162" t="s">
        <v>1636</v>
      </c>
      <c r="U162" t="s">
        <v>1637</v>
      </c>
      <c r="V162">
        <v>0</v>
      </c>
      <c r="W162" s="14" t="str">
        <f t="shared" si="2"/>
        <v>(2874,null,1,'2026-04-28 00:00:00','003302010140000-33020101402','003302010140000-33020101402','小儿颅内多发血肿清除术',null,null,2925,2810,2390,null,4225,3770,3185,'次',26,1,'normal','main',0),</v>
      </c>
    </row>
    <row r="163" spans="1:23">
      <c r="A163">
        <v>2875</v>
      </c>
      <c r="B163" t="s">
        <v>1634</v>
      </c>
      <c r="C163">
        <v>1</v>
      </c>
      <c r="D163" s="11" t="s">
        <v>1635</v>
      </c>
      <c r="E163" t="s">
        <v>840</v>
      </c>
      <c r="F163" t="s">
        <v>840</v>
      </c>
      <c r="G163" t="s">
        <v>841</v>
      </c>
      <c r="H163" t="s">
        <v>1634</v>
      </c>
      <c r="I163" t="s">
        <v>1634</v>
      </c>
      <c r="J163">
        <v>4065</v>
      </c>
      <c r="K163">
        <v>3900</v>
      </c>
      <c r="L163">
        <v>3315</v>
      </c>
      <c r="M163" t="s">
        <v>1634</v>
      </c>
      <c r="N163">
        <v>4225</v>
      </c>
      <c r="O163">
        <v>3770</v>
      </c>
      <c r="P163">
        <v>3185</v>
      </c>
      <c r="Q163" t="s">
        <v>40</v>
      </c>
      <c r="R163">
        <v>26</v>
      </c>
      <c r="S163">
        <v>1</v>
      </c>
      <c r="T163" t="s">
        <v>1636</v>
      </c>
      <c r="U163" t="s">
        <v>1637</v>
      </c>
      <c r="V163">
        <v>0</v>
      </c>
      <c r="W163" s="14" t="str">
        <f t="shared" si="2"/>
        <v>(2875,null,1,'2026-04-28 00:00:00','003302010140001-33020101403','003302010140001-33020101403','小儿颅内多发血肿清除术（非同一部位血肿）',null,null,4065,3900,3315,null,4225,3770,3185,'次',26,1,'normal','main',0),</v>
      </c>
    </row>
    <row r="164" spans="1:23">
      <c r="A164">
        <v>2876</v>
      </c>
      <c r="B164" t="s">
        <v>1634</v>
      </c>
      <c r="C164">
        <v>1</v>
      </c>
      <c r="D164" s="11" t="s">
        <v>1635</v>
      </c>
      <c r="E164" t="s">
        <v>842</v>
      </c>
      <c r="F164" t="s">
        <v>842</v>
      </c>
      <c r="G164" t="s">
        <v>843</v>
      </c>
      <c r="H164" t="s">
        <v>1634</v>
      </c>
      <c r="I164" t="s">
        <v>1634</v>
      </c>
      <c r="J164">
        <v>2925</v>
      </c>
      <c r="K164">
        <v>2810</v>
      </c>
      <c r="L164">
        <v>2390</v>
      </c>
      <c r="M164" t="s">
        <v>1634</v>
      </c>
      <c r="N164">
        <v>4225</v>
      </c>
      <c r="O164">
        <v>3770</v>
      </c>
      <c r="P164">
        <v>3185</v>
      </c>
      <c r="Q164" t="s">
        <v>40</v>
      </c>
      <c r="R164">
        <v>26</v>
      </c>
      <c r="S164">
        <v>1</v>
      </c>
      <c r="T164" t="s">
        <v>1636</v>
      </c>
      <c r="U164" t="s">
        <v>1637</v>
      </c>
      <c r="V164">
        <v>0</v>
      </c>
      <c r="W164" s="14" t="str">
        <f t="shared" si="2"/>
        <v>(2876,null,1,'2026-04-28 00:00:00','003302010150000-33020101501','003302010150000-33020101501','小儿颅内血肿清除术',null,null,2925,2810,2390,null,4225,3770,3185,'次',26,1,'normal','main',0),</v>
      </c>
    </row>
    <row r="165" spans="1:23">
      <c r="A165">
        <v>2877</v>
      </c>
      <c r="B165" t="s">
        <v>1634</v>
      </c>
      <c r="C165">
        <v>1</v>
      </c>
      <c r="D165" s="11" t="s">
        <v>1635</v>
      </c>
      <c r="E165" t="s">
        <v>844</v>
      </c>
      <c r="F165" t="s">
        <v>844</v>
      </c>
      <c r="G165" t="s">
        <v>845</v>
      </c>
      <c r="H165" t="s">
        <v>1634</v>
      </c>
      <c r="I165" t="s">
        <v>1634</v>
      </c>
      <c r="J165">
        <v>3900</v>
      </c>
      <c r="K165">
        <v>3705</v>
      </c>
      <c r="L165">
        <v>2965</v>
      </c>
      <c r="M165" t="s">
        <v>1634</v>
      </c>
      <c r="N165">
        <v>4225</v>
      </c>
      <c r="O165">
        <v>3770</v>
      </c>
      <c r="P165">
        <v>3185</v>
      </c>
      <c r="Q165" t="s">
        <v>40</v>
      </c>
      <c r="R165">
        <v>26</v>
      </c>
      <c r="S165">
        <v>1</v>
      </c>
      <c r="T165" t="s">
        <v>1636</v>
      </c>
      <c r="U165" t="s">
        <v>1637</v>
      </c>
      <c r="V165">
        <v>0</v>
      </c>
      <c r="W165" s="14" t="str">
        <f t="shared" si="2"/>
        <v>(2877,null,1,'2026-04-28 00:00:00','003302010220000-33020102201','003302010220000-33020102201','小儿幕上浅部病变切除术',null,null,3900,3705,2965,null,4225,3770,3185,'次',26,1,'normal','main',0),</v>
      </c>
    </row>
    <row r="166" spans="1:23">
      <c r="A166">
        <v>2878</v>
      </c>
      <c r="B166" t="s">
        <v>1634</v>
      </c>
      <c r="C166">
        <v>1</v>
      </c>
      <c r="D166" s="11" t="s">
        <v>1635</v>
      </c>
      <c r="E166" t="s">
        <v>846</v>
      </c>
      <c r="F166" t="s">
        <v>846</v>
      </c>
      <c r="G166" t="s">
        <v>847</v>
      </c>
      <c r="H166" t="s">
        <v>1634</v>
      </c>
      <c r="I166" t="s">
        <v>1634</v>
      </c>
      <c r="J166">
        <v>8580</v>
      </c>
      <c r="K166">
        <v>7720</v>
      </c>
      <c r="L166">
        <v>6560</v>
      </c>
      <c r="M166" t="s">
        <v>1634</v>
      </c>
      <c r="N166">
        <v>4225</v>
      </c>
      <c r="O166">
        <v>3770</v>
      </c>
      <c r="P166">
        <v>3185</v>
      </c>
      <c r="Q166" t="s">
        <v>40</v>
      </c>
      <c r="R166">
        <v>26</v>
      </c>
      <c r="S166">
        <v>1</v>
      </c>
      <c r="T166" t="s">
        <v>1636</v>
      </c>
      <c r="U166" t="s">
        <v>1637</v>
      </c>
      <c r="V166">
        <v>0</v>
      </c>
      <c r="W166" s="14" t="str">
        <f t="shared" si="2"/>
        <v>(2878,null,1,'2026-04-28 00:00:00','003302010250000-33020102501','003302010250000-33020102501','小儿第四脑室肿瘤切除术',null,null,8580,7720,6560,null,4225,3770,3185,'次',26,1,'normal','main',0),</v>
      </c>
    </row>
    <row r="167" spans="1:23">
      <c r="A167">
        <v>2879</v>
      </c>
      <c r="B167" t="s">
        <v>1634</v>
      </c>
      <c r="C167">
        <v>1</v>
      </c>
      <c r="D167" s="11" t="s">
        <v>1635</v>
      </c>
      <c r="E167" t="s">
        <v>848</v>
      </c>
      <c r="F167" t="s">
        <v>848</v>
      </c>
      <c r="G167" t="s">
        <v>849</v>
      </c>
      <c r="H167" t="s">
        <v>1634</v>
      </c>
      <c r="I167" t="s">
        <v>1634</v>
      </c>
      <c r="J167">
        <v>6580</v>
      </c>
      <c r="K167">
        <v>5915</v>
      </c>
      <c r="L167">
        <v>5030</v>
      </c>
      <c r="M167" t="s">
        <v>1634</v>
      </c>
      <c r="N167">
        <v>4225</v>
      </c>
      <c r="O167">
        <v>3770</v>
      </c>
      <c r="P167">
        <v>3185</v>
      </c>
      <c r="Q167" t="s">
        <v>40</v>
      </c>
      <c r="R167">
        <v>26</v>
      </c>
      <c r="S167">
        <v>1</v>
      </c>
      <c r="T167" t="s">
        <v>1636</v>
      </c>
      <c r="U167" t="s">
        <v>1637</v>
      </c>
      <c r="V167">
        <v>0</v>
      </c>
      <c r="W167" s="14" t="str">
        <f t="shared" si="2"/>
        <v>(2879,null,1,'2026-04-28 00:00:00','003302010260000-33020102601','003302010260000-33020102601','小儿经颅内镜脑室肿瘤切除术',null,null,6580,5915,5030,null,4225,3770,3185,'次',26,1,'normal','main',0),</v>
      </c>
    </row>
    <row r="168" spans="1:23">
      <c r="A168">
        <v>2880</v>
      </c>
      <c r="B168" t="s">
        <v>1634</v>
      </c>
      <c r="C168">
        <v>1</v>
      </c>
      <c r="D168" s="11" t="s">
        <v>1635</v>
      </c>
      <c r="E168" t="s">
        <v>850</v>
      </c>
      <c r="F168" t="s">
        <v>850</v>
      </c>
      <c r="G168" t="s">
        <v>851</v>
      </c>
      <c r="H168" t="s">
        <v>1634</v>
      </c>
      <c r="I168" t="s">
        <v>1634</v>
      </c>
      <c r="J168">
        <v>3950</v>
      </c>
      <c r="K168">
        <v>3560</v>
      </c>
      <c r="L168">
        <v>3025</v>
      </c>
      <c r="M168" t="s">
        <v>1634</v>
      </c>
      <c r="N168">
        <v>4225</v>
      </c>
      <c r="O168">
        <v>3770</v>
      </c>
      <c r="P168">
        <v>3185</v>
      </c>
      <c r="Q168" t="s">
        <v>40</v>
      </c>
      <c r="R168">
        <v>26</v>
      </c>
      <c r="S168">
        <v>1</v>
      </c>
      <c r="T168" t="s">
        <v>1636</v>
      </c>
      <c r="U168" t="s">
        <v>1637</v>
      </c>
      <c r="V168">
        <v>0</v>
      </c>
      <c r="W168" s="14" t="str">
        <f t="shared" si="2"/>
        <v>(2880,null,1,'2026-04-28 00:00:00','003302010280000-33020102801','003302010280000-33020102801','小儿脑皮质切除术',null,null,3950,3560,3025,null,4225,3770,3185,'次',26,1,'normal','main',0),</v>
      </c>
    </row>
    <row r="169" spans="1:23">
      <c r="A169">
        <v>2881</v>
      </c>
      <c r="B169" t="s">
        <v>1634</v>
      </c>
      <c r="C169">
        <v>1</v>
      </c>
      <c r="D169" s="11" t="s">
        <v>1635</v>
      </c>
      <c r="E169" t="s">
        <v>852</v>
      </c>
      <c r="F169" t="s">
        <v>852</v>
      </c>
      <c r="G169" t="s">
        <v>853</v>
      </c>
      <c r="H169" t="s">
        <v>1634</v>
      </c>
      <c r="I169" t="s">
        <v>1634</v>
      </c>
      <c r="J169">
        <v>7515</v>
      </c>
      <c r="K169">
        <v>6760</v>
      </c>
      <c r="L169">
        <v>5745</v>
      </c>
      <c r="M169" t="s">
        <v>1634</v>
      </c>
      <c r="N169">
        <v>4225</v>
      </c>
      <c r="O169">
        <v>3770</v>
      </c>
      <c r="P169">
        <v>3185</v>
      </c>
      <c r="Q169" t="s">
        <v>40</v>
      </c>
      <c r="R169">
        <v>26</v>
      </c>
      <c r="S169">
        <v>1</v>
      </c>
      <c r="T169" t="s">
        <v>1636</v>
      </c>
      <c r="U169" t="s">
        <v>1637</v>
      </c>
      <c r="V169">
        <v>0</v>
      </c>
      <c r="W169" s="14" t="str">
        <f t="shared" si="2"/>
        <v>(2881,null,1,'2026-04-28 00:00:00','003302010290000-33020102901','003302010290000-33020102901','小儿大脑半球切除术',null,null,7515,6760,5745,null,4225,3770,3185,'次',26,1,'normal','main',0),</v>
      </c>
    </row>
    <row r="170" spans="1:23">
      <c r="A170">
        <v>2882</v>
      </c>
      <c r="B170" t="s">
        <v>1634</v>
      </c>
      <c r="C170">
        <v>1</v>
      </c>
      <c r="D170" s="11" t="s">
        <v>1635</v>
      </c>
      <c r="E170" t="s">
        <v>854</v>
      </c>
      <c r="F170" t="s">
        <v>854</v>
      </c>
      <c r="G170" t="s">
        <v>855</v>
      </c>
      <c r="H170" t="s">
        <v>1634</v>
      </c>
      <c r="I170" t="s">
        <v>1634</v>
      </c>
      <c r="J170">
        <v>9020</v>
      </c>
      <c r="K170">
        <v>8125</v>
      </c>
      <c r="L170">
        <v>6905</v>
      </c>
      <c r="M170" t="s">
        <v>1634</v>
      </c>
      <c r="N170">
        <v>4225</v>
      </c>
      <c r="O170">
        <v>3770</v>
      </c>
      <c r="P170">
        <v>3185</v>
      </c>
      <c r="Q170" t="s">
        <v>40</v>
      </c>
      <c r="R170">
        <v>26</v>
      </c>
      <c r="S170">
        <v>1</v>
      </c>
      <c r="T170" t="s">
        <v>1636</v>
      </c>
      <c r="U170" t="s">
        <v>1637</v>
      </c>
      <c r="V170">
        <v>0</v>
      </c>
      <c r="W170" s="14" t="str">
        <f t="shared" si="2"/>
        <v>(2882,null,1,'2026-04-28 00:00:00','003302010300000-33020103001','003302010300000-33020103001','小儿选择性杏仁核海马切除术',null,null,9020,8125,6905,null,4225,3770,3185,'次',26,1,'normal','main',0),</v>
      </c>
    </row>
    <row r="171" spans="1:23">
      <c r="A171">
        <v>2883</v>
      </c>
      <c r="B171" t="s">
        <v>1634</v>
      </c>
      <c r="C171">
        <v>1</v>
      </c>
      <c r="D171" s="11" t="s">
        <v>1635</v>
      </c>
      <c r="E171" t="s">
        <v>856</v>
      </c>
      <c r="F171" t="s">
        <v>856</v>
      </c>
      <c r="G171" t="s">
        <v>857</v>
      </c>
      <c r="H171" t="s">
        <v>1634</v>
      </c>
      <c r="I171" t="s">
        <v>1634</v>
      </c>
      <c r="J171">
        <v>6015</v>
      </c>
      <c r="K171">
        <v>5410</v>
      </c>
      <c r="L171">
        <v>4600</v>
      </c>
      <c r="M171" t="s">
        <v>1634</v>
      </c>
      <c r="N171">
        <v>4225</v>
      </c>
      <c r="O171">
        <v>3770</v>
      </c>
      <c r="P171">
        <v>3185</v>
      </c>
      <c r="Q171" t="s">
        <v>40</v>
      </c>
      <c r="R171">
        <v>26</v>
      </c>
      <c r="S171">
        <v>1</v>
      </c>
      <c r="T171" t="s">
        <v>1636</v>
      </c>
      <c r="U171" t="s">
        <v>1637</v>
      </c>
      <c r="V171">
        <v>0</v>
      </c>
      <c r="W171" s="14" t="str">
        <f t="shared" si="2"/>
        <v>(2883,null,1,'2026-04-28 00:00:00','003302010310000-33020103101','003302010310000-33020103101','小儿胼胝体切开术',null,null,6015,5410,4600,null,4225,3770,3185,'次',26,1,'normal','main',0),</v>
      </c>
    </row>
    <row r="172" spans="1:23">
      <c r="A172">
        <v>2884</v>
      </c>
      <c r="B172" t="s">
        <v>1634</v>
      </c>
      <c r="C172">
        <v>1</v>
      </c>
      <c r="D172" s="11" t="s">
        <v>1635</v>
      </c>
      <c r="E172" t="s">
        <v>858</v>
      </c>
      <c r="F172" t="s">
        <v>858</v>
      </c>
      <c r="G172" t="s">
        <v>859</v>
      </c>
      <c r="H172" t="s">
        <v>1634</v>
      </c>
      <c r="I172" t="s">
        <v>1634</v>
      </c>
      <c r="J172">
        <v>4825</v>
      </c>
      <c r="K172">
        <v>4340</v>
      </c>
      <c r="L172">
        <v>3690</v>
      </c>
      <c r="M172" t="s">
        <v>1634</v>
      </c>
      <c r="N172">
        <v>4225</v>
      </c>
      <c r="O172">
        <v>3770</v>
      </c>
      <c r="P172">
        <v>3185</v>
      </c>
      <c r="Q172" t="s">
        <v>40</v>
      </c>
      <c r="R172">
        <v>26</v>
      </c>
      <c r="S172">
        <v>1</v>
      </c>
      <c r="T172" t="s">
        <v>1636</v>
      </c>
      <c r="U172" t="s">
        <v>1637</v>
      </c>
      <c r="V172">
        <v>0</v>
      </c>
      <c r="W172" s="14" t="str">
        <f t="shared" si="2"/>
        <v>(2884,null,1,'2026-04-28 00:00:00','003302010320000-33020103201','003302010320000-33020103201','小儿多处软脑膜下横纤维切断术',null,null,4825,4340,3690,null,4225,3770,3185,'次',26,1,'normal','main',0),</v>
      </c>
    </row>
    <row r="173" spans="1:23">
      <c r="A173">
        <v>2885</v>
      </c>
      <c r="B173" t="s">
        <v>1634</v>
      </c>
      <c r="C173">
        <v>1</v>
      </c>
      <c r="D173" s="11" t="s">
        <v>1635</v>
      </c>
      <c r="E173" t="s">
        <v>860</v>
      </c>
      <c r="F173" t="s">
        <v>860</v>
      </c>
      <c r="G173" t="s">
        <v>861</v>
      </c>
      <c r="H173" t="s">
        <v>1634</v>
      </c>
      <c r="I173" t="s">
        <v>1634</v>
      </c>
      <c r="J173">
        <v>6160</v>
      </c>
      <c r="K173">
        <v>5550</v>
      </c>
      <c r="L173">
        <v>4720</v>
      </c>
      <c r="M173" t="s">
        <v>1634</v>
      </c>
      <c r="N173">
        <v>4225</v>
      </c>
      <c r="O173">
        <v>3770</v>
      </c>
      <c r="P173">
        <v>3185</v>
      </c>
      <c r="Q173" t="s">
        <v>40</v>
      </c>
      <c r="R173">
        <v>26</v>
      </c>
      <c r="S173">
        <v>1</v>
      </c>
      <c r="T173" t="s">
        <v>1636</v>
      </c>
      <c r="U173" t="s">
        <v>1637</v>
      </c>
      <c r="V173">
        <v>0</v>
      </c>
      <c r="W173" s="14" t="str">
        <f t="shared" si="2"/>
        <v>(2885,null,1,'2026-04-28 00:00:00','003302010330000-33020103301','003302010330000-33020103301','小儿癫痫病灶切除术',null,null,6160,5550,4720,null,4225,3770,3185,'次',26,1,'normal','main',0),</v>
      </c>
    </row>
    <row r="174" spans="1:23">
      <c r="A174">
        <v>2886</v>
      </c>
      <c r="B174" t="s">
        <v>1634</v>
      </c>
      <c r="C174">
        <v>1</v>
      </c>
      <c r="D174" s="11" t="s">
        <v>1635</v>
      </c>
      <c r="E174" t="s">
        <v>862</v>
      </c>
      <c r="F174" t="s">
        <v>862</v>
      </c>
      <c r="G174" t="s">
        <v>863</v>
      </c>
      <c r="H174" t="s">
        <v>1634</v>
      </c>
      <c r="I174" t="s">
        <v>1634</v>
      </c>
      <c r="J174">
        <v>0</v>
      </c>
      <c r="K174">
        <v>0</v>
      </c>
      <c r="L174">
        <v>0</v>
      </c>
      <c r="M174" t="s">
        <v>1634</v>
      </c>
      <c r="N174">
        <v>4225</v>
      </c>
      <c r="O174">
        <v>3770</v>
      </c>
      <c r="P174">
        <v>3185</v>
      </c>
      <c r="Q174" t="s">
        <v>40</v>
      </c>
      <c r="R174">
        <v>26</v>
      </c>
      <c r="S174">
        <v>1</v>
      </c>
      <c r="T174" t="s">
        <v>1636</v>
      </c>
      <c r="U174" t="s">
        <v>1637</v>
      </c>
      <c r="V174">
        <v>0</v>
      </c>
      <c r="W174" s="14" t="str">
        <f t="shared" si="2"/>
        <v>(2886,null,1,'2026-04-28 00:00:00','003302010340000-33020103401','003302010340000-33020103401','小儿癫痫刀手术',null,null,0,0,0,null,4225,3770,3185,'次',26,1,'normal','main',0),</v>
      </c>
    </row>
    <row r="175" spans="1:23">
      <c r="A175">
        <v>2887</v>
      </c>
      <c r="B175" t="s">
        <v>1634</v>
      </c>
      <c r="C175">
        <v>1</v>
      </c>
      <c r="D175" s="11" t="s">
        <v>1635</v>
      </c>
      <c r="E175" t="s">
        <v>864</v>
      </c>
      <c r="F175" t="s">
        <v>864</v>
      </c>
      <c r="G175" t="s">
        <v>865</v>
      </c>
      <c r="H175" t="s">
        <v>1634</v>
      </c>
      <c r="I175" t="s">
        <v>1634</v>
      </c>
      <c r="J175">
        <v>6160</v>
      </c>
      <c r="K175">
        <v>5550</v>
      </c>
      <c r="L175">
        <v>4720</v>
      </c>
      <c r="M175" t="s">
        <v>1634</v>
      </c>
      <c r="N175">
        <v>4225</v>
      </c>
      <c r="O175">
        <v>3770</v>
      </c>
      <c r="P175">
        <v>3185</v>
      </c>
      <c r="Q175" t="s">
        <v>40</v>
      </c>
      <c r="R175">
        <v>26</v>
      </c>
      <c r="S175">
        <v>1</v>
      </c>
      <c r="T175" t="s">
        <v>1636</v>
      </c>
      <c r="U175" t="s">
        <v>1637</v>
      </c>
      <c r="V175">
        <v>0</v>
      </c>
      <c r="W175" s="14" t="str">
        <f t="shared" si="2"/>
        <v>(2887,null,1,'2026-04-28 00:00:00','003302010360000-33020103601','003302010360000-33020103601','小儿小脑半球病变切除术',null,null,6160,5550,4720,null,4225,3770,3185,'次',26,1,'normal','main',0),</v>
      </c>
    </row>
    <row r="176" spans="1:23">
      <c r="A176">
        <v>2888</v>
      </c>
      <c r="B176" t="s">
        <v>1634</v>
      </c>
      <c r="C176">
        <v>1</v>
      </c>
      <c r="D176" s="11" t="s">
        <v>1635</v>
      </c>
      <c r="E176" t="s">
        <v>866</v>
      </c>
      <c r="F176" t="s">
        <v>866</v>
      </c>
      <c r="G176" t="s">
        <v>867</v>
      </c>
      <c r="H176" t="s">
        <v>1634</v>
      </c>
      <c r="I176" t="s">
        <v>1634</v>
      </c>
      <c r="J176">
        <v>12220</v>
      </c>
      <c r="K176">
        <v>11635</v>
      </c>
      <c r="L176">
        <v>9295</v>
      </c>
      <c r="M176" t="s">
        <v>1634</v>
      </c>
      <c r="N176">
        <v>4225</v>
      </c>
      <c r="O176">
        <v>3770</v>
      </c>
      <c r="P176">
        <v>3185</v>
      </c>
      <c r="Q176" t="s">
        <v>40</v>
      </c>
      <c r="R176">
        <v>26</v>
      </c>
      <c r="S176">
        <v>1</v>
      </c>
      <c r="T176" t="s">
        <v>1636</v>
      </c>
      <c r="U176" t="s">
        <v>1637</v>
      </c>
      <c r="V176">
        <v>0</v>
      </c>
      <c r="W176" s="14" t="str">
        <f t="shared" si="2"/>
        <v>(2888,null,1,'2026-04-28 00:00:00','003302010380000-33020103801','003302010380000-33020103801','小儿鞍区占位病变切除术',null,null,12220,11635,9295,null,4225,3770,3185,'次',26,1,'normal','main',0),</v>
      </c>
    </row>
    <row r="177" spans="1:23">
      <c r="A177">
        <v>2889</v>
      </c>
      <c r="B177" t="s">
        <v>1634</v>
      </c>
      <c r="C177">
        <v>1</v>
      </c>
      <c r="D177" s="11" t="s">
        <v>1635</v>
      </c>
      <c r="E177" t="s">
        <v>868</v>
      </c>
      <c r="F177" t="s">
        <v>868</v>
      </c>
      <c r="G177" t="s">
        <v>869</v>
      </c>
      <c r="H177" t="s">
        <v>1634</v>
      </c>
      <c r="I177" t="s">
        <v>1634</v>
      </c>
      <c r="J177">
        <v>12595</v>
      </c>
      <c r="K177">
        <v>11995</v>
      </c>
      <c r="L177">
        <v>9601</v>
      </c>
      <c r="M177" t="s">
        <v>1634</v>
      </c>
      <c r="N177">
        <v>4225</v>
      </c>
      <c r="O177">
        <v>3770</v>
      </c>
      <c r="P177">
        <v>3185</v>
      </c>
      <c r="Q177" t="s">
        <v>40</v>
      </c>
      <c r="R177">
        <v>26</v>
      </c>
      <c r="S177">
        <v>1</v>
      </c>
      <c r="T177" t="s">
        <v>1636</v>
      </c>
      <c r="U177" t="s">
        <v>1637</v>
      </c>
      <c r="V177">
        <v>0</v>
      </c>
      <c r="W177" s="14" t="str">
        <f t="shared" si="2"/>
        <v>(2889,null,1,'2026-04-28 00:00:00','003302010380000-33020103803','003302010380000-33020103803','小儿经颅内镜鞍区占位病变切除术',null,null,12595,11995,9601,null,4225,3770,3185,'次',26,1,'normal','main',0),</v>
      </c>
    </row>
    <row r="178" spans="1:23">
      <c r="A178">
        <v>2890</v>
      </c>
      <c r="B178" t="s">
        <v>1634</v>
      </c>
      <c r="C178">
        <v>1</v>
      </c>
      <c r="D178" s="11" t="s">
        <v>1635</v>
      </c>
      <c r="E178" t="s">
        <v>870</v>
      </c>
      <c r="F178" t="s">
        <v>870</v>
      </c>
      <c r="G178" t="s">
        <v>871</v>
      </c>
      <c r="H178" t="s">
        <v>1634</v>
      </c>
      <c r="I178" t="s">
        <v>1634</v>
      </c>
      <c r="J178">
        <v>6915</v>
      </c>
      <c r="K178">
        <v>6225</v>
      </c>
      <c r="L178">
        <v>5290</v>
      </c>
      <c r="M178" t="s">
        <v>1634</v>
      </c>
      <c r="N178">
        <v>4225</v>
      </c>
      <c r="O178">
        <v>3770</v>
      </c>
      <c r="P178">
        <v>3185</v>
      </c>
      <c r="Q178" t="s">
        <v>40</v>
      </c>
      <c r="R178">
        <v>26</v>
      </c>
      <c r="S178">
        <v>1</v>
      </c>
      <c r="T178" t="s">
        <v>1636</v>
      </c>
      <c r="U178" t="s">
        <v>1637</v>
      </c>
      <c r="V178">
        <v>0</v>
      </c>
      <c r="W178" s="14" t="str">
        <f t="shared" si="2"/>
        <v>(2890,null,1,'2026-04-28 00:00:00','003302010390000-33020103901','003302010390000-33020103901','小儿垂体瘤切除术',null,null,6915,6225,5290,null,4225,3770,3185,'次',26,1,'normal','main',0),</v>
      </c>
    </row>
    <row r="179" spans="1:23">
      <c r="A179">
        <v>2891</v>
      </c>
      <c r="B179" t="s">
        <v>1634</v>
      </c>
      <c r="C179">
        <v>1</v>
      </c>
      <c r="D179" s="11" t="s">
        <v>1635</v>
      </c>
      <c r="E179" t="s">
        <v>872</v>
      </c>
      <c r="F179" t="s">
        <v>872</v>
      </c>
      <c r="G179" t="s">
        <v>873</v>
      </c>
      <c r="H179" t="s">
        <v>1634</v>
      </c>
      <c r="I179" t="s">
        <v>1634</v>
      </c>
      <c r="J179">
        <v>7290</v>
      </c>
      <c r="K179">
        <v>6585</v>
      </c>
      <c r="L179">
        <v>5595</v>
      </c>
      <c r="M179" t="s">
        <v>1634</v>
      </c>
      <c r="N179">
        <v>4225</v>
      </c>
      <c r="O179">
        <v>3770</v>
      </c>
      <c r="P179">
        <v>3185</v>
      </c>
      <c r="Q179" t="s">
        <v>40</v>
      </c>
      <c r="R179">
        <v>26</v>
      </c>
      <c r="S179">
        <v>1</v>
      </c>
      <c r="T179" t="s">
        <v>1636</v>
      </c>
      <c r="U179" t="s">
        <v>1637</v>
      </c>
      <c r="V179">
        <v>0</v>
      </c>
      <c r="W179" s="14" t="str">
        <f t="shared" si="2"/>
        <v>(2891,null,1,'2026-04-28 00:00:00','003302010390000-33020103903','003302010390000-33020103903','小儿经颅内镜垂体瘤切除术',null,null,7290,6585,5595,null,4225,3770,3185,'次',26,1,'normal','main',0),</v>
      </c>
    </row>
    <row r="180" spans="1:23">
      <c r="A180">
        <v>2892</v>
      </c>
      <c r="B180" t="s">
        <v>1634</v>
      </c>
      <c r="C180">
        <v>1</v>
      </c>
      <c r="D180" s="11" t="s">
        <v>1635</v>
      </c>
      <c r="E180" t="s">
        <v>874</v>
      </c>
      <c r="F180" t="s">
        <v>874</v>
      </c>
      <c r="G180" t="s">
        <v>875</v>
      </c>
      <c r="H180" t="s">
        <v>1634</v>
      </c>
      <c r="I180" t="s">
        <v>1634</v>
      </c>
      <c r="J180">
        <v>5485</v>
      </c>
      <c r="K180">
        <v>4940</v>
      </c>
      <c r="L180">
        <v>4200</v>
      </c>
      <c r="M180" t="s">
        <v>1634</v>
      </c>
      <c r="N180">
        <v>4225</v>
      </c>
      <c r="O180">
        <v>3770</v>
      </c>
      <c r="P180">
        <v>3185</v>
      </c>
      <c r="Q180" t="s">
        <v>40</v>
      </c>
      <c r="R180">
        <v>26</v>
      </c>
      <c r="S180">
        <v>1</v>
      </c>
      <c r="T180" t="s">
        <v>1636</v>
      </c>
      <c r="U180" t="s">
        <v>1637</v>
      </c>
      <c r="V180">
        <v>0</v>
      </c>
      <c r="W180" s="14" t="str">
        <f t="shared" si="2"/>
        <v>(2892,null,1,'2026-04-28 00:00:00','003302010430000-33020104301','003302010430000-33020104301','小儿经脑室镜胶样囊肿切除术',null,null,5485,4940,4200,null,4225,3770,3185,'次',26,1,'normal','main',0),</v>
      </c>
    </row>
    <row r="181" spans="1:23">
      <c r="A181">
        <v>2893</v>
      </c>
      <c r="B181" t="s">
        <v>1634</v>
      </c>
      <c r="C181">
        <v>1</v>
      </c>
      <c r="D181" s="11" t="s">
        <v>1635</v>
      </c>
      <c r="E181" t="s">
        <v>876</v>
      </c>
      <c r="F181" t="s">
        <v>876</v>
      </c>
      <c r="G181" t="s">
        <v>877</v>
      </c>
      <c r="H181" t="s">
        <v>1634</v>
      </c>
      <c r="I181" t="s">
        <v>1634</v>
      </c>
      <c r="J181">
        <v>5860</v>
      </c>
      <c r="K181">
        <v>5300</v>
      </c>
      <c r="L181">
        <v>4505</v>
      </c>
      <c r="M181" t="s">
        <v>1634</v>
      </c>
      <c r="N181">
        <v>4225</v>
      </c>
      <c r="O181">
        <v>3770</v>
      </c>
      <c r="P181">
        <v>3185</v>
      </c>
      <c r="Q181" t="s">
        <v>40</v>
      </c>
      <c r="R181">
        <v>26</v>
      </c>
      <c r="S181">
        <v>1</v>
      </c>
      <c r="T181" t="s">
        <v>1636</v>
      </c>
      <c r="U181" t="s">
        <v>1637</v>
      </c>
      <c r="V181">
        <v>0</v>
      </c>
      <c r="W181" s="14" t="str">
        <f t="shared" si="2"/>
        <v>(2893,null,1,'2026-04-28 00:00:00','003302010430000-33020104303','003302010430000-33020104303','小儿经颅内镜经脑室镜胶样囊肿切除术',null,null,5860,5300,4505,null,4225,3770,3185,'次',26,1,'normal','main',0),</v>
      </c>
    </row>
    <row r="182" spans="1:23">
      <c r="A182">
        <v>2894</v>
      </c>
      <c r="B182" t="s">
        <v>1634</v>
      </c>
      <c r="C182">
        <v>1</v>
      </c>
      <c r="D182" s="11" t="s">
        <v>1635</v>
      </c>
      <c r="E182" t="s">
        <v>878</v>
      </c>
      <c r="F182" t="s">
        <v>878</v>
      </c>
      <c r="G182" t="s">
        <v>879</v>
      </c>
      <c r="H182" t="s">
        <v>1634</v>
      </c>
      <c r="I182" t="s">
        <v>1634</v>
      </c>
      <c r="J182">
        <v>4395</v>
      </c>
      <c r="K182">
        <v>3950</v>
      </c>
      <c r="L182">
        <v>3360</v>
      </c>
      <c r="M182" t="s">
        <v>1634</v>
      </c>
      <c r="N182">
        <v>4225</v>
      </c>
      <c r="O182">
        <v>3770</v>
      </c>
      <c r="P182">
        <v>3185</v>
      </c>
      <c r="Q182" t="s">
        <v>40</v>
      </c>
      <c r="R182">
        <v>26</v>
      </c>
      <c r="S182">
        <v>1</v>
      </c>
      <c r="T182" t="s">
        <v>1636</v>
      </c>
      <c r="U182" t="s">
        <v>1637</v>
      </c>
      <c r="V182">
        <v>0</v>
      </c>
      <c r="W182" s="14" t="str">
        <f t="shared" si="2"/>
        <v>(2894,null,1,'2026-04-28 00:00:00','003302010440000-33020104401','003302010440000-33020104401','小儿脑囊虫摘除术',null,null,4395,3950,3360,null,4225,3770,3185,'次',26,1,'normal','main',0),</v>
      </c>
    </row>
    <row r="183" spans="1:23">
      <c r="A183">
        <v>2895</v>
      </c>
      <c r="B183" t="s">
        <v>1634</v>
      </c>
      <c r="C183">
        <v>1</v>
      </c>
      <c r="D183" s="11" t="s">
        <v>1635</v>
      </c>
      <c r="E183" t="s">
        <v>880</v>
      </c>
      <c r="F183" t="s">
        <v>880</v>
      </c>
      <c r="G183" t="s">
        <v>881</v>
      </c>
      <c r="H183" t="s">
        <v>1634</v>
      </c>
      <c r="I183" t="s">
        <v>1634</v>
      </c>
      <c r="J183">
        <v>8425</v>
      </c>
      <c r="K183">
        <v>7580</v>
      </c>
      <c r="L183">
        <v>6445</v>
      </c>
      <c r="M183" t="s">
        <v>1634</v>
      </c>
      <c r="N183">
        <v>4225</v>
      </c>
      <c r="O183">
        <v>3770</v>
      </c>
      <c r="P183">
        <v>3185</v>
      </c>
      <c r="Q183" t="s">
        <v>40</v>
      </c>
      <c r="R183">
        <v>26</v>
      </c>
      <c r="S183">
        <v>1</v>
      </c>
      <c r="T183" t="s">
        <v>1636</v>
      </c>
      <c r="U183" t="s">
        <v>1637</v>
      </c>
      <c r="V183">
        <v>0</v>
      </c>
      <c r="W183" s="14" t="str">
        <f t="shared" si="2"/>
        <v>(2895,null,1,'2026-04-28 00:00:00','003302010450000-33020104501','003302010450000-33020104501','小儿经颅内镜经鼻蝶垂体肿瘤切除术',null,null,8425,7580,6445,null,4225,3770,3185,'次',26,1,'normal','main',0),</v>
      </c>
    </row>
    <row r="184" spans="1:23">
      <c r="A184">
        <v>2896</v>
      </c>
      <c r="B184" t="s">
        <v>1634</v>
      </c>
      <c r="C184">
        <v>1</v>
      </c>
      <c r="D184" s="11" t="s">
        <v>1635</v>
      </c>
      <c r="E184" t="s">
        <v>882</v>
      </c>
      <c r="F184" t="s">
        <v>882</v>
      </c>
      <c r="G184" t="s">
        <v>883</v>
      </c>
      <c r="H184" t="s">
        <v>1634</v>
      </c>
      <c r="I184" t="s">
        <v>1634</v>
      </c>
      <c r="J184">
        <v>5485</v>
      </c>
      <c r="K184">
        <v>4940</v>
      </c>
      <c r="L184">
        <v>4200</v>
      </c>
      <c r="M184" t="s">
        <v>1634</v>
      </c>
      <c r="N184">
        <v>4225</v>
      </c>
      <c r="O184">
        <v>3770</v>
      </c>
      <c r="P184">
        <v>3185</v>
      </c>
      <c r="Q184" t="s">
        <v>40</v>
      </c>
      <c r="R184">
        <v>26</v>
      </c>
      <c r="S184">
        <v>1</v>
      </c>
      <c r="T184" t="s">
        <v>1636</v>
      </c>
      <c r="U184" t="s">
        <v>1637</v>
      </c>
      <c r="V184">
        <v>0</v>
      </c>
      <c r="W184" s="14" t="str">
        <f t="shared" si="2"/>
        <v>(2896,null,1,'2026-04-28 00:00:00','003302010460000-33020104601','003302010460000-33020104601','小儿经颅内镜脑内囊肿造口术',null,null,5485,4940,4200,null,4225,3770,3185,'次',26,1,'normal','main',0),</v>
      </c>
    </row>
    <row r="185" spans="1:23">
      <c r="A185">
        <v>2897</v>
      </c>
      <c r="B185" t="s">
        <v>1634</v>
      </c>
      <c r="C185">
        <v>1</v>
      </c>
      <c r="D185" s="11" t="s">
        <v>1635</v>
      </c>
      <c r="E185" t="s">
        <v>884</v>
      </c>
      <c r="F185" t="s">
        <v>884</v>
      </c>
      <c r="G185" t="s">
        <v>885</v>
      </c>
      <c r="H185" t="s">
        <v>1634</v>
      </c>
      <c r="I185" t="s">
        <v>1634</v>
      </c>
      <c r="J185">
        <v>5485</v>
      </c>
      <c r="K185">
        <v>4940</v>
      </c>
      <c r="L185">
        <v>4200</v>
      </c>
      <c r="M185" t="s">
        <v>1634</v>
      </c>
      <c r="N185">
        <v>4225</v>
      </c>
      <c r="O185">
        <v>3770</v>
      </c>
      <c r="P185">
        <v>3185</v>
      </c>
      <c r="Q185" t="s">
        <v>40</v>
      </c>
      <c r="R185">
        <v>26</v>
      </c>
      <c r="S185">
        <v>1</v>
      </c>
      <c r="T185" t="s">
        <v>1636</v>
      </c>
      <c r="U185" t="s">
        <v>1637</v>
      </c>
      <c r="V185">
        <v>0</v>
      </c>
      <c r="W185" s="14" t="str">
        <f t="shared" si="2"/>
        <v>(2897,null,1,'2026-04-28 00:00:00','003302010470000-33020104701','003302010470000-33020104701','小儿经颅内镜脑内异物摘除术',null,null,5485,4940,4200,null,4225,3770,3185,'次',26,1,'normal','main',0),</v>
      </c>
    </row>
    <row r="186" spans="1:23">
      <c r="A186">
        <v>2898</v>
      </c>
      <c r="B186" t="s">
        <v>1634</v>
      </c>
      <c r="C186">
        <v>1</v>
      </c>
      <c r="D186" s="11" t="s">
        <v>1635</v>
      </c>
      <c r="E186" t="s">
        <v>886</v>
      </c>
      <c r="F186" t="s">
        <v>886</v>
      </c>
      <c r="G186" t="s">
        <v>887</v>
      </c>
      <c r="H186" t="s">
        <v>1634</v>
      </c>
      <c r="I186" t="s">
        <v>1634</v>
      </c>
      <c r="J186">
        <v>5370</v>
      </c>
      <c r="K186">
        <v>4835</v>
      </c>
      <c r="L186">
        <v>4110</v>
      </c>
      <c r="M186" t="s">
        <v>1634</v>
      </c>
      <c r="N186">
        <v>4225</v>
      </c>
      <c r="O186">
        <v>3770</v>
      </c>
      <c r="P186">
        <v>3185</v>
      </c>
      <c r="Q186" t="s">
        <v>40</v>
      </c>
      <c r="R186">
        <v>26</v>
      </c>
      <c r="S186">
        <v>1</v>
      </c>
      <c r="T186" t="s">
        <v>1636</v>
      </c>
      <c r="U186" t="s">
        <v>1637</v>
      </c>
      <c r="V186">
        <v>0</v>
      </c>
      <c r="W186" s="14" t="str">
        <f t="shared" si="2"/>
        <v>(2898,null,1,'2026-04-28 00:00:00','003302010590000-33020105901','003302010590000-33020105901','小儿立体定向颅内肿物清除术',null,null,5370,4835,4110,null,4225,3770,3185,'次',26,1,'normal','main',0),</v>
      </c>
    </row>
    <row r="187" spans="1:23">
      <c r="A187">
        <v>2899</v>
      </c>
      <c r="B187" t="s">
        <v>1634</v>
      </c>
      <c r="C187">
        <v>1</v>
      </c>
      <c r="D187" s="11" t="s">
        <v>1635</v>
      </c>
      <c r="E187" t="s">
        <v>888</v>
      </c>
      <c r="F187" t="s">
        <v>888</v>
      </c>
      <c r="G187" t="s">
        <v>889</v>
      </c>
      <c r="H187" t="s">
        <v>1634</v>
      </c>
      <c r="I187" t="s">
        <v>1634</v>
      </c>
      <c r="J187">
        <v>5745</v>
      </c>
      <c r="K187">
        <v>5195</v>
      </c>
      <c r="L187">
        <v>4415</v>
      </c>
      <c r="M187" t="s">
        <v>1634</v>
      </c>
      <c r="N187">
        <v>4225</v>
      </c>
      <c r="O187">
        <v>3770</v>
      </c>
      <c r="P187">
        <v>3185</v>
      </c>
      <c r="Q187" t="s">
        <v>40</v>
      </c>
      <c r="R187">
        <v>26</v>
      </c>
      <c r="S187">
        <v>1</v>
      </c>
      <c r="T187" t="s">
        <v>1636</v>
      </c>
      <c r="U187" t="s">
        <v>1637</v>
      </c>
      <c r="V187">
        <v>0</v>
      </c>
      <c r="W187" s="14" t="str">
        <f t="shared" si="2"/>
        <v>(2899,null,1,'2026-04-28 00:00:00','003302010590000-33020105903','003302010590000-33020105903','小儿经颅内镜立体定向颅内肿物清除术',null,null,5745,5195,4415,null,4225,3770,3185,'次',26,1,'normal','main',0),</v>
      </c>
    </row>
    <row r="188" spans="1:23">
      <c r="A188">
        <v>2900</v>
      </c>
      <c r="B188" t="s">
        <v>1634</v>
      </c>
      <c r="C188">
        <v>1</v>
      </c>
      <c r="D188" s="11" t="s">
        <v>1635</v>
      </c>
      <c r="E188" t="s">
        <v>890</v>
      </c>
      <c r="F188" t="s">
        <v>890</v>
      </c>
      <c r="G188" t="s">
        <v>891</v>
      </c>
      <c r="H188" t="s">
        <v>1634</v>
      </c>
      <c r="I188" t="s">
        <v>1634</v>
      </c>
      <c r="J188">
        <v>6580</v>
      </c>
      <c r="K188">
        <v>5915</v>
      </c>
      <c r="L188">
        <v>5030</v>
      </c>
      <c r="M188" t="s">
        <v>1634</v>
      </c>
      <c r="N188">
        <v>4225</v>
      </c>
      <c r="O188">
        <v>3770</v>
      </c>
      <c r="P188">
        <v>3185</v>
      </c>
      <c r="Q188" t="s">
        <v>820</v>
      </c>
      <c r="R188">
        <v>26</v>
      </c>
      <c r="S188">
        <v>1</v>
      </c>
      <c r="T188" t="s">
        <v>1636</v>
      </c>
      <c r="U188" t="s">
        <v>1637</v>
      </c>
      <c r="V188">
        <v>0</v>
      </c>
      <c r="W188" s="14" t="str">
        <f t="shared" si="2"/>
        <v>(2900,null,1,'2026-04-28 00:00:00','003302010600000-33020106002','003302010600000-33020106002','小儿立体定向脑深部核团毁损术',null,null,6580,5915,5030,null,4225,3770,3185,'靶点',26,1,'normal','main',0),</v>
      </c>
    </row>
    <row r="189" spans="1:23">
      <c r="A189">
        <v>2901</v>
      </c>
      <c r="B189" t="s">
        <v>1634</v>
      </c>
      <c r="C189">
        <v>1</v>
      </c>
      <c r="D189" s="11" t="s">
        <v>1635</v>
      </c>
      <c r="E189" t="s">
        <v>892</v>
      </c>
      <c r="F189" t="s">
        <v>892</v>
      </c>
      <c r="G189" t="s">
        <v>893</v>
      </c>
      <c r="H189" t="s">
        <v>1634</v>
      </c>
      <c r="I189" t="s">
        <v>1634</v>
      </c>
      <c r="J189">
        <v>9385</v>
      </c>
      <c r="K189">
        <v>8435</v>
      </c>
      <c r="L189">
        <v>7170</v>
      </c>
      <c r="M189" t="s">
        <v>1634</v>
      </c>
      <c r="N189">
        <v>4225</v>
      </c>
      <c r="O189">
        <v>3770</v>
      </c>
      <c r="P189">
        <v>3185</v>
      </c>
      <c r="Q189" t="s">
        <v>820</v>
      </c>
      <c r="R189">
        <v>26</v>
      </c>
      <c r="S189">
        <v>1</v>
      </c>
      <c r="T189" t="s">
        <v>1636</v>
      </c>
      <c r="U189" t="s">
        <v>1637</v>
      </c>
      <c r="V189">
        <v>0</v>
      </c>
      <c r="W189" s="14" t="str">
        <f t="shared" si="2"/>
        <v>(2901,null,1,'2026-04-28 00:00:00','003302010600001-33020106003','003302010600001-33020106003','小儿立体定向脑深部核团毁损术（两个以上“靶点”）',null,null,9385,8435,7170,null,4225,3770,3185,'靶点',26,1,'normal','main',0),</v>
      </c>
    </row>
    <row r="190" spans="1:23">
      <c r="A190">
        <v>2902</v>
      </c>
      <c r="B190" t="s">
        <v>1634</v>
      </c>
      <c r="C190">
        <v>1</v>
      </c>
      <c r="D190" s="11" t="s">
        <v>1635</v>
      </c>
      <c r="E190" t="s">
        <v>894</v>
      </c>
      <c r="F190" t="s">
        <v>894</v>
      </c>
      <c r="G190" t="s">
        <v>895</v>
      </c>
      <c r="H190" t="s">
        <v>1634</v>
      </c>
      <c r="I190" t="s">
        <v>1634</v>
      </c>
      <c r="J190">
        <v>2925</v>
      </c>
      <c r="K190">
        <v>2810</v>
      </c>
      <c r="L190">
        <v>2390</v>
      </c>
      <c r="M190" t="s">
        <v>1634</v>
      </c>
      <c r="N190">
        <v>4225</v>
      </c>
      <c r="O190">
        <v>3770</v>
      </c>
      <c r="P190">
        <v>3185</v>
      </c>
      <c r="Q190" t="s">
        <v>40</v>
      </c>
      <c r="R190">
        <v>26</v>
      </c>
      <c r="S190">
        <v>1</v>
      </c>
      <c r="T190" t="s">
        <v>1636</v>
      </c>
      <c r="U190" t="s">
        <v>1637</v>
      </c>
      <c r="V190">
        <v>0</v>
      </c>
      <c r="W190" s="14" t="str">
        <f t="shared" si="2"/>
        <v>(2902,null,1,'2026-04-28 00:00:00','003302010060000-33020100602','003302010060000-33020100602','小儿开放性颅脑损伤清除术',null,null,2925,2810,2390,null,4225,3770,3185,'次',26,1,'normal','main',0),</v>
      </c>
    </row>
    <row r="191" spans="1:23">
      <c r="A191">
        <v>2903</v>
      </c>
      <c r="B191" t="s">
        <v>1634</v>
      </c>
      <c r="C191">
        <v>1</v>
      </c>
      <c r="D191" s="11" t="s">
        <v>1635</v>
      </c>
      <c r="E191" t="s">
        <v>901</v>
      </c>
      <c r="F191" t="s">
        <v>901</v>
      </c>
      <c r="G191" t="s">
        <v>902</v>
      </c>
      <c r="H191" t="s">
        <v>1634</v>
      </c>
      <c r="I191" t="s">
        <v>1634</v>
      </c>
      <c r="J191">
        <v>5570</v>
      </c>
      <c r="K191">
        <v>5010</v>
      </c>
      <c r="L191">
        <v>4260</v>
      </c>
      <c r="M191" t="s">
        <v>1634</v>
      </c>
      <c r="N191">
        <v>8290</v>
      </c>
      <c r="O191">
        <v>7395</v>
      </c>
      <c r="P191">
        <v>6250</v>
      </c>
      <c r="Q191" t="s">
        <v>40</v>
      </c>
      <c r="R191">
        <v>26</v>
      </c>
      <c r="S191">
        <v>1</v>
      </c>
      <c r="T191" t="s">
        <v>1636</v>
      </c>
      <c r="U191" t="s">
        <v>1637</v>
      </c>
      <c r="V191">
        <v>0</v>
      </c>
      <c r="W191" s="14" t="str">
        <f t="shared" si="2"/>
        <v>(2903,null,1,'2026-04-28 00:00:00','003302010230000-330201023','003302010230000-330201023','大静脉窦旁脑膜瘤切除+血管窦重建术',null,null,5570,5010,4260,null,8290,7395,6250,'次',26,1,'normal','main',0),</v>
      </c>
    </row>
    <row r="192" spans="1:23">
      <c r="A192">
        <v>2904</v>
      </c>
      <c r="B192" t="s">
        <v>1634</v>
      </c>
      <c r="C192">
        <v>1</v>
      </c>
      <c r="D192" s="11" t="s">
        <v>1635</v>
      </c>
      <c r="E192" t="s">
        <v>905</v>
      </c>
      <c r="F192" t="s">
        <v>905</v>
      </c>
      <c r="G192" t="s">
        <v>906</v>
      </c>
      <c r="H192" t="s">
        <v>1634</v>
      </c>
      <c r="I192" t="s">
        <v>1634</v>
      </c>
      <c r="J192">
        <v>9400</v>
      </c>
      <c r="K192">
        <v>8950</v>
      </c>
      <c r="L192">
        <v>7150</v>
      </c>
      <c r="M192" t="s">
        <v>1634</v>
      </c>
      <c r="N192">
        <v>8290</v>
      </c>
      <c r="O192">
        <v>7395</v>
      </c>
      <c r="P192">
        <v>6250</v>
      </c>
      <c r="Q192" t="s">
        <v>40</v>
      </c>
      <c r="R192">
        <v>26</v>
      </c>
      <c r="S192">
        <v>1</v>
      </c>
      <c r="T192" t="s">
        <v>1636</v>
      </c>
      <c r="U192" t="s">
        <v>1637</v>
      </c>
      <c r="V192">
        <v>0</v>
      </c>
      <c r="W192" s="14" t="str">
        <f t="shared" si="2"/>
        <v>(2904,null,1,'2026-04-28 00:00:00','003302010240000-330201024','003302010240000-330201024','幕上深部病变切除术',null,null,9400,8950,7150,null,8290,7395,6250,'次',26,1,'normal','main',0),</v>
      </c>
    </row>
    <row r="193" spans="1:23">
      <c r="A193">
        <v>2905</v>
      </c>
      <c r="B193" t="s">
        <v>1634</v>
      </c>
      <c r="C193">
        <v>1</v>
      </c>
      <c r="D193" s="11" t="s">
        <v>1635</v>
      </c>
      <c r="E193" t="s">
        <v>908</v>
      </c>
      <c r="F193" t="s">
        <v>908</v>
      </c>
      <c r="G193" t="s">
        <v>909</v>
      </c>
      <c r="H193" t="s">
        <v>1634</v>
      </c>
      <c r="I193" t="s">
        <v>1634</v>
      </c>
      <c r="J193">
        <v>6940</v>
      </c>
      <c r="K193">
        <v>6250</v>
      </c>
      <c r="L193">
        <v>5310</v>
      </c>
      <c r="M193" t="s">
        <v>1634</v>
      </c>
      <c r="N193">
        <v>8290</v>
      </c>
      <c r="O193">
        <v>7395</v>
      </c>
      <c r="P193">
        <v>6250</v>
      </c>
      <c r="Q193" t="s">
        <v>40</v>
      </c>
      <c r="R193">
        <v>26</v>
      </c>
      <c r="S193">
        <v>1</v>
      </c>
      <c r="T193" t="s">
        <v>1636</v>
      </c>
      <c r="U193" t="s">
        <v>1637</v>
      </c>
      <c r="V193">
        <v>0</v>
      </c>
      <c r="W193" s="14" t="str">
        <f t="shared" si="2"/>
        <v>(2905,null,1,'2026-04-28 00:00:00','003302010370000-330201037','003302010370000-330201037','脑干肿瘤切除术',null,null,6940,6250,5310,null,8290,7395,6250,'次',26,1,'normal','main',0),</v>
      </c>
    </row>
    <row r="194" spans="1:23">
      <c r="A194">
        <v>2906</v>
      </c>
      <c r="B194" t="s">
        <v>1634</v>
      </c>
      <c r="C194">
        <v>1</v>
      </c>
      <c r="D194" s="11" t="s">
        <v>1635</v>
      </c>
      <c r="E194" t="s">
        <v>911</v>
      </c>
      <c r="F194" t="s">
        <v>911</v>
      </c>
      <c r="G194" t="s">
        <v>912</v>
      </c>
      <c r="H194" t="s">
        <v>1634</v>
      </c>
      <c r="I194" t="s">
        <v>1634</v>
      </c>
      <c r="J194">
        <v>4220</v>
      </c>
      <c r="K194">
        <v>3800</v>
      </c>
      <c r="L194">
        <v>3230</v>
      </c>
      <c r="M194" t="s">
        <v>1634</v>
      </c>
      <c r="N194">
        <v>8290</v>
      </c>
      <c r="O194">
        <v>7395</v>
      </c>
      <c r="P194">
        <v>6250</v>
      </c>
      <c r="Q194" t="s">
        <v>40</v>
      </c>
      <c r="R194">
        <v>26</v>
      </c>
      <c r="S194">
        <v>1</v>
      </c>
      <c r="T194" t="s">
        <v>1636</v>
      </c>
      <c r="U194" t="s">
        <v>1637</v>
      </c>
      <c r="V194">
        <v>0</v>
      </c>
      <c r="W194" s="14" t="str">
        <f t="shared" si="2"/>
        <v>(2906,null,1,'2026-04-28 00:00:00','003302010480000-330201048','003302010480000-330201048','经颅内镜脑室脉络丛烧灼术',null,null,4220,3800,3230,null,8290,7395,6250,'次',26,1,'normal','main',0),</v>
      </c>
    </row>
    <row r="195" spans="1:23">
      <c r="A195">
        <v>2907</v>
      </c>
      <c r="B195" t="s">
        <v>1634</v>
      </c>
      <c r="C195">
        <v>1</v>
      </c>
      <c r="D195" s="11" t="s">
        <v>1635</v>
      </c>
      <c r="E195" t="s">
        <v>913</v>
      </c>
      <c r="F195" t="s">
        <v>913</v>
      </c>
      <c r="G195" t="s">
        <v>914</v>
      </c>
      <c r="H195" t="s">
        <v>1634</v>
      </c>
      <c r="I195" t="s">
        <v>1634</v>
      </c>
      <c r="J195">
        <v>4730</v>
      </c>
      <c r="K195">
        <v>4260</v>
      </c>
      <c r="L195">
        <v>3620</v>
      </c>
      <c r="M195" t="s">
        <v>1634</v>
      </c>
      <c r="N195">
        <v>8290</v>
      </c>
      <c r="O195">
        <v>7395</v>
      </c>
      <c r="P195">
        <v>6250</v>
      </c>
      <c r="Q195" t="s">
        <v>40</v>
      </c>
      <c r="R195">
        <v>26</v>
      </c>
      <c r="S195">
        <v>1</v>
      </c>
      <c r="T195" t="s">
        <v>1636</v>
      </c>
      <c r="U195" t="s">
        <v>1637</v>
      </c>
      <c r="V195">
        <v>0</v>
      </c>
      <c r="W195" s="14" t="str">
        <f t="shared" ref="W195:W258" si="3">"("&amp;A195&amp;","&amp;B195&amp;","&amp;C195&amp;",'"&amp;D195&amp;"','"&amp;E195&amp;"','"&amp;F195&amp;"','"&amp;G195&amp;"',"&amp;H195&amp;","&amp;I195&amp;","&amp;J195&amp;","&amp;K195&amp;","&amp;L195&amp;","&amp;M195&amp;","&amp;N195&amp;","&amp;O195&amp;","&amp;P195&amp;",'"&amp;Q195&amp;"',"&amp;R195&amp;","&amp;S195&amp;",'"&amp;T195&amp;"','"&amp;U195&amp;"',"&amp;V195&amp;"),"</f>
        <v>(2907,null,1,'2026-04-28 00:00:00','003302030050000-330203005','003302030050000-330203005','颅内动静脉畸形切除术',null,null,4730,4260,3620,null,8290,7395,6250,'次',26,1,'normal','main',0),</v>
      </c>
    </row>
    <row r="196" spans="1:23">
      <c r="A196">
        <v>2908</v>
      </c>
      <c r="B196" t="s">
        <v>1634</v>
      </c>
      <c r="C196">
        <v>1</v>
      </c>
      <c r="D196" s="11" t="s">
        <v>1635</v>
      </c>
      <c r="E196" t="s">
        <v>916</v>
      </c>
      <c r="F196" t="s">
        <v>916</v>
      </c>
      <c r="G196" t="s">
        <v>917</v>
      </c>
      <c r="H196" t="s">
        <v>1634</v>
      </c>
      <c r="I196" t="s">
        <v>1634</v>
      </c>
      <c r="J196">
        <v>5060</v>
      </c>
      <c r="K196">
        <v>4550</v>
      </c>
      <c r="L196">
        <v>3870</v>
      </c>
      <c r="M196" t="s">
        <v>1634</v>
      </c>
      <c r="N196">
        <v>8290</v>
      </c>
      <c r="O196">
        <v>7395</v>
      </c>
      <c r="P196">
        <v>6250</v>
      </c>
      <c r="Q196" t="s">
        <v>40</v>
      </c>
      <c r="R196">
        <v>26</v>
      </c>
      <c r="S196">
        <v>1</v>
      </c>
      <c r="T196" t="s">
        <v>1636</v>
      </c>
      <c r="U196" t="s">
        <v>1637</v>
      </c>
      <c r="V196">
        <v>0</v>
      </c>
      <c r="W196" s="14" t="str">
        <f t="shared" si="3"/>
        <v>(2908,null,1,'2026-04-28 00:00:00','003302030060000-330203006','003302030060000-330203006','脑动脉瘤动静脉畸形切除术',null,null,5060,4550,3870,null,8290,7395,6250,'次',26,1,'normal','main',0),</v>
      </c>
    </row>
    <row r="197" spans="1:23">
      <c r="A197">
        <v>2909</v>
      </c>
      <c r="B197" t="s">
        <v>1634</v>
      </c>
      <c r="C197">
        <v>1</v>
      </c>
      <c r="D197" s="11" t="s">
        <v>1635</v>
      </c>
      <c r="E197" t="s">
        <v>920</v>
      </c>
      <c r="F197" t="s">
        <v>920</v>
      </c>
      <c r="G197" t="s">
        <v>921</v>
      </c>
      <c r="H197" t="s">
        <v>1634</v>
      </c>
      <c r="I197" t="s">
        <v>1634</v>
      </c>
      <c r="J197">
        <v>5925</v>
      </c>
      <c r="K197">
        <v>5330</v>
      </c>
      <c r="L197">
        <v>4535</v>
      </c>
      <c r="M197" t="s">
        <v>1634</v>
      </c>
      <c r="N197">
        <v>8290</v>
      </c>
      <c r="O197">
        <v>7395</v>
      </c>
      <c r="P197">
        <v>6250</v>
      </c>
      <c r="Q197" t="s">
        <v>40</v>
      </c>
      <c r="R197">
        <v>26</v>
      </c>
      <c r="S197">
        <v>1</v>
      </c>
      <c r="T197" t="s">
        <v>1636</v>
      </c>
      <c r="U197" t="s">
        <v>1637</v>
      </c>
      <c r="V197">
        <v>0</v>
      </c>
      <c r="W197" s="14" t="str">
        <f t="shared" si="3"/>
        <v>(2909,null,1,'2026-04-28 00:00:00','003302030060001-33020300601','003302030060001-33020300601','脑动脉瘤动静脉畸形切除术（不在同一部位）',null,null,5925,5330,4535,null,8290,7395,6250,'次',26,1,'normal','main',0),</v>
      </c>
    </row>
    <row r="198" spans="1:23">
      <c r="A198">
        <v>2910</v>
      </c>
      <c r="B198" t="s">
        <v>1634</v>
      </c>
      <c r="C198">
        <v>1</v>
      </c>
      <c r="D198" s="11" t="s">
        <v>1635</v>
      </c>
      <c r="E198" t="s">
        <v>481</v>
      </c>
      <c r="F198" t="s">
        <v>481</v>
      </c>
      <c r="G198" t="s">
        <v>482</v>
      </c>
      <c r="H198" t="s">
        <v>1634</v>
      </c>
      <c r="I198" t="s">
        <v>1634</v>
      </c>
      <c r="J198">
        <v>7630</v>
      </c>
      <c r="K198">
        <v>6870</v>
      </c>
      <c r="L198">
        <v>5840</v>
      </c>
      <c r="M198" t="s">
        <v>1634</v>
      </c>
      <c r="N198">
        <v>8290</v>
      </c>
      <c r="O198">
        <v>7395</v>
      </c>
      <c r="P198">
        <v>6250</v>
      </c>
      <c r="Q198" t="s">
        <v>40</v>
      </c>
      <c r="R198">
        <v>26</v>
      </c>
      <c r="S198">
        <v>1</v>
      </c>
      <c r="T198" t="s">
        <v>1636</v>
      </c>
      <c r="U198" t="s">
        <v>1637</v>
      </c>
      <c r="V198">
        <v>0</v>
      </c>
      <c r="W198" s="14" t="str">
        <f t="shared" si="3"/>
        <v>(2910,null,1,'2026-04-28 00:00:00','003302030040000-330203004','003302030040000-330203004','颅内巨大动静脉畸形栓塞后切除术',null,null,7630,6870,5840,null,8290,7395,6250,'次',26,1,'normal','main',0),</v>
      </c>
    </row>
    <row r="199" spans="1:23">
      <c r="A199">
        <v>2911</v>
      </c>
      <c r="B199" t="s">
        <v>1634</v>
      </c>
      <c r="C199">
        <v>1</v>
      </c>
      <c r="D199" s="11" t="s">
        <v>1635</v>
      </c>
      <c r="E199" t="s">
        <v>485</v>
      </c>
      <c r="F199" t="s">
        <v>485</v>
      </c>
      <c r="G199" t="s">
        <v>486</v>
      </c>
      <c r="H199" t="s">
        <v>1634</v>
      </c>
      <c r="I199" t="s">
        <v>1634</v>
      </c>
      <c r="J199">
        <v>4220</v>
      </c>
      <c r="K199">
        <v>3800</v>
      </c>
      <c r="L199">
        <v>3230</v>
      </c>
      <c r="M199" t="s">
        <v>1634</v>
      </c>
      <c r="N199">
        <v>8290</v>
      </c>
      <c r="O199">
        <v>7395</v>
      </c>
      <c r="P199">
        <v>6250</v>
      </c>
      <c r="Q199" t="s">
        <v>40</v>
      </c>
      <c r="R199">
        <v>26</v>
      </c>
      <c r="S199">
        <v>1</v>
      </c>
      <c r="T199" t="s">
        <v>1636</v>
      </c>
      <c r="U199" t="s">
        <v>1637</v>
      </c>
      <c r="V199">
        <v>0</v>
      </c>
      <c r="W199" s="14" t="str">
        <f t="shared" si="3"/>
        <v>(2911,null,1,'2026-04-28 00:00:00','003302030030000-330203003','003302030030000-330203003','颅内动脉瘤包裹术',null,null,4220,3800,3230,null,8290,7395,6250,'次',26,1,'normal','main',0),</v>
      </c>
    </row>
    <row r="200" spans="1:23">
      <c r="A200">
        <v>2912</v>
      </c>
      <c r="B200" t="s">
        <v>1634</v>
      </c>
      <c r="C200">
        <v>1</v>
      </c>
      <c r="D200" s="11" t="s">
        <v>1635</v>
      </c>
      <c r="E200" t="s">
        <v>925</v>
      </c>
      <c r="F200" t="s">
        <v>925</v>
      </c>
      <c r="G200" t="s">
        <v>926</v>
      </c>
      <c r="H200" t="s">
        <v>1634</v>
      </c>
      <c r="I200" t="s">
        <v>1634</v>
      </c>
      <c r="J200">
        <v>7240</v>
      </c>
      <c r="K200">
        <v>6515</v>
      </c>
      <c r="L200">
        <v>5540</v>
      </c>
      <c r="M200" t="s">
        <v>1634</v>
      </c>
      <c r="N200">
        <v>10775</v>
      </c>
      <c r="O200">
        <v>9615</v>
      </c>
      <c r="P200">
        <v>8125</v>
      </c>
      <c r="Q200" t="s">
        <v>40</v>
      </c>
      <c r="R200">
        <v>26</v>
      </c>
      <c r="S200">
        <v>1</v>
      </c>
      <c r="T200" t="s">
        <v>1636</v>
      </c>
      <c r="U200" t="s">
        <v>1637</v>
      </c>
      <c r="V200">
        <v>0</v>
      </c>
      <c r="W200" s="14" t="str">
        <f t="shared" si="3"/>
        <v>(2912,null,1,'2026-04-28 00:00:00','003302010230000-33020102301','003302010230000-33020102301','小儿大静脉窦旁脑膜瘤切除+血管窦重建术',null,null,7240,6515,5540,null,10775,9615,8125,'次',26,1,'normal','main',0),</v>
      </c>
    </row>
    <row r="201" spans="1:23">
      <c r="A201">
        <v>2913</v>
      </c>
      <c r="B201" t="s">
        <v>1634</v>
      </c>
      <c r="C201">
        <v>1</v>
      </c>
      <c r="D201" s="11" t="s">
        <v>1635</v>
      </c>
      <c r="E201" t="s">
        <v>927</v>
      </c>
      <c r="F201" t="s">
        <v>927</v>
      </c>
      <c r="G201" t="s">
        <v>928</v>
      </c>
      <c r="H201" t="s">
        <v>1634</v>
      </c>
      <c r="I201" t="s">
        <v>1634</v>
      </c>
      <c r="J201">
        <v>12220</v>
      </c>
      <c r="K201">
        <v>11635</v>
      </c>
      <c r="L201">
        <v>9295</v>
      </c>
      <c r="M201" t="s">
        <v>1634</v>
      </c>
      <c r="N201">
        <v>10775</v>
      </c>
      <c r="O201">
        <v>9615</v>
      </c>
      <c r="P201">
        <v>8125</v>
      </c>
      <c r="Q201" t="s">
        <v>40</v>
      </c>
      <c r="R201">
        <v>26</v>
      </c>
      <c r="S201">
        <v>1</v>
      </c>
      <c r="T201" t="s">
        <v>1636</v>
      </c>
      <c r="U201" t="s">
        <v>1637</v>
      </c>
      <c r="V201">
        <v>0</v>
      </c>
      <c r="W201" s="14" t="str">
        <f t="shared" si="3"/>
        <v>(2913,null,1,'2026-04-28 00:00:00','003302010240000-33020102401','003302010240000-33020102401','小儿幕上深部病变切除术',null,null,12220,11635,9295,null,10775,9615,8125,'次',26,1,'normal','main',0),</v>
      </c>
    </row>
    <row r="202" spans="1:23">
      <c r="A202">
        <v>2914</v>
      </c>
      <c r="B202" t="s">
        <v>1634</v>
      </c>
      <c r="C202">
        <v>1</v>
      </c>
      <c r="D202" s="11" t="s">
        <v>1635</v>
      </c>
      <c r="E202" t="s">
        <v>929</v>
      </c>
      <c r="F202" t="s">
        <v>929</v>
      </c>
      <c r="G202" t="s">
        <v>930</v>
      </c>
      <c r="H202" t="s">
        <v>1634</v>
      </c>
      <c r="I202" t="s">
        <v>1634</v>
      </c>
      <c r="J202">
        <v>9020</v>
      </c>
      <c r="K202">
        <v>8125</v>
      </c>
      <c r="L202">
        <v>6905</v>
      </c>
      <c r="M202" t="s">
        <v>1634</v>
      </c>
      <c r="N202">
        <v>10775</v>
      </c>
      <c r="O202">
        <v>9615</v>
      </c>
      <c r="P202">
        <v>8125</v>
      </c>
      <c r="Q202" t="s">
        <v>40</v>
      </c>
      <c r="R202">
        <v>26</v>
      </c>
      <c r="S202">
        <v>1</v>
      </c>
      <c r="T202" t="s">
        <v>1636</v>
      </c>
      <c r="U202" t="s">
        <v>1637</v>
      </c>
      <c r="V202">
        <v>0</v>
      </c>
      <c r="W202" s="14" t="str">
        <f t="shared" si="3"/>
        <v>(2914,null,1,'2026-04-28 00:00:00','003302010370000-33020103701','003302010370000-33020103701','小儿脑干肿瘤切除术',null,null,9020,8125,6905,null,10775,9615,8125,'次',26,1,'normal','main',0),</v>
      </c>
    </row>
    <row r="203" spans="1:23">
      <c r="A203">
        <v>2915</v>
      </c>
      <c r="B203" t="s">
        <v>1634</v>
      </c>
      <c r="C203">
        <v>1</v>
      </c>
      <c r="D203" s="11" t="s">
        <v>1635</v>
      </c>
      <c r="E203" t="s">
        <v>931</v>
      </c>
      <c r="F203" t="s">
        <v>931</v>
      </c>
      <c r="G203" t="s">
        <v>932</v>
      </c>
      <c r="H203" t="s">
        <v>1634</v>
      </c>
      <c r="I203" t="s">
        <v>1634</v>
      </c>
      <c r="J203">
        <v>5485</v>
      </c>
      <c r="K203">
        <v>4940</v>
      </c>
      <c r="L203">
        <v>4200</v>
      </c>
      <c r="M203" t="s">
        <v>1634</v>
      </c>
      <c r="N203">
        <v>10775</v>
      </c>
      <c r="O203">
        <v>9615</v>
      </c>
      <c r="P203">
        <v>8125</v>
      </c>
      <c r="Q203" t="s">
        <v>40</v>
      </c>
      <c r="R203">
        <v>26</v>
      </c>
      <c r="S203">
        <v>1</v>
      </c>
      <c r="T203" t="s">
        <v>1636</v>
      </c>
      <c r="U203" t="s">
        <v>1637</v>
      </c>
      <c r="V203">
        <v>0</v>
      </c>
      <c r="W203" s="14" t="str">
        <f t="shared" si="3"/>
        <v>(2915,null,1,'2026-04-28 00:00:00','003302010480000-33020104801','003302010480000-33020104801','小儿经颅内镜脑室脉络丛烧灼术',null,null,5485,4940,4200,null,10775,9615,8125,'次',26,1,'normal','main',0),</v>
      </c>
    </row>
    <row r="204" spans="1:23">
      <c r="A204">
        <v>2916</v>
      </c>
      <c r="B204" t="s">
        <v>1634</v>
      </c>
      <c r="C204">
        <v>1</v>
      </c>
      <c r="D204" s="11" t="s">
        <v>1635</v>
      </c>
      <c r="E204" t="s">
        <v>933</v>
      </c>
      <c r="F204" t="s">
        <v>933</v>
      </c>
      <c r="G204" t="s">
        <v>934</v>
      </c>
      <c r="H204" t="s">
        <v>1634</v>
      </c>
      <c r="I204" t="s">
        <v>1634</v>
      </c>
      <c r="J204">
        <v>6150</v>
      </c>
      <c r="K204">
        <v>5540</v>
      </c>
      <c r="L204">
        <v>4710</v>
      </c>
      <c r="M204" t="s">
        <v>1634</v>
      </c>
      <c r="N204">
        <v>10775</v>
      </c>
      <c r="O204">
        <v>9615</v>
      </c>
      <c r="P204">
        <v>8125</v>
      </c>
      <c r="Q204" t="s">
        <v>40</v>
      </c>
      <c r="R204">
        <v>26</v>
      </c>
      <c r="S204">
        <v>1</v>
      </c>
      <c r="T204" t="s">
        <v>1636</v>
      </c>
      <c r="U204" t="s">
        <v>1637</v>
      </c>
      <c r="V204">
        <v>0</v>
      </c>
      <c r="W204" s="14" t="str">
        <f t="shared" si="3"/>
        <v>(2916,null,1,'2026-04-28 00:00:00','003302030050000-33020300501','003302030050000-33020300501','小儿颅内动静脉畸形切除术',null,null,6150,5540,4710,null,10775,9615,8125,'次',26,1,'normal','main',0),</v>
      </c>
    </row>
    <row r="205" spans="1:23">
      <c r="A205">
        <v>2917</v>
      </c>
      <c r="B205" t="s">
        <v>1634</v>
      </c>
      <c r="C205">
        <v>1</v>
      </c>
      <c r="D205" s="11" t="s">
        <v>1635</v>
      </c>
      <c r="E205" t="s">
        <v>935</v>
      </c>
      <c r="F205" t="s">
        <v>935</v>
      </c>
      <c r="G205" t="s">
        <v>936</v>
      </c>
      <c r="H205" t="s">
        <v>1634</v>
      </c>
      <c r="I205" t="s">
        <v>1634</v>
      </c>
      <c r="J205">
        <v>6580</v>
      </c>
      <c r="K205">
        <v>5915</v>
      </c>
      <c r="L205">
        <v>5030</v>
      </c>
      <c r="M205" t="s">
        <v>1634</v>
      </c>
      <c r="N205">
        <v>10775</v>
      </c>
      <c r="O205">
        <v>9615</v>
      </c>
      <c r="P205">
        <v>8125</v>
      </c>
      <c r="Q205" t="s">
        <v>40</v>
      </c>
      <c r="R205">
        <v>26</v>
      </c>
      <c r="S205">
        <v>1</v>
      </c>
      <c r="T205" t="s">
        <v>1636</v>
      </c>
      <c r="U205" t="s">
        <v>1637</v>
      </c>
      <c r="V205">
        <v>0</v>
      </c>
      <c r="W205" s="14" t="str">
        <f t="shared" si="3"/>
        <v>(2917,null,1,'2026-04-28 00:00:00','003302030060000-33020300602','003302030060000-33020300602','小儿脑动脉瘤动静脉畸形切除术',null,null,6580,5915,5030,null,10775,9615,8125,'次',26,1,'normal','main',0),</v>
      </c>
    </row>
    <row r="206" spans="1:23">
      <c r="A206">
        <v>2918</v>
      </c>
      <c r="B206" t="s">
        <v>1634</v>
      </c>
      <c r="C206">
        <v>1</v>
      </c>
      <c r="D206" s="11" t="s">
        <v>1635</v>
      </c>
      <c r="E206" t="s">
        <v>937</v>
      </c>
      <c r="F206" t="s">
        <v>937</v>
      </c>
      <c r="G206" t="s">
        <v>938</v>
      </c>
      <c r="H206" t="s">
        <v>1634</v>
      </c>
      <c r="I206" t="s">
        <v>1634</v>
      </c>
      <c r="J206">
        <v>7705</v>
      </c>
      <c r="K206">
        <v>6930</v>
      </c>
      <c r="L206">
        <v>5890</v>
      </c>
      <c r="M206" t="s">
        <v>1634</v>
      </c>
      <c r="N206">
        <v>10775</v>
      </c>
      <c r="O206">
        <v>9615</v>
      </c>
      <c r="P206">
        <v>8125</v>
      </c>
      <c r="Q206" t="s">
        <v>40</v>
      </c>
      <c r="R206">
        <v>26</v>
      </c>
      <c r="S206">
        <v>1</v>
      </c>
      <c r="T206" t="s">
        <v>1636</v>
      </c>
      <c r="U206" t="s">
        <v>1637</v>
      </c>
      <c r="V206">
        <v>0</v>
      </c>
      <c r="W206" s="14" t="str">
        <f t="shared" si="3"/>
        <v>(2918,null,1,'2026-04-28 00:00:00','003302030060001-33020300603','003302030060001-33020300603','小儿脑动脉瘤动静脉畸形切除术（不在同一部位）',null,null,7705,6930,5890,null,10775,9615,8125,'次',26,1,'normal','main',0),</v>
      </c>
    </row>
    <row r="207" spans="1:23">
      <c r="A207">
        <v>2919</v>
      </c>
      <c r="B207" t="s">
        <v>1634</v>
      </c>
      <c r="C207">
        <v>1</v>
      </c>
      <c r="D207" s="11" t="s">
        <v>1635</v>
      </c>
      <c r="E207" t="s">
        <v>491</v>
      </c>
      <c r="F207" t="s">
        <v>491</v>
      </c>
      <c r="G207" t="s">
        <v>492</v>
      </c>
      <c r="H207" t="s">
        <v>1634</v>
      </c>
      <c r="I207" t="s">
        <v>1634</v>
      </c>
      <c r="J207">
        <v>9920</v>
      </c>
      <c r="K207">
        <v>8930</v>
      </c>
      <c r="L207">
        <v>7590</v>
      </c>
      <c r="M207" t="s">
        <v>1634</v>
      </c>
      <c r="N207">
        <v>10775</v>
      </c>
      <c r="O207">
        <v>9615</v>
      </c>
      <c r="P207">
        <v>8125</v>
      </c>
      <c r="Q207" t="s">
        <v>40</v>
      </c>
      <c r="R207">
        <v>26</v>
      </c>
      <c r="S207">
        <v>1</v>
      </c>
      <c r="T207" t="s">
        <v>1636</v>
      </c>
      <c r="U207" t="s">
        <v>1637</v>
      </c>
      <c r="V207">
        <v>0</v>
      </c>
      <c r="W207" s="14" t="str">
        <f t="shared" si="3"/>
        <v>(2919,null,1,'2026-04-28 00:00:00','003302030040000-33020300401','003302030040000-33020300401','小儿颅内巨大动静脉畸形栓塞后切除术',null,null,9920,8930,7590,null,10775,9615,8125,'次',26,1,'normal','main',0),</v>
      </c>
    </row>
    <row r="208" spans="1:23">
      <c r="A208">
        <v>2920</v>
      </c>
      <c r="B208" t="s">
        <v>1634</v>
      </c>
      <c r="C208">
        <v>1</v>
      </c>
      <c r="D208" s="11" t="s">
        <v>1635</v>
      </c>
      <c r="E208" t="s">
        <v>493</v>
      </c>
      <c r="F208" t="s">
        <v>493</v>
      </c>
      <c r="G208" t="s">
        <v>494</v>
      </c>
      <c r="H208" t="s">
        <v>1634</v>
      </c>
      <c r="I208" t="s">
        <v>1634</v>
      </c>
      <c r="J208">
        <v>5485</v>
      </c>
      <c r="K208">
        <v>4940</v>
      </c>
      <c r="L208">
        <v>4200</v>
      </c>
      <c r="M208" t="s">
        <v>1634</v>
      </c>
      <c r="N208">
        <v>10775</v>
      </c>
      <c r="O208">
        <v>9615</v>
      </c>
      <c r="P208">
        <v>8125</v>
      </c>
      <c r="Q208" t="s">
        <v>40</v>
      </c>
      <c r="R208">
        <v>26</v>
      </c>
      <c r="S208">
        <v>1</v>
      </c>
      <c r="T208" t="s">
        <v>1636</v>
      </c>
      <c r="U208" t="s">
        <v>1637</v>
      </c>
      <c r="V208">
        <v>0</v>
      </c>
      <c r="W208" s="14" t="str">
        <f t="shared" si="3"/>
        <v>(2920,null,1,'2026-04-28 00:00:00','003302030030000-33020300301','003302030030000-33020300301','小儿颅内动脉瘤包裹术',null,null,5485,4940,4200,null,10775,9615,8125,'次',26,1,'normal','main',0),</v>
      </c>
    </row>
    <row r="209" spans="1:23">
      <c r="A209">
        <v>2921</v>
      </c>
      <c r="B209" t="s">
        <v>1634</v>
      </c>
      <c r="C209">
        <v>1</v>
      </c>
      <c r="D209" s="11" t="s">
        <v>1635</v>
      </c>
      <c r="E209" t="s">
        <v>943</v>
      </c>
      <c r="F209" t="s">
        <v>943</v>
      </c>
      <c r="G209" t="s">
        <v>944</v>
      </c>
      <c r="H209" t="s">
        <v>1634</v>
      </c>
      <c r="I209" t="s">
        <v>1634</v>
      </c>
      <c r="J209">
        <v>4220</v>
      </c>
      <c r="K209">
        <v>3800</v>
      </c>
      <c r="L209">
        <v>3230</v>
      </c>
      <c r="M209" t="s">
        <v>1634</v>
      </c>
      <c r="N209">
        <v>4700</v>
      </c>
      <c r="O209">
        <v>4350</v>
      </c>
      <c r="P209">
        <v>3700</v>
      </c>
      <c r="Q209" t="s">
        <v>40</v>
      </c>
      <c r="R209">
        <v>26</v>
      </c>
      <c r="S209">
        <v>1</v>
      </c>
      <c r="T209" t="s">
        <v>1636</v>
      </c>
      <c r="U209" t="s">
        <v>1637</v>
      </c>
      <c r="V209">
        <v>0</v>
      </c>
      <c r="W209" s="14" t="str">
        <f t="shared" si="3"/>
        <v>(2921,null,1,'2026-04-28 00:00:00','003302010540000-330201054','003302010540000-330201054','经口齿状突切除术',null,null,4220,3800,3230,null,4700,4350,3700,'次',26,1,'normal','main',0),</v>
      </c>
    </row>
    <row r="210" spans="1:23">
      <c r="A210">
        <v>2922</v>
      </c>
      <c r="B210" t="s">
        <v>1634</v>
      </c>
      <c r="C210">
        <v>1</v>
      </c>
      <c r="D210" s="11" t="s">
        <v>1635</v>
      </c>
      <c r="E210" t="s">
        <v>945</v>
      </c>
      <c r="F210" t="s">
        <v>945</v>
      </c>
      <c r="G210" t="s">
        <v>946</v>
      </c>
      <c r="H210" t="s">
        <v>1634</v>
      </c>
      <c r="I210" t="s">
        <v>1634</v>
      </c>
      <c r="J210">
        <v>3540</v>
      </c>
      <c r="K210">
        <v>3190</v>
      </c>
      <c r="L210">
        <v>2710</v>
      </c>
      <c r="M210" t="s">
        <v>1634</v>
      </c>
      <c r="N210">
        <v>4700</v>
      </c>
      <c r="O210">
        <v>4350</v>
      </c>
      <c r="P210">
        <v>3700</v>
      </c>
      <c r="Q210" t="s">
        <v>40</v>
      </c>
      <c r="R210">
        <v>26</v>
      </c>
      <c r="S210">
        <v>1</v>
      </c>
      <c r="T210" t="s">
        <v>1636</v>
      </c>
      <c r="U210" t="s">
        <v>1637</v>
      </c>
      <c r="V210">
        <v>0</v>
      </c>
      <c r="W210" s="14" t="str">
        <f t="shared" si="3"/>
        <v>(2922,null,1,'2026-04-28 00:00:00','003302010560000-330201056','003302010560000-330201056','骨纤维异常增殖切除整形术',null,null,3540,3190,2710,null,4700,4350,3700,'次',26,1,'normal','main',0),</v>
      </c>
    </row>
    <row r="211" spans="1:23">
      <c r="A211">
        <v>2923</v>
      </c>
      <c r="B211" t="s">
        <v>1634</v>
      </c>
      <c r="C211">
        <v>1</v>
      </c>
      <c r="D211" s="11" t="s">
        <v>1635</v>
      </c>
      <c r="E211" t="s">
        <v>950</v>
      </c>
      <c r="F211" t="s">
        <v>950</v>
      </c>
      <c r="G211" t="s">
        <v>951</v>
      </c>
      <c r="H211" t="s">
        <v>1634</v>
      </c>
      <c r="I211" t="s">
        <v>1634</v>
      </c>
      <c r="J211">
        <v>5485</v>
      </c>
      <c r="K211">
        <v>4940</v>
      </c>
      <c r="L211">
        <v>4200</v>
      </c>
      <c r="M211" t="s">
        <v>1634</v>
      </c>
      <c r="N211">
        <v>6110</v>
      </c>
      <c r="O211">
        <v>5655</v>
      </c>
      <c r="P211">
        <v>4810</v>
      </c>
      <c r="Q211" t="s">
        <v>40</v>
      </c>
      <c r="R211">
        <v>26</v>
      </c>
      <c r="S211">
        <v>1</v>
      </c>
      <c r="T211" t="s">
        <v>1636</v>
      </c>
      <c r="U211" t="s">
        <v>1637</v>
      </c>
      <c r="V211">
        <v>0</v>
      </c>
      <c r="W211" s="14" t="str">
        <f t="shared" si="3"/>
        <v>(2923,null,1,'2026-04-28 00:00:00','003302010540000-33020105401','003302010540000-33020105401','小儿经口齿状突切除术',null,null,5485,4940,4200,null,6110,5655,4810,'次',26,1,'normal','main',0),</v>
      </c>
    </row>
    <row r="212" spans="1:23">
      <c r="A212">
        <v>2924</v>
      </c>
      <c r="B212" t="s">
        <v>1634</v>
      </c>
      <c r="C212">
        <v>1</v>
      </c>
      <c r="D212" s="11" t="s">
        <v>1635</v>
      </c>
      <c r="E212" t="s">
        <v>952</v>
      </c>
      <c r="F212" t="s">
        <v>952</v>
      </c>
      <c r="G212" t="s">
        <v>953</v>
      </c>
      <c r="H212" t="s">
        <v>1634</v>
      </c>
      <c r="I212" t="s">
        <v>1634</v>
      </c>
      <c r="J212">
        <v>4600</v>
      </c>
      <c r="K212">
        <v>4145</v>
      </c>
      <c r="L212">
        <v>3525</v>
      </c>
      <c r="M212" t="s">
        <v>1634</v>
      </c>
      <c r="N212">
        <v>6110</v>
      </c>
      <c r="O212">
        <v>5655</v>
      </c>
      <c r="P212">
        <v>4810</v>
      </c>
      <c r="Q212" t="s">
        <v>40</v>
      </c>
      <c r="R212">
        <v>26</v>
      </c>
      <c r="S212">
        <v>1</v>
      </c>
      <c r="T212" t="s">
        <v>1636</v>
      </c>
      <c r="U212" t="s">
        <v>1637</v>
      </c>
      <c r="V212">
        <v>0</v>
      </c>
      <c r="W212" s="14" t="str">
        <f t="shared" si="3"/>
        <v>(2924,null,1,'2026-04-28 00:00:00','003302010560000-33020105601','003302010560000-33020105601','小儿骨纤维异常增殖切除整形术',null,null,4600,4145,3525,null,6110,5655,4810,'次',26,1,'normal','main',0),</v>
      </c>
    </row>
    <row r="213" spans="1:23">
      <c r="A213">
        <v>2925</v>
      </c>
      <c r="B213" t="s">
        <v>1634</v>
      </c>
      <c r="C213">
        <v>1</v>
      </c>
      <c r="D213" s="11" t="s">
        <v>1635</v>
      </c>
      <c r="E213" t="s">
        <v>959</v>
      </c>
      <c r="F213" t="s">
        <v>959</v>
      </c>
      <c r="G213" t="s">
        <v>960</v>
      </c>
      <c r="H213" t="s">
        <v>1634</v>
      </c>
      <c r="I213" t="s">
        <v>1634</v>
      </c>
      <c r="J213">
        <v>8000</v>
      </c>
      <c r="K213">
        <v>7600</v>
      </c>
      <c r="L213">
        <v>6050</v>
      </c>
      <c r="M213" t="s">
        <v>1634</v>
      </c>
      <c r="N213">
        <v>8930</v>
      </c>
      <c r="O213">
        <v>8265</v>
      </c>
      <c r="P213">
        <v>7030</v>
      </c>
      <c r="Q213" t="s">
        <v>40</v>
      </c>
      <c r="R213">
        <v>26</v>
      </c>
      <c r="S213">
        <v>1</v>
      </c>
      <c r="T213" t="s">
        <v>1636</v>
      </c>
      <c r="U213" t="s">
        <v>1637</v>
      </c>
      <c r="V213">
        <v>0</v>
      </c>
      <c r="W213" s="14" t="str">
        <f t="shared" si="3"/>
        <v>(2925,null,1,'2026-04-28 00:00:00','003302010270000-330201027','003302010270000-330201027','桥小脑角肿瘤切除术',null,null,8000,7600,6050,null,8930,8265,7030,'次',26,1,'normal','main',0),</v>
      </c>
    </row>
    <row r="214" spans="1:23">
      <c r="A214">
        <v>2926</v>
      </c>
      <c r="B214" t="s">
        <v>1634</v>
      </c>
      <c r="C214">
        <v>1</v>
      </c>
      <c r="D214" s="11" t="s">
        <v>1635</v>
      </c>
      <c r="E214" t="s">
        <v>962</v>
      </c>
      <c r="F214" t="s">
        <v>962</v>
      </c>
      <c r="G214" t="s">
        <v>963</v>
      </c>
      <c r="H214" t="s">
        <v>1634</v>
      </c>
      <c r="I214" t="s">
        <v>1634</v>
      </c>
      <c r="J214">
        <v>7630</v>
      </c>
      <c r="K214">
        <v>6870</v>
      </c>
      <c r="L214">
        <v>5840</v>
      </c>
      <c r="M214" t="s">
        <v>1634</v>
      </c>
      <c r="N214">
        <v>8930</v>
      </c>
      <c r="O214">
        <v>8265</v>
      </c>
      <c r="P214">
        <v>7030</v>
      </c>
      <c r="Q214" t="s">
        <v>40</v>
      </c>
      <c r="R214">
        <v>26</v>
      </c>
      <c r="S214">
        <v>1</v>
      </c>
      <c r="T214" t="s">
        <v>1636</v>
      </c>
      <c r="U214" t="s">
        <v>1637</v>
      </c>
      <c r="V214">
        <v>0</v>
      </c>
      <c r="W214" s="14" t="str">
        <f t="shared" si="3"/>
        <v>(2926,null,1,'2026-04-28 00:00:00','003302010400000-330201040','003302010400000-330201040','经口腔入路颅底斜坡肿瘤切除术',null,null,7630,6870,5840,null,8930,8265,7030,'次',26,1,'normal','main',0),</v>
      </c>
    </row>
    <row r="215" spans="1:23">
      <c r="A215">
        <v>2927</v>
      </c>
      <c r="B215" t="s">
        <v>1634</v>
      </c>
      <c r="C215">
        <v>1</v>
      </c>
      <c r="D215" s="11" t="s">
        <v>1635</v>
      </c>
      <c r="E215" t="s">
        <v>965</v>
      </c>
      <c r="F215" t="s">
        <v>965</v>
      </c>
      <c r="G215" t="s">
        <v>966</v>
      </c>
      <c r="H215" t="s">
        <v>1634</v>
      </c>
      <c r="I215" t="s">
        <v>1634</v>
      </c>
      <c r="J215">
        <v>7630</v>
      </c>
      <c r="K215">
        <v>6870</v>
      </c>
      <c r="L215">
        <v>5840</v>
      </c>
      <c r="M215" t="s">
        <v>1634</v>
      </c>
      <c r="N215">
        <v>8930</v>
      </c>
      <c r="O215">
        <v>8265</v>
      </c>
      <c r="P215">
        <v>7030</v>
      </c>
      <c r="Q215" t="s">
        <v>40</v>
      </c>
      <c r="R215">
        <v>26</v>
      </c>
      <c r="S215">
        <v>1</v>
      </c>
      <c r="T215" t="s">
        <v>1636</v>
      </c>
      <c r="U215" t="s">
        <v>1637</v>
      </c>
      <c r="V215">
        <v>0</v>
      </c>
      <c r="W215" s="14" t="str">
        <f t="shared" si="3"/>
        <v>(2927,null,1,'2026-04-28 00:00:00','003302010400100-33020104001','003302010400100-33020104001','经口腔入路颅底斜坡肿瘤切除术-上颌入路颅底海绵窦侵入肿瘤切除术',null,null,7630,6870,5840,null,8930,8265,7030,'次',26,1,'normal','main',0),</v>
      </c>
    </row>
    <row r="216" spans="1:23">
      <c r="A216">
        <v>2928</v>
      </c>
      <c r="B216" t="s">
        <v>1634</v>
      </c>
      <c r="C216">
        <v>1</v>
      </c>
      <c r="D216" s="11" t="s">
        <v>1635</v>
      </c>
      <c r="E216" t="s">
        <v>968</v>
      </c>
      <c r="F216" t="s">
        <v>968</v>
      </c>
      <c r="G216" t="s">
        <v>969</v>
      </c>
      <c r="H216" t="s">
        <v>1634</v>
      </c>
      <c r="I216" t="s">
        <v>1634</v>
      </c>
      <c r="J216">
        <v>8550</v>
      </c>
      <c r="K216">
        <v>8100</v>
      </c>
      <c r="L216">
        <v>6500</v>
      </c>
      <c r="M216" t="s">
        <v>1634</v>
      </c>
      <c r="N216">
        <v>8930</v>
      </c>
      <c r="O216">
        <v>8265</v>
      </c>
      <c r="P216">
        <v>7030</v>
      </c>
      <c r="Q216" t="s">
        <v>40</v>
      </c>
      <c r="R216">
        <v>26</v>
      </c>
      <c r="S216">
        <v>1</v>
      </c>
      <c r="T216" t="s">
        <v>1636</v>
      </c>
      <c r="U216" t="s">
        <v>1637</v>
      </c>
      <c r="V216">
        <v>0</v>
      </c>
      <c r="W216" s="14" t="str">
        <f t="shared" si="3"/>
        <v>(2928,null,1,'2026-04-28 00:00:00','003302010410700-33020104101','003302010410700-33020104101','颅底肿瘤切除术-上颌外旋颅底手术',null,null,8550,8100,6500,null,8930,8265,7030,'次',26,1,'normal','main',0),</v>
      </c>
    </row>
    <row r="217" spans="1:23">
      <c r="A217">
        <v>2929</v>
      </c>
      <c r="B217" t="s">
        <v>1634</v>
      </c>
      <c r="C217">
        <v>1</v>
      </c>
      <c r="D217" s="11" t="s">
        <v>1635</v>
      </c>
      <c r="E217" t="s">
        <v>971</v>
      </c>
      <c r="F217" t="s">
        <v>971</v>
      </c>
      <c r="G217" t="s">
        <v>972</v>
      </c>
      <c r="H217" t="s">
        <v>1634</v>
      </c>
      <c r="I217" t="s">
        <v>1634</v>
      </c>
      <c r="J217">
        <v>8550</v>
      </c>
      <c r="K217">
        <v>8100</v>
      </c>
      <c r="L217">
        <v>6500</v>
      </c>
      <c r="M217" t="s">
        <v>1634</v>
      </c>
      <c r="N217">
        <v>8930</v>
      </c>
      <c r="O217">
        <v>8265</v>
      </c>
      <c r="P217">
        <v>7030</v>
      </c>
      <c r="Q217" t="s">
        <v>40</v>
      </c>
      <c r="R217">
        <v>26</v>
      </c>
      <c r="S217">
        <v>1</v>
      </c>
      <c r="T217" t="s">
        <v>1636</v>
      </c>
      <c r="U217" t="s">
        <v>1637</v>
      </c>
      <c r="V217">
        <v>0</v>
      </c>
      <c r="W217" s="14" t="str">
        <f t="shared" si="3"/>
        <v>(2929,null,1,'2026-04-28 00:00:00','003302010410000-330201041','003302010410000-330201041','颅底肿瘤切除术',null,null,8550,8100,6500,null,8930,8265,7030,'次',26,1,'normal','main',0),</v>
      </c>
    </row>
    <row r="218" spans="1:23">
      <c r="A218">
        <v>2930</v>
      </c>
      <c r="B218" t="s">
        <v>1634</v>
      </c>
      <c r="C218">
        <v>1</v>
      </c>
      <c r="D218" s="11" t="s">
        <v>1635</v>
      </c>
      <c r="E218" t="s">
        <v>977</v>
      </c>
      <c r="F218" t="s">
        <v>977</v>
      </c>
      <c r="G218" t="s">
        <v>978</v>
      </c>
      <c r="H218" t="s">
        <v>1634</v>
      </c>
      <c r="I218" t="s">
        <v>1634</v>
      </c>
      <c r="J218">
        <v>10400</v>
      </c>
      <c r="K218">
        <v>9880</v>
      </c>
      <c r="L218">
        <v>7865</v>
      </c>
      <c r="M218" t="s">
        <v>1634</v>
      </c>
      <c r="N218">
        <v>11610</v>
      </c>
      <c r="O218">
        <v>10745</v>
      </c>
      <c r="P218">
        <v>9140</v>
      </c>
      <c r="Q218" t="s">
        <v>40</v>
      </c>
      <c r="R218">
        <v>26</v>
      </c>
      <c r="S218">
        <v>1</v>
      </c>
      <c r="T218" t="s">
        <v>1636</v>
      </c>
      <c r="U218" t="s">
        <v>1637</v>
      </c>
      <c r="V218">
        <v>0</v>
      </c>
      <c r="W218" s="14" t="str">
        <f t="shared" si="3"/>
        <v>(2930,null,1,'2026-04-28 00:00:00','003302010270000-33020102701','003302010270000-33020102701','小儿桥小脑角肿瘤切除术',null,null,10400,9880,7865,null,11610,10745,9140,'次',26,1,'normal','main',0),</v>
      </c>
    </row>
    <row r="219" spans="1:23">
      <c r="A219">
        <v>2931</v>
      </c>
      <c r="B219" t="s">
        <v>1634</v>
      </c>
      <c r="C219">
        <v>1</v>
      </c>
      <c r="D219" s="11" t="s">
        <v>1635</v>
      </c>
      <c r="E219" t="s">
        <v>979</v>
      </c>
      <c r="F219" t="s">
        <v>979</v>
      </c>
      <c r="G219" t="s">
        <v>980</v>
      </c>
      <c r="H219" t="s">
        <v>1634</v>
      </c>
      <c r="I219" t="s">
        <v>1634</v>
      </c>
      <c r="J219">
        <v>9920</v>
      </c>
      <c r="K219">
        <v>8930</v>
      </c>
      <c r="L219">
        <v>7590</v>
      </c>
      <c r="M219" t="s">
        <v>1634</v>
      </c>
      <c r="N219">
        <v>11610</v>
      </c>
      <c r="O219">
        <v>10745</v>
      </c>
      <c r="P219">
        <v>9140</v>
      </c>
      <c r="Q219" t="s">
        <v>40</v>
      </c>
      <c r="R219">
        <v>26</v>
      </c>
      <c r="S219">
        <v>1</v>
      </c>
      <c r="T219" t="s">
        <v>1636</v>
      </c>
      <c r="U219" t="s">
        <v>1637</v>
      </c>
      <c r="V219">
        <v>0</v>
      </c>
      <c r="W219" s="14" t="str">
        <f t="shared" si="3"/>
        <v>(2931,null,1,'2026-04-28 00:00:00','003302010400000-33020104002','003302010400000-33020104002','小儿经口腔入路颅底斜坡肿瘤切除术',null,null,9920,8930,7590,null,11610,10745,9140,'次',26,1,'normal','main',0),</v>
      </c>
    </row>
    <row r="220" spans="1:23">
      <c r="A220">
        <v>2932</v>
      </c>
      <c r="B220" t="s">
        <v>1634</v>
      </c>
      <c r="C220">
        <v>1</v>
      </c>
      <c r="D220" s="11" t="s">
        <v>1635</v>
      </c>
      <c r="E220" t="s">
        <v>981</v>
      </c>
      <c r="F220" t="s">
        <v>981</v>
      </c>
      <c r="G220" t="s">
        <v>982</v>
      </c>
      <c r="H220" t="s">
        <v>1634</v>
      </c>
      <c r="I220" t="s">
        <v>1634</v>
      </c>
      <c r="J220">
        <v>11115</v>
      </c>
      <c r="K220">
        <v>10530</v>
      </c>
      <c r="L220">
        <v>8450</v>
      </c>
      <c r="M220" t="s">
        <v>1634</v>
      </c>
      <c r="N220">
        <v>11610</v>
      </c>
      <c r="O220">
        <v>10745</v>
      </c>
      <c r="P220">
        <v>9140</v>
      </c>
      <c r="Q220" t="s">
        <v>40</v>
      </c>
      <c r="R220">
        <v>26</v>
      </c>
      <c r="S220">
        <v>1</v>
      </c>
      <c r="T220" t="s">
        <v>1636</v>
      </c>
      <c r="U220" t="s">
        <v>1637</v>
      </c>
      <c r="V220">
        <v>0</v>
      </c>
      <c r="W220" s="14" t="str">
        <f t="shared" si="3"/>
        <v>(2932,null,1,'2026-04-28 00:00:00','003302010410000-33020104102','003302010410000-33020104102','小儿颅底肿瘤切除术',null,null,11115,10530,8450,null,11610,10745,9140,'次',26,1,'normal','main',0),</v>
      </c>
    </row>
    <row r="221" spans="1:23">
      <c r="A221">
        <v>2933</v>
      </c>
      <c r="B221" t="s">
        <v>1634</v>
      </c>
      <c r="C221">
        <v>1</v>
      </c>
      <c r="D221" s="11" t="s">
        <v>1635</v>
      </c>
      <c r="E221" t="s">
        <v>989</v>
      </c>
      <c r="F221" t="s">
        <v>989</v>
      </c>
      <c r="G221" t="s">
        <v>990</v>
      </c>
      <c r="H221" t="s">
        <v>1634</v>
      </c>
      <c r="I221" t="s">
        <v>1634</v>
      </c>
      <c r="J221">
        <v>750</v>
      </c>
      <c r="K221">
        <v>720</v>
      </c>
      <c r="L221">
        <v>612</v>
      </c>
      <c r="M221" t="s">
        <v>1634</v>
      </c>
      <c r="N221">
        <v>900</v>
      </c>
      <c r="O221">
        <v>850</v>
      </c>
      <c r="P221">
        <v>730</v>
      </c>
      <c r="Q221" t="s">
        <v>40</v>
      </c>
      <c r="R221">
        <v>26</v>
      </c>
      <c r="S221">
        <v>1</v>
      </c>
      <c r="T221" t="s">
        <v>1636</v>
      </c>
      <c r="U221" t="s">
        <v>1637</v>
      </c>
      <c r="V221">
        <v>0</v>
      </c>
      <c r="W221" s="14" t="str">
        <f t="shared" si="3"/>
        <v>(2933,null,1,'2026-04-28 00:00:00','003302010020000-330201002','003302010020000-330201002','颅骨骨瘤切除术',null,null,750,720,612,null,900,850,730,'次',26,1,'normal','main',0),</v>
      </c>
    </row>
    <row r="222" spans="1:23">
      <c r="A222">
        <v>2934</v>
      </c>
      <c r="B222" t="s">
        <v>1634</v>
      </c>
      <c r="C222">
        <v>1</v>
      </c>
      <c r="D222" s="11" t="s">
        <v>1635</v>
      </c>
      <c r="E222" t="s">
        <v>994</v>
      </c>
      <c r="F222" t="s">
        <v>994</v>
      </c>
      <c r="G222" t="s">
        <v>995</v>
      </c>
      <c r="H222" t="s">
        <v>1634</v>
      </c>
      <c r="I222" t="s">
        <v>1634</v>
      </c>
      <c r="J222">
        <v>975</v>
      </c>
      <c r="K222">
        <v>935</v>
      </c>
      <c r="L222">
        <v>795</v>
      </c>
      <c r="M222" t="s">
        <v>1634</v>
      </c>
      <c r="N222">
        <v>1170</v>
      </c>
      <c r="O222">
        <v>1105</v>
      </c>
      <c r="P222">
        <v>950</v>
      </c>
      <c r="Q222" t="s">
        <v>40</v>
      </c>
      <c r="R222">
        <v>26</v>
      </c>
      <c r="S222">
        <v>1</v>
      </c>
      <c r="T222" t="s">
        <v>1636</v>
      </c>
      <c r="U222" t="s">
        <v>1637</v>
      </c>
      <c r="V222">
        <v>0</v>
      </c>
      <c r="W222" s="14" t="str">
        <f t="shared" si="3"/>
        <v>(2934,null,1,'2026-04-28 00:00:00','003302010020000-33020100201','003302010020000-33020100201','小儿颅骨骨瘤切除术',null,null,975,935,795,null,1170,1105,950,'次',26,1,'normal','main',0),</v>
      </c>
    </row>
    <row r="223" spans="1:23">
      <c r="A223">
        <v>2935</v>
      </c>
      <c r="B223" t="s">
        <v>1634</v>
      </c>
      <c r="C223">
        <v>1</v>
      </c>
      <c r="D223" s="11" t="s">
        <v>1635</v>
      </c>
      <c r="E223" t="s">
        <v>1001</v>
      </c>
      <c r="F223" t="s">
        <v>1001</v>
      </c>
      <c r="G223" t="s">
        <v>1002</v>
      </c>
      <c r="H223" t="s">
        <v>1634</v>
      </c>
      <c r="I223" t="s">
        <v>1634</v>
      </c>
      <c r="J223">
        <v>1875</v>
      </c>
      <c r="K223">
        <v>1800</v>
      </c>
      <c r="L223">
        <v>1530</v>
      </c>
      <c r="M223" t="s">
        <v>1634</v>
      </c>
      <c r="N223">
        <v>1875</v>
      </c>
      <c r="O223">
        <v>1800</v>
      </c>
      <c r="P223">
        <v>1530</v>
      </c>
      <c r="Q223" t="s">
        <v>40</v>
      </c>
      <c r="R223">
        <v>26</v>
      </c>
      <c r="S223">
        <v>1</v>
      </c>
      <c r="T223" t="s">
        <v>1636</v>
      </c>
      <c r="U223" t="s">
        <v>1637</v>
      </c>
      <c r="V223">
        <v>0</v>
      </c>
      <c r="W223" s="14" t="str">
        <f t="shared" si="3"/>
        <v>(2935,null,1,'2026-04-28 00:00:00','003302010070000-330201007','003302010070000-330201007','颅骨凹陷骨折复位术',null,null,1875,1800,1530,null,1875,1800,1530,'次',26,1,'normal','main',0),</v>
      </c>
    </row>
    <row r="224" spans="1:23">
      <c r="A224">
        <v>2936</v>
      </c>
      <c r="B224" t="s">
        <v>1634</v>
      </c>
      <c r="C224">
        <v>1</v>
      </c>
      <c r="D224" s="11" t="s">
        <v>1635</v>
      </c>
      <c r="E224" t="s">
        <v>1004</v>
      </c>
      <c r="F224" t="s">
        <v>1004</v>
      </c>
      <c r="G224" t="s">
        <v>1005</v>
      </c>
      <c r="H224" t="s">
        <v>1634</v>
      </c>
      <c r="I224" t="s">
        <v>1634</v>
      </c>
      <c r="J224">
        <v>1875</v>
      </c>
      <c r="K224">
        <v>1800</v>
      </c>
      <c r="L224">
        <v>1530</v>
      </c>
      <c r="M224" t="s">
        <v>1634</v>
      </c>
      <c r="N224">
        <v>1875</v>
      </c>
      <c r="O224">
        <v>1800</v>
      </c>
      <c r="P224">
        <v>1530</v>
      </c>
      <c r="Q224" t="s">
        <v>40</v>
      </c>
      <c r="R224">
        <v>26</v>
      </c>
      <c r="S224">
        <v>1</v>
      </c>
      <c r="T224" t="s">
        <v>1636</v>
      </c>
      <c r="U224" t="s">
        <v>1637</v>
      </c>
      <c r="V224">
        <v>0</v>
      </c>
      <c r="W224" s="14" t="str">
        <f t="shared" si="3"/>
        <v>(2936,null,1,'2026-04-28 00:00:00','003302010090000-330201009','003302010090000-330201009','颅骨修补术',null,null,1875,1800,1530,null,1875,1800,1530,'次',26,1,'normal','main',0),</v>
      </c>
    </row>
    <row r="225" spans="1:23">
      <c r="A225">
        <v>2937</v>
      </c>
      <c r="B225" t="s">
        <v>1634</v>
      </c>
      <c r="C225">
        <v>1</v>
      </c>
      <c r="D225" s="11" t="s">
        <v>1635</v>
      </c>
      <c r="E225" t="s">
        <v>1007</v>
      </c>
      <c r="F225" t="s">
        <v>1007</v>
      </c>
      <c r="G225" t="s">
        <v>1008</v>
      </c>
      <c r="H225" t="s">
        <v>1634</v>
      </c>
      <c r="I225" t="s">
        <v>1634</v>
      </c>
      <c r="J225">
        <v>4630</v>
      </c>
      <c r="K225">
        <v>4170</v>
      </c>
      <c r="L225">
        <v>3540</v>
      </c>
      <c r="M225" t="s">
        <v>1634</v>
      </c>
      <c r="N225">
        <v>1875</v>
      </c>
      <c r="O225">
        <v>1800</v>
      </c>
      <c r="P225">
        <v>1530</v>
      </c>
      <c r="Q225" t="s">
        <v>40</v>
      </c>
      <c r="R225">
        <v>26</v>
      </c>
      <c r="S225">
        <v>1</v>
      </c>
      <c r="T225" t="s">
        <v>1636</v>
      </c>
      <c r="U225" t="s">
        <v>1637</v>
      </c>
      <c r="V225">
        <v>0</v>
      </c>
      <c r="W225" s="14" t="str">
        <f t="shared" si="3"/>
        <v>(2937,null,1,'2026-04-28 00:00:00','003302010550000-330201055','003302010550000-330201055','颅缝骨化症整形术',null,null,4630,4170,3540,null,1875,1800,1530,'次',26,1,'normal','main',0),</v>
      </c>
    </row>
    <row r="226" spans="1:23">
      <c r="A226">
        <v>2938</v>
      </c>
      <c r="B226" t="s">
        <v>1634</v>
      </c>
      <c r="C226">
        <v>1</v>
      </c>
      <c r="D226" s="11" t="s">
        <v>1635</v>
      </c>
      <c r="E226" t="s">
        <v>1012</v>
      </c>
      <c r="F226" t="s">
        <v>1012</v>
      </c>
      <c r="G226" t="s">
        <v>1013</v>
      </c>
      <c r="H226" t="s">
        <v>1634</v>
      </c>
      <c r="I226" t="s">
        <v>1634</v>
      </c>
      <c r="J226">
        <v>2440</v>
      </c>
      <c r="K226">
        <v>2340</v>
      </c>
      <c r="L226">
        <v>1990</v>
      </c>
      <c r="M226" t="s">
        <v>1634</v>
      </c>
      <c r="N226">
        <v>2440</v>
      </c>
      <c r="O226">
        <v>2340</v>
      </c>
      <c r="P226">
        <v>1990</v>
      </c>
      <c r="Q226" t="s">
        <v>40</v>
      </c>
      <c r="R226">
        <v>26</v>
      </c>
      <c r="S226">
        <v>1</v>
      </c>
      <c r="T226" t="s">
        <v>1636</v>
      </c>
      <c r="U226" t="s">
        <v>1637</v>
      </c>
      <c r="V226">
        <v>0</v>
      </c>
      <c r="W226" s="14" t="str">
        <f t="shared" si="3"/>
        <v>(2938,null,1,'2026-04-28 00:00:00','003302010070000-33020100701','003302010070000-33020100701','小儿颅骨凹陷骨折复位术',null,null,2440,2340,1990,null,2440,2340,1990,'次',26,1,'normal','main',0),</v>
      </c>
    </row>
    <row r="227" spans="1:23">
      <c r="A227">
        <v>2939</v>
      </c>
      <c r="B227" t="s">
        <v>1634</v>
      </c>
      <c r="C227">
        <v>1</v>
      </c>
      <c r="D227" s="11" t="s">
        <v>1635</v>
      </c>
      <c r="E227" t="s">
        <v>1014</v>
      </c>
      <c r="F227" t="s">
        <v>1014</v>
      </c>
      <c r="G227" t="s">
        <v>1015</v>
      </c>
      <c r="H227" t="s">
        <v>1634</v>
      </c>
      <c r="I227" t="s">
        <v>1634</v>
      </c>
      <c r="J227">
        <v>2440</v>
      </c>
      <c r="K227">
        <v>2340</v>
      </c>
      <c r="L227">
        <v>1990</v>
      </c>
      <c r="M227" t="s">
        <v>1634</v>
      </c>
      <c r="N227">
        <v>2440</v>
      </c>
      <c r="O227">
        <v>2340</v>
      </c>
      <c r="P227">
        <v>1990</v>
      </c>
      <c r="Q227" t="s">
        <v>40</v>
      </c>
      <c r="R227">
        <v>26</v>
      </c>
      <c r="S227">
        <v>1</v>
      </c>
      <c r="T227" t="s">
        <v>1636</v>
      </c>
      <c r="U227" t="s">
        <v>1637</v>
      </c>
      <c r="V227">
        <v>0</v>
      </c>
      <c r="W227" s="14" t="str">
        <f t="shared" si="3"/>
        <v>(2939,null,1,'2026-04-28 00:00:00','003302010090000-33020100903','003302010090000-33020100903','小儿颅骨修补术',null,null,2440,2340,1990,null,2440,2340,1990,'次',26,1,'normal','main',0),</v>
      </c>
    </row>
    <row r="228" spans="1:23">
      <c r="A228">
        <v>2940</v>
      </c>
      <c r="B228" t="s">
        <v>1634</v>
      </c>
      <c r="C228">
        <v>1</v>
      </c>
      <c r="D228" s="11" t="s">
        <v>1635</v>
      </c>
      <c r="E228" t="s">
        <v>1016</v>
      </c>
      <c r="F228" t="s">
        <v>1016</v>
      </c>
      <c r="G228" t="s">
        <v>1017</v>
      </c>
      <c r="H228" t="s">
        <v>1634</v>
      </c>
      <c r="I228" t="s">
        <v>1634</v>
      </c>
      <c r="J228">
        <v>6020</v>
      </c>
      <c r="K228">
        <v>5420</v>
      </c>
      <c r="L228">
        <v>4605</v>
      </c>
      <c r="M228" t="s">
        <v>1634</v>
      </c>
      <c r="N228">
        <v>2440</v>
      </c>
      <c r="O228">
        <v>2340</v>
      </c>
      <c r="P228">
        <v>1990</v>
      </c>
      <c r="Q228" t="s">
        <v>40</v>
      </c>
      <c r="R228">
        <v>26</v>
      </c>
      <c r="S228">
        <v>1</v>
      </c>
      <c r="T228" t="s">
        <v>1636</v>
      </c>
      <c r="U228" t="s">
        <v>1637</v>
      </c>
      <c r="V228">
        <v>0</v>
      </c>
      <c r="W228" s="14" t="str">
        <f t="shared" si="3"/>
        <v>(2940,null,1,'2026-04-28 00:00:00','003302010550000-33020105501','003302010550000-33020105501','小儿颅缝骨化症整形术',null,null,6020,5420,4605,null,2440,2340,1990,'次',26,1,'normal','main',0),</v>
      </c>
    </row>
    <row r="229" spans="1:23">
      <c r="A229">
        <v>2941</v>
      </c>
      <c r="B229" t="s">
        <v>1634</v>
      </c>
      <c r="C229">
        <v>1</v>
      </c>
      <c r="D229" s="11" t="s">
        <v>1635</v>
      </c>
      <c r="E229" t="s">
        <v>1025</v>
      </c>
      <c r="F229" t="s">
        <v>1025</v>
      </c>
      <c r="G229" t="s">
        <v>1026</v>
      </c>
      <c r="H229" t="s">
        <v>1634</v>
      </c>
      <c r="I229" t="s">
        <v>1634</v>
      </c>
      <c r="J229">
        <v>4630</v>
      </c>
      <c r="K229">
        <v>4170</v>
      </c>
      <c r="L229">
        <v>3540</v>
      </c>
      <c r="M229" t="s">
        <v>1634</v>
      </c>
      <c r="N229">
        <v>3100</v>
      </c>
      <c r="O229">
        <v>2800</v>
      </c>
      <c r="P229">
        <v>2380</v>
      </c>
      <c r="Q229" t="s">
        <v>40</v>
      </c>
      <c r="R229">
        <v>26</v>
      </c>
      <c r="S229">
        <v>1</v>
      </c>
      <c r="T229" t="s">
        <v>1636</v>
      </c>
      <c r="U229" t="s">
        <v>1637</v>
      </c>
      <c r="V229">
        <v>0</v>
      </c>
      <c r="W229" s="14" t="str">
        <f t="shared" si="3"/>
        <v>(2941,null,1,'2026-04-28 00:00:00','003302010570000-330201057','003302010570000-330201057','颅缝再造术',null,null,4630,4170,3540,null,3100,2800,2380,'次',26,1,'normal','main',0),</v>
      </c>
    </row>
    <row r="230" spans="1:23">
      <c r="A230">
        <v>2942</v>
      </c>
      <c r="B230" t="s">
        <v>1634</v>
      </c>
      <c r="C230">
        <v>1</v>
      </c>
      <c r="D230" s="11" t="s">
        <v>1635</v>
      </c>
      <c r="E230" t="s">
        <v>1029</v>
      </c>
      <c r="F230" t="s">
        <v>1029</v>
      </c>
      <c r="G230" t="s">
        <v>1030</v>
      </c>
      <c r="H230" t="s">
        <v>1634</v>
      </c>
      <c r="I230" t="s">
        <v>1634</v>
      </c>
      <c r="J230">
        <v>6020</v>
      </c>
      <c r="K230">
        <v>5420</v>
      </c>
      <c r="L230">
        <v>4605</v>
      </c>
      <c r="M230" t="s">
        <v>1634</v>
      </c>
      <c r="N230">
        <v>4030</v>
      </c>
      <c r="O230">
        <v>3640</v>
      </c>
      <c r="P230">
        <v>3095</v>
      </c>
      <c r="Q230" t="s">
        <v>40</v>
      </c>
      <c r="R230">
        <v>26</v>
      </c>
      <c r="S230">
        <v>1</v>
      </c>
      <c r="T230" t="s">
        <v>1636</v>
      </c>
      <c r="U230" t="s">
        <v>1637</v>
      </c>
      <c r="V230">
        <v>0</v>
      </c>
      <c r="W230" s="14" t="str">
        <f t="shared" si="3"/>
        <v>(2942,null,1,'2026-04-28 00:00:00','003302010570000-33020105701','003302010570000-33020105701','小儿颅缝再造术',null,null,6020,5420,4605,null,4030,3640,3095,'次',26,1,'normal','main',0),</v>
      </c>
    </row>
    <row r="231" spans="1:23">
      <c r="A231">
        <v>2943</v>
      </c>
      <c r="B231" t="s">
        <v>1634</v>
      </c>
      <c r="C231">
        <v>1</v>
      </c>
      <c r="D231" s="11" t="s">
        <v>1635</v>
      </c>
      <c r="E231" t="s">
        <v>1036</v>
      </c>
      <c r="F231" t="s">
        <v>1036</v>
      </c>
      <c r="G231" t="s">
        <v>1037</v>
      </c>
      <c r="H231" t="s">
        <v>1634</v>
      </c>
      <c r="I231" t="s">
        <v>1634</v>
      </c>
      <c r="J231">
        <v>4550</v>
      </c>
      <c r="K231">
        <v>4320</v>
      </c>
      <c r="L231">
        <v>3670</v>
      </c>
      <c r="M231" t="s">
        <v>1634</v>
      </c>
      <c r="N231">
        <v>4550</v>
      </c>
      <c r="O231">
        <v>4150</v>
      </c>
      <c r="P231">
        <v>3550</v>
      </c>
      <c r="Q231" t="s">
        <v>40</v>
      </c>
      <c r="R231">
        <v>26</v>
      </c>
      <c r="S231">
        <v>1</v>
      </c>
      <c r="T231" t="s">
        <v>1636</v>
      </c>
      <c r="U231" t="s">
        <v>1637</v>
      </c>
      <c r="V231">
        <v>0</v>
      </c>
      <c r="W231" s="14" t="str">
        <f t="shared" si="3"/>
        <v>(2943,null,1,'2026-04-28 00:00:00','003306030030000-330603003','003306030030000-330603003','经前颅窝鼻窦肿物切除术',null,null,4550,4320,3670,null,4550,4150,3550,'次',26,1,'normal','main',0),</v>
      </c>
    </row>
    <row r="232" spans="1:23">
      <c r="A232">
        <v>2944</v>
      </c>
      <c r="B232" t="s">
        <v>1634</v>
      </c>
      <c r="C232">
        <v>1</v>
      </c>
      <c r="D232" s="11" t="s">
        <v>1635</v>
      </c>
      <c r="E232" t="s">
        <v>1040</v>
      </c>
      <c r="F232" t="s">
        <v>1040</v>
      </c>
      <c r="G232" t="s">
        <v>1041</v>
      </c>
      <c r="H232" t="s">
        <v>1634</v>
      </c>
      <c r="I232" t="s">
        <v>1634</v>
      </c>
      <c r="J232">
        <v>900</v>
      </c>
      <c r="K232">
        <v>810</v>
      </c>
      <c r="L232">
        <v>690</v>
      </c>
      <c r="M232" t="s">
        <v>1634</v>
      </c>
      <c r="N232">
        <v>4550</v>
      </c>
      <c r="O232">
        <v>4150</v>
      </c>
      <c r="P232">
        <v>3550</v>
      </c>
      <c r="Q232" t="s">
        <v>40</v>
      </c>
      <c r="R232">
        <v>26</v>
      </c>
      <c r="S232">
        <v>1</v>
      </c>
      <c r="T232" t="s">
        <v>1636</v>
      </c>
      <c r="U232" t="s">
        <v>1637</v>
      </c>
      <c r="V232">
        <v>0</v>
      </c>
      <c r="W232" s="14" t="str">
        <f t="shared" si="3"/>
        <v>(2944,null,1,'2026-04-28 00:00:00','353300000010000-33060300302','353300000010000-33060300302','经前颅窝鼻窦肿物切除术微动力辅助加收',null,null,900,810,690,null,4550,4150,3550,'次',26,1,'normal','main',0),</v>
      </c>
    </row>
    <row r="233" spans="1:23">
      <c r="A233">
        <v>2945</v>
      </c>
      <c r="B233" t="s">
        <v>1634</v>
      </c>
      <c r="C233">
        <v>1</v>
      </c>
      <c r="D233" s="11" t="s">
        <v>1635</v>
      </c>
      <c r="E233" t="s">
        <v>1044</v>
      </c>
      <c r="F233" t="s">
        <v>1044</v>
      </c>
      <c r="G233" t="s">
        <v>1045</v>
      </c>
      <c r="H233" t="s">
        <v>1634</v>
      </c>
      <c r="I233" t="s">
        <v>1634</v>
      </c>
      <c r="J233">
        <v>5915</v>
      </c>
      <c r="K233">
        <v>5615</v>
      </c>
      <c r="L233">
        <v>4770</v>
      </c>
      <c r="M233" t="s">
        <v>1634</v>
      </c>
      <c r="N233">
        <v>5915</v>
      </c>
      <c r="O233">
        <v>5395</v>
      </c>
      <c r="P233">
        <v>4615</v>
      </c>
      <c r="Q233" t="s">
        <v>40</v>
      </c>
      <c r="R233">
        <v>26</v>
      </c>
      <c r="S233">
        <v>1</v>
      </c>
      <c r="T233" t="s">
        <v>1636</v>
      </c>
      <c r="U233" t="s">
        <v>1637</v>
      </c>
      <c r="V233">
        <v>0</v>
      </c>
      <c r="W233" s="14" t="str">
        <f t="shared" si="3"/>
        <v>(2945,null,1,'2026-04-28 00:00:00','003306030030000-33060300301','003306030030000-33060300301','小儿经前颅窝鼻窦肿物切除术',null,null,5915,5615,4770,null,5915,5395,4615,'次',26,1,'normal','main',0),</v>
      </c>
    </row>
    <row r="234" spans="1:23">
      <c r="A234">
        <v>2946</v>
      </c>
      <c r="B234" t="s">
        <v>1634</v>
      </c>
      <c r="C234">
        <v>1</v>
      </c>
      <c r="D234" s="11" t="s">
        <v>1635</v>
      </c>
      <c r="E234" t="s">
        <v>1049</v>
      </c>
      <c r="F234" t="s">
        <v>1049</v>
      </c>
      <c r="G234" t="s">
        <v>1050</v>
      </c>
      <c r="H234" t="s">
        <v>1634</v>
      </c>
      <c r="I234" t="s">
        <v>1634</v>
      </c>
      <c r="J234">
        <v>3380</v>
      </c>
      <c r="K234">
        <v>3040</v>
      </c>
      <c r="L234">
        <v>2580</v>
      </c>
      <c r="M234" t="s">
        <v>1634</v>
      </c>
      <c r="N234">
        <v>4550</v>
      </c>
      <c r="O234">
        <v>4150</v>
      </c>
      <c r="P234">
        <v>3550</v>
      </c>
      <c r="Q234" t="s">
        <v>40</v>
      </c>
      <c r="R234">
        <v>26</v>
      </c>
      <c r="S234">
        <v>1</v>
      </c>
      <c r="T234" t="s">
        <v>1636</v>
      </c>
      <c r="U234" t="s">
        <v>1637</v>
      </c>
      <c r="V234">
        <v>0</v>
      </c>
      <c r="W234" s="14" t="str">
        <f t="shared" si="3"/>
        <v>(2946,null,1,'2026-04-28 00:00:00','003302010510000-330201051','003302010510000-330201051','脑脊液漏修补术',null,null,3380,3040,2580,null,4550,4150,3550,'次',26,1,'normal','main',0),</v>
      </c>
    </row>
    <row r="235" spans="1:23">
      <c r="A235">
        <v>2947</v>
      </c>
      <c r="B235" t="s">
        <v>1634</v>
      </c>
      <c r="C235">
        <v>1</v>
      </c>
      <c r="D235" s="11" t="s">
        <v>1635</v>
      </c>
      <c r="E235" t="s">
        <v>1053</v>
      </c>
      <c r="F235" t="s">
        <v>1053</v>
      </c>
      <c r="G235" t="s">
        <v>1054</v>
      </c>
      <c r="H235" t="s">
        <v>1634</v>
      </c>
      <c r="I235" t="s">
        <v>1634</v>
      </c>
      <c r="J235">
        <v>4395</v>
      </c>
      <c r="K235">
        <v>3950</v>
      </c>
      <c r="L235">
        <v>3360</v>
      </c>
      <c r="M235" t="s">
        <v>1634</v>
      </c>
      <c r="N235">
        <v>4550</v>
      </c>
      <c r="O235">
        <v>4150</v>
      </c>
      <c r="P235">
        <v>3550</v>
      </c>
      <c r="Q235" t="s">
        <v>40</v>
      </c>
      <c r="R235">
        <v>26</v>
      </c>
      <c r="S235">
        <v>1</v>
      </c>
      <c r="T235" t="s">
        <v>1636</v>
      </c>
      <c r="U235" t="s">
        <v>1637</v>
      </c>
      <c r="V235">
        <v>0</v>
      </c>
      <c r="W235" s="14" t="str">
        <f t="shared" si="3"/>
        <v>(2947,null,1,'2026-04-28 00:00:00','003302010510000-33020105101','003302010510000-33020105101','小儿脑脊液漏修补术',null,null,4395,3950,3360,null,4550,4150,3550,'次',26,1,'normal','main',0),</v>
      </c>
    </row>
    <row r="236" spans="1:23">
      <c r="A236">
        <v>2948</v>
      </c>
      <c r="B236" t="s">
        <v>1634</v>
      </c>
      <c r="C236">
        <v>1</v>
      </c>
      <c r="D236" s="11" t="s">
        <v>1635</v>
      </c>
      <c r="E236" t="s">
        <v>1055</v>
      </c>
      <c r="F236" t="s">
        <v>1055</v>
      </c>
      <c r="G236" t="s">
        <v>1056</v>
      </c>
      <c r="H236" t="s">
        <v>1634</v>
      </c>
      <c r="I236" t="s">
        <v>1634</v>
      </c>
      <c r="J236">
        <v>3880</v>
      </c>
      <c r="K236">
        <v>3490</v>
      </c>
      <c r="L236">
        <v>2970</v>
      </c>
      <c r="M236" t="s">
        <v>1634</v>
      </c>
      <c r="N236">
        <v>4550</v>
      </c>
      <c r="O236">
        <v>4150</v>
      </c>
      <c r="P236">
        <v>3550</v>
      </c>
      <c r="Q236" t="s">
        <v>40</v>
      </c>
      <c r="R236">
        <v>26</v>
      </c>
      <c r="S236">
        <v>1</v>
      </c>
      <c r="T236" t="s">
        <v>1636</v>
      </c>
      <c r="U236" t="s">
        <v>1637</v>
      </c>
      <c r="V236">
        <v>0</v>
      </c>
      <c r="W236" s="14" t="str">
        <f t="shared" si="3"/>
        <v>(2948,null,1,'2026-04-28 00:00:00','003302020180000-330202018','003302020180000-330202018','经颅脑脊液耳漏修补术',null,null,3880,3490,2970,null,4550,4150,3550,'次',26,1,'normal','main',0),</v>
      </c>
    </row>
    <row r="237" spans="1:23">
      <c r="A237">
        <v>2949</v>
      </c>
      <c r="B237" t="s">
        <v>1634</v>
      </c>
      <c r="C237">
        <v>1</v>
      </c>
      <c r="D237" s="11" t="s">
        <v>1635</v>
      </c>
      <c r="E237" t="s">
        <v>1057</v>
      </c>
      <c r="F237" t="s">
        <v>1057</v>
      </c>
      <c r="G237" t="s">
        <v>1058</v>
      </c>
      <c r="H237" t="s">
        <v>1634</v>
      </c>
      <c r="I237" t="s">
        <v>1634</v>
      </c>
      <c r="J237">
        <v>5045</v>
      </c>
      <c r="K237">
        <v>4535</v>
      </c>
      <c r="L237">
        <v>3855</v>
      </c>
      <c r="M237" t="s">
        <v>1634</v>
      </c>
      <c r="N237">
        <v>4550</v>
      </c>
      <c r="O237">
        <v>4150</v>
      </c>
      <c r="P237">
        <v>3550</v>
      </c>
      <c r="Q237" t="s">
        <v>40</v>
      </c>
      <c r="R237">
        <v>26</v>
      </c>
      <c r="S237">
        <v>1</v>
      </c>
      <c r="T237" t="s">
        <v>1636</v>
      </c>
      <c r="U237" t="s">
        <v>1637</v>
      </c>
      <c r="V237">
        <v>0</v>
      </c>
      <c r="W237" s="14" t="str">
        <f t="shared" si="3"/>
        <v>(2949,null,1,'2026-04-28 00:00:00','003302020180000-33020201801','003302020180000-33020201801','小儿经颅脑脊液耳漏修补术',null,null,5045,4535,3855,null,4550,4150,3550,'次',26,1,'normal','main',0),</v>
      </c>
    </row>
    <row r="238" spans="1:23">
      <c r="A238">
        <v>2950</v>
      </c>
      <c r="B238" t="s">
        <v>1634</v>
      </c>
      <c r="C238">
        <v>1</v>
      </c>
      <c r="D238" s="11" t="s">
        <v>1635</v>
      </c>
      <c r="E238" t="s">
        <v>1065</v>
      </c>
      <c r="F238" t="s">
        <v>1065</v>
      </c>
      <c r="G238" t="s">
        <v>1066</v>
      </c>
      <c r="H238" t="s">
        <v>1634</v>
      </c>
      <c r="I238" t="s">
        <v>1634</v>
      </c>
      <c r="J238">
        <v>4220</v>
      </c>
      <c r="K238">
        <v>3800</v>
      </c>
      <c r="L238">
        <v>3230</v>
      </c>
      <c r="M238" t="s">
        <v>1634</v>
      </c>
      <c r="N238">
        <v>4550</v>
      </c>
      <c r="O238">
        <v>4150</v>
      </c>
      <c r="P238">
        <v>3550</v>
      </c>
      <c r="Q238" t="s">
        <v>40</v>
      </c>
      <c r="R238">
        <v>26</v>
      </c>
      <c r="S238">
        <v>1</v>
      </c>
      <c r="T238" t="s">
        <v>1636</v>
      </c>
      <c r="U238" t="s">
        <v>1637</v>
      </c>
      <c r="V238">
        <v>0</v>
      </c>
      <c r="W238" s="14" t="str">
        <f t="shared" si="3"/>
        <v>(2950,null,1,'2026-04-28 00:00:00','003302010420000-330201042','003302010420000-330201042','经颅内镜第三脑室底造瘘术',null,null,4220,3800,3230,null,4550,4150,3550,'次',26,1,'normal','main',0),</v>
      </c>
    </row>
    <row r="239" spans="1:23">
      <c r="A239">
        <v>2951</v>
      </c>
      <c r="B239" t="s">
        <v>1634</v>
      </c>
      <c r="C239">
        <v>1</v>
      </c>
      <c r="D239" s="11" t="s">
        <v>1635</v>
      </c>
      <c r="E239" t="s">
        <v>1069</v>
      </c>
      <c r="F239" t="s">
        <v>1069</v>
      </c>
      <c r="G239" t="s">
        <v>1070</v>
      </c>
      <c r="H239" t="s">
        <v>1634</v>
      </c>
      <c r="I239" t="s">
        <v>1634</v>
      </c>
      <c r="J239">
        <v>5485</v>
      </c>
      <c r="K239">
        <v>4940</v>
      </c>
      <c r="L239">
        <v>4200</v>
      </c>
      <c r="M239" t="s">
        <v>1634</v>
      </c>
      <c r="N239">
        <v>5915</v>
      </c>
      <c r="O239">
        <v>5395</v>
      </c>
      <c r="P239">
        <v>4615</v>
      </c>
      <c r="Q239" t="s">
        <v>40</v>
      </c>
      <c r="R239">
        <v>26</v>
      </c>
      <c r="S239">
        <v>1</v>
      </c>
      <c r="T239" t="s">
        <v>1636</v>
      </c>
      <c r="U239" t="s">
        <v>1637</v>
      </c>
      <c r="V239">
        <v>0</v>
      </c>
      <c r="W239" s="14" t="str">
        <f t="shared" si="3"/>
        <v>(2951,null,1,'2026-04-28 00:00:00','003302010420000-33020104201','003302010420000-33020104201','小儿经颅内镜第三脑室底造瘘术',null,null,5485,4940,4200,null,5915,5395,4615,'次',26,1,'normal','main',0),</v>
      </c>
    </row>
    <row r="240" spans="1:23">
      <c r="A240">
        <v>2952</v>
      </c>
      <c r="B240" t="s">
        <v>1634</v>
      </c>
      <c r="C240">
        <v>1</v>
      </c>
      <c r="D240" s="11" t="s">
        <v>1635</v>
      </c>
      <c r="E240" t="s">
        <v>1073</v>
      </c>
      <c r="F240" t="s">
        <v>1073</v>
      </c>
      <c r="G240" t="s">
        <v>1074</v>
      </c>
      <c r="H240" t="s">
        <v>1634</v>
      </c>
      <c r="I240" t="s">
        <v>1634</v>
      </c>
      <c r="J240">
        <v>4220</v>
      </c>
      <c r="K240">
        <v>3800</v>
      </c>
      <c r="L240">
        <v>3230</v>
      </c>
      <c r="M240" t="s">
        <v>1634</v>
      </c>
      <c r="N240">
        <v>4550</v>
      </c>
      <c r="O240">
        <v>4150</v>
      </c>
      <c r="P240">
        <v>3550</v>
      </c>
      <c r="Q240" t="s">
        <v>40</v>
      </c>
      <c r="R240">
        <v>26</v>
      </c>
      <c r="S240">
        <v>1</v>
      </c>
      <c r="T240" t="s">
        <v>1636</v>
      </c>
      <c r="U240" t="s">
        <v>1637</v>
      </c>
      <c r="V240">
        <v>0</v>
      </c>
      <c r="W240" s="14" t="str">
        <f t="shared" si="3"/>
        <v>(2952,null,1,'2026-04-28 00:00:00','003302010490000-330201049','003302010490000-330201049','终板造瘘术',null,null,4220,3800,3230,null,4550,4150,3550,'次',26,1,'normal','main',0),</v>
      </c>
    </row>
    <row r="241" spans="1:23">
      <c r="A241">
        <v>2953</v>
      </c>
      <c r="B241" t="s">
        <v>1634</v>
      </c>
      <c r="C241">
        <v>1</v>
      </c>
      <c r="D241" s="11" t="s">
        <v>1635</v>
      </c>
      <c r="E241" t="s">
        <v>1075</v>
      </c>
      <c r="F241" t="s">
        <v>1075</v>
      </c>
      <c r="G241" t="s">
        <v>1076</v>
      </c>
      <c r="H241" t="s">
        <v>1634</v>
      </c>
      <c r="I241" t="s">
        <v>1634</v>
      </c>
      <c r="J241">
        <v>5485</v>
      </c>
      <c r="K241">
        <v>4940</v>
      </c>
      <c r="L241">
        <v>4200</v>
      </c>
      <c r="M241" t="s">
        <v>1634</v>
      </c>
      <c r="N241">
        <v>4550</v>
      </c>
      <c r="O241">
        <v>4150</v>
      </c>
      <c r="P241">
        <v>3550</v>
      </c>
      <c r="Q241" t="s">
        <v>40</v>
      </c>
      <c r="R241">
        <v>26</v>
      </c>
      <c r="S241">
        <v>1</v>
      </c>
      <c r="T241" t="s">
        <v>1636</v>
      </c>
      <c r="U241" t="s">
        <v>1637</v>
      </c>
      <c r="V241">
        <v>0</v>
      </c>
      <c r="W241" s="14" t="str">
        <f t="shared" si="3"/>
        <v>(2953,null,1,'2026-04-28 00:00:00','003302010490000-33020104901','003302010490000-33020104901','小儿终板造瘘术',null,null,5485,4940,4200,null,4550,4150,3550,'次',26,1,'normal','main',0),</v>
      </c>
    </row>
    <row r="242" spans="1:23">
      <c r="A242">
        <v>2954</v>
      </c>
      <c r="B242" t="s">
        <v>1634</v>
      </c>
      <c r="C242">
        <v>1</v>
      </c>
      <c r="D242" s="11" t="s">
        <v>1635</v>
      </c>
      <c r="E242" t="s">
        <v>1077</v>
      </c>
      <c r="F242" t="s">
        <v>1077</v>
      </c>
      <c r="G242" t="s">
        <v>1078</v>
      </c>
      <c r="H242" t="s">
        <v>1634</v>
      </c>
      <c r="I242" t="s">
        <v>1634</v>
      </c>
      <c r="J242">
        <v>4595</v>
      </c>
      <c r="K242">
        <v>4160</v>
      </c>
      <c r="L242">
        <v>3536</v>
      </c>
      <c r="M242" t="s">
        <v>1634</v>
      </c>
      <c r="N242">
        <v>4550</v>
      </c>
      <c r="O242">
        <v>4150</v>
      </c>
      <c r="P242">
        <v>3550</v>
      </c>
      <c r="Q242" t="s">
        <v>40</v>
      </c>
      <c r="R242">
        <v>26</v>
      </c>
      <c r="S242">
        <v>1</v>
      </c>
      <c r="T242" t="s">
        <v>1636</v>
      </c>
      <c r="U242" t="s">
        <v>1637</v>
      </c>
      <c r="V242">
        <v>0</v>
      </c>
      <c r="W242" s="14" t="str">
        <f t="shared" si="3"/>
        <v>(2954,null,1,'2026-04-28 00:00:00','003302010490000-33020104902','003302010490000-33020104902','经颅内镜终板造瘘术',null,null,4595,4160,3536,null,4550,4150,3550,'次',26,1,'normal','main',0),</v>
      </c>
    </row>
    <row r="243" spans="1:23">
      <c r="A243">
        <v>2955</v>
      </c>
      <c r="B243" t="s">
        <v>1634</v>
      </c>
      <c r="C243">
        <v>1</v>
      </c>
      <c r="D243" s="11" t="s">
        <v>1635</v>
      </c>
      <c r="E243" t="s">
        <v>1079</v>
      </c>
      <c r="F243" t="s">
        <v>1079</v>
      </c>
      <c r="G243" t="s">
        <v>1080</v>
      </c>
      <c r="H243" t="s">
        <v>1634</v>
      </c>
      <c r="I243" t="s">
        <v>1634</v>
      </c>
      <c r="J243">
        <v>5860</v>
      </c>
      <c r="K243">
        <v>5300</v>
      </c>
      <c r="L243">
        <v>4505</v>
      </c>
      <c r="M243" t="s">
        <v>1634</v>
      </c>
      <c r="N243">
        <v>4550</v>
      </c>
      <c r="O243">
        <v>4150</v>
      </c>
      <c r="P243">
        <v>3550</v>
      </c>
      <c r="Q243" t="s">
        <v>40</v>
      </c>
      <c r="R243">
        <v>26</v>
      </c>
      <c r="S243">
        <v>1</v>
      </c>
      <c r="T243" t="s">
        <v>1636</v>
      </c>
      <c r="U243" t="s">
        <v>1637</v>
      </c>
      <c r="V243">
        <v>0</v>
      </c>
      <c r="W243" s="14" t="str">
        <f t="shared" si="3"/>
        <v>(2955,null,1,'2026-04-28 00:00:00','003302010490000-33020104903','003302010490000-33020104903','小儿经颅内镜终板造瘘术',null,null,5860,5300,4505,null,4550,4150,3550,'次',26,1,'normal','main',0),</v>
      </c>
    </row>
    <row r="244" spans="1:23">
      <c r="A244">
        <v>2956</v>
      </c>
      <c r="B244" t="s">
        <v>1634</v>
      </c>
      <c r="C244">
        <v>1</v>
      </c>
      <c r="D244" s="11" t="s">
        <v>1635</v>
      </c>
      <c r="E244" t="s">
        <v>1083</v>
      </c>
      <c r="F244" t="s">
        <v>1083</v>
      </c>
      <c r="G244" t="s">
        <v>1085</v>
      </c>
      <c r="H244" t="s">
        <v>1634</v>
      </c>
      <c r="I244" t="s">
        <v>1634</v>
      </c>
      <c r="J244">
        <v>0</v>
      </c>
      <c r="K244">
        <v>0</v>
      </c>
      <c r="L244">
        <v>0</v>
      </c>
      <c r="M244" t="s">
        <v>1634</v>
      </c>
      <c r="N244">
        <v>4550</v>
      </c>
      <c r="O244">
        <v>4150</v>
      </c>
      <c r="P244">
        <v>3550</v>
      </c>
      <c r="Q244" t="s">
        <v>40</v>
      </c>
      <c r="R244">
        <v>26</v>
      </c>
      <c r="S244">
        <v>1</v>
      </c>
      <c r="T244" t="s">
        <v>1636</v>
      </c>
      <c r="U244" t="s">
        <v>1637</v>
      </c>
      <c r="V244">
        <v>0</v>
      </c>
      <c r="W244" s="14" t="str">
        <f t="shared" si="3"/>
        <v>(2956,null,1,'2026-04-28 00:00:00','003302010420000-A330201061','003302010420000-A330201061','颅内镜下透明隔造瘘术',null,null,0,0,0,null,4550,4150,3550,'次',26,1,'normal','main',0),</v>
      </c>
    </row>
    <row r="245" spans="1:23">
      <c r="A245">
        <v>2957</v>
      </c>
      <c r="B245" t="s">
        <v>1634</v>
      </c>
      <c r="C245">
        <v>1</v>
      </c>
      <c r="D245" s="11" t="s">
        <v>1635</v>
      </c>
      <c r="E245" t="s">
        <v>1093</v>
      </c>
      <c r="F245" t="s">
        <v>1093</v>
      </c>
      <c r="G245" t="s">
        <v>1094</v>
      </c>
      <c r="H245" t="s">
        <v>1634</v>
      </c>
      <c r="I245" t="s">
        <v>1634</v>
      </c>
      <c r="J245">
        <v>3040</v>
      </c>
      <c r="K245">
        <v>2740</v>
      </c>
      <c r="L245">
        <v>2330</v>
      </c>
      <c r="M245" t="s">
        <v>1634</v>
      </c>
      <c r="N245">
        <v>3150</v>
      </c>
      <c r="O245">
        <v>2850</v>
      </c>
      <c r="P245">
        <v>2450</v>
      </c>
      <c r="Q245" t="s">
        <v>40</v>
      </c>
      <c r="R245">
        <v>26</v>
      </c>
      <c r="S245">
        <v>1</v>
      </c>
      <c r="T245" t="s">
        <v>1636</v>
      </c>
      <c r="U245" t="s">
        <v>1637</v>
      </c>
      <c r="V245">
        <v>0</v>
      </c>
      <c r="W245" s="14" t="str">
        <f t="shared" si="3"/>
        <v>(2957,null,1,'2026-04-28 00:00:00','003302010520000-330201052','003302010520000-330201052','脑脊膜膨出修补术',null,null,3040,2740,2330,null,3150,2850,2450,'次',26,1,'normal','main',0),</v>
      </c>
    </row>
    <row r="246" spans="1:23">
      <c r="A246">
        <v>2958</v>
      </c>
      <c r="B246" t="s">
        <v>1634</v>
      </c>
      <c r="C246">
        <v>1</v>
      </c>
      <c r="D246" s="11" t="s">
        <v>1635</v>
      </c>
      <c r="E246" t="s">
        <v>1099</v>
      </c>
      <c r="F246" t="s">
        <v>1099</v>
      </c>
      <c r="G246" t="s">
        <v>1100</v>
      </c>
      <c r="H246" t="s">
        <v>1634</v>
      </c>
      <c r="I246" t="s">
        <v>1634</v>
      </c>
      <c r="J246">
        <v>3950</v>
      </c>
      <c r="K246">
        <v>3560</v>
      </c>
      <c r="L246">
        <v>3025</v>
      </c>
      <c r="M246" t="s">
        <v>1634</v>
      </c>
      <c r="N246">
        <v>4095</v>
      </c>
      <c r="O246">
        <v>3705</v>
      </c>
      <c r="P246">
        <v>3185</v>
      </c>
      <c r="Q246" t="s">
        <v>40</v>
      </c>
      <c r="R246">
        <v>26</v>
      </c>
      <c r="S246">
        <v>1</v>
      </c>
      <c r="T246" t="s">
        <v>1636</v>
      </c>
      <c r="U246" t="s">
        <v>1637</v>
      </c>
      <c r="V246">
        <v>0</v>
      </c>
      <c r="W246" s="14" t="str">
        <f t="shared" si="3"/>
        <v>(2958,null,1,'2026-04-28 00:00:00','003302010520000-33020105201','003302010520000-33020105201','小儿脑脊膜膨出修补术',null,null,3950,3560,3025,null,4095,3705,3185,'次',26,1,'normal','main',0),</v>
      </c>
    </row>
    <row r="247" spans="1:23">
      <c r="A247">
        <v>2959</v>
      </c>
      <c r="B247" t="s">
        <v>1634</v>
      </c>
      <c r="C247">
        <v>1</v>
      </c>
      <c r="D247" s="11" t="s">
        <v>1635</v>
      </c>
      <c r="E247" t="s">
        <v>1106</v>
      </c>
      <c r="F247" t="s">
        <v>1106</v>
      </c>
      <c r="G247" t="s">
        <v>1107</v>
      </c>
      <c r="H247" t="s">
        <v>1634</v>
      </c>
      <c r="I247" t="s">
        <v>1634</v>
      </c>
      <c r="J247">
        <v>8800</v>
      </c>
      <c r="K247">
        <v>8360</v>
      </c>
      <c r="L247">
        <v>7520</v>
      </c>
      <c r="M247" t="s">
        <v>1634</v>
      </c>
      <c r="N247">
        <v>8800</v>
      </c>
      <c r="O247">
        <v>8100</v>
      </c>
      <c r="P247">
        <v>6900</v>
      </c>
      <c r="Q247" t="s">
        <v>40</v>
      </c>
      <c r="R247">
        <v>26</v>
      </c>
      <c r="S247">
        <v>1</v>
      </c>
      <c r="T247" t="s">
        <v>1636</v>
      </c>
      <c r="U247" t="s">
        <v>1637</v>
      </c>
      <c r="V247">
        <v>0</v>
      </c>
      <c r="W247" s="14" t="str">
        <f t="shared" si="3"/>
        <v>(2959,null,1,'2026-04-28 00:00:00','003302030020000-330203002','003302030020000-330203002','颅内动脉瘤夹闭术',null,null,8800,8360,7520,null,8800,8100,6900,'次',26,1,'normal','main',0),</v>
      </c>
    </row>
    <row r="248" spans="1:23">
      <c r="A248">
        <v>2960</v>
      </c>
      <c r="B248" t="s">
        <v>1634</v>
      </c>
      <c r="C248">
        <v>1</v>
      </c>
      <c r="D248" s="11" t="s">
        <v>1635</v>
      </c>
      <c r="E248" t="s">
        <v>1113</v>
      </c>
      <c r="F248" t="s">
        <v>1113</v>
      </c>
      <c r="G248" t="s">
        <v>1114</v>
      </c>
      <c r="H248" t="s">
        <v>1634</v>
      </c>
      <c r="I248" t="s">
        <v>1634</v>
      </c>
      <c r="J248">
        <v>600</v>
      </c>
      <c r="K248">
        <v>540</v>
      </c>
      <c r="L248">
        <v>460</v>
      </c>
      <c r="M248" t="s">
        <v>1634</v>
      </c>
      <c r="N248">
        <v>440</v>
      </c>
      <c r="O248">
        <v>405</v>
      </c>
      <c r="P248">
        <v>345</v>
      </c>
      <c r="Q248" t="s">
        <v>40</v>
      </c>
      <c r="R248">
        <v>26</v>
      </c>
      <c r="S248">
        <v>1</v>
      </c>
      <c r="T248" t="s">
        <v>1636</v>
      </c>
      <c r="U248" t="s">
        <v>1637</v>
      </c>
      <c r="V248">
        <v>0</v>
      </c>
      <c r="W248" s="14" t="str">
        <f t="shared" si="3"/>
        <v>(2960,null,1,'2026-04-28 00:00:00','003302030020001-33020300201','003302030020001-33020300201','颅内动脉瘤夹闭术（直径小于2.5cm，每多夹除一个加收）',null,null,600,540,460,null,440,405,345,'次',26,1,'normal','main',0),</v>
      </c>
    </row>
    <row r="249" spans="1:23">
      <c r="A249">
        <v>2961</v>
      </c>
      <c r="B249" t="s">
        <v>1634</v>
      </c>
      <c r="C249">
        <v>1</v>
      </c>
      <c r="D249" s="11" t="s">
        <v>1635</v>
      </c>
      <c r="E249" t="s">
        <v>1118</v>
      </c>
      <c r="F249" t="s">
        <v>1118</v>
      </c>
      <c r="G249" t="s">
        <v>1119</v>
      </c>
      <c r="H249" t="s">
        <v>1634</v>
      </c>
      <c r="I249" t="s">
        <v>1634</v>
      </c>
      <c r="J249">
        <v>11440</v>
      </c>
      <c r="K249">
        <v>10865</v>
      </c>
      <c r="L249">
        <v>9775</v>
      </c>
      <c r="M249" t="s">
        <v>1634</v>
      </c>
      <c r="N249">
        <v>11440</v>
      </c>
      <c r="O249">
        <v>10530</v>
      </c>
      <c r="P249">
        <v>8970</v>
      </c>
      <c r="Q249" t="s">
        <v>40</v>
      </c>
      <c r="R249">
        <v>26</v>
      </c>
      <c r="S249">
        <v>1</v>
      </c>
      <c r="T249" t="s">
        <v>1636</v>
      </c>
      <c r="U249" t="s">
        <v>1637</v>
      </c>
      <c r="V249">
        <v>0</v>
      </c>
      <c r="W249" s="14" t="str">
        <f t="shared" si="3"/>
        <v>(2961,null,1,'2026-04-28 00:00:00','003302030020000-33020300202','003302030020000-33020300202','小儿颅内动脉瘤夹闭术',null,null,11440,10865,9775,null,11440,10530,8970,'次',26,1,'normal','main',0),</v>
      </c>
    </row>
    <row r="250" spans="1:23">
      <c r="A250">
        <v>2962</v>
      </c>
      <c r="B250" t="s">
        <v>1634</v>
      </c>
      <c r="C250">
        <v>1</v>
      </c>
      <c r="D250" s="11" t="s">
        <v>1635</v>
      </c>
      <c r="E250" t="s">
        <v>1120</v>
      </c>
      <c r="F250" t="s">
        <v>1120</v>
      </c>
      <c r="G250" t="s">
        <v>1121</v>
      </c>
      <c r="H250" t="s">
        <v>1634</v>
      </c>
      <c r="I250" t="s">
        <v>1634</v>
      </c>
      <c r="J250">
        <v>780</v>
      </c>
      <c r="K250">
        <v>700</v>
      </c>
      <c r="L250">
        <v>595</v>
      </c>
      <c r="M250" t="s">
        <v>1634</v>
      </c>
      <c r="N250">
        <v>11440</v>
      </c>
      <c r="O250">
        <v>10530</v>
      </c>
      <c r="P250">
        <v>8970</v>
      </c>
      <c r="Q250" t="s">
        <v>40</v>
      </c>
      <c r="R250">
        <v>26</v>
      </c>
      <c r="S250">
        <v>1</v>
      </c>
      <c r="T250" t="s">
        <v>1636</v>
      </c>
      <c r="U250" t="s">
        <v>1637</v>
      </c>
      <c r="V250">
        <v>0</v>
      </c>
      <c r="W250" s="14" t="str">
        <f t="shared" si="3"/>
        <v>(2962,null,1,'2026-04-28 00:00:00','003302030020001-33020300203','003302030020001-33020300203','小儿颅内动脉瘤夹闭术（直径小于2.5cm，每多夹除一个加收）',null,null,780,700,595,null,11440,10530,8970,'次',26,1,'normal','main',0),</v>
      </c>
    </row>
    <row r="251" spans="1:23">
      <c r="A251">
        <v>2963</v>
      </c>
      <c r="B251" t="s">
        <v>1634</v>
      </c>
      <c r="C251">
        <v>1</v>
      </c>
      <c r="D251" s="11" t="s">
        <v>1635</v>
      </c>
      <c r="E251" t="s">
        <v>1126</v>
      </c>
      <c r="F251" t="s">
        <v>1126</v>
      </c>
      <c r="G251" t="s">
        <v>1127</v>
      </c>
      <c r="H251" t="s">
        <v>1634</v>
      </c>
      <c r="I251" t="s">
        <v>1634</v>
      </c>
      <c r="J251">
        <v>7630</v>
      </c>
      <c r="K251">
        <v>6870</v>
      </c>
      <c r="L251">
        <v>5840</v>
      </c>
      <c r="M251" t="s">
        <v>1634</v>
      </c>
      <c r="N251" s="12">
        <v>9680</v>
      </c>
      <c r="O251" s="12">
        <v>8910</v>
      </c>
      <c r="P251" s="12">
        <v>7590</v>
      </c>
      <c r="Q251" t="s">
        <v>40</v>
      </c>
      <c r="R251">
        <v>26</v>
      </c>
      <c r="S251">
        <v>1</v>
      </c>
      <c r="T251" t="s">
        <v>1636</v>
      </c>
      <c r="U251" t="s">
        <v>1637</v>
      </c>
      <c r="V251">
        <v>0</v>
      </c>
      <c r="W251" s="14" t="str">
        <f t="shared" si="3"/>
        <v>(2963,null,1,'2026-04-28 00:00:00','003302030010000-330203001','003302030010000-330203001','颅内巨大动脉瘤夹闭切除术',null,null,7630,6870,5840,null,9680,8910,7590,'次',26,1,'normal','main',0),</v>
      </c>
    </row>
    <row r="252" spans="1:23">
      <c r="A252">
        <v>2964</v>
      </c>
      <c r="B252" t="s">
        <v>1634</v>
      </c>
      <c r="C252">
        <v>1</v>
      </c>
      <c r="D252" s="11" t="s">
        <v>1635</v>
      </c>
      <c r="E252" t="s">
        <v>1130</v>
      </c>
      <c r="F252" t="s">
        <v>1130</v>
      </c>
      <c r="G252" t="s">
        <v>1131</v>
      </c>
      <c r="H252" t="s">
        <v>1634</v>
      </c>
      <c r="I252" t="s">
        <v>1634</v>
      </c>
      <c r="J252">
        <v>9920</v>
      </c>
      <c r="K252">
        <v>8930</v>
      </c>
      <c r="L252">
        <v>7590</v>
      </c>
      <c r="M252" t="s">
        <v>1634</v>
      </c>
      <c r="N252" s="12">
        <v>9680</v>
      </c>
      <c r="O252" s="12">
        <v>8910</v>
      </c>
      <c r="P252" s="12">
        <v>7590</v>
      </c>
      <c r="Q252" t="s">
        <v>40</v>
      </c>
      <c r="R252">
        <v>26</v>
      </c>
      <c r="S252">
        <v>1</v>
      </c>
      <c r="T252" t="s">
        <v>1636</v>
      </c>
      <c r="U252" t="s">
        <v>1637</v>
      </c>
      <c r="V252">
        <v>0</v>
      </c>
      <c r="W252" s="14" t="str">
        <f t="shared" si="3"/>
        <v>(2964,null,1,'2026-04-28 00:00:00','003302030010000-33020300102','003302030010000-33020300102','小儿颅内巨大动脉瘤夹闭切除术',null,null,9920,8930,7590,null,9680,8910,7590,'次',26,1,'normal','main',0),</v>
      </c>
    </row>
    <row r="253" spans="1:23">
      <c r="A253">
        <v>2965</v>
      </c>
      <c r="B253" t="s">
        <v>1634</v>
      </c>
      <c r="C253">
        <v>1</v>
      </c>
      <c r="D253" s="11" t="s">
        <v>1635</v>
      </c>
      <c r="E253" t="s">
        <v>1132</v>
      </c>
      <c r="F253" t="s">
        <v>1132</v>
      </c>
      <c r="G253" t="s">
        <v>1133</v>
      </c>
      <c r="H253" t="s">
        <v>1634</v>
      </c>
      <c r="I253" t="s">
        <v>1634</v>
      </c>
      <c r="J253">
        <v>1120</v>
      </c>
      <c r="K253">
        <v>1010</v>
      </c>
      <c r="L253">
        <v>860</v>
      </c>
      <c r="M253" t="s">
        <v>1634</v>
      </c>
      <c r="N253" s="12">
        <v>9680</v>
      </c>
      <c r="O253" s="12">
        <v>8910</v>
      </c>
      <c r="P253" s="12">
        <v>7590</v>
      </c>
      <c r="Q253" t="s">
        <v>40</v>
      </c>
      <c r="R253">
        <v>26</v>
      </c>
      <c r="S253">
        <v>1</v>
      </c>
      <c r="T253" t="s">
        <v>1636</v>
      </c>
      <c r="U253" t="s">
        <v>1637</v>
      </c>
      <c r="V253">
        <v>0</v>
      </c>
      <c r="W253" s="14" t="str">
        <f t="shared" si="3"/>
        <v>(2965,null,1,'2026-04-28 00:00:00','003302030010001-33020300101','003302030010001-33020300101','颅内巨大动脉瘤夹闭切除术（直径大于2.5cm，每多夹除一个加收）',null,null,1120,1010,860,null,9680,8910,7590,'次',26,1,'normal','main',0),</v>
      </c>
    </row>
    <row r="254" spans="1:23">
      <c r="A254">
        <v>2966</v>
      </c>
      <c r="B254" t="s">
        <v>1634</v>
      </c>
      <c r="C254">
        <v>1</v>
      </c>
      <c r="D254" s="11" t="s">
        <v>1635</v>
      </c>
      <c r="E254" t="s">
        <v>1135</v>
      </c>
      <c r="F254" t="s">
        <v>1135</v>
      </c>
      <c r="G254" t="s">
        <v>1136</v>
      </c>
      <c r="H254" t="s">
        <v>1634</v>
      </c>
      <c r="I254" t="s">
        <v>1634</v>
      </c>
      <c r="J254">
        <v>1455</v>
      </c>
      <c r="K254">
        <v>1315</v>
      </c>
      <c r="L254">
        <v>1120</v>
      </c>
      <c r="M254" t="s">
        <v>1634</v>
      </c>
      <c r="N254" s="12">
        <v>9680</v>
      </c>
      <c r="O254" s="12">
        <v>8910</v>
      </c>
      <c r="P254" s="12">
        <v>7590</v>
      </c>
      <c r="Q254" t="s">
        <v>40</v>
      </c>
      <c r="R254">
        <v>26</v>
      </c>
      <c r="S254">
        <v>1</v>
      </c>
      <c r="T254" t="s">
        <v>1636</v>
      </c>
      <c r="U254" t="s">
        <v>1637</v>
      </c>
      <c r="V254">
        <v>0</v>
      </c>
      <c r="W254" s="14" t="str">
        <f t="shared" si="3"/>
        <v>(2966,null,1,'2026-04-28 00:00:00','003302030010001-33020300103','003302030010001-33020300103','小儿颅内巨大动脉瘤夹闭切除术（直径大于2.5cm，每多夹除一个加收）',null,null,1455,1315,1120,null,9680,8910,7590,'次',26,1,'normal','main',0),</v>
      </c>
    </row>
    <row r="255" spans="1:23">
      <c r="A255">
        <v>2967</v>
      </c>
      <c r="B255" t="s">
        <v>1634</v>
      </c>
      <c r="C255">
        <v>1</v>
      </c>
      <c r="D255" s="11" t="s">
        <v>1635</v>
      </c>
      <c r="E255" t="s">
        <v>1147</v>
      </c>
      <c r="F255" t="s">
        <v>1147</v>
      </c>
      <c r="G255" t="s">
        <v>1148</v>
      </c>
      <c r="H255" t="s">
        <v>1634</v>
      </c>
      <c r="I255" t="s">
        <v>1634</v>
      </c>
      <c r="J255">
        <v>5060</v>
      </c>
      <c r="K255">
        <v>4550</v>
      </c>
      <c r="L255">
        <v>3870</v>
      </c>
      <c r="M255" t="s">
        <v>1634</v>
      </c>
      <c r="N255">
        <v>5200</v>
      </c>
      <c r="O255">
        <v>4700</v>
      </c>
      <c r="P255">
        <v>4000</v>
      </c>
      <c r="Q255" t="s">
        <v>40</v>
      </c>
      <c r="R255">
        <v>26</v>
      </c>
      <c r="S255">
        <v>1</v>
      </c>
      <c r="T255" t="s">
        <v>1636</v>
      </c>
      <c r="U255" t="s">
        <v>1637</v>
      </c>
      <c r="V255">
        <v>0</v>
      </c>
      <c r="W255" s="14" t="str">
        <f t="shared" si="3"/>
        <v>(2967,null,1,'2026-04-28 00:00:00','003302030110000-330203011','003302030110000-330203011','颈总动脉大脑中动脉吻合术',null,null,5060,4550,3870,null,5200,4700,4000,'次',26,1,'normal','main',0),</v>
      </c>
    </row>
    <row r="256" spans="1:23">
      <c r="A256">
        <v>2968</v>
      </c>
      <c r="B256" t="s">
        <v>1634</v>
      </c>
      <c r="C256">
        <v>1</v>
      </c>
      <c r="D256" s="11" t="s">
        <v>1635</v>
      </c>
      <c r="E256" t="s">
        <v>1151</v>
      </c>
      <c r="F256" t="s">
        <v>1151</v>
      </c>
      <c r="G256" t="s">
        <v>1152</v>
      </c>
      <c r="H256" t="s">
        <v>1634</v>
      </c>
      <c r="I256" t="s">
        <v>1634</v>
      </c>
      <c r="J256">
        <v>5060</v>
      </c>
      <c r="K256">
        <v>4550</v>
      </c>
      <c r="L256">
        <v>3870</v>
      </c>
      <c r="M256" t="s">
        <v>1634</v>
      </c>
      <c r="N256">
        <v>5200</v>
      </c>
      <c r="O256">
        <v>4700</v>
      </c>
      <c r="P256">
        <v>4000</v>
      </c>
      <c r="Q256" t="s">
        <v>40</v>
      </c>
      <c r="R256">
        <v>26</v>
      </c>
      <c r="S256">
        <v>1</v>
      </c>
      <c r="T256" t="s">
        <v>1636</v>
      </c>
      <c r="U256" t="s">
        <v>1637</v>
      </c>
      <c r="V256">
        <v>0</v>
      </c>
      <c r="W256" s="14" t="str">
        <f t="shared" si="3"/>
        <v>(2968,null,1,'2026-04-28 00:00:00','003302030120000-330203012','003302030120000-330203012','颅外内动脉搭桥术',null,null,5060,4550,3870,null,5200,4700,4000,'次',26,1,'normal','main',0),</v>
      </c>
    </row>
    <row r="257" spans="1:23">
      <c r="A257">
        <v>2969</v>
      </c>
      <c r="B257" t="s">
        <v>1634</v>
      </c>
      <c r="C257">
        <v>1</v>
      </c>
      <c r="D257" s="11" t="s">
        <v>1635</v>
      </c>
      <c r="E257" t="s">
        <v>1155</v>
      </c>
      <c r="F257" t="s">
        <v>1155</v>
      </c>
      <c r="G257" t="s">
        <v>1156</v>
      </c>
      <c r="H257" t="s">
        <v>1634</v>
      </c>
      <c r="I257" t="s">
        <v>1634</v>
      </c>
      <c r="J257">
        <v>6580</v>
      </c>
      <c r="K257">
        <v>5915</v>
      </c>
      <c r="L257">
        <v>5030</v>
      </c>
      <c r="M257" t="s">
        <v>1634</v>
      </c>
      <c r="N257">
        <v>6760</v>
      </c>
      <c r="O257">
        <v>6110</v>
      </c>
      <c r="P257">
        <v>5200</v>
      </c>
      <c r="Q257" t="s">
        <v>40</v>
      </c>
      <c r="R257">
        <v>26</v>
      </c>
      <c r="S257">
        <v>1</v>
      </c>
      <c r="T257" t="s">
        <v>1636</v>
      </c>
      <c r="U257" t="s">
        <v>1637</v>
      </c>
      <c r="V257">
        <v>0</v>
      </c>
      <c r="W257" s="14" t="str">
        <f t="shared" si="3"/>
        <v>(2969,null,1,'2026-04-28 00:00:00','003302030110000-33020301102','003302030110000-33020301102','小儿颈总动脉大脑中动脉吻合术',null,null,6580,5915,5030,null,6760,6110,5200,'次',26,1,'normal','main',0),</v>
      </c>
    </row>
    <row r="258" spans="1:23">
      <c r="A258">
        <v>2970</v>
      </c>
      <c r="B258" t="s">
        <v>1634</v>
      </c>
      <c r="C258">
        <v>1</v>
      </c>
      <c r="D258" s="11" t="s">
        <v>1635</v>
      </c>
      <c r="E258" t="s">
        <v>1157</v>
      </c>
      <c r="F258" t="s">
        <v>1157</v>
      </c>
      <c r="G258" t="s">
        <v>1158</v>
      </c>
      <c r="H258" t="s">
        <v>1634</v>
      </c>
      <c r="I258" t="s">
        <v>1634</v>
      </c>
      <c r="J258">
        <v>6580</v>
      </c>
      <c r="K258">
        <v>5915</v>
      </c>
      <c r="L258">
        <v>5030</v>
      </c>
      <c r="M258" t="s">
        <v>1634</v>
      </c>
      <c r="N258">
        <v>6760</v>
      </c>
      <c r="O258">
        <v>6110</v>
      </c>
      <c r="P258">
        <v>5200</v>
      </c>
      <c r="Q258" t="s">
        <v>40</v>
      </c>
      <c r="R258">
        <v>26</v>
      </c>
      <c r="S258">
        <v>1</v>
      </c>
      <c r="T258" t="s">
        <v>1636</v>
      </c>
      <c r="U258" t="s">
        <v>1637</v>
      </c>
      <c r="V258">
        <v>0</v>
      </c>
      <c r="W258" s="14" t="str">
        <f t="shared" si="3"/>
        <v>(2970,null,1,'2026-04-28 00:00:00','003302030120000-33020301201','003302030120000-33020301201','小儿颅外内动脉搭桥术',null,null,6580,5915,5030,null,6760,6110,5200,'次',26,1,'normal','main',0),</v>
      </c>
    </row>
    <row r="259" spans="1:23">
      <c r="A259">
        <v>2971</v>
      </c>
      <c r="B259" t="s">
        <v>1634</v>
      </c>
      <c r="C259">
        <v>1</v>
      </c>
      <c r="D259" s="11" t="s">
        <v>1635</v>
      </c>
      <c r="E259" t="s">
        <v>1162</v>
      </c>
      <c r="F259" t="s">
        <v>1162</v>
      </c>
      <c r="G259" t="s">
        <v>1163</v>
      </c>
      <c r="H259" t="s">
        <v>1634</v>
      </c>
      <c r="I259" t="s">
        <v>1634</v>
      </c>
      <c r="J259">
        <v>5490</v>
      </c>
      <c r="K259">
        <v>4935</v>
      </c>
      <c r="L259">
        <v>4195</v>
      </c>
      <c r="M259" t="s">
        <v>1634</v>
      </c>
      <c r="N259" s="12">
        <v>5635</v>
      </c>
      <c r="O259" s="12">
        <v>5090</v>
      </c>
      <c r="P259" s="12">
        <v>4335</v>
      </c>
      <c r="Q259" t="s">
        <v>40</v>
      </c>
      <c r="R259">
        <v>26</v>
      </c>
      <c r="S259">
        <v>1</v>
      </c>
      <c r="T259" t="s">
        <v>1636</v>
      </c>
      <c r="U259" t="s">
        <v>1637</v>
      </c>
      <c r="V259">
        <v>0</v>
      </c>
      <c r="W259" s="14" t="str">
        <f t="shared" ref="W259:W322" si="4">"("&amp;A259&amp;","&amp;B259&amp;","&amp;C259&amp;",'"&amp;D259&amp;"','"&amp;E259&amp;"','"&amp;F259&amp;"','"&amp;G259&amp;"',"&amp;H259&amp;","&amp;I259&amp;","&amp;J259&amp;","&amp;K259&amp;","&amp;L259&amp;","&amp;M259&amp;","&amp;N259&amp;","&amp;O259&amp;","&amp;P259&amp;",'"&amp;Q259&amp;"',"&amp;R259&amp;","&amp;S259&amp;",'"&amp;T259&amp;"','"&amp;U259&amp;"',"&amp;V259&amp;"),"</f>
        <v>(2971,null,1,'2026-04-28 00:00:00','003302030110001-33020301101','003302030110001-33020301101','颈总动脉大脑中动脉吻合术（取大隐静脉）',null,null,5490,4935,4195,null,5635,5090,4335,'次',26,1,'normal','main',0),</v>
      </c>
    </row>
    <row r="260" spans="1:23">
      <c r="A260">
        <v>2972</v>
      </c>
      <c r="B260" t="s">
        <v>1634</v>
      </c>
      <c r="C260">
        <v>1</v>
      </c>
      <c r="D260" s="11" t="s">
        <v>1635</v>
      </c>
      <c r="E260" t="s">
        <v>1165</v>
      </c>
      <c r="F260" t="s">
        <v>1165</v>
      </c>
      <c r="G260" t="s">
        <v>1166</v>
      </c>
      <c r="H260" t="s">
        <v>1634</v>
      </c>
      <c r="I260" t="s">
        <v>1634</v>
      </c>
      <c r="J260">
        <v>7135</v>
      </c>
      <c r="K260">
        <v>6415</v>
      </c>
      <c r="L260">
        <v>5455</v>
      </c>
      <c r="M260" t="s">
        <v>1634</v>
      </c>
      <c r="N260" s="12">
        <v>5635</v>
      </c>
      <c r="O260" s="12">
        <v>5090</v>
      </c>
      <c r="P260" s="12">
        <v>4335</v>
      </c>
      <c r="Q260" t="s">
        <v>40</v>
      </c>
      <c r="R260">
        <v>26</v>
      </c>
      <c r="S260">
        <v>1</v>
      </c>
      <c r="T260" t="s">
        <v>1636</v>
      </c>
      <c r="U260" t="s">
        <v>1637</v>
      </c>
      <c r="V260">
        <v>0</v>
      </c>
      <c r="W260" s="14" t="str">
        <f t="shared" si="4"/>
        <v>(2972,null,1,'2026-04-28 00:00:00','003302030110001-33020301103','003302030110001-33020301103','小儿颈总动脉大脑中动脉吻合术（取大隐静脉）',null,null,7135,6415,5455,null,5635,5090,4335,'次',26,1,'normal','main',0),</v>
      </c>
    </row>
    <row r="261" spans="1:23">
      <c r="A261">
        <v>2973</v>
      </c>
      <c r="B261" t="s">
        <v>1634</v>
      </c>
      <c r="C261">
        <v>1</v>
      </c>
      <c r="D261" s="11" t="s">
        <v>1635</v>
      </c>
      <c r="E261" t="s">
        <v>1172</v>
      </c>
      <c r="F261" t="s">
        <v>1172</v>
      </c>
      <c r="G261" t="s">
        <v>1173</v>
      </c>
      <c r="H261" t="s">
        <v>1634</v>
      </c>
      <c r="I261" t="s">
        <v>1634</v>
      </c>
      <c r="J261">
        <v>5060</v>
      </c>
      <c r="K261">
        <v>4550</v>
      </c>
      <c r="L261">
        <v>3870</v>
      </c>
      <c r="M261" t="s">
        <v>1634</v>
      </c>
      <c r="N261">
        <v>5200</v>
      </c>
      <c r="O261">
        <v>4700</v>
      </c>
      <c r="P261">
        <v>4000</v>
      </c>
      <c r="Q261" t="s">
        <v>40</v>
      </c>
      <c r="R261">
        <v>26</v>
      </c>
      <c r="S261">
        <v>1</v>
      </c>
      <c r="T261" t="s">
        <v>1636</v>
      </c>
      <c r="U261" t="s">
        <v>1637</v>
      </c>
      <c r="V261">
        <v>0</v>
      </c>
      <c r="W261" s="14" t="str">
        <f t="shared" si="4"/>
        <v>(2973,null,1,'2026-04-28 00:00:00','003302030150000-330203015','003302030150000-330203015','颅内血管重建术',null,null,5060,4550,3870,null,5200,4700,4000,'次',26,1,'normal','main',0),</v>
      </c>
    </row>
    <row r="262" spans="1:23">
      <c r="A262">
        <v>2974</v>
      </c>
      <c r="B262" t="s">
        <v>1634</v>
      </c>
      <c r="C262">
        <v>1</v>
      </c>
      <c r="D262" s="11" t="s">
        <v>1635</v>
      </c>
      <c r="E262" t="s">
        <v>1174</v>
      </c>
      <c r="F262" t="s">
        <v>1174</v>
      </c>
      <c r="G262" t="s">
        <v>1175</v>
      </c>
      <c r="H262" t="s">
        <v>1634</v>
      </c>
      <c r="I262" t="s">
        <v>1634</v>
      </c>
      <c r="J262">
        <v>5160</v>
      </c>
      <c r="K262">
        <v>4640</v>
      </c>
      <c r="L262">
        <v>3940</v>
      </c>
      <c r="M262" t="s">
        <v>1634</v>
      </c>
      <c r="N262">
        <v>5200</v>
      </c>
      <c r="O262">
        <v>4700</v>
      </c>
      <c r="P262">
        <v>4000</v>
      </c>
      <c r="Q262" t="s">
        <v>40</v>
      </c>
      <c r="R262">
        <v>26</v>
      </c>
      <c r="S262">
        <v>1</v>
      </c>
      <c r="T262" t="s">
        <v>1636</v>
      </c>
      <c r="U262" t="s">
        <v>1637</v>
      </c>
      <c r="V262">
        <v>0</v>
      </c>
      <c r="W262" s="14" t="str">
        <f t="shared" si="4"/>
        <v>(2974,null,1,'2026-04-28 00:00:00','003302010500000-330201050','003302010500000-330201050','海绵窦瘘直接手术',null,null,5160,4640,3940,null,5200,4700,4000,'次',26,1,'normal','main',0),</v>
      </c>
    </row>
    <row r="263" spans="1:23">
      <c r="A263">
        <v>2975</v>
      </c>
      <c r="B263" t="s">
        <v>1634</v>
      </c>
      <c r="C263">
        <v>1</v>
      </c>
      <c r="D263" s="11" t="s">
        <v>1635</v>
      </c>
      <c r="E263" t="s">
        <v>1177</v>
      </c>
      <c r="F263" t="s">
        <v>1177</v>
      </c>
      <c r="G263" t="s">
        <v>1178</v>
      </c>
      <c r="H263" t="s">
        <v>1634</v>
      </c>
      <c r="I263" t="s">
        <v>1634</v>
      </c>
      <c r="J263">
        <v>3380</v>
      </c>
      <c r="K263">
        <v>3040</v>
      </c>
      <c r="L263">
        <v>2580</v>
      </c>
      <c r="M263" t="s">
        <v>1634</v>
      </c>
      <c r="N263">
        <v>5200</v>
      </c>
      <c r="O263">
        <v>4700</v>
      </c>
      <c r="P263">
        <v>4000</v>
      </c>
      <c r="Q263" t="s">
        <v>40</v>
      </c>
      <c r="R263">
        <v>26</v>
      </c>
      <c r="S263">
        <v>1</v>
      </c>
      <c r="T263" t="s">
        <v>1636</v>
      </c>
      <c r="U263" t="s">
        <v>1637</v>
      </c>
      <c r="V263">
        <v>0</v>
      </c>
      <c r="W263" s="14" t="str">
        <f t="shared" si="4"/>
        <v>(2975,null,1,'2026-04-28 00:00:00','003302010580000-330201058','003302010580000-330201058','大网膜颅内移植术',null,null,3380,3040,2580,null,5200,4700,4000,'次',26,1,'normal','main',0),</v>
      </c>
    </row>
    <row r="264" spans="1:23">
      <c r="A264">
        <v>2976</v>
      </c>
      <c r="B264" t="s">
        <v>1634</v>
      </c>
      <c r="C264">
        <v>1</v>
      </c>
      <c r="D264" s="11" t="s">
        <v>1635</v>
      </c>
      <c r="E264" t="s">
        <v>1180</v>
      </c>
      <c r="F264" t="s">
        <v>1180</v>
      </c>
      <c r="G264" t="s">
        <v>1181</v>
      </c>
      <c r="H264" t="s">
        <v>1634</v>
      </c>
      <c r="I264" t="s">
        <v>1634</v>
      </c>
      <c r="J264">
        <v>2625</v>
      </c>
      <c r="K264">
        <v>2520</v>
      </c>
      <c r="L264">
        <v>2142</v>
      </c>
      <c r="M264" t="s">
        <v>1634</v>
      </c>
      <c r="N264">
        <v>5200</v>
      </c>
      <c r="O264">
        <v>4700</v>
      </c>
      <c r="P264">
        <v>4000</v>
      </c>
      <c r="Q264" t="s">
        <v>40</v>
      </c>
      <c r="R264">
        <v>26</v>
      </c>
      <c r="S264">
        <v>1</v>
      </c>
      <c r="T264" t="s">
        <v>1636</v>
      </c>
      <c r="U264" t="s">
        <v>1637</v>
      </c>
      <c r="V264">
        <v>0</v>
      </c>
      <c r="W264" s="14" t="str">
        <f t="shared" si="4"/>
        <v>(2976,null,1,'2026-04-28 00:00:00','003302010060001-33020100601','003302010060001-33020100601','开放性颅脑损伤清除术-静脉窦破裂手术',null,null,2625,2520,2142,null,5200,4700,4000,'次',26,1,'normal','main',0),</v>
      </c>
    </row>
    <row r="265" spans="1:23">
      <c r="A265">
        <v>2977</v>
      </c>
      <c r="B265" t="s">
        <v>1634</v>
      </c>
      <c r="C265">
        <v>1</v>
      </c>
      <c r="D265" s="11" t="s">
        <v>1635</v>
      </c>
      <c r="E265" t="s">
        <v>1184</v>
      </c>
      <c r="F265" t="s">
        <v>1184</v>
      </c>
      <c r="G265" t="s">
        <v>1185</v>
      </c>
      <c r="H265" t="s">
        <v>1634</v>
      </c>
      <c r="I265" t="s">
        <v>1634</v>
      </c>
      <c r="J265">
        <v>6580</v>
      </c>
      <c r="K265">
        <v>5915</v>
      </c>
      <c r="L265">
        <v>5030</v>
      </c>
      <c r="M265" t="s">
        <v>1634</v>
      </c>
      <c r="N265">
        <v>6760</v>
      </c>
      <c r="O265">
        <v>6110</v>
      </c>
      <c r="P265">
        <v>5200</v>
      </c>
      <c r="Q265" t="s">
        <v>40</v>
      </c>
      <c r="R265">
        <v>26</v>
      </c>
      <c r="S265">
        <v>1</v>
      </c>
      <c r="T265" t="s">
        <v>1636</v>
      </c>
      <c r="U265" t="s">
        <v>1637</v>
      </c>
      <c r="V265">
        <v>0</v>
      </c>
      <c r="W265" s="14" t="str">
        <f t="shared" si="4"/>
        <v>(2977,null,1,'2026-04-28 00:00:00','003302030150000-33020301501','003302030150000-33020301501','小儿颅内血管重建术',null,null,6580,5915,5030,null,6760,6110,5200,'次',26,1,'normal','main',0),</v>
      </c>
    </row>
    <row r="266" spans="1:23">
      <c r="A266">
        <v>2978</v>
      </c>
      <c r="B266" t="s">
        <v>1634</v>
      </c>
      <c r="C266">
        <v>1</v>
      </c>
      <c r="D266" s="11" t="s">
        <v>1635</v>
      </c>
      <c r="E266" t="s">
        <v>1186</v>
      </c>
      <c r="F266" t="s">
        <v>1186</v>
      </c>
      <c r="G266" t="s">
        <v>1187</v>
      </c>
      <c r="H266" t="s">
        <v>1634</v>
      </c>
      <c r="I266" t="s">
        <v>1634</v>
      </c>
      <c r="J266">
        <v>6710</v>
      </c>
      <c r="K266">
        <v>6030</v>
      </c>
      <c r="L266">
        <v>5125</v>
      </c>
      <c r="M266" t="s">
        <v>1634</v>
      </c>
      <c r="N266">
        <v>6760</v>
      </c>
      <c r="O266">
        <v>6110</v>
      </c>
      <c r="P266">
        <v>5200</v>
      </c>
      <c r="Q266" t="s">
        <v>40</v>
      </c>
      <c r="R266">
        <v>26</v>
      </c>
      <c r="S266">
        <v>1</v>
      </c>
      <c r="T266" t="s">
        <v>1636</v>
      </c>
      <c r="U266" t="s">
        <v>1637</v>
      </c>
      <c r="V266">
        <v>0</v>
      </c>
      <c r="W266" s="14" t="str">
        <f t="shared" si="4"/>
        <v>(2978,null,1,'2026-04-28 00:00:00','003302010500000-33020105001','003302010500000-33020105001','小儿海绵窦瘘直接手术',null,null,6710,6030,5125,null,6760,6110,5200,'次',26,1,'normal','main',0),</v>
      </c>
    </row>
    <row r="267" spans="1:23">
      <c r="A267">
        <v>2979</v>
      </c>
      <c r="B267" t="s">
        <v>1634</v>
      </c>
      <c r="C267">
        <v>1</v>
      </c>
      <c r="D267" s="11" t="s">
        <v>1635</v>
      </c>
      <c r="E267" t="s">
        <v>1188</v>
      </c>
      <c r="F267" t="s">
        <v>1188</v>
      </c>
      <c r="G267" t="s">
        <v>1189</v>
      </c>
      <c r="H267" t="s">
        <v>1634</v>
      </c>
      <c r="I267" t="s">
        <v>1634</v>
      </c>
      <c r="J267">
        <v>4395</v>
      </c>
      <c r="K267">
        <v>3950</v>
      </c>
      <c r="L267">
        <v>3360</v>
      </c>
      <c r="M267" t="s">
        <v>1634</v>
      </c>
      <c r="N267">
        <v>6760</v>
      </c>
      <c r="O267">
        <v>6110</v>
      </c>
      <c r="P267">
        <v>5200</v>
      </c>
      <c r="Q267" t="s">
        <v>40</v>
      </c>
      <c r="R267">
        <v>26</v>
      </c>
      <c r="S267">
        <v>1</v>
      </c>
      <c r="T267" t="s">
        <v>1636</v>
      </c>
      <c r="U267" t="s">
        <v>1637</v>
      </c>
      <c r="V267">
        <v>0</v>
      </c>
      <c r="W267" s="14" t="str">
        <f t="shared" si="4"/>
        <v>(2979,null,1,'2026-04-28 00:00:00','003302010580000-33020105801','003302010580000-33020105801','小儿大网膜颅内移植术',null,null,4395,3950,3360,null,6760,6110,5200,'次',26,1,'normal','main',0),</v>
      </c>
    </row>
    <row r="268" spans="1:23">
      <c r="A268">
        <v>2980</v>
      </c>
      <c r="B268" t="s">
        <v>1634</v>
      </c>
      <c r="C268">
        <v>1</v>
      </c>
      <c r="D268" s="11" t="s">
        <v>1635</v>
      </c>
      <c r="E268" t="s">
        <v>1190</v>
      </c>
      <c r="F268" t="s">
        <v>1190</v>
      </c>
      <c r="G268" t="s">
        <v>1191</v>
      </c>
      <c r="H268" t="s">
        <v>1634</v>
      </c>
      <c r="I268" t="s">
        <v>1634</v>
      </c>
      <c r="J268">
        <v>3415</v>
      </c>
      <c r="K268">
        <v>3275</v>
      </c>
      <c r="L268">
        <v>2785</v>
      </c>
      <c r="M268" t="s">
        <v>1634</v>
      </c>
      <c r="N268">
        <v>6760</v>
      </c>
      <c r="O268">
        <v>6110</v>
      </c>
      <c r="P268">
        <v>5200</v>
      </c>
      <c r="Q268" t="s">
        <v>40</v>
      </c>
      <c r="R268">
        <v>26</v>
      </c>
      <c r="S268">
        <v>1</v>
      </c>
      <c r="T268" t="s">
        <v>1636</v>
      </c>
      <c r="U268" t="s">
        <v>1637</v>
      </c>
      <c r="V268">
        <v>0</v>
      </c>
      <c r="W268" s="14" t="str">
        <f t="shared" si="4"/>
        <v>(2980,null,1,'2026-04-28 00:00:00','003302010060001-33020100603','003302010060001-33020100603','小儿开放性颅脑损伤清除术-静脉窦破裂手术',null,null,3415,3275,2785,null,6760,6110,5200,'次',26,1,'normal','main',0),</v>
      </c>
    </row>
    <row r="269" spans="1:23">
      <c r="A269">
        <v>2981</v>
      </c>
      <c r="B269" t="s">
        <v>1634</v>
      </c>
      <c r="C269">
        <v>1</v>
      </c>
      <c r="D269" s="11" t="s">
        <v>1635</v>
      </c>
      <c r="E269" t="s">
        <v>1198</v>
      </c>
      <c r="F269" t="s">
        <v>1198</v>
      </c>
      <c r="G269" t="s">
        <v>1199</v>
      </c>
      <c r="H269" t="s">
        <v>1634</v>
      </c>
      <c r="I269" t="s">
        <v>1634</v>
      </c>
      <c r="J269">
        <v>2000</v>
      </c>
      <c r="K269">
        <v>1920</v>
      </c>
      <c r="L269">
        <v>1632</v>
      </c>
      <c r="M269" t="s">
        <v>1634</v>
      </c>
      <c r="N269">
        <v>2050</v>
      </c>
      <c r="O269">
        <v>1940</v>
      </c>
      <c r="P269">
        <v>1650</v>
      </c>
      <c r="Q269" t="s">
        <v>40</v>
      </c>
      <c r="R269">
        <v>26</v>
      </c>
      <c r="S269">
        <v>1</v>
      </c>
      <c r="T269" t="s">
        <v>1636</v>
      </c>
      <c r="U269" t="s">
        <v>1637</v>
      </c>
      <c r="V269">
        <v>0</v>
      </c>
      <c r="W269" s="14" t="str">
        <f t="shared" si="4"/>
        <v>(2981,null,1,'2026-04-28 00:00:00','003302010190000-330201019','003302010190000-330201019','侧脑室分流术',null,null,2000,1920,1632,null,2050,1940,1650,'次',26,1,'normal','main',0),</v>
      </c>
    </row>
    <row r="270" spans="1:23">
      <c r="A270">
        <v>2982</v>
      </c>
      <c r="B270" t="s">
        <v>1634</v>
      </c>
      <c r="C270">
        <v>1</v>
      </c>
      <c r="D270" s="11" t="s">
        <v>1635</v>
      </c>
      <c r="E270" t="s">
        <v>1202</v>
      </c>
      <c r="F270" t="s">
        <v>1202</v>
      </c>
      <c r="G270" t="s">
        <v>1203</v>
      </c>
      <c r="H270" t="s">
        <v>1634</v>
      </c>
      <c r="I270" t="s">
        <v>1634</v>
      </c>
      <c r="J270">
        <v>2375</v>
      </c>
      <c r="K270">
        <v>2280</v>
      </c>
      <c r="L270">
        <v>1938</v>
      </c>
      <c r="M270" t="s">
        <v>1634</v>
      </c>
      <c r="N270">
        <v>2050</v>
      </c>
      <c r="O270">
        <v>1940</v>
      </c>
      <c r="P270">
        <v>1650</v>
      </c>
      <c r="Q270" t="s">
        <v>40</v>
      </c>
      <c r="R270">
        <v>26</v>
      </c>
      <c r="S270">
        <v>1</v>
      </c>
      <c r="T270" t="s">
        <v>1636</v>
      </c>
      <c r="U270" t="s">
        <v>1637</v>
      </c>
      <c r="V270">
        <v>0</v>
      </c>
      <c r="W270" s="14" t="str">
        <f t="shared" si="4"/>
        <v>(2982,null,1,'2026-04-28 00:00:00','003302010190000-33020101902','003302010190000-33020101902','经颅内镜侧脑室分流术',null,null,2375,2280,1938,null,2050,1940,1650,'次',26,1,'normal','main',0),</v>
      </c>
    </row>
    <row r="271" spans="1:23">
      <c r="A271">
        <v>2983</v>
      </c>
      <c r="B271" t="s">
        <v>1634</v>
      </c>
      <c r="C271">
        <v>1</v>
      </c>
      <c r="D271" s="11" t="s">
        <v>1635</v>
      </c>
      <c r="E271" t="s">
        <v>1204</v>
      </c>
      <c r="F271" t="s">
        <v>1204</v>
      </c>
      <c r="G271" t="s">
        <v>1205</v>
      </c>
      <c r="H271" t="s">
        <v>1634</v>
      </c>
      <c r="I271" t="s">
        <v>1634</v>
      </c>
      <c r="J271">
        <v>1500</v>
      </c>
      <c r="K271">
        <v>1440</v>
      </c>
      <c r="L271">
        <v>1224</v>
      </c>
      <c r="M271" t="s">
        <v>1634</v>
      </c>
      <c r="N271">
        <v>2050</v>
      </c>
      <c r="O271">
        <v>1940</v>
      </c>
      <c r="P271">
        <v>1650</v>
      </c>
      <c r="Q271" t="s">
        <v>40</v>
      </c>
      <c r="R271">
        <v>26</v>
      </c>
      <c r="S271">
        <v>1</v>
      </c>
      <c r="T271" t="s">
        <v>1636</v>
      </c>
      <c r="U271" t="s">
        <v>1637</v>
      </c>
      <c r="V271">
        <v>0</v>
      </c>
      <c r="W271" s="14" t="str">
        <f t="shared" si="4"/>
        <v>(2983,null,1,'2026-04-28 00:00:00','003302040120000-330204012','003302040120000-330204012','脊髓蛛网膜下腔腹腔分流术',null,null,1500,1440,1224,null,2050,1940,1650,'次',26,1,'normal','main',0),</v>
      </c>
    </row>
    <row r="272" spans="1:23">
      <c r="A272">
        <v>2984</v>
      </c>
      <c r="B272" t="s">
        <v>1634</v>
      </c>
      <c r="C272">
        <v>1</v>
      </c>
      <c r="D272" s="11" t="s">
        <v>1635</v>
      </c>
      <c r="E272" t="s">
        <v>1206</v>
      </c>
      <c r="F272" t="s">
        <v>1206</v>
      </c>
      <c r="G272" t="s">
        <v>1207</v>
      </c>
      <c r="H272" t="s">
        <v>1634</v>
      </c>
      <c r="I272" t="s">
        <v>1634</v>
      </c>
      <c r="J272">
        <v>1875</v>
      </c>
      <c r="K272">
        <v>1800</v>
      </c>
      <c r="L272">
        <v>1530</v>
      </c>
      <c r="M272" t="s">
        <v>1634</v>
      </c>
      <c r="N272">
        <v>2050</v>
      </c>
      <c r="O272">
        <v>1940</v>
      </c>
      <c r="P272">
        <v>1650</v>
      </c>
      <c r="Q272" t="s">
        <v>40</v>
      </c>
      <c r="R272">
        <v>26</v>
      </c>
      <c r="S272">
        <v>1</v>
      </c>
      <c r="T272" t="s">
        <v>1636</v>
      </c>
      <c r="U272" t="s">
        <v>1637</v>
      </c>
      <c r="V272">
        <v>0</v>
      </c>
      <c r="W272" s="14" t="str">
        <f t="shared" si="4"/>
        <v>(2984,null,1,'2026-04-28 00:00:00','003302040120000-33020401202','003302040120000-33020401202','经颅内镜脊髓蛛网膜下腔腹腔分流术',null,null,1875,1800,1530,null,2050,1940,1650,'次',26,1,'normal','main',0),</v>
      </c>
    </row>
    <row r="273" spans="1:23">
      <c r="A273">
        <v>2985</v>
      </c>
      <c r="B273" t="s">
        <v>1634</v>
      </c>
      <c r="C273">
        <v>1</v>
      </c>
      <c r="D273" s="11" t="s">
        <v>1635</v>
      </c>
      <c r="E273" t="s">
        <v>1208</v>
      </c>
      <c r="F273" t="s">
        <v>1208</v>
      </c>
      <c r="G273" t="s">
        <v>1209</v>
      </c>
      <c r="H273" t="s">
        <v>1634</v>
      </c>
      <c r="I273" t="s">
        <v>1634</v>
      </c>
      <c r="J273">
        <v>2030</v>
      </c>
      <c r="K273">
        <v>1830</v>
      </c>
      <c r="L273">
        <v>1560</v>
      </c>
      <c r="M273" t="s">
        <v>1634</v>
      </c>
      <c r="N273">
        <v>2050</v>
      </c>
      <c r="O273">
        <v>1940</v>
      </c>
      <c r="P273">
        <v>1650</v>
      </c>
      <c r="Q273" t="s">
        <v>40</v>
      </c>
      <c r="R273">
        <v>26</v>
      </c>
      <c r="S273">
        <v>1</v>
      </c>
      <c r="T273" t="s">
        <v>1636</v>
      </c>
      <c r="U273" t="s">
        <v>1637</v>
      </c>
      <c r="V273">
        <v>0</v>
      </c>
      <c r="W273" s="14" t="str">
        <f t="shared" si="4"/>
        <v>(2985,null,1,'2026-04-28 00:00:00','003302040130000-330204013','003302040130000-330204013','脊髓蛛网膜下腔输尿管分流术',null,null,2030,1830,1560,null,2050,1940,1650,'次',26,1,'normal','main',0),</v>
      </c>
    </row>
    <row r="274" spans="1:23">
      <c r="A274">
        <v>2986</v>
      </c>
      <c r="B274" t="s">
        <v>1634</v>
      </c>
      <c r="C274">
        <v>1</v>
      </c>
      <c r="D274" s="11" t="s">
        <v>1635</v>
      </c>
      <c r="E274" t="s">
        <v>1210</v>
      </c>
      <c r="F274" t="s">
        <v>1210</v>
      </c>
      <c r="G274" t="s">
        <v>1211</v>
      </c>
      <c r="H274" t="s">
        <v>1634</v>
      </c>
      <c r="I274" t="s">
        <v>1634</v>
      </c>
      <c r="J274">
        <v>2405</v>
      </c>
      <c r="K274">
        <v>2190</v>
      </c>
      <c r="L274">
        <v>1866</v>
      </c>
      <c r="M274" t="s">
        <v>1634</v>
      </c>
      <c r="N274">
        <v>2050</v>
      </c>
      <c r="O274">
        <v>1940</v>
      </c>
      <c r="P274">
        <v>1650</v>
      </c>
      <c r="Q274" t="s">
        <v>40</v>
      </c>
      <c r="R274">
        <v>26</v>
      </c>
      <c r="S274">
        <v>1</v>
      </c>
      <c r="T274" t="s">
        <v>1636</v>
      </c>
      <c r="U274" t="s">
        <v>1637</v>
      </c>
      <c r="V274">
        <v>0</v>
      </c>
      <c r="W274" s="14" t="str">
        <f t="shared" si="4"/>
        <v>(2986,null,1,'2026-04-28 00:00:00','003302040130000-33020401302','003302040130000-33020401302','经颅内镜脊髓蛛网膜下腔输尿管分流术',null,null,2405,2190,1866,null,2050,1940,1650,'次',26,1,'normal','main',0),</v>
      </c>
    </row>
    <row r="275" spans="1:23">
      <c r="A275">
        <v>2987</v>
      </c>
      <c r="B275" t="s">
        <v>1634</v>
      </c>
      <c r="C275">
        <v>1</v>
      </c>
      <c r="D275" s="11" t="s">
        <v>1635</v>
      </c>
      <c r="E275" t="s">
        <v>1212</v>
      </c>
      <c r="F275" t="s">
        <v>1212</v>
      </c>
      <c r="G275" t="s">
        <v>1213</v>
      </c>
      <c r="H275" t="s">
        <v>1634</v>
      </c>
      <c r="I275" t="s">
        <v>1634</v>
      </c>
      <c r="J275">
        <v>180</v>
      </c>
      <c r="K275">
        <v>165</v>
      </c>
      <c r="L275">
        <v>140</v>
      </c>
      <c r="M275" t="s">
        <v>1634</v>
      </c>
      <c r="N275">
        <v>2050</v>
      </c>
      <c r="O275">
        <v>1940</v>
      </c>
      <c r="P275">
        <v>1650</v>
      </c>
      <c r="Q275" t="s">
        <v>40</v>
      </c>
      <c r="R275">
        <v>26</v>
      </c>
      <c r="S275">
        <v>1</v>
      </c>
      <c r="T275" t="s">
        <v>1636</v>
      </c>
      <c r="U275" t="s">
        <v>1637</v>
      </c>
      <c r="V275">
        <v>0</v>
      </c>
      <c r="W275" s="14" t="str">
        <f t="shared" si="4"/>
        <v>(2987,null,1,'2026-04-28 00:00:00','353302040360000-31010001604','353302040360000-31010001604','腰-蛛网膜下腔分流术',null,null,180,165,140,null,2050,1940,1650,'次',26,1,'normal','main',0),</v>
      </c>
    </row>
    <row r="276" spans="1:23">
      <c r="A276">
        <v>2988</v>
      </c>
      <c r="B276" t="s">
        <v>1634</v>
      </c>
      <c r="C276">
        <v>1</v>
      </c>
      <c r="D276" s="11" t="s">
        <v>1635</v>
      </c>
      <c r="E276" t="s">
        <v>1216</v>
      </c>
      <c r="F276" t="s">
        <v>1216</v>
      </c>
      <c r="G276" t="s">
        <v>1217</v>
      </c>
      <c r="H276" t="s">
        <v>1634</v>
      </c>
      <c r="I276" t="s">
        <v>1634</v>
      </c>
      <c r="J276">
        <v>2600</v>
      </c>
      <c r="K276">
        <v>2495</v>
      </c>
      <c r="L276">
        <v>2120</v>
      </c>
      <c r="M276" t="s">
        <v>1634</v>
      </c>
      <c r="N276">
        <v>2665</v>
      </c>
      <c r="O276">
        <v>2520</v>
      </c>
      <c r="P276">
        <v>2145</v>
      </c>
      <c r="Q276" t="s">
        <v>40</v>
      </c>
      <c r="R276">
        <v>26</v>
      </c>
      <c r="S276">
        <v>1</v>
      </c>
      <c r="T276" t="s">
        <v>1636</v>
      </c>
      <c r="U276" t="s">
        <v>1637</v>
      </c>
      <c r="V276">
        <v>0</v>
      </c>
      <c r="W276" s="14" t="str">
        <f t="shared" si="4"/>
        <v>(2988,null,1,'2026-04-28 00:00:00','003302010190000-33020101901','003302010190000-33020101901','小儿侧脑室分流术',null,null,2600,2495,2120,null,2665,2520,2145,'次',26,1,'normal','main',0),</v>
      </c>
    </row>
    <row r="277" spans="1:23">
      <c r="A277">
        <v>2989</v>
      </c>
      <c r="B277" t="s">
        <v>1634</v>
      </c>
      <c r="C277">
        <v>1</v>
      </c>
      <c r="D277" s="11" t="s">
        <v>1635</v>
      </c>
      <c r="E277" t="s">
        <v>1218</v>
      </c>
      <c r="F277" t="s">
        <v>1218</v>
      </c>
      <c r="G277" t="s">
        <v>1219</v>
      </c>
      <c r="H277" t="s">
        <v>1634</v>
      </c>
      <c r="I277" t="s">
        <v>1634</v>
      </c>
      <c r="J277">
        <v>2975</v>
      </c>
      <c r="K277">
        <v>2855</v>
      </c>
      <c r="L277">
        <v>2425</v>
      </c>
      <c r="M277" t="s">
        <v>1634</v>
      </c>
      <c r="N277">
        <v>2665</v>
      </c>
      <c r="O277">
        <v>2520</v>
      </c>
      <c r="P277">
        <v>2145</v>
      </c>
      <c r="Q277" t="s">
        <v>40</v>
      </c>
      <c r="R277">
        <v>26</v>
      </c>
      <c r="S277">
        <v>1</v>
      </c>
      <c r="T277" t="s">
        <v>1636</v>
      </c>
      <c r="U277" t="s">
        <v>1637</v>
      </c>
      <c r="V277">
        <v>0</v>
      </c>
      <c r="W277" s="14" t="str">
        <f t="shared" si="4"/>
        <v>(2989,null,1,'2026-04-28 00:00:00','003302010190000-33020101903','003302010190000-33020101903','小儿经颅内镜侧脑室分流术',null,null,2975,2855,2425,null,2665,2520,2145,'次',26,1,'normal','main',0),</v>
      </c>
    </row>
    <row r="278" spans="1:23">
      <c r="A278">
        <v>2990</v>
      </c>
      <c r="B278" t="s">
        <v>1634</v>
      </c>
      <c r="C278">
        <v>1</v>
      </c>
      <c r="D278" s="11" t="s">
        <v>1635</v>
      </c>
      <c r="E278" t="s">
        <v>1220</v>
      </c>
      <c r="F278" t="s">
        <v>1220</v>
      </c>
      <c r="G278" t="s">
        <v>1221</v>
      </c>
      <c r="H278" t="s">
        <v>1634</v>
      </c>
      <c r="I278" t="s">
        <v>1634</v>
      </c>
      <c r="J278">
        <v>1950</v>
      </c>
      <c r="K278">
        <v>1870</v>
      </c>
      <c r="L278">
        <v>1590</v>
      </c>
      <c r="M278" t="s">
        <v>1634</v>
      </c>
      <c r="N278">
        <v>2665</v>
      </c>
      <c r="O278">
        <v>2520</v>
      </c>
      <c r="P278">
        <v>2145</v>
      </c>
      <c r="Q278" t="s">
        <v>40</v>
      </c>
      <c r="R278">
        <v>26</v>
      </c>
      <c r="S278">
        <v>1</v>
      </c>
      <c r="T278" t="s">
        <v>1636</v>
      </c>
      <c r="U278" t="s">
        <v>1637</v>
      </c>
      <c r="V278">
        <v>0</v>
      </c>
      <c r="W278" s="14" t="str">
        <f t="shared" si="4"/>
        <v>(2990,null,1,'2026-04-28 00:00:00','003302040120000-33020401201','003302040120000-33020401201','小儿脊髓蛛网膜下腔腹腔分流术',null,null,1950,1870,1590,null,2665,2520,2145,'次',26,1,'normal','main',0),</v>
      </c>
    </row>
    <row r="279" spans="1:23">
      <c r="A279">
        <v>2991</v>
      </c>
      <c r="B279" t="s">
        <v>1634</v>
      </c>
      <c r="C279">
        <v>1</v>
      </c>
      <c r="D279" s="11" t="s">
        <v>1635</v>
      </c>
      <c r="E279" t="s">
        <v>1222</v>
      </c>
      <c r="F279" t="s">
        <v>1222</v>
      </c>
      <c r="G279" t="s">
        <v>1223</v>
      </c>
      <c r="H279" t="s">
        <v>1634</v>
      </c>
      <c r="I279" t="s">
        <v>1634</v>
      </c>
      <c r="J279">
        <v>2325</v>
      </c>
      <c r="K279">
        <v>2230</v>
      </c>
      <c r="L279">
        <v>1895</v>
      </c>
      <c r="M279" t="s">
        <v>1634</v>
      </c>
      <c r="N279">
        <v>2665</v>
      </c>
      <c r="O279">
        <v>2520</v>
      </c>
      <c r="P279">
        <v>2145</v>
      </c>
      <c r="Q279" t="s">
        <v>40</v>
      </c>
      <c r="R279">
        <v>26</v>
      </c>
      <c r="S279">
        <v>1</v>
      </c>
      <c r="T279" t="s">
        <v>1636</v>
      </c>
      <c r="U279" t="s">
        <v>1637</v>
      </c>
      <c r="V279">
        <v>0</v>
      </c>
      <c r="W279" s="14" t="str">
        <f t="shared" si="4"/>
        <v>(2991,null,1,'2026-04-28 00:00:00','003302040120000-33020401203','003302040120000-33020401203','小儿经颅内镜脊髓蛛网膜下腔腹腔分流术',null,null,2325,2230,1895,null,2665,2520,2145,'次',26,1,'normal','main',0),</v>
      </c>
    </row>
    <row r="280" spans="1:23">
      <c r="A280">
        <v>2992</v>
      </c>
      <c r="B280" t="s">
        <v>1634</v>
      </c>
      <c r="C280">
        <v>1</v>
      </c>
      <c r="D280" s="11" t="s">
        <v>1635</v>
      </c>
      <c r="E280" t="s">
        <v>1224</v>
      </c>
      <c r="F280" t="s">
        <v>1224</v>
      </c>
      <c r="G280" t="s">
        <v>1225</v>
      </c>
      <c r="H280" t="s">
        <v>1634</v>
      </c>
      <c r="I280" t="s">
        <v>1634</v>
      </c>
      <c r="J280">
        <v>2640</v>
      </c>
      <c r="K280">
        <v>2380</v>
      </c>
      <c r="L280">
        <v>2025</v>
      </c>
      <c r="M280" t="s">
        <v>1634</v>
      </c>
      <c r="N280">
        <v>2665</v>
      </c>
      <c r="O280">
        <v>2520</v>
      </c>
      <c r="P280">
        <v>2145</v>
      </c>
      <c r="Q280" t="s">
        <v>40</v>
      </c>
      <c r="R280">
        <v>26</v>
      </c>
      <c r="S280">
        <v>1</v>
      </c>
      <c r="T280" t="s">
        <v>1636</v>
      </c>
      <c r="U280" t="s">
        <v>1637</v>
      </c>
      <c r="V280">
        <v>0</v>
      </c>
      <c r="W280" s="14" t="str">
        <f t="shared" si="4"/>
        <v>(2992,null,1,'2026-04-28 00:00:00','003302040130000-33020401301','003302040130000-33020401301','小儿脊髓蛛网膜下腔输尿管分流术',null,null,2640,2380,2025,null,2665,2520,2145,'次',26,1,'normal','main',0),</v>
      </c>
    </row>
    <row r="281" spans="1:23">
      <c r="A281">
        <v>2993</v>
      </c>
      <c r="B281" t="s">
        <v>1634</v>
      </c>
      <c r="C281">
        <v>1</v>
      </c>
      <c r="D281" s="11" t="s">
        <v>1635</v>
      </c>
      <c r="E281" t="s">
        <v>1226</v>
      </c>
      <c r="F281" t="s">
        <v>1226</v>
      </c>
      <c r="G281" t="s">
        <v>1227</v>
      </c>
      <c r="H281" t="s">
        <v>1634</v>
      </c>
      <c r="I281" t="s">
        <v>1634</v>
      </c>
      <c r="J281">
        <v>3015</v>
      </c>
      <c r="K281">
        <v>2740</v>
      </c>
      <c r="L281">
        <v>2330</v>
      </c>
      <c r="M281" t="s">
        <v>1634</v>
      </c>
      <c r="N281">
        <v>2665</v>
      </c>
      <c r="O281">
        <v>2520</v>
      </c>
      <c r="P281">
        <v>2145</v>
      </c>
      <c r="Q281" t="s">
        <v>40</v>
      </c>
      <c r="R281">
        <v>26</v>
      </c>
      <c r="S281">
        <v>1</v>
      </c>
      <c r="T281" t="s">
        <v>1636</v>
      </c>
      <c r="U281" t="s">
        <v>1637</v>
      </c>
      <c r="V281">
        <v>0</v>
      </c>
      <c r="W281" s="14" t="str">
        <f t="shared" si="4"/>
        <v>(2993,null,1,'2026-04-28 00:00:00','003302040130000-33020401303','003302040130000-33020401303','小儿经颅内镜脊髓蛛网膜下腔输尿管分流术',null,null,3015,2740,2330,null,2665,2520,2145,'次',26,1,'normal','main',0),</v>
      </c>
    </row>
    <row r="282" spans="1:23">
      <c r="A282">
        <v>2994</v>
      </c>
      <c r="B282" t="s">
        <v>1634</v>
      </c>
      <c r="C282">
        <v>1</v>
      </c>
      <c r="D282" s="11" t="s">
        <v>1635</v>
      </c>
      <c r="E282" t="s">
        <v>1228</v>
      </c>
      <c r="F282" t="s">
        <v>1228</v>
      </c>
      <c r="G282" t="s">
        <v>1229</v>
      </c>
      <c r="H282" t="s">
        <v>1634</v>
      </c>
      <c r="I282" t="s">
        <v>1634</v>
      </c>
      <c r="J282">
        <v>235</v>
      </c>
      <c r="K282">
        <v>215</v>
      </c>
      <c r="L282">
        <v>180</v>
      </c>
      <c r="M282" t="s">
        <v>1634</v>
      </c>
      <c r="N282">
        <v>2665</v>
      </c>
      <c r="O282">
        <v>2520</v>
      </c>
      <c r="P282">
        <v>2145</v>
      </c>
      <c r="Q282" t="s">
        <v>40</v>
      </c>
      <c r="R282">
        <v>26</v>
      </c>
      <c r="S282">
        <v>1</v>
      </c>
      <c r="T282" t="s">
        <v>1636</v>
      </c>
      <c r="U282" t="s">
        <v>1637</v>
      </c>
      <c r="V282">
        <v>0</v>
      </c>
      <c r="W282" s="14" t="str">
        <f t="shared" si="4"/>
        <v>(2994,null,1,'2026-04-28 00:00:00','353302040360000-31010001605','353302040360000-31010001605','小儿腰-蛛网膜下腔分流术',null,null,235,215,180,null,2665,2520,2145,'次',26,1,'normal','main',0),</v>
      </c>
    </row>
    <row r="283" spans="1:23">
      <c r="A283">
        <v>2995</v>
      </c>
      <c r="B283" t="s">
        <v>1634</v>
      </c>
      <c r="C283">
        <v>1</v>
      </c>
      <c r="D283" s="11" t="s">
        <v>1635</v>
      </c>
      <c r="E283" t="s">
        <v>1243</v>
      </c>
      <c r="F283" t="s">
        <v>1243</v>
      </c>
      <c r="G283" t="s">
        <v>1244</v>
      </c>
      <c r="H283" t="s">
        <v>1634</v>
      </c>
      <c r="I283" t="s">
        <v>1634</v>
      </c>
      <c r="J283">
        <v>1125</v>
      </c>
      <c r="K283">
        <v>1080</v>
      </c>
      <c r="L283">
        <v>918</v>
      </c>
      <c r="M283" t="s">
        <v>1634</v>
      </c>
      <c r="N283">
        <v>1125</v>
      </c>
      <c r="O283">
        <v>1080</v>
      </c>
      <c r="P283">
        <v>918</v>
      </c>
      <c r="Q283" t="s">
        <v>40</v>
      </c>
      <c r="R283">
        <v>26</v>
      </c>
      <c r="S283">
        <v>1</v>
      </c>
      <c r="T283" t="s">
        <v>1636</v>
      </c>
      <c r="U283" t="s">
        <v>1637</v>
      </c>
      <c r="V283">
        <v>0</v>
      </c>
      <c r="W283" s="14" t="str">
        <f t="shared" si="4"/>
        <v>(2995,null,1,'2026-04-28 00:00:00','003302010180000-330201018','003302010180000-330201018','颅内压监护传感器置入术',null,null,1125,1080,918,null,1125,1080,918,'次',26,1,'normal','main',0),</v>
      </c>
    </row>
    <row r="284" spans="1:23">
      <c r="A284">
        <v>2996</v>
      </c>
      <c r="B284" t="s">
        <v>1634</v>
      </c>
      <c r="C284">
        <v>1</v>
      </c>
      <c r="D284" s="11" t="s">
        <v>1635</v>
      </c>
      <c r="E284" t="s">
        <v>1249</v>
      </c>
      <c r="F284" t="s">
        <v>1249</v>
      </c>
      <c r="G284" t="s">
        <v>1250</v>
      </c>
      <c r="H284" t="s">
        <v>1634</v>
      </c>
      <c r="I284" t="s">
        <v>1634</v>
      </c>
      <c r="J284">
        <v>1465</v>
      </c>
      <c r="K284">
        <v>1405</v>
      </c>
      <c r="L284">
        <v>1195</v>
      </c>
      <c r="M284" t="s">
        <v>1634</v>
      </c>
      <c r="N284">
        <v>1465</v>
      </c>
      <c r="O284">
        <v>1405</v>
      </c>
      <c r="P284">
        <v>1193</v>
      </c>
      <c r="Q284" t="s">
        <v>40</v>
      </c>
      <c r="R284">
        <v>26</v>
      </c>
      <c r="S284">
        <v>1</v>
      </c>
      <c r="T284" t="s">
        <v>1636</v>
      </c>
      <c r="U284" t="s">
        <v>1637</v>
      </c>
      <c r="V284">
        <v>0</v>
      </c>
      <c r="W284" s="14" t="str">
        <f t="shared" si="4"/>
        <v>(2996,null,1,'2026-04-28 00:00:00','003302010180000-33020101801','003302010180000-33020101801','小儿颅内压监护传感器置入术',null,null,1465,1405,1195,null,1465,1405,1193,'次',26,1,'normal','main',0),</v>
      </c>
    </row>
    <row r="285" spans="1:23">
      <c r="A285">
        <v>2997</v>
      </c>
      <c r="B285" t="s">
        <v>1634</v>
      </c>
      <c r="C285">
        <v>1</v>
      </c>
      <c r="D285" s="11" t="s">
        <v>1635</v>
      </c>
      <c r="E285" t="s">
        <v>1260</v>
      </c>
      <c r="F285" t="s">
        <v>1260</v>
      </c>
      <c r="G285" t="s">
        <v>1261</v>
      </c>
      <c r="H285" t="s">
        <v>1634</v>
      </c>
      <c r="I285" t="s">
        <v>1634</v>
      </c>
      <c r="J285">
        <v>2250</v>
      </c>
      <c r="K285">
        <v>2160</v>
      </c>
      <c r="L285">
        <v>1836</v>
      </c>
      <c r="M285" t="s">
        <v>1634</v>
      </c>
      <c r="N285">
        <v>2250</v>
      </c>
      <c r="O285">
        <v>2160</v>
      </c>
      <c r="P285">
        <v>1836</v>
      </c>
      <c r="Q285" t="s">
        <v>40</v>
      </c>
      <c r="R285">
        <v>26</v>
      </c>
      <c r="S285">
        <v>1</v>
      </c>
      <c r="T285" t="s">
        <v>1636</v>
      </c>
      <c r="U285" t="s">
        <v>1637</v>
      </c>
      <c r="V285">
        <v>0</v>
      </c>
      <c r="W285" s="14" t="str">
        <f t="shared" si="4"/>
        <v>(2997,null,1,'2026-04-28 00:00:00','003302040060000-330204006','003302040060000-330204006','椎管内脓肿切开引流术',null,null,2250,2160,1836,null,2250,2160,1836,'次',26,1,'normal','main',0),</v>
      </c>
    </row>
    <row r="286" spans="1:23">
      <c r="A286">
        <v>2998</v>
      </c>
      <c r="B286" t="s">
        <v>1634</v>
      </c>
      <c r="C286">
        <v>1</v>
      </c>
      <c r="D286" s="11" t="s">
        <v>1635</v>
      </c>
      <c r="E286" t="s">
        <v>1265</v>
      </c>
      <c r="F286" t="s">
        <v>1265</v>
      </c>
      <c r="G286" t="s">
        <v>1266</v>
      </c>
      <c r="H286" t="s">
        <v>1634</v>
      </c>
      <c r="I286" t="s">
        <v>1634</v>
      </c>
      <c r="J286">
        <v>2925</v>
      </c>
      <c r="K286">
        <v>2810</v>
      </c>
      <c r="L286">
        <v>2390</v>
      </c>
      <c r="M286" t="s">
        <v>1634</v>
      </c>
      <c r="N286">
        <v>2925</v>
      </c>
      <c r="O286">
        <v>2810</v>
      </c>
      <c r="P286">
        <v>2386</v>
      </c>
      <c r="Q286" t="s">
        <v>40</v>
      </c>
      <c r="R286">
        <v>26</v>
      </c>
      <c r="S286">
        <v>1</v>
      </c>
      <c r="T286" t="s">
        <v>1636</v>
      </c>
      <c r="U286" t="s">
        <v>1637</v>
      </c>
      <c r="V286">
        <v>0</v>
      </c>
      <c r="W286" s="14" t="str">
        <f t="shared" si="4"/>
        <v>(2998,null,1,'2026-04-28 00:00:00','003302040060000-33020400601','003302040060000-33020400601','小儿椎管内脓肿切开引流术',null,null,2925,2810,2390,null,2925,2810,2386,'次',26,1,'normal','main',0),</v>
      </c>
    </row>
    <row r="287" spans="1:23">
      <c r="A287">
        <v>2999</v>
      </c>
      <c r="B287" t="s">
        <v>1634</v>
      </c>
      <c r="C287">
        <v>1</v>
      </c>
      <c r="D287" s="11" t="s">
        <v>1635</v>
      </c>
      <c r="E287" t="s">
        <v>1272</v>
      </c>
      <c r="F287" t="s">
        <v>1272</v>
      </c>
      <c r="G287" t="s">
        <v>1273</v>
      </c>
      <c r="H287" t="s">
        <v>1634</v>
      </c>
      <c r="I287" t="s">
        <v>1634</v>
      </c>
      <c r="J287">
        <v>3040</v>
      </c>
      <c r="K287">
        <v>2740</v>
      </c>
      <c r="L287">
        <v>2330</v>
      </c>
      <c r="M287" t="s">
        <v>1634</v>
      </c>
      <c r="N287">
        <v>3150</v>
      </c>
      <c r="O287">
        <v>2850</v>
      </c>
      <c r="P287">
        <v>2450</v>
      </c>
      <c r="Q287" t="s">
        <v>40</v>
      </c>
      <c r="R287">
        <v>26</v>
      </c>
      <c r="S287">
        <v>1</v>
      </c>
      <c r="T287" t="s">
        <v>1636</v>
      </c>
      <c r="U287" t="s">
        <v>1637</v>
      </c>
      <c r="V287">
        <v>0</v>
      </c>
      <c r="W287" s="14" t="str">
        <f t="shared" si="4"/>
        <v>(2999,null,1,'2026-04-28 00:00:00','003302040020000-330204002','003302040020000-330204002','脊髓空洞症内引流术',null,null,3040,2740,2330,null,3150,2850,2450,'次',26,1,'normal','main',0),</v>
      </c>
    </row>
    <row r="288" spans="1:23">
      <c r="A288">
        <v>3000</v>
      </c>
      <c r="B288" t="s">
        <v>1634</v>
      </c>
      <c r="C288">
        <v>1</v>
      </c>
      <c r="D288" s="11" t="s">
        <v>1635</v>
      </c>
      <c r="E288" t="s">
        <v>1276</v>
      </c>
      <c r="F288" t="s">
        <v>1276</v>
      </c>
      <c r="G288" t="s">
        <v>1277</v>
      </c>
      <c r="H288" t="s">
        <v>1634</v>
      </c>
      <c r="I288" t="s">
        <v>1634</v>
      </c>
      <c r="J288">
        <v>3950</v>
      </c>
      <c r="K288">
        <v>3560</v>
      </c>
      <c r="L288">
        <v>3025</v>
      </c>
      <c r="M288" t="s">
        <v>1634</v>
      </c>
      <c r="N288">
        <v>4095</v>
      </c>
      <c r="O288">
        <v>3705</v>
      </c>
      <c r="P288">
        <v>3185</v>
      </c>
      <c r="Q288" t="s">
        <v>40</v>
      </c>
      <c r="R288">
        <v>26</v>
      </c>
      <c r="S288">
        <v>1</v>
      </c>
      <c r="T288" t="s">
        <v>1636</v>
      </c>
      <c r="U288" t="s">
        <v>1637</v>
      </c>
      <c r="V288">
        <v>0</v>
      </c>
      <c r="W288" s="14" t="str">
        <f t="shared" si="4"/>
        <v>(3000,null,1,'2026-04-28 00:00:00','003302040020000-33020400201','003302040020000-33020400201','小儿脊髓空洞症内引流术',null,null,3950,3560,3025,null,4095,3705,3185,'次',26,1,'normal','main',0),</v>
      </c>
    </row>
    <row r="289" spans="1:23">
      <c r="A289">
        <v>3001</v>
      </c>
      <c r="B289" t="s">
        <v>1634</v>
      </c>
      <c r="C289">
        <v>1</v>
      </c>
      <c r="D289" s="11" t="s">
        <v>1635</v>
      </c>
      <c r="E289" t="s">
        <v>1282</v>
      </c>
      <c r="F289" t="s">
        <v>1282</v>
      </c>
      <c r="G289" t="s">
        <v>1283</v>
      </c>
      <c r="H289" t="s">
        <v>1634</v>
      </c>
      <c r="I289" t="s">
        <v>1634</v>
      </c>
      <c r="J289">
        <v>4730</v>
      </c>
      <c r="K289">
        <v>4260</v>
      </c>
      <c r="L289">
        <v>3620</v>
      </c>
      <c r="M289" t="s">
        <v>1634</v>
      </c>
      <c r="N289">
        <v>4730</v>
      </c>
      <c r="O289">
        <v>4260</v>
      </c>
      <c r="P289">
        <v>3620</v>
      </c>
      <c r="Q289" t="s">
        <v>40</v>
      </c>
      <c r="R289">
        <v>26</v>
      </c>
      <c r="S289">
        <v>1</v>
      </c>
      <c r="T289" t="s">
        <v>1636</v>
      </c>
      <c r="U289" t="s">
        <v>1637</v>
      </c>
      <c r="V289">
        <v>0</v>
      </c>
      <c r="W289" s="14" t="str">
        <f t="shared" si="4"/>
        <v>(3001,null,1,'2026-04-28 00:00:00','003302040070000-330204007','003302040070000-330204007','脊髓内病变切除术',null,null,4730,4260,3620,null,4730,4260,3620,'次',26,1,'normal','main',0),</v>
      </c>
    </row>
    <row r="290" spans="1:23">
      <c r="A290">
        <v>3002</v>
      </c>
      <c r="B290" t="s">
        <v>1634</v>
      </c>
      <c r="C290">
        <v>1</v>
      </c>
      <c r="D290" s="11" t="s">
        <v>1635</v>
      </c>
      <c r="E290" t="s">
        <v>1286</v>
      </c>
      <c r="F290" t="s">
        <v>1286</v>
      </c>
      <c r="G290" t="s">
        <v>1287</v>
      </c>
      <c r="H290" t="s">
        <v>1634</v>
      </c>
      <c r="I290" t="s">
        <v>1634</v>
      </c>
      <c r="J290">
        <v>3040</v>
      </c>
      <c r="K290">
        <v>2740</v>
      </c>
      <c r="L290">
        <v>2330</v>
      </c>
      <c r="M290" t="s">
        <v>1634</v>
      </c>
      <c r="N290">
        <v>4730</v>
      </c>
      <c r="O290">
        <v>4260</v>
      </c>
      <c r="P290">
        <v>3620</v>
      </c>
      <c r="Q290" t="s">
        <v>40</v>
      </c>
      <c r="R290">
        <v>26</v>
      </c>
      <c r="S290">
        <v>1</v>
      </c>
      <c r="T290" t="s">
        <v>1636</v>
      </c>
      <c r="U290" t="s">
        <v>1637</v>
      </c>
      <c r="V290">
        <v>0</v>
      </c>
      <c r="W290" s="14" t="str">
        <f t="shared" si="4"/>
        <v>(3002,null,1,'2026-04-28 00:00:00','003302040100000-330204010','003302040100000-330204010','脊髓外露修补术',null,null,3040,2740,2330,null,4730,4260,3620,'次',26,1,'normal','main',0),</v>
      </c>
    </row>
    <row r="291" spans="1:23">
      <c r="A291">
        <v>3003</v>
      </c>
      <c r="B291" t="s">
        <v>1634</v>
      </c>
      <c r="C291">
        <v>1</v>
      </c>
      <c r="D291" s="11" t="s">
        <v>1635</v>
      </c>
      <c r="E291" t="s">
        <v>1290</v>
      </c>
      <c r="F291" t="s">
        <v>1290</v>
      </c>
      <c r="G291" t="s">
        <v>1291</v>
      </c>
      <c r="H291" t="s">
        <v>1634</v>
      </c>
      <c r="I291" t="s">
        <v>1634</v>
      </c>
      <c r="J291">
        <v>3950</v>
      </c>
      <c r="K291">
        <v>3560</v>
      </c>
      <c r="L291">
        <v>3025</v>
      </c>
      <c r="M291" t="s">
        <v>1634</v>
      </c>
      <c r="N291">
        <v>6150</v>
      </c>
      <c r="O291">
        <v>5540</v>
      </c>
      <c r="P291">
        <v>4705</v>
      </c>
      <c r="Q291" t="s">
        <v>40</v>
      </c>
      <c r="R291">
        <v>26</v>
      </c>
      <c r="S291">
        <v>1</v>
      </c>
      <c r="T291" t="s">
        <v>1636</v>
      </c>
      <c r="U291" t="s">
        <v>1637</v>
      </c>
      <c r="V291">
        <v>0</v>
      </c>
      <c r="W291" s="14" t="str">
        <f t="shared" si="4"/>
        <v>(3003,null,1,'2026-04-28 00:00:00','003302040100000-33020401001','003302040100000-33020401001','小儿脊髓外露修补术',null,null,3950,3560,3025,null,6150,5540,4705,'次',26,1,'normal','main',0),</v>
      </c>
    </row>
    <row r="292" spans="1:23">
      <c r="A292">
        <v>3004</v>
      </c>
      <c r="B292" t="s">
        <v>1634</v>
      </c>
      <c r="C292">
        <v>1</v>
      </c>
      <c r="D292" s="11" t="s">
        <v>1635</v>
      </c>
      <c r="E292" t="s">
        <v>1292</v>
      </c>
      <c r="F292" t="s">
        <v>1292</v>
      </c>
      <c r="G292" t="s">
        <v>1293</v>
      </c>
      <c r="H292" t="s">
        <v>1634</v>
      </c>
      <c r="I292" t="s">
        <v>1634</v>
      </c>
      <c r="J292">
        <v>6150</v>
      </c>
      <c r="K292">
        <v>5540</v>
      </c>
      <c r="L292">
        <v>4710</v>
      </c>
      <c r="M292" t="s">
        <v>1634</v>
      </c>
      <c r="N292">
        <v>6150</v>
      </c>
      <c r="O292">
        <v>5540</v>
      </c>
      <c r="P292">
        <v>4705</v>
      </c>
      <c r="Q292" t="s">
        <v>40</v>
      </c>
      <c r="R292">
        <v>26</v>
      </c>
      <c r="S292">
        <v>1</v>
      </c>
      <c r="T292" t="s">
        <v>1636</v>
      </c>
      <c r="U292" t="s">
        <v>1637</v>
      </c>
      <c r="V292">
        <v>0</v>
      </c>
      <c r="W292" s="14" t="str">
        <f t="shared" si="4"/>
        <v>(3004,null,1,'2026-04-28 00:00:00','003302040070000-33020400702','003302040070000-33020400702','小儿脊髓内病变切除术',null,null,6150,5540,4710,null,6150,5540,4705,'次',26,1,'normal','main',0),</v>
      </c>
    </row>
    <row r="293" spans="1:23">
      <c r="A293">
        <v>3005</v>
      </c>
      <c r="B293" t="s">
        <v>1634</v>
      </c>
      <c r="C293">
        <v>1</v>
      </c>
      <c r="D293" s="11" t="s">
        <v>1635</v>
      </c>
      <c r="E293" t="s">
        <v>1299</v>
      </c>
      <c r="F293" t="s">
        <v>1299</v>
      </c>
      <c r="G293" t="s">
        <v>1300</v>
      </c>
      <c r="H293" t="s">
        <v>1634</v>
      </c>
      <c r="I293" t="s">
        <v>1634</v>
      </c>
      <c r="J293">
        <v>6940</v>
      </c>
      <c r="K293">
        <v>6250</v>
      </c>
      <c r="L293">
        <v>5310</v>
      </c>
      <c r="M293" t="s">
        <v>1634</v>
      </c>
      <c r="N293">
        <v>6575</v>
      </c>
      <c r="O293">
        <v>5925</v>
      </c>
      <c r="P293">
        <v>5035</v>
      </c>
      <c r="Q293" t="s">
        <v>40</v>
      </c>
      <c r="R293">
        <v>26</v>
      </c>
      <c r="S293">
        <v>1</v>
      </c>
      <c r="T293" t="s">
        <v>1636</v>
      </c>
      <c r="U293" t="s">
        <v>1637</v>
      </c>
      <c r="V293">
        <v>0</v>
      </c>
      <c r="W293" s="14" t="str">
        <f t="shared" si="4"/>
        <v>(3005,null,1,'2026-04-28 00:00:00','003302040110000-330204011','003302040110000-330204011','脊髓动静脉畸形切除术',null,null,6940,6250,5310,null,6575,5925,5035,'次',26,1,'normal','main',0),</v>
      </c>
    </row>
    <row r="294" spans="1:23">
      <c r="A294">
        <v>3006</v>
      </c>
      <c r="B294" t="s">
        <v>1634</v>
      </c>
      <c r="C294">
        <v>1</v>
      </c>
      <c r="D294" s="11" t="s">
        <v>1635</v>
      </c>
      <c r="E294" t="s">
        <v>1302</v>
      </c>
      <c r="F294" t="s">
        <v>1302</v>
      </c>
      <c r="G294" t="s">
        <v>1303</v>
      </c>
      <c r="H294" t="s">
        <v>1634</v>
      </c>
      <c r="I294" t="s">
        <v>1634</v>
      </c>
      <c r="J294">
        <v>5335</v>
      </c>
      <c r="K294">
        <v>4805</v>
      </c>
      <c r="L294">
        <v>4085</v>
      </c>
      <c r="M294" t="s">
        <v>1634</v>
      </c>
      <c r="N294">
        <v>6575</v>
      </c>
      <c r="O294">
        <v>5925</v>
      </c>
      <c r="P294">
        <v>5035</v>
      </c>
      <c r="Q294" t="s">
        <v>40</v>
      </c>
      <c r="R294">
        <v>26</v>
      </c>
      <c r="S294">
        <v>1</v>
      </c>
      <c r="T294" t="s">
        <v>1636</v>
      </c>
      <c r="U294" t="s">
        <v>1637</v>
      </c>
      <c r="V294">
        <v>0</v>
      </c>
      <c r="W294" s="14" t="str">
        <f t="shared" si="4"/>
        <v>(3006,null,1,'2026-04-28 00:00:00','003302040070001-33020400701','003302040070001-33020400701','脊髓内病变切除术（肿瘤长度超过5cm）',null,null,5335,4805,4085,null,6575,5925,5035,'次',26,1,'normal','main',0),</v>
      </c>
    </row>
    <row r="295" spans="1:23">
      <c r="A295">
        <v>3007</v>
      </c>
      <c r="B295" t="s">
        <v>1634</v>
      </c>
      <c r="C295">
        <v>1</v>
      </c>
      <c r="D295" s="11" t="s">
        <v>1635</v>
      </c>
      <c r="E295" t="s">
        <v>1307</v>
      </c>
      <c r="F295" t="s">
        <v>1307</v>
      </c>
      <c r="G295" t="s">
        <v>1308</v>
      </c>
      <c r="H295" t="s">
        <v>1634</v>
      </c>
      <c r="I295" t="s">
        <v>1634</v>
      </c>
      <c r="J295">
        <v>9020</v>
      </c>
      <c r="K295">
        <v>8125</v>
      </c>
      <c r="L295">
        <v>6905</v>
      </c>
      <c r="M295" t="s">
        <v>1634</v>
      </c>
      <c r="N295">
        <v>8550</v>
      </c>
      <c r="O295">
        <v>7705</v>
      </c>
      <c r="P295">
        <v>6545</v>
      </c>
      <c r="Q295" t="s">
        <v>40</v>
      </c>
      <c r="R295">
        <v>26</v>
      </c>
      <c r="S295">
        <v>1</v>
      </c>
      <c r="T295" t="s">
        <v>1636</v>
      </c>
      <c r="U295" t="s">
        <v>1637</v>
      </c>
      <c r="V295">
        <v>0</v>
      </c>
      <c r="W295" s="14" t="str">
        <f t="shared" si="4"/>
        <v>(3007,null,1,'2026-04-28 00:00:00','003302040110000-33020401101','003302040110000-33020401101','小儿脊髓动静脉畸形切除术',null,null,9020,8125,6905,null,8550,7705,6545,'次',26,1,'normal','main',0),</v>
      </c>
    </row>
    <row r="296" spans="1:23">
      <c r="A296">
        <v>3008</v>
      </c>
      <c r="B296" t="s">
        <v>1634</v>
      </c>
      <c r="C296">
        <v>1</v>
      </c>
      <c r="D296" s="11" t="s">
        <v>1635</v>
      </c>
      <c r="E296" t="s">
        <v>1309</v>
      </c>
      <c r="F296" t="s">
        <v>1309</v>
      </c>
      <c r="G296" t="s">
        <v>1310</v>
      </c>
      <c r="H296" t="s">
        <v>1634</v>
      </c>
      <c r="I296" t="s">
        <v>1634</v>
      </c>
      <c r="J296">
        <v>6935</v>
      </c>
      <c r="K296">
        <v>6245</v>
      </c>
      <c r="L296">
        <v>5310</v>
      </c>
      <c r="M296" t="s">
        <v>1634</v>
      </c>
      <c r="N296">
        <v>8550</v>
      </c>
      <c r="O296">
        <v>7705</v>
      </c>
      <c r="P296">
        <v>6545</v>
      </c>
      <c r="Q296" t="s">
        <v>40</v>
      </c>
      <c r="R296">
        <v>26</v>
      </c>
      <c r="S296">
        <v>1</v>
      </c>
      <c r="T296" t="s">
        <v>1636</v>
      </c>
      <c r="U296" t="s">
        <v>1637</v>
      </c>
      <c r="V296">
        <v>0</v>
      </c>
      <c r="W296" s="14" t="str">
        <f t="shared" si="4"/>
        <v>(3008,null,1,'2026-04-28 00:00:00','003302040070001-33020400703','003302040070001-33020400703','小儿脊髓内病变切除术（肿瘤长度超过5cm）',null,null,6935,6245,5310,null,8550,7705,6545,'次',26,1,'normal','main',0),</v>
      </c>
    </row>
    <row r="297" spans="1:23">
      <c r="A297">
        <v>3009</v>
      </c>
      <c r="B297" t="s">
        <v>1634</v>
      </c>
      <c r="C297">
        <v>1</v>
      </c>
      <c r="D297" s="11" t="s">
        <v>1635</v>
      </c>
      <c r="E297" t="s">
        <v>1314</v>
      </c>
      <c r="F297" t="s">
        <v>1314</v>
      </c>
      <c r="G297" t="s">
        <v>1315</v>
      </c>
      <c r="H297" t="s">
        <v>1634</v>
      </c>
      <c r="I297" t="s">
        <v>1634</v>
      </c>
      <c r="J297">
        <v>3160</v>
      </c>
      <c r="K297">
        <v>2850</v>
      </c>
      <c r="L297">
        <v>2420</v>
      </c>
      <c r="M297" t="s">
        <v>1634</v>
      </c>
      <c r="N297">
        <v>3160</v>
      </c>
      <c r="O297">
        <v>2850</v>
      </c>
      <c r="P297">
        <v>2420</v>
      </c>
      <c r="Q297" t="s">
        <v>40</v>
      </c>
      <c r="R297">
        <v>26</v>
      </c>
      <c r="S297">
        <v>1</v>
      </c>
      <c r="T297" t="s">
        <v>1636</v>
      </c>
      <c r="U297" t="s">
        <v>1637</v>
      </c>
      <c r="V297">
        <v>0</v>
      </c>
      <c r="W297" s="14" t="str">
        <f t="shared" si="4"/>
        <v>(3009,null,1,'2026-04-28 00:00:00','003302040080000-330204008','003302040080000-330204008','脊髓硬膜外病变切除术',null,null,3160,2850,2420,null,3160,2850,2420,'次',26,1,'normal','main',0),</v>
      </c>
    </row>
    <row r="298" spans="1:23">
      <c r="A298">
        <v>3010</v>
      </c>
      <c r="B298" t="s">
        <v>1634</v>
      </c>
      <c r="C298">
        <v>1</v>
      </c>
      <c r="D298" s="11" t="s">
        <v>1635</v>
      </c>
      <c r="E298" t="s">
        <v>1317</v>
      </c>
      <c r="F298" t="s">
        <v>1317</v>
      </c>
      <c r="G298" t="s">
        <v>1318</v>
      </c>
      <c r="H298" t="s">
        <v>1634</v>
      </c>
      <c r="I298" t="s">
        <v>1634</v>
      </c>
      <c r="J298">
        <v>3160</v>
      </c>
      <c r="K298">
        <v>2850</v>
      </c>
      <c r="L298">
        <v>2420</v>
      </c>
      <c r="M298" t="s">
        <v>1634</v>
      </c>
      <c r="N298">
        <v>3160</v>
      </c>
      <c r="O298">
        <v>2850</v>
      </c>
      <c r="P298">
        <v>2420</v>
      </c>
      <c r="Q298" t="s">
        <v>40</v>
      </c>
      <c r="R298">
        <v>26</v>
      </c>
      <c r="S298">
        <v>1</v>
      </c>
      <c r="T298" t="s">
        <v>1636</v>
      </c>
      <c r="U298" t="s">
        <v>1637</v>
      </c>
      <c r="V298">
        <v>0</v>
      </c>
      <c r="W298" s="14" t="str">
        <f t="shared" si="4"/>
        <v>(3010,null,1,'2026-04-28 00:00:00','003302040090000-330204009','003302040090000-330204009','髓外硬脊膜下病变切除术',null,null,3160,2850,2420,null,3160,2850,2420,'次',26,1,'normal','main',0),</v>
      </c>
    </row>
    <row r="299" spans="1:23">
      <c r="A299">
        <v>3011</v>
      </c>
      <c r="B299" t="s">
        <v>1634</v>
      </c>
      <c r="C299">
        <v>1</v>
      </c>
      <c r="D299" s="11" t="s">
        <v>1635</v>
      </c>
      <c r="E299" t="s">
        <v>1323</v>
      </c>
      <c r="F299" t="s">
        <v>1323</v>
      </c>
      <c r="G299" t="s">
        <v>1324</v>
      </c>
      <c r="H299" t="s">
        <v>1634</v>
      </c>
      <c r="I299" t="s">
        <v>1634</v>
      </c>
      <c r="J299">
        <v>4110</v>
      </c>
      <c r="K299">
        <v>3705</v>
      </c>
      <c r="L299">
        <v>3145</v>
      </c>
      <c r="M299" t="s">
        <v>1634</v>
      </c>
      <c r="N299">
        <v>4110</v>
      </c>
      <c r="O299">
        <v>3705</v>
      </c>
      <c r="P299">
        <v>3145</v>
      </c>
      <c r="Q299" t="s">
        <v>40</v>
      </c>
      <c r="R299">
        <v>26</v>
      </c>
      <c r="S299">
        <v>1</v>
      </c>
      <c r="T299" t="s">
        <v>1636</v>
      </c>
      <c r="U299" t="s">
        <v>1637</v>
      </c>
      <c r="V299">
        <v>0</v>
      </c>
      <c r="W299" s="14" t="str">
        <f t="shared" si="4"/>
        <v>(3011,null,1,'2026-04-28 00:00:00','003302040080000-33020400801','003302040080000-33020400801','小儿脊髓硬膜外病变切除术',null,null,4110,3705,3145,null,4110,3705,3145,'次',26,1,'normal','main',0),</v>
      </c>
    </row>
    <row r="300" spans="1:23">
      <c r="A300">
        <v>3012</v>
      </c>
      <c r="B300" t="s">
        <v>1634</v>
      </c>
      <c r="C300">
        <v>1</v>
      </c>
      <c r="D300" s="11" t="s">
        <v>1635</v>
      </c>
      <c r="E300" t="s">
        <v>1325</v>
      </c>
      <c r="F300" t="s">
        <v>1325</v>
      </c>
      <c r="G300" t="s">
        <v>1326</v>
      </c>
      <c r="H300" t="s">
        <v>1634</v>
      </c>
      <c r="I300" t="s">
        <v>1634</v>
      </c>
      <c r="J300">
        <v>4110</v>
      </c>
      <c r="K300">
        <v>3705</v>
      </c>
      <c r="L300">
        <v>3145</v>
      </c>
      <c r="M300" t="s">
        <v>1634</v>
      </c>
      <c r="N300">
        <v>4110</v>
      </c>
      <c r="O300">
        <v>3705</v>
      </c>
      <c r="P300">
        <v>3145</v>
      </c>
      <c r="Q300" t="s">
        <v>40</v>
      </c>
      <c r="R300">
        <v>26</v>
      </c>
      <c r="S300">
        <v>1</v>
      </c>
      <c r="T300" t="s">
        <v>1636</v>
      </c>
      <c r="U300" t="s">
        <v>1637</v>
      </c>
      <c r="V300">
        <v>0</v>
      </c>
      <c r="W300" s="14" t="str">
        <f t="shared" si="4"/>
        <v>(3012,null,1,'2026-04-28 00:00:00','003302040090000-33020400902','003302040090000-33020400902','小儿髓外硬脊膜下病变切除术',null,null,4110,3705,3145,null,4110,3705,3145,'次',26,1,'normal','main',0),</v>
      </c>
    </row>
    <row r="301" spans="1:23">
      <c r="A301">
        <v>3013</v>
      </c>
      <c r="B301" t="s">
        <v>1634</v>
      </c>
      <c r="C301">
        <v>1</v>
      </c>
      <c r="D301" s="11" t="s">
        <v>1635</v>
      </c>
      <c r="E301" t="s">
        <v>1331</v>
      </c>
      <c r="F301" t="s">
        <v>1331</v>
      </c>
      <c r="G301" t="s">
        <v>1332</v>
      </c>
      <c r="H301" t="s">
        <v>1634</v>
      </c>
      <c r="I301" t="s">
        <v>1634</v>
      </c>
      <c r="J301">
        <v>3630</v>
      </c>
      <c r="K301">
        <v>3270</v>
      </c>
      <c r="L301">
        <v>2780</v>
      </c>
      <c r="M301" t="s">
        <v>1634</v>
      </c>
      <c r="N301">
        <v>3630</v>
      </c>
      <c r="O301">
        <v>3270</v>
      </c>
      <c r="P301">
        <v>2780</v>
      </c>
      <c r="Q301" t="s">
        <v>40</v>
      </c>
      <c r="R301">
        <v>26</v>
      </c>
      <c r="S301">
        <v>1</v>
      </c>
      <c r="T301" t="s">
        <v>1636</v>
      </c>
      <c r="U301" t="s">
        <v>1637</v>
      </c>
      <c r="V301">
        <v>0</v>
      </c>
      <c r="W301" s="14" t="str">
        <f t="shared" si="4"/>
        <v>(3013,null,1,'2026-04-28 00:00:00','003302040090001-33020400901','003302040090001-33020400901','髓外硬脊膜下病变切除术（肿瘤长度超过5cm）',null,null,3630,3270,2780,null,3630,3270,2780,'次',26,1,'normal','main',0),</v>
      </c>
    </row>
    <row r="302" spans="1:23">
      <c r="A302">
        <v>3014</v>
      </c>
      <c r="B302" t="s">
        <v>1634</v>
      </c>
      <c r="C302">
        <v>1</v>
      </c>
      <c r="D302" s="11" t="s">
        <v>1635</v>
      </c>
      <c r="E302" t="s">
        <v>1335</v>
      </c>
      <c r="F302" t="s">
        <v>1335</v>
      </c>
      <c r="G302" t="s">
        <v>1336</v>
      </c>
      <c r="H302" t="s">
        <v>1634</v>
      </c>
      <c r="I302" t="s">
        <v>1634</v>
      </c>
      <c r="J302">
        <v>4730</v>
      </c>
      <c r="K302">
        <v>4250</v>
      </c>
      <c r="L302">
        <v>3615</v>
      </c>
      <c r="M302" t="s">
        <v>1634</v>
      </c>
      <c r="N302">
        <v>4720</v>
      </c>
      <c r="O302">
        <v>4250</v>
      </c>
      <c r="P302">
        <v>3615</v>
      </c>
      <c r="Q302" t="s">
        <v>40</v>
      </c>
      <c r="R302">
        <v>26</v>
      </c>
      <c r="S302">
        <v>1</v>
      </c>
      <c r="T302" t="s">
        <v>1636</v>
      </c>
      <c r="U302" t="s">
        <v>1637</v>
      </c>
      <c r="V302">
        <v>0</v>
      </c>
      <c r="W302" s="14" t="str">
        <f t="shared" si="4"/>
        <v>(3014,null,1,'2026-04-28 00:00:00','003302040090001-33020400903','003302040090001-33020400903','小儿髓外硬脊膜下病变切除术（肿瘤长度超过5cm）',null,null,4730,4250,3615,null,4720,4250,3615,'次',26,1,'normal','main',0),</v>
      </c>
    </row>
    <row r="303" spans="1:23">
      <c r="A303">
        <v>3015</v>
      </c>
      <c r="B303" t="s">
        <v>1634</v>
      </c>
      <c r="C303">
        <v>1</v>
      </c>
      <c r="D303" s="11" t="s">
        <v>1635</v>
      </c>
      <c r="E303" t="s">
        <v>1342</v>
      </c>
      <c r="F303" t="s">
        <v>1342</v>
      </c>
      <c r="G303" t="s">
        <v>1343</v>
      </c>
      <c r="H303" t="s">
        <v>1634</v>
      </c>
      <c r="I303" t="s">
        <v>1634</v>
      </c>
      <c r="J303">
        <v>4220</v>
      </c>
      <c r="K303">
        <v>3800</v>
      </c>
      <c r="L303">
        <v>3230</v>
      </c>
      <c r="M303" t="s">
        <v>1634</v>
      </c>
      <c r="N303">
        <v>4700</v>
      </c>
      <c r="O303">
        <v>4350</v>
      </c>
      <c r="P303">
        <v>3700</v>
      </c>
      <c r="Q303" t="s">
        <v>40</v>
      </c>
      <c r="R303">
        <v>26</v>
      </c>
      <c r="S303">
        <v>1</v>
      </c>
      <c r="T303" t="s">
        <v>1636</v>
      </c>
      <c r="U303" t="s">
        <v>1637</v>
      </c>
      <c r="V303">
        <v>0</v>
      </c>
      <c r="W303" s="14" t="str">
        <f t="shared" si="4"/>
        <v>(3015,null,1,'2026-04-28 00:00:00','003302030070000-330203007','003302030070000-330203007','颈内动脉内膜剥脱术',null,null,4220,3800,3230,null,4700,4350,3700,'次',26,1,'normal','main',0),</v>
      </c>
    </row>
    <row r="304" spans="1:23">
      <c r="A304">
        <v>3016</v>
      </c>
      <c r="B304" t="s">
        <v>1634</v>
      </c>
      <c r="C304">
        <v>1</v>
      </c>
      <c r="D304" s="11" t="s">
        <v>1635</v>
      </c>
      <c r="E304" t="s">
        <v>1346</v>
      </c>
      <c r="F304" t="s">
        <v>1346</v>
      </c>
      <c r="G304" t="s">
        <v>1347</v>
      </c>
      <c r="H304" t="s">
        <v>1634</v>
      </c>
      <c r="I304" t="s">
        <v>1634</v>
      </c>
      <c r="J304">
        <v>3960</v>
      </c>
      <c r="K304">
        <v>3560</v>
      </c>
      <c r="L304">
        <v>3030</v>
      </c>
      <c r="M304" t="s">
        <v>1634</v>
      </c>
      <c r="N304">
        <v>4700</v>
      </c>
      <c r="O304">
        <v>4350</v>
      </c>
      <c r="P304">
        <v>3700</v>
      </c>
      <c r="Q304" t="s">
        <v>40</v>
      </c>
      <c r="R304">
        <v>26</v>
      </c>
      <c r="S304">
        <v>1</v>
      </c>
      <c r="T304" t="s">
        <v>1636</v>
      </c>
      <c r="U304" t="s">
        <v>1637</v>
      </c>
      <c r="V304">
        <v>0</v>
      </c>
      <c r="W304" s="14" t="str">
        <f t="shared" si="4"/>
        <v>(3016,null,1,'2026-04-28 00:00:00','003302030070001-33020300701','003302030070001-33020300701','颈内动脉内膜剥脱术-动脉成形术',null,null,3960,3560,3030,null,4700,4350,3700,'次',26,1,'normal','main',0),</v>
      </c>
    </row>
    <row r="305" spans="1:23">
      <c r="A305">
        <v>3017</v>
      </c>
      <c r="B305" t="s">
        <v>1634</v>
      </c>
      <c r="C305">
        <v>1</v>
      </c>
      <c r="D305" s="11" t="s">
        <v>1635</v>
      </c>
      <c r="E305" t="s">
        <v>1349</v>
      </c>
      <c r="F305" t="s">
        <v>1349</v>
      </c>
      <c r="G305" t="s">
        <v>1350</v>
      </c>
      <c r="H305" t="s">
        <v>1634</v>
      </c>
      <c r="I305" t="s">
        <v>1634</v>
      </c>
      <c r="J305">
        <v>2530</v>
      </c>
      <c r="K305">
        <v>2280</v>
      </c>
      <c r="L305">
        <v>1940</v>
      </c>
      <c r="M305" t="s">
        <v>1634</v>
      </c>
      <c r="N305">
        <v>4700</v>
      </c>
      <c r="O305">
        <v>4350</v>
      </c>
      <c r="P305">
        <v>3700</v>
      </c>
      <c r="Q305" t="s">
        <v>145</v>
      </c>
      <c r="R305">
        <v>26</v>
      </c>
      <c r="S305">
        <v>1</v>
      </c>
      <c r="T305" t="s">
        <v>1636</v>
      </c>
      <c r="U305" t="s">
        <v>1637</v>
      </c>
      <c r="V305">
        <v>0</v>
      </c>
      <c r="W305" s="14" t="str">
        <f t="shared" si="4"/>
        <v>(3017,null,1,'2026-04-28 00:00:00','003302030100000-330203010','003302030100000-330203010','颈动脉外膜剥脱术',null,null,2530,2280,1940,null,4700,4350,3700,'单侧',26,1,'normal','main',0),</v>
      </c>
    </row>
    <row r="306" spans="1:23">
      <c r="A306">
        <v>3018</v>
      </c>
      <c r="B306" t="s">
        <v>1634</v>
      </c>
      <c r="C306">
        <v>1</v>
      </c>
      <c r="D306" s="11" t="s">
        <v>1635</v>
      </c>
      <c r="E306" t="s">
        <v>1353</v>
      </c>
      <c r="F306" t="s">
        <v>1353</v>
      </c>
      <c r="G306" t="s">
        <v>1354</v>
      </c>
      <c r="H306" t="s">
        <v>1634</v>
      </c>
      <c r="I306" t="s">
        <v>1634</v>
      </c>
      <c r="J306">
        <v>5060</v>
      </c>
      <c r="K306">
        <v>4560</v>
      </c>
      <c r="L306">
        <v>3880</v>
      </c>
      <c r="M306" t="s">
        <v>1634</v>
      </c>
      <c r="N306">
        <v>4700</v>
      </c>
      <c r="O306">
        <v>4350</v>
      </c>
      <c r="P306">
        <v>3700</v>
      </c>
      <c r="Q306" t="s">
        <v>1355</v>
      </c>
      <c r="R306">
        <v>26</v>
      </c>
      <c r="S306">
        <v>1</v>
      </c>
      <c r="T306" t="s">
        <v>1636</v>
      </c>
      <c r="U306" t="s">
        <v>1637</v>
      </c>
      <c r="V306">
        <v>0</v>
      </c>
      <c r="W306" s="14" t="str">
        <f t="shared" si="4"/>
        <v>(3018,null,1,'2026-04-28 00:00:00','003302030100001-33020301001','003302030100001-33020301001','颈动脉外膜剥脱术（双侧）',null,null,5060,4560,3880,null,4700,4350,3700,'双侧',26,1,'normal','main',0),</v>
      </c>
    </row>
    <row r="307" spans="1:23">
      <c r="A307">
        <v>3019</v>
      </c>
      <c r="B307" t="s">
        <v>1634</v>
      </c>
      <c r="C307">
        <v>1</v>
      </c>
      <c r="D307" s="11" t="s">
        <v>1635</v>
      </c>
      <c r="E307" t="s">
        <v>1358</v>
      </c>
      <c r="F307" t="s">
        <v>1358</v>
      </c>
      <c r="G307" t="s">
        <v>1359</v>
      </c>
      <c r="H307" t="s">
        <v>1634</v>
      </c>
      <c r="I307" t="s">
        <v>1634</v>
      </c>
      <c r="J307">
        <v>5485</v>
      </c>
      <c r="K307">
        <v>4940</v>
      </c>
      <c r="L307">
        <v>4200</v>
      </c>
      <c r="M307" t="s">
        <v>1634</v>
      </c>
      <c r="N307">
        <v>6110</v>
      </c>
      <c r="O307">
        <v>5655</v>
      </c>
      <c r="P307">
        <v>4810</v>
      </c>
      <c r="Q307" t="s">
        <v>40</v>
      </c>
      <c r="R307">
        <v>26</v>
      </c>
      <c r="S307">
        <v>1</v>
      </c>
      <c r="T307" t="s">
        <v>1636</v>
      </c>
      <c r="U307" t="s">
        <v>1637</v>
      </c>
      <c r="V307">
        <v>0</v>
      </c>
      <c r="W307" s="14" t="str">
        <f t="shared" si="4"/>
        <v>(3019,null,1,'2026-04-28 00:00:00','003302030070000-33020300702','003302030070000-33020300702','小儿颈内动脉内膜剥脱术',null,null,5485,4940,4200,null,6110,5655,4810,'次',26,1,'normal','main',0),</v>
      </c>
    </row>
    <row r="308" spans="1:23">
      <c r="A308">
        <v>3020</v>
      </c>
      <c r="B308" t="s">
        <v>1634</v>
      </c>
      <c r="C308">
        <v>1</v>
      </c>
      <c r="D308" s="11" t="s">
        <v>1635</v>
      </c>
      <c r="E308" t="s">
        <v>1360</v>
      </c>
      <c r="F308" t="s">
        <v>1360</v>
      </c>
      <c r="G308" t="s">
        <v>1361</v>
      </c>
      <c r="H308" t="s">
        <v>1634</v>
      </c>
      <c r="I308" t="s">
        <v>1634</v>
      </c>
      <c r="J308">
        <v>5150</v>
      </c>
      <c r="K308">
        <v>4630</v>
      </c>
      <c r="L308">
        <v>3935</v>
      </c>
      <c r="M308" t="s">
        <v>1634</v>
      </c>
      <c r="N308">
        <v>6110</v>
      </c>
      <c r="O308">
        <v>5655</v>
      </c>
      <c r="P308">
        <v>4810</v>
      </c>
      <c r="Q308" t="s">
        <v>40</v>
      </c>
      <c r="R308">
        <v>26</v>
      </c>
      <c r="S308">
        <v>1</v>
      </c>
      <c r="T308" t="s">
        <v>1636</v>
      </c>
      <c r="U308" t="s">
        <v>1637</v>
      </c>
      <c r="V308">
        <v>0</v>
      </c>
      <c r="W308" s="14" t="str">
        <f t="shared" si="4"/>
        <v>(3020,null,1,'2026-04-28 00:00:00','003302030070001-33020300703','003302030070001-33020300703','小儿颈内动脉内膜剥脱术-动脉成形术',null,null,5150,4630,3935,null,6110,5655,4810,'次',26,1,'normal','main',0),</v>
      </c>
    </row>
    <row r="309" spans="1:23">
      <c r="A309">
        <v>3021</v>
      </c>
      <c r="B309" t="s">
        <v>1634</v>
      </c>
      <c r="C309">
        <v>1</v>
      </c>
      <c r="D309" s="11" t="s">
        <v>1635</v>
      </c>
      <c r="E309" t="s">
        <v>1362</v>
      </c>
      <c r="F309" t="s">
        <v>1362</v>
      </c>
      <c r="G309" t="s">
        <v>1363</v>
      </c>
      <c r="H309" t="s">
        <v>1634</v>
      </c>
      <c r="I309" t="s">
        <v>1634</v>
      </c>
      <c r="J309">
        <v>3290</v>
      </c>
      <c r="K309">
        <v>2965</v>
      </c>
      <c r="L309">
        <v>2520</v>
      </c>
      <c r="M309" t="s">
        <v>1634</v>
      </c>
      <c r="N309">
        <v>6110</v>
      </c>
      <c r="O309">
        <v>5655</v>
      </c>
      <c r="P309">
        <v>4810</v>
      </c>
      <c r="Q309" t="s">
        <v>145</v>
      </c>
      <c r="R309">
        <v>26</v>
      </c>
      <c r="S309">
        <v>1</v>
      </c>
      <c r="T309" t="s">
        <v>1636</v>
      </c>
      <c r="U309" t="s">
        <v>1637</v>
      </c>
      <c r="V309">
        <v>0</v>
      </c>
      <c r="W309" s="14" t="str">
        <f t="shared" si="4"/>
        <v>(3021,null,1,'2026-04-28 00:00:00','003302030100000-33020301002','003302030100000-33020301002','小儿颈动脉外膜剥脱术',null,null,3290,2965,2520,null,6110,5655,4810,'单侧',26,1,'normal','main',0),</v>
      </c>
    </row>
    <row r="310" spans="1:23">
      <c r="A310">
        <v>3022</v>
      </c>
      <c r="B310" t="s">
        <v>1634</v>
      </c>
      <c r="C310">
        <v>1</v>
      </c>
      <c r="D310" s="11" t="s">
        <v>1635</v>
      </c>
      <c r="E310" t="s">
        <v>1364</v>
      </c>
      <c r="F310" t="s">
        <v>1364</v>
      </c>
      <c r="G310" t="s">
        <v>1365</v>
      </c>
      <c r="H310" t="s">
        <v>1634</v>
      </c>
      <c r="I310" t="s">
        <v>1634</v>
      </c>
      <c r="J310">
        <v>6580</v>
      </c>
      <c r="K310">
        <v>5930</v>
      </c>
      <c r="L310">
        <v>5040</v>
      </c>
      <c r="M310" t="s">
        <v>1634</v>
      </c>
      <c r="N310">
        <v>6110</v>
      </c>
      <c r="O310">
        <v>5655</v>
      </c>
      <c r="P310">
        <v>4810</v>
      </c>
      <c r="Q310" t="s">
        <v>1355</v>
      </c>
      <c r="R310">
        <v>26</v>
      </c>
      <c r="S310">
        <v>1</v>
      </c>
      <c r="T310" t="s">
        <v>1636</v>
      </c>
      <c r="U310" t="s">
        <v>1637</v>
      </c>
      <c r="V310">
        <v>0</v>
      </c>
      <c r="W310" s="14" t="str">
        <f t="shared" si="4"/>
        <v>(3022,null,1,'2026-04-28 00:00:00','003302030100001-33020301003','003302030100001-33020301003','小儿颈动脉外膜剥脱术（双侧）',null,null,6580,5930,5040,null,6110,5655,4810,'双侧',26,1,'normal','main',0),</v>
      </c>
    </row>
    <row r="311" spans="1:23">
      <c r="A311">
        <v>3023</v>
      </c>
      <c r="B311" t="s">
        <v>1634</v>
      </c>
      <c r="C311">
        <v>1</v>
      </c>
      <c r="D311" s="11" t="s">
        <v>1635</v>
      </c>
      <c r="E311" t="s">
        <v>1371</v>
      </c>
      <c r="F311" t="s">
        <v>1371</v>
      </c>
      <c r="G311" t="s">
        <v>1372</v>
      </c>
      <c r="H311" t="s">
        <v>1634</v>
      </c>
      <c r="I311" t="s">
        <v>1634</v>
      </c>
      <c r="J311">
        <v>4220</v>
      </c>
      <c r="K311">
        <v>3800</v>
      </c>
      <c r="L311">
        <v>3230</v>
      </c>
      <c r="M311" t="s">
        <v>1634</v>
      </c>
      <c r="N311">
        <v>4550</v>
      </c>
      <c r="O311">
        <v>4150</v>
      </c>
      <c r="P311">
        <v>3550</v>
      </c>
      <c r="Q311" t="s">
        <v>40</v>
      </c>
      <c r="R311">
        <v>26</v>
      </c>
      <c r="S311">
        <v>1</v>
      </c>
      <c r="T311" t="s">
        <v>1636</v>
      </c>
      <c r="U311" t="s">
        <v>1637</v>
      </c>
      <c r="V311">
        <v>0</v>
      </c>
      <c r="W311" s="14" t="str">
        <f t="shared" si="4"/>
        <v>(3023,null,1,'2026-04-28 00:00:00','003302030080000-330203008','003302030080000-330203008','椎动脉内膜剥脱术',null,null,4220,3800,3230,null,4550,4150,3550,'次',26,1,'normal','main',0),</v>
      </c>
    </row>
    <row r="312" spans="1:23">
      <c r="A312">
        <v>3024</v>
      </c>
      <c r="B312" t="s">
        <v>1634</v>
      </c>
      <c r="C312">
        <v>1</v>
      </c>
      <c r="D312" s="11" t="s">
        <v>1635</v>
      </c>
      <c r="E312" t="s">
        <v>1373</v>
      </c>
      <c r="F312" t="s">
        <v>1373</v>
      </c>
      <c r="G312" t="s">
        <v>1374</v>
      </c>
      <c r="H312" t="s">
        <v>1634</v>
      </c>
      <c r="I312" t="s">
        <v>1634</v>
      </c>
      <c r="J312">
        <v>3960</v>
      </c>
      <c r="K312">
        <v>3560</v>
      </c>
      <c r="L312">
        <v>3030</v>
      </c>
      <c r="M312" t="s">
        <v>1634</v>
      </c>
      <c r="N312">
        <v>4550</v>
      </c>
      <c r="O312">
        <v>4150</v>
      </c>
      <c r="P312">
        <v>3550</v>
      </c>
      <c r="Q312" t="s">
        <v>40</v>
      </c>
      <c r="R312">
        <v>26</v>
      </c>
      <c r="S312">
        <v>1</v>
      </c>
      <c r="T312" t="s">
        <v>1636</v>
      </c>
      <c r="U312" t="s">
        <v>1637</v>
      </c>
      <c r="V312">
        <v>0</v>
      </c>
      <c r="W312" s="14" t="str">
        <f t="shared" si="4"/>
        <v>(3024,null,1,'2026-04-28 00:00:00','003302030080001-33020300801','003302030080001-33020300801','椎动脉内膜剥脱术-动脉成形术',null,null,3960,3560,3030,null,4550,4150,3550,'次',26,1,'normal','main',0),</v>
      </c>
    </row>
    <row r="313" spans="1:23">
      <c r="A313">
        <v>3025</v>
      </c>
      <c r="B313" t="s">
        <v>1634</v>
      </c>
      <c r="C313">
        <v>1</v>
      </c>
      <c r="D313" s="11" t="s">
        <v>1635</v>
      </c>
      <c r="E313" t="s">
        <v>1375</v>
      </c>
      <c r="F313" t="s">
        <v>1375</v>
      </c>
      <c r="G313" t="s">
        <v>1376</v>
      </c>
      <c r="H313" t="s">
        <v>1634</v>
      </c>
      <c r="I313" t="s">
        <v>1634</v>
      </c>
      <c r="J313">
        <v>3040</v>
      </c>
      <c r="K313">
        <v>2740</v>
      </c>
      <c r="L313">
        <v>2330</v>
      </c>
      <c r="M313" t="s">
        <v>1634</v>
      </c>
      <c r="N313">
        <v>4550</v>
      </c>
      <c r="O313">
        <v>4150</v>
      </c>
      <c r="P313">
        <v>3550</v>
      </c>
      <c r="Q313" t="s">
        <v>40</v>
      </c>
      <c r="R313">
        <v>26</v>
      </c>
      <c r="S313">
        <v>1</v>
      </c>
      <c r="T313" t="s">
        <v>1636</v>
      </c>
      <c r="U313" t="s">
        <v>1637</v>
      </c>
      <c r="V313">
        <v>0</v>
      </c>
      <c r="W313" s="14" t="str">
        <f t="shared" si="4"/>
        <v>(3025,null,1,'2026-04-28 00:00:00','003302030090000-330203009','003302030090000-330203009','椎动脉减压术',null,null,3040,2740,2330,null,4550,4150,3550,'次',26,1,'normal','main',0),</v>
      </c>
    </row>
    <row r="314" spans="1:23">
      <c r="A314">
        <v>3026</v>
      </c>
      <c r="B314" t="s">
        <v>1634</v>
      </c>
      <c r="C314">
        <v>1</v>
      </c>
      <c r="D314" s="11" t="s">
        <v>1635</v>
      </c>
      <c r="E314" t="s">
        <v>1379</v>
      </c>
      <c r="F314" t="s">
        <v>1379</v>
      </c>
      <c r="G314" t="s">
        <v>1380</v>
      </c>
      <c r="H314" t="s">
        <v>1634</v>
      </c>
      <c r="I314" t="s">
        <v>1634</v>
      </c>
      <c r="J314">
        <v>5485</v>
      </c>
      <c r="K314">
        <v>4940</v>
      </c>
      <c r="L314">
        <v>4200</v>
      </c>
      <c r="M314" t="s">
        <v>1634</v>
      </c>
      <c r="N314">
        <v>5915</v>
      </c>
      <c r="O314">
        <v>5395</v>
      </c>
      <c r="P314">
        <v>4615</v>
      </c>
      <c r="Q314" t="s">
        <v>40</v>
      </c>
      <c r="R314">
        <v>26</v>
      </c>
      <c r="S314">
        <v>1</v>
      </c>
      <c r="T314" t="s">
        <v>1636</v>
      </c>
      <c r="U314" t="s">
        <v>1637</v>
      </c>
      <c r="V314">
        <v>0</v>
      </c>
      <c r="W314" s="14" t="str">
        <f t="shared" si="4"/>
        <v>(3026,null,1,'2026-04-28 00:00:00','003302030080000-33020300802','003302030080000-33020300802','小儿椎动脉内膜剥脱术',null,null,5485,4940,4200,null,5915,5395,4615,'次',26,1,'normal','main',0),</v>
      </c>
    </row>
    <row r="315" spans="1:23">
      <c r="A315">
        <v>3027</v>
      </c>
      <c r="B315" t="s">
        <v>1634</v>
      </c>
      <c r="C315">
        <v>1</v>
      </c>
      <c r="D315" s="11" t="s">
        <v>1635</v>
      </c>
      <c r="E315" t="s">
        <v>1381</v>
      </c>
      <c r="F315" t="s">
        <v>1381</v>
      </c>
      <c r="G315" t="s">
        <v>1382</v>
      </c>
      <c r="H315" t="s">
        <v>1634</v>
      </c>
      <c r="I315" t="s">
        <v>1634</v>
      </c>
      <c r="J315">
        <v>5150</v>
      </c>
      <c r="K315">
        <v>4630</v>
      </c>
      <c r="L315">
        <v>3935</v>
      </c>
      <c r="M315" t="s">
        <v>1634</v>
      </c>
      <c r="N315">
        <v>5915</v>
      </c>
      <c r="O315">
        <v>5395</v>
      </c>
      <c r="P315">
        <v>4615</v>
      </c>
      <c r="Q315" t="s">
        <v>40</v>
      </c>
      <c r="R315">
        <v>26</v>
      </c>
      <c r="S315">
        <v>1</v>
      </c>
      <c r="T315" t="s">
        <v>1636</v>
      </c>
      <c r="U315" t="s">
        <v>1637</v>
      </c>
      <c r="V315">
        <v>0</v>
      </c>
      <c r="W315" s="14" t="str">
        <f t="shared" si="4"/>
        <v>(3027,null,1,'2026-04-28 00:00:00','003302030080001-33020300803','003302030080001-33020300803','小儿椎动脉内膜剥脱术-动脉成形术',null,null,5150,4630,3935,null,5915,5395,4615,'次',26,1,'normal','main',0),</v>
      </c>
    </row>
    <row r="316" spans="1:23">
      <c r="A316">
        <v>3028</v>
      </c>
      <c r="B316" t="s">
        <v>1634</v>
      </c>
      <c r="C316">
        <v>1</v>
      </c>
      <c r="D316" s="11" t="s">
        <v>1635</v>
      </c>
      <c r="E316" t="s">
        <v>1383</v>
      </c>
      <c r="F316" t="s">
        <v>1383</v>
      </c>
      <c r="G316" t="s">
        <v>1384</v>
      </c>
      <c r="H316" t="s">
        <v>1634</v>
      </c>
      <c r="I316" t="s">
        <v>1634</v>
      </c>
      <c r="J316">
        <v>3950</v>
      </c>
      <c r="K316">
        <v>3560</v>
      </c>
      <c r="L316">
        <v>3025</v>
      </c>
      <c r="M316" t="s">
        <v>1634</v>
      </c>
      <c r="N316">
        <v>5915</v>
      </c>
      <c r="O316">
        <v>5395</v>
      </c>
      <c r="P316">
        <v>4615</v>
      </c>
      <c r="Q316" t="s">
        <v>40</v>
      </c>
      <c r="R316">
        <v>26</v>
      </c>
      <c r="S316">
        <v>1</v>
      </c>
      <c r="T316" t="s">
        <v>1636</v>
      </c>
      <c r="U316" t="s">
        <v>1637</v>
      </c>
      <c r="V316">
        <v>0</v>
      </c>
      <c r="W316" s="14" t="str">
        <f t="shared" si="4"/>
        <v>(3028,null,1,'2026-04-28 00:00:00','003302030090000-33020300901','003302030090000-33020300901','小儿椎动脉减压术',null,null,3950,3560,3025,null,5915,5395,4615,'次',26,1,'normal','main',0),</v>
      </c>
    </row>
    <row r="317" spans="1:23">
      <c r="A317">
        <v>3029</v>
      </c>
      <c r="B317" t="s">
        <v>1634</v>
      </c>
      <c r="C317">
        <v>1</v>
      </c>
      <c r="D317" s="11" t="s">
        <v>1635</v>
      </c>
      <c r="E317" t="s">
        <v>1389</v>
      </c>
      <c r="F317" t="s">
        <v>1389</v>
      </c>
      <c r="G317" t="s">
        <v>1390</v>
      </c>
      <c r="H317" t="s">
        <v>1634</v>
      </c>
      <c r="I317" t="s">
        <v>1634</v>
      </c>
      <c r="J317">
        <v>2250</v>
      </c>
      <c r="K317">
        <v>2160</v>
      </c>
      <c r="L317">
        <v>1836</v>
      </c>
      <c r="M317" t="s">
        <v>1634</v>
      </c>
      <c r="N317">
        <v>2250</v>
      </c>
      <c r="O317">
        <v>2160</v>
      </c>
      <c r="P317">
        <v>1836</v>
      </c>
      <c r="Q317" t="s">
        <v>40</v>
      </c>
      <c r="R317">
        <v>26</v>
      </c>
      <c r="S317">
        <v>1</v>
      </c>
      <c r="T317" t="s">
        <v>1636</v>
      </c>
      <c r="U317" t="s">
        <v>1637</v>
      </c>
      <c r="V317">
        <v>0</v>
      </c>
      <c r="W317" s="14" t="str">
        <f t="shared" si="4"/>
        <v>(3029,null,1,'2026-04-28 00:00:00','003302030130000-330203013','003302030130000-330203013','颞肌颞浅动脉贴敷术',null,null,2250,2160,1836,null,2250,2160,1836,'次',26,1,'normal','main',0),</v>
      </c>
    </row>
    <row r="318" spans="1:23">
      <c r="A318">
        <v>3030</v>
      </c>
      <c r="B318" t="s">
        <v>1634</v>
      </c>
      <c r="C318">
        <v>1</v>
      </c>
      <c r="D318" s="11" t="s">
        <v>1635</v>
      </c>
      <c r="E318" t="s">
        <v>1394</v>
      </c>
      <c r="F318" t="s">
        <v>1394</v>
      </c>
      <c r="G318" t="s">
        <v>1395</v>
      </c>
      <c r="H318" t="s">
        <v>1634</v>
      </c>
      <c r="I318" t="s">
        <v>1634</v>
      </c>
      <c r="J318">
        <v>2925</v>
      </c>
      <c r="K318">
        <v>2810</v>
      </c>
      <c r="L318">
        <v>2390</v>
      </c>
      <c r="M318" t="s">
        <v>1634</v>
      </c>
      <c r="N318">
        <v>2925</v>
      </c>
      <c r="O318">
        <v>2810</v>
      </c>
      <c r="P318">
        <v>2386</v>
      </c>
      <c r="Q318" t="s">
        <v>40</v>
      </c>
      <c r="R318">
        <v>26</v>
      </c>
      <c r="S318">
        <v>1</v>
      </c>
      <c r="T318" t="s">
        <v>1636</v>
      </c>
      <c r="U318" t="s">
        <v>1637</v>
      </c>
      <c r="V318">
        <v>0</v>
      </c>
      <c r="W318" s="14" t="str">
        <f t="shared" si="4"/>
        <v>(3030,null,1,'2026-04-28 00:00:00','003302030130000-33020301301','003302030130000-33020301301','小儿颞肌颞浅动脉贴敷术',null,null,2925,2810,2390,null,2925,2810,2386,'次',26,1,'normal','main',0),</v>
      </c>
    </row>
    <row r="319" spans="1:23">
      <c r="A319">
        <v>3031</v>
      </c>
      <c r="B319" t="s">
        <v>1634</v>
      </c>
      <c r="C319">
        <v>1</v>
      </c>
      <c r="D319" s="11" t="s">
        <v>1635</v>
      </c>
      <c r="E319" t="s">
        <v>1400</v>
      </c>
      <c r="F319" t="s">
        <v>1400</v>
      </c>
      <c r="G319" t="s">
        <v>1401</v>
      </c>
      <c r="H319" t="s">
        <v>1634</v>
      </c>
      <c r="I319" t="s">
        <v>1634</v>
      </c>
      <c r="J319">
        <v>1250</v>
      </c>
      <c r="K319">
        <v>1200</v>
      </c>
      <c r="L319">
        <v>1020</v>
      </c>
      <c r="M319" t="s">
        <v>1634</v>
      </c>
      <c r="N319">
        <v>1250</v>
      </c>
      <c r="O319">
        <v>1200</v>
      </c>
      <c r="P319">
        <v>1020</v>
      </c>
      <c r="Q319" t="s">
        <v>40</v>
      </c>
      <c r="R319">
        <v>26</v>
      </c>
      <c r="S319">
        <v>1</v>
      </c>
      <c r="T319" t="s">
        <v>1636</v>
      </c>
      <c r="U319" t="s">
        <v>1637</v>
      </c>
      <c r="V319">
        <v>0</v>
      </c>
      <c r="W319" s="14" t="str">
        <f t="shared" si="4"/>
        <v>(3031,null,1,'2026-04-28 00:00:00','003302030140000-330203014','003302030140000-330203014','颈动脉结扎术',null,null,1250,1200,1020,null,1250,1200,1020,'次',26,1,'normal','main',0),</v>
      </c>
    </row>
    <row r="320" spans="1:23">
      <c r="A320">
        <v>3032</v>
      </c>
      <c r="B320" t="s">
        <v>1634</v>
      </c>
      <c r="C320">
        <v>1</v>
      </c>
      <c r="D320" s="11" t="s">
        <v>1635</v>
      </c>
      <c r="E320" t="s">
        <v>1406</v>
      </c>
      <c r="F320" t="s">
        <v>1406</v>
      </c>
      <c r="G320" t="s">
        <v>1407</v>
      </c>
      <c r="H320" t="s">
        <v>1634</v>
      </c>
      <c r="I320" t="s">
        <v>1634</v>
      </c>
      <c r="J320">
        <v>1625</v>
      </c>
      <c r="K320">
        <v>1560</v>
      </c>
      <c r="L320">
        <v>1325</v>
      </c>
      <c r="M320" t="s">
        <v>1634</v>
      </c>
      <c r="N320">
        <v>1625</v>
      </c>
      <c r="O320">
        <v>1560</v>
      </c>
      <c r="P320">
        <v>1325</v>
      </c>
      <c r="Q320" t="s">
        <v>40</v>
      </c>
      <c r="R320">
        <v>26</v>
      </c>
      <c r="S320">
        <v>1</v>
      </c>
      <c r="T320" t="s">
        <v>1636</v>
      </c>
      <c r="U320" t="s">
        <v>1637</v>
      </c>
      <c r="V320">
        <v>0</v>
      </c>
      <c r="W320" s="14" t="str">
        <f t="shared" si="4"/>
        <v>(3032,null,1,'2026-04-28 00:00:00','003302030140000-33020301401','003302030140000-33020301401','小儿颈动脉结扎术',null,null,1625,1560,1325,null,1625,1560,1325,'次',26,1,'normal','main',0),</v>
      </c>
    </row>
    <row r="321" spans="1:23">
      <c r="A321">
        <v>3033</v>
      </c>
      <c r="B321" t="s">
        <v>1634</v>
      </c>
      <c r="C321">
        <v>1</v>
      </c>
      <c r="D321" s="11" t="s">
        <v>1635</v>
      </c>
      <c r="E321" t="s">
        <v>1413</v>
      </c>
      <c r="F321" t="s">
        <v>1413</v>
      </c>
      <c r="G321" t="s">
        <v>1414</v>
      </c>
      <c r="H321" t="s">
        <v>1634</v>
      </c>
      <c r="I321" t="s">
        <v>1634</v>
      </c>
      <c r="J321">
        <v>3040</v>
      </c>
      <c r="K321">
        <v>2740</v>
      </c>
      <c r="L321">
        <v>2330</v>
      </c>
      <c r="M321" t="s">
        <v>1634</v>
      </c>
      <c r="N321">
        <v>4390</v>
      </c>
      <c r="O321">
        <v>3950</v>
      </c>
      <c r="P321">
        <v>3360</v>
      </c>
      <c r="Q321" t="s">
        <v>40</v>
      </c>
      <c r="R321">
        <v>26</v>
      </c>
      <c r="S321">
        <v>1</v>
      </c>
      <c r="T321" t="s">
        <v>1636</v>
      </c>
      <c r="U321" t="s">
        <v>1637</v>
      </c>
      <c r="V321">
        <v>0</v>
      </c>
      <c r="W321" s="14" t="str">
        <f t="shared" si="4"/>
        <v>(3033,null,1,'2026-04-28 00:00:00','003302010170000-330201017','003302010170000-330201017','经颅视神经管减压术',null,null,3040,2740,2330,null,4390,3950,3360,'次',26,1,'normal','main',0),</v>
      </c>
    </row>
    <row r="322" spans="1:23">
      <c r="A322">
        <v>3034</v>
      </c>
      <c r="B322" t="s">
        <v>1634</v>
      </c>
      <c r="C322">
        <v>1</v>
      </c>
      <c r="D322" s="11" t="s">
        <v>1635</v>
      </c>
      <c r="E322" t="s">
        <v>1415</v>
      </c>
      <c r="F322" t="s">
        <v>1415</v>
      </c>
      <c r="G322" t="s">
        <v>1416</v>
      </c>
      <c r="H322" t="s">
        <v>1634</v>
      </c>
      <c r="I322" t="s">
        <v>1634</v>
      </c>
      <c r="J322">
        <v>4390</v>
      </c>
      <c r="K322">
        <v>3950</v>
      </c>
      <c r="L322">
        <v>3360</v>
      </c>
      <c r="M322" t="s">
        <v>1634</v>
      </c>
      <c r="N322">
        <v>4390</v>
      </c>
      <c r="O322">
        <v>3950</v>
      </c>
      <c r="P322">
        <v>3360</v>
      </c>
      <c r="Q322" t="s">
        <v>40</v>
      </c>
      <c r="R322">
        <v>26</v>
      </c>
      <c r="S322">
        <v>1</v>
      </c>
      <c r="T322" t="s">
        <v>1636</v>
      </c>
      <c r="U322" t="s">
        <v>1637</v>
      </c>
      <c r="V322">
        <v>0</v>
      </c>
      <c r="W322" s="14" t="str">
        <f t="shared" si="4"/>
        <v>(3034,null,1,'2026-04-28 00:00:00','003302020010000-330202001','003302020010000-330202001','三叉神经感觉后根切断术',null,null,4390,3950,3360,null,4390,3950,3360,'次',26,1,'normal','main',0),</v>
      </c>
    </row>
    <row r="323" spans="1:23">
      <c r="A323">
        <v>3035</v>
      </c>
      <c r="B323" t="s">
        <v>1634</v>
      </c>
      <c r="C323">
        <v>1</v>
      </c>
      <c r="D323" s="11" t="s">
        <v>1635</v>
      </c>
      <c r="E323" t="s">
        <v>1417</v>
      </c>
      <c r="F323" t="s">
        <v>1417</v>
      </c>
      <c r="G323" t="s">
        <v>1418</v>
      </c>
      <c r="H323" t="s">
        <v>1634</v>
      </c>
      <c r="I323" t="s">
        <v>1634</v>
      </c>
      <c r="J323">
        <v>3380</v>
      </c>
      <c r="K323">
        <v>3040</v>
      </c>
      <c r="L323">
        <v>2580</v>
      </c>
      <c r="M323" t="s">
        <v>1634</v>
      </c>
      <c r="N323">
        <v>4390</v>
      </c>
      <c r="O323">
        <v>3950</v>
      </c>
      <c r="P323">
        <v>3360</v>
      </c>
      <c r="Q323" t="s">
        <v>40</v>
      </c>
      <c r="R323">
        <v>26</v>
      </c>
      <c r="S323">
        <v>1</v>
      </c>
      <c r="T323" t="s">
        <v>1636</v>
      </c>
      <c r="U323" t="s">
        <v>1637</v>
      </c>
      <c r="V323">
        <v>0</v>
      </c>
      <c r="W323" s="14" t="str">
        <f t="shared" ref="W323:W381" si="5">"("&amp;A323&amp;","&amp;B323&amp;","&amp;C323&amp;",'"&amp;D323&amp;"','"&amp;E323&amp;"','"&amp;F323&amp;"','"&amp;G323&amp;"',"&amp;H323&amp;","&amp;I323&amp;","&amp;J323&amp;","&amp;K323&amp;","&amp;L323&amp;","&amp;M323&amp;","&amp;N323&amp;","&amp;O323&amp;","&amp;P323&amp;",'"&amp;Q323&amp;"',"&amp;R323&amp;","&amp;S323&amp;",'"&amp;T323&amp;"','"&amp;U323&amp;"',"&amp;V323&amp;"),"</f>
        <v>(3035,null,1,'2026-04-28 00:00:00','003302020050000-330202005','003302020050000-330202005','颞部开颅三叉神经节切断术',null,null,3380,3040,2580,null,4390,3950,3360,'次',26,1,'normal','main',0),</v>
      </c>
    </row>
    <row r="324" spans="1:23">
      <c r="A324">
        <v>3036</v>
      </c>
      <c r="B324" t="s">
        <v>1634</v>
      </c>
      <c r="C324">
        <v>1</v>
      </c>
      <c r="D324" s="11" t="s">
        <v>1635</v>
      </c>
      <c r="E324" t="s">
        <v>1419</v>
      </c>
      <c r="F324" t="s">
        <v>1419</v>
      </c>
      <c r="G324" t="s">
        <v>1420</v>
      </c>
      <c r="H324" t="s">
        <v>1634</v>
      </c>
      <c r="I324" t="s">
        <v>1634</v>
      </c>
      <c r="J324">
        <v>3880</v>
      </c>
      <c r="K324">
        <v>3490</v>
      </c>
      <c r="L324">
        <v>2970</v>
      </c>
      <c r="M324" t="s">
        <v>1634</v>
      </c>
      <c r="N324">
        <v>4390</v>
      </c>
      <c r="O324">
        <v>3950</v>
      </c>
      <c r="P324">
        <v>3360</v>
      </c>
      <c r="Q324" t="s">
        <v>40</v>
      </c>
      <c r="R324">
        <v>26</v>
      </c>
      <c r="S324">
        <v>1</v>
      </c>
      <c r="T324" t="s">
        <v>1636</v>
      </c>
      <c r="U324" t="s">
        <v>1637</v>
      </c>
      <c r="V324">
        <v>0</v>
      </c>
      <c r="W324" s="14" t="str">
        <f t="shared" si="5"/>
        <v>(3036,null,1,'2026-04-28 00:00:00','003302020060000-330202006','003302020060000-330202006','迷路后三叉神经切断术',null,null,3880,3490,2970,null,4390,3950,3360,'次',26,1,'normal','main',0),</v>
      </c>
    </row>
    <row r="325" spans="1:23">
      <c r="A325">
        <v>3037</v>
      </c>
      <c r="B325" t="s">
        <v>1634</v>
      </c>
      <c r="C325">
        <v>1</v>
      </c>
      <c r="D325" s="11" t="s">
        <v>1635</v>
      </c>
      <c r="E325" t="s">
        <v>1421</v>
      </c>
      <c r="F325" t="s">
        <v>1421</v>
      </c>
      <c r="G325" t="s">
        <v>1422</v>
      </c>
      <c r="H325" t="s">
        <v>1634</v>
      </c>
      <c r="I325" t="s">
        <v>1634</v>
      </c>
      <c r="J325">
        <v>3880</v>
      </c>
      <c r="K325">
        <v>3490</v>
      </c>
      <c r="L325">
        <v>2970</v>
      </c>
      <c r="M325" t="s">
        <v>1634</v>
      </c>
      <c r="N325">
        <v>4390</v>
      </c>
      <c r="O325">
        <v>3950</v>
      </c>
      <c r="P325">
        <v>3360</v>
      </c>
      <c r="Q325" t="s">
        <v>40</v>
      </c>
      <c r="R325">
        <v>26</v>
      </c>
      <c r="S325">
        <v>1</v>
      </c>
      <c r="T325" t="s">
        <v>1636</v>
      </c>
      <c r="U325" t="s">
        <v>1637</v>
      </c>
      <c r="V325">
        <v>0</v>
      </c>
      <c r="W325" s="14" t="str">
        <f t="shared" si="5"/>
        <v>(3037,null,1,'2026-04-28 00:00:00','003302020140000-330202014','003302020140000-330202014','经迷路前庭神经切断术',null,null,3880,3490,2970,null,4390,3950,3360,'次',26,1,'normal','main',0),</v>
      </c>
    </row>
    <row r="326" spans="1:23">
      <c r="A326">
        <v>3038</v>
      </c>
      <c r="B326" t="s">
        <v>1634</v>
      </c>
      <c r="C326">
        <v>1</v>
      </c>
      <c r="D326" s="11" t="s">
        <v>1635</v>
      </c>
      <c r="E326" t="s">
        <v>1423</v>
      </c>
      <c r="F326" t="s">
        <v>1423</v>
      </c>
      <c r="G326" t="s">
        <v>1424</v>
      </c>
      <c r="H326" t="s">
        <v>1634</v>
      </c>
      <c r="I326" t="s">
        <v>1634</v>
      </c>
      <c r="J326">
        <v>3880</v>
      </c>
      <c r="K326">
        <v>3490</v>
      </c>
      <c r="L326">
        <v>2970</v>
      </c>
      <c r="M326" t="s">
        <v>1634</v>
      </c>
      <c r="N326">
        <v>4390</v>
      </c>
      <c r="O326">
        <v>3950</v>
      </c>
      <c r="P326">
        <v>3360</v>
      </c>
      <c r="Q326" t="s">
        <v>40</v>
      </c>
      <c r="R326">
        <v>26</v>
      </c>
      <c r="S326">
        <v>1</v>
      </c>
      <c r="T326" t="s">
        <v>1636</v>
      </c>
      <c r="U326" t="s">
        <v>1637</v>
      </c>
      <c r="V326">
        <v>0</v>
      </c>
      <c r="W326" s="14" t="str">
        <f t="shared" si="5"/>
        <v>(3038,null,1,'2026-04-28 00:00:00','003302020150000-330202015','003302020150000-330202015','迷路后前庭神经切断术',null,null,3880,3490,2970,null,4390,3950,3360,'次',26,1,'normal','main',0),</v>
      </c>
    </row>
    <row r="327" spans="1:23">
      <c r="A327">
        <v>3039</v>
      </c>
      <c r="B327" t="s">
        <v>1634</v>
      </c>
      <c r="C327">
        <v>1</v>
      </c>
      <c r="D327" s="11" t="s">
        <v>1635</v>
      </c>
      <c r="E327" t="s">
        <v>1425</v>
      </c>
      <c r="F327" t="s">
        <v>1425</v>
      </c>
      <c r="G327" t="s">
        <v>1426</v>
      </c>
      <c r="H327" t="s">
        <v>1634</v>
      </c>
      <c r="I327" t="s">
        <v>1634</v>
      </c>
      <c r="J327">
        <v>3880</v>
      </c>
      <c r="K327">
        <v>3490</v>
      </c>
      <c r="L327">
        <v>2970</v>
      </c>
      <c r="M327" t="s">
        <v>1634</v>
      </c>
      <c r="N327">
        <v>4390</v>
      </c>
      <c r="O327">
        <v>3950</v>
      </c>
      <c r="P327">
        <v>3360</v>
      </c>
      <c r="Q327" t="s">
        <v>40</v>
      </c>
      <c r="R327">
        <v>26</v>
      </c>
      <c r="S327">
        <v>1</v>
      </c>
      <c r="T327" t="s">
        <v>1636</v>
      </c>
      <c r="U327" t="s">
        <v>1637</v>
      </c>
      <c r="V327">
        <v>0</v>
      </c>
      <c r="W327" s="14" t="str">
        <f t="shared" si="5"/>
        <v>(3039,null,1,'2026-04-28 00:00:00','003302020160000-330202016','003302020160000-330202016','经内镜前庭神经切断术',null,null,3880,3490,2970,null,4390,3950,3360,'次',26,1,'normal','main',0),</v>
      </c>
    </row>
    <row r="328" spans="1:23">
      <c r="A328">
        <v>3040</v>
      </c>
      <c r="B328" t="s">
        <v>1634</v>
      </c>
      <c r="C328">
        <v>1</v>
      </c>
      <c r="D328" s="11" t="s">
        <v>1635</v>
      </c>
      <c r="E328" t="s">
        <v>1427</v>
      </c>
      <c r="F328" t="s">
        <v>1427</v>
      </c>
      <c r="G328" t="s">
        <v>1428</v>
      </c>
      <c r="H328" t="s">
        <v>1634</v>
      </c>
      <c r="I328" t="s">
        <v>1634</v>
      </c>
      <c r="J328">
        <v>3880</v>
      </c>
      <c r="K328">
        <v>3490</v>
      </c>
      <c r="L328">
        <v>2970</v>
      </c>
      <c r="M328" t="s">
        <v>1634</v>
      </c>
      <c r="N328">
        <v>4390</v>
      </c>
      <c r="O328">
        <v>3950</v>
      </c>
      <c r="P328">
        <v>3360</v>
      </c>
      <c r="Q328" t="s">
        <v>40</v>
      </c>
      <c r="R328">
        <v>26</v>
      </c>
      <c r="S328">
        <v>1</v>
      </c>
      <c r="T328" t="s">
        <v>1636</v>
      </c>
      <c r="U328" t="s">
        <v>1637</v>
      </c>
      <c r="V328">
        <v>0</v>
      </c>
      <c r="W328" s="14" t="str">
        <f t="shared" si="5"/>
        <v>(3040,null,1,'2026-04-28 00:00:00','003302020170000-330202017','003302020170000-330202017','经乙状窦后进路神经切断术',null,null,3880,3490,2970,null,4390,3950,3360,'次',26,1,'normal','main',0),</v>
      </c>
    </row>
    <row r="329" spans="1:23">
      <c r="A329">
        <v>3041</v>
      </c>
      <c r="B329" t="s">
        <v>1634</v>
      </c>
      <c r="C329">
        <v>1</v>
      </c>
      <c r="D329" s="11" t="s">
        <v>1635</v>
      </c>
      <c r="E329" t="s">
        <v>1432</v>
      </c>
      <c r="F329" t="s">
        <v>1432</v>
      </c>
      <c r="G329" t="s">
        <v>1433</v>
      </c>
      <c r="H329" t="s">
        <v>1634</v>
      </c>
      <c r="I329" t="s">
        <v>1634</v>
      </c>
      <c r="J329">
        <v>3950</v>
      </c>
      <c r="K329">
        <v>3560</v>
      </c>
      <c r="L329">
        <v>3025</v>
      </c>
      <c r="M329" t="s">
        <v>1634</v>
      </c>
      <c r="N329">
        <v>5705</v>
      </c>
      <c r="O329">
        <v>5135</v>
      </c>
      <c r="P329">
        <v>4370</v>
      </c>
      <c r="Q329" t="s">
        <v>40</v>
      </c>
      <c r="R329">
        <v>26</v>
      </c>
      <c r="S329">
        <v>1</v>
      </c>
      <c r="T329" t="s">
        <v>1636</v>
      </c>
      <c r="U329" t="s">
        <v>1637</v>
      </c>
      <c r="V329">
        <v>0</v>
      </c>
      <c r="W329" s="14" t="str">
        <f t="shared" si="5"/>
        <v>(3041,null,1,'2026-04-28 00:00:00','003302010170000-33020101701','003302010170000-33020101701','小儿经颅视神经管减压术',null,null,3950,3560,3025,null,5705,5135,4370,'次',26,1,'normal','main',0),</v>
      </c>
    </row>
    <row r="330" spans="1:23">
      <c r="A330">
        <v>3042</v>
      </c>
      <c r="B330" t="s">
        <v>1634</v>
      </c>
      <c r="C330">
        <v>1</v>
      </c>
      <c r="D330" s="11" t="s">
        <v>1635</v>
      </c>
      <c r="E330" t="s">
        <v>1434</v>
      </c>
      <c r="F330" t="s">
        <v>1434</v>
      </c>
      <c r="G330" t="s">
        <v>1435</v>
      </c>
      <c r="H330" t="s">
        <v>1634</v>
      </c>
      <c r="I330" t="s">
        <v>1634</v>
      </c>
      <c r="J330">
        <v>5705</v>
      </c>
      <c r="K330">
        <v>5135</v>
      </c>
      <c r="L330">
        <v>4365</v>
      </c>
      <c r="M330" t="s">
        <v>1634</v>
      </c>
      <c r="N330">
        <v>5705</v>
      </c>
      <c r="O330">
        <v>5135</v>
      </c>
      <c r="P330">
        <v>4370</v>
      </c>
      <c r="Q330" t="s">
        <v>40</v>
      </c>
      <c r="R330">
        <v>26</v>
      </c>
      <c r="S330">
        <v>1</v>
      </c>
      <c r="T330" t="s">
        <v>1636</v>
      </c>
      <c r="U330" t="s">
        <v>1637</v>
      </c>
      <c r="V330">
        <v>0</v>
      </c>
      <c r="W330" s="14" t="str">
        <f t="shared" si="5"/>
        <v>(3042,null,1,'2026-04-28 00:00:00','003302020010000-33020200101','003302020010000-33020200101','小儿三叉神经感觉后根切断术',null,null,5705,5135,4365,null,5705,5135,4370,'次',26,1,'normal','main',0),</v>
      </c>
    </row>
    <row r="331" spans="1:23">
      <c r="A331">
        <v>3043</v>
      </c>
      <c r="B331" t="s">
        <v>1634</v>
      </c>
      <c r="C331">
        <v>1</v>
      </c>
      <c r="D331" s="11" t="s">
        <v>1635</v>
      </c>
      <c r="E331" t="s">
        <v>1436</v>
      </c>
      <c r="F331" t="s">
        <v>1436</v>
      </c>
      <c r="G331" t="s">
        <v>1437</v>
      </c>
      <c r="H331" t="s">
        <v>1634</v>
      </c>
      <c r="I331" t="s">
        <v>1634</v>
      </c>
      <c r="J331">
        <v>4395</v>
      </c>
      <c r="K331">
        <v>3950</v>
      </c>
      <c r="L331">
        <v>3360</v>
      </c>
      <c r="M331" t="s">
        <v>1634</v>
      </c>
      <c r="N331">
        <v>5705</v>
      </c>
      <c r="O331">
        <v>5135</v>
      </c>
      <c r="P331">
        <v>4370</v>
      </c>
      <c r="Q331" t="s">
        <v>40</v>
      </c>
      <c r="R331">
        <v>26</v>
      </c>
      <c r="S331">
        <v>1</v>
      </c>
      <c r="T331" t="s">
        <v>1636</v>
      </c>
      <c r="U331" t="s">
        <v>1637</v>
      </c>
      <c r="V331">
        <v>0</v>
      </c>
      <c r="W331" s="14" t="str">
        <f t="shared" si="5"/>
        <v>(3043,null,1,'2026-04-28 00:00:00','003302020050000-33020200501','003302020050000-33020200501','小儿颞部开颅三叉神经节切断术',null,null,4395,3950,3360,null,5705,5135,4370,'次',26,1,'normal','main',0),</v>
      </c>
    </row>
    <row r="332" spans="1:23">
      <c r="A332">
        <v>3044</v>
      </c>
      <c r="B332" t="s">
        <v>1634</v>
      </c>
      <c r="C332">
        <v>1</v>
      </c>
      <c r="D332" s="11" t="s">
        <v>1635</v>
      </c>
      <c r="E332" t="s">
        <v>1438</v>
      </c>
      <c r="F332" t="s">
        <v>1438</v>
      </c>
      <c r="G332" t="s">
        <v>1439</v>
      </c>
      <c r="H332" t="s">
        <v>1634</v>
      </c>
      <c r="I332" t="s">
        <v>1634</v>
      </c>
      <c r="J332">
        <v>5045</v>
      </c>
      <c r="K332">
        <v>4535</v>
      </c>
      <c r="L332">
        <v>3855</v>
      </c>
      <c r="M332" t="s">
        <v>1634</v>
      </c>
      <c r="N332">
        <v>5705</v>
      </c>
      <c r="O332">
        <v>5135</v>
      </c>
      <c r="P332">
        <v>4370</v>
      </c>
      <c r="Q332" t="s">
        <v>40</v>
      </c>
      <c r="R332">
        <v>26</v>
      </c>
      <c r="S332">
        <v>1</v>
      </c>
      <c r="T332" t="s">
        <v>1636</v>
      </c>
      <c r="U332" t="s">
        <v>1637</v>
      </c>
      <c r="V332">
        <v>0</v>
      </c>
      <c r="W332" s="14" t="str">
        <f t="shared" si="5"/>
        <v>(3044,null,1,'2026-04-28 00:00:00','003302020060000-33020200601','003302020060000-33020200601','小儿迷路后三叉神经切断术',null,null,5045,4535,3855,null,5705,5135,4370,'次',26,1,'normal','main',0),</v>
      </c>
    </row>
    <row r="333" spans="1:23">
      <c r="A333">
        <v>3045</v>
      </c>
      <c r="B333" t="s">
        <v>1634</v>
      </c>
      <c r="C333">
        <v>1</v>
      </c>
      <c r="D333" s="11" t="s">
        <v>1635</v>
      </c>
      <c r="E333" t="s">
        <v>1440</v>
      </c>
      <c r="F333" t="s">
        <v>1440</v>
      </c>
      <c r="G333" t="s">
        <v>1441</v>
      </c>
      <c r="H333" t="s">
        <v>1634</v>
      </c>
      <c r="I333" t="s">
        <v>1634</v>
      </c>
      <c r="J333">
        <v>5045</v>
      </c>
      <c r="K333">
        <v>4535</v>
      </c>
      <c r="L333">
        <v>3855</v>
      </c>
      <c r="M333" t="s">
        <v>1634</v>
      </c>
      <c r="N333">
        <v>5705</v>
      </c>
      <c r="O333">
        <v>5135</v>
      </c>
      <c r="P333">
        <v>4370</v>
      </c>
      <c r="Q333" t="s">
        <v>40</v>
      </c>
      <c r="R333">
        <v>26</v>
      </c>
      <c r="S333">
        <v>1</v>
      </c>
      <c r="T333" t="s">
        <v>1636</v>
      </c>
      <c r="U333" t="s">
        <v>1637</v>
      </c>
      <c r="V333">
        <v>0</v>
      </c>
      <c r="W333" s="14" t="str">
        <f t="shared" si="5"/>
        <v>(3045,null,1,'2026-04-28 00:00:00','003302020140000-33020201401','003302020140000-33020201401','小儿经迷路前庭神经切断术',null,null,5045,4535,3855,null,5705,5135,4370,'次',26,1,'normal','main',0),</v>
      </c>
    </row>
    <row r="334" spans="1:23">
      <c r="A334">
        <v>3046</v>
      </c>
      <c r="B334" t="s">
        <v>1634</v>
      </c>
      <c r="C334">
        <v>1</v>
      </c>
      <c r="D334" s="11" t="s">
        <v>1635</v>
      </c>
      <c r="E334" t="s">
        <v>1442</v>
      </c>
      <c r="F334" t="s">
        <v>1442</v>
      </c>
      <c r="G334" t="s">
        <v>1443</v>
      </c>
      <c r="H334" t="s">
        <v>1634</v>
      </c>
      <c r="I334" t="s">
        <v>1634</v>
      </c>
      <c r="J334">
        <v>5045</v>
      </c>
      <c r="K334">
        <v>4535</v>
      </c>
      <c r="L334">
        <v>3855</v>
      </c>
      <c r="M334" t="s">
        <v>1634</v>
      </c>
      <c r="N334">
        <v>5705</v>
      </c>
      <c r="O334">
        <v>5135</v>
      </c>
      <c r="P334">
        <v>4370</v>
      </c>
      <c r="Q334" t="s">
        <v>40</v>
      </c>
      <c r="R334">
        <v>26</v>
      </c>
      <c r="S334">
        <v>1</v>
      </c>
      <c r="T334" t="s">
        <v>1636</v>
      </c>
      <c r="U334" t="s">
        <v>1637</v>
      </c>
      <c r="V334">
        <v>0</v>
      </c>
      <c r="W334" s="14" t="str">
        <f t="shared" si="5"/>
        <v>(3046,null,1,'2026-04-28 00:00:00','003302020150000-33020201501','003302020150000-33020201501','小儿迷路后前庭神经切断术',null,null,5045,4535,3855,null,5705,5135,4370,'次',26,1,'normal','main',0),</v>
      </c>
    </row>
    <row r="335" spans="1:23">
      <c r="A335">
        <v>3047</v>
      </c>
      <c r="B335" t="s">
        <v>1634</v>
      </c>
      <c r="C335">
        <v>1</v>
      </c>
      <c r="D335" s="11" t="s">
        <v>1635</v>
      </c>
      <c r="E335" t="s">
        <v>1444</v>
      </c>
      <c r="F335" t="s">
        <v>1444</v>
      </c>
      <c r="G335" t="s">
        <v>1445</v>
      </c>
      <c r="H335" t="s">
        <v>1634</v>
      </c>
      <c r="I335" t="s">
        <v>1634</v>
      </c>
      <c r="J335">
        <v>5045</v>
      </c>
      <c r="K335">
        <v>4535</v>
      </c>
      <c r="L335">
        <v>3855</v>
      </c>
      <c r="M335" t="s">
        <v>1634</v>
      </c>
      <c r="N335">
        <v>5705</v>
      </c>
      <c r="O335">
        <v>5135</v>
      </c>
      <c r="P335">
        <v>4370</v>
      </c>
      <c r="Q335" t="s">
        <v>40</v>
      </c>
      <c r="R335">
        <v>26</v>
      </c>
      <c r="S335">
        <v>1</v>
      </c>
      <c r="T335" t="s">
        <v>1636</v>
      </c>
      <c r="U335" t="s">
        <v>1637</v>
      </c>
      <c r="V335">
        <v>0</v>
      </c>
      <c r="W335" s="14" t="str">
        <f t="shared" si="5"/>
        <v>(3047,null,1,'2026-04-28 00:00:00','003302020160000-33020201601','003302020160000-33020201601','小儿经内镜前庭神经切断术',null,null,5045,4535,3855,null,5705,5135,4370,'次',26,1,'normal','main',0),</v>
      </c>
    </row>
    <row r="336" spans="1:23">
      <c r="A336">
        <v>3048</v>
      </c>
      <c r="B336" t="s">
        <v>1634</v>
      </c>
      <c r="C336">
        <v>1</v>
      </c>
      <c r="D336" s="11" t="s">
        <v>1635</v>
      </c>
      <c r="E336" t="s">
        <v>1446</v>
      </c>
      <c r="F336" t="s">
        <v>1446</v>
      </c>
      <c r="G336" t="s">
        <v>1447</v>
      </c>
      <c r="H336" t="s">
        <v>1634</v>
      </c>
      <c r="I336" t="s">
        <v>1634</v>
      </c>
      <c r="J336">
        <v>5045</v>
      </c>
      <c r="K336">
        <v>4535</v>
      </c>
      <c r="L336">
        <v>3855</v>
      </c>
      <c r="M336" t="s">
        <v>1634</v>
      </c>
      <c r="N336">
        <v>5705</v>
      </c>
      <c r="O336">
        <v>5135</v>
      </c>
      <c r="P336">
        <v>4370</v>
      </c>
      <c r="Q336" t="s">
        <v>40</v>
      </c>
      <c r="R336">
        <v>26</v>
      </c>
      <c r="S336">
        <v>1</v>
      </c>
      <c r="T336" t="s">
        <v>1636</v>
      </c>
      <c r="U336" t="s">
        <v>1637</v>
      </c>
      <c r="V336">
        <v>0</v>
      </c>
      <c r="W336" s="14" t="str">
        <f t="shared" si="5"/>
        <v>(3048,null,1,'2026-04-28 00:00:00','003302020170000-33020201701','003302020170000-33020201701','小儿经乙状窦后进路神经切断术',null,null,5045,4535,3855,null,5705,5135,4370,'次',26,1,'normal','main',0),</v>
      </c>
    </row>
    <row r="337" spans="1:23">
      <c r="A337">
        <v>3049</v>
      </c>
      <c r="B337" t="s">
        <v>1634</v>
      </c>
      <c r="C337">
        <v>1</v>
      </c>
      <c r="D337" s="11" t="s">
        <v>1635</v>
      </c>
      <c r="E337" t="s">
        <v>1454</v>
      </c>
      <c r="F337" t="s">
        <v>1454</v>
      </c>
      <c r="G337" t="s">
        <v>1455</v>
      </c>
      <c r="H337" t="s">
        <v>1634</v>
      </c>
      <c r="I337" t="s">
        <v>1634</v>
      </c>
      <c r="J337">
        <v>4130</v>
      </c>
      <c r="K337">
        <v>3720</v>
      </c>
      <c r="L337">
        <v>3160</v>
      </c>
      <c r="M337" t="s">
        <v>1634</v>
      </c>
      <c r="N337">
        <v>3350</v>
      </c>
      <c r="O337">
        <v>3000</v>
      </c>
      <c r="P337">
        <v>2550</v>
      </c>
      <c r="Q337" t="s">
        <v>40</v>
      </c>
      <c r="R337">
        <v>26</v>
      </c>
      <c r="S337">
        <v>1</v>
      </c>
      <c r="T337" t="s">
        <v>1636</v>
      </c>
      <c r="U337" t="s">
        <v>1637</v>
      </c>
      <c r="V337">
        <v>0</v>
      </c>
      <c r="W337" s="14" t="str">
        <f t="shared" si="5"/>
        <v>(3049,null,1,'2026-04-28 00:00:00','003302040030000-330204003','003302040030000-330204003','脊髓丘脑束切断术',null,null,4130,3720,3160,null,3350,3000,2550,'次',26,1,'normal','main',0),</v>
      </c>
    </row>
    <row r="338" spans="1:23">
      <c r="A338">
        <v>3050</v>
      </c>
      <c r="B338" t="s">
        <v>1634</v>
      </c>
      <c r="C338">
        <v>1</v>
      </c>
      <c r="D338" s="11" t="s">
        <v>1635</v>
      </c>
      <c r="E338" t="s">
        <v>1456</v>
      </c>
      <c r="F338" t="s">
        <v>1456</v>
      </c>
      <c r="G338" t="s">
        <v>1457</v>
      </c>
      <c r="H338" t="s">
        <v>1634</v>
      </c>
      <c r="I338" t="s">
        <v>1634</v>
      </c>
      <c r="J338">
        <v>4130</v>
      </c>
      <c r="K338">
        <v>3720</v>
      </c>
      <c r="L338">
        <v>3160</v>
      </c>
      <c r="M338" t="s">
        <v>1634</v>
      </c>
      <c r="N338">
        <v>3350</v>
      </c>
      <c r="O338">
        <v>3000</v>
      </c>
      <c r="P338">
        <v>2550</v>
      </c>
      <c r="Q338" t="s">
        <v>40</v>
      </c>
      <c r="R338">
        <v>26</v>
      </c>
      <c r="S338">
        <v>1</v>
      </c>
      <c r="T338" t="s">
        <v>1636</v>
      </c>
      <c r="U338" t="s">
        <v>1637</v>
      </c>
      <c r="V338">
        <v>0</v>
      </c>
      <c r="W338" s="14" t="str">
        <f t="shared" si="5"/>
        <v>(3050,null,1,'2026-04-28 00:00:00','003302040050000-330204005','003302040050000-330204005','脊髓前连合切断术',null,null,4130,3720,3160,null,3350,3000,2550,'次',26,1,'normal','main',0),</v>
      </c>
    </row>
    <row r="339" spans="1:23">
      <c r="A339">
        <v>3051</v>
      </c>
      <c r="B339" t="s">
        <v>1634</v>
      </c>
      <c r="C339">
        <v>1</v>
      </c>
      <c r="D339" s="11" t="s">
        <v>1635</v>
      </c>
      <c r="E339" t="s">
        <v>1459</v>
      </c>
      <c r="F339" t="s">
        <v>1459</v>
      </c>
      <c r="G339" t="s">
        <v>1460</v>
      </c>
      <c r="H339" t="s">
        <v>1634</v>
      </c>
      <c r="I339" t="s">
        <v>1634</v>
      </c>
      <c r="J339">
        <v>4130</v>
      </c>
      <c r="K339">
        <v>3720</v>
      </c>
      <c r="L339">
        <v>3160</v>
      </c>
      <c r="M339" t="s">
        <v>1634</v>
      </c>
      <c r="N339">
        <v>3350</v>
      </c>
      <c r="O339">
        <v>3000</v>
      </c>
      <c r="P339">
        <v>2550</v>
      </c>
      <c r="Q339" t="s">
        <v>40</v>
      </c>
      <c r="R339">
        <v>26</v>
      </c>
      <c r="S339">
        <v>1</v>
      </c>
      <c r="T339" t="s">
        <v>1636</v>
      </c>
      <c r="U339" t="s">
        <v>1637</v>
      </c>
      <c r="V339">
        <v>0</v>
      </c>
      <c r="W339" s="14" t="str">
        <f t="shared" si="5"/>
        <v>(3051,null,1,'2026-04-28 00:00:00','003302040050100-33020400501','003302040050100-33020400501','脊髓前连合切断术（选择性脊神经后根切断术）',null,null,4130,3720,3160,null,3350,3000,2550,'次',26,1,'normal','main',0),</v>
      </c>
    </row>
    <row r="340" spans="1:23">
      <c r="A340">
        <v>3052</v>
      </c>
      <c r="B340" t="s">
        <v>1634</v>
      </c>
      <c r="C340">
        <v>1</v>
      </c>
      <c r="D340" s="11" t="s">
        <v>1635</v>
      </c>
      <c r="E340" t="s">
        <v>1462</v>
      </c>
      <c r="F340" t="s">
        <v>1462</v>
      </c>
      <c r="G340" t="s">
        <v>1463</v>
      </c>
      <c r="H340" t="s">
        <v>1634</v>
      </c>
      <c r="I340" t="s">
        <v>1634</v>
      </c>
      <c r="J340">
        <v>3040</v>
      </c>
      <c r="K340">
        <v>2740</v>
      </c>
      <c r="L340">
        <v>2330</v>
      </c>
      <c r="M340" t="s">
        <v>1634</v>
      </c>
      <c r="N340">
        <v>3350</v>
      </c>
      <c r="O340">
        <v>3000</v>
      </c>
      <c r="P340">
        <v>2550</v>
      </c>
      <c r="Q340" t="s">
        <v>40</v>
      </c>
      <c r="R340">
        <v>26</v>
      </c>
      <c r="S340">
        <v>1</v>
      </c>
      <c r="T340" t="s">
        <v>1636</v>
      </c>
      <c r="U340" t="s">
        <v>1637</v>
      </c>
      <c r="V340">
        <v>0</v>
      </c>
      <c r="W340" s="14" t="str">
        <f t="shared" si="5"/>
        <v>(3052,null,1,'2026-04-28 00:00:00','003302040140000-330204014','003302040140000-330204014','选择性脊神经后根切断术（SPR）',null,null,3040,2740,2330,null,3350,3000,2550,'次',26,1,'normal','main',0),</v>
      </c>
    </row>
    <row r="341" spans="1:23">
      <c r="A341">
        <v>3053</v>
      </c>
      <c r="B341" t="s">
        <v>1634</v>
      </c>
      <c r="C341">
        <v>1</v>
      </c>
      <c r="D341" s="11" t="s">
        <v>1635</v>
      </c>
      <c r="E341" t="s">
        <v>1466</v>
      </c>
      <c r="F341" t="s">
        <v>1466</v>
      </c>
      <c r="G341" t="s">
        <v>1467</v>
      </c>
      <c r="H341" t="s">
        <v>1634</v>
      </c>
      <c r="I341" t="s">
        <v>1634</v>
      </c>
      <c r="J341">
        <v>5370</v>
      </c>
      <c r="K341">
        <v>4835</v>
      </c>
      <c r="L341">
        <v>4110</v>
      </c>
      <c r="M341" t="s">
        <v>1634</v>
      </c>
      <c r="N341">
        <v>4355</v>
      </c>
      <c r="O341">
        <v>3900</v>
      </c>
      <c r="P341">
        <v>3315</v>
      </c>
      <c r="Q341" t="s">
        <v>40</v>
      </c>
      <c r="R341">
        <v>26</v>
      </c>
      <c r="S341">
        <v>1</v>
      </c>
      <c r="T341" t="s">
        <v>1636</v>
      </c>
      <c r="U341" t="s">
        <v>1637</v>
      </c>
      <c r="V341">
        <v>0</v>
      </c>
      <c r="W341" s="14" t="str">
        <f t="shared" si="5"/>
        <v>(3053,null,1,'2026-04-28 00:00:00','003302040030000-33020400301','003302040030000-33020400301','小儿脊髓丘脑束切断术',null,null,5370,4835,4110,null,4355,3900,3315,'次',26,1,'normal','main',0),</v>
      </c>
    </row>
    <row r="342" spans="1:23">
      <c r="A342">
        <v>3054</v>
      </c>
      <c r="B342" t="s">
        <v>1634</v>
      </c>
      <c r="C342">
        <v>1</v>
      </c>
      <c r="D342" s="11" t="s">
        <v>1635</v>
      </c>
      <c r="E342" t="s">
        <v>1468</v>
      </c>
      <c r="F342" t="s">
        <v>1468</v>
      </c>
      <c r="G342" t="s">
        <v>1469</v>
      </c>
      <c r="H342" t="s">
        <v>1634</v>
      </c>
      <c r="I342" t="s">
        <v>1634</v>
      </c>
      <c r="J342">
        <v>5370</v>
      </c>
      <c r="K342">
        <v>4835</v>
      </c>
      <c r="L342">
        <v>4110</v>
      </c>
      <c r="M342" t="s">
        <v>1634</v>
      </c>
      <c r="N342">
        <v>4355</v>
      </c>
      <c r="O342">
        <v>3900</v>
      </c>
      <c r="P342">
        <v>3315</v>
      </c>
      <c r="Q342" t="s">
        <v>40</v>
      </c>
      <c r="R342">
        <v>26</v>
      </c>
      <c r="S342">
        <v>1</v>
      </c>
      <c r="T342" t="s">
        <v>1636</v>
      </c>
      <c r="U342" t="s">
        <v>1637</v>
      </c>
      <c r="V342">
        <v>0</v>
      </c>
      <c r="W342" s="14" t="str">
        <f t="shared" si="5"/>
        <v>(3054,null,1,'2026-04-28 00:00:00','003302040050000-33020400502','003302040050000-33020400502','小儿脊髓前连合切断术',null,null,5370,4835,4110,null,4355,3900,3315,'次',26,1,'normal','main',0),</v>
      </c>
    </row>
    <row r="343" spans="1:23">
      <c r="A343">
        <v>3055</v>
      </c>
      <c r="B343" t="s">
        <v>1634</v>
      </c>
      <c r="C343">
        <v>1</v>
      </c>
      <c r="D343" s="11" t="s">
        <v>1635</v>
      </c>
      <c r="E343" t="s">
        <v>1470</v>
      </c>
      <c r="F343" t="s">
        <v>1470</v>
      </c>
      <c r="G343" t="s">
        <v>1471</v>
      </c>
      <c r="H343" t="s">
        <v>1634</v>
      </c>
      <c r="I343" t="s">
        <v>1634</v>
      </c>
      <c r="J343">
        <v>3950</v>
      </c>
      <c r="K343">
        <v>3560</v>
      </c>
      <c r="L343">
        <v>3025</v>
      </c>
      <c r="M343" t="s">
        <v>1634</v>
      </c>
      <c r="N343">
        <v>4355</v>
      </c>
      <c r="O343">
        <v>3900</v>
      </c>
      <c r="P343">
        <v>3315</v>
      </c>
      <c r="Q343" t="s">
        <v>40</v>
      </c>
      <c r="R343">
        <v>26</v>
      </c>
      <c r="S343">
        <v>1</v>
      </c>
      <c r="T343" t="s">
        <v>1636</v>
      </c>
      <c r="U343" t="s">
        <v>1637</v>
      </c>
      <c r="V343">
        <v>0</v>
      </c>
      <c r="W343" s="14" t="str">
        <f t="shared" si="5"/>
        <v>(3055,null,1,'2026-04-28 00:00:00','003302040140000-33020401401','003302040140000-33020401401','小儿选择性脊神经后根切断术（SPR）',null,null,3950,3560,3025,null,4355,3900,3315,'次',26,1,'normal','main',0),</v>
      </c>
    </row>
    <row r="344" spans="1:23">
      <c r="A344">
        <v>3056</v>
      </c>
      <c r="B344" t="s">
        <v>1634</v>
      </c>
      <c r="C344">
        <v>1</v>
      </c>
      <c r="D344" s="11" t="s">
        <v>1635</v>
      </c>
      <c r="E344" t="s">
        <v>1477</v>
      </c>
      <c r="F344" t="s">
        <v>1477</v>
      </c>
      <c r="G344" t="s">
        <v>1478</v>
      </c>
      <c r="H344" t="s">
        <v>1634</v>
      </c>
      <c r="I344" t="s">
        <v>1634</v>
      </c>
      <c r="J344">
        <v>2530</v>
      </c>
      <c r="K344">
        <v>2280</v>
      </c>
      <c r="L344">
        <v>1940</v>
      </c>
      <c r="M344" t="s">
        <v>1634</v>
      </c>
      <c r="N344">
        <v>2600</v>
      </c>
      <c r="O344">
        <v>2350</v>
      </c>
      <c r="P344">
        <v>2000</v>
      </c>
      <c r="Q344" t="s">
        <v>40</v>
      </c>
      <c r="R344">
        <v>26</v>
      </c>
      <c r="S344">
        <v>1</v>
      </c>
      <c r="T344" t="s">
        <v>1636</v>
      </c>
      <c r="U344" t="s">
        <v>1637</v>
      </c>
      <c r="V344">
        <v>0</v>
      </c>
      <c r="W344" s="14" t="str">
        <f t="shared" si="5"/>
        <v>(3056,null,1,'2026-04-28 00:00:00','003302040150000-330204015','003302040150000-330204015','胸腰交感神经节切断术',null,null,2530,2280,1940,null,2600,2350,2000,'次',26,1,'normal','main',0),</v>
      </c>
    </row>
    <row r="345" spans="1:23">
      <c r="A345">
        <v>3057</v>
      </c>
      <c r="B345" t="s">
        <v>1634</v>
      </c>
      <c r="C345">
        <v>1</v>
      </c>
      <c r="D345" s="11" t="s">
        <v>1635</v>
      </c>
      <c r="E345" t="s">
        <v>1480</v>
      </c>
      <c r="F345" t="s">
        <v>1480</v>
      </c>
      <c r="G345" t="s">
        <v>1481</v>
      </c>
      <c r="H345" t="s">
        <v>1634</v>
      </c>
      <c r="I345" t="s">
        <v>1634</v>
      </c>
      <c r="J345">
        <v>2530</v>
      </c>
      <c r="K345">
        <v>2280</v>
      </c>
      <c r="L345">
        <v>1940</v>
      </c>
      <c r="M345" t="s">
        <v>1634</v>
      </c>
      <c r="N345">
        <v>2600</v>
      </c>
      <c r="O345">
        <v>2350</v>
      </c>
      <c r="P345">
        <v>2000</v>
      </c>
      <c r="Q345" t="s">
        <v>40</v>
      </c>
      <c r="R345">
        <v>26</v>
      </c>
      <c r="S345">
        <v>1</v>
      </c>
      <c r="T345" t="s">
        <v>1636</v>
      </c>
      <c r="U345" t="s">
        <v>1637</v>
      </c>
      <c r="V345">
        <v>0</v>
      </c>
      <c r="W345" s="14" t="str">
        <f t="shared" si="5"/>
        <v>(3057,null,1,'2026-04-28 00:00:00','003310070180000-331007018','003310070180000-331007018','胰腺周围神经切除术',null,null,2530,2280,1940,null,2600,2350,2000,'次',26,1,'normal','main',0),</v>
      </c>
    </row>
    <row r="346" spans="1:23">
      <c r="A346">
        <v>3058</v>
      </c>
      <c r="B346" t="s">
        <v>1634</v>
      </c>
      <c r="C346">
        <v>1</v>
      </c>
      <c r="D346" s="11" t="s">
        <v>1635</v>
      </c>
      <c r="E346" t="s">
        <v>1483</v>
      </c>
      <c r="F346" t="s">
        <v>1483</v>
      </c>
      <c r="G346" t="s">
        <v>1484</v>
      </c>
      <c r="H346" t="s">
        <v>1634</v>
      </c>
      <c r="I346" t="s">
        <v>1634</v>
      </c>
      <c r="J346">
        <v>3155</v>
      </c>
      <c r="K346">
        <v>2880</v>
      </c>
      <c r="L346">
        <v>2450</v>
      </c>
      <c r="M346" t="s">
        <v>1634</v>
      </c>
      <c r="N346">
        <v>2600</v>
      </c>
      <c r="O346">
        <v>2350</v>
      </c>
      <c r="P346">
        <v>2000</v>
      </c>
      <c r="R346">
        <v>26</v>
      </c>
      <c r="S346">
        <v>1</v>
      </c>
      <c r="T346" t="s">
        <v>1636</v>
      </c>
      <c r="U346" t="s">
        <v>1637</v>
      </c>
      <c r="V346">
        <v>0</v>
      </c>
      <c r="W346" s="14" t="str">
        <f t="shared" si="5"/>
        <v>(3058,null,1,'2026-04-28 00:00:00','003310070180000-33100701802','003310070180000-33100701802','经腹腔镜胰腺周围神经切除术',null,null,3155,2880,2450,null,2600,2350,2000,'',26,1,'normal','main',0),</v>
      </c>
    </row>
    <row r="347" spans="1:23">
      <c r="A347">
        <v>3059</v>
      </c>
      <c r="B347" t="s">
        <v>1634</v>
      </c>
      <c r="C347">
        <v>1</v>
      </c>
      <c r="D347" s="11" t="s">
        <v>1635</v>
      </c>
      <c r="E347" t="s">
        <v>1485</v>
      </c>
      <c r="F347" t="s">
        <v>1485</v>
      </c>
      <c r="G347" t="s">
        <v>1486</v>
      </c>
      <c r="H347" t="s">
        <v>1634</v>
      </c>
      <c r="I347" t="s">
        <v>1634</v>
      </c>
      <c r="J347">
        <v>2030</v>
      </c>
      <c r="K347">
        <v>1830</v>
      </c>
      <c r="L347">
        <v>1560</v>
      </c>
      <c r="M347" t="s">
        <v>1634</v>
      </c>
      <c r="N347">
        <v>2600</v>
      </c>
      <c r="O347">
        <v>2350</v>
      </c>
      <c r="P347">
        <v>2000</v>
      </c>
      <c r="R347">
        <v>26</v>
      </c>
      <c r="S347">
        <v>1</v>
      </c>
      <c r="T347" t="s">
        <v>1636</v>
      </c>
      <c r="U347" t="s">
        <v>1637</v>
      </c>
      <c r="V347">
        <v>0</v>
      </c>
      <c r="W347" s="14" t="str">
        <f t="shared" si="5"/>
        <v>(3059,null,1,'2026-04-28 00:00:00','003310020130000-331002013','003310020130000-331002013','胃迷走神经切断术',null,null,2030,1830,1560,null,2600,2350,2000,'',26,1,'normal','main',0),</v>
      </c>
    </row>
    <row r="348" spans="1:23">
      <c r="A348">
        <v>3060</v>
      </c>
      <c r="B348" t="s">
        <v>1634</v>
      </c>
      <c r="C348">
        <v>1</v>
      </c>
      <c r="D348" s="11" t="s">
        <v>1635</v>
      </c>
      <c r="E348" t="s">
        <v>1488</v>
      </c>
      <c r="F348" t="s">
        <v>1488</v>
      </c>
      <c r="G348" t="s">
        <v>1489</v>
      </c>
      <c r="H348" t="s">
        <v>1634</v>
      </c>
      <c r="I348" t="s">
        <v>1634</v>
      </c>
      <c r="J348">
        <v>2655</v>
      </c>
      <c r="K348">
        <v>2430</v>
      </c>
      <c r="L348">
        <v>2070</v>
      </c>
      <c r="M348" t="s">
        <v>1634</v>
      </c>
      <c r="N348">
        <v>2600</v>
      </c>
      <c r="O348">
        <v>2350</v>
      </c>
      <c r="P348">
        <v>2000</v>
      </c>
      <c r="R348">
        <v>26</v>
      </c>
      <c r="S348">
        <v>1</v>
      </c>
      <c r="T348" t="s">
        <v>1636</v>
      </c>
      <c r="U348" t="s">
        <v>1637</v>
      </c>
      <c r="V348">
        <v>0</v>
      </c>
      <c r="W348" s="14" t="str">
        <f t="shared" si="5"/>
        <v>(3060,null,1,'2026-04-28 00:00:00','003310020130001-33100201302','003310020130001-33100201302','经腹腔镜胃迷走神经切断术',null,null,2655,2430,2070,null,2600,2350,2000,'',26,1,'normal','main',0),</v>
      </c>
    </row>
    <row r="349" spans="1:23">
      <c r="A349">
        <v>3061</v>
      </c>
      <c r="B349" t="s">
        <v>1634</v>
      </c>
      <c r="C349">
        <v>1</v>
      </c>
      <c r="D349" s="11" t="s">
        <v>1635</v>
      </c>
      <c r="E349" t="s">
        <v>1492</v>
      </c>
      <c r="F349" t="s">
        <v>1492</v>
      </c>
      <c r="G349" t="s">
        <v>1493</v>
      </c>
      <c r="H349" t="s">
        <v>1634</v>
      </c>
      <c r="I349" t="s">
        <v>1634</v>
      </c>
      <c r="J349">
        <v>3290</v>
      </c>
      <c r="K349">
        <v>2965</v>
      </c>
      <c r="L349">
        <v>2520</v>
      </c>
      <c r="M349" t="s">
        <v>1634</v>
      </c>
      <c r="N349">
        <v>3380</v>
      </c>
      <c r="O349">
        <v>3055</v>
      </c>
      <c r="P349">
        <v>2600</v>
      </c>
      <c r="Q349" t="s">
        <v>40</v>
      </c>
      <c r="R349">
        <v>26</v>
      </c>
      <c r="S349">
        <v>1</v>
      </c>
      <c r="T349" t="s">
        <v>1636</v>
      </c>
      <c r="U349" t="s">
        <v>1637</v>
      </c>
      <c r="V349">
        <v>0</v>
      </c>
      <c r="W349" s="14" t="str">
        <f t="shared" si="5"/>
        <v>(3061,null,1,'2026-04-28 00:00:00','003302040150000-33020401501','003302040150000-33020401501','小儿胸腰交感神经节切断术',null,null,3290,2965,2520,null,3380,3055,2600,'次',26,1,'normal','main',0),</v>
      </c>
    </row>
    <row r="350" spans="1:23">
      <c r="A350">
        <v>3062</v>
      </c>
      <c r="B350" t="s">
        <v>1634</v>
      </c>
      <c r="C350">
        <v>1</v>
      </c>
      <c r="D350" s="11" t="s">
        <v>1635</v>
      </c>
      <c r="E350" t="s">
        <v>1494</v>
      </c>
      <c r="F350" t="s">
        <v>1494</v>
      </c>
      <c r="G350" t="s">
        <v>1495</v>
      </c>
      <c r="H350" t="s">
        <v>1634</v>
      </c>
      <c r="I350" t="s">
        <v>1634</v>
      </c>
      <c r="J350">
        <v>3290</v>
      </c>
      <c r="K350">
        <v>2965</v>
      </c>
      <c r="L350">
        <v>2520</v>
      </c>
      <c r="M350" t="s">
        <v>1634</v>
      </c>
      <c r="N350">
        <v>3380</v>
      </c>
      <c r="O350">
        <v>3055</v>
      </c>
      <c r="P350">
        <v>2600</v>
      </c>
      <c r="R350">
        <v>26</v>
      </c>
      <c r="S350">
        <v>1</v>
      </c>
      <c r="T350" t="s">
        <v>1636</v>
      </c>
      <c r="U350" t="s">
        <v>1637</v>
      </c>
      <c r="V350">
        <v>0</v>
      </c>
      <c r="W350" s="14" t="str">
        <f t="shared" si="5"/>
        <v>(3062,null,1,'2026-04-28 00:00:00','003310070180000-33100701801','003310070180000-33100701801','小儿胰腺周围神经切除术',null,null,3290,2965,2520,null,3380,3055,2600,'',26,1,'normal','main',0),</v>
      </c>
    </row>
    <row r="351" spans="1:23">
      <c r="A351">
        <v>3063</v>
      </c>
      <c r="B351" t="s">
        <v>1634</v>
      </c>
      <c r="C351">
        <v>1</v>
      </c>
      <c r="D351" s="11" t="s">
        <v>1635</v>
      </c>
      <c r="E351" t="s">
        <v>1496</v>
      </c>
      <c r="F351" t="s">
        <v>1496</v>
      </c>
      <c r="G351" t="s">
        <v>1497</v>
      </c>
      <c r="H351" t="s">
        <v>1634</v>
      </c>
      <c r="I351" t="s">
        <v>1634</v>
      </c>
      <c r="J351">
        <v>3915</v>
      </c>
      <c r="K351">
        <v>3565</v>
      </c>
      <c r="L351">
        <v>3030</v>
      </c>
      <c r="M351" t="s">
        <v>1634</v>
      </c>
      <c r="N351">
        <v>3380</v>
      </c>
      <c r="O351">
        <v>3055</v>
      </c>
      <c r="P351">
        <v>2600</v>
      </c>
      <c r="R351">
        <v>26</v>
      </c>
      <c r="S351">
        <v>1</v>
      </c>
      <c r="T351" t="s">
        <v>1636</v>
      </c>
      <c r="U351" t="s">
        <v>1637</v>
      </c>
      <c r="V351">
        <v>0</v>
      </c>
      <c r="W351" s="14" t="str">
        <f t="shared" si="5"/>
        <v>(3063,null,1,'2026-04-28 00:00:00','003310070180000-33100701803','003310070180000-33100701803','小儿经腹腔镜胰腺周围神经切除术',null,null,3915,3565,3030,null,3380,3055,2600,'',26,1,'normal','main',0),</v>
      </c>
    </row>
    <row r="352" spans="1:23">
      <c r="A352">
        <v>3064</v>
      </c>
      <c r="B352" t="s">
        <v>1634</v>
      </c>
      <c r="C352">
        <v>1</v>
      </c>
      <c r="D352" s="11" t="s">
        <v>1635</v>
      </c>
      <c r="E352" t="s">
        <v>1498</v>
      </c>
      <c r="F352" t="s">
        <v>1498</v>
      </c>
      <c r="G352" t="s">
        <v>1499</v>
      </c>
      <c r="H352" t="s">
        <v>1634</v>
      </c>
      <c r="I352" t="s">
        <v>1634</v>
      </c>
      <c r="J352">
        <v>2640</v>
      </c>
      <c r="K352">
        <v>2380</v>
      </c>
      <c r="L352">
        <v>2025</v>
      </c>
      <c r="M352" t="s">
        <v>1634</v>
      </c>
      <c r="N352">
        <v>3380</v>
      </c>
      <c r="O352">
        <v>3055</v>
      </c>
      <c r="P352">
        <v>2600</v>
      </c>
      <c r="R352">
        <v>26</v>
      </c>
      <c r="S352">
        <v>1</v>
      </c>
      <c r="T352" t="s">
        <v>1636</v>
      </c>
      <c r="U352" t="s">
        <v>1637</v>
      </c>
      <c r="V352">
        <v>0</v>
      </c>
      <c r="W352" s="14" t="str">
        <f t="shared" si="5"/>
        <v>(3064,null,1,'2026-04-28 00:00:00','003310020130000-33100201301','003310020130000-33100201301','小儿胃迷走神经切断术',null,null,2640,2380,2025,null,3380,3055,2600,'',26,1,'normal','main',0),</v>
      </c>
    </row>
    <row r="353" spans="1:23">
      <c r="A353">
        <v>3065</v>
      </c>
      <c r="B353" t="s">
        <v>1634</v>
      </c>
      <c r="C353">
        <v>1</v>
      </c>
      <c r="D353" s="11" t="s">
        <v>1635</v>
      </c>
      <c r="E353" t="s">
        <v>1500</v>
      </c>
      <c r="F353" t="s">
        <v>1500</v>
      </c>
      <c r="G353" t="s">
        <v>1501</v>
      </c>
      <c r="H353" t="s">
        <v>1634</v>
      </c>
      <c r="I353" t="s">
        <v>1634</v>
      </c>
      <c r="J353">
        <v>3265</v>
      </c>
      <c r="K353">
        <v>2980</v>
      </c>
      <c r="L353">
        <v>2535</v>
      </c>
      <c r="M353" t="s">
        <v>1634</v>
      </c>
      <c r="N353">
        <v>3380</v>
      </c>
      <c r="O353">
        <v>3055</v>
      </c>
      <c r="P353">
        <v>2600</v>
      </c>
      <c r="R353">
        <v>26</v>
      </c>
      <c r="S353">
        <v>1</v>
      </c>
      <c r="T353" t="s">
        <v>1636</v>
      </c>
      <c r="U353" t="s">
        <v>1637</v>
      </c>
      <c r="V353">
        <v>0</v>
      </c>
      <c r="W353" s="14" t="str">
        <f t="shared" si="5"/>
        <v>(3065,null,1,'2026-04-28 00:00:00','003310020130001-33100201303','003310020130001-33100201303','小儿经腹腔镜胃迷走神经切断术',null,null,3265,2980,2535,null,3380,3055,2600,'',26,1,'normal','main',0),</v>
      </c>
    </row>
    <row r="354" spans="1:23">
      <c r="A354">
        <v>3066</v>
      </c>
      <c r="B354" t="s">
        <v>1634</v>
      </c>
      <c r="C354">
        <v>1</v>
      </c>
      <c r="D354" s="11" t="s">
        <v>1635</v>
      </c>
      <c r="E354" t="s">
        <v>1506</v>
      </c>
      <c r="F354" t="s">
        <v>1506</v>
      </c>
      <c r="G354" t="s">
        <v>1507</v>
      </c>
      <c r="H354" t="s">
        <v>1634</v>
      </c>
      <c r="I354" t="s">
        <v>1634</v>
      </c>
      <c r="J354">
        <v>1125</v>
      </c>
      <c r="K354">
        <v>1080</v>
      </c>
      <c r="L354">
        <v>918</v>
      </c>
      <c r="M354" t="s">
        <v>1634</v>
      </c>
      <c r="N354">
        <v>1190</v>
      </c>
      <c r="O354">
        <v>1080</v>
      </c>
      <c r="P354">
        <v>920</v>
      </c>
      <c r="Q354" t="s">
        <v>373</v>
      </c>
      <c r="R354">
        <v>26</v>
      </c>
      <c r="S354">
        <v>1</v>
      </c>
      <c r="T354" t="s">
        <v>1636</v>
      </c>
      <c r="U354" t="s">
        <v>1637</v>
      </c>
      <c r="V354">
        <v>0</v>
      </c>
      <c r="W354" s="14" t="str">
        <f t="shared" si="5"/>
        <v>(3066,null,1,'2026-04-28 00:00:00','003302020020000-330202002','003302020020000-330202002','三叉神经周围支切断术',null,null,1125,1080,918,null,1190,1080,920,'每神经支',26,1,'normal','main',0),</v>
      </c>
    </row>
    <row r="355" spans="1:23">
      <c r="A355">
        <v>3067</v>
      </c>
      <c r="B355" t="s">
        <v>1634</v>
      </c>
      <c r="C355">
        <v>1</v>
      </c>
      <c r="D355" s="11" t="s">
        <v>1635</v>
      </c>
      <c r="E355" t="s">
        <v>1509</v>
      </c>
      <c r="F355" t="s">
        <v>1509</v>
      </c>
      <c r="G355" t="s">
        <v>1510</v>
      </c>
      <c r="H355" t="s">
        <v>1634</v>
      </c>
      <c r="I355" t="s">
        <v>1634</v>
      </c>
      <c r="J355">
        <v>1187.5</v>
      </c>
      <c r="K355">
        <v>1140</v>
      </c>
      <c r="L355">
        <v>969</v>
      </c>
      <c r="M355" t="s">
        <v>1634</v>
      </c>
      <c r="N355">
        <v>1190</v>
      </c>
      <c r="O355">
        <v>1080</v>
      </c>
      <c r="P355">
        <v>920</v>
      </c>
      <c r="Q355" t="s">
        <v>373</v>
      </c>
      <c r="R355">
        <v>26</v>
      </c>
      <c r="S355">
        <v>1</v>
      </c>
      <c r="T355" t="s">
        <v>1636</v>
      </c>
      <c r="U355" t="s">
        <v>1637</v>
      </c>
      <c r="V355">
        <v>0</v>
      </c>
      <c r="W355" s="14" t="str">
        <f t="shared" si="5"/>
        <v>(3067,null,1,'2026-04-28 00:00:00','003302020020100-33020200201','003302020020100-33020200201','三叉神经周围支切断术（酒精封闭法、甘油封闭法、冷冻法、射频法）',null,null,1187.5,1140,969,null,1190,1080,920,'每神经支',26,1,'normal','main',0),</v>
      </c>
    </row>
    <row r="356" spans="1:23">
      <c r="A356">
        <v>3068</v>
      </c>
      <c r="B356" t="s">
        <v>1634</v>
      </c>
      <c r="C356">
        <v>1</v>
      </c>
      <c r="D356" s="11" t="s">
        <v>1635</v>
      </c>
      <c r="E356" t="s">
        <v>1512</v>
      </c>
      <c r="F356" t="s">
        <v>1512</v>
      </c>
      <c r="G356" t="s">
        <v>1513</v>
      </c>
      <c r="H356" t="s">
        <v>1634</v>
      </c>
      <c r="I356" t="s">
        <v>1634</v>
      </c>
      <c r="J356">
        <v>1000</v>
      </c>
      <c r="K356">
        <v>960</v>
      </c>
      <c r="L356">
        <v>816</v>
      </c>
      <c r="M356" t="s">
        <v>1634</v>
      </c>
      <c r="N356">
        <v>1190</v>
      </c>
      <c r="O356">
        <v>1080</v>
      </c>
      <c r="P356">
        <v>920</v>
      </c>
      <c r="Q356" t="s">
        <v>373</v>
      </c>
      <c r="R356">
        <v>26</v>
      </c>
      <c r="S356">
        <v>1</v>
      </c>
      <c r="T356" t="s">
        <v>1636</v>
      </c>
      <c r="U356" t="s">
        <v>1637</v>
      </c>
      <c r="V356">
        <v>0</v>
      </c>
      <c r="W356" s="14" t="str">
        <f t="shared" si="5"/>
        <v>(3068,null,1,'2026-04-28 00:00:00','003302020030000-330202003','003302020030000-330202003','三叉神经撕脱术',null,null,1000,960,816,null,1190,1080,920,'每神经支',26,1,'normal','main',0),</v>
      </c>
    </row>
    <row r="357" spans="1:23">
      <c r="A357">
        <v>3069</v>
      </c>
      <c r="B357" t="s">
        <v>1634</v>
      </c>
      <c r="C357">
        <v>1</v>
      </c>
      <c r="D357" s="11" t="s">
        <v>1635</v>
      </c>
      <c r="E357" t="s">
        <v>1516</v>
      </c>
      <c r="F357" t="s">
        <v>1516</v>
      </c>
      <c r="G357" t="s">
        <v>1517</v>
      </c>
      <c r="H357" t="s">
        <v>1634</v>
      </c>
      <c r="I357" t="s">
        <v>1634</v>
      </c>
      <c r="J357">
        <v>1465</v>
      </c>
      <c r="K357">
        <v>1405</v>
      </c>
      <c r="L357">
        <v>1195</v>
      </c>
      <c r="M357" t="s">
        <v>1634</v>
      </c>
      <c r="N357">
        <v>1545</v>
      </c>
      <c r="O357">
        <v>1405</v>
      </c>
      <c r="P357">
        <v>1195</v>
      </c>
      <c r="Q357" t="s">
        <v>373</v>
      </c>
      <c r="R357">
        <v>26</v>
      </c>
      <c r="S357">
        <v>1</v>
      </c>
      <c r="T357" t="s">
        <v>1636</v>
      </c>
      <c r="U357" t="s">
        <v>1637</v>
      </c>
      <c r="V357">
        <v>0</v>
      </c>
      <c r="W357" s="14" t="str">
        <f t="shared" si="5"/>
        <v>(3069,null,1,'2026-04-28 00:00:00','003302020020000-33020200202','003302020020000-33020200202','小儿三叉神经周围支切断术',null,null,1465,1405,1195,null,1545,1405,1195,'每神经支',26,1,'normal','main',0),</v>
      </c>
    </row>
    <row r="358" spans="1:23">
      <c r="A358">
        <v>3070</v>
      </c>
      <c r="B358" t="s">
        <v>1634</v>
      </c>
      <c r="C358">
        <v>1</v>
      </c>
      <c r="D358" s="11" t="s">
        <v>1635</v>
      </c>
      <c r="E358" t="s">
        <v>1518</v>
      </c>
      <c r="F358" t="s">
        <v>1518</v>
      </c>
      <c r="G358" t="s">
        <v>1519</v>
      </c>
      <c r="H358" t="s">
        <v>1634</v>
      </c>
      <c r="I358" t="s">
        <v>1634</v>
      </c>
      <c r="J358">
        <v>1545</v>
      </c>
      <c r="K358">
        <v>1480</v>
      </c>
      <c r="L358">
        <v>1260</v>
      </c>
      <c r="M358" t="s">
        <v>1634</v>
      </c>
      <c r="N358">
        <v>1545</v>
      </c>
      <c r="O358">
        <v>1405</v>
      </c>
      <c r="P358">
        <v>1195</v>
      </c>
      <c r="Q358" t="s">
        <v>373</v>
      </c>
      <c r="R358">
        <v>26</v>
      </c>
      <c r="S358">
        <v>1</v>
      </c>
      <c r="T358" t="s">
        <v>1636</v>
      </c>
      <c r="U358" t="s">
        <v>1637</v>
      </c>
      <c r="V358">
        <v>0</v>
      </c>
      <c r="W358" s="14" t="str">
        <f t="shared" si="5"/>
        <v>(3070,null,1,'2026-04-28 00:00:00','003302020020100-33020200203','003302020020100-33020200203','小儿三叉神经周围支切断术（酒精封闭法、甘油封闭法、冷冻法、射频法）',null,null,1545,1480,1260,null,1545,1405,1195,'每神经支',26,1,'normal','main',0),</v>
      </c>
    </row>
    <row r="359" spans="1:23">
      <c r="A359">
        <v>3071</v>
      </c>
      <c r="B359" t="s">
        <v>1634</v>
      </c>
      <c r="C359">
        <v>1</v>
      </c>
      <c r="D359" s="11" t="s">
        <v>1635</v>
      </c>
      <c r="E359" t="s">
        <v>1520</v>
      </c>
      <c r="F359" t="s">
        <v>1520</v>
      </c>
      <c r="G359" t="s">
        <v>1521</v>
      </c>
      <c r="H359" t="s">
        <v>1634</v>
      </c>
      <c r="I359" t="s">
        <v>1634</v>
      </c>
      <c r="J359">
        <v>1300</v>
      </c>
      <c r="K359">
        <v>1250</v>
      </c>
      <c r="L359">
        <v>1065</v>
      </c>
      <c r="M359" t="s">
        <v>1634</v>
      </c>
      <c r="N359">
        <v>1545</v>
      </c>
      <c r="O359">
        <v>1405</v>
      </c>
      <c r="P359">
        <v>1195</v>
      </c>
      <c r="Q359" t="s">
        <v>373</v>
      </c>
      <c r="R359">
        <v>26</v>
      </c>
      <c r="S359">
        <v>1</v>
      </c>
      <c r="T359" t="s">
        <v>1636</v>
      </c>
      <c r="U359" t="s">
        <v>1637</v>
      </c>
      <c r="V359">
        <v>0</v>
      </c>
      <c r="W359" s="14" t="str">
        <f t="shared" si="5"/>
        <v>(3071,null,1,'2026-04-28 00:00:00','003302020030000-33020200301','003302020030000-33020200301','小儿三叉神经撕脱术',null,null,1300,1250,1065,null,1545,1405,1195,'每神经支',26,1,'normal','main',0),</v>
      </c>
    </row>
    <row r="360" spans="1:23">
      <c r="A360">
        <v>3072</v>
      </c>
      <c r="B360" t="s">
        <v>1634</v>
      </c>
      <c r="C360">
        <v>1</v>
      </c>
      <c r="D360" s="11" t="s">
        <v>1635</v>
      </c>
      <c r="E360" t="s">
        <v>1528</v>
      </c>
      <c r="F360" t="s">
        <v>1528</v>
      </c>
      <c r="G360" t="s">
        <v>1529</v>
      </c>
      <c r="H360" t="s">
        <v>1634</v>
      </c>
      <c r="I360" t="s">
        <v>1634</v>
      </c>
      <c r="J360">
        <v>3380</v>
      </c>
      <c r="K360">
        <v>3040</v>
      </c>
      <c r="L360">
        <v>2580</v>
      </c>
      <c r="M360" t="s">
        <v>1634</v>
      </c>
      <c r="N360">
        <v>3600</v>
      </c>
      <c r="O360">
        <v>3300</v>
      </c>
      <c r="P360">
        <v>2800</v>
      </c>
      <c r="Q360" t="s">
        <v>40</v>
      </c>
      <c r="R360">
        <v>26</v>
      </c>
      <c r="S360">
        <v>1</v>
      </c>
      <c r="T360" t="s">
        <v>1636</v>
      </c>
      <c r="U360" t="s">
        <v>1637</v>
      </c>
      <c r="V360">
        <v>0</v>
      </c>
      <c r="W360" s="14" t="str">
        <f t="shared" si="5"/>
        <v>(3072,null,1,'2026-04-28 00:00:00','003302020070000-330202007','003302020070000-330202007','颅神经微血管减压术',null,null,3380,3040,2580,null,3600,3300,2800,'次',26,1,'normal','main',0),</v>
      </c>
    </row>
    <row r="361" spans="1:23">
      <c r="A361">
        <v>3073</v>
      </c>
      <c r="B361" t="s">
        <v>1634</v>
      </c>
      <c r="C361">
        <v>1</v>
      </c>
      <c r="D361" s="11" t="s">
        <v>1635</v>
      </c>
      <c r="E361" t="s">
        <v>1533</v>
      </c>
      <c r="F361" t="s">
        <v>1533</v>
      </c>
      <c r="G361" t="s">
        <v>1534</v>
      </c>
      <c r="H361" t="s">
        <v>1634</v>
      </c>
      <c r="I361" t="s">
        <v>1634</v>
      </c>
      <c r="J361">
        <v>4395</v>
      </c>
      <c r="K361">
        <v>3950</v>
      </c>
      <c r="L361">
        <v>3360</v>
      </c>
      <c r="M361" t="s">
        <v>1634</v>
      </c>
      <c r="N361">
        <v>4680</v>
      </c>
      <c r="O361">
        <v>4290</v>
      </c>
      <c r="P361">
        <v>3640</v>
      </c>
      <c r="Q361" t="s">
        <v>40</v>
      </c>
      <c r="R361">
        <v>26</v>
      </c>
      <c r="S361">
        <v>1</v>
      </c>
      <c r="T361" t="s">
        <v>1636</v>
      </c>
      <c r="U361" t="s">
        <v>1637</v>
      </c>
      <c r="V361">
        <v>0</v>
      </c>
      <c r="W361" s="14" t="str">
        <f t="shared" si="5"/>
        <v>(3073,null,1,'2026-04-28 00:00:00','003302020070000-33020200701','003302020070000-33020200701','小儿颅神经微血管减压术',null,null,4395,3950,3360,null,4680,4290,3640,'次',26,1,'normal','main',0),</v>
      </c>
    </row>
    <row r="362" spans="1:23">
      <c r="A362">
        <v>3074</v>
      </c>
      <c r="B362" t="s">
        <v>1634</v>
      </c>
      <c r="C362">
        <v>1</v>
      </c>
      <c r="D362" s="11" t="s">
        <v>1635</v>
      </c>
      <c r="E362" t="s">
        <v>1540</v>
      </c>
      <c r="F362" t="s">
        <v>1540</v>
      </c>
      <c r="G362" t="s">
        <v>1541</v>
      </c>
      <c r="H362" t="s">
        <v>1634</v>
      </c>
      <c r="I362" t="s">
        <v>1634</v>
      </c>
      <c r="J362">
        <v>3380</v>
      </c>
      <c r="K362">
        <v>3040</v>
      </c>
      <c r="L362">
        <v>2580</v>
      </c>
      <c r="M362" t="s">
        <v>1634</v>
      </c>
      <c r="N362">
        <v>3280</v>
      </c>
      <c r="O362">
        <v>2940</v>
      </c>
      <c r="P362">
        <v>2500</v>
      </c>
      <c r="Q362" t="s">
        <v>40</v>
      </c>
      <c r="R362">
        <v>26</v>
      </c>
      <c r="S362">
        <v>1</v>
      </c>
      <c r="T362" t="s">
        <v>1636</v>
      </c>
      <c r="U362" t="s">
        <v>1637</v>
      </c>
      <c r="V362">
        <v>0</v>
      </c>
      <c r="W362" s="14" t="str">
        <f t="shared" si="5"/>
        <v>(3074,null,1,'2026-04-28 00:00:00','003302040010000-330204001','003302040010000-330204001','脊髓和神经根粘连松解术',null,null,3380,3040,2580,null,3280,2940,2500,'次',26,1,'normal','main',0),</v>
      </c>
    </row>
    <row r="363" spans="1:23">
      <c r="A363">
        <v>3075</v>
      </c>
      <c r="B363" t="s">
        <v>1634</v>
      </c>
      <c r="C363">
        <v>1</v>
      </c>
      <c r="D363" s="11" t="s">
        <v>1635</v>
      </c>
      <c r="E363" t="s">
        <v>1542</v>
      </c>
      <c r="F363" t="s">
        <v>1542</v>
      </c>
      <c r="G363" t="s">
        <v>1543</v>
      </c>
      <c r="H363" t="s">
        <v>1634</v>
      </c>
      <c r="I363" t="s">
        <v>1634</v>
      </c>
      <c r="J363">
        <v>3380</v>
      </c>
      <c r="K363">
        <v>3040</v>
      </c>
      <c r="L363">
        <v>2580</v>
      </c>
      <c r="M363" t="s">
        <v>1634</v>
      </c>
      <c r="N363">
        <v>3280</v>
      </c>
      <c r="O363">
        <v>2940</v>
      </c>
      <c r="P363">
        <v>2500</v>
      </c>
      <c r="Q363" t="s">
        <v>40</v>
      </c>
      <c r="R363">
        <v>26</v>
      </c>
      <c r="S363">
        <v>1</v>
      </c>
      <c r="T363" t="s">
        <v>1636</v>
      </c>
      <c r="U363" t="s">
        <v>1637</v>
      </c>
      <c r="V363">
        <v>0</v>
      </c>
      <c r="W363" s="14" t="str">
        <f t="shared" si="5"/>
        <v>(3075,null,1,'2026-04-28 00:00:00','003302040040000-330204004','003302040040000-330204004','脊髓栓系综合症手术',null,null,3380,3040,2580,null,3280,2940,2500,'次',26,1,'normal','main',0),</v>
      </c>
    </row>
    <row r="364" spans="1:23">
      <c r="A364">
        <v>3076</v>
      </c>
      <c r="B364" t="s">
        <v>1634</v>
      </c>
      <c r="C364">
        <v>1</v>
      </c>
      <c r="D364" s="11" t="s">
        <v>1635</v>
      </c>
      <c r="E364" t="s">
        <v>1544</v>
      </c>
      <c r="F364" t="s">
        <v>1544</v>
      </c>
      <c r="G364" t="s">
        <v>1545</v>
      </c>
      <c r="H364" t="s">
        <v>1634</v>
      </c>
      <c r="I364" t="s">
        <v>1634</v>
      </c>
      <c r="J364">
        <v>2375</v>
      </c>
      <c r="K364">
        <v>2140</v>
      </c>
      <c r="L364">
        <v>1820</v>
      </c>
      <c r="M364" t="s">
        <v>1634</v>
      </c>
      <c r="N364">
        <v>3280</v>
      </c>
      <c r="O364">
        <v>2940</v>
      </c>
      <c r="P364">
        <v>2500</v>
      </c>
      <c r="Q364" t="s">
        <v>40</v>
      </c>
      <c r="R364">
        <v>26</v>
      </c>
      <c r="S364">
        <v>1</v>
      </c>
      <c r="T364" t="s">
        <v>1636</v>
      </c>
      <c r="U364" t="s">
        <v>1637</v>
      </c>
      <c r="V364">
        <v>0</v>
      </c>
      <c r="W364" s="14" t="str">
        <f t="shared" si="5"/>
        <v>(3076,null,1,'2026-04-28 00:00:00','003302040170000-330204017','003302040170000-330204017','腰骶部潜毛窦切除术',null,null,2375,2140,1820,null,3280,2940,2500,'次',26,1,'normal','main',0),</v>
      </c>
    </row>
    <row r="365" spans="1:23">
      <c r="A365">
        <v>3077</v>
      </c>
      <c r="B365" t="s">
        <v>1634</v>
      </c>
      <c r="C365">
        <v>1</v>
      </c>
      <c r="D365" s="11" t="s">
        <v>1635</v>
      </c>
      <c r="E365" t="s">
        <v>1548</v>
      </c>
      <c r="F365" t="s">
        <v>1548</v>
      </c>
      <c r="G365" t="s">
        <v>1549</v>
      </c>
      <c r="H365" t="s">
        <v>1634</v>
      </c>
      <c r="I365" t="s">
        <v>1634</v>
      </c>
      <c r="J365">
        <v>4395</v>
      </c>
      <c r="K365">
        <v>3950</v>
      </c>
      <c r="L365">
        <v>3360</v>
      </c>
      <c r="M365" t="s">
        <v>1634</v>
      </c>
      <c r="N365">
        <v>4265</v>
      </c>
      <c r="O365">
        <v>3820</v>
      </c>
      <c r="P365">
        <v>3250</v>
      </c>
      <c r="Q365" t="s">
        <v>40</v>
      </c>
      <c r="R365">
        <v>26</v>
      </c>
      <c r="S365">
        <v>1</v>
      </c>
      <c r="T365" t="s">
        <v>1636</v>
      </c>
      <c r="U365" t="s">
        <v>1637</v>
      </c>
      <c r="V365">
        <v>0</v>
      </c>
      <c r="W365" s="14" t="str">
        <f t="shared" si="5"/>
        <v>(3077,null,1,'2026-04-28 00:00:00','003302040010000-33020400101','003302040010000-33020400101','小儿脊髓和神经根粘连松解术',null,null,4395,3950,3360,null,4265,3820,3250,'次',26,1,'normal','main',0),</v>
      </c>
    </row>
    <row r="366" spans="1:23">
      <c r="A366">
        <v>3078</v>
      </c>
      <c r="B366" t="s">
        <v>1634</v>
      </c>
      <c r="C366">
        <v>1</v>
      </c>
      <c r="D366" s="11" t="s">
        <v>1635</v>
      </c>
      <c r="E366" t="s">
        <v>1550</v>
      </c>
      <c r="F366" t="s">
        <v>1550</v>
      </c>
      <c r="G366" t="s">
        <v>1551</v>
      </c>
      <c r="H366" t="s">
        <v>1634</v>
      </c>
      <c r="I366" t="s">
        <v>1634</v>
      </c>
      <c r="J366">
        <v>4395</v>
      </c>
      <c r="K366">
        <v>3950</v>
      </c>
      <c r="L366">
        <v>3360</v>
      </c>
      <c r="M366" t="s">
        <v>1634</v>
      </c>
      <c r="N366">
        <v>4265</v>
      </c>
      <c r="O366">
        <v>3820</v>
      </c>
      <c r="P366">
        <v>3250</v>
      </c>
      <c r="Q366" t="s">
        <v>40</v>
      </c>
      <c r="R366">
        <v>26</v>
      </c>
      <c r="S366">
        <v>1</v>
      </c>
      <c r="T366" t="s">
        <v>1636</v>
      </c>
      <c r="U366" t="s">
        <v>1637</v>
      </c>
      <c r="V366">
        <v>0</v>
      </c>
      <c r="W366" s="14" t="str">
        <f t="shared" si="5"/>
        <v>(3078,null,1,'2026-04-28 00:00:00','003302040040000-33020400401','003302040040000-33020400401','小儿脊髓栓系综合症手术',null,null,4395,3950,3360,null,4265,3820,3250,'次',26,1,'normal','main',0),</v>
      </c>
    </row>
    <row r="367" spans="1:23">
      <c r="A367">
        <v>3079</v>
      </c>
      <c r="B367" t="s">
        <v>1634</v>
      </c>
      <c r="C367">
        <v>1</v>
      </c>
      <c r="D367" s="11" t="s">
        <v>1635</v>
      </c>
      <c r="E367" t="s">
        <v>1552</v>
      </c>
      <c r="F367" t="s">
        <v>1552</v>
      </c>
      <c r="G367" t="s">
        <v>1553</v>
      </c>
      <c r="H367" t="s">
        <v>1634</v>
      </c>
      <c r="I367" t="s">
        <v>1634</v>
      </c>
      <c r="J367">
        <v>3090</v>
      </c>
      <c r="K367">
        <v>2780</v>
      </c>
      <c r="L367">
        <v>2365</v>
      </c>
      <c r="M367" t="s">
        <v>1634</v>
      </c>
      <c r="N367">
        <v>4265</v>
      </c>
      <c r="O367">
        <v>3820</v>
      </c>
      <c r="P367">
        <v>3250</v>
      </c>
      <c r="Q367" t="s">
        <v>40</v>
      </c>
      <c r="R367">
        <v>26</v>
      </c>
      <c r="S367">
        <v>1</v>
      </c>
      <c r="T367" t="s">
        <v>1636</v>
      </c>
      <c r="U367" t="s">
        <v>1637</v>
      </c>
      <c r="V367">
        <v>0</v>
      </c>
      <c r="W367" s="14" t="str">
        <f t="shared" si="5"/>
        <v>(3079,null,1,'2026-04-28 00:00:00','003302040170000-33020401701','003302040170000-33020401701','小儿腰骶部潜毛窦切除术',null,null,3090,2780,2365,null,4265,3820,3250,'次',26,1,'normal','main',0),</v>
      </c>
    </row>
    <row r="368" spans="1:23">
      <c r="A368">
        <v>3080</v>
      </c>
      <c r="B368" t="s">
        <v>1634</v>
      </c>
      <c r="C368">
        <v>1</v>
      </c>
      <c r="D368" s="11" t="s">
        <v>1635</v>
      </c>
      <c r="E368" t="s">
        <v>1564</v>
      </c>
      <c r="F368" t="s">
        <v>1564</v>
      </c>
      <c r="G368" t="s">
        <v>1565</v>
      </c>
      <c r="H368" t="s">
        <v>1634</v>
      </c>
      <c r="I368" t="s">
        <v>1634</v>
      </c>
      <c r="J368">
        <v>2160</v>
      </c>
      <c r="K368">
        <v>1950</v>
      </c>
      <c r="L368">
        <v>1660</v>
      </c>
      <c r="M368" t="s">
        <v>1634</v>
      </c>
      <c r="N368">
        <v>2160</v>
      </c>
      <c r="O368">
        <v>1950</v>
      </c>
      <c r="P368">
        <v>1660</v>
      </c>
      <c r="Q368" t="s">
        <v>40</v>
      </c>
      <c r="R368">
        <v>26</v>
      </c>
      <c r="S368">
        <v>1</v>
      </c>
      <c r="T368" t="s">
        <v>1636</v>
      </c>
      <c r="U368" t="s">
        <v>1637</v>
      </c>
      <c r="V368">
        <v>0</v>
      </c>
      <c r="W368" s="14" t="str">
        <f t="shared" si="5"/>
        <v>(3080,null,1,'2026-04-28 00:00:00','003302020110000-330202011','003302020110000-330202011','面神经松解减压术',null,null,2160,1950,1660,null,2160,1950,1660,'次',26,1,'normal','main',0),</v>
      </c>
    </row>
    <row r="369" spans="1:23">
      <c r="A369">
        <v>3081</v>
      </c>
      <c r="B369" t="s">
        <v>1634</v>
      </c>
      <c r="C369">
        <v>1</v>
      </c>
      <c r="D369" s="11" t="s">
        <v>1635</v>
      </c>
      <c r="E369" t="s">
        <v>1569</v>
      </c>
      <c r="F369" t="s">
        <v>1569</v>
      </c>
      <c r="G369" t="s">
        <v>1570</v>
      </c>
      <c r="H369" t="s">
        <v>1634</v>
      </c>
      <c r="I369" t="s">
        <v>1634</v>
      </c>
      <c r="J369">
        <v>2810</v>
      </c>
      <c r="K369">
        <v>2535</v>
      </c>
      <c r="L369">
        <v>2160</v>
      </c>
      <c r="M369" t="s">
        <v>1634</v>
      </c>
      <c r="N369">
        <v>2810</v>
      </c>
      <c r="O369">
        <v>2535</v>
      </c>
      <c r="P369">
        <v>2160</v>
      </c>
      <c r="Q369" t="s">
        <v>40</v>
      </c>
      <c r="R369">
        <v>26</v>
      </c>
      <c r="S369">
        <v>1</v>
      </c>
      <c r="T369" t="s">
        <v>1636</v>
      </c>
      <c r="U369" t="s">
        <v>1637</v>
      </c>
      <c r="V369">
        <v>0</v>
      </c>
      <c r="W369" s="14" t="str">
        <f t="shared" si="5"/>
        <v>(3081,null,1,'2026-04-28 00:00:00','003302020110000-33020201101','003302020110000-33020201101','小儿面神经松解减压术',null,null,2810,2535,2160,null,2810,2535,2160,'次',26,1,'normal','main',0),</v>
      </c>
    </row>
    <row r="370" spans="1:23">
      <c r="A370">
        <v>3082</v>
      </c>
      <c r="B370" t="s">
        <v>1634</v>
      </c>
      <c r="C370">
        <v>1</v>
      </c>
      <c r="D370" s="11" t="s">
        <v>1635</v>
      </c>
      <c r="E370" t="s">
        <v>1576</v>
      </c>
      <c r="F370" t="s">
        <v>1576</v>
      </c>
      <c r="G370" t="s">
        <v>1577</v>
      </c>
      <c r="H370" t="s">
        <v>1634</v>
      </c>
      <c r="I370" t="s">
        <v>1634</v>
      </c>
      <c r="J370">
        <v>2530</v>
      </c>
      <c r="K370">
        <v>2280</v>
      </c>
      <c r="L370">
        <v>1940</v>
      </c>
      <c r="M370" t="s">
        <v>1634</v>
      </c>
      <c r="N370">
        <v>3250</v>
      </c>
      <c r="O370">
        <v>2900</v>
      </c>
      <c r="P370">
        <v>2450</v>
      </c>
      <c r="Q370" t="s">
        <v>40</v>
      </c>
      <c r="R370">
        <v>26</v>
      </c>
      <c r="S370">
        <v>1</v>
      </c>
      <c r="T370" t="s">
        <v>1636</v>
      </c>
      <c r="U370" t="s">
        <v>1637</v>
      </c>
      <c r="V370">
        <v>0</v>
      </c>
      <c r="W370" s="14" t="str">
        <f t="shared" si="5"/>
        <v>(3082,null,1,'2026-04-28 00:00:00','003302020080000-330202008','003302020080000-330202008','面神经简单修复术',null,null,2530,2280,1940,null,3250,2900,2450,'次',26,1,'normal','main',0),</v>
      </c>
    </row>
    <row r="371" spans="1:23">
      <c r="A371">
        <v>3083</v>
      </c>
      <c r="B371" t="s">
        <v>1634</v>
      </c>
      <c r="C371">
        <v>1</v>
      </c>
      <c r="D371" s="11" t="s">
        <v>1635</v>
      </c>
      <c r="E371" t="s">
        <v>1579</v>
      </c>
      <c r="F371" t="s">
        <v>1579</v>
      </c>
      <c r="G371" t="s">
        <v>1580</v>
      </c>
      <c r="H371" t="s">
        <v>1634</v>
      </c>
      <c r="I371" t="s">
        <v>1634</v>
      </c>
      <c r="J371">
        <v>3040</v>
      </c>
      <c r="K371">
        <v>2740</v>
      </c>
      <c r="L371">
        <v>2330</v>
      </c>
      <c r="M371" t="s">
        <v>1634</v>
      </c>
      <c r="N371">
        <v>3250</v>
      </c>
      <c r="O371">
        <v>2900</v>
      </c>
      <c r="P371">
        <v>2450</v>
      </c>
      <c r="Q371" t="s">
        <v>40</v>
      </c>
      <c r="R371">
        <v>26</v>
      </c>
      <c r="S371">
        <v>1</v>
      </c>
      <c r="T371" t="s">
        <v>1636</v>
      </c>
      <c r="U371" t="s">
        <v>1637</v>
      </c>
      <c r="V371">
        <v>0</v>
      </c>
      <c r="W371" s="14" t="str">
        <f t="shared" si="5"/>
        <v>(3083,null,1,'2026-04-28 00:00:00','003302020090000-330202009','003302020090000-330202009','面神经吻合术',null,null,3040,2740,2330,null,3250,2900,2450,'次',26,1,'normal','main',0),</v>
      </c>
    </row>
    <row r="372" spans="1:23">
      <c r="A372">
        <v>3084</v>
      </c>
      <c r="B372" t="s">
        <v>1634</v>
      </c>
      <c r="C372">
        <v>1</v>
      </c>
      <c r="D372" s="11" t="s">
        <v>1635</v>
      </c>
      <c r="E372" t="s">
        <v>1582</v>
      </c>
      <c r="F372" t="s">
        <v>1582</v>
      </c>
      <c r="G372" t="s">
        <v>1583</v>
      </c>
      <c r="H372" t="s">
        <v>1634</v>
      </c>
      <c r="I372" t="s">
        <v>1634</v>
      </c>
      <c r="J372">
        <v>2815</v>
      </c>
      <c r="K372">
        <v>2535</v>
      </c>
      <c r="L372">
        <v>2155</v>
      </c>
      <c r="M372" t="s">
        <v>1634</v>
      </c>
      <c r="N372">
        <v>3250</v>
      </c>
      <c r="O372">
        <v>2900</v>
      </c>
      <c r="P372">
        <v>2450</v>
      </c>
      <c r="Q372" t="s">
        <v>40</v>
      </c>
      <c r="R372">
        <v>26</v>
      </c>
      <c r="S372">
        <v>1</v>
      </c>
      <c r="T372" t="s">
        <v>1636</v>
      </c>
      <c r="U372" t="s">
        <v>1637</v>
      </c>
      <c r="V372">
        <v>0</v>
      </c>
      <c r="W372" s="14" t="str">
        <f t="shared" si="5"/>
        <v>(3084,null,1,'2026-04-28 00:00:00','003302020100000-330202010','003302020100000-330202010','面神经跨面移植术',null,null,2815,2535,2155,null,3250,2900,2450,'次',26,1,'normal','main',0),</v>
      </c>
    </row>
    <row r="373" spans="1:23">
      <c r="A373">
        <v>3085</v>
      </c>
      <c r="B373" t="s">
        <v>1634</v>
      </c>
      <c r="C373">
        <v>1</v>
      </c>
      <c r="D373" s="11" t="s">
        <v>1635</v>
      </c>
      <c r="E373" t="s">
        <v>1585</v>
      </c>
      <c r="F373" t="s">
        <v>1585</v>
      </c>
      <c r="G373" t="s">
        <v>1586</v>
      </c>
      <c r="H373" t="s">
        <v>1634</v>
      </c>
      <c r="I373" t="s">
        <v>1634</v>
      </c>
      <c r="J373">
        <v>2160</v>
      </c>
      <c r="K373">
        <v>1950</v>
      </c>
      <c r="L373">
        <v>1660</v>
      </c>
      <c r="M373" t="s">
        <v>1634</v>
      </c>
      <c r="N373">
        <v>3250</v>
      </c>
      <c r="O373">
        <v>2900</v>
      </c>
      <c r="P373">
        <v>2450</v>
      </c>
      <c r="Q373" t="s">
        <v>40</v>
      </c>
      <c r="R373">
        <v>26</v>
      </c>
      <c r="S373">
        <v>1</v>
      </c>
      <c r="T373" t="s">
        <v>1636</v>
      </c>
      <c r="U373" t="s">
        <v>1637</v>
      </c>
      <c r="V373">
        <v>0</v>
      </c>
      <c r="W373" s="14" t="str">
        <f t="shared" si="5"/>
        <v>(3085,null,1,'2026-04-28 00:00:00','003302020120000-330202012','003302020120000-330202012','经耳面神经梳理术',null,null,2160,1950,1660,null,3250,2900,2450,'次',26,1,'normal','main',0),</v>
      </c>
    </row>
    <row r="374" spans="1:23">
      <c r="A374">
        <v>3086</v>
      </c>
      <c r="B374" t="s">
        <v>1634</v>
      </c>
      <c r="C374">
        <v>1</v>
      </c>
      <c r="D374" s="11" t="s">
        <v>1635</v>
      </c>
      <c r="E374" t="s">
        <v>1587</v>
      </c>
      <c r="F374" t="s">
        <v>1587</v>
      </c>
      <c r="G374" t="s">
        <v>1588</v>
      </c>
      <c r="H374" t="s">
        <v>1634</v>
      </c>
      <c r="I374" t="s">
        <v>1634</v>
      </c>
      <c r="J374">
        <v>2160</v>
      </c>
      <c r="K374">
        <v>1950</v>
      </c>
      <c r="L374">
        <v>1660</v>
      </c>
      <c r="M374" t="s">
        <v>1634</v>
      </c>
      <c r="N374">
        <v>3250</v>
      </c>
      <c r="O374">
        <v>2900</v>
      </c>
      <c r="P374">
        <v>2450</v>
      </c>
      <c r="Q374" t="s">
        <v>40</v>
      </c>
      <c r="R374">
        <v>26</v>
      </c>
      <c r="S374">
        <v>1</v>
      </c>
      <c r="T374" t="s">
        <v>1636</v>
      </c>
      <c r="U374" t="s">
        <v>1637</v>
      </c>
      <c r="V374">
        <v>0</v>
      </c>
      <c r="W374" s="14" t="str">
        <f t="shared" si="5"/>
        <v>(3086,null,1,'2026-04-28 00:00:00','003302020130000-330202013','003302020130000-330202013','面神经周围神经移植术',null,null,2160,1950,1660,null,3250,2900,2450,'次',26,1,'normal','main',0),</v>
      </c>
    </row>
    <row r="375" spans="1:23">
      <c r="A375">
        <v>3087</v>
      </c>
      <c r="B375" t="s">
        <v>1634</v>
      </c>
      <c r="C375">
        <v>1</v>
      </c>
      <c r="D375" s="11" t="s">
        <v>1635</v>
      </c>
      <c r="E375" t="s">
        <v>1591</v>
      </c>
      <c r="F375" t="s">
        <v>1591</v>
      </c>
      <c r="G375" t="s">
        <v>1592</v>
      </c>
      <c r="H375" t="s">
        <v>1634</v>
      </c>
      <c r="I375" t="s">
        <v>1634</v>
      </c>
      <c r="J375">
        <v>3290</v>
      </c>
      <c r="K375">
        <v>2965</v>
      </c>
      <c r="L375">
        <v>2520</v>
      </c>
      <c r="M375" t="s">
        <v>1634</v>
      </c>
      <c r="N375">
        <v>4225</v>
      </c>
      <c r="O375">
        <v>3770</v>
      </c>
      <c r="P375">
        <v>3185</v>
      </c>
      <c r="Q375" t="s">
        <v>40</v>
      </c>
      <c r="R375">
        <v>26</v>
      </c>
      <c r="S375">
        <v>1</v>
      </c>
      <c r="T375" t="s">
        <v>1636</v>
      </c>
      <c r="U375" t="s">
        <v>1637</v>
      </c>
      <c r="V375">
        <v>0</v>
      </c>
      <c r="W375" s="14" t="str">
        <f t="shared" si="5"/>
        <v>(3087,null,1,'2026-04-28 00:00:00','003302020080000-33020200801','003302020080000-33020200801','小儿面神经简单修复术',null,null,3290,2965,2520,null,4225,3770,3185,'次',26,1,'normal','main',0),</v>
      </c>
    </row>
    <row r="376" spans="1:23">
      <c r="A376">
        <v>3088</v>
      </c>
      <c r="B376" t="s">
        <v>1634</v>
      </c>
      <c r="C376">
        <v>1</v>
      </c>
      <c r="D376" s="11" t="s">
        <v>1635</v>
      </c>
      <c r="E376" t="s">
        <v>1593</v>
      </c>
      <c r="F376" t="s">
        <v>1593</v>
      </c>
      <c r="G376" t="s">
        <v>1594</v>
      </c>
      <c r="H376" t="s">
        <v>1634</v>
      </c>
      <c r="I376" t="s">
        <v>1634</v>
      </c>
      <c r="J376">
        <v>3950</v>
      </c>
      <c r="K376">
        <v>3560</v>
      </c>
      <c r="L376">
        <v>3025</v>
      </c>
      <c r="M376" t="s">
        <v>1634</v>
      </c>
      <c r="N376">
        <v>4225</v>
      </c>
      <c r="O376">
        <v>3770</v>
      </c>
      <c r="P376">
        <v>3185</v>
      </c>
      <c r="Q376" t="s">
        <v>40</v>
      </c>
      <c r="R376">
        <v>26</v>
      </c>
      <c r="S376">
        <v>1</v>
      </c>
      <c r="T376" t="s">
        <v>1636</v>
      </c>
      <c r="U376" t="s">
        <v>1637</v>
      </c>
      <c r="V376">
        <v>0</v>
      </c>
      <c r="W376" s="14" t="str">
        <f t="shared" si="5"/>
        <v>(3088,null,1,'2026-04-28 00:00:00','003302020090000-33020200901','003302020090000-33020200901','小儿面神经吻合术',null,null,3950,3560,3025,null,4225,3770,3185,'次',26,1,'normal','main',0),</v>
      </c>
    </row>
    <row r="377" spans="1:23">
      <c r="A377">
        <v>3089</v>
      </c>
      <c r="B377" t="s">
        <v>1634</v>
      </c>
      <c r="C377">
        <v>1</v>
      </c>
      <c r="D377" s="11" t="s">
        <v>1635</v>
      </c>
      <c r="E377" t="s">
        <v>1595</v>
      </c>
      <c r="F377" t="s">
        <v>1595</v>
      </c>
      <c r="G377" t="s">
        <v>1596</v>
      </c>
      <c r="H377" t="s">
        <v>1634</v>
      </c>
      <c r="I377" t="s">
        <v>1634</v>
      </c>
      <c r="J377">
        <v>3660</v>
      </c>
      <c r="K377">
        <v>3295</v>
      </c>
      <c r="L377">
        <v>2800</v>
      </c>
      <c r="M377" t="s">
        <v>1634</v>
      </c>
      <c r="N377">
        <v>4225</v>
      </c>
      <c r="O377">
        <v>3770</v>
      </c>
      <c r="P377">
        <v>3185</v>
      </c>
      <c r="Q377" t="s">
        <v>40</v>
      </c>
      <c r="R377">
        <v>26</v>
      </c>
      <c r="S377">
        <v>1</v>
      </c>
      <c r="T377" t="s">
        <v>1636</v>
      </c>
      <c r="U377" t="s">
        <v>1637</v>
      </c>
      <c r="V377">
        <v>0</v>
      </c>
      <c r="W377" s="14" t="str">
        <f t="shared" si="5"/>
        <v>(3089,null,1,'2026-04-28 00:00:00','003302020100000-33020201001','003302020100000-33020201001','小儿面神经跨面移植术',null,null,3660,3295,2800,null,4225,3770,3185,'次',26,1,'normal','main',0),</v>
      </c>
    </row>
    <row r="378" spans="1:23">
      <c r="A378">
        <v>3090</v>
      </c>
      <c r="B378" t="s">
        <v>1634</v>
      </c>
      <c r="C378">
        <v>1</v>
      </c>
      <c r="D378" s="11" t="s">
        <v>1635</v>
      </c>
      <c r="E378" t="s">
        <v>1597</v>
      </c>
      <c r="F378" t="s">
        <v>1597</v>
      </c>
      <c r="G378" t="s">
        <v>1598</v>
      </c>
      <c r="H378" t="s">
        <v>1634</v>
      </c>
      <c r="I378" t="s">
        <v>1634</v>
      </c>
      <c r="J378">
        <v>2810</v>
      </c>
      <c r="K378">
        <v>2535</v>
      </c>
      <c r="L378">
        <v>2160</v>
      </c>
      <c r="M378" t="s">
        <v>1634</v>
      </c>
      <c r="N378">
        <v>4225</v>
      </c>
      <c r="O378">
        <v>3770</v>
      </c>
      <c r="P378">
        <v>3185</v>
      </c>
      <c r="Q378" t="s">
        <v>40</v>
      </c>
      <c r="R378">
        <v>26</v>
      </c>
      <c r="S378">
        <v>1</v>
      </c>
      <c r="T378" t="s">
        <v>1636</v>
      </c>
      <c r="U378" t="s">
        <v>1637</v>
      </c>
      <c r="V378">
        <v>0</v>
      </c>
      <c r="W378" s="14" t="str">
        <f t="shared" si="5"/>
        <v>(3090,null,1,'2026-04-28 00:00:00','003302020120000-33020201201','003302020120000-33020201201','小儿经耳面神经梳理术',null,null,2810,2535,2160,null,4225,3770,3185,'次',26,1,'normal','main',0),</v>
      </c>
    </row>
    <row r="379" spans="1:23">
      <c r="A379">
        <v>3091</v>
      </c>
      <c r="B379" t="s">
        <v>1634</v>
      </c>
      <c r="C379">
        <v>1</v>
      </c>
      <c r="D379" s="11" t="s">
        <v>1635</v>
      </c>
      <c r="E379" t="s">
        <v>1599</v>
      </c>
      <c r="F379" t="s">
        <v>1599</v>
      </c>
      <c r="G379" t="s">
        <v>1600</v>
      </c>
      <c r="H379" t="s">
        <v>1634</v>
      </c>
      <c r="I379" t="s">
        <v>1634</v>
      </c>
      <c r="J379">
        <v>2810</v>
      </c>
      <c r="K379">
        <v>2535</v>
      </c>
      <c r="L379">
        <v>2160</v>
      </c>
      <c r="M379" t="s">
        <v>1634</v>
      </c>
      <c r="N379">
        <v>4225</v>
      </c>
      <c r="O379">
        <v>3770</v>
      </c>
      <c r="P379">
        <v>3185</v>
      </c>
      <c r="Q379" t="s">
        <v>40</v>
      </c>
      <c r="R379">
        <v>26</v>
      </c>
      <c r="S379">
        <v>1</v>
      </c>
      <c r="T379" t="s">
        <v>1636</v>
      </c>
      <c r="U379" t="s">
        <v>1637</v>
      </c>
      <c r="V379">
        <v>0</v>
      </c>
      <c r="W379" s="14" t="str">
        <f t="shared" si="5"/>
        <v>(3091,null,1,'2026-04-28 00:00:00','003302020130000-33020201301','003302020130000-33020201301','小儿面神经周围神经移植术',null,null,2810,2535,2160,null,4225,3770,3185,'次',26,1,'normal','main',0),</v>
      </c>
    </row>
    <row r="380" spans="1:23">
      <c r="A380">
        <v>3092</v>
      </c>
      <c r="B380" t="s">
        <v>1634</v>
      </c>
      <c r="C380">
        <v>1</v>
      </c>
      <c r="D380" s="11" t="s">
        <v>1635</v>
      </c>
      <c r="E380" t="s">
        <v>1605</v>
      </c>
      <c r="F380" t="s">
        <v>1605</v>
      </c>
      <c r="G380" t="s">
        <v>1606</v>
      </c>
      <c r="H380" t="s">
        <v>1634</v>
      </c>
      <c r="I380" t="s">
        <v>1634</v>
      </c>
      <c r="J380">
        <v>0</v>
      </c>
      <c r="K380">
        <v>0</v>
      </c>
      <c r="L380">
        <v>0</v>
      </c>
      <c r="M380" t="s">
        <v>1634</v>
      </c>
      <c r="N380">
        <v>2950</v>
      </c>
      <c r="O380">
        <v>2650</v>
      </c>
      <c r="P380">
        <v>2250</v>
      </c>
      <c r="Q380" t="s">
        <v>40</v>
      </c>
      <c r="R380">
        <v>26</v>
      </c>
      <c r="S380">
        <v>1</v>
      </c>
      <c r="T380" t="s">
        <v>1636</v>
      </c>
      <c r="U380" t="s">
        <v>1637</v>
      </c>
      <c r="V380">
        <v>0</v>
      </c>
      <c r="W380" s="14" t="str">
        <f t="shared" si="5"/>
        <v>(3092,null,1,'2026-04-28 00:00:00','003302040190000-330204019','003302040190000-330204019','马尾神经吻合术',null,null,0,0,0,null,2950,2650,2250,'次',26,1,'normal','main',0),</v>
      </c>
    </row>
    <row r="381" spans="1:23">
      <c r="A381">
        <v>3093</v>
      </c>
      <c r="B381" t="s">
        <v>1634</v>
      </c>
      <c r="C381">
        <v>1</v>
      </c>
      <c r="D381" s="11" t="s">
        <v>1635</v>
      </c>
      <c r="E381" t="s">
        <v>1609</v>
      </c>
      <c r="F381" t="s">
        <v>1609</v>
      </c>
      <c r="G381" t="s">
        <v>1610</v>
      </c>
      <c r="H381" t="s">
        <v>1634</v>
      </c>
      <c r="I381" t="s">
        <v>1634</v>
      </c>
      <c r="J381">
        <v>0</v>
      </c>
      <c r="K381">
        <v>0</v>
      </c>
      <c r="L381">
        <v>0</v>
      </c>
      <c r="M381" t="s">
        <v>1634</v>
      </c>
      <c r="N381">
        <v>3835</v>
      </c>
      <c r="O381">
        <v>3445</v>
      </c>
      <c r="P381">
        <v>2925</v>
      </c>
      <c r="Q381" t="s">
        <v>40</v>
      </c>
      <c r="R381">
        <v>26</v>
      </c>
      <c r="S381">
        <v>1</v>
      </c>
      <c r="T381" t="s">
        <v>1636</v>
      </c>
      <c r="U381" t="s">
        <v>1637</v>
      </c>
      <c r="V381">
        <v>0</v>
      </c>
      <c r="W381" s="14" t="str">
        <f t="shared" si="5"/>
        <v>(3093,null,1,'2026-04-28 00:00:00','003302040190000-33020401901','003302040190000-33020401901','小儿马尾神经吻合术',null,null,0,0,0,null,3835,3445,2925,'次',26,1,'normal','main',0),</v>
      </c>
    </row>
  </sheetData>
  <autoFilter ref="A1:W381">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48"/>
  <sheetViews>
    <sheetView tabSelected="1" topLeftCell="B1" workbookViewId="0">
      <selection activeCell="AA9" sqref="AA9:AA10"/>
    </sheetView>
  </sheetViews>
  <sheetFormatPr defaultColWidth="10" defaultRowHeight="14.25"/>
  <cols>
    <col min="1" max="1" width="10" hidden="1" customWidth="1"/>
    <col min="3" max="3" width="10" hidden="1" customWidth="1"/>
    <col min="4" max="4" width="28.75" style="1" customWidth="1"/>
    <col min="5" max="5" width="22.5" customWidth="1"/>
    <col min="6" max="6" width="10" hidden="1" customWidth="1"/>
    <col min="7" max="10" width="10" customWidth="1"/>
    <col min="11" max="12" width="9.75" customWidth="1"/>
    <col min="13" max="13" width="10" customWidth="1"/>
    <col min="14" max="17" width="10" hidden="1" customWidth="1"/>
    <col min="26" max="26" width="8.375" customWidth="1"/>
    <col min="27" max="27" width="11.5"/>
  </cols>
  <sheetData>
    <row r="1" ht="31.5" spans="1:26">
      <c r="A1" s="2" t="s">
        <v>1638</v>
      </c>
      <c r="B1" s="2" t="s">
        <v>1612</v>
      </c>
      <c r="C1" s="2" t="s">
        <v>1639</v>
      </c>
      <c r="D1" s="3" t="s">
        <v>1640</v>
      </c>
      <c r="E1" s="2" t="s">
        <v>1616</v>
      </c>
      <c r="F1" s="2" t="s">
        <v>1620</v>
      </c>
      <c r="G1" s="2" t="s">
        <v>1621</v>
      </c>
      <c r="H1" s="2" t="s">
        <v>1622</v>
      </c>
      <c r="I1" s="2" t="s">
        <v>1623</v>
      </c>
      <c r="J1" s="2" t="s">
        <v>1624</v>
      </c>
      <c r="K1" s="2" t="s">
        <v>1625</v>
      </c>
      <c r="L1" s="2" t="s">
        <v>1626</v>
      </c>
      <c r="M1" s="2" t="s">
        <v>1627</v>
      </c>
      <c r="N1" s="2" t="s">
        <v>1630</v>
      </c>
      <c r="O1" s="2" t="s">
        <v>1641</v>
      </c>
      <c r="P1" s="2" t="s">
        <v>1632</v>
      </c>
      <c r="Q1" s="2" t="s">
        <v>1633</v>
      </c>
      <c r="R1" s="2" t="s">
        <v>1642</v>
      </c>
      <c r="S1" s="2" t="s">
        <v>1643</v>
      </c>
      <c r="T1" s="2" t="s">
        <v>1644</v>
      </c>
      <c r="U1" s="2" t="s">
        <v>1645</v>
      </c>
      <c r="V1" s="2" t="s">
        <v>1646</v>
      </c>
      <c r="W1" s="2" t="s">
        <v>1647</v>
      </c>
      <c r="X1" s="2" t="s">
        <v>1648</v>
      </c>
      <c r="Y1" s="2" t="s">
        <v>1649</v>
      </c>
      <c r="Z1" s="2" t="s">
        <v>1650</v>
      </c>
    </row>
    <row r="2" ht="15.75" spans="1:27">
      <c r="A2" s="2">
        <v>27</v>
      </c>
      <c r="B2" s="4">
        <f>_xlfn.XLOOKUP(E2,Sheet2!E:E,Sheet2!A:A)</f>
        <v>2714</v>
      </c>
      <c r="C2" s="4">
        <v>201</v>
      </c>
      <c r="D2" s="5" t="str">
        <f>VLOOKUP(E2,Sheet2!F:G,2,FALSE)</f>
        <v>脑电图</v>
      </c>
      <c r="E2" s="4" t="s">
        <v>46</v>
      </c>
      <c r="F2" s="7"/>
      <c r="G2" s="4">
        <v>33</v>
      </c>
      <c r="H2" s="4">
        <v>30</v>
      </c>
      <c r="I2" s="4">
        <v>25.5</v>
      </c>
      <c r="J2" s="7"/>
      <c r="K2" s="4">
        <v>98</v>
      </c>
      <c r="L2" s="4">
        <v>90</v>
      </c>
      <c r="M2" s="4">
        <v>78</v>
      </c>
      <c r="N2" s="4">
        <v>1</v>
      </c>
      <c r="O2" s="4">
        <v>1</v>
      </c>
      <c r="P2" s="4" t="s">
        <v>1637</v>
      </c>
      <c r="Q2" s="4">
        <v>0</v>
      </c>
      <c r="R2" s="4">
        <v>6968.1</v>
      </c>
      <c r="S2" s="4">
        <v>3381.5</v>
      </c>
      <c r="T2" s="4">
        <v>65</v>
      </c>
      <c r="U2" s="4">
        <v>452926.5</v>
      </c>
      <c r="V2" s="4">
        <v>202890</v>
      </c>
      <c r="W2" s="4">
        <v>3412.5</v>
      </c>
      <c r="X2" s="4">
        <v>452926.5</v>
      </c>
      <c r="Y2" s="4">
        <v>202890</v>
      </c>
      <c r="Z2" s="4">
        <v>3412.5</v>
      </c>
      <c r="AA2" s="8">
        <f t="shared" ref="AA2:AA65" si="0">X2+Y2+Z2</f>
        <v>659229</v>
      </c>
    </row>
    <row r="3" ht="15.75" spans="1:27">
      <c r="A3" s="2">
        <v>40</v>
      </c>
      <c r="B3" s="4">
        <f>_xlfn.XLOOKUP(E3,Sheet2!E:E,Sheet2!A:A)</f>
        <v>2715</v>
      </c>
      <c r="C3" s="4">
        <v>201</v>
      </c>
      <c r="D3" s="5" t="str">
        <f>VLOOKUP(E3,Sheet2!F:G,2,FALSE)</f>
        <v>脑电图（脑电发生源定位）</v>
      </c>
      <c r="E3" s="4" t="s">
        <v>50</v>
      </c>
      <c r="F3" s="7"/>
      <c r="G3" s="4">
        <v>49.5</v>
      </c>
      <c r="H3" s="4">
        <v>45</v>
      </c>
      <c r="I3" s="4">
        <v>38.3</v>
      </c>
      <c r="J3" s="7"/>
      <c r="K3" s="4">
        <v>98</v>
      </c>
      <c r="L3" s="4">
        <v>90</v>
      </c>
      <c r="M3" s="4">
        <v>78</v>
      </c>
      <c r="N3" s="4">
        <v>1</v>
      </c>
      <c r="O3" s="4">
        <v>1</v>
      </c>
      <c r="P3" s="4" t="s">
        <v>1637</v>
      </c>
      <c r="Q3" s="4">
        <v>0</v>
      </c>
      <c r="R3" s="4">
        <v>0</v>
      </c>
      <c r="S3" s="4">
        <v>63</v>
      </c>
      <c r="T3" s="4">
        <v>0</v>
      </c>
      <c r="U3" s="4">
        <v>0</v>
      </c>
      <c r="V3" s="4">
        <v>2835</v>
      </c>
      <c r="W3" s="4">
        <v>0</v>
      </c>
      <c r="X3" s="4">
        <v>0</v>
      </c>
      <c r="Y3" s="4">
        <v>2835</v>
      </c>
      <c r="Z3" s="4">
        <v>0</v>
      </c>
      <c r="AA3" s="8">
        <f>X3+Y3+Z3</f>
        <v>2835</v>
      </c>
    </row>
    <row r="4" ht="15.75" spans="1:27">
      <c r="A4" s="2">
        <v>80</v>
      </c>
      <c r="B4" s="4">
        <f>_xlfn.XLOOKUP(E4,Sheet2!E:E,Sheet2!A:A)</f>
        <v>2716</v>
      </c>
      <c r="C4" s="4">
        <v>201</v>
      </c>
      <c r="D4" s="5" t="str">
        <f>VLOOKUP(E4,Sheet2!F:G,2,FALSE)</f>
        <v>脑地形图</v>
      </c>
      <c r="E4" s="4" t="s">
        <v>53</v>
      </c>
      <c r="F4" s="7"/>
      <c r="G4" s="4">
        <v>110</v>
      </c>
      <c r="H4" s="4">
        <v>100</v>
      </c>
      <c r="I4" s="4">
        <v>85</v>
      </c>
      <c r="J4" s="7"/>
      <c r="K4" s="4">
        <v>98</v>
      </c>
      <c r="L4" s="4">
        <v>90</v>
      </c>
      <c r="M4" s="4">
        <v>78</v>
      </c>
      <c r="N4" s="4">
        <v>1</v>
      </c>
      <c r="O4" s="4">
        <v>1</v>
      </c>
      <c r="P4" s="4" t="s">
        <v>1637</v>
      </c>
      <c r="Q4" s="4">
        <v>0</v>
      </c>
      <c r="R4" s="4">
        <v>8488</v>
      </c>
      <c r="S4" s="4">
        <v>2654.9</v>
      </c>
      <c r="T4" s="4">
        <v>81</v>
      </c>
      <c r="U4" s="4">
        <v>-101856</v>
      </c>
      <c r="V4" s="4">
        <v>-26549</v>
      </c>
      <c r="W4" s="4">
        <v>-567</v>
      </c>
      <c r="X4" s="4">
        <v>-101856</v>
      </c>
      <c r="Y4" s="4">
        <v>-26549</v>
      </c>
      <c r="Z4" s="4">
        <v>-567</v>
      </c>
      <c r="AA4" s="8">
        <f t="shared" si="0"/>
        <v>-128972</v>
      </c>
    </row>
    <row r="5" ht="15.75" spans="1:27">
      <c r="A5" s="2">
        <v>26</v>
      </c>
      <c r="B5" s="4">
        <f>_xlfn.XLOOKUP(E5,Sheet2!E:E,Sheet2!A:A)</f>
        <v>2717</v>
      </c>
      <c r="C5" s="4">
        <v>201</v>
      </c>
      <c r="D5" s="5" t="str">
        <f>VLOOKUP(E5,Sheet2!F:G,2,FALSE)</f>
        <v>动态脑电图</v>
      </c>
      <c r="E5" s="4" t="s">
        <v>56</v>
      </c>
      <c r="F5" s="7"/>
      <c r="G5" s="4">
        <v>286</v>
      </c>
      <c r="H5" s="4">
        <v>260</v>
      </c>
      <c r="I5" s="4">
        <v>221</v>
      </c>
      <c r="J5" s="7"/>
      <c r="K5" s="4">
        <v>98</v>
      </c>
      <c r="L5" s="4">
        <v>90</v>
      </c>
      <c r="M5" s="4">
        <v>78</v>
      </c>
      <c r="N5" s="4">
        <v>1</v>
      </c>
      <c r="O5" s="4">
        <v>1</v>
      </c>
      <c r="P5" s="4" t="s">
        <v>1637</v>
      </c>
      <c r="Q5" s="4">
        <v>0</v>
      </c>
      <c r="R5" s="4">
        <v>2100.6</v>
      </c>
      <c r="S5" s="4">
        <v>842.3</v>
      </c>
      <c r="T5" s="4">
        <v>0</v>
      </c>
      <c r="U5" s="4">
        <v>-394912.8</v>
      </c>
      <c r="V5" s="4">
        <v>-143191</v>
      </c>
      <c r="W5" s="4">
        <v>0</v>
      </c>
      <c r="X5" s="4">
        <v>-394912.8</v>
      </c>
      <c r="Y5" s="4">
        <v>-143191</v>
      </c>
      <c r="Z5" s="4">
        <v>0</v>
      </c>
      <c r="AA5" s="8">
        <f t="shared" si="0"/>
        <v>-538103.8</v>
      </c>
    </row>
    <row r="6" ht="15.75" spans="1:27">
      <c r="A6" s="2">
        <v>86</v>
      </c>
      <c r="B6" s="4">
        <f>_xlfn.XLOOKUP(E6,Sheet2!E:E,Sheet2!A:A)</f>
        <v>2718</v>
      </c>
      <c r="C6" s="4">
        <v>201</v>
      </c>
      <c r="D6" s="5" t="str">
        <f>VLOOKUP(E6,Sheet2!F:G,2,FALSE)</f>
        <v>动态脑电图（24小时脑电视频监测）</v>
      </c>
      <c r="E6" s="4" t="s">
        <v>59</v>
      </c>
      <c r="F6" s="7"/>
      <c r="G6" s="4">
        <v>286</v>
      </c>
      <c r="H6" s="4">
        <v>260</v>
      </c>
      <c r="I6" s="4">
        <v>221</v>
      </c>
      <c r="J6" s="7"/>
      <c r="K6" s="4">
        <v>98</v>
      </c>
      <c r="L6" s="4">
        <v>90</v>
      </c>
      <c r="M6" s="4">
        <v>78</v>
      </c>
      <c r="N6" s="4">
        <v>1</v>
      </c>
      <c r="O6" s="4">
        <v>1</v>
      </c>
      <c r="P6" s="4" t="s">
        <v>1637</v>
      </c>
      <c r="Q6" s="4">
        <v>0</v>
      </c>
      <c r="R6" s="4">
        <v>0</v>
      </c>
      <c r="S6" s="4">
        <v>67</v>
      </c>
      <c r="T6" s="4">
        <v>0</v>
      </c>
      <c r="U6" s="4">
        <v>0</v>
      </c>
      <c r="V6" s="4">
        <v>-11390</v>
      </c>
      <c r="W6" s="4">
        <v>0</v>
      </c>
      <c r="X6" s="4">
        <v>0</v>
      </c>
      <c r="Y6" s="4">
        <v>-11390</v>
      </c>
      <c r="Z6" s="4">
        <v>0</v>
      </c>
      <c r="AA6" s="8">
        <f t="shared" si="0"/>
        <v>-11390</v>
      </c>
    </row>
    <row r="7" ht="15.75" spans="1:27">
      <c r="A7" s="2">
        <v>104</v>
      </c>
      <c r="B7" s="4">
        <f>_xlfn.XLOOKUP(E7,Sheet2!E:E,Sheet2!A:A)</f>
        <v>2719</v>
      </c>
      <c r="C7" s="4">
        <v>201</v>
      </c>
      <c r="D7" s="5" t="str">
        <f>VLOOKUP(E7,Sheet2!F:G,2,FALSE)</f>
        <v>动态脑电图（24小时脑电Holter）</v>
      </c>
      <c r="E7" s="4" t="s">
        <v>62</v>
      </c>
      <c r="F7" s="7"/>
      <c r="G7" s="4">
        <v>286</v>
      </c>
      <c r="H7" s="4">
        <v>260</v>
      </c>
      <c r="I7" s="4">
        <v>221</v>
      </c>
      <c r="J7" s="7"/>
      <c r="K7" s="4">
        <v>98</v>
      </c>
      <c r="L7" s="4">
        <v>90</v>
      </c>
      <c r="M7" s="4">
        <v>78</v>
      </c>
      <c r="N7" s="4">
        <v>1</v>
      </c>
      <c r="O7" s="4">
        <v>1</v>
      </c>
      <c r="P7" s="4" t="s">
        <v>1637</v>
      </c>
      <c r="Q7" s="4">
        <v>0</v>
      </c>
      <c r="R7" s="4">
        <v>0</v>
      </c>
      <c r="S7" s="4">
        <v>64.4</v>
      </c>
      <c r="T7" s="4">
        <v>0</v>
      </c>
      <c r="U7" s="4">
        <v>0</v>
      </c>
      <c r="V7" s="4">
        <v>-10948</v>
      </c>
      <c r="W7" s="4">
        <v>0</v>
      </c>
      <c r="X7" s="4">
        <v>0</v>
      </c>
      <c r="Y7" s="4">
        <v>-10948</v>
      </c>
      <c r="Z7" s="4">
        <v>0</v>
      </c>
      <c r="AA7" s="8">
        <f t="shared" si="0"/>
        <v>-10948</v>
      </c>
    </row>
    <row r="8" ht="15.75" spans="1:27">
      <c r="A8" s="2">
        <v>7</v>
      </c>
      <c r="B8" s="4">
        <f>_xlfn.XLOOKUP(E8,Sheet2!E:E,Sheet2!A:A)</f>
        <v>2720</v>
      </c>
      <c r="C8" s="4">
        <v>201</v>
      </c>
      <c r="D8" s="5" t="str">
        <f>VLOOKUP(E8,Sheet2!F:G,2,FALSE)</f>
        <v>脑电图录象监测</v>
      </c>
      <c r="E8" s="4" t="s">
        <v>65</v>
      </c>
      <c r="F8" s="7"/>
      <c r="G8" s="4">
        <v>27.5</v>
      </c>
      <c r="H8" s="4">
        <v>25</v>
      </c>
      <c r="I8" s="4">
        <v>21.3</v>
      </c>
      <c r="J8" s="7"/>
      <c r="K8" s="4">
        <v>24.5</v>
      </c>
      <c r="L8" s="4">
        <v>22.5</v>
      </c>
      <c r="M8" s="4">
        <v>19.5</v>
      </c>
      <c r="N8" s="4">
        <v>1</v>
      </c>
      <c r="O8" s="4">
        <v>1</v>
      </c>
      <c r="P8" s="4" t="s">
        <v>1637</v>
      </c>
      <c r="Q8" s="4">
        <v>0</v>
      </c>
      <c r="R8" s="4">
        <v>8798.7</v>
      </c>
      <c r="S8" s="4">
        <v>7047</v>
      </c>
      <c r="T8" s="4">
        <v>0</v>
      </c>
      <c r="U8" s="4">
        <v>-26396.1</v>
      </c>
      <c r="V8" s="4">
        <v>-17617.5</v>
      </c>
      <c r="W8" s="4">
        <v>0</v>
      </c>
      <c r="X8" s="4">
        <v>-26396.1</v>
      </c>
      <c r="Y8" s="4">
        <v>-17617.5</v>
      </c>
      <c r="Z8" s="4">
        <v>0</v>
      </c>
      <c r="AA8" s="8">
        <f t="shared" si="0"/>
        <v>-44013.6</v>
      </c>
    </row>
    <row r="9" ht="15.75" spans="1:27">
      <c r="A9" s="2">
        <v>11</v>
      </c>
      <c r="B9" s="4">
        <f>_xlfn.XLOOKUP(E9,Sheet2!E:E,Sheet2!A:A)</f>
        <v>2721</v>
      </c>
      <c r="C9" s="4">
        <v>201</v>
      </c>
      <c r="D9" s="5" t="str">
        <f>VLOOKUP(E9,Sheet2!F:G,2,FALSE)</f>
        <v>特殊脑电图</v>
      </c>
      <c r="E9" s="4" t="s">
        <v>77</v>
      </c>
      <c r="F9" s="7"/>
      <c r="G9" s="4">
        <v>66</v>
      </c>
      <c r="H9" s="4">
        <v>60</v>
      </c>
      <c r="I9" s="4">
        <v>51</v>
      </c>
      <c r="J9" s="7"/>
      <c r="K9" s="4">
        <v>107</v>
      </c>
      <c r="L9" s="4">
        <v>98</v>
      </c>
      <c r="M9" s="4">
        <v>85</v>
      </c>
      <c r="N9" s="4">
        <v>1</v>
      </c>
      <c r="O9" s="4">
        <v>1</v>
      </c>
      <c r="P9" s="4" t="s">
        <v>1637</v>
      </c>
      <c r="Q9" s="4">
        <v>0</v>
      </c>
      <c r="R9" s="4">
        <v>1119.7</v>
      </c>
      <c r="S9" s="4">
        <v>235.5</v>
      </c>
      <c r="T9" s="4">
        <v>0</v>
      </c>
      <c r="U9" s="4">
        <v>45907.7</v>
      </c>
      <c r="V9" s="4">
        <v>8949</v>
      </c>
      <c r="W9" s="4">
        <v>0</v>
      </c>
      <c r="X9" s="4">
        <v>45907.7</v>
      </c>
      <c r="Y9" s="4">
        <v>8949</v>
      </c>
      <c r="Z9" s="4">
        <v>0</v>
      </c>
      <c r="AA9">
        <f t="shared" si="0"/>
        <v>54856.7</v>
      </c>
    </row>
    <row r="10" ht="15.75" spans="1:27">
      <c r="A10" s="2">
        <v>118</v>
      </c>
      <c r="B10" s="4">
        <f>_xlfn.XLOOKUP(E10,Sheet2!E:E,Sheet2!A:A)</f>
        <v>2722</v>
      </c>
      <c r="C10" s="4">
        <v>201</v>
      </c>
      <c r="D10" s="5" t="str">
        <f>VLOOKUP(E10,Sheet2!F:G,2,FALSE)</f>
        <v>特殊脑电图（特殊电极鼻咽或蝶骨或皮层等）</v>
      </c>
      <c r="E10" s="4" t="s">
        <v>80</v>
      </c>
      <c r="F10" s="7"/>
      <c r="G10" s="4">
        <v>66</v>
      </c>
      <c r="H10" s="4">
        <v>60</v>
      </c>
      <c r="I10" s="4">
        <v>51</v>
      </c>
      <c r="J10" s="7"/>
      <c r="K10" s="4">
        <v>107</v>
      </c>
      <c r="L10" s="4">
        <v>98</v>
      </c>
      <c r="M10" s="4">
        <v>85</v>
      </c>
      <c r="N10" s="4">
        <v>1</v>
      </c>
      <c r="O10" s="4">
        <v>1</v>
      </c>
      <c r="P10" s="4" t="s">
        <v>1637</v>
      </c>
      <c r="Q10" s="4">
        <v>0</v>
      </c>
      <c r="R10" s="4">
        <v>0</v>
      </c>
      <c r="S10" s="4">
        <v>1</v>
      </c>
      <c r="T10" s="4">
        <v>0</v>
      </c>
      <c r="U10" s="4">
        <v>0</v>
      </c>
      <c r="V10" s="4">
        <v>38</v>
      </c>
      <c r="W10" s="4">
        <v>0</v>
      </c>
      <c r="X10" s="4">
        <v>0</v>
      </c>
      <c r="Y10" s="4">
        <v>38</v>
      </c>
      <c r="Z10" s="4">
        <v>0</v>
      </c>
      <c r="AA10">
        <f t="shared" si="0"/>
        <v>38</v>
      </c>
    </row>
    <row r="11" ht="15.75" spans="1:27">
      <c r="A11" s="2">
        <v>99</v>
      </c>
      <c r="B11" s="4">
        <f>_xlfn.XLOOKUP(E11,Sheet2!E:E,Sheet2!A:A)</f>
        <v>2723</v>
      </c>
      <c r="C11" s="4">
        <v>201</v>
      </c>
      <c r="D11" s="5" t="str">
        <f>VLOOKUP(E11,Sheet2!F:G,2,FALSE)</f>
        <v>特殊脑电图（特殊诱发）</v>
      </c>
      <c r="E11" s="4" t="s">
        <v>85</v>
      </c>
      <c r="F11" s="7"/>
      <c r="G11" s="4">
        <v>66</v>
      </c>
      <c r="H11" s="4">
        <v>60</v>
      </c>
      <c r="I11" s="4">
        <v>51</v>
      </c>
      <c r="J11" s="7"/>
      <c r="K11" s="4">
        <v>107</v>
      </c>
      <c r="L11" s="4">
        <v>98</v>
      </c>
      <c r="M11" s="4">
        <v>85</v>
      </c>
      <c r="N11" s="4">
        <v>1</v>
      </c>
      <c r="O11" s="4">
        <v>1</v>
      </c>
      <c r="P11" s="4" t="s">
        <v>1637</v>
      </c>
      <c r="Q11" s="4">
        <v>0</v>
      </c>
      <c r="R11" s="4">
        <v>227</v>
      </c>
      <c r="S11" s="4">
        <v>749</v>
      </c>
      <c r="T11" s="4">
        <v>0</v>
      </c>
      <c r="U11" s="4">
        <v>9307</v>
      </c>
      <c r="V11" s="4">
        <v>28462</v>
      </c>
      <c r="W11" s="4">
        <v>0</v>
      </c>
      <c r="X11" s="4">
        <v>9307</v>
      </c>
      <c r="Y11" s="4">
        <v>28462</v>
      </c>
      <c r="Z11" s="4">
        <v>0</v>
      </c>
      <c r="AA11">
        <f t="shared" si="0"/>
        <v>37769</v>
      </c>
    </row>
    <row r="12" ht="15.75" spans="1:27">
      <c r="A12" s="2">
        <v>142</v>
      </c>
      <c r="B12" s="4">
        <f>_xlfn.XLOOKUP(E12,Sheet2!E:E,Sheet2!A:A)</f>
        <v>2726</v>
      </c>
      <c r="C12" s="4">
        <v>201</v>
      </c>
      <c r="D12" s="5" t="str">
        <f>VLOOKUP(E12,Sheet2!F:G,2,FALSE)</f>
        <v>感觉阈值测量</v>
      </c>
      <c r="E12" s="4" t="s">
        <v>115</v>
      </c>
      <c r="F12" s="7"/>
      <c r="G12" s="4">
        <v>0</v>
      </c>
      <c r="H12" s="4">
        <v>0</v>
      </c>
      <c r="I12" s="4">
        <v>0</v>
      </c>
      <c r="J12" s="7"/>
      <c r="K12" s="4">
        <v>27</v>
      </c>
      <c r="L12" s="4">
        <v>25</v>
      </c>
      <c r="M12" s="4">
        <v>21</v>
      </c>
      <c r="N12" s="4">
        <v>1</v>
      </c>
      <c r="O12" s="4">
        <v>1</v>
      </c>
      <c r="P12" s="4" t="s">
        <v>1637</v>
      </c>
      <c r="Q12" s="4">
        <v>0</v>
      </c>
      <c r="R12" s="4">
        <v>336</v>
      </c>
      <c r="S12" s="4">
        <v>0</v>
      </c>
      <c r="T12" s="4">
        <v>0</v>
      </c>
      <c r="U12" s="4">
        <v>9072</v>
      </c>
      <c r="V12" s="4">
        <v>0</v>
      </c>
      <c r="W12" s="4">
        <v>0</v>
      </c>
      <c r="X12" s="4">
        <v>-5712</v>
      </c>
      <c r="Y12" s="4">
        <v>0</v>
      </c>
      <c r="Z12" s="4">
        <v>0</v>
      </c>
      <c r="AA12">
        <f t="shared" si="0"/>
        <v>-5712</v>
      </c>
    </row>
    <row r="13" ht="15.75" spans="1:27">
      <c r="A13" s="2">
        <v>39</v>
      </c>
      <c r="B13" s="4">
        <f>_xlfn.XLOOKUP(E13,Sheet2!E:E,Sheet2!A:A)</f>
        <v>2727</v>
      </c>
      <c r="C13" s="4">
        <v>201</v>
      </c>
      <c r="D13" s="5" t="str">
        <f>VLOOKUP(E13,Sheet2!F:G,2,FALSE)</f>
        <v>植物神经功能检查</v>
      </c>
      <c r="E13" s="4" t="s">
        <v>118</v>
      </c>
      <c r="F13" s="7"/>
      <c r="G13" s="4">
        <v>22</v>
      </c>
      <c r="H13" s="4">
        <v>20</v>
      </c>
      <c r="I13" s="4">
        <v>17</v>
      </c>
      <c r="J13" s="7"/>
      <c r="K13" s="4">
        <v>27</v>
      </c>
      <c r="L13" s="4">
        <v>25</v>
      </c>
      <c r="M13" s="4">
        <v>21</v>
      </c>
      <c r="N13" s="4">
        <v>1</v>
      </c>
      <c r="O13" s="4">
        <v>1</v>
      </c>
      <c r="P13" s="4" t="s">
        <v>1637</v>
      </c>
      <c r="Q13" s="4">
        <v>0</v>
      </c>
      <c r="R13" s="4">
        <v>0</v>
      </c>
      <c r="S13" s="4">
        <v>434</v>
      </c>
      <c r="T13" s="4">
        <v>0</v>
      </c>
      <c r="U13" s="4">
        <v>0</v>
      </c>
      <c r="V13" s="4">
        <v>2170</v>
      </c>
      <c r="W13" s="4">
        <v>0</v>
      </c>
      <c r="X13" s="4">
        <v>0</v>
      </c>
      <c r="Y13" s="4">
        <v>2170</v>
      </c>
      <c r="Z13" s="4">
        <v>0</v>
      </c>
      <c r="AA13">
        <f t="shared" si="0"/>
        <v>2170</v>
      </c>
    </row>
    <row r="14" ht="15.75" spans="1:27">
      <c r="A14" s="2">
        <v>13</v>
      </c>
      <c r="B14" s="4">
        <f>_xlfn.XLOOKUP(E14,Sheet2!E:E,Sheet2!A:A)</f>
        <v>2729</v>
      </c>
      <c r="C14" s="4">
        <v>201</v>
      </c>
      <c r="D14" s="5" t="str">
        <f>VLOOKUP(E14,Sheet2!F:G,2,FALSE)</f>
        <v>多功能神经肌肉功能监测（表面肌电测定）</v>
      </c>
      <c r="E14" s="4" t="s">
        <v>123</v>
      </c>
      <c r="F14" s="7"/>
      <c r="G14" s="4">
        <v>4.5</v>
      </c>
      <c r="H14" s="4">
        <v>4</v>
      </c>
      <c r="I14" s="4">
        <v>3.5</v>
      </c>
      <c r="J14" s="7"/>
      <c r="K14" s="4">
        <v>0</v>
      </c>
      <c r="L14" s="4">
        <v>0</v>
      </c>
      <c r="M14" s="4">
        <v>0</v>
      </c>
      <c r="N14" s="4">
        <v>1</v>
      </c>
      <c r="O14" s="4">
        <v>1</v>
      </c>
      <c r="P14" s="4" t="s">
        <v>1637</v>
      </c>
      <c r="Q14" s="4">
        <v>0</v>
      </c>
      <c r="R14" s="4">
        <v>898</v>
      </c>
      <c r="S14" s="4">
        <v>0</v>
      </c>
      <c r="T14" s="4">
        <v>0</v>
      </c>
      <c r="U14" s="4">
        <v>-4041</v>
      </c>
      <c r="V14" s="4">
        <v>0</v>
      </c>
      <c r="W14" s="4">
        <v>0</v>
      </c>
      <c r="X14" s="4">
        <v>-4041</v>
      </c>
      <c r="Y14" s="4">
        <v>0</v>
      </c>
      <c r="Z14" s="4">
        <v>0</v>
      </c>
      <c r="AA14">
        <f t="shared" si="0"/>
        <v>-4041</v>
      </c>
    </row>
    <row r="15" ht="15.75" spans="1:27">
      <c r="A15" s="2">
        <v>21</v>
      </c>
      <c r="B15" s="4">
        <f>_xlfn.XLOOKUP(E15,Sheet2!E:E,Sheet2!A:A)</f>
        <v>2730</v>
      </c>
      <c r="C15" s="4">
        <v>201</v>
      </c>
      <c r="D15" s="5" t="str">
        <f>VLOOKUP(E15,Sheet2!F:G,2,FALSE)</f>
        <v>肌电图</v>
      </c>
      <c r="E15" s="4" t="s">
        <v>125</v>
      </c>
      <c r="F15" s="7"/>
      <c r="G15" s="4">
        <v>22</v>
      </c>
      <c r="H15" s="4">
        <v>20</v>
      </c>
      <c r="I15" s="4">
        <v>17</v>
      </c>
      <c r="J15" s="7"/>
      <c r="K15" s="4">
        <v>27</v>
      </c>
      <c r="L15" s="4">
        <v>25</v>
      </c>
      <c r="M15" s="4">
        <v>21</v>
      </c>
      <c r="N15" s="4">
        <v>1</v>
      </c>
      <c r="O15" s="4">
        <v>1</v>
      </c>
      <c r="P15" s="4" t="s">
        <v>1637</v>
      </c>
      <c r="Q15" s="4">
        <v>0</v>
      </c>
      <c r="R15" s="4">
        <v>16003.8</v>
      </c>
      <c r="S15" s="4">
        <v>11847.7464</v>
      </c>
      <c r="T15" s="4">
        <v>0</v>
      </c>
      <c r="U15" s="4">
        <v>80019</v>
      </c>
      <c r="V15" s="4">
        <v>59238.732</v>
      </c>
      <c r="W15" s="4">
        <v>0</v>
      </c>
      <c r="X15" s="4">
        <v>80019</v>
      </c>
      <c r="Y15" s="4">
        <v>51278.932</v>
      </c>
      <c r="Z15" s="4">
        <v>0</v>
      </c>
      <c r="AA15">
        <f t="shared" si="0"/>
        <v>131297.932</v>
      </c>
    </row>
    <row r="16" ht="15.75" spans="1:27">
      <c r="A16" s="2">
        <v>14</v>
      </c>
      <c r="B16" s="4">
        <f>_xlfn.XLOOKUP(E16,Sheet2!E:E,Sheet2!A:A)</f>
        <v>2734</v>
      </c>
      <c r="C16" s="4">
        <v>201</v>
      </c>
      <c r="D16" s="5" t="str">
        <f>VLOOKUP(E16,Sheet2!F:G,2,FALSE)</f>
        <v>神经传导速度测定</v>
      </c>
      <c r="E16" s="4" t="s">
        <v>155</v>
      </c>
      <c r="F16" s="7"/>
      <c r="G16" s="4">
        <v>22</v>
      </c>
      <c r="H16" s="4">
        <v>20</v>
      </c>
      <c r="I16" s="4">
        <v>17</v>
      </c>
      <c r="J16" s="7"/>
      <c r="K16" s="4">
        <v>22</v>
      </c>
      <c r="L16" s="4">
        <v>20</v>
      </c>
      <c r="M16" s="4">
        <v>17</v>
      </c>
      <c r="N16" s="4">
        <v>1</v>
      </c>
      <c r="O16" s="4">
        <v>1</v>
      </c>
      <c r="P16" s="4" t="s">
        <v>1637</v>
      </c>
      <c r="Q16" s="4">
        <v>0</v>
      </c>
      <c r="R16" s="4">
        <v>40526.2</v>
      </c>
      <c r="S16" s="4">
        <v>15805.3</v>
      </c>
      <c r="T16" s="4">
        <v>965</v>
      </c>
      <c r="U16" s="4">
        <v>0</v>
      </c>
      <c r="V16" s="4">
        <v>0</v>
      </c>
      <c r="W16" s="4">
        <v>0</v>
      </c>
      <c r="X16" s="4">
        <v>0</v>
      </c>
      <c r="Y16" s="4">
        <v>-6795.6</v>
      </c>
      <c r="Z16" s="4">
        <v>0</v>
      </c>
      <c r="AA16">
        <f t="shared" si="0"/>
        <v>-6795.6</v>
      </c>
    </row>
    <row r="17" ht="15.75" spans="1:27">
      <c r="A17" s="2">
        <v>60</v>
      </c>
      <c r="B17" s="4">
        <f>_xlfn.XLOOKUP(E17,Sheet2!E:E,Sheet2!A:A)</f>
        <v>2735</v>
      </c>
      <c r="C17" s="4">
        <v>201</v>
      </c>
      <c r="D17" s="5" t="str">
        <f>VLOOKUP(E17,Sheet2!F:G,2,FALSE)</f>
        <v>神经电图</v>
      </c>
      <c r="E17" s="4" t="s">
        <v>172</v>
      </c>
      <c r="F17" s="7"/>
      <c r="G17" s="4">
        <v>22</v>
      </c>
      <c r="H17" s="4">
        <v>20</v>
      </c>
      <c r="I17" s="4">
        <v>17</v>
      </c>
      <c r="J17" s="7"/>
      <c r="K17" s="4">
        <v>22</v>
      </c>
      <c r="L17" s="4">
        <v>20</v>
      </c>
      <c r="M17" s="4">
        <v>17</v>
      </c>
      <c r="N17" s="4">
        <v>1</v>
      </c>
      <c r="O17" s="4">
        <v>1</v>
      </c>
      <c r="P17" s="4" t="s">
        <v>1637</v>
      </c>
      <c r="Q17" s="4">
        <v>0</v>
      </c>
      <c r="R17" s="4">
        <v>12862.6</v>
      </c>
      <c r="S17" s="4">
        <v>5657.1848</v>
      </c>
      <c r="T17" s="4">
        <v>7</v>
      </c>
      <c r="U17" s="4">
        <v>0</v>
      </c>
      <c r="V17" s="4">
        <v>0</v>
      </c>
      <c r="W17" s="4">
        <v>0</v>
      </c>
      <c r="X17" s="4">
        <v>0</v>
      </c>
      <c r="Y17" s="4">
        <v>-1536.8</v>
      </c>
      <c r="Z17" s="4">
        <v>0</v>
      </c>
      <c r="AA17">
        <f t="shared" si="0"/>
        <v>-1536.8</v>
      </c>
    </row>
    <row r="18" ht="15.75" spans="1:27">
      <c r="A18" s="2">
        <v>82</v>
      </c>
      <c r="B18" s="4">
        <f>_xlfn.XLOOKUP(E18,Sheet2!E:E,Sheet2!A:A)</f>
        <v>2736</v>
      </c>
      <c r="C18" s="4">
        <v>201</v>
      </c>
      <c r="D18" s="5" t="str">
        <f>VLOOKUP(E18,Sheet2!F:G,2,FALSE)</f>
        <v>事件相关电位</v>
      </c>
      <c r="E18" s="4" t="s">
        <v>188</v>
      </c>
      <c r="F18" s="7"/>
      <c r="G18" s="4">
        <v>66</v>
      </c>
      <c r="H18" s="4">
        <v>60</v>
      </c>
      <c r="I18" s="4">
        <v>51</v>
      </c>
      <c r="J18" s="7"/>
      <c r="K18" s="4">
        <v>66</v>
      </c>
      <c r="L18" s="4">
        <v>59</v>
      </c>
      <c r="M18" s="4">
        <v>51</v>
      </c>
      <c r="N18" s="4">
        <v>1</v>
      </c>
      <c r="O18" s="4">
        <v>1</v>
      </c>
      <c r="P18" s="4" t="s">
        <v>1637</v>
      </c>
      <c r="Q18" s="4">
        <v>0</v>
      </c>
      <c r="R18" s="4">
        <v>0</v>
      </c>
      <c r="S18" s="4">
        <v>132</v>
      </c>
      <c r="T18" s="4">
        <v>0</v>
      </c>
      <c r="U18" s="4">
        <v>0</v>
      </c>
      <c r="V18" s="4">
        <v>-132</v>
      </c>
      <c r="W18" s="4">
        <v>0</v>
      </c>
      <c r="X18" s="4">
        <v>0</v>
      </c>
      <c r="Y18" s="4">
        <v>-132</v>
      </c>
      <c r="Z18" s="4">
        <v>0</v>
      </c>
      <c r="AA18">
        <f t="shared" si="0"/>
        <v>-132</v>
      </c>
    </row>
    <row r="19" ht="15.75" spans="1:27">
      <c r="A19" s="2">
        <v>33</v>
      </c>
      <c r="B19" s="4">
        <f>_xlfn.XLOOKUP(E19,Sheet2!E:E,Sheet2!A:A)</f>
        <v>2738</v>
      </c>
      <c r="C19" s="4">
        <v>201</v>
      </c>
      <c r="D19" s="5" t="str">
        <f>VLOOKUP(E19,Sheet2!F:G,2,FALSE)</f>
        <v>脑干听觉诱发电位</v>
      </c>
      <c r="E19" s="4" t="s">
        <v>199</v>
      </c>
      <c r="F19" s="7"/>
      <c r="G19" s="4">
        <v>66</v>
      </c>
      <c r="H19" s="4">
        <v>60</v>
      </c>
      <c r="I19" s="4">
        <v>51</v>
      </c>
      <c r="J19" s="7"/>
      <c r="K19" s="4">
        <v>66</v>
      </c>
      <c r="L19" s="4">
        <v>59</v>
      </c>
      <c r="M19" s="4">
        <v>51</v>
      </c>
      <c r="N19" s="4">
        <v>1</v>
      </c>
      <c r="O19" s="4">
        <v>1</v>
      </c>
      <c r="P19" s="4" t="s">
        <v>1637</v>
      </c>
      <c r="Q19" s="4">
        <v>0</v>
      </c>
      <c r="R19" s="4">
        <v>1386</v>
      </c>
      <c r="S19" s="4">
        <v>46</v>
      </c>
      <c r="T19" s="4">
        <v>0</v>
      </c>
      <c r="U19" s="4">
        <v>0</v>
      </c>
      <c r="V19" s="4">
        <v>-46</v>
      </c>
      <c r="W19" s="4">
        <v>0</v>
      </c>
      <c r="X19" s="4">
        <v>0</v>
      </c>
      <c r="Y19" s="4">
        <v>-46</v>
      </c>
      <c r="Z19" s="4">
        <v>0</v>
      </c>
      <c r="AA19">
        <f t="shared" si="0"/>
        <v>-46</v>
      </c>
    </row>
    <row r="20" ht="15.75" spans="1:27">
      <c r="A20" s="2">
        <v>69</v>
      </c>
      <c r="B20" s="4">
        <f>_xlfn.XLOOKUP(E20,Sheet2!E:E,Sheet2!A:A)</f>
        <v>2739</v>
      </c>
      <c r="C20" s="4">
        <v>201</v>
      </c>
      <c r="D20" s="5" t="str">
        <f>VLOOKUP(E20,Sheet2!F:G,2,FALSE)</f>
        <v>体感诱发电位</v>
      </c>
      <c r="E20" s="4" t="s">
        <v>208</v>
      </c>
      <c r="F20" s="7"/>
      <c r="G20" s="4">
        <v>88</v>
      </c>
      <c r="H20" s="4">
        <v>80</v>
      </c>
      <c r="I20" s="4">
        <v>68</v>
      </c>
      <c r="J20" s="7"/>
      <c r="K20" s="4">
        <v>88</v>
      </c>
      <c r="L20" s="4">
        <v>80</v>
      </c>
      <c r="M20" s="4">
        <v>68</v>
      </c>
      <c r="N20" s="4">
        <v>1</v>
      </c>
      <c r="O20" s="4">
        <v>1</v>
      </c>
      <c r="P20" s="4" t="s">
        <v>1637</v>
      </c>
      <c r="Q20" s="4">
        <v>0</v>
      </c>
      <c r="R20" s="4">
        <v>4861.8</v>
      </c>
      <c r="S20" s="4">
        <v>4152.2</v>
      </c>
      <c r="T20" s="4">
        <v>571</v>
      </c>
      <c r="U20" s="4">
        <v>0</v>
      </c>
      <c r="V20" s="4">
        <v>0</v>
      </c>
      <c r="W20" s="4">
        <v>0</v>
      </c>
      <c r="X20" s="4">
        <v>0</v>
      </c>
      <c r="Y20" s="4">
        <v>-608</v>
      </c>
      <c r="Z20" s="4">
        <v>0</v>
      </c>
      <c r="AA20">
        <f t="shared" si="0"/>
        <v>-608</v>
      </c>
    </row>
    <row r="21" ht="15.75" spans="1:27">
      <c r="A21" s="2">
        <v>35</v>
      </c>
      <c r="B21" s="4">
        <f>_xlfn.XLOOKUP(E21,Sheet2!E:E,Sheet2!A:A)</f>
        <v>2740</v>
      </c>
      <c r="C21" s="4">
        <v>201</v>
      </c>
      <c r="D21" s="5" t="str">
        <f>VLOOKUP(E21,Sheet2!F:G,2,FALSE)</f>
        <v>体感诱发电位（诱发电位地形图分析）</v>
      </c>
      <c r="E21" s="4" t="s">
        <v>212</v>
      </c>
      <c r="F21" s="7"/>
      <c r="G21" s="4">
        <v>105.6</v>
      </c>
      <c r="H21" s="4">
        <v>96</v>
      </c>
      <c r="I21" s="4">
        <v>81.6</v>
      </c>
      <c r="J21" s="7"/>
      <c r="K21" s="4">
        <v>88</v>
      </c>
      <c r="L21" s="4">
        <v>80</v>
      </c>
      <c r="M21" s="4">
        <v>68</v>
      </c>
      <c r="N21" s="4">
        <v>1</v>
      </c>
      <c r="O21" s="4">
        <v>1</v>
      </c>
      <c r="P21" s="4" t="s">
        <v>1637</v>
      </c>
      <c r="Q21" s="4">
        <v>0</v>
      </c>
      <c r="R21" s="4">
        <v>0</v>
      </c>
      <c r="S21" s="4">
        <v>24</v>
      </c>
      <c r="T21" s="4">
        <v>0</v>
      </c>
      <c r="U21" s="4">
        <v>0</v>
      </c>
      <c r="V21" s="4">
        <v>-384</v>
      </c>
      <c r="W21" s="4">
        <v>0</v>
      </c>
      <c r="X21" s="4">
        <v>0</v>
      </c>
      <c r="Y21" s="4">
        <v>-384</v>
      </c>
      <c r="Z21" s="4">
        <v>0</v>
      </c>
      <c r="AA21">
        <f t="shared" si="0"/>
        <v>-384</v>
      </c>
    </row>
    <row r="22" ht="15.75" spans="1:27">
      <c r="A22" s="2">
        <v>47</v>
      </c>
      <c r="B22" s="4">
        <f>_xlfn.XLOOKUP(E22,Sheet2!E:E,Sheet2!A:A)</f>
        <v>2741</v>
      </c>
      <c r="C22" s="4">
        <v>201</v>
      </c>
      <c r="D22" s="5" t="str">
        <f>VLOOKUP(E22,Sheet2!F:G,2,FALSE)</f>
        <v>运动诱发电位</v>
      </c>
      <c r="E22" s="4" t="s">
        <v>221</v>
      </c>
      <c r="F22" s="7"/>
      <c r="G22" s="4">
        <v>54</v>
      </c>
      <c r="H22" s="4">
        <v>50</v>
      </c>
      <c r="I22" s="4">
        <v>42</v>
      </c>
      <c r="J22" s="7"/>
      <c r="K22" s="4">
        <v>54</v>
      </c>
      <c r="L22" s="4">
        <v>50</v>
      </c>
      <c r="M22" s="4">
        <v>42</v>
      </c>
      <c r="N22" s="4">
        <v>1</v>
      </c>
      <c r="O22" s="4">
        <v>1</v>
      </c>
      <c r="P22" s="4" t="s">
        <v>1637</v>
      </c>
      <c r="Q22" s="4">
        <v>0</v>
      </c>
      <c r="R22" s="4">
        <v>25.1</v>
      </c>
      <c r="S22" s="4">
        <v>0</v>
      </c>
      <c r="T22" s="4">
        <v>0</v>
      </c>
      <c r="U22" s="4">
        <v>0</v>
      </c>
      <c r="V22" s="4">
        <v>0</v>
      </c>
      <c r="W22" s="4">
        <v>0</v>
      </c>
      <c r="X22" s="4">
        <v>0</v>
      </c>
      <c r="Y22" s="4">
        <v>0</v>
      </c>
      <c r="Z22" s="4">
        <v>0</v>
      </c>
      <c r="AA22">
        <f t="shared" si="0"/>
        <v>0</v>
      </c>
    </row>
    <row r="23" ht="15.75" spans="1:27">
      <c r="A23" s="2">
        <v>140</v>
      </c>
      <c r="B23" s="4">
        <f>_xlfn.XLOOKUP(E23,Sheet2!E:E,Sheet2!A:A)</f>
        <v>2742</v>
      </c>
      <c r="C23" s="4">
        <v>201</v>
      </c>
      <c r="D23" s="5" t="str">
        <f>VLOOKUP(E23,Sheet2!F:G,2,FALSE)</f>
        <v>电诊断</v>
      </c>
      <c r="E23" s="4" t="s">
        <v>228</v>
      </c>
      <c r="F23" s="7"/>
      <c r="G23" s="4">
        <v>8</v>
      </c>
      <c r="H23" s="4">
        <v>8</v>
      </c>
      <c r="I23" s="4">
        <v>6.8</v>
      </c>
      <c r="J23" s="7"/>
      <c r="K23" s="4">
        <v>32</v>
      </c>
      <c r="L23" s="4">
        <v>30</v>
      </c>
      <c r="M23" s="4">
        <v>27</v>
      </c>
      <c r="N23" s="4">
        <v>1</v>
      </c>
      <c r="O23" s="4">
        <v>1</v>
      </c>
      <c r="P23" s="4" t="s">
        <v>1637</v>
      </c>
      <c r="Q23" s="4">
        <v>0</v>
      </c>
      <c r="R23" s="4">
        <v>0</v>
      </c>
      <c r="S23" s="4">
        <v>0</v>
      </c>
      <c r="T23" s="4">
        <v>819</v>
      </c>
      <c r="U23" s="4">
        <v>0</v>
      </c>
      <c r="V23" s="4">
        <v>0</v>
      </c>
      <c r="W23" s="4">
        <v>16543.8</v>
      </c>
      <c r="X23" s="4">
        <v>0</v>
      </c>
      <c r="Y23" s="4">
        <v>0</v>
      </c>
      <c r="Z23" s="4">
        <v>16543.8</v>
      </c>
      <c r="AA23">
        <f t="shared" si="0"/>
        <v>16543.8</v>
      </c>
    </row>
    <row r="24" ht="15.75" spans="1:27">
      <c r="A24" s="2">
        <v>45</v>
      </c>
      <c r="B24" s="4">
        <f>_xlfn.XLOOKUP(E24,Sheet2!E:E,Sheet2!A:A)</f>
        <v>2743</v>
      </c>
      <c r="C24" s="4">
        <v>201</v>
      </c>
      <c r="D24" s="6">
        <f>VLOOKUP(E24,Sheet2!F:G,2,FALSE)</f>
        <v>0</v>
      </c>
      <c r="E24" s="4" t="s">
        <v>245</v>
      </c>
      <c r="F24" s="7"/>
      <c r="G24" s="4">
        <v>0</v>
      </c>
      <c r="H24" s="4">
        <v>0</v>
      </c>
      <c r="I24" s="4">
        <v>0</v>
      </c>
      <c r="J24" s="7"/>
      <c r="K24" s="4">
        <v>3</v>
      </c>
      <c r="L24" s="4">
        <v>2.9</v>
      </c>
      <c r="M24" s="4">
        <v>2.7</v>
      </c>
      <c r="N24" s="4">
        <v>1</v>
      </c>
      <c r="O24" s="4">
        <v>1</v>
      </c>
      <c r="P24" s="4" t="s">
        <v>1637</v>
      </c>
      <c r="Q24" s="4">
        <v>0</v>
      </c>
      <c r="R24" s="4">
        <v>19062.4</v>
      </c>
      <c r="S24" s="4">
        <v>17487.4</v>
      </c>
      <c r="T24" s="4">
        <v>0</v>
      </c>
      <c r="U24" s="4">
        <v>57187.2</v>
      </c>
      <c r="V24" s="4">
        <v>50713.46</v>
      </c>
      <c r="W24" s="4">
        <v>0</v>
      </c>
      <c r="X24" s="4">
        <v>-5718.72</v>
      </c>
      <c r="Y24" s="4">
        <v>-1748.74</v>
      </c>
      <c r="Z24" s="4">
        <v>0</v>
      </c>
      <c r="AA24">
        <f t="shared" si="0"/>
        <v>-7467.46</v>
      </c>
    </row>
    <row r="25" ht="15.75" spans="1:27">
      <c r="A25" s="2">
        <v>38</v>
      </c>
      <c r="B25" s="4">
        <f>_xlfn.XLOOKUP(E25,Sheet2!E:E,Sheet2!A:A)</f>
        <v>2746</v>
      </c>
      <c r="C25" s="4">
        <v>201</v>
      </c>
      <c r="D25" s="5" t="str">
        <f>VLOOKUP(E25,Sheet2!F:G,2,FALSE)</f>
        <v>经股动脉插管全脑动脉造影术</v>
      </c>
      <c r="E25" s="4" t="s">
        <v>260</v>
      </c>
      <c r="F25" s="7"/>
      <c r="G25" s="4">
        <v>3345</v>
      </c>
      <c r="H25" s="4">
        <v>3015</v>
      </c>
      <c r="I25" s="4">
        <v>2415</v>
      </c>
      <c r="J25" s="7"/>
      <c r="K25" s="4">
        <v>3344</v>
      </c>
      <c r="L25" s="4">
        <v>3016</v>
      </c>
      <c r="M25" s="4">
        <v>2416</v>
      </c>
      <c r="N25" s="4">
        <v>1</v>
      </c>
      <c r="O25" s="4">
        <v>1</v>
      </c>
      <c r="P25" s="4" t="s">
        <v>1637</v>
      </c>
      <c r="Q25" s="4">
        <v>0</v>
      </c>
      <c r="R25" s="4">
        <v>1653.9</v>
      </c>
      <c r="S25" s="4">
        <v>1055.9</v>
      </c>
      <c r="T25" s="4">
        <v>0</v>
      </c>
      <c r="U25" s="4">
        <v>-1653.9</v>
      </c>
      <c r="V25" s="4">
        <v>1055.9</v>
      </c>
      <c r="W25" s="4">
        <v>0</v>
      </c>
      <c r="X25" s="4">
        <v>-1653.9</v>
      </c>
      <c r="Y25" s="4">
        <v>1220.9</v>
      </c>
      <c r="Z25" s="4">
        <v>0</v>
      </c>
      <c r="AA25">
        <f t="shared" si="0"/>
        <v>-433</v>
      </c>
    </row>
    <row r="26" ht="15.75" spans="1:27">
      <c r="A26" s="2">
        <v>92</v>
      </c>
      <c r="B26" s="4">
        <f>_xlfn.XLOOKUP(E26,Sheet2!E:E,Sheet2!A:A)</f>
        <v>2747</v>
      </c>
      <c r="C26" s="4">
        <v>201</v>
      </c>
      <c r="D26" s="5" t="str">
        <f>VLOOKUP(E26,Sheet2!F:G,2,FALSE)</f>
        <v>小儿经股动脉插管全脑动脉造影术</v>
      </c>
      <c r="E26" s="4" t="s">
        <v>263</v>
      </c>
      <c r="F26" s="7"/>
      <c r="G26" s="4">
        <v>4350</v>
      </c>
      <c r="H26" s="4">
        <v>3920</v>
      </c>
      <c r="I26" s="4">
        <v>3140</v>
      </c>
      <c r="J26" s="7"/>
      <c r="K26" s="4">
        <v>3344</v>
      </c>
      <c r="L26" s="4">
        <v>3016</v>
      </c>
      <c r="M26" s="4">
        <v>2416</v>
      </c>
      <c r="N26" s="4">
        <v>1</v>
      </c>
      <c r="O26" s="4">
        <v>1</v>
      </c>
      <c r="P26" s="4" t="s">
        <v>1637</v>
      </c>
      <c r="Q26" s="4">
        <v>0</v>
      </c>
      <c r="R26" s="4">
        <v>2.5</v>
      </c>
      <c r="S26" s="4">
        <v>0</v>
      </c>
      <c r="T26" s="4">
        <v>0</v>
      </c>
      <c r="U26" s="4">
        <v>-2515</v>
      </c>
      <c r="V26" s="4">
        <v>0</v>
      </c>
      <c r="W26" s="4">
        <v>0</v>
      </c>
      <c r="X26" s="4">
        <v>-2515</v>
      </c>
      <c r="Y26" s="4">
        <v>0</v>
      </c>
      <c r="Z26" s="4">
        <v>0</v>
      </c>
      <c r="AA26">
        <f t="shared" si="0"/>
        <v>-2515</v>
      </c>
    </row>
    <row r="27" ht="15.75" spans="1:27">
      <c r="A27" s="2">
        <v>108</v>
      </c>
      <c r="B27" s="4">
        <f>_xlfn.XLOOKUP(E27,Sheet2!E:E,Sheet2!A:A)</f>
        <v>2748</v>
      </c>
      <c r="C27" s="4">
        <v>201</v>
      </c>
      <c r="D27" s="5" t="str">
        <f>VLOOKUP(E27,Sheet2!F:G,2,FALSE)</f>
        <v>脊髓动脉造影术</v>
      </c>
      <c r="E27" s="4" t="s">
        <v>271</v>
      </c>
      <c r="F27" s="7"/>
      <c r="G27" s="4">
        <v>2430</v>
      </c>
      <c r="H27" s="4">
        <v>2200</v>
      </c>
      <c r="I27" s="4">
        <v>1870</v>
      </c>
      <c r="J27" s="7"/>
      <c r="K27" s="4">
        <v>2437.5</v>
      </c>
      <c r="L27" s="4">
        <v>2200</v>
      </c>
      <c r="M27" s="4">
        <v>1875</v>
      </c>
      <c r="N27" s="4">
        <v>1</v>
      </c>
      <c r="O27" s="4">
        <v>1</v>
      </c>
      <c r="P27" s="4" t="s">
        <v>1637</v>
      </c>
      <c r="Q27" s="4">
        <v>0</v>
      </c>
      <c r="R27" s="4">
        <v>3</v>
      </c>
      <c r="S27" s="4">
        <v>0</v>
      </c>
      <c r="T27" s="4">
        <v>0</v>
      </c>
      <c r="U27" s="4">
        <v>22.5</v>
      </c>
      <c r="V27" s="4">
        <v>0</v>
      </c>
      <c r="W27" s="4">
        <v>0</v>
      </c>
      <c r="X27" s="4">
        <v>1687.5</v>
      </c>
      <c r="Y27" s="4">
        <v>0</v>
      </c>
      <c r="Z27" s="4">
        <v>0</v>
      </c>
      <c r="AA27">
        <f t="shared" si="0"/>
        <v>1687.5</v>
      </c>
    </row>
    <row r="28" ht="15.75" spans="1:27">
      <c r="A28" s="2">
        <v>34</v>
      </c>
      <c r="B28" s="4">
        <f>_xlfn.XLOOKUP(E28,Sheet2!E:E,Sheet2!A:A)</f>
        <v>2750</v>
      </c>
      <c r="C28" s="4">
        <v>201</v>
      </c>
      <c r="D28" s="5" t="str">
        <f>VLOOKUP(E28,Sheet2!F:G,2,FALSE)</f>
        <v>术中颅神经监测</v>
      </c>
      <c r="E28" s="4" t="s">
        <v>282</v>
      </c>
      <c r="F28" s="7"/>
      <c r="G28" s="4">
        <v>55</v>
      </c>
      <c r="H28" s="4">
        <v>50</v>
      </c>
      <c r="I28" s="4">
        <v>42.5</v>
      </c>
      <c r="J28" s="7"/>
      <c r="K28" s="4">
        <v>48</v>
      </c>
      <c r="L28" s="4">
        <v>45</v>
      </c>
      <c r="M28" s="4">
        <v>40</v>
      </c>
      <c r="N28" s="4">
        <v>1</v>
      </c>
      <c r="O28" s="4">
        <v>1</v>
      </c>
      <c r="P28" s="4" t="s">
        <v>1637</v>
      </c>
      <c r="Q28" s="4">
        <v>0</v>
      </c>
      <c r="R28" s="4">
        <v>2065.9</v>
      </c>
      <c r="S28" s="4">
        <v>0</v>
      </c>
      <c r="T28" s="4">
        <v>0</v>
      </c>
      <c r="U28" s="4">
        <v>-14461.3</v>
      </c>
      <c r="V28" s="4">
        <v>0</v>
      </c>
      <c r="W28" s="4">
        <v>0</v>
      </c>
      <c r="X28" s="4">
        <v>-14461.3</v>
      </c>
      <c r="Y28" s="4">
        <v>0</v>
      </c>
      <c r="Z28" s="4">
        <v>0</v>
      </c>
      <c r="AA28">
        <f t="shared" si="0"/>
        <v>-14461.3</v>
      </c>
    </row>
    <row r="29" ht="15.75" spans="1:27">
      <c r="A29" s="2">
        <v>144</v>
      </c>
      <c r="B29" s="4">
        <f>_xlfn.XLOOKUP(E29,Sheet2!E:E,Sheet2!A:A)</f>
        <v>2751</v>
      </c>
      <c r="C29" s="4">
        <v>201</v>
      </c>
      <c r="D29" s="5" t="str">
        <f>VLOOKUP(E29,Sheet2!F:G,2,FALSE)</f>
        <v>脑电图（术中监测）</v>
      </c>
      <c r="E29" s="4" t="s">
        <v>284</v>
      </c>
      <c r="F29" s="7"/>
      <c r="G29" s="4">
        <v>22</v>
      </c>
      <c r="H29" s="4">
        <v>20</v>
      </c>
      <c r="I29" s="4">
        <v>17</v>
      </c>
      <c r="J29" s="7"/>
      <c r="K29" s="4">
        <v>48</v>
      </c>
      <c r="L29" s="4">
        <v>45</v>
      </c>
      <c r="M29" s="4">
        <v>40</v>
      </c>
      <c r="N29" s="4">
        <v>1</v>
      </c>
      <c r="O29" s="4">
        <v>1</v>
      </c>
      <c r="P29" s="4" t="s">
        <v>1637</v>
      </c>
      <c r="Q29" s="4">
        <v>0</v>
      </c>
      <c r="R29" s="4">
        <v>475</v>
      </c>
      <c r="S29" s="4">
        <v>0</v>
      </c>
      <c r="T29" s="4">
        <v>0</v>
      </c>
      <c r="U29" s="4">
        <v>12350</v>
      </c>
      <c r="V29" s="4">
        <v>0</v>
      </c>
      <c r="W29" s="4">
        <v>0</v>
      </c>
      <c r="X29" s="4">
        <v>12350</v>
      </c>
      <c r="Y29" s="4">
        <v>0</v>
      </c>
      <c r="Z29" s="4">
        <v>0</v>
      </c>
      <c r="AA29">
        <f t="shared" si="0"/>
        <v>12350</v>
      </c>
    </row>
    <row r="30" ht="15.75" spans="1:27">
      <c r="A30" s="2">
        <v>90</v>
      </c>
      <c r="B30" s="4">
        <f>_xlfn.XLOOKUP(E30,Sheet2!E:E,Sheet2!A:A)</f>
        <v>2752</v>
      </c>
      <c r="C30" s="4">
        <v>201</v>
      </c>
      <c r="D30" s="5" t="str">
        <f>VLOOKUP(E30,Sheet2!F:G,2,FALSE)</f>
        <v>体感诱发电位术中监测</v>
      </c>
      <c r="E30" s="4" t="s">
        <v>287</v>
      </c>
      <c r="F30" s="7"/>
      <c r="G30" s="4">
        <v>22</v>
      </c>
      <c r="H30" s="4">
        <v>20</v>
      </c>
      <c r="I30" s="4">
        <v>17</v>
      </c>
      <c r="J30" s="7"/>
      <c r="K30" s="4">
        <v>48</v>
      </c>
      <c r="L30" s="4">
        <v>45</v>
      </c>
      <c r="M30" s="4">
        <v>40</v>
      </c>
      <c r="N30" s="4">
        <v>1</v>
      </c>
      <c r="O30" s="4">
        <v>1</v>
      </c>
      <c r="P30" s="4" t="s">
        <v>1637</v>
      </c>
      <c r="Q30" s="4">
        <v>0</v>
      </c>
      <c r="R30" s="4">
        <v>607.2</v>
      </c>
      <c r="S30" s="4">
        <v>411.6</v>
      </c>
      <c r="T30" s="4">
        <v>0</v>
      </c>
      <c r="U30" s="4">
        <v>15787.2</v>
      </c>
      <c r="V30" s="4">
        <v>10290</v>
      </c>
      <c r="W30" s="4">
        <v>0</v>
      </c>
      <c r="X30" s="4">
        <v>15787.2</v>
      </c>
      <c r="Y30" s="4">
        <v>10290</v>
      </c>
      <c r="Z30" s="4">
        <v>0</v>
      </c>
      <c r="AA30">
        <f t="shared" si="0"/>
        <v>26077.2</v>
      </c>
    </row>
    <row r="31" ht="15.75" spans="1:27">
      <c r="A31" s="2">
        <v>115</v>
      </c>
      <c r="B31" s="4">
        <f>_xlfn.XLOOKUP(E31,Sheet2!E:E,Sheet2!A:A)</f>
        <v>2753</v>
      </c>
      <c r="C31" s="4">
        <v>201</v>
      </c>
      <c r="D31" s="5" t="str">
        <f>VLOOKUP(E31,Sheet2!F:G,2,FALSE)</f>
        <v>神经刺激器引导下神经定位</v>
      </c>
      <c r="E31" s="4" t="s">
        <v>289</v>
      </c>
      <c r="F31" s="7"/>
      <c r="G31" s="4">
        <v>100</v>
      </c>
      <c r="H31" s="4">
        <v>100</v>
      </c>
      <c r="I31" s="4">
        <v>85</v>
      </c>
      <c r="J31" s="7"/>
      <c r="K31" s="4">
        <v>48</v>
      </c>
      <c r="L31" s="4">
        <v>45</v>
      </c>
      <c r="M31" s="4">
        <v>40</v>
      </c>
      <c r="N31" s="4">
        <v>1</v>
      </c>
      <c r="O31" s="4">
        <v>1</v>
      </c>
      <c r="P31" s="4" t="s">
        <v>1637</v>
      </c>
      <c r="Q31" s="4">
        <v>0</v>
      </c>
      <c r="R31" s="4">
        <v>0</v>
      </c>
      <c r="S31" s="4">
        <v>508.05</v>
      </c>
      <c r="T31" s="4">
        <v>0</v>
      </c>
      <c r="U31" s="4">
        <v>0</v>
      </c>
      <c r="V31" s="4">
        <v>-27942.75</v>
      </c>
      <c r="W31" s="4">
        <v>0</v>
      </c>
      <c r="X31" s="4">
        <v>0</v>
      </c>
      <c r="Y31" s="4">
        <v>-27942.75</v>
      </c>
      <c r="Z31" s="4">
        <v>0</v>
      </c>
      <c r="AA31">
        <f t="shared" si="0"/>
        <v>-27942.75</v>
      </c>
    </row>
    <row r="32" ht="15.75" spans="1:27">
      <c r="A32" s="2">
        <v>57</v>
      </c>
      <c r="B32" s="4">
        <f>_xlfn.XLOOKUP(E32,Sheet2!E:E,Sheet2!A:A)</f>
        <v>2754</v>
      </c>
      <c r="C32" s="4">
        <v>201</v>
      </c>
      <c r="D32" s="5" t="str">
        <f>VLOOKUP(E32,Sheet2!F:G,2,FALSE)</f>
        <v>肌电图监测</v>
      </c>
      <c r="E32" s="4" t="s">
        <v>294</v>
      </c>
      <c r="F32" s="7"/>
      <c r="G32" s="4">
        <v>5.5</v>
      </c>
      <c r="H32" s="4">
        <v>5</v>
      </c>
      <c r="I32" s="4">
        <v>4.3</v>
      </c>
      <c r="J32" s="7"/>
      <c r="K32" s="4">
        <v>5</v>
      </c>
      <c r="L32" s="4">
        <v>4.8</v>
      </c>
      <c r="M32" s="4">
        <v>4.5</v>
      </c>
      <c r="N32" s="4">
        <v>1</v>
      </c>
      <c r="O32" s="4">
        <v>1</v>
      </c>
      <c r="P32" s="4" t="s">
        <v>1637</v>
      </c>
      <c r="Q32" s="4">
        <v>0</v>
      </c>
      <c r="R32" s="4">
        <v>11578.1</v>
      </c>
      <c r="S32" s="4">
        <v>3339.6</v>
      </c>
      <c r="T32" s="4">
        <v>0</v>
      </c>
      <c r="U32" s="4">
        <v>-5789.05</v>
      </c>
      <c r="V32" s="4">
        <v>-667.92</v>
      </c>
      <c r="W32" s="4">
        <v>0</v>
      </c>
      <c r="X32" s="4">
        <v>-5789.05</v>
      </c>
      <c r="Y32" s="4">
        <v>-881.92</v>
      </c>
      <c r="Z32" s="4">
        <v>0</v>
      </c>
      <c r="AA32">
        <f t="shared" si="0"/>
        <v>-6670.97</v>
      </c>
    </row>
    <row r="33" ht="15.75" spans="1:27">
      <c r="A33" s="2">
        <v>72</v>
      </c>
      <c r="B33" s="4">
        <f>_xlfn.XLOOKUP(E33,Sheet2!E:E,Sheet2!A:A)</f>
        <v>2756</v>
      </c>
      <c r="C33" s="4">
        <v>201</v>
      </c>
      <c r="D33" s="5" t="str">
        <f>VLOOKUP(E33,Sheet2!F:G,2,FALSE)</f>
        <v>经颅重复磁刺激治疗</v>
      </c>
      <c r="E33" s="4" t="s">
        <v>309</v>
      </c>
      <c r="F33" s="7"/>
      <c r="G33" s="4">
        <v>90</v>
      </c>
      <c r="H33" s="4">
        <v>81</v>
      </c>
      <c r="I33" s="4">
        <v>68.9</v>
      </c>
      <c r="J33" s="7"/>
      <c r="K33" s="4">
        <v>90</v>
      </c>
      <c r="L33" s="4">
        <v>81</v>
      </c>
      <c r="M33" s="4">
        <v>69</v>
      </c>
      <c r="N33" s="4">
        <v>1</v>
      </c>
      <c r="O33" s="4">
        <v>1</v>
      </c>
      <c r="P33" s="4" t="s">
        <v>1637</v>
      </c>
      <c r="Q33" s="4">
        <v>0</v>
      </c>
      <c r="R33" s="4">
        <v>29748.9</v>
      </c>
      <c r="S33" s="4">
        <v>57459.05</v>
      </c>
      <c r="T33" s="4">
        <v>3223</v>
      </c>
      <c r="U33" s="4">
        <v>0</v>
      </c>
      <c r="V33" s="4">
        <v>0</v>
      </c>
      <c r="W33" s="4">
        <v>322.3</v>
      </c>
      <c r="X33" s="4">
        <v>0</v>
      </c>
      <c r="Y33" s="4">
        <v>2624.4</v>
      </c>
      <c r="Z33" s="4">
        <v>322.3</v>
      </c>
      <c r="AA33">
        <f t="shared" si="0"/>
        <v>2946.7</v>
      </c>
    </row>
    <row r="34" ht="15.75" spans="1:27">
      <c r="A34" s="2">
        <v>15</v>
      </c>
      <c r="B34" s="4">
        <f>_xlfn.XLOOKUP(E34,Sheet2!E:E,Sheet2!A:A)</f>
        <v>2758</v>
      </c>
      <c r="C34" s="4">
        <v>201</v>
      </c>
      <c r="D34" s="5" t="str">
        <f>VLOOKUP(E34,Sheet2!F:G,2,FALSE)</f>
        <v>神经阻滞治疗</v>
      </c>
      <c r="E34" s="4" t="s">
        <v>331</v>
      </c>
      <c r="F34" s="7"/>
      <c r="G34" s="4">
        <v>38</v>
      </c>
      <c r="H34" s="4">
        <v>28</v>
      </c>
      <c r="I34" s="4">
        <v>23.8</v>
      </c>
      <c r="J34" s="7"/>
      <c r="K34" s="4">
        <v>60</v>
      </c>
      <c r="L34" s="4">
        <v>54</v>
      </c>
      <c r="M34" s="4">
        <v>47</v>
      </c>
      <c r="N34" s="4">
        <v>1</v>
      </c>
      <c r="O34" s="4">
        <v>1</v>
      </c>
      <c r="P34" s="4" t="s">
        <v>1637</v>
      </c>
      <c r="Q34" s="4">
        <v>0</v>
      </c>
      <c r="R34" s="4">
        <v>4071.0979</v>
      </c>
      <c r="S34" s="4">
        <v>274.15</v>
      </c>
      <c r="T34" s="4">
        <v>94.3</v>
      </c>
      <c r="U34" s="4">
        <v>89564.1538</v>
      </c>
      <c r="V34" s="4">
        <v>7127.9</v>
      </c>
      <c r="W34" s="4">
        <v>2187.76</v>
      </c>
      <c r="X34" s="4">
        <v>89564.1538</v>
      </c>
      <c r="Y34" s="4">
        <v>7009.25</v>
      </c>
      <c r="Z34" s="4">
        <v>2187.76</v>
      </c>
      <c r="AA34">
        <f t="shared" si="0"/>
        <v>98761.1638</v>
      </c>
    </row>
    <row r="35" ht="15.75" spans="1:27">
      <c r="A35" s="2">
        <v>134</v>
      </c>
      <c r="B35" s="4">
        <f>_xlfn.XLOOKUP(E35,Sheet2!E:E,Sheet2!A:A)</f>
        <v>2759</v>
      </c>
      <c r="C35" s="4">
        <v>201</v>
      </c>
      <c r="D35" s="5" t="str">
        <f>VLOOKUP(E35,Sheet2!F:G,2,FALSE)</f>
        <v>周围神经毁损术</v>
      </c>
      <c r="E35" s="4" t="s">
        <v>333</v>
      </c>
      <c r="F35" s="7"/>
      <c r="G35" s="4">
        <v>330</v>
      </c>
      <c r="H35" s="4">
        <v>300</v>
      </c>
      <c r="I35" s="4">
        <v>255</v>
      </c>
      <c r="J35" s="7"/>
      <c r="K35" s="4">
        <v>60</v>
      </c>
      <c r="L35" s="4">
        <v>54</v>
      </c>
      <c r="M35" s="4">
        <v>47</v>
      </c>
      <c r="N35" s="4">
        <v>1</v>
      </c>
      <c r="O35" s="4">
        <v>1</v>
      </c>
      <c r="P35" s="4" t="s">
        <v>1637</v>
      </c>
      <c r="Q35" s="4">
        <v>0</v>
      </c>
      <c r="R35" s="4">
        <v>6</v>
      </c>
      <c r="S35" s="4">
        <v>0</v>
      </c>
      <c r="T35" s="4">
        <v>0</v>
      </c>
      <c r="U35" s="4">
        <v>-1620</v>
      </c>
      <c r="V35" s="4">
        <v>0</v>
      </c>
      <c r="W35" s="4">
        <v>0</v>
      </c>
      <c r="X35" s="4">
        <v>-1620</v>
      </c>
      <c r="Y35" s="4">
        <v>0</v>
      </c>
      <c r="Z35" s="4">
        <v>0</v>
      </c>
      <c r="AA35">
        <f t="shared" si="0"/>
        <v>-1620</v>
      </c>
    </row>
    <row r="36" ht="15.75" spans="1:27">
      <c r="A36" s="2">
        <v>117</v>
      </c>
      <c r="B36" s="4">
        <f>_xlfn.XLOOKUP(E36,Sheet2!E:E,Sheet2!A:A)</f>
        <v>2760</v>
      </c>
      <c r="C36" s="4">
        <v>201</v>
      </c>
      <c r="D36" s="5" t="str">
        <f>VLOOKUP(E36,Sheet2!F:G,2,FALSE)</f>
        <v>交感神经节毁损术</v>
      </c>
      <c r="E36" s="4" t="s">
        <v>337</v>
      </c>
      <c r="F36" s="7"/>
      <c r="G36" s="4">
        <v>330</v>
      </c>
      <c r="H36" s="4">
        <v>300</v>
      </c>
      <c r="I36" s="4">
        <v>255</v>
      </c>
      <c r="J36" s="7"/>
      <c r="K36" s="4">
        <v>60</v>
      </c>
      <c r="L36" s="4">
        <v>54</v>
      </c>
      <c r="M36" s="4">
        <v>47</v>
      </c>
      <c r="N36" s="4">
        <v>1</v>
      </c>
      <c r="O36" s="4">
        <v>1</v>
      </c>
      <c r="P36" s="4" t="s">
        <v>1637</v>
      </c>
      <c r="Q36" s="4">
        <v>0</v>
      </c>
      <c r="R36" s="4">
        <v>10</v>
      </c>
      <c r="S36" s="4">
        <v>0</v>
      </c>
      <c r="T36" s="4">
        <v>0</v>
      </c>
      <c r="U36" s="4">
        <v>-2700</v>
      </c>
      <c r="V36" s="4">
        <v>0</v>
      </c>
      <c r="W36" s="4">
        <v>0</v>
      </c>
      <c r="X36" s="4">
        <v>-2700</v>
      </c>
      <c r="Y36" s="4">
        <v>0</v>
      </c>
      <c r="Z36" s="4">
        <v>0</v>
      </c>
      <c r="AA36">
        <f t="shared" si="0"/>
        <v>-2700</v>
      </c>
    </row>
    <row r="37" ht="15.75" spans="1:27">
      <c r="A37" s="2">
        <v>75</v>
      </c>
      <c r="B37" s="4">
        <f>_xlfn.XLOOKUP(E37,Sheet2!E:E,Sheet2!A:A)</f>
        <v>2761</v>
      </c>
      <c r="C37" s="4">
        <v>201</v>
      </c>
      <c r="D37" s="5" t="str">
        <f>VLOOKUP(E37,Sheet2!F:G,2,FALSE)</f>
        <v>交感神经节毁损术（胸交感神经毁损）</v>
      </c>
      <c r="E37" s="4" t="s">
        <v>341</v>
      </c>
      <c r="F37" s="7"/>
      <c r="G37" s="4">
        <v>495</v>
      </c>
      <c r="H37" s="4">
        <v>450</v>
      </c>
      <c r="I37" s="4">
        <v>382.5</v>
      </c>
      <c r="J37" s="7"/>
      <c r="K37" s="4">
        <v>60</v>
      </c>
      <c r="L37" s="4">
        <v>54</v>
      </c>
      <c r="M37" s="4">
        <v>47</v>
      </c>
      <c r="N37" s="4">
        <v>1</v>
      </c>
      <c r="O37" s="4">
        <v>1</v>
      </c>
      <c r="P37" s="4" t="s">
        <v>1637</v>
      </c>
      <c r="Q37" s="4">
        <v>0</v>
      </c>
      <c r="R37" s="4">
        <v>4</v>
      </c>
      <c r="S37" s="4">
        <v>0</v>
      </c>
      <c r="T37" s="4">
        <v>0</v>
      </c>
      <c r="U37" s="4">
        <v>-1740</v>
      </c>
      <c r="V37" s="4">
        <v>0</v>
      </c>
      <c r="W37" s="4">
        <v>0</v>
      </c>
      <c r="X37" s="4">
        <v>-1740</v>
      </c>
      <c r="Y37" s="4">
        <v>0</v>
      </c>
      <c r="Z37" s="4">
        <v>0</v>
      </c>
      <c r="AA37">
        <f t="shared" si="0"/>
        <v>-1740</v>
      </c>
    </row>
    <row r="38" ht="15.75" spans="1:27">
      <c r="A38" s="2">
        <v>126</v>
      </c>
      <c r="B38" s="4">
        <f>_xlfn.XLOOKUP(E38,Sheet2!E:E,Sheet2!A:A)</f>
        <v>2762</v>
      </c>
      <c r="C38" s="4">
        <v>201</v>
      </c>
      <c r="D38" s="5" t="str">
        <f>VLOOKUP(E38,Sheet2!F:G,2,FALSE)</f>
        <v>经皮穿刺三叉神经半月节注射治疗术</v>
      </c>
      <c r="E38" s="4" t="s">
        <v>347</v>
      </c>
      <c r="F38" s="7"/>
      <c r="G38" s="4">
        <v>350</v>
      </c>
      <c r="H38" s="4">
        <v>315</v>
      </c>
      <c r="I38" s="4">
        <v>265</v>
      </c>
      <c r="J38" s="7"/>
      <c r="K38" s="4">
        <v>410</v>
      </c>
      <c r="L38" s="4">
        <v>369</v>
      </c>
      <c r="M38" s="4">
        <v>317</v>
      </c>
      <c r="N38" s="4">
        <v>1</v>
      </c>
      <c r="O38" s="4">
        <v>1</v>
      </c>
      <c r="P38" s="4" t="s">
        <v>1637</v>
      </c>
      <c r="Q38" s="4">
        <v>0</v>
      </c>
      <c r="R38" s="4">
        <v>13.5</v>
      </c>
      <c r="S38" s="4">
        <v>0</v>
      </c>
      <c r="T38" s="4">
        <v>0</v>
      </c>
      <c r="U38" s="4">
        <v>810</v>
      </c>
      <c r="V38" s="4">
        <v>0</v>
      </c>
      <c r="W38" s="4">
        <v>0</v>
      </c>
      <c r="X38" s="4">
        <v>4050</v>
      </c>
      <c r="Y38" s="4">
        <v>0</v>
      </c>
      <c r="Z38" s="4">
        <v>0</v>
      </c>
      <c r="AA38">
        <f t="shared" si="0"/>
        <v>4050</v>
      </c>
    </row>
    <row r="39" ht="15.75" spans="1:27">
      <c r="A39" s="2">
        <v>107</v>
      </c>
      <c r="B39" s="4">
        <f>_xlfn.XLOOKUP(E39,Sheet2!E:E,Sheet2!A:A)</f>
        <v>2766</v>
      </c>
      <c r="C39" s="4">
        <v>201</v>
      </c>
      <c r="D39" s="5" t="str">
        <f>VLOOKUP(E39,Sheet2!F:G,2,FALSE)</f>
        <v>经皮穿刺三叉神经干注射术</v>
      </c>
      <c r="E39" s="4" t="s">
        <v>358</v>
      </c>
      <c r="F39" s="7"/>
      <c r="G39" s="4">
        <v>350</v>
      </c>
      <c r="H39" s="4">
        <v>315</v>
      </c>
      <c r="I39" s="4">
        <v>265</v>
      </c>
      <c r="J39" s="7"/>
      <c r="K39" s="4">
        <v>410</v>
      </c>
      <c r="L39" s="4">
        <v>369</v>
      </c>
      <c r="M39" s="4">
        <v>317</v>
      </c>
      <c r="N39" s="4">
        <v>1</v>
      </c>
      <c r="O39" s="4">
        <v>1</v>
      </c>
      <c r="P39" s="4" t="s">
        <v>1637</v>
      </c>
      <c r="Q39" s="4">
        <v>0</v>
      </c>
      <c r="R39" s="4">
        <v>1</v>
      </c>
      <c r="S39" s="4">
        <v>1</v>
      </c>
      <c r="T39" s="4">
        <v>0</v>
      </c>
      <c r="U39" s="4">
        <v>60</v>
      </c>
      <c r="V39" s="4">
        <v>54</v>
      </c>
      <c r="W39" s="4">
        <v>0</v>
      </c>
      <c r="X39" s="4">
        <v>300</v>
      </c>
      <c r="Y39" s="4">
        <v>269</v>
      </c>
      <c r="Z39" s="4">
        <v>0</v>
      </c>
      <c r="AA39">
        <f t="shared" si="0"/>
        <v>569</v>
      </c>
    </row>
    <row r="40" ht="15.75" spans="1:27">
      <c r="A40" s="2">
        <v>48</v>
      </c>
      <c r="B40" s="4">
        <f>_xlfn.XLOOKUP(E40,Sheet2!E:E,Sheet2!A:A)</f>
        <v>2773</v>
      </c>
      <c r="C40" s="4">
        <v>201</v>
      </c>
      <c r="D40" s="5" t="str">
        <f>VLOOKUP(E40,Sheet2!F:G,2,FALSE)</f>
        <v>经皮穿刺脑血管腔内球囊成形术</v>
      </c>
      <c r="E40" s="4" t="s">
        <v>398</v>
      </c>
      <c r="F40" s="7"/>
      <c r="G40" s="4">
        <v>3240</v>
      </c>
      <c r="H40" s="4">
        <v>2920</v>
      </c>
      <c r="I40" s="4">
        <v>2480</v>
      </c>
      <c r="J40" s="7"/>
      <c r="K40" s="4">
        <v>3240</v>
      </c>
      <c r="L40" s="4">
        <v>2920</v>
      </c>
      <c r="M40" s="4">
        <v>2480</v>
      </c>
      <c r="N40" s="4">
        <v>1</v>
      </c>
      <c r="O40" s="4">
        <v>1</v>
      </c>
      <c r="P40" s="4" t="s">
        <v>1637</v>
      </c>
      <c r="Q40" s="4">
        <v>0</v>
      </c>
      <c r="R40" s="4">
        <v>77.5</v>
      </c>
      <c r="S40" s="4">
        <v>27</v>
      </c>
      <c r="T40" s="4">
        <v>0</v>
      </c>
      <c r="U40" s="4">
        <v>0</v>
      </c>
      <c r="V40" s="4">
        <v>0</v>
      </c>
      <c r="W40" s="4">
        <v>0</v>
      </c>
      <c r="X40" s="4">
        <v>55130</v>
      </c>
      <c r="Y40" s="4">
        <v>14040</v>
      </c>
      <c r="Z40" s="4">
        <v>0</v>
      </c>
      <c r="AA40">
        <f t="shared" si="0"/>
        <v>69170</v>
      </c>
    </row>
    <row r="41" ht="15.75" spans="1:27">
      <c r="A41" s="2">
        <v>114</v>
      </c>
      <c r="B41" s="4">
        <f>_xlfn.XLOOKUP(E41,Sheet2!E:E,Sheet2!A:A)</f>
        <v>2775</v>
      </c>
      <c r="C41" s="4">
        <v>201</v>
      </c>
      <c r="D41" s="5" t="str">
        <f>VLOOKUP(E41,Sheet2!F:G,2,FALSE)</f>
        <v>经皮穿刺脑血管腔内支架置入术</v>
      </c>
      <c r="E41" s="4" t="s">
        <v>413</v>
      </c>
      <c r="F41" s="7"/>
      <c r="G41" s="4">
        <v>4350</v>
      </c>
      <c r="H41" s="4">
        <v>3920</v>
      </c>
      <c r="I41" s="4">
        <v>3140</v>
      </c>
      <c r="J41" s="7"/>
      <c r="K41" s="4">
        <v>4350</v>
      </c>
      <c r="L41" s="4">
        <v>3920</v>
      </c>
      <c r="M41" s="4">
        <v>3140</v>
      </c>
      <c r="N41" s="4">
        <v>1</v>
      </c>
      <c r="O41" s="4">
        <v>1</v>
      </c>
      <c r="P41" s="4" t="s">
        <v>1637</v>
      </c>
      <c r="Q41" s="4">
        <v>0</v>
      </c>
      <c r="R41" s="4">
        <v>184.8</v>
      </c>
      <c r="S41" s="4">
        <v>70</v>
      </c>
      <c r="T41" s="4">
        <v>0</v>
      </c>
      <c r="U41" s="4">
        <v>0</v>
      </c>
      <c r="V41" s="4">
        <v>0</v>
      </c>
      <c r="W41" s="4">
        <v>0</v>
      </c>
      <c r="X41" s="4">
        <v>0</v>
      </c>
      <c r="Y41" s="4">
        <v>19570</v>
      </c>
      <c r="Z41" s="4">
        <v>0</v>
      </c>
      <c r="AA41">
        <f t="shared" si="0"/>
        <v>19570</v>
      </c>
    </row>
    <row r="42" ht="15.75" spans="1:27">
      <c r="A42" s="2">
        <v>4</v>
      </c>
      <c r="B42" s="4">
        <f>_xlfn.XLOOKUP(E42,Sheet2!E:E,Sheet2!A:A)</f>
        <v>2777</v>
      </c>
      <c r="C42" s="4">
        <v>201</v>
      </c>
      <c r="D42" s="5" t="str">
        <f>VLOOKUP(E42,Sheet2!F:G,2,FALSE)</f>
        <v>经皮穿刺脑血管腔内取栓术</v>
      </c>
      <c r="E42" s="4" t="s">
        <v>435</v>
      </c>
      <c r="F42" s="7"/>
      <c r="G42" s="4">
        <v>4550</v>
      </c>
      <c r="H42" s="4">
        <v>4500</v>
      </c>
      <c r="I42" s="4">
        <v>4450</v>
      </c>
      <c r="J42" s="7"/>
      <c r="K42" s="4">
        <v>4550</v>
      </c>
      <c r="L42" s="4">
        <v>4150</v>
      </c>
      <c r="M42" s="4">
        <v>3550</v>
      </c>
      <c r="N42" s="4">
        <v>1</v>
      </c>
      <c r="O42" s="4">
        <v>1</v>
      </c>
      <c r="P42" s="4" t="s">
        <v>1637</v>
      </c>
      <c r="Q42" s="4">
        <v>0</v>
      </c>
      <c r="R42" s="4">
        <v>360.9</v>
      </c>
      <c r="S42" s="4">
        <v>215.7</v>
      </c>
      <c r="T42" s="4">
        <v>0</v>
      </c>
      <c r="U42" s="4">
        <v>0</v>
      </c>
      <c r="V42" s="4">
        <v>-75495</v>
      </c>
      <c r="W42" s="4">
        <v>0</v>
      </c>
      <c r="X42" s="4">
        <v>0</v>
      </c>
      <c r="Y42" s="4">
        <v>-75495</v>
      </c>
      <c r="Z42" s="4">
        <v>0</v>
      </c>
      <c r="AA42">
        <f t="shared" si="0"/>
        <v>-75495</v>
      </c>
    </row>
    <row r="43" ht="15.75" spans="1:27">
      <c r="A43" s="2">
        <v>64</v>
      </c>
      <c r="B43" s="4">
        <f>_xlfn.XLOOKUP(E43,Sheet2!E:E,Sheet2!A:A)</f>
        <v>2778</v>
      </c>
      <c r="C43" s="4">
        <v>201</v>
      </c>
      <c r="D43" s="5" t="str">
        <f>VLOOKUP(E43,Sheet2!F:G,2,FALSE)</f>
        <v>经皮穿刺脑血管腔内溶栓术</v>
      </c>
      <c r="E43" s="4" t="s">
        <v>445</v>
      </c>
      <c r="F43" s="7"/>
      <c r="G43" s="4">
        <v>3240</v>
      </c>
      <c r="H43" s="4">
        <v>2920</v>
      </c>
      <c r="I43" s="4">
        <v>2480</v>
      </c>
      <c r="J43" s="7"/>
      <c r="K43" s="4">
        <v>3500</v>
      </c>
      <c r="L43" s="4">
        <v>3200</v>
      </c>
      <c r="M43" s="4">
        <v>2700</v>
      </c>
      <c r="N43" s="4">
        <v>1</v>
      </c>
      <c r="O43" s="4">
        <v>1</v>
      </c>
      <c r="P43" s="4" t="s">
        <v>1637</v>
      </c>
      <c r="Q43" s="4">
        <v>0</v>
      </c>
      <c r="R43" s="4">
        <v>13.5</v>
      </c>
      <c r="S43" s="4">
        <v>5.5</v>
      </c>
      <c r="T43" s="4">
        <v>0</v>
      </c>
      <c r="U43" s="4">
        <v>3510</v>
      </c>
      <c r="V43" s="4">
        <v>1540</v>
      </c>
      <c r="W43" s="4">
        <v>0</v>
      </c>
      <c r="X43" s="4">
        <v>13500</v>
      </c>
      <c r="Y43" s="4">
        <v>3884</v>
      </c>
      <c r="Z43" s="4">
        <v>0</v>
      </c>
      <c r="AA43">
        <f t="shared" si="0"/>
        <v>17384</v>
      </c>
    </row>
    <row r="44" ht="15.75" spans="1:27">
      <c r="A44" s="2">
        <v>32</v>
      </c>
      <c r="B44" s="4">
        <f>_xlfn.XLOOKUP(E44,Sheet2!E:E,Sheet2!A:A)</f>
        <v>2782</v>
      </c>
      <c r="C44" s="4">
        <v>201</v>
      </c>
      <c r="D44" s="5" t="str">
        <f>VLOOKUP(E44,Sheet2!F:G,2,FALSE)</f>
        <v>单纯脑动静脉瘘栓塞术</v>
      </c>
      <c r="E44" s="4" t="s">
        <v>468</v>
      </c>
      <c r="F44" s="7"/>
      <c r="G44" s="4">
        <v>4535</v>
      </c>
      <c r="H44" s="4">
        <v>4080</v>
      </c>
      <c r="I44" s="4">
        <v>3470</v>
      </c>
      <c r="J44" s="7"/>
      <c r="K44" s="4">
        <v>3840</v>
      </c>
      <c r="L44" s="4">
        <v>3510</v>
      </c>
      <c r="M44" s="4">
        <v>2965</v>
      </c>
      <c r="N44" s="4">
        <v>1</v>
      </c>
      <c r="O44" s="4">
        <v>1</v>
      </c>
      <c r="P44" s="4" t="s">
        <v>1637</v>
      </c>
      <c r="Q44" s="4">
        <v>0</v>
      </c>
      <c r="R44" s="4">
        <v>13</v>
      </c>
      <c r="S44" s="4">
        <v>1.5</v>
      </c>
      <c r="T44" s="4">
        <v>0</v>
      </c>
      <c r="U44" s="4">
        <v>-9035</v>
      </c>
      <c r="V44" s="4">
        <v>-855</v>
      </c>
      <c r="W44" s="4">
        <v>0</v>
      </c>
      <c r="X44" s="4">
        <v>4420</v>
      </c>
      <c r="Y44" s="4">
        <v>225</v>
      </c>
      <c r="Z44" s="4">
        <v>0</v>
      </c>
      <c r="AA44">
        <f t="shared" si="0"/>
        <v>4645</v>
      </c>
    </row>
    <row r="45" ht="15.75" spans="1:27">
      <c r="A45" s="2">
        <v>74</v>
      </c>
      <c r="B45" s="4">
        <f>_xlfn.XLOOKUP(E45,Sheet2!E:E,Sheet2!A:A)</f>
        <v>2784</v>
      </c>
      <c r="C45" s="4">
        <v>201</v>
      </c>
      <c r="D45" s="5" t="str">
        <f>VLOOKUP(E45,Sheet2!F:G,2,FALSE)</f>
        <v>脑及颅内血管畸形栓塞术</v>
      </c>
      <c r="E45" s="4" t="s">
        <v>472</v>
      </c>
      <c r="F45" s="7"/>
      <c r="G45" s="4">
        <v>3240</v>
      </c>
      <c r="H45" s="4">
        <v>2920</v>
      </c>
      <c r="I45" s="4">
        <v>2480</v>
      </c>
      <c r="J45" s="7"/>
      <c r="K45" s="4">
        <v>3840</v>
      </c>
      <c r="L45" s="4">
        <v>3510</v>
      </c>
      <c r="M45" s="4">
        <v>2965</v>
      </c>
      <c r="N45" s="4">
        <v>1</v>
      </c>
      <c r="O45" s="4">
        <v>1</v>
      </c>
      <c r="P45" s="4" t="s">
        <v>1637</v>
      </c>
      <c r="Q45" s="4">
        <v>0</v>
      </c>
      <c r="R45" s="4">
        <v>8.7</v>
      </c>
      <c r="S45" s="4">
        <v>4</v>
      </c>
      <c r="T45" s="4">
        <v>0</v>
      </c>
      <c r="U45" s="4">
        <v>5220</v>
      </c>
      <c r="V45" s="4">
        <v>2360</v>
      </c>
      <c r="W45" s="4">
        <v>0</v>
      </c>
      <c r="X45" s="4">
        <v>10918</v>
      </c>
      <c r="Y45" s="4">
        <v>4440</v>
      </c>
      <c r="Z45" s="4">
        <v>0</v>
      </c>
      <c r="AA45">
        <f t="shared" si="0"/>
        <v>15358</v>
      </c>
    </row>
    <row r="46" ht="15.75" spans="1:27">
      <c r="A46" s="2">
        <v>146</v>
      </c>
      <c r="B46" s="4">
        <f>_xlfn.XLOOKUP(E46,Sheet2!E:E,Sheet2!A:A)</f>
        <v>2785</v>
      </c>
      <c r="C46" s="4">
        <v>201</v>
      </c>
      <c r="D46" s="5" t="str">
        <f>VLOOKUP(E46,Sheet2!F:G,2,FALSE)</f>
        <v>小儿脑及颅内血管畸形栓塞术</v>
      </c>
      <c r="E46" s="4" t="s">
        <v>474</v>
      </c>
      <c r="F46" s="7"/>
      <c r="G46" s="4">
        <v>4210</v>
      </c>
      <c r="H46" s="4">
        <v>3795</v>
      </c>
      <c r="I46" s="4">
        <v>3225</v>
      </c>
      <c r="J46" s="7"/>
      <c r="K46" s="4">
        <v>3840</v>
      </c>
      <c r="L46" s="4">
        <v>3510</v>
      </c>
      <c r="M46" s="4">
        <v>2965</v>
      </c>
      <c r="N46" s="4">
        <v>1</v>
      </c>
      <c r="O46" s="4">
        <v>1</v>
      </c>
      <c r="P46" s="4" t="s">
        <v>1637</v>
      </c>
      <c r="Q46" s="4">
        <v>0</v>
      </c>
      <c r="R46" s="4">
        <v>1</v>
      </c>
      <c r="S46" s="4">
        <v>0</v>
      </c>
      <c r="T46" s="4">
        <v>0</v>
      </c>
      <c r="U46" s="4">
        <v>-370</v>
      </c>
      <c r="V46" s="4">
        <v>0</v>
      </c>
      <c r="W46" s="4">
        <v>0</v>
      </c>
      <c r="X46" s="4">
        <v>590</v>
      </c>
      <c r="Y46" s="4">
        <v>0</v>
      </c>
      <c r="Z46" s="4">
        <v>0</v>
      </c>
      <c r="AA46">
        <f t="shared" si="0"/>
        <v>590</v>
      </c>
    </row>
    <row r="47" ht="15.75" spans="1:27">
      <c r="A47" s="2">
        <v>101</v>
      </c>
      <c r="B47" s="4">
        <f>_xlfn.XLOOKUP(E47,Sheet2!E:E,Sheet2!A:A)</f>
        <v>2786</v>
      </c>
      <c r="C47" s="4">
        <v>201</v>
      </c>
      <c r="D47" s="5" t="str">
        <f>VLOOKUP(E47,Sheet2!F:G,2,FALSE)</f>
        <v>颅内动脉瘤栓塞术</v>
      </c>
      <c r="E47" s="4" t="s">
        <v>479</v>
      </c>
      <c r="F47" s="7"/>
      <c r="G47" s="4">
        <v>4690</v>
      </c>
      <c r="H47" s="4">
        <v>4220</v>
      </c>
      <c r="I47" s="4">
        <v>3375</v>
      </c>
      <c r="J47" s="7"/>
      <c r="K47" s="4">
        <v>4690</v>
      </c>
      <c r="L47" s="4">
        <v>4220</v>
      </c>
      <c r="M47" s="4">
        <v>3375</v>
      </c>
      <c r="N47" s="4">
        <v>1</v>
      </c>
      <c r="O47" s="4">
        <v>1</v>
      </c>
      <c r="P47" s="4" t="s">
        <v>1637</v>
      </c>
      <c r="Q47" s="4">
        <v>0</v>
      </c>
      <c r="R47" s="4">
        <v>265.4</v>
      </c>
      <c r="S47" s="4">
        <v>144.9</v>
      </c>
      <c r="T47" s="4">
        <v>0</v>
      </c>
      <c r="U47" s="4">
        <v>0</v>
      </c>
      <c r="V47" s="4">
        <v>0</v>
      </c>
      <c r="W47" s="4">
        <v>0</v>
      </c>
      <c r="X47" s="4">
        <v>0</v>
      </c>
      <c r="Y47" s="4">
        <v>4156</v>
      </c>
      <c r="Z47" s="4">
        <v>0</v>
      </c>
      <c r="AA47">
        <f t="shared" si="0"/>
        <v>4156</v>
      </c>
    </row>
    <row r="48" ht="15.75" spans="1:27">
      <c r="A48" s="2">
        <v>120</v>
      </c>
      <c r="B48" s="4">
        <f>_xlfn.XLOOKUP(E48,Sheet2!E:E,Sheet2!A:A)</f>
        <v>2793</v>
      </c>
      <c r="C48" s="4">
        <v>201</v>
      </c>
      <c r="D48" s="5" t="str">
        <f>VLOOKUP(E48,Sheet2!F:G,2,FALSE)</f>
        <v>脊髓血管畸形栓塞术</v>
      </c>
      <c r="E48" s="4" t="s">
        <v>509</v>
      </c>
      <c r="F48" s="7"/>
      <c r="G48" s="4">
        <v>4050</v>
      </c>
      <c r="H48" s="4">
        <v>3645</v>
      </c>
      <c r="I48" s="4">
        <v>3095</v>
      </c>
      <c r="J48" s="7"/>
      <c r="K48" s="4">
        <v>4340</v>
      </c>
      <c r="L48" s="4">
        <v>3996</v>
      </c>
      <c r="M48" s="4">
        <v>3352</v>
      </c>
      <c r="N48" s="4">
        <v>1</v>
      </c>
      <c r="O48" s="4">
        <v>1</v>
      </c>
      <c r="P48" s="4" t="s">
        <v>1637</v>
      </c>
      <c r="Q48" s="4">
        <v>0</v>
      </c>
      <c r="R48" s="4">
        <v>2.4</v>
      </c>
      <c r="S48" s="4">
        <v>0</v>
      </c>
      <c r="T48" s="4">
        <v>0</v>
      </c>
      <c r="U48" s="4">
        <v>696</v>
      </c>
      <c r="V48" s="4">
        <v>0</v>
      </c>
      <c r="W48" s="4">
        <v>0</v>
      </c>
      <c r="X48" s="4">
        <v>2916</v>
      </c>
      <c r="Y48" s="4">
        <v>0</v>
      </c>
      <c r="Z48" s="4">
        <v>0</v>
      </c>
      <c r="AA48">
        <f t="shared" si="0"/>
        <v>2916</v>
      </c>
    </row>
    <row r="49" ht="15.75" spans="1:27">
      <c r="A49" s="2">
        <v>56</v>
      </c>
      <c r="B49" s="4">
        <f>_xlfn.XLOOKUP(E49,Sheet2!E:E,Sheet2!A:A)</f>
        <v>2796</v>
      </c>
      <c r="C49" s="4">
        <v>201</v>
      </c>
      <c r="D49" s="5" t="str">
        <f>VLOOKUP(E49,Sheet2!F:G,2,FALSE)</f>
        <v>脑深部电极置入术</v>
      </c>
      <c r="E49" s="4" t="s">
        <v>529</v>
      </c>
      <c r="F49" s="7"/>
      <c r="G49" s="4">
        <v>3710</v>
      </c>
      <c r="H49" s="4">
        <v>3340</v>
      </c>
      <c r="I49" s="4">
        <v>2840</v>
      </c>
      <c r="J49" s="7"/>
      <c r="K49" s="4">
        <v>4100</v>
      </c>
      <c r="L49" s="4">
        <v>3700</v>
      </c>
      <c r="M49" s="4">
        <v>3150</v>
      </c>
      <c r="N49" s="4">
        <v>1</v>
      </c>
      <c r="O49" s="4">
        <v>1</v>
      </c>
      <c r="P49" s="4" t="s">
        <v>1637</v>
      </c>
      <c r="Q49" s="4">
        <v>0</v>
      </c>
      <c r="R49" s="4">
        <v>8</v>
      </c>
      <c r="S49" s="4">
        <v>0</v>
      </c>
      <c r="T49" s="4">
        <v>0</v>
      </c>
      <c r="U49" s="4">
        <v>3120</v>
      </c>
      <c r="V49" s="4">
        <v>0</v>
      </c>
      <c r="W49" s="4">
        <v>0</v>
      </c>
      <c r="X49" s="4">
        <v>3120</v>
      </c>
      <c r="Y49" s="4">
        <v>0</v>
      </c>
      <c r="Z49" s="4">
        <v>0</v>
      </c>
      <c r="AA49">
        <f t="shared" si="0"/>
        <v>3120</v>
      </c>
    </row>
    <row r="50" ht="15.75" spans="1:27">
      <c r="A50" s="2">
        <v>96</v>
      </c>
      <c r="B50" s="4">
        <f>_xlfn.XLOOKUP(E50,Sheet2!E:E,Sheet2!A:A)</f>
        <v>2801</v>
      </c>
      <c r="C50" s="4">
        <v>201</v>
      </c>
      <c r="D50" s="5" t="str">
        <f>VLOOKUP(E50,Sheet2!F:G,2,FALSE)</f>
        <v>经皮穿刺电刺激镇痛术</v>
      </c>
      <c r="E50" s="4" t="s">
        <v>561</v>
      </c>
      <c r="F50" s="7"/>
      <c r="G50" s="4">
        <v>3300</v>
      </c>
      <c r="H50" s="4">
        <v>3200</v>
      </c>
      <c r="I50" s="4">
        <v>3100</v>
      </c>
      <c r="J50" s="7"/>
      <c r="K50" s="4">
        <v>3300</v>
      </c>
      <c r="L50" s="4">
        <v>3100</v>
      </c>
      <c r="M50" s="4">
        <v>2750</v>
      </c>
      <c r="N50" s="4">
        <v>1</v>
      </c>
      <c r="O50" s="4">
        <v>1</v>
      </c>
      <c r="P50" s="4" t="s">
        <v>1637</v>
      </c>
      <c r="Q50" s="4">
        <v>0</v>
      </c>
      <c r="R50" s="4">
        <v>30.9</v>
      </c>
      <c r="S50" s="4">
        <v>1</v>
      </c>
      <c r="T50" s="4">
        <v>5</v>
      </c>
      <c r="U50" s="4">
        <v>0</v>
      </c>
      <c r="V50" s="4">
        <v>-100</v>
      </c>
      <c r="W50" s="4">
        <v>-1750</v>
      </c>
      <c r="X50" s="4">
        <v>0</v>
      </c>
      <c r="Y50" s="4">
        <v>-100</v>
      </c>
      <c r="Z50" s="4">
        <v>-1750</v>
      </c>
      <c r="AA50">
        <f t="shared" si="0"/>
        <v>-1850</v>
      </c>
    </row>
    <row r="51" ht="15.75" spans="1:27">
      <c r="A51" s="2">
        <v>50</v>
      </c>
      <c r="B51" s="4">
        <f>_xlfn.XLOOKUP(E51,Sheet2!E:E,Sheet2!A:A)</f>
        <v>2802</v>
      </c>
      <c r="C51" s="4">
        <v>201</v>
      </c>
      <c r="D51" s="5" t="str">
        <f>VLOOKUP(E51,Sheet2!F:G,2,FALSE)</f>
        <v>脊髓电刺激电极取出术</v>
      </c>
      <c r="E51" s="4" t="s">
        <v>572</v>
      </c>
      <c r="F51" s="7"/>
      <c r="G51" s="4">
        <v>900</v>
      </c>
      <c r="H51" s="4">
        <v>850</v>
      </c>
      <c r="I51" s="4">
        <v>800</v>
      </c>
      <c r="J51" s="7"/>
      <c r="K51" s="4">
        <v>940</v>
      </c>
      <c r="L51" s="4">
        <v>885</v>
      </c>
      <c r="M51" s="4">
        <v>785</v>
      </c>
      <c r="N51" s="4">
        <v>1</v>
      </c>
      <c r="O51" s="4">
        <v>1</v>
      </c>
      <c r="P51" s="4" t="s">
        <v>1637</v>
      </c>
      <c r="Q51" s="4">
        <v>0</v>
      </c>
      <c r="R51" s="4">
        <v>4</v>
      </c>
      <c r="S51" s="4">
        <v>0</v>
      </c>
      <c r="T51" s="4">
        <v>3</v>
      </c>
      <c r="U51" s="4">
        <v>160</v>
      </c>
      <c r="V51" s="4">
        <v>0</v>
      </c>
      <c r="W51" s="4">
        <v>-45</v>
      </c>
      <c r="X51" s="4">
        <v>160</v>
      </c>
      <c r="Y51" s="4">
        <v>0</v>
      </c>
      <c r="Z51" s="4">
        <v>-45</v>
      </c>
      <c r="AA51">
        <f t="shared" si="0"/>
        <v>115</v>
      </c>
    </row>
    <row r="52" ht="15.75" spans="1:27">
      <c r="A52" s="2">
        <v>43</v>
      </c>
      <c r="B52" s="4">
        <f>_xlfn.XLOOKUP(E52,Sheet2!E:E,Sheet2!A:A)</f>
        <v>2803</v>
      </c>
      <c r="C52" s="4">
        <v>201</v>
      </c>
      <c r="D52" s="5" t="str">
        <f>VLOOKUP(E52,Sheet2!F:G,2,FALSE)</f>
        <v>颅骨钻孔探查术</v>
      </c>
      <c r="E52" s="4" t="s">
        <v>599</v>
      </c>
      <c r="F52" s="7"/>
      <c r="G52" s="4">
        <v>1000</v>
      </c>
      <c r="H52" s="4">
        <v>960</v>
      </c>
      <c r="I52" s="4">
        <v>816</v>
      </c>
      <c r="J52" s="7"/>
      <c r="K52" s="4">
        <v>1000</v>
      </c>
      <c r="L52" s="4">
        <v>960</v>
      </c>
      <c r="M52" s="4">
        <v>816</v>
      </c>
      <c r="N52" s="4">
        <v>1</v>
      </c>
      <c r="O52" s="4">
        <v>1</v>
      </c>
      <c r="P52" s="4" t="s">
        <v>1637</v>
      </c>
      <c r="Q52" s="4">
        <v>0</v>
      </c>
      <c r="R52" s="4">
        <v>1</v>
      </c>
      <c r="S52" s="4">
        <v>2.4</v>
      </c>
      <c r="T52" s="4">
        <v>0</v>
      </c>
      <c r="U52" s="4">
        <v>0</v>
      </c>
      <c r="V52" s="4">
        <v>0</v>
      </c>
      <c r="W52" s="4">
        <v>0</v>
      </c>
      <c r="X52" s="4">
        <v>0</v>
      </c>
      <c r="Y52" s="4">
        <v>0</v>
      </c>
      <c r="Z52" s="4">
        <v>0</v>
      </c>
      <c r="AA52">
        <f t="shared" si="0"/>
        <v>0</v>
      </c>
    </row>
    <row r="53" ht="15.75" spans="1:27">
      <c r="A53" s="2">
        <v>111</v>
      </c>
      <c r="B53" s="4">
        <f>_xlfn.XLOOKUP(E53,Sheet2!E:E,Sheet2!A:A)</f>
        <v>2808</v>
      </c>
      <c r="C53" s="4">
        <v>201</v>
      </c>
      <c r="D53" s="5" t="str">
        <f>VLOOKUP(E53,Sheet2!F:G,2,FALSE)</f>
        <v>颅内硬膜外血肿引流术</v>
      </c>
      <c r="E53" s="4" t="s">
        <v>619</v>
      </c>
      <c r="F53" s="7"/>
      <c r="G53" s="4">
        <v>875</v>
      </c>
      <c r="H53" s="4">
        <v>840</v>
      </c>
      <c r="I53" s="4">
        <v>714</v>
      </c>
      <c r="J53" s="7"/>
      <c r="K53" s="4">
        <v>1050</v>
      </c>
      <c r="L53" s="4">
        <v>950</v>
      </c>
      <c r="M53" s="4">
        <v>810</v>
      </c>
      <c r="N53" s="4">
        <v>1</v>
      </c>
      <c r="O53" s="4">
        <v>1</v>
      </c>
      <c r="P53" s="4" t="s">
        <v>1637</v>
      </c>
      <c r="Q53" s="4">
        <v>0</v>
      </c>
      <c r="R53" s="4">
        <v>1</v>
      </c>
      <c r="S53" s="4">
        <v>8</v>
      </c>
      <c r="T53" s="4">
        <v>0</v>
      </c>
      <c r="U53" s="4">
        <v>175</v>
      </c>
      <c r="V53" s="4">
        <v>880</v>
      </c>
      <c r="W53" s="4">
        <v>0</v>
      </c>
      <c r="X53" s="4">
        <v>175</v>
      </c>
      <c r="Y53" s="4">
        <v>880</v>
      </c>
      <c r="Z53" s="4">
        <v>0</v>
      </c>
      <c r="AA53">
        <f t="shared" si="0"/>
        <v>1055</v>
      </c>
    </row>
    <row r="54" ht="15.75" spans="1:27">
      <c r="A54" s="2">
        <v>131</v>
      </c>
      <c r="B54" s="4">
        <f>_xlfn.XLOOKUP(E54,Sheet2!E:E,Sheet2!A:A)</f>
        <v>2809</v>
      </c>
      <c r="C54" s="4">
        <v>201</v>
      </c>
      <c r="D54" s="5" t="str">
        <f>VLOOKUP(E54,Sheet2!F:G,2,FALSE)</f>
        <v>颅内硬膜外血肿引流术（脓肿引流）</v>
      </c>
      <c r="E54" s="4" t="s">
        <v>622</v>
      </c>
      <c r="F54" s="7"/>
      <c r="G54" s="4">
        <v>875</v>
      </c>
      <c r="H54" s="4">
        <v>840</v>
      </c>
      <c r="I54" s="4">
        <v>714</v>
      </c>
      <c r="J54" s="7"/>
      <c r="K54" s="4">
        <v>1050</v>
      </c>
      <c r="L54" s="4">
        <v>950</v>
      </c>
      <c r="M54" s="4">
        <v>810</v>
      </c>
      <c r="N54" s="4">
        <v>1</v>
      </c>
      <c r="O54" s="4">
        <v>1</v>
      </c>
      <c r="P54" s="4" t="s">
        <v>1637</v>
      </c>
      <c r="Q54" s="4">
        <v>0</v>
      </c>
      <c r="R54" s="4">
        <v>2.5</v>
      </c>
      <c r="S54" s="4">
        <v>1</v>
      </c>
      <c r="T54" s="4">
        <v>0</v>
      </c>
      <c r="U54" s="4">
        <v>437.5</v>
      </c>
      <c r="V54" s="4">
        <v>110</v>
      </c>
      <c r="W54" s="4">
        <v>0</v>
      </c>
      <c r="X54" s="4">
        <v>437.5</v>
      </c>
      <c r="Y54" s="4">
        <v>593</v>
      </c>
      <c r="Z54" s="4">
        <v>0</v>
      </c>
      <c r="AA54">
        <f t="shared" si="0"/>
        <v>1030.5</v>
      </c>
    </row>
    <row r="55" ht="15.75" spans="1:27">
      <c r="A55" s="2">
        <v>8</v>
      </c>
      <c r="B55" s="4">
        <f>_xlfn.XLOOKUP(E55,Sheet2!E:E,Sheet2!A:A)</f>
        <v>2811</v>
      </c>
      <c r="C55" s="4">
        <v>201</v>
      </c>
      <c r="D55" s="5" t="str">
        <f>VLOOKUP(E55,Sheet2!F:G,2,FALSE)</f>
        <v>慢性硬膜下血肿钻孔术</v>
      </c>
      <c r="E55" s="4" t="s">
        <v>626</v>
      </c>
      <c r="F55" s="7"/>
      <c r="G55" s="4">
        <v>1875</v>
      </c>
      <c r="H55" s="4">
        <v>1800</v>
      </c>
      <c r="I55" s="4">
        <v>1530</v>
      </c>
      <c r="J55" s="7"/>
      <c r="K55" s="4">
        <v>1050</v>
      </c>
      <c r="L55" s="4">
        <v>950</v>
      </c>
      <c r="M55" s="4">
        <v>810</v>
      </c>
      <c r="N55" s="4">
        <v>1</v>
      </c>
      <c r="O55" s="4">
        <v>1</v>
      </c>
      <c r="P55" s="4" t="s">
        <v>1637</v>
      </c>
      <c r="Q55" s="4">
        <v>0</v>
      </c>
      <c r="R55" s="4">
        <v>85.5</v>
      </c>
      <c r="S55" s="4">
        <v>214.8</v>
      </c>
      <c r="T55" s="4">
        <v>7</v>
      </c>
      <c r="U55" s="4">
        <v>-70537.5</v>
      </c>
      <c r="V55" s="4">
        <v>-182580</v>
      </c>
      <c r="W55" s="4">
        <v>-5040</v>
      </c>
      <c r="X55" s="4">
        <v>-70537.5</v>
      </c>
      <c r="Y55" s="4">
        <v>-182647.5</v>
      </c>
      <c r="Z55" s="4">
        <v>-5040</v>
      </c>
      <c r="AA55">
        <f t="shared" si="0"/>
        <v>-258225</v>
      </c>
    </row>
    <row r="56" ht="15.75" spans="1:27">
      <c r="A56" s="2">
        <v>79</v>
      </c>
      <c r="B56" s="4">
        <f>_xlfn.XLOOKUP(E56,Sheet2!E:E,Sheet2!A:A)</f>
        <v>2812</v>
      </c>
      <c r="C56" s="4">
        <v>201</v>
      </c>
      <c r="D56" s="5" t="str">
        <f>VLOOKUP(E56,Sheet2!F:G,2,FALSE)</f>
        <v>经颅内镜慢性硬膜下血肿钻孔术</v>
      </c>
      <c r="E56" s="4" t="s">
        <v>629</v>
      </c>
      <c r="F56" s="7"/>
      <c r="G56" s="4">
        <v>2250</v>
      </c>
      <c r="H56" s="4">
        <v>2160</v>
      </c>
      <c r="I56" s="4">
        <v>1656</v>
      </c>
      <c r="J56" s="7"/>
      <c r="K56" s="4">
        <v>1050</v>
      </c>
      <c r="L56" s="4">
        <v>950</v>
      </c>
      <c r="M56" s="4">
        <v>810</v>
      </c>
      <c r="N56" s="4">
        <v>1</v>
      </c>
      <c r="O56" s="4">
        <v>1</v>
      </c>
      <c r="P56" s="4" t="s">
        <v>1637</v>
      </c>
      <c r="Q56" s="4">
        <v>0</v>
      </c>
      <c r="R56" s="4">
        <v>28.2</v>
      </c>
      <c r="S56" s="4">
        <v>7.3</v>
      </c>
      <c r="T56" s="4">
        <v>0</v>
      </c>
      <c r="U56" s="4">
        <v>-33840</v>
      </c>
      <c r="V56" s="4">
        <v>-8833</v>
      </c>
      <c r="W56" s="4">
        <v>0</v>
      </c>
      <c r="X56" s="4">
        <v>-33840</v>
      </c>
      <c r="Y56" s="4">
        <v>-8878</v>
      </c>
      <c r="Z56" s="4">
        <v>0</v>
      </c>
      <c r="AA56">
        <f t="shared" si="0"/>
        <v>-42718</v>
      </c>
    </row>
    <row r="57" ht="15.75" spans="1:27">
      <c r="A57" s="2">
        <v>89</v>
      </c>
      <c r="B57" s="4">
        <f>_xlfn.XLOOKUP(E57,Sheet2!E:E,Sheet2!A:A)</f>
        <v>2814</v>
      </c>
      <c r="C57" s="4">
        <v>201</v>
      </c>
      <c r="D57" s="5" t="str">
        <f>VLOOKUP(E57,Sheet2!F:G,2,FALSE)</f>
        <v>小儿颅内硬膜外血肿引流术</v>
      </c>
      <c r="E57" s="4" t="s">
        <v>635</v>
      </c>
      <c r="F57" s="7"/>
      <c r="G57" s="4">
        <v>1140</v>
      </c>
      <c r="H57" s="4">
        <v>1090</v>
      </c>
      <c r="I57" s="4">
        <v>925</v>
      </c>
      <c r="J57" s="7"/>
      <c r="K57" s="4">
        <v>1365</v>
      </c>
      <c r="L57" s="4">
        <v>1235</v>
      </c>
      <c r="M57" s="4">
        <v>1055</v>
      </c>
      <c r="N57" s="4">
        <v>1</v>
      </c>
      <c r="O57" s="4">
        <v>1</v>
      </c>
      <c r="P57" s="4" t="s">
        <v>1637</v>
      </c>
      <c r="Q57" s="4">
        <v>0</v>
      </c>
      <c r="R57" s="4">
        <v>3</v>
      </c>
      <c r="S57" s="4">
        <v>0</v>
      </c>
      <c r="T57" s="4">
        <v>0</v>
      </c>
      <c r="U57" s="4">
        <v>675</v>
      </c>
      <c r="V57" s="4">
        <v>0</v>
      </c>
      <c r="W57" s="4">
        <v>0</v>
      </c>
      <c r="X57" s="4">
        <v>675</v>
      </c>
      <c r="Y57" s="4">
        <v>0</v>
      </c>
      <c r="Z57" s="4">
        <v>0</v>
      </c>
      <c r="AA57">
        <f t="shared" si="0"/>
        <v>675</v>
      </c>
    </row>
    <row r="58" ht="15.75" spans="1:27">
      <c r="A58" s="2">
        <v>70</v>
      </c>
      <c r="B58" s="4">
        <f>_xlfn.XLOOKUP(E58,Sheet2!E:E,Sheet2!A:A)</f>
        <v>2817</v>
      </c>
      <c r="C58" s="4">
        <v>201</v>
      </c>
      <c r="D58" s="5" t="str">
        <f>VLOOKUP(E58,Sheet2!F:G,2,FALSE)</f>
        <v>侧脑室穿刺术</v>
      </c>
      <c r="E58" s="4" t="s">
        <v>644</v>
      </c>
      <c r="F58" s="7"/>
      <c r="G58" s="4">
        <v>165</v>
      </c>
      <c r="H58" s="4">
        <v>150</v>
      </c>
      <c r="I58" s="4">
        <v>127.5</v>
      </c>
      <c r="J58" s="7"/>
      <c r="K58" s="4">
        <v>1260</v>
      </c>
      <c r="L58" s="4">
        <v>1140</v>
      </c>
      <c r="M58" s="4">
        <v>972</v>
      </c>
      <c r="N58" s="4">
        <v>1</v>
      </c>
      <c r="O58" s="4">
        <v>1</v>
      </c>
      <c r="P58" s="4" t="s">
        <v>1637</v>
      </c>
      <c r="Q58" s="4">
        <v>0</v>
      </c>
      <c r="R58" s="4">
        <v>17</v>
      </c>
      <c r="S58" s="4">
        <v>7</v>
      </c>
      <c r="T58" s="4">
        <v>0</v>
      </c>
      <c r="U58" s="4">
        <v>18615</v>
      </c>
      <c r="V58" s="4">
        <v>6930</v>
      </c>
      <c r="W58" s="4">
        <v>0</v>
      </c>
      <c r="X58" s="4">
        <v>18615</v>
      </c>
      <c r="Y58" s="4">
        <v>6930</v>
      </c>
      <c r="Z58" s="4">
        <v>0</v>
      </c>
      <c r="AA58">
        <f t="shared" si="0"/>
        <v>25545</v>
      </c>
    </row>
    <row r="59" ht="15.75" spans="1:27">
      <c r="A59" s="2">
        <v>28</v>
      </c>
      <c r="B59" s="4">
        <f>_xlfn.XLOOKUP(E59,Sheet2!E:E,Sheet2!A:A)</f>
        <v>2818</v>
      </c>
      <c r="C59" s="4">
        <v>201</v>
      </c>
      <c r="D59" s="5" t="str">
        <f>VLOOKUP(E59,Sheet2!F:G,2,FALSE)</f>
        <v>侧脑室穿刺术（注药）</v>
      </c>
      <c r="E59" s="4" t="s">
        <v>647</v>
      </c>
      <c r="F59" s="7"/>
      <c r="G59" s="4">
        <v>165</v>
      </c>
      <c r="H59" s="4">
        <v>150</v>
      </c>
      <c r="I59" s="4">
        <v>127.5</v>
      </c>
      <c r="J59" s="7"/>
      <c r="K59" s="4">
        <v>1260</v>
      </c>
      <c r="L59" s="4">
        <v>1140</v>
      </c>
      <c r="M59" s="4">
        <v>972</v>
      </c>
      <c r="N59" s="4">
        <v>1</v>
      </c>
      <c r="O59" s="4">
        <v>1</v>
      </c>
      <c r="P59" s="4" t="s">
        <v>1637</v>
      </c>
      <c r="Q59" s="4">
        <v>0</v>
      </c>
      <c r="R59" s="4">
        <v>6</v>
      </c>
      <c r="S59" s="4">
        <v>0</v>
      </c>
      <c r="T59" s="4">
        <v>0</v>
      </c>
      <c r="U59" s="4">
        <v>6570</v>
      </c>
      <c r="V59" s="4">
        <v>0</v>
      </c>
      <c r="W59" s="4">
        <v>0</v>
      </c>
      <c r="X59" s="4">
        <v>6570</v>
      </c>
      <c r="Y59" s="4">
        <v>0</v>
      </c>
      <c r="Z59" s="4">
        <v>0</v>
      </c>
      <c r="AA59">
        <f t="shared" si="0"/>
        <v>6570</v>
      </c>
    </row>
    <row r="60" ht="15.75" spans="1:27">
      <c r="A60" s="2">
        <v>12</v>
      </c>
      <c r="B60" s="4">
        <f>_xlfn.XLOOKUP(E60,Sheet2!E:E,Sheet2!A:A)</f>
        <v>2819</v>
      </c>
      <c r="C60" s="4">
        <v>201</v>
      </c>
      <c r="D60" s="5" t="str">
        <f>VLOOKUP(E60,Sheet2!F:G,2,FALSE)</f>
        <v>小儿侧脑室穿刺术</v>
      </c>
      <c r="E60" s="4" t="s">
        <v>650</v>
      </c>
      <c r="F60" s="7"/>
      <c r="G60" s="4">
        <v>215</v>
      </c>
      <c r="H60" s="4">
        <v>195</v>
      </c>
      <c r="I60" s="4">
        <v>165</v>
      </c>
      <c r="J60" s="7"/>
      <c r="K60" s="4">
        <v>1260</v>
      </c>
      <c r="L60" s="4">
        <v>1140</v>
      </c>
      <c r="M60" s="4">
        <v>972</v>
      </c>
      <c r="N60" s="4">
        <v>1</v>
      </c>
      <c r="O60" s="4">
        <v>1</v>
      </c>
      <c r="P60" s="4" t="s">
        <v>1637</v>
      </c>
      <c r="Q60" s="4">
        <v>0</v>
      </c>
      <c r="R60" s="4">
        <v>13</v>
      </c>
      <c r="S60" s="4">
        <v>0</v>
      </c>
      <c r="T60" s="4">
        <v>0</v>
      </c>
      <c r="U60" s="4">
        <v>13585</v>
      </c>
      <c r="V60" s="4">
        <v>0</v>
      </c>
      <c r="W60" s="4">
        <v>0</v>
      </c>
      <c r="X60" s="4">
        <v>13585</v>
      </c>
      <c r="Y60" s="4">
        <v>0</v>
      </c>
      <c r="Z60" s="4">
        <v>0</v>
      </c>
      <c r="AA60">
        <f t="shared" si="0"/>
        <v>13585</v>
      </c>
    </row>
    <row r="61" ht="15.75" spans="1:27">
      <c r="A61" s="2">
        <v>91</v>
      </c>
      <c r="B61" s="4">
        <f>_xlfn.XLOOKUP(E61,Sheet2!E:E,Sheet2!A:A)</f>
        <v>2820</v>
      </c>
      <c r="C61" s="4">
        <v>201</v>
      </c>
      <c r="D61" s="5" t="str">
        <f>VLOOKUP(E61,Sheet2!F:G,2,FALSE)</f>
        <v>侧脑室穿刺术（侧脑室引流）</v>
      </c>
      <c r="E61" s="4" t="s">
        <v>652</v>
      </c>
      <c r="F61" s="7"/>
      <c r="G61" s="4">
        <v>165</v>
      </c>
      <c r="H61" s="4">
        <v>150</v>
      </c>
      <c r="I61" s="4">
        <v>127.5</v>
      </c>
      <c r="J61" s="7"/>
      <c r="K61" s="4">
        <v>1260</v>
      </c>
      <c r="L61" s="4">
        <v>1140</v>
      </c>
      <c r="M61" s="4">
        <v>972</v>
      </c>
      <c r="N61" s="4">
        <v>1</v>
      </c>
      <c r="O61" s="4">
        <v>1</v>
      </c>
      <c r="P61" s="4" t="s">
        <v>1637</v>
      </c>
      <c r="Q61" s="4">
        <v>0</v>
      </c>
      <c r="R61" s="4">
        <v>75</v>
      </c>
      <c r="S61" s="4">
        <v>4</v>
      </c>
      <c r="T61" s="4">
        <v>0</v>
      </c>
      <c r="U61" s="4">
        <v>82125</v>
      </c>
      <c r="V61" s="4">
        <v>3960</v>
      </c>
      <c r="W61" s="4">
        <v>0</v>
      </c>
      <c r="X61" s="4">
        <v>82125</v>
      </c>
      <c r="Y61" s="4">
        <v>3960</v>
      </c>
      <c r="Z61" s="4">
        <v>0</v>
      </c>
      <c r="AA61">
        <f t="shared" si="0"/>
        <v>86085</v>
      </c>
    </row>
    <row r="62" ht="15.75" spans="1:27">
      <c r="A62" s="2">
        <v>44</v>
      </c>
      <c r="B62" s="4">
        <f>_xlfn.XLOOKUP(E62,Sheet2!E:E,Sheet2!A:A)</f>
        <v>2821</v>
      </c>
      <c r="C62" s="4">
        <v>201</v>
      </c>
      <c r="D62" s="5" t="str">
        <f>VLOOKUP(E62,Sheet2!F:G,2,FALSE)</f>
        <v>脑脓肿穿刺引流术</v>
      </c>
      <c r="E62" s="4" t="s">
        <v>655</v>
      </c>
      <c r="F62" s="7"/>
      <c r="G62" s="4">
        <v>1125</v>
      </c>
      <c r="H62" s="4">
        <v>1080</v>
      </c>
      <c r="I62" s="4">
        <v>918</v>
      </c>
      <c r="J62" s="7"/>
      <c r="K62" s="4">
        <v>1260</v>
      </c>
      <c r="L62" s="4">
        <v>1140</v>
      </c>
      <c r="M62" s="4">
        <v>972</v>
      </c>
      <c r="N62" s="4">
        <v>1</v>
      </c>
      <c r="O62" s="4">
        <v>1</v>
      </c>
      <c r="P62" s="4" t="s">
        <v>1637</v>
      </c>
      <c r="Q62" s="4">
        <v>0</v>
      </c>
      <c r="R62" s="4">
        <v>4</v>
      </c>
      <c r="S62" s="4">
        <v>4</v>
      </c>
      <c r="T62" s="4">
        <v>0</v>
      </c>
      <c r="U62" s="4">
        <v>540</v>
      </c>
      <c r="V62" s="4">
        <v>240</v>
      </c>
      <c r="W62" s="4">
        <v>0</v>
      </c>
      <c r="X62" s="4">
        <v>540</v>
      </c>
      <c r="Y62" s="4">
        <v>240</v>
      </c>
      <c r="Z62" s="4">
        <v>0</v>
      </c>
      <c r="AA62">
        <f t="shared" si="0"/>
        <v>780</v>
      </c>
    </row>
    <row r="63" ht="15.75" spans="1:27">
      <c r="A63" s="2">
        <v>124</v>
      </c>
      <c r="B63" s="4">
        <f>_xlfn.XLOOKUP(E63,Sheet2!E:E,Sheet2!A:A)</f>
        <v>2823</v>
      </c>
      <c r="C63" s="4">
        <v>201</v>
      </c>
      <c r="D63" s="5" t="str">
        <f>VLOOKUP(E63,Sheet2!F:G,2,FALSE)</f>
        <v>脑室钻孔伴脑室引流术</v>
      </c>
      <c r="E63" s="4" t="s">
        <v>660</v>
      </c>
      <c r="F63" s="7"/>
      <c r="G63" s="4">
        <v>1000</v>
      </c>
      <c r="H63" s="4">
        <v>960</v>
      </c>
      <c r="I63" s="4">
        <v>816</v>
      </c>
      <c r="J63" s="7"/>
      <c r="K63" s="4">
        <v>1260</v>
      </c>
      <c r="L63" s="4">
        <v>1140</v>
      </c>
      <c r="M63" s="4">
        <v>972</v>
      </c>
      <c r="N63" s="4">
        <v>1</v>
      </c>
      <c r="O63" s="4">
        <v>1</v>
      </c>
      <c r="P63" s="4" t="s">
        <v>1637</v>
      </c>
      <c r="Q63" s="4">
        <v>0</v>
      </c>
      <c r="R63" s="4">
        <v>112.3</v>
      </c>
      <c r="S63" s="4">
        <v>262.8</v>
      </c>
      <c r="T63" s="4">
        <v>0</v>
      </c>
      <c r="U63" s="4">
        <v>29198</v>
      </c>
      <c r="V63" s="4">
        <v>47304</v>
      </c>
      <c r="W63" s="4">
        <v>0</v>
      </c>
      <c r="X63" s="4">
        <v>29198</v>
      </c>
      <c r="Y63" s="4">
        <v>49184</v>
      </c>
      <c r="Z63" s="4">
        <v>0</v>
      </c>
      <c r="AA63">
        <f t="shared" si="0"/>
        <v>78382</v>
      </c>
    </row>
    <row r="64" ht="15.75" spans="1:27">
      <c r="A64" s="2">
        <v>81</v>
      </c>
      <c r="B64" s="4">
        <f>_xlfn.XLOOKUP(E64,Sheet2!E:E,Sheet2!A:A)</f>
        <v>2827</v>
      </c>
      <c r="C64" s="4">
        <v>201</v>
      </c>
      <c r="D64" s="5" t="str">
        <f>VLOOKUP(E64,Sheet2!F:G,2,FALSE)</f>
        <v>经颅内镜颅内蛛网膜囊肿分流术</v>
      </c>
      <c r="E64" s="4" t="s">
        <v>669</v>
      </c>
      <c r="F64" s="7"/>
      <c r="G64" s="4">
        <v>2375</v>
      </c>
      <c r="H64" s="4">
        <v>2280</v>
      </c>
      <c r="I64" s="4">
        <v>1938</v>
      </c>
      <c r="J64" s="7"/>
      <c r="K64" s="4">
        <v>1260</v>
      </c>
      <c r="L64" s="4">
        <v>1140</v>
      </c>
      <c r="M64" s="4">
        <v>972</v>
      </c>
      <c r="N64" s="4">
        <v>1</v>
      </c>
      <c r="O64" s="4">
        <v>1</v>
      </c>
      <c r="P64" s="4" t="s">
        <v>1637</v>
      </c>
      <c r="Q64" s="4">
        <v>0</v>
      </c>
      <c r="R64" s="4">
        <v>1</v>
      </c>
      <c r="S64" s="4">
        <v>0</v>
      </c>
      <c r="T64" s="4">
        <v>0</v>
      </c>
      <c r="U64" s="4">
        <v>-1115</v>
      </c>
      <c r="V64" s="4">
        <v>0</v>
      </c>
      <c r="W64" s="4">
        <v>0</v>
      </c>
      <c r="X64" s="4">
        <v>-1115</v>
      </c>
      <c r="Y64" s="4">
        <v>0</v>
      </c>
      <c r="Z64" s="4">
        <v>0</v>
      </c>
      <c r="AA64">
        <f t="shared" si="0"/>
        <v>-1115</v>
      </c>
    </row>
    <row r="65" ht="15.75" spans="1:27">
      <c r="A65" s="2">
        <v>1</v>
      </c>
      <c r="B65" s="4">
        <f>_xlfn.XLOOKUP(E65,Sheet2!E:E,Sheet2!A:A)</f>
        <v>2831</v>
      </c>
      <c r="C65" s="4">
        <v>201</v>
      </c>
      <c r="D65" s="5" t="str">
        <f>VLOOKUP(E65,Sheet2!F:G,2,FALSE)</f>
        <v>腰大池引流术</v>
      </c>
      <c r="E65" s="4" t="s">
        <v>679</v>
      </c>
      <c r="F65" s="7"/>
      <c r="G65" s="4">
        <v>180</v>
      </c>
      <c r="H65" s="4">
        <v>165</v>
      </c>
      <c r="I65" s="4">
        <v>140</v>
      </c>
      <c r="J65" s="7"/>
      <c r="K65" s="4">
        <v>1050</v>
      </c>
      <c r="L65" s="4">
        <v>950</v>
      </c>
      <c r="M65" s="4">
        <v>810</v>
      </c>
      <c r="N65" s="4">
        <v>1</v>
      </c>
      <c r="O65" s="4">
        <v>1</v>
      </c>
      <c r="P65" s="4" t="s">
        <v>1637</v>
      </c>
      <c r="Q65" s="4">
        <v>0</v>
      </c>
      <c r="R65" s="4">
        <v>71.9</v>
      </c>
      <c r="S65" s="4">
        <v>52.15</v>
      </c>
      <c r="T65" s="4">
        <v>0</v>
      </c>
      <c r="U65" s="4">
        <v>62553</v>
      </c>
      <c r="V65" s="4">
        <v>40937.75</v>
      </c>
      <c r="W65" s="4">
        <v>0</v>
      </c>
      <c r="X65" s="4">
        <v>62553</v>
      </c>
      <c r="Y65" s="4">
        <v>40937.75</v>
      </c>
      <c r="Z65" s="4">
        <v>0</v>
      </c>
      <c r="AA65">
        <f t="shared" si="0"/>
        <v>103490.75</v>
      </c>
    </row>
    <row r="66" ht="15.75" spans="1:27">
      <c r="A66" s="2">
        <v>55</v>
      </c>
      <c r="B66" s="4">
        <f>_xlfn.XLOOKUP(E66,Sheet2!E:E,Sheet2!A:A)</f>
        <v>2835</v>
      </c>
      <c r="C66" s="4">
        <v>201</v>
      </c>
      <c r="D66" s="5" t="str">
        <f>VLOOKUP(E66,Sheet2!F:G,2,FALSE)</f>
        <v>欧玛亚（Omaya）管置入术</v>
      </c>
      <c r="E66" s="4" t="s">
        <v>700</v>
      </c>
      <c r="F66" s="7"/>
      <c r="G66" s="4">
        <v>1500</v>
      </c>
      <c r="H66" s="4">
        <v>1440</v>
      </c>
      <c r="I66" s="4">
        <v>1224</v>
      </c>
      <c r="J66" s="7"/>
      <c r="K66" s="4">
        <v>1520</v>
      </c>
      <c r="L66" s="4">
        <v>1440</v>
      </c>
      <c r="M66" s="4">
        <v>1225</v>
      </c>
      <c r="N66" s="4">
        <v>1</v>
      </c>
      <c r="O66" s="4">
        <v>1</v>
      </c>
      <c r="P66" s="4" t="s">
        <v>1637</v>
      </c>
      <c r="Q66" s="4">
        <v>0</v>
      </c>
      <c r="R66" s="4">
        <v>22.5</v>
      </c>
      <c r="S66" s="4">
        <v>10.15</v>
      </c>
      <c r="T66" s="4">
        <v>0</v>
      </c>
      <c r="U66" s="4">
        <v>450</v>
      </c>
      <c r="V66" s="4">
        <v>0</v>
      </c>
      <c r="W66" s="4">
        <v>0</v>
      </c>
      <c r="X66" s="4">
        <v>450</v>
      </c>
      <c r="Y66" s="4">
        <v>0</v>
      </c>
      <c r="Z66" s="4">
        <v>0</v>
      </c>
      <c r="AA66">
        <f t="shared" ref="AA66:AA129" si="1">X66+Y66+Z66</f>
        <v>450</v>
      </c>
    </row>
    <row r="67" ht="15.75" spans="1:27">
      <c r="A67" s="2">
        <v>123</v>
      </c>
      <c r="B67" s="4">
        <f>_xlfn.XLOOKUP(E67,Sheet2!E:E,Sheet2!A:A)</f>
        <v>2836</v>
      </c>
      <c r="C67" s="4">
        <v>201</v>
      </c>
      <c r="D67" s="5" t="str">
        <f>VLOOKUP(E67,Sheet2!F:G,2,FALSE)</f>
        <v>经颅内镜欧玛亚（Omaya）管置入术</v>
      </c>
      <c r="E67" s="4" t="s">
        <v>704</v>
      </c>
      <c r="F67" s="7"/>
      <c r="G67" s="4">
        <v>1875</v>
      </c>
      <c r="H67" s="4">
        <v>1800</v>
      </c>
      <c r="I67" s="4">
        <v>1530</v>
      </c>
      <c r="J67" s="7"/>
      <c r="K67" s="4">
        <v>1520</v>
      </c>
      <c r="L67" s="4">
        <v>1440</v>
      </c>
      <c r="M67" s="4">
        <v>1225</v>
      </c>
      <c r="N67" s="4">
        <v>1</v>
      </c>
      <c r="O67" s="4">
        <v>1</v>
      </c>
      <c r="P67" s="4" t="s">
        <v>1637</v>
      </c>
      <c r="Q67" s="4">
        <v>0</v>
      </c>
      <c r="R67" s="4">
        <v>1</v>
      </c>
      <c r="S67" s="4">
        <v>0</v>
      </c>
      <c r="T67" s="4">
        <v>0</v>
      </c>
      <c r="U67" s="4">
        <v>-355</v>
      </c>
      <c r="V67" s="4">
        <v>0</v>
      </c>
      <c r="W67" s="4">
        <v>0</v>
      </c>
      <c r="X67" s="4">
        <v>-355</v>
      </c>
      <c r="Y67" s="4">
        <v>0</v>
      </c>
      <c r="Z67" s="4">
        <v>0</v>
      </c>
      <c r="AA67">
        <f t="shared" si="1"/>
        <v>-355</v>
      </c>
    </row>
    <row r="68" ht="15.75" spans="1:27">
      <c r="A68" s="2">
        <v>67</v>
      </c>
      <c r="B68" s="4">
        <f>_xlfn.XLOOKUP(E68,Sheet2!E:E,Sheet2!A:A)</f>
        <v>2837</v>
      </c>
      <c r="C68" s="4">
        <v>201</v>
      </c>
      <c r="D68" s="5" t="str">
        <f>VLOOKUP(E68,Sheet2!F:G,2,FALSE)</f>
        <v>小儿欧玛亚（Omaya）管置入术</v>
      </c>
      <c r="E68" s="4" t="s">
        <v>708</v>
      </c>
      <c r="F68" s="7"/>
      <c r="G68" s="4">
        <v>1950</v>
      </c>
      <c r="H68" s="4">
        <v>1870</v>
      </c>
      <c r="I68" s="4">
        <v>1590</v>
      </c>
      <c r="J68" s="7"/>
      <c r="K68" s="4">
        <v>1975</v>
      </c>
      <c r="L68" s="4">
        <v>1870</v>
      </c>
      <c r="M68" s="4">
        <v>1595</v>
      </c>
      <c r="N68" s="4">
        <v>1</v>
      </c>
      <c r="O68" s="4">
        <v>1</v>
      </c>
      <c r="P68" s="4" t="s">
        <v>1637</v>
      </c>
      <c r="Q68" s="4">
        <v>0</v>
      </c>
      <c r="R68" s="4">
        <v>10</v>
      </c>
      <c r="S68" s="4">
        <v>0</v>
      </c>
      <c r="T68" s="4">
        <v>0</v>
      </c>
      <c r="U68" s="4">
        <v>250</v>
      </c>
      <c r="V68" s="4">
        <v>0</v>
      </c>
      <c r="W68" s="4">
        <v>0</v>
      </c>
      <c r="X68" s="4">
        <v>250</v>
      </c>
      <c r="Y68" s="4">
        <v>0</v>
      </c>
      <c r="Z68" s="4">
        <v>0</v>
      </c>
      <c r="AA68">
        <f t="shared" si="1"/>
        <v>250</v>
      </c>
    </row>
    <row r="69" ht="15.75" spans="1:27">
      <c r="A69" s="2">
        <v>102</v>
      </c>
      <c r="B69" s="4">
        <f>_xlfn.XLOOKUP(E69,Sheet2!E:E,Sheet2!A:A)</f>
        <v>2839</v>
      </c>
      <c r="C69" s="4">
        <v>201</v>
      </c>
      <c r="D69" s="5" t="str">
        <f>VLOOKUP(E69,Sheet2!F:G,2,FALSE)</f>
        <v>去颅骨骨瓣减压术</v>
      </c>
      <c r="E69" s="4" t="s">
        <v>731</v>
      </c>
      <c r="F69" s="7"/>
      <c r="G69" s="4">
        <v>1875</v>
      </c>
      <c r="H69" s="4">
        <v>1800</v>
      </c>
      <c r="I69" s="4">
        <v>1530</v>
      </c>
      <c r="J69" s="7"/>
      <c r="K69" s="4">
        <v>2450</v>
      </c>
      <c r="L69" s="4">
        <v>2250</v>
      </c>
      <c r="M69" s="4">
        <v>1950</v>
      </c>
      <c r="N69" s="4">
        <v>1</v>
      </c>
      <c r="O69" s="4">
        <v>1</v>
      </c>
      <c r="P69" s="4" t="s">
        <v>1637</v>
      </c>
      <c r="Q69" s="4">
        <v>0</v>
      </c>
      <c r="R69" s="4">
        <v>17.5</v>
      </c>
      <c r="S69" s="4">
        <v>15.1</v>
      </c>
      <c r="T69" s="4">
        <v>1</v>
      </c>
      <c r="U69" s="4">
        <v>10062.5</v>
      </c>
      <c r="V69" s="4">
        <v>6795</v>
      </c>
      <c r="W69" s="4">
        <v>420</v>
      </c>
      <c r="X69" s="4">
        <v>10062.5</v>
      </c>
      <c r="Y69" s="4">
        <v>6795</v>
      </c>
      <c r="Z69" s="4">
        <v>420</v>
      </c>
      <c r="AA69">
        <f t="shared" si="1"/>
        <v>17277.5</v>
      </c>
    </row>
    <row r="70" ht="15.75" spans="1:27">
      <c r="A70" s="2">
        <v>113</v>
      </c>
      <c r="B70" s="4">
        <f>_xlfn.XLOOKUP(E70,Sheet2!E:E,Sheet2!A:A)</f>
        <v>2840</v>
      </c>
      <c r="C70" s="4">
        <v>201</v>
      </c>
      <c r="D70" s="5" t="str">
        <f>VLOOKUP(E70,Sheet2!F:G,2,FALSE)</f>
        <v>开颅颅内减压术</v>
      </c>
      <c r="E70" s="4" t="s">
        <v>733</v>
      </c>
      <c r="F70" s="7"/>
      <c r="G70" s="4">
        <v>3040</v>
      </c>
      <c r="H70" s="4">
        <v>2740</v>
      </c>
      <c r="I70" s="4">
        <v>2330</v>
      </c>
      <c r="J70" s="7"/>
      <c r="K70" s="4">
        <v>2450</v>
      </c>
      <c r="L70" s="4">
        <v>2250</v>
      </c>
      <c r="M70" s="4">
        <v>1950</v>
      </c>
      <c r="N70" s="4">
        <v>1</v>
      </c>
      <c r="O70" s="4">
        <v>1</v>
      </c>
      <c r="P70" s="4" t="s">
        <v>1637</v>
      </c>
      <c r="Q70" s="4">
        <v>0</v>
      </c>
      <c r="R70" s="4">
        <v>2.5</v>
      </c>
      <c r="S70" s="4">
        <v>17.05</v>
      </c>
      <c r="T70" s="4">
        <v>0</v>
      </c>
      <c r="U70" s="4">
        <v>-1475</v>
      </c>
      <c r="V70" s="4">
        <v>-8354.5</v>
      </c>
      <c r="W70" s="4">
        <v>0</v>
      </c>
      <c r="X70" s="4">
        <v>-1475</v>
      </c>
      <c r="Y70" s="4">
        <v>-4655.5</v>
      </c>
      <c r="Z70" s="4">
        <v>0</v>
      </c>
      <c r="AA70">
        <f t="shared" si="1"/>
        <v>-6130.5</v>
      </c>
    </row>
    <row r="71" ht="15.75" spans="1:27">
      <c r="A71" s="2">
        <v>25</v>
      </c>
      <c r="B71" s="4">
        <f>_xlfn.XLOOKUP(E71,Sheet2!E:E,Sheet2!A:A)</f>
        <v>2845</v>
      </c>
      <c r="C71" s="4">
        <v>201</v>
      </c>
      <c r="D71" s="5" t="str">
        <f>VLOOKUP(E71,Sheet2!F:G,2,FALSE)</f>
        <v>颅内多发血肿清除术</v>
      </c>
      <c r="E71" s="4" t="s">
        <v>752</v>
      </c>
      <c r="F71" s="7"/>
      <c r="G71" s="4">
        <v>2250</v>
      </c>
      <c r="H71" s="4">
        <v>2160</v>
      </c>
      <c r="I71" s="4">
        <v>1836</v>
      </c>
      <c r="J71" s="7"/>
      <c r="K71" s="4">
        <v>3250</v>
      </c>
      <c r="L71" s="4">
        <v>2900</v>
      </c>
      <c r="M71" s="4">
        <v>2450</v>
      </c>
      <c r="N71" s="4">
        <v>1</v>
      </c>
      <c r="O71" s="4">
        <v>1</v>
      </c>
      <c r="P71" s="4" t="s">
        <v>1637</v>
      </c>
      <c r="Q71" s="4">
        <v>0</v>
      </c>
      <c r="R71" s="4">
        <v>3.7</v>
      </c>
      <c r="S71" s="4">
        <v>4.8</v>
      </c>
      <c r="T71" s="4">
        <v>0</v>
      </c>
      <c r="U71" s="4">
        <v>3700</v>
      </c>
      <c r="V71" s="4">
        <v>3552</v>
      </c>
      <c r="W71" s="4">
        <v>0</v>
      </c>
      <c r="X71" s="4">
        <v>3700</v>
      </c>
      <c r="Y71" s="4">
        <v>3552</v>
      </c>
      <c r="Z71" s="4">
        <v>0</v>
      </c>
      <c r="AA71">
        <f t="shared" si="1"/>
        <v>7252</v>
      </c>
    </row>
    <row r="72" ht="15.75" spans="1:27">
      <c r="A72" s="2">
        <v>51</v>
      </c>
      <c r="B72" s="4">
        <f>_xlfn.XLOOKUP(E72,Sheet2!E:E,Sheet2!A:A)</f>
        <v>2846</v>
      </c>
      <c r="C72" s="4">
        <v>201</v>
      </c>
      <c r="D72" s="5" t="str">
        <f>VLOOKUP(E72,Sheet2!F:G,2,FALSE)</f>
        <v>颅内多发血肿清除术（非同一部位血肿）</v>
      </c>
      <c r="E72" s="4" t="s">
        <v>756</v>
      </c>
      <c r="F72" s="7"/>
      <c r="G72" s="4">
        <v>3125</v>
      </c>
      <c r="H72" s="4">
        <v>3000</v>
      </c>
      <c r="I72" s="4">
        <v>2550</v>
      </c>
      <c r="J72" s="7"/>
      <c r="K72" s="4">
        <v>3250</v>
      </c>
      <c r="L72" s="4">
        <v>2900</v>
      </c>
      <c r="M72" s="4">
        <v>2450</v>
      </c>
      <c r="N72" s="4">
        <v>1</v>
      </c>
      <c r="O72" s="4">
        <v>1</v>
      </c>
      <c r="P72" s="4" t="s">
        <v>1637</v>
      </c>
      <c r="Q72" s="4">
        <v>0</v>
      </c>
      <c r="R72" s="4">
        <v>10.2</v>
      </c>
      <c r="S72" s="4">
        <v>47.9</v>
      </c>
      <c r="T72" s="4">
        <v>0</v>
      </c>
      <c r="U72" s="4">
        <v>1275</v>
      </c>
      <c r="V72" s="4">
        <v>-4790</v>
      </c>
      <c r="W72" s="4">
        <v>0</v>
      </c>
      <c r="X72" s="4">
        <v>1275</v>
      </c>
      <c r="Y72" s="4">
        <v>-4790</v>
      </c>
      <c r="Z72" s="4">
        <v>0</v>
      </c>
      <c r="AA72">
        <f t="shared" si="1"/>
        <v>-3515</v>
      </c>
    </row>
    <row r="73" ht="15.75" spans="1:27">
      <c r="A73" s="2">
        <v>29</v>
      </c>
      <c r="B73" s="4">
        <f>_xlfn.XLOOKUP(E73,Sheet2!E:E,Sheet2!A:A)</f>
        <v>2847</v>
      </c>
      <c r="C73" s="4">
        <v>201</v>
      </c>
      <c r="D73" s="5" t="str">
        <f>VLOOKUP(E73,Sheet2!F:G,2,FALSE)</f>
        <v>颅内血肿清除术</v>
      </c>
      <c r="E73" s="4" t="s">
        <v>759</v>
      </c>
      <c r="F73" s="7"/>
      <c r="G73" s="4">
        <v>2250</v>
      </c>
      <c r="H73" s="4">
        <v>2160</v>
      </c>
      <c r="I73" s="4">
        <v>1836</v>
      </c>
      <c r="J73" s="7"/>
      <c r="K73" s="4">
        <v>3250</v>
      </c>
      <c r="L73" s="4">
        <v>2900</v>
      </c>
      <c r="M73" s="4">
        <v>2450</v>
      </c>
      <c r="N73" s="4">
        <v>1</v>
      </c>
      <c r="O73" s="4">
        <v>1</v>
      </c>
      <c r="P73" s="4" t="s">
        <v>1637</v>
      </c>
      <c r="Q73" s="4">
        <v>0</v>
      </c>
      <c r="R73" s="4">
        <v>321.39</v>
      </c>
      <c r="S73" s="4">
        <v>284.74</v>
      </c>
      <c r="T73" s="4">
        <v>12.4</v>
      </c>
      <c r="U73" s="4">
        <v>321390</v>
      </c>
      <c r="V73" s="4">
        <v>210707.6</v>
      </c>
      <c r="W73" s="4">
        <v>7613.6</v>
      </c>
      <c r="X73" s="4">
        <v>321390</v>
      </c>
      <c r="Y73" s="4">
        <v>210707.6</v>
      </c>
      <c r="Z73" s="4">
        <v>7613.6</v>
      </c>
      <c r="AA73">
        <f t="shared" si="1"/>
        <v>539711.2</v>
      </c>
    </row>
    <row r="74" ht="15.75" spans="1:27">
      <c r="A74" s="2">
        <v>41</v>
      </c>
      <c r="B74" s="4">
        <f>_xlfn.XLOOKUP(E74,Sheet2!E:E,Sheet2!A:A)</f>
        <v>2848</v>
      </c>
      <c r="C74" s="4">
        <v>201</v>
      </c>
      <c r="D74" s="5" t="str">
        <f>VLOOKUP(E74,Sheet2!F:G,2,FALSE)</f>
        <v>幕上浅部病变切除术</v>
      </c>
      <c r="E74" s="4" t="s">
        <v>762</v>
      </c>
      <c r="F74" s="7"/>
      <c r="G74" s="4">
        <v>3000</v>
      </c>
      <c r="H74" s="4">
        <v>2850</v>
      </c>
      <c r="I74" s="4">
        <v>2280</v>
      </c>
      <c r="J74" s="7"/>
      <c r="K74" s="4">
        <v>3250</v>
      </c>
      <c r="L74" s="4">
        <v>2900</v>
      </c>
      <c r="M74" s="4">
        <v>2450</v>
      </c>
      <c r="N74" s="4">
        <v>1</v>
      </c>
      <c r="O74" s="4">
        <v>1</v>
      </c>
      <c r="P74" s="4" t="s">
        <v>1637</v>
      </c>
      <c r="Q74" s="4">
        <v>0</v>
      </c>
      <c r="R74" s="4">
        <v>33.5</v>
      </c>
      <c r="S74" s="4">
        <v>11</v>
      </c>
      <c r="T74" s="4">
        <v>0</v>
      </c>
      <c r="U74" s="4">
        <v>8375</v>
      </c>
      <c r="V74" s="4">
        <v>550</v>
      </c>
      <c r="W74" s="4">
        <v>0</v>
      </c>
      <c r="X74" s="4">
        <v>8375</v>
      </c>
      <c r="Y74" s="4">
        <v>400</v>
      </c>
      <c r="Z74" s="4">
        <v>0</v>
      </c>
      <c r="AA74">
        <f t="shared" si="1"/>
        <v>8775</v>
      </c>
    </row>
    <row r="75" ht="15.75" spans="1:27">
      <c r="A75" s="2">
        <v>59</v>
      </c>
      <c r="B75" s="4">
        <f>_xlfn.XLOOKUP(E75,Sheet2!E:E,Sheet2!A:A)</f>
        <v>2849</v>
      </c>
      <c r="C75" s="4">
        <v>201</v>
      </c>
      <c r="D75" s="5" t="str">
        <f>VLOOKUP(E75,Sheet2!F:G,2,FALSE)</f>
        <v>第四脑室肿瘤切除术</v>
      </c>
      <c r="E75" s="4" t="s">
        <v>766</v>
      </c>
      <c r="F75" s="7"/>
      <c r="G75" s="4">
        <v>6600</v>
      </c>
      <c r="H75" s="4">
        <v>5940</v>
      </c>
      <c r="I75" s="4">
        <v>5050</v>
      </c>
      <c r="J75" s="7"/>
      <c r="K75" s="4">
        <v>3250</v>
      </c>
      <c r="L75" s="4">
        <v>2900</v>
      </c>
      <c r="M75" s="4">
        <v>2450</v>
      </c>
      <c r="N75" s="4">
        <v>1</v>
      </c>
      <c r="O75" s="4">
        <v>1</v>
      </c>
      <c r="P75" s="4" t="s">
        <v>1637</v>
      </c>
      <c r="Q75" s="4">
        <v>0</v>
      </c>
      <c r="R75" s="4">
        <v>0</v>
      </c>
      <c r="S75" s="4">
        <v>1</v>
      </c>
      <c r="T75" s="4">
        <v>0</v>
      </c>
      <c r="U75" s="4">
        <v>0</v>
      </c>
      <c r="V75" s="4">
        <v>-3040</v>
      </c>
      <c r="W75" s="4">
        <v>0</v>
      </c>
      <c r="X75" s="4">
        <v>0</v>
      </c>
      <c r="Y75" s="4">
        <v>-3040</v>
      </c>
      <c r="Z75" s="4">
        <v>0</v>
      </c>
      <c r="AA75">
        <f t="shared" si="1"/>
        <v>-3040</v>
      </c>
    </row>
    <row r="76" ht="15.75" spans="1:27">
      <c r="A76" s="2">
        <v>76</v>
      </c>
      <c r="B76" s="4">
        <f>_xlfn.XLOOKUP(E76,Sheet2!E:E,Sheet2!A:A)</f>
        <v>2852</v>
      </c>
      <c r="C76" s="4">
        <v>201</v>
      </c>
      <c r="D76" s="5" t="str">
        <f>VLOOKUP(E76,Sheet2!F:G,2,FALSE)</f>
        <v>大脑半球切除术</v>
      </c>
      <c r="E76" s="4" t="s">
        <v>773</v>
      </c>
      <c r="F76" s="7"/>
      <c r="G76" s="4">
        <v>5780</v>
      </c>
      <c r="H76" s="4">
        <v>5200</v>
      </c>
      <c r="I76" s="4">
        <v>4420</v>
      </c>
      <c r="J76" s="7"/>
      <c r="K76" s="4">
        <v>3250</v>
      </c>
      <c r="L76" s="4">
        <v>2900</v>
      </c>
      <c r="M76" s="4">
        <v>2450</v>
      </c>
      <c r="N76" s="4">
        <v>1</v>
      </c>
      <c r="O76" s="4">
        <v>1</v>
      </c>
      <c r="P76" s="4" t="s">
        <v>1637</v>
      </c>
      <c r="Q76" s="4">
        <v>0</v>
      </c>
      <c r="R76" s="4">
        <v>1</v>
      </c>
      <c r="S76" s="4">
        <v>0</v>
      </c>
      <c r="T76" s="4">
        <v>0</v>
      </c>
      <c r="U76" s="4">
        <v>-2530</v>
      </c>
      <c r="V76" s="4">
        <v>0</v>
      </c>
      <c r="W76" s="4">
        <v>0</v>
      </c>
      <c r="X76" s="4">
        <v>-2530</v>
      </c>
      <c r="Y76" s="4">
        <v>0</v>
      </c>
      <c r="Z76" s="4">
        <v>0</v>
      </c>
      <c r="AA76">
        <f t="shared" si="1"/>
        <v>-2530</v>
      </c>
    </row>
    <row r="77" ht="15.75" spans="1:27">
      <c r="A77" s="2">
        <v>18</v>
      </c>
      <c r="B77" s="4">
        <f>_xlfn.XLOOKUP(E77,Sheet2!E:E,Sheet2!A:A)</f>
        <v>2858</v>
      </c>
      <c r="C77" s="4">
        <v>201</v>
      </c>
      <c r="D77" s="5" t="str">
        <f>VLOOKUP(E77,Sheet2!F:G,2,FALSE)</f>
        <v>小脑半球病变切除术</v>
      </c>
      <c r="E77" s="4" t="s">
        <v>791</v>
      </c>
      <c r="F77" s="7"/>
      <c r="G77" s="4">
        <v>4740</v>
      </c>
      <c r="H77" s="4">
        <v>4270</v>
      </c>
      <c r="I77" s="4">
        <v>3630</v>
      </c>
      <c r="J77" s="7"/>
      <c r="K77" s="4">
        <v>3250</v>
      </c>
      <c r="L77" s="4">
        <v>2900</v>
      </c>
      <c r="M77" s="4">
        <v>2450</v>
      </c>
      <c r="N77" s="4">
        <v>1</v>
      </c>
      <c r="O77" s="4">
        <v>1</v>
      </c>
      <c r="P77" s="4" t="s">
        <v>1637</v>
      </c>
      <c r="Q77" s="4">
        <v>0</v>
      </c>
      <c r="R77" s="4">
        <v>5</v>
      </c>
      <c r="S77" s="4">
        <v>4</v>
      </c>
      <c r="T77" s="4">
        <v>0</v>
      </c>
      <c r="U77" s="4">
        <v>-7450</v>
      </c>
      <c r="V77" s="4">
        <v>-5480</v>
      </c>
      <c r="W77" s="4">
        <v>0</v>
      </c>
      <c r="X77" s="4">
        <v>-7450</v>
      </c>
      <c r="Y77" s="4">
        <v>-5480</v>
      </c>
      <c r="Z77" s="4">
        <v>0</v>
      </c>
      <c r="AA77">
        <f t="shared" si="1"/>
        <v>-12930</v>
      </c>
    </row>
    <row r="78" ht="15.75" spans="1:27">
      <c r="A78" s="2">
        <v>141</v>
      </c>
      <c r="B78" s="4">
        <f>_xlfn.XLOOKUP(E78,Sheet2!E:E,Sheet2!A:A)</f>
        <v>2859</v>
      </c>
      <c r="C78" s="4">
        <v>201</v>
      </c>
      <c r="D78" s="5" t="str">
        <f>VLOOKUP(E78,Sheet2!F:G,2,FALSE)</f>
        <v>鞍区占位病变切除术</v>
      </c>
      <c r="E78" s="4" t="s">
        <v>794</v>
      </c>
      <c r="F78" s="7"/>
      <c r="G78" s="4">
        <v>9400</v>
      </c>
      <c r="H78" s="4">
        <v>8950</v>
      </c>
      <c r="I78" s="4">
        <v>7150</v>
      </c>
      <c r="J78" s="7"/>
      <c r="K78" s="4">
        <v>3250</v>
      </c>
      <c r="L78" s="4">
        <v>2900</v>
      </c>
      <c r="M78" s="4">
        <v>2450</v>
      </c>
      <c r="N78" s="4">
        <v>1</v>
      </c>
      <c r="O78" s="4">
        <v>1</v>
      </c>
      <c r="P78" s="4" t="s">
        <v>1637</v>
      </c>
      <c r="Q78" s="4">
        <v>0</v>
      </c>
      <c r="R78" s="4">
        <v>3</v>
      </c>
      <c r="S78" s="4">
        <v>1</v>
      </c>
      <c r="T78" s="4">
        <v>0</v>
      </c>
      <c r="U78" s="4">
        <v>-18450</v>
      </c>
      <c r="V78" s="4">
        <v>-6050</v>
      </c>
      <c r="W78" s="4">
        <v>0</v>
      </c>
      <c r="X78" s="4">
        <v>-18450</v>
      </c>
      <c r="Y78" s="4">
        <v>-6050</v>
      </c>
      <c r="Z78" s="4">
        <v>0</v>
      </c>
      <c r="AA78">
        <f t="shared" si="1"/>
        <v>-24500</v>
      </c>
    </row>
    <row r="79" ht="15.75" spans="1:27">
      <c r="A79" s="2">
        <v>119</v>
      </c>
      <c r="B79" s="4">
        <f>_xlfn.XLOOKUP(E79,Sheet2!E:E,Sheet2!A:A)</f>
        <v>2860</v>
      </c>
      <c r="C79" s="4">
        <v>201</v>
      </c>
      <c r="D79" s="5" t="str">
        <f>VLOOKUP(E79,Sheet2!F:G,2,FALSE)</f>
        <v>经颅内镜鞍区占位病变切除术</v>
      </c>
      <c r="E79" s="4" t="s">
        <v>797</v>
      </c>
      <c r="F79" s="7"/>
      <c r="G79" s="4">
        <v>9775</v>
      </c>
      <c r="H79" s="4">
        <v>9310</v>
      </c>
      <c r="I79" s="4">
        <v>7456</v>
      </c>
      <c r="J79" s="7"/>
      <c r="K79" s="4">
        <v>3250</v>
      </c>
      <c r="L79" s="4">
        <v>2900</v>
      </c>
      <c r="M79" s="4">
        <v>2450</v>
      </c>
      <c r="N79" s="4">
        <v>1</v>
      </c>
      <c r="O79" s="4">
        <v>1</v>
      </c>
      <c r="P79" s="4" t="s">
        <v>1637</v>
      </c>
      <c r="Q79" s="4">
        <v>0</v>
      </c>
      <c r="R79" s="4">
        <v>33</v>
      </c>
      <c r="S79" s="4">
        <v>1</v>
      </c>
      <c r="T79" s="4">
        <v>0</v>
      </c>
      <c r="U79" s="4">
        <v>-215325</v>
      </c>
      <c r="V79" s="4">
        <v>-6410</v>
      </c>
      <c r="W79" s="4">
        <v>0</v>
      </c>
      <c r="X79" s="4">
        <v>-215325</v>
      </c>
      <c r="Y79" s="4">
        <v>-6410</v>
      </c>
      <c r="Z79" s="4">
        <v>0</v>
      </c>
      <c r="AA79">
        <f t="shared" si="1"/>
        <v>-221735</v>
      </c>
    </row>
    <row r="80" ht="15.75" spans="1:27">
      <c r="A80" s="2">
        <v>128</v>
      </c>
      <c r="B80" s="4">
        <f>_xlfn.XLOOKUP(E80,Sheet2!E:E,Sheet2!A:A)</f>
        <v>2861</v>
      </c>
      <c r="C80" s="4">
        <v>201</v>
      </c>
      <c r="D80" s="5" t="str">
        <f>VLOOKUP(E80,Sheet2!F:G,2,FALSE)</f>
        <v>垂体瘤切除术</v>
      </c>
      <c r="E80" s="4" t="s">
        <v>799</v>
      </c>
      <c r="F80" s="7"/>
      <c r="G80" s="4">
        <v>5320</v>
      </c>
      <c r="H80" s="4">
        <v>4790</v>
      </c>
      <c r="I80" s="4">
        <v>4070</v>
      </c>
      <c r="J80" s="7"/>
      <c r="K80" s="4">
        <v>3250</v>
      </c>
      <c r="L80" s="4">
        <v>2900</v>
      </c>
      <c r="M80" s="4">
        <v>2450</v>
      </c>
      <c r="N80" s="4">
        <v>1</v>
      </c>
      <c r="O80" s="4">
        <v>1</v>
      </c>
      <c r="P80" s="4" t="s">
        <v>1637</v>
      </c>
      <c r="Q80" s="4">
        <v>0</v>
      </c>
      <c r="R80" s="4">
        <v>0</v>
      </c>
      <c r="S80" s="4">
        <v>1</v>
      </c>
      <c r="T80" s="4">
        <v>0</v>
      </c>
      <c r="U80" s="4">
        <v>0</v>
      </c>
      <c r="V80" s="4">
        <v>-1890</v>
      </c>
      <c r="W80" s="4">
        <v>0</v>
      </c>
      <c r="X80" s="4">
        <v>0</v>
      </c>
      <c r="Y80" s="4">
        <v>-1890</v>
      </c>
      <c r="Z80" s="4">
        <v>0</v>
      </c>
      <c r="AA80">
        <f t="shared" si="1"/>
        <v>-1890</v>
      </c>
    </row>
    <row r="81" ht="15.75" spans="1:27">
      <c r="A81" s="2">
        <v>125</v>
      </c>
      <c r="B81" s="4">
        <f>_xlfn.XLOOKUP(E81,Sheet2!E:E,Sheet2!A:A)</f>
        <v>2862</v>
      </c>
      <c r="C81" s="4">
        <v>201</v>
      </c>
      <c r="D81" s="5" t="str">
        <f>VLOOKUP(E81,Sheet2!F:G,2,FALSE)</f>
        <v>经颅内镜垂体瘤切除术</v>
      </c>
      <c r="E81" s="4" t="s">
        <v>802</v>
      </c>
      <c r="F81" s="7"/>
      <c r="G81" s="4">
        <v>5695</v>
      </c>
      <c r="H81" s="4">
        <v>5150</v>
      </c>
      <c r="I81" s="4">
        <v>4376</v>
      </c>
      <c r="J81" s="7"/>
      <c r="K81" s="4">
        <v>3250</v>
      </c>
      <c r="L81" s="4">
        <v>2900</v>
      </c>
      <c r="M81" s="4">
        <v>2450</v>
      </c>
      <c r="N81" s="4">
        <v>1</v>
      </c>
      <c r="O81" s="4">
        <v>1</v>
      </c>
      <c r="P81" s="4" t="s">
        <v>1637</v>
      </c>
      <c r="Q81" s="4">
        <v>0</v>
      </c>
      <c r="R81" s="4">
        <v>1</v>
      </c>
      <c r="S81" s="4">
        <v>6</v>
      </c>
      <c r="T81" s="4">
        <v>0</v>
      </c>
      <c r="U81" s="4">
        <v>-2445</v>
      </c>
      <c r="V81" s="4">
        <v>-13500</v>
      </c>
      <c r="W81" s="4">
        <v>0</v>
      </c>
      <c r="X81" s="4">
        <v>-2445</v>
      </c>
      <c r="Y81" s="4">
        <v>-13500</v>
      </c>
      <c r="Z81" s="4">
        <v>0</v>
      </c>
      <c r="AA81">
        <f t="shared" si="1"/>
        <v>-15945</v>
      </c>
    </row>
    <row r="82" ht="15.75" spans="1:27">
      <c r="A82" s="2">
        <v>73</v>
      </c>
      <c r="B82" s="4">
        <f>_xlfn.XLOOKUP(E82,Sheet2!E:E,Sheet2!A:A)</f>
        <v>2866</v>
      </c>
      <c r="C82" s="4">
        <v>201</v>
      </c>
      <c r="D82" s="5" t="str">
        <f>VLOOKUP(E82,Sheet2!F:G,2,FALSE)</f>
        <v>经颅内镜经鼻蝶垂体肿瘤切除术</v>
      </c>
      <c r="E82" s="4" t="s">
        <v>810</v>
      </c>
      <c r="F82" s="7"/>
      <c r="G82" s="4">
        <v>6480</v>
      </c>
      <c r="H82" s="4">
        <v>5830</v>
      </c>
      <c r="I82" s="4">
        <v>4960</v>
      </c>
      <c r="J82" s="7"/>
      <c r="K82" s="4">
        <v>3250</v>
      </c>
      <c r="L82" s="4">
        <v>2900</v>
      </c>
      <c r="M82" s="4">
        <v>2450</v>
      </c>
      <c r="N82" s="4">
        <v>1</v>
      </c>
      <c r="O82" s="4">
        <v>1</v>
      </c>
      <c r="P82" s="4" t="s">
        <v>1637</v>
      </c>
      <c r="Q82" s="4">
        <v>0</v>
      </c>
      <c r="R82" s="4">
        <v>18</v>
      </c>
      <c r="S82" s="4">
        <v>5</v>
      </c>
      <c r="T82" s="4">
        <v>0</v>
      </c>
      <c r="U82" s="4">
        <v>-58140</v>
      </c>
      <c r="V82" s="4">
        <v>-14650</v>
      </c>
      <c r="W82" s="4">
        <v>0</v>
      </c>
      <c r="X82" s="4">
        <v>-58140</v>
      </c>
      <c r="Y82" s="4">
        <v>-14650</v>
      </c>
      <c r="Z82" s="4">
        <v>0</v>
      </c>
      <c r="AA82">
        <f t="shared" si="1"/>
        <v>-72790</v>
      </c>
    </row>
    <row r="83" ht="15.75" spans="1:27">
      <c r="A83" s="2">
        <v>85</v>
      </c>
      <c r="B83" s="4">
        <f>_xlfn.XLOOKUP(E83,Sheet2!E:E,Sheet2!A:A)</f>
        <v>2871</v>
      </c>
      <c r="C83" s="4">
        <v>201</v>
      </c>
      <c r="D83" s="5" t="str">
        <f>VLOOKUP(E83,Sheet2!F:G,2,FALSE)</f>
        <v>立体定向颅内肿物清除术</v>
      </c>
      <c r="E83" s="4" t="s">
        <v>825</v>
      </c>
      <c r="F83" s="7"/>
      <c r="G83" s="4">
        <v>4130</v>
      </c>
      <c r="H83" s="4">
        <v>3720</v>
      </c>
      <c r="I83" s="4">
        <v>3160</v>
      </c>
      <c r="J83" s="7"/>
      <c r="K83" s="4">
        <v>3250</v>
      </c>
      <c r="L83" s="4">
        <v>2900</v>
      </c>
      <c r="M83" s="4">
        <v>2450</v>
      </c>
      <c r="N83" s="4">
        <v>1</v>
      </c>
      <c r="O83" s="4">
        <v>1</v>
      </c>
      <c r="P83" s="4" t="s">
        <v>1637</v>
      </c>
      <c r="Q83" s="4">
        <v>0</v>
      </c>
      <c r="R83" s="4">
        <v>11</v>
      </c>
      <c r="S83" s="4">
        <v>64.7</v>
      </c>
      <c r="T83" s="4">
        <v>3</v>
      </c>
      <c r="U83" s="4">
        <v>-9680</v>
      </c>
      <c r="V83" s="4">
        <v>-53054</v>
      </c>
      <c r="W83" s="4">
        <v>-2130</v>
      </c>
      <c r="X83" s="4">
        <v>-9680</v>
      </c>
      <c r="Y83" s="4">
        <v>-53054</v>
      </c>
      <c r="Z83" s="4">
        <v>-2130</v>
      </c>
      <c r="AA83">
        <f t="shared" si="1"/>
        <v>-64864</v>
      </c>
    </row>
    <row r="84" ht="15.75" spans="1:27">
      <c r="A84" s="2">
        <v>20</v>
      </c>
      <c r="B84" s="4">
        <f>_xlfn.XLOOKUP(E84,Sheet2!E:E,Sheet2!A:A)</f>
        <v>2872</v>
      </c>
      <c r="C84" s="4">
        <v>201</v>
      </c>
      <c r="D84" s="5" t="str">
        <f>VLOOKUP(E84,Sheet2!F:G,2,FALSE)</f>
        <v>经颅内镜立体定向颅内肿物清除术</v>
      </c>
      <c r="E84" s="4" t="s">
        <v>829</v>
      </c>
      <c r="F84" s="7"/>
      <c r="G84" s="4">
        <v>4505</v>
      </c>
      <c r="H84" s="4">
        <v>4080</v>
      </c>
      <c r="I84" s="4">
        <v>3466</v>
      </c>
      <c r="J84" s="7"/>
      <c r="K84" s="4">
        <v>3250</v>
      </c>
      <c r="L84" s="4">
        <v>2900</v>
      </c>
      <c r="M84" s="4">
        <v>2450</v>
      </c>
      <c r="N84" s="4">
        <v>1</v>
      </c>
      <c r="O84" s="4">
        <v>1</v>
      </c>
      <c r="P84" s="4" t="s">
        <v>1637</v>
      </c>
      <c r="Q84" s="4">
        <v>0</v>
      </c>
      <c r="R84" s="4">
        <v>0</v>
      </c>
      <c r="S84" s="4">
        <v>3</v>
      </c>
      <c r="T84" s="4">
        <v>0</v>
      </c>
      <c r="U84" s="4">
        <v>0</v>
      </c>
      <c r="V84" s="4">
        <v>-3540</v>
      </c>
      <c r="W84" s="4">
        <v>0</v>
      </c>
      <c r="X84" s="4">
        <v>0</v>
      </c>
      <c r="Y84" s="4">
        <v>-3540</v>
      </c>
      <c r="Z84" s="4">
        <v>0</v>
      </c>
      <c r="AA84">
        <f t="shared" si="1"/>
        <v>-3540</v>
      </c>
    </row>
    <row r="85" ht="15.75" spans="1:27">
      <c r="A85" s="2">
        <v>110</v>
      </c>
      <c r="B85" s="4">
        <f>_xlfn.XLOOKUP(E85,Sheet2!E:E,Sheet2!A:A)</f>
        <v>2873</v>
      </c>
      <c r="C85" s="4">
        <v>201</v>
      </c>
      <c r="D85" s="5" t="str">
        <f>VLOOKUP(E85,Sheet2!F:G,2,FALSE)</f>
        <v>开放性颅脑损伤清除术</v>
      </c>
      <c r="E85" s="4" t="s">
        <v>831</v>
      </c>
      <c r="F85" s="7"/>
      <c r="G85" s="4">
        <v>2250</v>
      </c>
      <c r="H85" s="4">
        <v>2160</v>
      </c>
      <c r="I85" s="4">
        <v>1836</v>
      </c>
      <c r="J85" s="7"/>
      <c r="K85" s="4">
        <v>3250</v>
      </c>
      <c r="L85" s="4">
        <v>2900</v>
      </c>
      <c r="M85" s="4">
        <v>2450</v>
      </c>
      <c r="N85" s="4">
        <v>1</v>
      </c>
      <c r="O85" s="4">
        <v>1</v>
      </c>
      <c r="P85" s="4" t="s">
        <v>1637</v>
      </c>
      <c r="Q85" s="4">
        <v>0</v>
      </c>
      <c r="R85" s="4">
        <v>1.7</v>
      </c>
      <c r="S85" s="4">
        <v>3.7</v>
      </c>
      <c r="T85" s="4">
        <v>0</v>
      </c>
      <c r="U85" s="4">
        <v>1700</v>
      </c>
      <c r="V85" s="4">
        <v>2738</v>
      </c>
      <c r="W85" s="4">
        <v>0</v>
      </c>
      <c r="X85" s="4">
        <v>1700</v>
      </c>
      <c r="Y85" s="4">
        <v>2738</v>
      </c>
      <c r="Z85" s="4">
        <v>0</v>
      </c>
      <c r="AA85">
        <f t="shared" si="1"/>
        <v>4438</v>
      </c>
    </row>
    <row r="86" ht="15.75" spans="1:27">
      <c r="A86" s="2">
        <v>103</v>
      </c>
      <c r="B86" s="4">
        <f>_xlfn.XLOOKUP(E86,Sheet2!E:E,Sheet2!A:A)</f>
        <v>2876</v>
      </c>
      <c r="C86" s="4">
        <v>201</v>
      </c>
      <c r="D86" s="5" t="str">
        <f>VLOOKUP(E86,Sheet2!F:G,2,FALSE)</f>
        <v>小儿颅内血肿清除术</v>
      </c>
      <c r="E86" s="4" t="s">
        <v>842</v>
      </c>
      <c r="F86" s="7"/>
      <c r="G86" s="4">
        <v>2925</v>
      </c>
      <c r="H86" s="4">
        <v>2810</v>
      </c>
      <c r="I86" s="4">
        <v>2390</v>
      </c>
      <c r="J86" s="7"/>
      <c r="K86" s="4">
        <v>4225</v>
      </c>
      <c r="L86" s="4">
        <v>3770</v>
      </c>
      <c r="M86" s="4">
        <v>3185</v>
      </c>
      <c r="N86" s="4">
        <v>1</v>
      </c>
      <c r="O86" s="4">
        <v>1</v>
      </c>
      <c r="P86" s="4" t="s">
        <v>1637</v>
      </c>
      <c r="Q86" s="4">
        <v>0</v>
      </c>
      <c r="R86" s="4">
        <v>2</v>
      </c>
      <c r="S86" s="4">
        <v>0</v>
      </c>
      <c r="T86" s="4">
        <v>0</v>
      </c>
      <c r="U86" s="4">
        <v>2600</v>
      </c>
      <c r="V86" s="4">
        <v>0</v>
      </c>
      <c r="W86" s="4">
        <v>0</v>
      </c>
      <c r="X86" s="4">
        <v>2600</v>
      </c>
      <c r="Y86" s="4">
        <v>0</v>
      </c>
      <c r="Z86" s="4">
        <v>0</v>
      </c>
      <c r="AA86">
        <f t="shared" si="1"/>
        <v>2600</v>
      </c>
    </row>
    <row r="87" ht="15.75" spans="1:27">
      <c r="A87" s="2">
        <v>53</v>
      </c>
      <c r="B87" s="4">
        <f>_xlfn.XLOOKUP(E87,Sheet2!E:E,Sheet2!A:A)</f>
        <v>2877</v>
      </c>
      <c r="C87" s="4">
        <v>201</v>
      </c>
      <c r="D87" s="5" t="str">
        <f>VLOOKUP(E87,Sheet2!F:G,2,FALSE)</f>
        <v>小儿幕上浅部病变切除术</v>
      </c>
      <c r="E87" s="4" t="s">
        <v>844</v>
      </c>
      <c r="F87" s="7"/>
      <c r="G87" s="4">
        <v>3900</v>
      </c>
      <c r="H87" s="4">
        <v>3705</v>
      </c>
      <c r="I87" s="4">
        <v>2965</v>
      </c>
      <c r="J87" s="7"/>
      <c r="K87" s="4">
        <v>4225</v>
      </c>
      <c r="L87" s="4">
        <v>3770</v>
      </c>
      <c r="M87" s="4">
        <v>3185</v>
      </c>
      <c r="N87" s="4">
        <v>1</v>
      </c>
      <c r="O87" s="4">
        <v>1</v>
      </c>
      <c r="P87" s="4" t="s">
        <v>1637</v>
      </c>
      <c r="Q87" s="4">
        <v>0</v>
      </c>
      <c r="R87" s="4">
        <v>1</v>
      </c>
      <c r="S87" s="4">
        <v>0</v>
      </c>
      <c r="T87" s="4">
        <v>0</v>
      </c>
      <c r="U87" s="4">
        <v>325</v>
      </c>
      <c r="V87" s="4">
        <v>0</v>
      </c>
      <c r="W87" s="4">
        <v>0</v>
      </c>
      <c r="X87" s="4">
        <v>325</v>
      </c>
      <c r="Y87" s="4">
        <v>0</v>
      </c>
      <c r="Z87" s="4">
        <v>0</v>
      </c>
      <c r="AA87">
        <f t="shared" si="1"/>
        <v>325</v>
      </c>
    </row>
    <row r="88" ht="15.75" spans="1:27">
      <c r="A88" s="2">
        <v>31</v>
      </c>
      <c r="B88" s="4">
        <f>_xlfn.XLOOKUP(E88,Sheet2!E:E,Sheet2!A:A)</f>
        <v>2887</v>
      </c>
      <c r="C88" s="4">
        <v>201</v>
      </c>
      <c r="D88" s="5" t="str">
        <f>VLOOKUP(E88,Sheet2!F:G,2,FALSE)</f>
        <v>小儿小脑半球病变切除术</v>
      </c>
      <c r="E88" s="4" t="s">
        <v>864</v>
      </c>
      <c r="F88" s="7"/>
      <c r="G88" s="4">
        <v>6160</v>
      </c>
      <c r="H88" s="4">
        <v>5550</v>
      </c>
      <c r="I88" s="4">
        <v>4720</v>
      </c>
      <c r="J88" s="7"/>
      <c r="K88" s="4">
        <v>4225</v>
      </c>
      <c r="L88" s="4">
        <v>3770</v>
      </c>
      <c r="M88" s="4">
        <v>3185</v>
      </c>
      <c r="N88" s="4">
        <v>1</v>
      </c>
      <c r="O88" s="4">
        <v>1</v>
      </c>
      <c r="P88" s="4" t="s">
        <v>1637</v>
      </c>
      <c r="Q88" s="4">
        <v>0</v>
      </c>
      <c r="R88" s="4">
        <v>1</v>
      </c>
      <c r="S88" s="4">
        <v>0</v>
      </c>
      <c r="T88" s="4">
        <v>0</v>
      </c>
      <c r="U88" s="4">
        <v>-1935</v>
      </c>
      <c r="V88" s="4">
        <v>0</v>
      </c>
      <c r="W88" s="4">
        <v>0</v>
      </c>
      <c r="X88" s="4">
        <v>-1935</v>
      </c>
      <c r="Y88" s="4">
        <v>0</v>
      </c>
      <c r="Z88" s="4">
        <v>0</v>
      </c>
      <c r="AA88">
        <f t="shared" si="1"/>
        <v>-1935</v>
      </c>
    </row>
    <row r="89" ht="15.75" spans="1:27">
      <c r="A89" s="2">
        <v>100</v>
      </c>
      <c r="B89" s="4">
        <f>_xlfn.XLOOKUP(E89,Sheet2!E:E,Sheet2!A:A)</f>
        <v>2903</v>
      </c>
      <c r="C89" s="4">
        <v>201</v>
      </c>
      <c r="D89" s="5" t="str">
        <f>VLOOKUP(E89,Sheet2!F:G,2,FALSE)</f>
        <v>大静脉窦旁脑膜瘤切除+血管窦重建术</v>
      </c>
      <c r="E89" s="4" t="s">
        <v>901</v>
      </c>
      <c r="F89" s="7"/>
      <c r="G89" s="4">
        <v>5570</v>
      </c>
      <c r="H89" s="4">
        <v>5010</v>
      </c>
      <c r="I89" s="4">
        <v>4260</v>
      </c>
      <c r="J89" s="7"/>
      <c r="K89" s="4">
        <v>8290</v>
      </c>
      <c r="L89" s="4">
        <v>7395</v>
      </c>
      <c r="M89" s="4">
        <v>6250</v>
      </c>
      <c r="N89" s="4">
        <v>1</v>
      </c>
      <c r="O89" s="4">
        <v>1</v>
      </c>
      <c r="P89" s="4" t="s">
        <v>1637</v>
      </c>
      <c r="Q89" s="4">
        <v>0</v>
      </c>
      <c r="R89" s="4">
        <v>9</v>
      </c>
      <c r="S89" s="4">
        <v>4</v>
      </c>
      <c r="T89" s="4">
        <v>0</v>
      </c>
      <c r="U89" s="4">
        <v>24480</v>
      </c>
      <c r="V89" s="4">
        <v>9540</v>
      </c>
      <c r="W89" s="4">
        <v>0</v>
      </c>
      <c r="X89" s="4">
        <v>24480</v>
      </c>
      <c r="Y89" s="4">
        <v>9540</v>
      </c>
      <c r="Z89" s="4">
        <v>0</v>
      </c>
      <c r="AA89">
        <f t="shared" si="1"/>
        <v>34020</v>
      </c>
    </row>
    <row r="90" ht="15.75" spans="1:27">
      <c r="A90" s="2">
        <v>97</v>
      </c>
      <c r="B90" s="4">
        <f>_xlfn.XLOOKUP(E90,Sheet2!E:E,Sheet2!A:A)</f>
        <v>2904</v>
      </c>
      <c r="C90" s="4">
        <v>201</v>
      </c>
      <c r="D90" s="5" t="str">
        <f>VLOOKUP(E90,Sheet2!F:G,2,FALSE)</f>
        <v>幕上深部病变切除术</v>
      </c>
      <c r="E90" s="4" t="s">
        <v>905</v>
      </c>
      <c r="F90" s="7"/>
      <c r="G90" s="4">
        <v>9400</v>
      </c>
      <c r="H90" s="4">
        <v>8950</v>
      </c>
      <c r="I90" s="4">
        <v>7150</v>
      </c>
      <c r="J90" s="7"/>
      <c r="K90" s="4">
        <v>8290</v>
      </c>
      <c r="L90" s="4">
        <v>7395</v>
      </c>
      <c r="M90" s="4">
        <v>6250</v>
      </c>
      <c r="N90" s="4">
        <v>1</v>
      </c>
      <c r="O90" s="4">
        <v>1</v>
      </c>
      <c r="P90" s="4" t="s">
        <v>1637</v>
      </c>
      <c r="Q90" s="4">
        <v>0</v>
      </c>
      <c r="R90" s="4">
        <v>65</v>
      </c>
      <c r="S90" s="4">
        <v>27</v>
      </c>
      <c r="T90" s="4">
        <v>0</v>
      </c>
      <c r="U90" s="4">
        <v>-72150</v>
      </c>
      <c r="V90" s="4">
        <v>-41985</v>
      </c>
      <c r="W90" s="4">
        <v>0</v>
      </c>
      <c r="X90" s="4">
        <v>-72150</v>
      </c>
      <c r="Y90" s="4">
        <v>-42435</v>
      </c>
      <c r="Z90" s="4">
        <v>0</v>
      </c>
      <c r="AA90">
        <f t="shared" si="1"/>
        <v>-114585</v>
      </c>
    </row>
    <row r="91" ht="15.75" spans="1:27">
      <c r="A91" s="2">
        <v>24</v>
      </c>
      <c r="B91" s="4">
        <f>_xlfn.XLOOKUP(E91,Sheet2!E:E,Sheet2!A:A)</f>
        <v>2905</v>
      </c>
      <c r="C91" s="4">
        <v>201</v>
      </c>
      <c r="D91" s="5" t="str">
        <f>VLOOKUP(E91,Sheet2!F:G,2,FALSE)</f>
        <v>脑干肿瘤切除术</v>
      </c>
      <c r="E91" s="4" t="s">
        <v>908</v>
      </c>
      <c r="F91" s="7"/>
      <c r="G91" s="4">
        <v>6940</v>
      </c>
      <c r="H91" s="4">
        <v>6250</v>
      </c>
      <c r="I91" s="4">
        <v>5310</v>
      </c>
      <c r="J91" s="7"/>
      <c r="K91" s="4">
        <v>8290</v>
      </c>
      <c r="L91" s="4">
        <v>7395</v>
      </c>
      <c r="M91" s="4">
        <v>6250</v>
      </c>
      <c r="N91" s="4">
        <v>1</v>
      </c>
      <c r="O91" s="4">
        <v>1</v>
      </c>
      <c r="P91" s="4" t="s">
        <v>1637</v>
      </c>
      <c r="Q91" s="4">
        <v>0</v>
      </c>
      <c r="R91" s="4">
        <v>4</v>
      </c>
      <c r="S91" s="4">
        <v>2</v>
      </c>
      <c r="T91" s="4">
        <v>0</v>
      </c>
      <c r="U91" s="4">
        <v>5400</v>
      </c>
      <c r="V91" s="4">
        <v>2290</v>
      </c>
      <c r="W91" s="4">
        <v>0</v>
      </c>
      <c r="X91" s="4">
        <v>5400</v>
      </c>
      <c r="Y91" s="4">
        <v>2290</v>
      </c>
      <c r="Z91" s="4">
        <v>0</v>
      </c>
      <c r="AA91">
        <f t="shared" si="1"/>
        <v>7690</v>
      </c>
    </row>
    <row r="92" ht="15.75" spans="1:27">
      <c r="A92" s="2">
        <v>63</v>
      </c>
      <c r="B92" s="4">
        <f>_xlfn.XLOOKUP(E92,Sheet2!E:E,Sheet2!A:A)</f>
        <v>2907</v>
      </c>
      <c r="C92" s="4">
        <v>201</v>
      </c>
      <c r="D92" s="5" t="str">
        <f>VLOOKUP(E92,Sheet2!F:G,2,FALSE)</f>
        <v>颅内动静脉畸形切除术</v>
      </c>
      <c r="E92" s="4" t="s">
        <v>913</v>
      </c>
      <c r="F92" s="7"/>
      <c r="G92" s="4">
        <v>4730</v>
      </c>
      <c r="H92" s="4">
        <v>4260</v>
      </c>
      <c r="I92" s="4">
        <v>3620</v>
      </c>
      <c r="J92" s="7"/>
      <c r="K92" s="4">
        <v>8290</v>
      </c>
      <c r="L92" s="4">
        <v>7395</v>
      </c>
      <c r="M92" s="4">
        <v>6250</v>
      </c>
      <c r="N92" s="4">
        <v>1</v>
      </c>
      <c r="O92" s="4">
        <v>1</v>
      </c>
      <c r="P92" s="4" t="s">
        <v>1637</v>
      </c>
      <c r="Q92" s="4">
        <v>0</v>
      </c>
      <c r="R92" s="4">
        <v>29</v>
      </c>
      <c r="S92" s="4">
        <v>4.5</v>
      </c>
      <c r="T92" s="4">
        <v>0</v>
      </c>
      <c r="U92" s="4">
        <v>103240</v>
      </c>
      <c r="V92" s="4">
        <v>14107.5</v>
      </c>
      <c r="W92" s="4">
        <v>0</v>
      </c>
      <c r="X92" s="4">
        <v>103240</v>
      </c>
      <c r="Y92" s="4">
        <v>14107.5</v>
      </c>
      <c r="Z92" s="4">
        <v>0</v>
      </c>
      <c r="AA92">
        <f t="shared" si="1"/>
        <v>117347.5</v>
      </c>
    </row>
    <row r="93" ht="15.75" spans="1:27">
      <c r="A93" s="2">
        <v>137</v>
      </c>
      <c r="B93" s="4">
        <f>_xlfn.XLOOKUP(E93,Sheet2!E:E,Sheet2!A:A)</f>
        <v>2908</v>
      </c>
      <c r="C93" s="4">
        <v>201</v>
      </c>
      <c r="D93" s="5" t="str">
        <f>VLOOKUP(E93,Sheet2!F:G,2,FALSE)</f>
        <v>脑动脉瘤动静脉畸形切除术</v>
      </c>
      <c r="E93" s="4" t="s">
        <v>916</v>
      </c>
      <c r="F93" s="7"/>
      <c r="G93" s="4">
        <v>5060</v>
      </c>
      <c r="H93" s="4">
        <v>4550</v>
      </c>
      <c r="I93" s="4">
        <v>3870</v>
      </c>
      <c r="J93" s="7"/>
      <c r="K93" s="4">
        <v>8290</v>
      </c>
      <c r="L93" s="4">
        <v>7395</v>
      </c>
      <c r="M93" s="4">
        <v>6250</v>
      </c>
      <c r="N93" s="4">
        <v>1</v>
      </c>
      <c r="O93" s="4">
        <v>1</v>
      </c>
      <c r="P93" s="4" t="s">
        <v>1637</v>
      </c>
      <c r="Q93" s="4">
        <v>0</v>
      </c>
      <c r="R93" s="4">
        <v>3</v>
      </c>
      <c r="S93" s="4">
        <v>0</v>
      </c>
      <c r="T93" s="4">
        <v>0</v>
      </c>
      <c r="U93" s="4">
        <v>9690</v>
      </c>
      <c r="V93" s="4">
        <v>0</v>
      </c>
      <c r="W93" s="4">
        <v>0</v>
      </c>
      <c r="X93" s="4">
        <v>9690</v>
      </c>
      <c r="Y93" s="4">
        <v>0</v>
      </c>
      <c r="Z93" s="4">
        <v>0</v>
      </c>
      <c r="AA93">
        <f t="shared" si="1"/>
        <v>9690</v>
      </c>
    </row>
    <row r="94" ht="15.75" spans="1:27">
      <c r="A94" s="2">
        <v>138</v>
      </c>
      <c r="B94" s="4">
        <f>_xlfn.XLOOKUP(E94,Sheet2!E:E,Sheet2!A:A)</f>
        <v>2909</v>
      </c>
      <c r="C94" s="4">
        <v>201</v>
      </c>
      <c r="D94" s="5" t="str">
        <f>VLOOKUP(E94,Sheet2!F:G,2,FALSE)</f>
        <v>脑动脉瘤动静脉畸形切除术（不在同一部位）</v>
      </c>
      <c r="E94" s="4" t="s">
        <v>920</v>
      </c>
      <c r="F94" s="7"/>
      <c r="G94" s="4">
        <v>5925</v>
      </c>
      <c r="H94" s="4">
        <v>5330</v>
      </c>
      <c r="I94" s="4">
        <v>4535</v>
      </c>
      <c r="J94" s="7"/>
      <c r="K94" s="4">
        <v>8290</v>
      </c>
      <c r="L94" s="4">
        <v>7395</v>
      </c>
      <c r="M94" s="4">
        <v>6250</v>
      </c>
      <c r="N94" s="4">
        <v>1</v>
      </c>
      <c r="O94" s="4">
        <v>1</v>
      </c>
      <c r="P94" s="4" t="s">
        <v>1637</v>
      </c>
      <c r="Q94" s="4">
        <v>0</v>
      </c>
      <c r="R94" s="4">
        <v>1</v>
      </c>
      <c r="S94" s="4">
        <v>0</v>
      </c>
      <c r="T94" s="4">
        <v>0</v>
      </c>
      <c r="U94" s="4">
        <v>2365</v>
      </c>
      <c r="V94" s="4">
        <v>0</v>
      </c>
      <c r="W94" s="4">
        <v>0</v>
      </c>
      <c r="X94" s="4">
        <v>2365</v>
      </c>
      <c r="Y94" s="4">
        <v>0</v>
      </c>
      <c r="Z94" s="4">
        <v>0</v>
      </c>
      <c r="AA94">
        <f t="shared" si="1"/>
        <v>2365</v>
      </c>
    </row>
    <row r="95" ht="15.75" spans="1:27">
      <c r="A95" s="2">
        <v>6</v>
      </c>
      <c r="B95" s="4">
        <f>_xlfn.XLOOKUP(E95,Sheet2!E:E,Sheet2!A:A)</f>
        <v>2924</v>
      </c>
      <c r="C95" s="4">
        <v>201</v>
      </c>
      <c r="D95" s="5" t="str">
        <f>VLOOKUP(E95,Sheet2!F:G,2,FALSE)</f>
        <v>小儿骨纤维异常增殖切除整形术</v>
      </c>
      <c r="E95" s="4" t="s">
        <v>952</v>
      </c>
      <c r="F95" s="7"/>
      <c r="G95" s="4">
        <v>4600</v>
      </c>
      <c r="H95" s="4">
        <v>4145</v>
      </c>
      <c r="I95" s="4">
        <v>3525</v>
      </c>
      <c r="J95" s="7"/>
      <c r="K95" s="4">
        <v>6110</v>
      </c>
      <c r="L95" s="4">
        <v>5655</v>
      </c>
      <c r="M95" s="4">
        <v>4810</v>
      </c>
      <c r="N95" s="4">
        <v>1</v>
      </c>
      <c r="O95" s="4">
        <v>1</v>
      </c>
      <c r="P95" s="4" t="s">
        <v>1637</v>
      </c>
      <c r="Q95" s="4">
        <v>0</v>
      </c>
      <c r="R95" s="4">
        <v>1</v>
      </c>
      <c r="S95" s="4">
        <v>0</v>
      </c>
      <c r="T95" s="4">
        <v>0</v>
      </c>
      <c r="U95" s="4">
        <v>1510</v>
      </c>
      <c r="V95" s="4">
        <v>0</v>
      </c>
      <c r="W95" s="4">
        <v>0</v>
      </c>
      <c r="X95" s="4">
        <v>1510</v>
      </c>
      <c r="Y95" s="4">
        <v>0</v>
      </c>
      <c r="Z95" s="4">
        <v>0</v>
      </c>
      <c r="AA95">
        <f t="shared" si="1"/>
        <v>1510</v>
      </c>
    </row>
    <row r="96" ht="15.75" spans="1:27">
      <c r="A96" s="2">
        <v>84</v>
      </c>
      <c r="B96" s="4">
        <f>_xlfn.XLOOKUP(E96,Sheet2!E:E,Sheet2!A:A)</f>
        <v>2925</v>
      </c>
      <c r="C96" s="4">
        <v>201</v>
      </c>
      <c r="D96" s="5" t="str">
        <f>VLOOKUP(E96,Sheet2!F:G,2,FALSE)</f>
        <v>桥小脑角肿瘤切除术</v>
      </c>
      <c r="E96" s="4" t="s">
        <v>959</v>
      </c>
      <c r="F96" s="7"/>
      <c r="G96" s="4">
        <v>8000</v>
      </c>
      <c r="H96" s="4">
        <v>7600</v>
      </c>
      <c r="I96" s="4">
        <v>6050</v>
      </c>
      <c r="J96" s="7"/>
      <c r="K96" s="4">
        <v>8930</v>
      </c>
      <c r="L96" s="4">
        <v>8265</v>
      </c>
      <c r="M96" s="4">
        <v>7030</v>
      </c>
      <c r="N96" s="4">
        <v>1</v>
      </c>
      <c r="O96" s="4">
        <v>1</v>
      </c>
      <c r="P96" s="4" t="s">
        <v>1637</v>
      </c>
      <c r="Q96" s="4">
        <v>0</v>
      </c>
      <c r="R96" s="4">
        <v>16</v>
      </c>
      <c r="S96" s="4">
        <v>2</v>
      </c>
      <c r="T96" s="4">
        <v>0</v>
      </c>
      <c r="U96" s="4">
        <v>14880</v>
      </c>
      <c r="V96" s="4">
        <v>1330</v>
      </c>
      <c r="W96" s="4">
        <v>0</v>
      </c>
      <c r="X96" s="4">
        <v>14880</v>
      </c>
      <c r="Y96" s="4">
        <v>930</v>
      </c>
      <c r="Z96" s="4">
        <v>0</v>
      </c>
      <c r="AA96">
        <f t="shared" si="1"/>
        <v>15810</v>
      </c>
    </row>
    <row r="97" ht="15.75" spans="1:27">
      <c r="A97" s="2">
        <v>116</v>
      </c>
      <c r="B97" s="4">
        <f>_xlfn.XLOOKUP(E97,Sheet2!E:E,Sheet2!A:A)</f>
        <v>2926</v>
      </c>
      <c r="C97" s="4">
        <v>201</v>
      </c>
      <c r="D97" s="5" t="str">
        <f>VLOOKUP(E97,Sheet2!F:G,2,FALSE)</f>
        <v>经口腔入路颅底斜坡肿瘤切除术</v>
      </c>
      <c r="E97" s="4" t="s">
        <v>962</v>
      </c>
      <c r="F97" s="7"/>
      <c r="G97" s="4">
        <v>7630</v>
      </c>
      <c r="H97" s="4">
        <v>6870</v>
      </c>
      <c r="I97" s="4">
        <v>5840</v>
      </c>
      <c r="J97" s="7"/>
      <c r="K97" s="4">
        <v>8930</v>
      </c>
      <c r="L97" s="4">
        <v>8265</v>
      </c>
      <c r="M97" s="4">
        <v>7030</v>
      </c>
      <c r="N97" s="4">
        <v>1</v>
      </c>
      <c r="O97" s="4">
        <v>1</v>
      </c>
      <c r="P97" s="4" t="s">
        <v>1637</v>
      </c>
      <c r="Q97" s="4">
        <v>0</v>
      </c>
      <c r="R97" s="4">
        <v>1</v>
      </c>
      <c r="S97" s="4">
        <v>0</v>
      </c>
      <c r="T97" s="4">
        <v>0</v>
      </c>
      <c r="U97" s="4">
        <v>1300</v>
      </c>
      <c r="V97" s="4">
        <v>0</v>
      </c>
      <c r="W97" s="4">
        <v>0</v>
      </c>
      <c r="X97" s="4">
        <v>1300</v>
      </c>
      <c r="Y97" s="4">
        <v>0</v>
      </c>
      <c r="Z97" s="4">
        <v>0</v>
      </c>
      <c r="AA97">
        <f t="shared" si="1"/>
        <v>1300</v>
      </c>
    </row>
    <row r="98" ht="15.75" spans="1:27">
      <c r="A98" s="2">
        <v>58</v>
      </c>
      <c r="B98" s="4">
        <f>_xlfn.XLOOKUP(E98,Sheet2!E:E,Sheet2!A:A)</f>
        <v>2928</v>
      </c>
      <c r="C98" s="4">
        <v>201</v>
      </c>
      <c r="D98" s="5" t="str">
        <f>VLOOKUP(E98,Sheet2!F:G,2,FALSE)</f>
        <v>颅底肿瘤切除术-上颌外旋颅底手术</v>
      </c>
      <c r="E98" s="4" t="s">
        <v>968</v>
      </c>
      <c r="F98" s="7"/>
      <c r="G98" s="4">
        <v>8550</v>
      </c>
      <c r="H98" s="4">
        <v>8100</v>
      </c>
      <c r="I98" s="4">
        <v>6500</v>
      </c>
      <c r="J98" s="7"/>
      <c r="K98" s="4">
        <v>8930</v>
      </c>
      <c r="L98" s="4">
        <v>8265</v>
      </c>
      <c r="M98" s="4">
        <v>7030</v>
      </c>
      <c r="N98" s="4">
        <v>1</v>
      </c>
      <c r="O98" s="4">
        <v>1</v>
      </c>
      <c r="P98" s="4" t="s">
        <v>1637</v>
      </c>
      <c r="Q98" s="4">
        <v>0</v>
      </c>
      <c r="R98" s="4">
        <v>0</v>
      </c>
      <c r="S98" s="4">
        <v>1</v>
      </c>
      <c r="T98" s="4">
        <v>0</v>
      </c>
      <c r="U98" s="4">
        <v>0</v>
      </c>
      <c r="V98" s="4">
        <v>165</v>
      </c>
      <c r="W98" s="4">
        <v>0</v>
      </c>
      <c r="X98" s="4">
        <v>0</v>
      </c>
      <c r="Y98" s="4">
        <v>165</v>
      </c>
      <c r="Z98" s="4">
        <v>0</v>
      </c>
      <c r="AA98">
        <f t="shared" si="1"/>
        <v>165</v>
      </c>
    </row>
    <row r="99" ht="15.75" spans="1:27">
      <c r="A99" s="2">
        <v>93</v>
      </c>
      <c r="B99" s="4">
        <f>_xlfn.XLOOKUP(E99,Sheet2!E:E,Sheet2!A:A)</f>
        <v>2929</v>
      </c>
      <c r="C99" s="4">
        <v>201</v>
      </c>
      <c r="D99" s="5" t="str">
        <f>VLOOKUP(E99,Sheet2!F:G,2,FALSE)</f>
        <v>颅底肿瘤切除术</v>
      </c>
      <c r="E99" s="4" t="s">
        <v>971</v>
      </c>
      <c r="F99" s="7"/>
      <c r="G99" s="4">
        <v>8550</v>
      </c>
      <c r="H99" s="4">
        <v>8100</v>
      </c>
      <c r="I99" s="4">
        <v>6500</v>
      </c>
      <c r="J99" s="7"/>
      <c r="K99" s="4">
        <v>8930</v>
      </c>
      <c r="L99" s="4">
        <v>8265</v>
      </c>
      <c r="M99" s="4">
        <v>7030</v>
      </c>
      <c r="N99" s="4">
        <v>1</v>
      </c>
      <c r="O99" s="4">
        <v>1</v>
      </c>
      <c r="P99" s="4" t="s">
        <v>1637</v>
      </c>
      <c r="Q99" s="4">
        <v>0</v>
      </c>
      <c r="R99" s="4">
        <v>23.5</v>
      </c>
      <c r="S99" s="4">
        <v>5</v>
      </c>
      <c r="T99" s="4">
        <v>0</v>
      </c>
      <c r="U99" s="4">
        <v>8930</v>
      </c>
      <c r="V99" s="4">
        <v>825</v>
      </c>
      <c r="W99" s="4">
        <v>0</v>
      </c>
      <c r="X99" s="4">
        <v>8930</v>
      </c>
      <c r="Y99" s="4">
        <v>825</v>
      </c>
      <c r="Z99" s="4">
        <v>0</v>
      </c>
      <c r="AA99">
        <f t="shared" si="1"/>
        <v>9755</v>
      </c>
    </row>
    <row r="100" ht="15.75" spans="1:27">
      <c r="A100" s="2">
        <v>30</v>
      </c>
      <c r="B100" s="4">
        <f>_xlfn.XLOOKUP(E100,Sheet2!E:E,Sheet2!A:A)</f>
        <v>2933</v>
      </c>
      <c r="C100" s="4">
        <v>201</v>
      </c>
      <c r="D100" s="5" t="str">
        <f>VLOOKUP(E100,Sheet2!F:G,2,FALSE)</f>
        <v>颅骨骨瘤切除术</v>
      </c>
      <c r="E100" s="4" t="s">
        <v>989</v>
      </c>
      <c r="F100" s="7"/>
      <c r="G100" s="4">
        <v>750</v>
      </c>
      <c r="H100" s="4">
        <v>720</v>
      </c>
      <c r="I100" s="4">
        <v>612</v>
      </c>
      <c r="J100" s="7"/>
      <c r="K100" s="4">
        <v>900</v>
      </c>
      <c r="L100" s="4">
        <v>850</v>
      </c>
      <c r="M100" s="4">
        <v>730</v>
      </c>
      <c r="N100" s="4">
        <v>1</v>
      </c>
      <c r="O100" s="4">
        <v>1</v>
      </c>
      <c r="P100" s="4" t="s">
        <v>1637</v>
      </c>
      <c r="Q100" s="4">
        <v>0</v>
      </c>
      <c r="R100" s="4">
        <v>6.5</v>
      </c>
      <c r="S100" s="4">
        <v>4.5</v>
      </c>
      <c r="T100" s="4">
        <v>0</v>
      </c>
      <c r="U100" s="4">
        <v>975</v>
      </c>
      <c r="V100" s="4">
        <v>585</v>
      </c>
      <c r="W100" s="4">
        <v>0</v>
      </c>
      <c r="X100" s="4">
        <v>975</v>
      </c>
      <c r="Y100" s="4">
        <v>585</v>
      </c>
      <c r="Z100" s="4">
        <v>0</v>
      </c>
      <c r="AA100">
        <f t="shared" si="1"/>
        <v>1560</v>
      </c>
    </row>
    <row r="101" ht="15.75" spans="1:27">
      <c r="A101" s="2">
        <v>109</v>
      </c>
      <c r="B101" s="4">
        <f>_xlfn.XLOOKUP(E101,Sheet2!E:E,Sheet2!A:A)</f>
        <v>2934</v>
      </c>
      <c r="C101" s="4">
        <v>201</v>
      </c>
      <c r="D101" s="5" t="str">
        <f>VLOOKUP(E101,Sheet2!F:G,2,FALSE)</f>
        <v>小儿颅骨骨瘤切除术</v>
      </c>
      <c r="E101" s="4" t="s">
        <v>994</v>
      </c>
      <c r="F101" s="7"/>
      <c r="G101" s="4">
        <v>975</v>
      </c>
      <c r="H101" s="4">
        <v>935</v>
      </c>
      <c r="I101" s="4">
        <v>795</v>
      </c>
      <c r="J101" s="7"/>
      <c r="K101" s="4">
        <v>1170</v>
      </c>
      <c r="L101" s="4">
        <v>1105</v>
      </c>
      <c r="M101" s="4">
        <v>950</v>
      </c>
      <c r="N101" s="4">
        <v>1</v>
      </c>
      <c r="O101" s="4">
        <v>1</v>
      </c>
      <c r="P101" s="4" t="s">
        <v>1637</v>
      </c>
      <c r="Q101" s="4">
        <v>0</v>
      </c>
      <c r="R101" s="4">
        <v>1</v>
      </c>
      <c r="S101" s="4">
        <v>0</v>
      </c>
      <c r="T101" s="4">
        <v>0</v>
      </c>
      <c r="U101" s="4">
        <v>195</v>
      </c>
      <c r="V101" s="4">
        <v>0</v>
      </c>
      <c r="W101" s="4">
        <v>0</v>
      </c>
      <c r="X101" s="4">
        <v>195</v>
      </c>
      <c r="Y101" s="4">
        <v>0</v>
      </c>
      <c r="Z101" s="4">
        <v>0</v>
      </c>
      <c r="AA101">
        <f t="shared" si="1"/>
        <v>195</v>
      </c>
    </row>
    <row r="102" ht="15.75" spans="1:27">
      <c r="A102" s="2">
        <v>10</v>
      </c>
      <c r="B102" s="4">
        <f>_xlfn.XLOOKUP(E102,Sheet2!E:E,Sheet2!A:A)</f>
        <v>2935</v>
      </c>
      <c r="C102" s="4">
        <v>201</v>
      </c>
      <c r="D102" s="5" t="str">
        <f>VLOOKUP(E102,Sheet2!F:G,2,FALSE)</f>
        <v>颅骨凹陷骨折复位术</v>
      </c>
      <c r="E102" s="4" t="s">
        <v>1001</v>
      </c>
      <c r="F102" s="7"/>
      <c r="G102" s="4">
        <v>1875</v>
      </c>
      <c r="H102" s="4">
        <v>1800</v>
      </c>
      <c r="I102" s="4">
        <v>1530</v>
      </c>
      <c r="J102" s="7"/>
      <c r="K102" s="4">
        <v>1875</v>
      </c>
      <c r="L102" s="4">
        <v>1800</v>
      </c>
      <c r="M102" s="4">
        <v>1530</v>
      </c>
      <c r="N102" s="4">
        <v>1</v>
      </c>
      <c r="O102" s="4">
        <v>1</v>
      </c>
      <c r="P102" s="4" t="s">
        <v>1637</v>
      </c>
      <c r="Q102" s="4">
        <v>0</v>
      </c>
      <c r="R102" s="4">
        <v>7.6</v>
      </c>
      <c r="S102" s="4">
        <v>3.45</v>
      </c>
      <c r="T102" s="4">
        <v>0</v>
      </c>
      <c r="U102" s="4">
        <v>0</v>
      </c>
      <c r="V102" s="4">
        <v>0</v>
      </c>
      <c r="W102" s="4">
        <v>0</v>
      </c>
      <c r="X102" s="4">
        <v>0</v>
      </c>
      <c r="Y102" s="4">
        <v>0</v>
      </c>
      <c r="Z102" s="4">
        <v>0</v>
      </c>
      <c r="AA102">
        <f t="shared" si="1"/>
        <v>0</v>
      </c>
    </row>
    <row r="103" ht="15.75" spans="1:27">
      <c r="A103" s="2">
        <v>54</v>
      </c>
      <c r="B103" s="4">
        <f>_xlfn.XLOOKUP(E103,Sheet2!E:E,Sheet2!A:A)</f>
        <v>2936</v>
      </c>
      <c r="C103" s="4">
        <v>201</v>
      </c>
      <c r="D103" s="5" t="str">
        <f>VLOOKUP(E103,Sheet2!F:G,2,FALSE)</f>
        <v>颅骨修补术</v>
      </c>
      <c r="E103" s="4" t="s">
        <v>1004</v>
      </c>
      <c r="F103" s="7"/>
      <c r="G103" s="4">
        <v>1875</v>
      </c>
      <c r="H103" s="4">
        <v>1800</v>
      </c>
      <c r="I103" s="4">
        <v>1530</v>
      </c>
      <c r="J103" s="7"/>
      <c r="K103" s="4">
        <v>1875</v>
      </c>
      <c r="L103" s="4">
        <v>1800</v>
      </c>
      <c r="M103" s="4">
        <v>1530</v>
      </c>
      <c r="N103" s="4">
        <v>1</v>
      </c>
      <c r="O103" s="4">
        <v>1</v>
      </c>
      <c r="P103" s="4" t="s">
        <v>1637</v>
      </c>
      <c r="Q103" s="4">
        <v>0</v>
      </c>
      <c r="R103" s="4">
        <v>65.2</v>
      </c>
      <c r="S103" s="4">
        <v>54.95</v>
      </c>
      <c r="T103" s="4">
        <v>1</v>
      </c>
      <c r="U103" s="4">
        <v>0</v>
      </c>
      <c r="V103" s="4">
        <v>0</v>
      </c>
      <c r="W103" s="4">
        <v>0</v>
      </c>
      <c r="X103" s="4">
        <v>0</v>
      </c>
      <c r="Y103" s="4">
        <v>0</v>
      </c>
      <c r="Z103" s="4">
        <v>0</v>
      </c>
      <c r="AA103">
        <f t="shared" si="1"/>
        <v>0</v>
      </c>
    </row>
    <row r="104" ht="15.75" spans="1:27">
      <c r="A104" s="2">
        <v>49</v>
      </c>
      <c r="B104" s="4">
        <f>_xlfn.XLOOKUP(E104,Sheet2!E:E,Sheet2!A:A)</f>
        <v>2938</v>
      </c>
      <c r="C104" s="4">
        <v>201</v>
      </c>
      <c r="D104" s="5" t="str">
        <f>VLOOKUP(E104,Sheet2!F:G,2,FALSE)</f>
        <v>小儿颅骨凹陷骨折复位术</v>
      </c>
      <c r="E104" s="4" t="s">
        <v>1012</v>
      </c>
      <c r="F104" s="7"/>
      <c r="G104" s="4">
        <v>2440</v>
      </c>
      <c r="H104" s="4">
        <v>2340</v>
      </c>
      <c r="I104" s="4">
        <v>1990</v>
      </c>
      <c r="J104" s="7"/>
      <c r="K104" s="4">
        <v>2440</v>
      </c>
      <c r="L104" s="4">
        <v>2340</v>
      </c>
      <c r="M104" s="4">
        <v>1990</v>
      </c>
      <c r="N104" s="4">
        <v>1</v>
      </c>
      <c r="O104" s="4">
        <v>1</v>
      </c>
      <c r="P104" s="4" t="s">
        <v>1637</v>
      </c>
      <c r="Q104" s="4">
        <v>0</v>
      </c>
      <c r="R104" s="4">
        <v>0.5</v>
      </c>
      <c r="S104" s="4">
        <v>0</v>
      </c>
      <c r="T104" s="4">
        <v>0</v>
      </c>
      <c r="U104" s="4">
        <v>0</v>
      </c>
      <c r="V104" s="4">
        <v>0</v>
      </c>
      <c r="W104" s="4">
        <v>0</v>
      </c>
      <c r="X104" s="4">
        <v>0</v>
      </c>
      <c r="Y104" s="4">
        <v>0</v>
      </c>
      <c r="Z104" s="4">
        <v>0</v>
      </c>
      <c r="AA104">
        <f t="shared" si="1"/>
        <v>0</v>
      </c>
    </row>
    <row r="105" ht="15.75" spans="1:27">
      <c r="A105" s="2">
        <v>94</v>
      </c>
      <c r="B105" s="4">
        <f>_xlfn.XLOOKUP(E105,Sheet2!E:E,Sheet2!A:A)</f>
        <v>2940</v>
      </c>
      <c r="C105" s="4">
        <v>201</v>
      </c>
      <c r="D105" s="5" t="str">
        <f>VLOOKUP(E105,Sheet2!F:G,2,FALSE)</f>
        <v>小儿颅缝骨化症整形术</v>
      </c>
      <c r="E105" s="4" t="s">
        <v>1016</v>
      </c>
      <c r="F105" s="7"/>
      <c r="G105" s="4">
        <v>6020</v>
      </c>
      <c r="H105" s="4">
        <v>5420</v>
      </c>
      <c r="I105" s="4">
        <v>4605</v>
      </c>
      <c r="J105" s="7"/>
      <c r="K105" s="4">
        <v>2440</v>
      </c>
      <c r="L105" s="4">
        <v>2340</v>
      </c>
      <c r="M105" s="4">
        <v>1990</v>
      </c>
      <c r="N105" s="4">
        <v>1</v>
      </c>
      <c r="O105" s="4">
        <v>1</v>
      </c>
      <c r="P105" s="4" t="s">
        <v>1637</v>
      </c>
      <c r="Q105" s="4">
        <v>0</v>
      </c>
      <c r="R105" s="4">
        <v>1</v>
      </c>
      <c r="S105" s="4">
        <v>0</v>
      </c>
      <c r="T105" s="4">
        <v>0</v>
      </c>
      <c r="U105" s="4">
        <v>-3580</v>
      </c>
      <c r="V105" s="4">
        <v>0</v>
      </c>
      <c r="W105" s="4">
        <v>0</v>
      </c>
      <c r="X105" s="4">
        <v>-3580</v>
      </c>
      <c r="Y105" s="4">
        <v>0</v>
      </c>
      <c r="Z105" s="4">
        <v>0</v>
      </c>
      <c r="AA105">
        <f t="shared" si="1"/>
        <v>-3580</v>
      </c>
    </row>
    <row r="106" ht="15.75" spans="1:27">
      <c r="A106" s="2">
        <v>71</v>
      </c>
      <c r="B106" s="4">
        <f>_xlfn.XLOOKUP(E106,Sheet2!E:E,Sheet2!A:A)</f>
        <v>2946</v>
      </c>
      <c r="C106" s="4">
        <v>201</v>
      </c>
      <c r="D106" s="5" t="str">
        <f>VLOOKUP(E106,Sheet2!F:G,2,FALSE)</f>
        <v>脑脊液漏修补术</v>
      </c>
      <c r="E106" s="4" t="s">
        <v>1049</v>
      </c>
      <c r="F106" s="7"/>
      <c r="G106" s="4">
        <v>3380</v>
      </c>
      <c r="H106" s="4">
        <v>3040</v>
      </c>
      <c r="I106" s="4">
        <v>2580</v>
      </c>
      <c r="J106" s="7"/>
      <c r="K106" s="4">
        <v>4550</v>
      </c>
      <c r="L106" s="4">
        <v>4150</v>
      </c>
      <c r="M106" s="4">
        <v>3550</v>
      </c>
      <c r="N106" s="4">
        <v>1</v>
      </c>
      <c r="O106" s="4">
        <v>1</v>
      </c>
      <c r="P106" s="4" t="s">
        <v>1637</v>
      </c>
      <c r="Q106" s="4">
        <v>0</v>
      </c>
      <c r="R106" s="4">
        <v>13.6</v>
      </c>
      <c r="S106" s="4">
        <v>11.95</v>
      </c>
      <c r="T106" s="4">
        <v>0</v>
      </c>
      <c r="U106" s="4">
        <v>15912</v>
      </c>
      <c r="V106" s="4">
        <v>13264.5</v>
      </c>
      <c r="W106" s="4">
        <v>0</v>
      </c>
      <c r="X106" s="4">
        <v>15912</v>
      </c>
      <c r="Y106" s="4">
        <v>18888.5</v>
      </c>
      <c r="Z106" s="4">
        <v>0</v>
      </c>
      <c r="AA106">
        <f t="shared" si="1"/>
        <v>34800.5</v>
      </c>
    </row>
    <row r="107" ht="15.75" spans="1:27">
      <c r="A107" s="2">
        <v>127</v>
      </c>
      <c r="B107" s="4">
        <f>_xlfn.XLOOKUP(E107,Sheet2!E:E,Sheet2!A:A)</f>
        <v>2950</v>
      </c>
      <c r="C107" s="4">
        <v>201</v>
      </c>
      <c r="D107" s="5" t="str">
        <f>VLOOKUP(E107,Sheet2!F:G,2,FALSE)</f>
        <v>经颅内镜第三脑室底造瘘术</v>
      </c>
      <c r="E107" s="4" t="s">
        <v>1065</v>
      </c>
      <c r="F107" s="7"/>
      <c r="G107" s="4">
        <v>4220</v>
      </c>
      <c r="H107" s="4">
        <v>3800</v>
      </c>
      <c r="I107" s="4">
        <v>3230</v>
      </c>
      <c r="J107" s="7"/>
      <c r="K107" s="4">
        <v>4550</v>
      </c>
      <c r="L107" s="4">
        <v>4150</v>
      </c>
      <c r="M107" s="4">
        <v>3550</v>
      </c>
      <c r="N107" s="4">
        <v>1</v>
      </c>
      <c r="O107" s="4">
        <v>1</v>
      </c>
      <c r="P107" s="4" t="s">
        <v>1637</v>
      </c>
      <c r="Q107" s="4">
        <v>0</v>
      </c>
      <c r="R107" s="4">
        <v>1</v>
      </c>
      <c r="S107" s="4">
        <v>0</v>
      </c>
      <c r="T107" s="4">
        <v>0</v>
      </c>
      <c r="U107" s="4">
        <v>330</v>
      </c>
      <c r="V107" s="4">
        <v>0</v>
      </c>
      <c r="W107" s="4">
        <v>0</v>
      </c>
      <c r="X107" s="4">
        <v>330</v>
      </c>
      <c r="Y107" s="4">
        <v>0</v>
      </c>
      <c r="Z107" s="4">
        <v>0</v>
      </c>
      <c r="AA107">
        <f t="shared" si="1"/>
        <v>330</v>
      </c>
    </row>
    <row r="108" ht="15.75" spans="1:27">
      <c r="A108" s="2">
        <v>130</v>
      </c>
      <c r="B108" s="4">
        <f>_xlfn.XLOOKUP(E108,Sheet2!E:E,Sheet2!A:A)</f>
        <v>2952</v>
      </c>
      <c r="C108" s="4">
        <v>201</v>
      </c>
      <c r="D108" s="5" t="str">
        <f>VLOOKUP(E108,Sheet2!F:G,2,FALSE)</f>
        <v>终板造瘘术</v>
      </c>
      <c r="E108" s="4" t="s">
        <v>1073</v>
      </c>
      <c r="F108" s="7"/>
      <c r="G108" s="4">
        <v>4220</v>
      </c>
      <c r="H108" s="4">
        <v>3800</v>
      </c>
      <c r="I108" s="4">
        <v>3230</v>
      </c>
      <c r="J108" s="7"/>
      <c r="K108" s="4">
        <v>4550</v>
      </c>
      <c r="L108" s="4">
        <v>4150</v>
      </c>
      <c r="M108" s="4">
        <v>3550</v>
      </c>
      <c r="N108" s="4">
        <v>1</v>
      </c>
      <c r="O108" s="4">
        <v>1</v>
      </c>
      <c r="P108" s="4" t="s">
        <v>1637</v>
      </c>
      <c r="Q108" s="4">
        <v>0</v>
      </c>
      <c r="R108" s="4">
        <v>0.5</v>
      </c>
      <c r="S108" s="4">
        <v>5</v>
      </c>
      <c r="T108" s="4">
        <v>0</v>
      </c>
      <c r="U108" s="4">
        <v>165</v>
      </c>
      <c r="V108" s="4">
        <v>1750</v>
      </c>
      <c r="W108" s="4">
        <v>0</v>
      </c>
      <c r="X108" s="4">
        <v>165</v>
      </c>
      <c r="Y108" s="4">
        <v>1750</v>
      </c>
      <c r="Z108" s="4">
        <v>0</v>
      </c>
      <c r="AA108">
        <f t="shared" si="1"/>
        <v>1915</v>
      </c>
    </row>
    <row r="109" ht="15.75" spans="1:27">
      <c r="A109" s="2">
        <v>143</v>
      </c>
      <c r="B109" s="4">
        <f>_xlfn.XLOOKUP(E109,Sheet2!E:E,Sheet2!A:A)</f>
        <v>2959</v>
      </c>
      <c r="C109" s="4">
        <v>201</v>
      </c>
      <c r="D109" s="5" t="str">
        <f>VLOOKUP(E109,Sheet2!F:G,2,FALSE)</f>
        <v>颅内动脉瘤夹闭术</v>
      </c>
      <c r="E109" s="4" t="s">
        <v>1106</v>
      </c>
      <c r="F109" s="7"/>
      <c r="G109" s="4">
        <v>8800</v>
      </c>
      <c r="H109" s="4">
        <v>8360</v>
      </c>
      <c r="I109" s="4">
        <v>7520</v>
      </c>
      <c r="J109" s="7"/>
      <c r="K109" s="4">
        <v>8800</v>
      </c>
      <c r="L109" s="4">
        <v>8100</v>
      </c>
      <c r="M109" s="4">
        <v>6900</v>
      </c>
      <c r="N109" s="4">
        <v>1</v>
      </c>
      <c r="O109" s="4">
        <v>1</v>
      </c>
      <c r="P109" s="4" t="s">
        <v>1637</v>
      </c>
      <c r="Q109" s="4">
        <v>0</v>
      </c>
      <c r="R109" s="4">
        <v>31.4</v>
      </c>
      <c r="S109" s="4">
        <v>47</v>
      </c>
      <c r="T109" s="4">
        <v>0</v>
      </c>
      <c r="U109" s="4">
        <v>0</v>
      </c>
      <c r="V109" s="4">
        <v>-12220</v>
      </c>
      <c r="W109" s="4">
        <v>0</v>
      </c>
      <c r="X109" s="4">
        <v>0</v>
      </c>
      <c r="Y109" s="4">
        <v>-12220</v>
      </c>
      <c r="Z109" s="4">
        <v>0</v>
      </c>
      <c r="AA109">
        <f t="shared" si="1"/>
        <v>-12220</v>
      </c>
    </row>
    <row r="110" ht="15.75" spans="1:27">
      <c r="A110" s="2">
        <v>9</v>
      </c>
      <c r="B110" s="4">
        <f>_xlfn.XLOOKUP(E110,Sheet2!E:E,Sheet2!A:A)</f>
        <v>2960</v>
      </c>
      <c r="C110" s="4">
        <v>201</v>
      </c>
      <c r="D110" s="5" t="str">
        <f>VLOOKUP(E110,Sheet2!F:G,2,FALSE)</f>
        <v>颅内动脉瘤夹闭术（直径小于2.5cm，每多夹除一个加收）</v>
      </c>
      <c r="E110" s="4" t="s">
        <v>1113</v>
      </c>
      <c r="F110" s="7"/>
      <c r="G110" s="4">
        <v>600</v>
      </c>
      <c r="H110" s="4">
        <v>540</v>
      </c>
      <c r="I110" s="4">
        <v>460</v>
      </c>
      <c r="J110" s="7"/>
      <c r="K110" s="4">
        <v>440</v>
      </c>
      <c r="L110" s="4">
        <v>405</v>
      </c>
      <c r="M110" s="4">
        <v>345</v>
      </c>
      <c r="N110" s="4">
        <v>1</v>
      </c>
      <c r="O110" s="4">
        <v>1</v>
      </c>
      <c r="P110" s="4" t="s">
        <v>1637</v>
      </c>
      <c r="Q110" s="4">
        <v>0</v>
      </c>
      <c r="R110" s="4">
        <v>2</v>
      </c>
      <c r="S110" s="4">
        <v>4</v>
      </c>
      <c r="T110" s="4">
        <v>0</v>
      </c>
      <c r="U110" s="4">
        <v>-320</v>
      </c>
      <c r="V110" s="4">
        <v>-540</v>
      </c>
      <c r="W110" s="4">
        <v>0</v>
      </c>
      <c r="X110" s="4">
        <v>-320</v>
      </c>
      <c r="Y110" s="4">
        <v>-540</v>
      </c>
      <c r="Z110" s="4">
        <v>0</v>
      </c>
      <c r="AA110">
        <f t="shared" si="1"/>
        <v>-860</v>
      </c>
    </row>
    <row r="111" ht="15.75" spans="1:27">
      <c r="A111" s="2">
        <v>136</v>
      </c>
      <c r="B111" s="4">
        <f>_xlfn.XLOOKUP(E111,Sheet2!E:E,Sheet2!A:A)</f>
        <v>2967</v>
      </c>
      <c r="C111" s="4">
        <v>201</v>
      </c>
      <c r="D111" s="5" t="str">
        <f>VLOOKUP(E111,Sheet2!F:G,2,FALSE)</f>
        <v>颈总动脉大脑中动脉吻合术</v>
      </c>
      <c r="E111" s="4" t="s">
        <v>1147</v>
      </c>
      <c r="F111" s="7"/>
      <c r="G111" s="4">
        <v>5060</v>
      </c>
      <c r="H111" s="4">
        <v>4550</v>
      </c>
      <c r="I111" s="4">
        <v>3870</v>
      </c>
      <c r="J111" s="7"/>
      <c r="K111" s="4">
        <v>5200</v>
      </c>
      <c r="L111" s="4">
        <v>4700</v>
      </c>
      <c r="M111" s="4">
        <v>4000</v>
      </c>
      <c r="N111" s="4">
        <v>1</v>
      </c>
      <c r="O111" s="4">
        <v>1</v>
      </c>
      <c r="P111" s="4" t="s">
        <v>1637</v>
      </c>
      <c r="Q111" s="4">
        <v>0</v>
      </c>
      <c r="R111" s="4">
        <v>3</v>
      </c>
      <c r="S111" s="4">
        <v>0</v>
      </c>
      <c r="T111" s="4">
        <v>0</v>
      </c>
      <c r="U111" s="4">
        <v>420</v>
      </c>
      <c r="V111" s="4">
        <v>0</v>
      </c>
      <c r="W111" s="4">
        <v>0</v>
      </c>
      <c r="X111" s="4">
        <v>420</v>
      </c>
      <c r="Y111" s="4">
        <v>0</v>
      </c>
      <c r="Z111" s="4">
        <v>0</v>
      </c>
      <c r="AA111">
        <f t="shared" si="1"/>
        <v>420</v>
      </c>
    </row>
    <row r="112" ht="15.75" spans="1:27">
      <c r="A112" s="2">
        <v>98</v>
      </c>
      <c r="B112" s="4">
        <f>_xlfn.XLOOKUP(E112,Sheet2!E:E,Sheet2!A:A)</f>
        <v>2968</v>
      </c>
      <c r="C112" s="4">
        <v>201</v>
      </c>
      <c r="D112" s="5" t="str">
        <f>VLOOKUP(E112,Sheet2!F:G,2,FALSE)</f>
        <v>颅外内动脉搭桥术</v>
      </c>
      <c r="E112" s="4" t="s">
        <v>1151</v>
      </c>
      <c r="F112" s="7"/>
      <c r="G112" s="4">
        <v>5060</v>
      </c>
      <c r="H112" s="4">
        <v>4550</v>
      </c>
      <c r="I112" s="4">
        <v>3870</v>
      </c>
      <c r="J112" s="7"/>
      <c r="K112" s="4">
        <v>5200</v>
      </c>
      <c r="L112" s="4">
        <v>4700</v>
      </c>
      <c r="M112" s="4">
        <v>4000</v>
      </c>
      <c r="N112" s="4">
        <v>1</v>
      </c>
      <c r="O112" s="4">
        <v>1</v>
      </c>
      <c r="P112" s="4" t="s">
        <v>1637</v>
      </c>
      <c r="Q112" s="4">
        <v>0</v>
      </c>
      <c r="R112" s="4">
        <v>0.5</v>
      </c>
      <c r="S112" s="4">
        <v>0</v>
      </c>
      <c r="T112" s="4">
        <v>0</v>
      </c>
      <c r="U112" s="4">
        <v>70</v>
      </c>
      <c r="V112" s="4">
        <v>0</v>
      </c>
      <c r="W112" s="4">
        <v>0</v>
      </c>
      <c r="X112" s="4">
        <v>70</v>
      </c>
      <c r="Y112" s="4">
        <v>0</v>
      </c>
      <c r="Z112" s="4">
        <v>0</v>
      </c>
      <c r="AA112">
        <f t="shared" si="1"/>
        <v>70</v>
      </c>
    </row>
    <row r="113" ht="15.75" spans="1:27">
      <c r="A113" s="2">
        <v>132</v>
      </c>
      <c r="B113" s="4">
        <f>_xlfn.XLOOKUP(E113,Sheet2!E:E,Sheet2!A:A)</f>
        <v>2976</v>
      </c>
      <c r="C113" s="4">
        <v>201</v>
      </c>
      <c r="D113" s="5" t="str">
        <f>VLOOKUP(E113,Sheet2!F:G,2,FALSE)</f>
        <v>开放性颅脑损伤清除术-静脉窦破裂手术</v>
      </c>
      <c r="E113" s="4" t="s">
        <v>1180</v>
      </c>
      <c r="F113" s="7"/>
      <c r="G113" s="4">
        <v>2625</v>
      </c>
      <c r="H113" s="4">
        <v>2520</v>
      </c>
      <c r="I113" s="4">
        <v>2142</v>
      </c>
      <c r="J113" s="7"/>
      <c r="K113" s="4">
        <v>5200</v>
      </c>
      <c r="L113" s="4">
        <v>4700</v>
      </c>
      <c r="M113" s="4">
        <v>4000</v>
      </c>
      <c r="N113" s="4">
        <v>1</v>
      </c>
      <c r="O113" s="4">
        <v>1</v>
      </c>
      <c r="P113" s="4" t="s">
        <v>1637</v>
      </c>
      <c r="Q113" s="4">
        <v>0</v>
      </c>
      <c r="R113" s="4">
        <v>1</v>
      </c>
      <c r="S113" s="4">
        <v>0</v>
      </c>
      <c r="T113" s="4">
        <v>0</v>
      </c>
      <c r="U113" s="4">
        <v>2575</v>
      </c>
      <c r="V113" s="4">
        <v>0</v>
      </c>
      <c r="W113" s="4">
        <v>0</v>
      </c>
      <c r="X113" s="4">
        <v>2575</v>
      </c>
      <c r="Y113" s="4">
        <v>0</v>
      </c>
      <c r="Z113" s="4">
        <v>0</v>
      </c>
      <c r="AA113">
        <f t="shared" si="1"/>
        <v>2575</v>
      </c>
    </row>
    <row r="114" ht="15.75" spans="1:27">
      <c r="A114" s="2">
        <v>105</v>
      </c>
      <c r="B114" s="4">
        <f>_xlfn.XLOOKUP(E114,Sheet2!E:E,Sheet2!A:A)</f>
        <v>2981</v>
      </c>
      <c r="C114" s="4">
        <v>201</v>
      </c>
      <c r="D114" s="5" t="str">
        <f>VLOOKUP(E114,Sheet2!F:G,2,FALSE)</f>
        <v>侧脑室分流术</v>
      </c>
      <c r="E114" s="4" t="s">
        <v>1198</v>
      </c>
      <c r="F114" s="7"/>
      <c r="G114" s="4">
        <v>2000</v>
      </c>
      <c r="H114" s="4">
        <v>1920</v>
      </c>
      <c r="I114" s="4">
        <v>1632</v>
      </c>
      <c r="J114" s="7"/>
      <c r="K114" s="4">
        <v>2050</v>
      </c>
      <c r="L114" s="4">
        <v>1940</v>
      </c>
      <c r="M114" s="4">
        <v>1650</v>
      </c>
      <c r="N114" s="4">
        <v>1</v>
      </c>
      <c r="O114" s="4">
        <v>1</v>
      </c>
      <c r="P114" s="4" t="s">
        <v>1637</v>
      </c>
      <c r="Q114" s="4">
        <v>0</v>
      </c>
      <c r="R114" s="4">
        <v>41.45</v>
      </c>
      <c r="S114" s="4">
        <v>23</v>
      </c>
      <c r="T114" s="4">
        <v>0</v>
      </c>
      <c r="U114" s="4">
        <v>2072.5</v>
      </c>
      <c r="V114" s="4">
        <v>460</v>
      </c>
      <c r="W114" s="4">
        <v>0</v>
      </c>
      <c r="X114" s="4">
        <v>2072.5</v>
      </c>
      <c r="Y114" s="4">
        <v>460</v>
      </c>
      <c r="Z114" s="4">
        <v>0</v>
      </c>
      <c r="AA114">
        <f t="shared" si="1"/>
        <v>2532.5</v>
      </c>
    </row>
    <row r="115" ht="15.75" spans="1:27">
      <c r="A115" s="2">
        <v>133</v>
      </c>
      <c r="B115" s="4">
        <f>_xlfn.XLOOKUP(E115,Sheet2!E:E,Sheet2!A:A)</f>
        <v>2982</v>
      </c>
      <c r="C115" s="4">
        <v>201</v>
      </c>
      <c r="D115" s="5" t="str">
        <f>VLOOKUP(E115,Sheet2!F:G,2,FALSE)</f>
        <v>经颅内镜侧脑室分流术</v>
      </c>
      <c r="E115" s="4" t="s">
        <v>1202</v>
      </c>
      <c r="F115" s="7"/>
      <c r="G115" s="4">
        <v>2375</v>
      </c>
      <c r="H115" s="4">
        <v>2280</v>
      </c>
      <c r="I115" s="4">
        <v>1938</v>
      </c>
      <c r="J115" s="7"/>
      <c r="K115" s="4">
        <v>2050</v>
      </c>
      <c r="L115" s="4">
        <v>1940</v>
      </c>
      <c r="M115" s="4">
        <v>1650</v>
      </c>
      <c r="N115" s="4">
        <v>1</v>
      </c>
      <c r="O115" s="4">
        <v>1</v>
      </c>
      <c r="P115" s="4" t="s">
        <v>1637</v>
      </c>
      <c r="Q115" s="4">
        <v>0</v>
      </c>
      <c r="R115" s="4">
        <v>0</v>
      </c>
      <c r="S115" s="4">
        <v>1</v>
      </c>
      <c r="T115" s="4">
        <v>0</v>
      </c>
      <c r="U115" s="4">
        <v>0</v>
      </c>
      <c r="V115" s="4">
        <v>-340</v>
      </c>
      <c r="W115" s="4">
        <v>0</v>
      </c>
      <c r="X115" s="4">
        <v>0</v>
      </c>
      <c r="Y115" s="4">
        <v>-340</v>
      </c>
      <c r="Z115" s="4">
        <v>0</v>
      </c>
      <c r="AA115">
        <f t="shared" si="1"/>
        <v>-340</v>
      </c>
    </row>
    <row r="116" ht="15.75" spans="1:27">
      <c r="A116" s="2">
        <v>88</v>
      </c>
      <c r="B116" s="4">
        <f>_xlfn.XLOOKUP(E116,Sheet2!E:E,Sheet2!A:A)</f>
        <v>2983</v>
      </c>
      <c r="C116" s="4">
        <v>201</v>
      </c>
      <c r="D116" s="5" t="str">
        <f>VLOOKUP(E116,Sheet2!F:G,2,FALSE)</f>
        <v>脊髓蛛网膜下腔腹腔分流术</v>
      </c>
      <c r="E116" s="4" t="s">
        <v>1204</v>
      </c>
      <c r="F116" s="7"/>
      <c r="G116" s="4">
        <v>1500</v>
      </c>
      <c r="H116" s="4">
        <v>1440</v>
      </c>
      <c r="I116" s="4">
        <v>1224</v>
      </c>
      <c r="J116" s="7"/>
      <c r="K116" s="4">
        <v>2050</v>
      </c>
      <c r="L116" s="4">
        <v>1940</v>
      </c>
      <c r="M116" s="4">
        <v>1650</v>
      </c>
      <c r="N116" s="4">
        <v>1</v>
      </c>
      <c r="O116" s="4">
        <v>1</v>
      </c>
      <c r="P116" s="4" t="s">
        <v>1637</v>
      </c>
      <c r="Q116" s="4">
        <v>0</v>
      </c>
      <c r="R116" s="4">
        <v>3</v>
      </c>
      <c r="S116" s="4">
        <v>0</v>
      </c>
      <c r="T116" s="4">
        <v>1</v>
      </c>
      <c r="U116" s="4">
        <v>1650</v>
      </c>
      <c r="V116" s="4">
        <v>0</v>
      </c>
      <c r="W116" s="4">
        <v>426</v>
      </c>
      <c r="X116" s="4">
        <v>1650</v>
      </c>
      <c r="Y116" s="4">
        <v>0</v>
      </c>
      <c r="Z116" s="4">
        <v>426</v>
      </c>
      <c r="AA116">
        <f t="shared" si="1"/>
        <v>2076</v>
      </c>
    </row>
    <row r="117" ht="15.75" spans="1:27">
      <c r="A117" s="2">
        <v>17</v>
      </c>
      <c r="B117" s="4">
        <f>_xlfn.XLOOKUP(E117,Sheet2!E:E,Sheet2!A:A)</f>
        <v>2988</v>
      </c>
      <c r="C117" s="4">
        <v>201</v>
      </c>
      <c r="D117" s="5" t="str">
        <f>VLOOKUP(E117,Sheet2!F:G,2,FALSE)</f>
        <v>小儿侧脑室分流术</v>
      </c>
      <c r="E117" s="4" t="s">
        <v>1216</v>
      </c>
      <c r="F117" s="7"/>
      <c r="G117" s="4">
        <v>2600</v>
      </c>
      <c r="H117" s="4">
        <v>2495</v>
      </c>
      <c r="I117" s="4">
        <v>2120</v>
      </c>
      <c r="J117" s="7"/>
      <c r="K117" s="4">
        <v>2665</v>
      </c>
      <c r="L117" s="4">
        <v>2520</v>
      </c>
      <c r="M117" s="4">
        <v>2145</v>
      </c>
      <c r="N117" s="4">
        <v>1</v>
      </c>
      <c r="O117" s="4">
        <v>1</v>
      </c>
      <c r="P117" s="4" t="s">
        <v>1637</v>
      </c>
      <c r="Q117" s="4">
        <v>0</v>
      </c>
      <c r="R117" s="4">
        <v>6</v>
      </c>
      <c r="S117" s="4">
        <v>0</v>
      </c>
      <c r="T117" s="4">
        <v>0</v>
      </c>
      <c r="U117" s="4">
        <v>390</v>
      </c>
      <c r="V117" s="4">
        <v>0</v>
      </c>
      <c r="W117" s="4">
        <v>0</v>
      </c>
      <c r="X117" s="4">
        <v>390</v>
      </c>
      <c r="Y117" s="4">
        <v>0</v>
      </c>
      <c r="Z117" s="4">
        <v>0</v>
      </c>
      <c r="AA117">
        <f t="shared" si="1"/>
        <v>390</v>
      </c>
    </row>
    <row r="118" ht="15.75" spans="1:27">
      <c r="A118" s="2">
        <v>62</v>
      </c>
      <c r="B118" s="4">
        <f>_xlfn.XLOOKUP(E118,Sheet2!E:E,Sheet2!A:A)</f>
        <v>2995</v>
      </c>
      <c r="C118" s="4">
        <v>201</v>
      </c>
      <c r="D118" s="5" t="str">
        <f>VLOOKUP(E118,Sheet2!F:G,2,FALSE)</f>
        <v>颅内压监护传感器置入术</v>
      </c>
      <c r="E118" s="4" t="s">
        <v>1243</v>
      </c>
      <c r="F118" s="7"/>
      <c r="G118" s="4">
        <v>1125</v>
      </c>
      <c r="H118" s="4">
        <v>1080</v>
      </c>
      <c r="I118" s="4">
        <v>918</v>
      </c>
      <c r="J118" s="7"/>
      <c r="K118" s="4">
        <v>1125</v>
      </c>
      <c r="L118" s="4">
        <v>1080</v>
      </c>
      <c r="M118" s="4">
        <v>918</v>
      </c>
      <c r="N118" s="4">
        <v>1</v>
      </c>
      <c r="O118" s="4">
        <v>1</v>
      </c>
      <c r="P118" s="4" t="s">
        <v>1637</v>
      </c>
      <c r="Q118" s="4">
        <v>0</v>
      </c>
      <c r="R118" s="4">
        <v>78.19</v>
      </c>
      <c r="S118" s="4">
        <v>93.89</v>
      </c>
      <c r="T118" s="4">
        <v>0</v>
      </c>
      <c r="U118" s="4">
        <v>0</v>
      </c>
      <c r="V118" s="4">
        <v>0</v>
      </c>
      <c r="W118" s="4">
        <v>0</v>
      </c>
      <c r="X118" s="4">
        <v>0</v>
      </c>
      <c r="Y118" s="4">
        <v>0</v>
      </c>
      <c r="Z118" s="4">
        <v>0</v>
      </c>
      <c r="AA118">
        <f t="shared" si="1"/>
        <v>0</v>
      </c>
    </row>
    <row r="119" ht="15.75" spans="1:27">
      <c r="A119" s="2">
        <v>46</v>
      </c>
      <c r="B119" s="4">
        <f>_xlfn.XLOOKUP(E119,Sheet2!E:E,Sheet2!A:A)</f>
        <v>2997</v>
      </c>
      <c r="C119" s="4">
        <v>201</v>
      </c>
      <c r="D119" s="5" t="str">
        <f>VLOOKUP(E119,Sheet2!F:G,2,FALSE)</f>
        <v>椎管内脓肿切开引流术</v>
      </c>
      <c r="E119" s="4" t="s">
        <v>1260</v>
      </c>
      <c r="F119" s="7"/>
      <c r="G119" s="4">
        <v>2250</v>
      </c>
      <c r="H119" s="4">
        <v>2160</v>
      </c>
      <c r="I119" s="4">
        <v>1836</v>
      </c>
      <c r="J119" s="7"/>
      <c r="K119" s="4">
        <v>2250</v>
      </c>
      <c r="L119" s="4">
        <v>2160</v>
      </c>
      <c r="M119" s="4">
        <v>1836</v>
      </c>
      <c r="N119" s="4">
        <v>1</v>
      </c>
      <c r="O119" s="4">
        <v>1</v>
      </c>
      <c r="P119" s="4" t="s">
        <v>1637</v>
      </c>
      <c r="Q119" s="4">
        <v>0</v>
      </c>
      <c r="R119" s="4">
        <v>0.5</v>
      </c>
      <c r="S119" s="4">
        <v>1</v>
      </c>
      <c r="T119" s="4">
        <v>0</v>
      </c>
      <c r="U119" s="4">
        <v>0</v>
      </c>
      <c r="V119" s="4">
        <v>0</v>
      </c>
      <c r="W119" s="4">
        <v>0</v>
      </c>
      <c r="X119" s="4">
        <v>0</v>
      </c>
      <c r="Y119" s="4">
        <v>0</v>
      </c>
      <c r="Z119" s="4">
        <v>0</v>
      </c>
      <c r="AA119">
        <f t="shared" si="1"/>
        <v>0</v>
      </c>
    </row>
    <row r="120" ht="15.75" spans="1:27">
      <c r="A120" s="2">
        <v>66</v>
      </c>
      <c r="B120" s="4">
        <f>_xlfn.XLOOKUP(E120,Sheet2!E:E,Sheet2!A:A)</f>
        <v>2999</v>
      </c>
      <c r="C120" s="4">
        <v>201</v>
      </c>
      <c r="D120" s="5" t="str">
        <f>VLOOKUP(E120,Sheet2!F:G,2,FALSE)</f>
        <v>脊髓空洞症内引流术</v>
      </c>
      <c r="E120" s="4" t="s">
        <v>1272</v>
      </c>
      <c r="F120" s="7"/>
      <c r="G120" s="4">
        <v>3040</v>
      </c>
      <c r="H120" s="4">
        <v>2740</v>
      </c>
      <c r="I120" s="4">
        <v>2330</v>
      </c>
      <c r="J120" s="7"/>
      <c r="K120" s="4">
        <v>3150</v>
      </c>
      <c r="L120" s="4">
        <v>2850</v>
      </c>
      <c r="M120" s="4">
        <v>2450</v>
      </c>
      <c r="N120" s="4">
        <v>1</v>
      </c>
      <c r="O120" s="4">
        <v>1</v>
      </c>
      <c r="P120" s="4" t="s">
        <v>1637</v>
      </c>
      <c r="Q120" s="4">
        <v>0</v>
      </c>
      <c r="R120" s="4">
        <v>2</v>
      </c>
      <c r="S120" s="4">
        <v>0</v>
      </c>
      <c r="T120" s="4">
        <v>0</v>
      </c>
      <c r="U120" s="4">
        <v>220</v>
      </c>
      <c r="V120" s="4">
        <v>0</v>
      </c>
      <c r="W120" s="4">
        <v>0</v>
      </c>
      <c r="X120" s="4">
        <v>220</v>
      </c>
      <c r="Y120" s="4">
        <v>0</v>
      </c>
      <c r="Z120" s="4">
        <v>0</v>
      </c>
      <c r="AA120">
        <f t="shared" si="1"/>
        <v>220</v>
      </c>
    </row>
    <row r="121" ht="15.75" spans="1:27">
      <c r="A121" s="2">
        <v>78</v>
      </c>
      <c r="B121" s="4">
        <f>_xlfn.XLOOKUP(E121,Sheet2!E:E,Sheet2!A:A)</f>
        <v>3001</v>
      </c>
      <c r="C121" s="4">
        <v>201</v>
      </c>
      <c r="D121" s="5" t="str">
        <f>VLOOKUP(E121,Sheet2!F:G,2,FALSE)</f>
        <v>脊髓内病变切除术</v>
      </c>
      <c r="E121" s="4" t="s">
        <v>1282</v>
      </c>
      <c r="F121" s="7"/>
      <c r="G121" s="4">
        <v>4730</v>
      </c>
      <c r="H121" s="4">
        <v>4260</v>
      </c>
      <c r="I121" s="4">
        <v>3620</v>
      </c>
      <c r="J121" s="7"/>
      <c r="K121" s="4">
        <v>4730</v>
      </c>
      <c r="L121" s="4">
        <v>4260</v>
      </c>
      <c r="M121" s="4">
        <v>3620</v>
      </c>
      <c r="N121" s="4">
        <v>1</v>
      </c>
      <c r="O121" s="4">
        <v>1</v>
      </c>
      <c r="P121" s="4" t="s">
        <v>1637</v>
      </c>
      <c r="Q121" s="4">
        <v>0</v>
      </c>
      <c r="R121" s="4">
        <v>18</v>
      </c>
      <c r="S121" s="4">
        <v>5</v>
      </c>
      <c r="T121" s="4">
        <v>0</v>
      </c>
      <c r="U121" s="4">
        <v>0</v>
      </c>
      <c r="V121" s="4">
        <v>0</v>
      </c>
      <c r="W121" s="4">
        <v>0</v>
      </c>
      <c r="X121" s="4">
        <v>0</v>
      </c>
      <c r="Y121" s="4">
        <v>-470</v>
      </c>
      <c r="Z121" s="4">
        <v>0</v>
      </c>
      <c r="AA121">
        <f t="shared" si="1"/>
        <v>-470</v>
      </c>
    </row>
    <row r="122" ht="15.75" spans="1:27">
      <c r="A122" s="2">
        <v>122</v>
      </c>
      <c r="B122" s="4">
        <f>_xlfn.XLOOKUP(E122,Sheet2!E:E,Sheet2!A:A)</f>
        <v>3002</v>
      </c>
      <c r="C122" s="4">
        <v>201</v>
      </c>
      <c r="D122" s="5" t="str">
        <f>VLOOKUP(E122,Sheet2!F:G,2,FALSE)</f>
        <v>脊髓外露修补术</v>
      </c>
      <c r="E122" s="4" t="s">
        <v>1286</v>
      </c>
      <c r="F122" s="7"/>
      <c r="G122" s="4">
        <v>3040</v>
      </c>
      <c r="H122" s="4">
        <v>2740</v>
      </c>
      <c r="I122" s="4">
        <v>2330</v>
      </c>
      <c r="J122" s="7"/>
      <c r="K122" s="4">
        <v>4730</v>
      </c>
      <c r="L122" s="4">
        <v>4260</v>
      </c>
      <c r="M122" s="4">
        <v>3620</v>
      </c>
      <c r="N122" s="4">
        <v>1</v>
      </c>
      <c r="O122" s="4">
        <v>1</v>
      </c>
      <c r="P122" s="4" t="s">
        <v>1637</v>
      </c>
      <c r="Q122" s="4">
        <v>0</v>
      </c>
      <c r="R122" s="4">
        <v>0</v>
      </c>
      <c r="S122" s="4">
        <v>5</v>
      </c>
      <c r="T122" s="4">
        <v>0</v>
      </c>
      <c r="U122" s="4">
        <v>0</v>
      </c>
      <c r="V122" s="4">
        <v>7600</v>
      </c>
      <c r="W122" s="4">
        <v>0</v>
      </c>
      <c r="X122" s="4">
        <v>0</v>
      </c>
      <c r="Y122" s="4">
        <v>7600</v>
      </c>
      <c r="Z122" s="4">
        <v>0</v>
      </c>
      <c r="AA122">
        <f t="shared" si="1"/>
        <v>7600</v>
      </c>
    </row>
    <row r="123" ht="15.75" spans="1:27">
      <c r="A123" s="2">
        <v>145</v>
      </c>
      <c r="B123" s="4">
        <f>_xlfn.XLOOKUP(E123,Sheet2!E:E,Sheet2!A:A)</f>
        <v>3004</v>
      </c>
      <c r="C123" s="4">
        <v>201</v>
      </c>
      <c r="D123" s="5" t="str">
        <f>VLOOKUP(E123,Sheet2!F:G,2,FALSE)</f>
        <v>小儿脊髓内病变切除术</v>
      </c>
      <c r="E123" s="4" t="s">
        <v>1292</v>
      </c>
      <c r="F123" s="7"/>
      <c r="G123" s="4">
        <v>6150</v>
      </c>
      <c r="H123" s="4">
        <v>5540</v>
      </c>
      <c r="I123" s="4">
        <v>4710</v>
      </c>
      <c r="J123" s="7"/>
      <c r="K123" s="4">
        <v>6150</v>
      </c>
      <c r="L123" s="4">
        <v>5540</v>
      </c>
      <c r="M123" s="4">
        <v>4705</v>
      </c>
      <c r="N123" s="4">
        <v>1</v>
      </c>
      <c r="O123" s="4">
        <v>1</v>
      </c>
      <c r="P123" s="4" t="s">
        <v>1637</v>
      </c>
      <c r="Q123" s="4">
        <v>0</v>
      </c>
      <c r="R123" s="4">
        <v>1</v>
      </c>
      <c r="S123" s="4">
        <v>0</v>
      </c>
      <c r="T123" s="4">
        <v>0</v>
      </c>
      <c r="U123" s="4">
        <v>0</v>
      </c>
      <c r="V123" s="4">
        <v>0</v>
      </c>
      <c r="W123" s="4">
        <v>0</v>
      </c>
      <c r="X123" s="4">
        <v>0</v>
      </c>
      <c r="Y123" s="4">
        <v>0</v>
      </c>
      <c r="Z123" s="4">
        <v>0</v>
      </c>
      <c r="AA123">
        <f t="shared" si="1"/>
        <v>0</v>
      </c>
    </row>
    <row r="124" ht="15.75" spans="1:27">
      <c r="A124" s="2">
        <v>95</v>
      </c>
      <c r="B124" s="4">
        <f>_xlfn.XLOOKUP(E124,Sheet2!E:E,Sheet2!A:A)</f>
        <v>3005</v>
      </c>
      <c r="C124" s="4">
        <v>201</v>
      </c>
      <c r="D124" s="5" t="str">
        <f>VLOOKUP(E124,Sheet2!F:G,2,FALSE)</f>
        <v>脊髓动静脉畸形切除术</v>
      </c>
      <c r="E124" s="4" t="s">
        <v>1299</v>
      </c>
      <c r="F124" s="7"/>
      <c r="G124" s="4">
        <v>6940</v>
      </c>
      <c r="H124" s="4">
        <v>6250</v>
      </c>
      <c r="I124" s="4">
        <v>5310</v>
      </c>
      <c r="J124" s="7"/>
      <c r="K124" s="4">
        <v>6575</v>
      </c>
      <c r="L124" s="4">
        <v>5925</v>
      </c>
      <c r="M124" s="4">
        <v>5035</v>
      </c>
      <c r="N124" s="4">
        <v>1</v>
      </c>
      <c r="O124" s="4">
        <v>1</v>
      </c>
      <c r="P124" s="4" t="s">
        <v>1637</v>
      </c>
      <c r="Q124" s="4">
        <v>0</v>
      </c>
      <c r="R124" s="4">
        <v>0</v>
      </c>
      <c r="S124" s="4">
        <v>1</v>
      </c>
      <c r="T124" s="4">
        <v>0</v>
      </c>
      <c r="U124" s="4">
        <v>0</v>
      </c>
      <c r="V124" s="4">
        <v>-325</v>
      </c>
      <c r="W124" s="4">
        <v>0</v>
      </c>
      <c r="X124" s="4">
        <v>0</v>
      </c>
      <c r="Y124" s="4">
        <v>-325</v>
      </c>
      <c r="Z124" s="4">
        <v>0</v>
      </c>
      <c r="AA124">
        <f t="shared" si="1"/>
        <v>-325</v>
      </c>
    </row>
    <row r="125" ht="15.75" spans="1:27">
      <c r="A125" s="2">
        <v>121</v>
      </c>
      <c r="B125" s="4">
        <f>_xlfn.XLOOKUP(E125,Sheet2!E:E,Sheet2!A:A)</f>
        <v>3006</v>
      </c>
      <c r="C125" s="4">
        <v>201</v>
      </c>
      <c r="D125" s="5" t="str">
        <f>VLOOKUP(E125,Sheet2!F:G,2,FALSE)</f>
        <v>脊髓内病变切除术（肿瘤长度超过5cm）</v>
      </c>
      <c r="E125" s="4" t="s">
        <v>1302</v>
      </c>
      <c r="F125" s="7"/>
      <c r="G125" s="4">
        <v>5335</v>
      </c>
      <c r="H125" s="4">
        <v>4805</v>
      </c>
      <c r="I125" s="4">
        <v>4085</v>
      </c>
      <c r="J125" s="7"/>
      <c r="K125" s="4">
        <v>6575</v>
      </c>
      <c r="L125" s="4">
        <v>5925</v>
      </c>
      <c r="M125" s="4">
        <v>5035</v>
      </c>
      <c r="N125" s="4">
        <v>1</v>
      </c>
      <c r="O125" s="4">
        <v>1</v>
      </c>
      <c r="P125" s="4" t="s">
        <v>1637</v>
      </c>
      <c r="Q125" s="4">
        <v>0</v>
      </c>
      <c r="R125" s="4">
        <v>2</v>
      </c>
      <c r="S125" s="4">
        <v>0</v>
      </c>
      <c r="T125" s="4">
        <v>0</v>
      </c>
      <c r="U125" s="4">
        <v>2480</v>
      </c>
      <c r="V125" s="4">
        <v>0</v>
      </c>
      <c r="W125" s="4">
        <v>0</v>
      </c>
      <c r="X125" s="4">
        <v>2480</v>
      </c>
      <c r="Y125" s="4">
        <v>0</v>
      </c>
      <c r="Z125" s="4">
        <v>0</v>
      </c>
      <c r="AA125">
        <f t="shared" si="1"/>
        <v>2480</v>
      </c>
    </row>
    <row r="126" ht="15.75" spans="1:27">
      <c r="A126" s="2">
        <v>2</v>
      </c>
      <c r="B126" s="4">
        <f>_xlfn.XLOOKUP(E126,Sheet2!E:E,Sheet2!A:A)</f>
        <v>3009</v>
      </c>
      <c r="C126" s="4">
        <v>201</v>
      </c>
      <c r="D126" s="5" t="str">
        <f>VLOOKUP(E126,Sheet2!F:G,2,FALSE)</f>
        <v>脊髓硬膜外病变切除术</v>
      </c>
      <c r="E126" s="4" t="s">
        <v>1314</v>
      </c>
      <c r="F126" s="7"/>
      <c r="G126" s="4">
        <v>3160</v>
      </c>
      <c r="H126" s="4">
        <v>2850</v>
      </c>
      <c r="I126" s="4">
        <v>2420</v>
      </c>
      <c r="J126" s="7"/>
      <c r="K126" s="4">
        <v>3160</v>
      </c>
      <c r="L126" s="4">
        <v>2850</v>
      </c>
      <c r="M126" s="4">
        <v>2420</v>
      </c>
      <c r="N126" s="4">
        <v>1</v>
      </c>
      <c r="O126" s="4">
        <v>1</v>
      </c>
      <c r="P126" s="4" t="s">
        <v>1637</v>
      </c>
      <c r="Q126" s="4">
        <v>0</v>
      </c>
      <c r="R126" s="4">
        <v>15</v>
      </c>
      <c r="S126" s="4">
        <v>15</v>
      </c>
      <c r="T126" s="4">
        <v>0</v>
      </c>
      <c r="U126" s="4">
        <v>0</v>
      </c>
      <c r="V126" s="4">
        <v>0</v>
      </c>
      <c r="W126" s="4">
        <v>0</v>
      </c>
      <c r="X126" s="4">
        <v>8910</v>
      </c>
      <c r="Y126" s="4">
        <v>5850</v>
      </c>
      <c r="Z126" s="4">
        <v>0</v>
      </c>
      <c r="AA126">
        <f t="shared" si="1"/>
        <v>14760</v>
      </c>
    </row>
    <row r="127" ht="15.75" spans="1:27">
      <c r="A127" s="2">
        <v>135</v>
      </c>
      <c r="B127" s="4">
        <f>_xlfn.XLOOKUP(E127,Sheet2!E:E,Sheet2!A:A)</f>
        <v>3010</v>
      </c>
      <c r="C127" s="4">
        <v>201</v>
      </c>
      <c r="D127" s="5" t="str">
        <f>VLOOKUP(E127,Sheet2!F:G,2,FALSE)</f>
        <v>髓外硬脊膜下病变切除术</v>
      </c>
      <c r="E127" s="4" t="s">
        <v>1317</v>
      </c>
      <c r="F127" s="7"/>
      <c r="G127" s="4">
        <v>3160</v>
      </c>
      <c r="H127" s="4">
        <v>2850</v>
      </c>
      <c r="I127" s="4">
        <v>2420</v>
      </c>
      <c r="J127" s="7"/>
      <c r="K127" s="4">
        <v>3160</v>
      </c>
      <c r="L127" s="4">
        <v>2850</v>
      </c>
      <c r="M127" s="4">
        <v>2420</v>
      </c>
      <c r="N127" s="4">
        <v>1</v>
      </c>
      <c r="O127" s="4">
        <v>1</v>
      </c>
      <c r="P127" s="4" t="s">
        <v>1637</v>
      </c>
      <c r="Q127" s="4">
        <v>0</v>
      </c>
      <c r="R127" s="4">
        <v>16.5</v>
      </c>
      <c r="S127" s="4">
        <v>13.5</v>
      </c>
      <c r="T127" s="4">
        <v>0</v>
      </c>
      <c r="U127" s="4">
        <v>0</v>
      </c>
      <c r="V127" s="4">
        <v>0</v>
      </c>
      <c r="W127" s="4">
        <v>0</v>
      </c>
      <c r="X127" s="4">
        <v>10230</v>
      </c>
      <c r="Y127" s="4">
        <v>4815</v>
      </c>
      <c r="Z127" s="4">
        <v>0</v>
      </c>
      <c r="AA127">
        <f t="shared" si="1"/>
        <v>15045</v>
      </c>
    </row>
    <row r="128" ht="15.75" spans="1:27">
      <c r="A128" s="2">
        <v>61</v>
      </c>
      <c r="B128" s="4">
        <f>_xlfn.XLOOKUP(E128,Sheet2!E:E,Sheet2!A:A)</f>
        <v>3013</v>
      </c>
      <c r="C128" s="4">
        <v>201</v>
      </c>
      <c r="D128" s="5" t="str">
        <f>VLOOKUP(E128,Sheet2!F:G,2,FALSE)</f>
        <v>髓外硬脊膜下病变切除术（肿瘤长度超过5cm）</v>
      </c>
      <c r="E128" s="4" t="s">
        <v>1331</v>
      </c>
      <c r="F128" s="7"/>
      <c r="G128" s="4">
        <v>3630</v>
      </c>
      <c r="H128" s="4">
        <v>3270</v>
      </c>
      <c r="I128" s="4">
        <v>2780</v>
      </c>
      <c r="J128" s="7"/>
      <c r="K128" s="4">
        <v>3630</v>
      </c>
      <c r="L128" s="4">
        <v>3270</v>
      </c>
      <c r="M128" s="4">
        <v>2780</v>
      </c>
      <c r="N128" s="4">
        <v>1</v>
      </c>
      <c r="O128" s="4">
        <v>1</v>
      </c>
      <c r="P128" s="4" t="s">
        <v>1637</v>
      </c>
      <c r="Q128" s="4">
        <v>0</v>
      </c>
      <c r="R128" s="4">
        <v>0</v>
      </c>
      <c r="S128" s="4">
        <v>2</v>
      </c>
      <c r="T128" s="4">
        <v>0</v>
      </c>
      <c r="U128" s="4">
        <v>0</v>
      </c>
      <c r="V128" s="4">
        <v>0</v>
      </c>
      <c r="W128" s="4">
        <v>0</v>
      </c>
      <c r="X128" s="4">
        <v>0</v>
      </c>
      <c r="Y128" s="4">
        <v>1020</v>
      </c>
      <c r="Z128" s="4">
        <v>0</v>
      </c>
      <c r="AA128">
        <f t="shared" si="1"/>
        <v>1020</v>
      </c>
    </row>
    <row r="129" ht="15.75" spans="1:27">
      <c r="A129" s="2">
        <v>83</v>
      </c>
      <c r="B129" s="4">
        <f>_xlfn.XLOOKUP(E129,Sheet2!E:E,Sheet2!A:A)</f>
        <v>3015</v>
      </c>
      <c r="C129" s="4">
        <v>201</v>
      </c>
      <c r="D129" s="5" t="str">
        <f>VLOOKUP(E129,Sheet2!F:G,2,FALSE)</f>
        <v>颈内动脉内膜剥脱术</v>
      </c>
      <c r="E129" s="4" t="s">
        <v>1342</v>
      </c>
      <c r="F129" s="7"/>
      <c r="G129" s="4">
        <v>4220</v>
      </c>
      <c r="H129" s="4">
        <v>3800</v>
      </c>
      <c r="I129" s="4">
        <v>3230</v>
      </c>
      <c r="J129" s="7"/>
      <c r="K129" s="4">
        <v>4700</v>
      </c>
      <c r="L129" s="4">
        <v>4350</v>
      </c>
      <c r="M129" s="4">
        <v>3700</v>
      </c>
      <c r="N129" s="4">
        <v>1</v>
      </c>
      <c r="O129" s="4">
        <v>1</v>
      </c>
      <c r="P129" s="4" t="s">
        <v>1637</v>
      </c>
      <c r="Q129" s="4">
        <v>0</v>
      </c>
      <c r="R129" s="4">
        <v>2</v>
      </c>
      <c r="S129" s="4">
        <v>0</v>
      </c>
      <c r="T129" s="4">
        <v>0</v>
      </c>
      <c r="U129" s="4">
        <v>960</v>
      </c>
      <c r="V129" s="4">
        <v>0</v>
      </c>
      <c r="W129" s="4">
        <v>0</v>
      </c>
      <c r="X129" s="4">
        <v>960</v>
      </c>
      <c r="Y129" s="4">
        <v>0</v>
      </c>
      <c r="Z129" s="4">
        <v>0</v>
      </c>
      <c r="AA129">
        <f t="shared" si="1"/>
        <v>960</v>
      </c>
    </row>
    <row r="130" ht="15.75" spans="1:27">
      <c r="A130" s="2">
        <v>19</v>
      </c>
      <c r="B130" s="4">
        <f>_xlfn.XLOOKUP(E130,Sheet2!E:E,Sheet2!A:A)</f>
        <v>3016</v>
      </c>
      <c r="C130" s="4">
        <v>201</v>
      </c>
      <c r="D130" s="5" t="str">
        <f>VLOOKUP(E130,Sheet2!F:G,2,FALSE)</f>
        <v>颈内动脉内膜剥脱术-动脉成形术</v>
      </c>
      <c r="E130" s="4" t="s">
        <v>1346</v>
      </c>
      <c r="F130" s="7"/>
      <c r="G130" s="4">
        <v>3960</v>
      </c>
      <c r="H130" s="4">
        <v>3560</v>
      </c>
      <c r="I130" s="4">
        <v>3030</v>
      </c>
      <c r="J130" s="7"/>
      <c r="K130" s="4">
        <v>4700</v>
      </c>
      <c r="L130" s="4">
        <v>4350</v>
      </c>
      <c r="M130" s="4">
        <v>3700</v>
      </c>
      <c r="N130" s="4">
        <v>1</v>
      </c>
      <c r="O130" s="4">
        <v>1</v>
      </c>
      <c r="P130" s="4" t="s">
        <v>1637</v>
      </c>
      <c r="Q130" s="4">
        <v>0</v>
      </c>
      <c r="R130" s="4">
        <v>0</v>
      </c>
      <c r="S130" s="4">
        <v>1</v>
      </c>
      <c r="T130" s="4">
        <v>0</v>
      </c>
      <c r="U130" s="4">
        <v>0</v>
      </c>
      <c r="V130" s="4">
        <v>790</v>
      </c>
      <c r="W130" s="4">
        <v>0</v>
      </c>
      <c r="X130" s="4">
        <v>0</v>
      </c>
      <c r="Y130" s="4">
        <v>790</v>
      </c>
      <c r="Z130" s="4">
        <v>0</v>
      </c>
      <c r="AA130">
        <f t="shared" ref="AA130:AA147" si="2">X130+Y130+Z130</f>
        <v>790</v>
      </c>
    </row>
    <row r="131" ht="15.75" spans="1:27">
      <c r="A131" s="2">
        <v>16</v>
      </c>
      <c r="B131" s="4">
        <f>_xlfn.XLOOKUP(E131,Sheet2!E:E,Sheet2!A:A)</f>
        <v>3017</v>
      </c>
      <c r="C131" s="4">
        <v>201</v>
      </c>
      <c r="D131" s="5" t="str">
        <f>VLOOKUP(E131,Sheet2!F:G,2,FALSE)</f>
        <v>颈动脉外膜剥脱术</v>
      </c>
      <c r="E131" s="4" t="s">
        <v>1349</v>
      </c>
      <c r="F131" s="7"/>
      <c r="G131" s="4">
        <v>2530</v>
      </c>
      <c r="H131" s="4">
        <v>2280</v>
      </c>
      <c r="I131" s="4">
        <v>1940</v>
      </c>
      <c r="J131" s="7"/>
      <c r="K131" s="4">
        <v>4700</v>
      </c>
      <c r="L131" s="4">
        <v>4350</v>
      </c>
      <c r="M131" s="4">
        <v>3700</v>
      </c>
      <c r="N131" s="4">
        <v>1</v>
      </c>
      <c r="O131" s="4">
        <v>1</v>
      </c>
      <c r="P131" s="4" t="s">
        <v>1637</v>
      </c>
      <c r="Q131" s="4">
        <v>0</v>
      </c>
      <c r="R131" s="4">
        <v>0</v>
      </c>
      <c r="S131" s="4">
        <v>7</v>
      </c>
      <c r="T131" s="4">
        <v>0</v>
      </c>
      <c r="U131" s="4">
        <v>0</v>
      </c>
      <c r="V131" s="4">
        <v>14490</v>
      </c>
      <c r="W131" s="4">
        <v>0</v>
      </c>
      <c r="X131" s="4">
        <v>0</v>
      </c>
      <c r="Y131" s="4">
        <v>14490</v>
      </c>
      <c r="Z131" s="4">
        <v>0</v>
      </c>
      <c r="AA131">
        <f t="shared" si="2"/>
        <v>14490</v>
      </c>
    </row>
    <row r="132" ht="15.75" spans="1:27">
      <c r="A132" s="2">
        <v>37</v>
      </c>
      <c r="B132" s="4">
        <f>_xlfn.XLOOKUP(E132,Sheet2!E:E,Sheet2!A:A)</f>
        <v>3029</v>
      </c>
      <c r="C132" s="4">
        <v>201</v>
      </c>
      <c r="D132" s="5" t="str">
        <f>VLOOKUP(E132,Sheet2!F:G,2,FALSE)</f>
        <v>颞肌颞浅动脉贴敷术</v>
      </c>
      <c r="E132" s="4" t="s">
        <v>1389</v>
      </c>
      <c r="F132" s="7"/>
      <c r="G132" s="4">
        <v>2250</v>
      </c>
      <c r="H132" s="4">
        <v>2160</v>
      </c>
      <c r="I132" s="4">
        <v>1836</v>
      </c>
      <c r="J132" s="7"/>
      <c r="K132" s="4">
        <v>2250</v>
      </c>
      <c r="L132" s="4">
        <v>2160</v>
      </c>
      <c r="M132" s="4">
        <v>1836</v>
      </c>
      <c r="N132" s="4">
        <v>1</v>
      </c>
      <c r="O132" s="4">
        <v>1</v>
      </c>
      <c r="P132" s="4" t="s">
        <v>1637</v>
      </c>
      <c r="Q132" s="4">
        <v>0</v>
      </c>
      <c r="R132" s="4">
        <v>4.5</v>
      </c>
      <c r="S132" s="4">
        <v>0.5</v>
      </c>
      <c r="T132" s="4">
        <v>0</v>
      </c>
      <c r="U132" s="4">
        <v>0</v>
      </c>
      <c r="V132" s="4">
        <v>0</v>
      </c>
      <c r="W132" s="4">
        <v>0</v>
      </c>
      <c r="X132" s="4">
        <v>0</v>
      </c>
      <c r="Y132" s="4">
        <v>0</v>
      </c>
      <c r="Z132" s="4">
        <v>0</v>
      </c>
      <c r="AA132">
        <f t="shared" si="2"/>
        <v>0</v>
      </c>
    </row>
    <row r="133" ht="15.75" spans="1:27">
      <c r="A133" s="2">
        <v>5</v>
      </c>
      <c r="B133" s="4">
        <f>_xlfn.XLOOKUP(E133,Sheet2!E:E,Sheet2!A:A)</f>
        <v>3031</v>
      </c>
      <c r="C133" s="4">
        <v>201</v>
      </c>
      <c r="D133" s="5" t="str">
        <f>VLOOKUP(E133,Sheet2!F:G,2,FALSE)</f>
        <v>颈动脉结扎术</v>
      </c>
      <c r="E133" s="4" t="s">
        <v>1400</v>
      </c>
      <c r="F133" s="7"/>
      <c r="G133" s="4">
        <v>1250</v>
      </c>
      <c r="H133" s="4">
        <v>1200</v>
      </c>
      <c r="I133" s="4">
        <v>1020</v>
      </c>
      <c r="J133" s="7"/>
      <c r="K133" s="4">
        <v>1250</v>
      </c>
      <c r="L133" s="4">
        <v>1200</v>
      </c>
      <c r="M133" s="4">
        <v>1020</v>
      </c>
      <c r="N133" s="4">
        <v>1</v>
      </c>
      <c r="O133" s="4">
        <v>1</v>
      </c>
      <c r="P133" s="4" t="s">
        <v>1637</v>
      </c>
      <c r="Q133" s="4">
        <v>0</v>
      </c>
      <c r="R133" s="4">
        <v>1.5</v>
      </c>
      <c r="S133" s="4">
        <v>0.5</v>
      </c>
      <c r="T133" s="4">
        <v>0</v>
      </c>
      <c r="U133" s="4">
        <v>0</v>
      </c>
      <c r="V133" s="4">
        <v>0</v>
      </c>
      <c r="W133" s="4">
        <v>0</v>
      </c>
      <c r="X133" s="4">
        <v>0</v>
      </c>
      <c r="Y133" s="4">
        <v>0</v>
      </c>
      <c r="Z133" s="4">
        <v>0</v>
      </c>
      <c r="AA133">
        <f t="shared" si="2"/>
        <v>0</v>
      </c>
    </row>
    <row r="134" ht="15.75" spans="1:27">
      <c r="A134" s="2">
        <v>129</v>
      </c>
      <c r="B134" s="4">
        <f>_xlfn.XLOOKUP(E134,Sheet2!E:E,Sheet2!A:A)</f>
        <v>3034</v>
      </c>
      <c r="C134" s="4">
        <v>201</v>
      </c>
      <c r="D134" s="5" t="str">
        <f>VLOOKUP(E134,Sheet2!F:G,2,FALSE)</f>
        <v>三叉神经感觉后根切断术</v>
      </c>
      <c r="E134" s="4" t="s">
        <v>1415</v>
      </c>
      <c r="F134" s="7"/>
      <c r="G134" s="4">
        <v>4390</v>
      </c>
      <c r="H134" s="4">
        <v>3950</v>
      </c>
      <c r="I134" s="4">
        <v>3360</v>
      </c>
      <c r="J134" s="7"/>
      <c r="K134" s="4">
        <v>4390</v>
      </c>
      <c r="L134" s="4">
        <v>3950</v>
      </c>
      <c r="M134" s="4">
        <v>3360</v>
      </c>
      <c r="N134" s="4">
        <v>1</v>
      </c>
      <c r="O134" s="4">
        <v>1</v>
      </c>
      <c r="P134" s="4" t="s">
        <v>1637</v>
      </c>
      <c r="Q134" s="4">
        <v>0</v>
      </c>
      <c r="R134" s="4">
        <v>4</v>
      </c>
      <c r="S134" s="4">
        <v>0</v>
      </c>
      <c r="T134" s="4">
        <v>0</v>
      </c>
      <c r="U134" s="4">
        <v>0</v>
      </c>
      <c r="V134" s="4">
        <v>0</v>
      </c>
      <c r="W134" s="4">
        <v>0</v>
      </c>
      <c r="X134" s="4">
        <v>0</v>
      </c>
      <c r="Y134" s="4">
        <v>0</v>
      </c>
      <c r="Z134" s="4">
        <v>0</v>
      </c>
      <c r="AA134">
        <f t="shared" si="2"/>
        <v>0</v>
      </c>
    </row>
    <row r="135" ht="15.75" spans="1:27">
      <c r="A135" s="2">
        <v>36</v>
      </c>
      <c r="B135" s="4">
        <f>_xlfn.XLOOKUP(E135,Sheet2!E:E,Sheet2!A:A)</f>
        <v>3052</v>
      </c>
      <c r="C135" s="4">
        <v>201</v>
      </c>
      <c r="D135" s="5" t="str">
        <f>VLOOKUP(E135,Sheet2!F:G,2,FALSE)</f>
        <v>选择性脊神经后根切断术（SPR）</v>
      </c>
      <c r="E135" s="4" t="s">
        <v>1462</v>
      </c>
      <c r="F135" s="7"/>
      <c r="G135" s="4">
        <v>3040</v>
      </c>
      <c r="H135" s="4">
        <v>2740</v>
      </c>
      <c r="I135" s="4">
        <v>2330</v>
      </c>
      <c r="J135" s="7"/>
      <c r="K135" s="4">
        <v>3350</v>
      </c>
      <c r="L135" s="4">
        <v>3000</v>
      </c>
      <c r="M135" s="4">
        <v>2550</v>
      </c>
      <c r="N135" s="4">
        <v>1</v>
      </c>
      <c r="O135" s="4">
        <v>1</v>
      </c>
      <c r="P135" s="4" t="s">
        <v>1637</v>
      </c>
      <c r="Q135" s="4">
        <v>0</v>
      </c>
      <c r="R135" s="4">
        <v>0</v>
      </c>
      <c r="S135" s="4">
        <v>1</v>
      </c>
      <c r="T135" s="4">
        <v>0</v>
      </c>
      <c r="U135" s="4">
        <v>0</v>
      </c>
      <c r="V135" s="4">
        <v>260</v>
      </c>
      <c r="W135" s="4">
        <v>0</v>
      </c>
      <c r="X135" s="4">
        <v>0</v>
      </c>
      <c r="Y135" s="4">
        <v>260</v>
      </c>
      <c r="Z135" s="4">
        <v>0</v>
      </c>
      <c r="AA135">
        <f t="shared" si="2"/>
        <v>260</v>
      </c>
    </row>
    <row r="136" ht="15.75" spans="1:27">
      <c r="A136" s="2">
        <v>112</v>
      </c>
      <c r="B136" s="4">
        <f>_xlfn.XLOOKUP(E136,Sheet2!E:E,Sheet2!A:A)</f>
        <v>3057</v>
      </c>
      <c r="C136" s="4">
        <v>201</v>
      </c>
      <c r="D136" s="5" t="str">
        <f>VLOOKUP(E136,Sheet2!F:G,2,FALSE)</f>
        <v>胰腺周围神经切除术</v>
      </c>
      <c r="E136" s="4" t="s">
        <v>1480</v>
      </c>
      <c r="F136" s="7"/>
      <c r="G136" s="4">
        <v>2530</v>
      </c>
      <c r="H136" s="4">
        <v>2280</v>
      </c>
      <c r="I136" s="4">
        <v>1940</v>
      </c>
      <c r="J136" s="7"/>
      <c r="K136" s="4">
        <v>2600</v>
      </c>
      <c r="L136" s="4">
        <v>2350</v>
      </c>
      <c r="M136" s="4">
        <v>2000</v>
      </c>
      <c r="N136" s="4">
        <v>1</v>
      </c>
      <c r="O136" s="4">
        <v>1</v>
      </c>
      <c r="P136" s="4" t="s">
        <v>1637</v>
      </c>
      <c r="Q136" s="4">
        <v>0</v>
      </c>
      <c r="R136" s="4">
        <v>2.5</v>
      </c>
      <c r="S136" s="4">
        <v>0</v>
      </c>
      <c r="T136" s="4">
        <v>0</v>
      </c>
      <c r="U136" s="4">
        <v>175</v>
      </c>
      <c r="V136" s="4">
        <v>0</v>
      </c>
      <c r="W136" s="4">
        <v>0</v>
      </c>
      <c r="X136" s="4">
        <v>175</v>
      </c>
      <c r="Y136" s="4">
        <v>0</v>
      </c>
      <c r="Z136" s="4">
        <v>0</v>
      </c>
      <c r="AA136">
        <f t="shared" si="2"/>
        <v>175</v>
      </c>
    </row>
    <row r="137" ht="15.75" spans="1:27">
      <c r="A137" s="2">
        <v>68</v>
      </c>
      <c r="B137" s="4">
        <f>_xlfn.XLOOKUP(E137,Sheet2!E:E,Sheet2!A:A)</f>
        <v>3066</v>
      </c>
      <c r="C137" s="4">
        <v>201</v>
      </c>
      <c r="D137" s="5" t="str">
        <f>VLOOKUP(E137,Sheet2!F:G,2,FALSE)</f>
        <v>三叉神经周围支切断术</v>
      </c>
      <c r="E137" s="4" t="s">
        <v>1506</v>
      </c>
      <c r="F137" s="7"/>
      <c r="G137" s="4">
        <v>1125</v>
      </c>
      <c r="H137" s="4">
        <v>1080</v>
      </c>
      <c r="I137" s="4">
        <v>918</v>
      </c>
      <c r="J137" s="7"/>
      <c r="K137" s="4">
        <v>1190</v>
      </c>
      <c r="L137" s="4">
        <v>1080</v>
      </c>
      <c r="M137" s="4">
        <v>920</v>
      </c>
      <c r="N137" s="4">
        <v>1</v>
      </c>
      <c r="O137" s="4">
        <v>1</v>
      </c>
      <c r="P137" s="4" t="s">
        <v>1637</v>
      </c>
      <c r="Q137" s="4">
        <v>0</v>
      </c>
      <c r="R137" s="4">
        <v>0</v>
      </c>
      <c r="S137" s="4">
        <v>2</v>
      </c>
      <c r="T137" s="4">
        <v>0</v>
      </c>
      <c r="U137" s="4">
        <v>0</v>
      </c>
      <c r="V137" s="4">
        <v>0</v>
      </c>
      <c r="W137" s="4">
        <v>0</v>
      </c>
      <c r="X137" s="4">
        <v>0</v>
      </c>
      <c r="Y137" s="4">
        <v>0</v>
      </c>
      <c r="Z137" s="4">
        <v>0</v>
      </c>
      <c r="AA137">
        <f t="shared" si="2"/>
        <v>0</v>
      </c>
    </row>
    <row r="138" ht="15.75" spans="1:27">
      <c r="A138" s="2">
        <v>77</v>
      </c>
      <c r="B138" s="4">
        <f>_xlfn.XLOOKUP(E138,Sheet2!E:E,Sheet2!A:A)</f>
        <v>3067</v>
      </c>
      <c r="C138" s="4">
        <v>201</v>
      </c>
      <c r="D138" s="5" t="str">
        <f>VLOOKUP(E138,Sheet2!F:G,2,FALSE)</f>
        <v>三叉神经周围支切断术（酒精封闭法、甘油封闭法、冷冻法、射频法）</v>
      </c>
      <c r="E138" s="4" t="s">
        <v>1509</v>
      </c>
      <c r="F138" s="7"/>
      <c r="G138" s="4">
        <v>1187.5</v>
      </c>
      <c r="H138" s="4">
        <v>1140</v>
      </c>
      <c r="I138" s="4">
        <v>969</v>
      </c>
      <c r="J138" s="7"/>
      <c r="K138" s="4">
        <v>1190</v>
      </c>
      <c r="L138" s="4">
        <v>1080</v>
      </c>
      <c r="M138" s="4">
        <v>920</v>
      </c>
      <c r="N138" s="4">
        <v>1</v>
      </c>
      <c r="O138" s="4">
        <v>1</v>
      </c>
      <c r="P138" s="4" t="s">
        <v>1637</v>
      </c>
      <c r="Q138" s="4">
        <v>0</v>
      </c>
      <c r="R138" s="4">
        <v>41</v>
      </c>
      <c r="S138" s="4">
        <v>0</v>
      </c>
      <c r="T138" s="4">
        <v>0</v>
      </c>
      <c r="U138" s="4">
        <v>102.5</v>
      </c>
      <c r="V138" s="4">
        <v>0</v>
      </c>
      <c r="W138" s="4">
        <v>0</v>
      </c>
      <c r="X138" s="4">
        <v>102.5</v>
      </c>
      <c r="Y138" s="4">
        <v>0</v>
      </c>
      <c r="Z138" s="4">
        <v>0</v>
      </c>
      <c r="AA138">
        <f t="shared" si="2"/>
        <v>102.5</v>
      </c>
    </row>
    <row r="139" ht="15.75" spans="1:27">
      <c r="A139" s="2">
        <v>52</v>
      </c>
      <c r="B139" s="4">
        <f>_xlfn.XLOOKUP(E139,Sheet2!E:E,Sheet2!A:A)</f>
        <v>3072</v>
      </c>
      <c r="C139" s="4">
        <v>201</v>
      </c>
      <c r="D139" s="5" t="str">
        <f>VLOOKUP(E139,Sheet2!F:G,2,FALSE)</f>
        <v>颅神经微血管减压术</v>
      </c>
      <c r="E139" s="4" t="s">
        <v>1528</v>
      </c>
      <c r="F139" s="7"/>
      <c r="G139" s="4">
        <v>3380</v>
      </c>
      <c r="H139" s="4">
        <v>3040</v>
      </c>
      <c r="I139" s="4">
        <v>2580</v>
      </c>
      <c r="J139" s="7"/>
      <c r="K139" s="4">
        <v>3600</v>
      </c>
      <c r="L139" s="4">
        <v>3300</v>
      </c>
      <c r="M139" s="4">
        <v>2800</v>
      </c>
      <c r="N139" s="4">
        <v>1</v>
      </c>
      <c r="O139" s="4">
        <v>1</v>
      </c>
      <c r="P139" s="4" t="s">
        <v>1637</v>
      </c>
      <c r="Q139" s="4">
        <v>0</v>
      </c>
      <c r="R139" s="4">
        <v>16.5</v>
      </c>
      <c r="S139" s="4">
        <v>3</v>
      </c>
      <c r="T139" s="4">
        <v>0</v>
      </c>
      <c r="U139" s="4">
        <v>3630</v>
      </c>
      <c r="V139" s="4">
        <v>780</v>
      </c>
      <c r="W139" s="4">
        <v>0</v>
      </c>
      <c r="X139" s="4">
        <v>3630</v>
      </c>
      <c r="Y139" s="4">
        <v>780</v>
      </c>
      <c r="Z139" s="4">
        <v>0</v>
      </c>
      <c r="AA139">
        <f t="shared" si="2"/>
        <v>4410</v>
      </c>
    </row>
    <row r="140" ht="15.75" spans="1:27">
      <c r="A140" s="2">
        <v>23</v>
      </c>
      <c r="B140" s="4">
        <f>_xlfn.XLOOKUP(E140,Sheet2!E:E,Sheet2!A:A)</f>
        <v>3074</v>
      </c>
      <c r="C140" s="4">
        <v>201</v>
      </c>
      <c r="D140" s="5" t="str">
        <f>VLOOKUP(E140,Sheet2!F:G,2,FALSE)</f>
        <v>脊髓和神经根粘连松解术</v>
      </c>
      <c r="E140" s="4" t="s">
        <v>1540</v>
      </c>
      <c r="F140" s="7"/>
      <c r="G140" s="4">
        <v>3380</v>
      </c>
      <c r="H140" s="4">
        <v>3040</v>
      </c>
      <c r="I140" s="4">
        <v>2580</v>
      </c>
      <c r="J140" s="7"/>
      <c r="K140" s="4">
        <v>3280</v>
      </c>
      <c r="L140" s="4">
        <v>2940</v>
      </c>
      <c r="M140" s="4">
        <v>2500</v>
      </c>
      <c r="N140" s="4">
        <v>1</v>
      </c>
      <c r="O140" s="4">
        <v>1</v>
      </c>
      <c r="P140" s="4" t="s">
        <v>1637</v>
      </c>
      <c r="Q140" s="4">
        <v>0</v>
      </c>
      <c r="R140" s="4">
        <v>112.8</v>
      </c>
      <c r="S140" s="4">
        <v>630</v>
      </c>
      <c r="T140" s="4">
        <v>0.5</v>
      </c>
      <c r="U140" s="4">
        <v>-11280</v>
      </c>
      <c r="V140" s="4">
        <v>-63000</v>
      </c>
      <c r="W140" s="4">
        <v>-40</v>
      </c>
      <c r="X140" s="4">
        <v>-11280</v>
      </c>
      <c r="Y140" s="4">
        <v>-126920</v>
      </c>
      <c r="Z140" s="4">
        <v>-40</v>
      </c>
      <c r="AA140">
        <f t="shared" si="2"/>
        <v>-138240</v>
      </c>
    </row>
    <row r="141" ht="15.75" spans="1:27">
      <c r="A141" s="2">
        <v>87</v>
      </c>
      <c r="B141" s="4">
        <f>_xlfn.XLOOKUP(E141,Sheet2!E:E,Sheet2!A:A)</f>
        <v>3075</v>
      </c>
      <c r="C141" s="4">
        <v>201</v>
      </c>
      <c r="D141" s="5" t="str">
        <f>VLOOKUP(E141,Sheet2!F:G,2,FALSE)</f>
        <v>脊髓栓系综合症手术</v>
      </c>
      <c r="E141" s="4" t="s">
        <v>1542</v>
      </c>
      <c r="F141" s="7"/>
      <c r="G141" s="4">
        <v>3380</v>
      </c>
      <c r="H141" s="4">
        <v>3040</v>
      </c>
      <c r="I141" s="4">
        <v>2580</v>
      </c>
      <c r="J141" s="7"/>
      <c r="K141" s="4">
        <v>3280</v>
      </c>
      <c r="L141" s="4">
        <v>2940</v>
      </c>
      <c r="M141" s="4">
        <v>2500</v>
      </c>
      <c r="N141" s="4">
        <v>1</v>
      </c>
      <c r="O141" s="4">
        <v>1</v>
      </c>
      <c r="P141" s="4" t="s">
        <v>1637</v>
      </c>
      <c r="Q141" s="4">
        <v>0</v>
      </c>
      <c r="R141" s="4">
        <v>3</v>
      </c>
      <c r="S141" s="4">
        <v>0</v>
      </c>
      <c r="T141" s="4">
        <v>0</v>
      </c>
      <c r="U141" s="4">
        <v>-300</v>
      </c>
      <c r="V141" s="4">
        <v>0</v>
      </c>
      <c r="W141" s="4">
        <v>0</v>
      </c>
      <c r="X141" s="4">
        <v>-300</v>
      </c>
      <c r="Y141" s="4">
        <v>0</v>
      </c>
      <c r="Z141" s="4">
        <v>0</v>
      </c>
      <c r="AA141">
        <f t="shared" si="2"/>
        <v>-300</v>
      </c>
    </row>
    <row r="142" ht="15.75" spans="1:27">
      <c r="A142" s="2">
        <v>42</v>
      </c>
      <c r="B142" s="4">
        <f>_xlfn.XLOOKUP(E142,Sheet2!E:E,Sheet2!A:A)</f>
        <v>3076</v>
      </c>
      <c r="C142" s="4">
        <v>201</v>
      </c>
      <c r="D142" s="5" t="str">
        <f>VLOOKUP(E142,Sheet2!F:G,2,FALSE)</f>
        <v>腰骶部潜毛窦切除术</v>
      </c>
      <c r="E142" s="4" t="s">
        <v>1544</v>
      </c>
      <c r="F142" s="7"/>
      <c r="G142" s="4">
        <v>2375</v>
      </c>
      <c r="H142" s="4">
        <v>2140</v>
      </c>
      <c r="I142" s="4">
        <v>1820</v>
      </c>
      <c r="J142" s="7"/>
      <c r="K142" s="4">
        <v>3280</v>
      </c>
      <c r="L142" s="4">
        <v>2940</v>
      </c>
      <c r="M142" s="4">
        <v>2500</v>
      </c>
      <c r="N142" s="4">
        <v>1</v>
      </c>
      <c r="O142" s="4">
        <v>1</v>
      </c>
      <c r="P142" s="4" t="s">
        <v>1637</v>
      </c>
      <c r="Q142" s="4">
        <v>0</v>
      </c>
      <c r="R142" s="4">
        <v>32</v>
      </c>
      <c r="S142" s="4">
        <v>61</v>
      </c>
      <c r="T142" s="4">
        <v>4</v>
      </c>
      <c r="U142" s="4">
        <v>28960</v>
      </c>
      <c r="V142" s="4">
        <v>48800</v>
      </c>
      <c r="W142" s="4">
        <v>2720</v>
      </c>
      <c r="X142" s="4">
        <v>44460</v>
      </c>
      <c r="Y142" s="4">
        <v>68550</v>
      </c>
      <c r="Z142" s="4">
        <v>3880</v>
      </c>
      <c r="AA142">
        <f t="shared" si="2"/>
        <v>116890</v>
      </c>
    </row>
    <row r="143" ht="15.75" spans="1:27">
      <c r="A143" s="2">
        <v>106</v>
      </c>
      <c r="B143" s="4">
        <f>_xlfn.XLOOKUP(E143,Sheet2!E:E,Sheet2!A:A)</f>
        <v>3078</v>
      </c>
      <c r="C143" s="4">
        <v>201</v>
      </c>
      <c r="D143" s="5" t="str">
        <f>VLOOKUP(E143,Sheet2!F:G,2,FALSE)</f>
        <v>小儿脊髓栓系综合症手术</v>
      </c>
      <c r="E143" s="4" t="s">
        <v>1550</v>
      </c>
      <c r="F143" s="7"/>
      <c r="G143" s="4">
        <v>4395</v>
      </c>
      <c r="H143" s="4">
        <v>3950</v>
      </c>
      <c r="I143" s="4">
        <v>3360</v>
      </c>
      <c r="J143" s="7"/>
      <c r="K143" s="4">
        <v>4265</v>
      </c>
      <c r="L143" s="4">
        <v>3820</v>
      </c>
      <c r="M143" s="4">
        <v>3250</v>
      </c>
      <c r="N143" s="4">
        <v>1</v>
      </c>
      <c r="O143" s="4">
        <v>1</v>
      </c>
      <c r="P143" s="4" t="s">
        <v>1637</v>
      </c>
      <c r="Q143" s="4">
        <v>0</v>
      </c>
      <c r="R143" s="4">
        <v>11</v>
      </c>
      <c r="S143" s="4">
        <v>0</v>
      </c>
      <c r="T143" s="4">
        <v>0</v>
      </c>
      <c r="U143" s="4">
        <v>-1430</v>
      </c>
      <c r="V143" s="4">
        <v>0</v>
      </c>
      <c r="W143" s="4">
        <v>0</v>
      </c>
      <c r="X143" s="4">
        <v>-1430</v>
      </c>
      <c r="Y143" s="4">
        <v>0</v>
      </c>
      <c r="Z143" s="4">
        <v>0</v>
      </c>
      <c r="AA143">
        <f t="shared" si="2"/>
        <v>-1430</v>
      </c>
    </row>
    <row r="144" ht="15.75" spans="1:27">
      <c r="A144" s="2">
        <v>65</v>
      </c>
      <c r="B144" s="4">
        <f>_xlfn.XLOOKUP(E144,Sheet2!E:E,Sheet2!A:A)</f>
        <v>3079</v>
      </c>
      <c r="C144" s="4">
        <v>201</v>
      </c>
      <c r="D144" s="5" t="str">
        <f>VLOOKUP(E144,Sheet2!F:G,2,FALSE)</f>
        <v>小儿腰骶部潜毛窦切除术</v>
      </c>
      <c r="E144" s="4" t="s">
        <v>1552</v>
      </c>
      <c r="F144" s="7"/>
      <c r="G144" s="4">
        <v>3090</v>
      </c>
      <c r="H144" s="4">
        <v>2780</v>
      </c>
      <c r="I144" s="4">
        <v>2365</v>
      </c>
      <c r="J144" s="7"/>
      <c r="K144" s="4">
        <v>4265</v>
      </c>
      <c r="L144" s="4">
        <v>3820</v>
      </c>
      <c r="M144" s="4">
        <v>3250</v>
      </c>
      <c r="N144" s="4">
        <v>1</v>
      </c>
      <c r="O144" s="4">
        <v>1</v>
      </c>
      <c r="P144" s="4" t="s">
        <v>1637</v>
      </c>
      <c r="Q144" s="4">
        <v>0</v>
      </c>
      <c r="R144" s="4">
        <v>1</v>
      </c>
      <c r="S144" s="4">
        <v>0</v>
      </c>
      <c r="T144" s="4">
        <v>0</v>
      </c>
      <c r="U144" s="4">
        <v>1175</v>
      </c>
      <c r="V144" s="4">
        <v>0</v>
      </c>
      <c r="W144" s="4">
        <v>0</v>
      </c>
      <c r="X144" s="4">
        <v>1825</v>
      </c>
      <c r="Y144" s="4">
        <v>0</v>
      </c>
      <c r="Z144" s="4">
        <v>0</v>
      </c>
      <c r="AA144">
        <f t="shared" si="2"/>
        <v>1825</v>
      </c>
    </row>
    <row r="145" ht="15.75" spans="1:27">
      <c r="A145" s="2">
        <v>22</v>
      </c>
      <c r="B145" s="4">
        <f>_xlfn.XLOOKUP(E145,Sheet2!E:E,Sheet2!A:A)</f>
        <v>3080</v>
      </c>
      <c r="C145" s="4">
        <v>201</v>
      </c>
      <c r="D145" s="5" t="str">
        <f>VLOOKUP(E145,Sheet2!F:G,2,FALSE)</f>
        <v>面神经松解减压术</v>
      </c>
      <c r="E145" s="4" t="s">
        <v>1564</v>
      </c>
      <c r="F145" s="7"/>
      <c r="G145" s="4">
        <v>2160</v>
      </c>
      <c r="H145" s="4">
        <v>1950</v>
      </c>
      <c r="I145" s="4">
        <v>1660</v>
      </c>
      <c r="J145" s="7"/>
      <c r="K145" s="4">
        <v>2160</v>
      </c>
      <c r="L145" s="4">
        <v>1950</v>
      </c>
      <c r="M145" s="4">
        <v>1660</v>
      </c>
      <c r="N145" s="4">
        <v>1</v>
      </c>
      <c r="O145" s="4">
        <v>1</v>
      </c>
      <c r="P145" s="4" t="s">
        <v>1637</v>
      </c>
      <c r="Q145" s="4">
        <v>0</v>
      </c>
      <c r="R145" s="4">
        <v>5.5</v>
      </c>
      <c r="S145" s="4">
        <v>2.5</v>
      </c>
      <c r="T145" s="4">
        <v>1</v>
      </c>
      <c r="U145" s="4">
        <v>0</v>
      </c>
      <c r="V145" s="4">
        <v>0</v>
      </c>
      <c r="W145" s="4">
        <v>0</v>
      </c>
      <c r="X145" s="4">
        <v>2585</v>
      </c>
      <c r="Y145" s="4">
        <v>1075</v>
      </c>
      <c r="Z145" s="4">
        <v>370</v>
      </c>
      <c r="AA145">
        <f t="shared" si="2"/>
        <v>4030</v>
      </c>
    </row>
    <row r="146" ht="15.75" spans="1:27">
      <c r="A146" s="2">
        <v>3</v>
      </c>
      <c r="B146" s="4">
        <f>_xlfn.XLOOKUP(E146,Sheet2!E:E,Sheet2!A:A)</f>
        <v>3083</v>
      </c>
      <c r="C146" s="4">
        <v>201</v>
      </c>
      <c r="D146" s="5" t="str">
        <f>VLOOKUP(E146,Sheet2!F:G,2,FALSE)</f>
        <v>面神经吻合术</v>
      </c>
      <c r="E146" s="4" t="s">
        <v>1579</v>
      </c>
      <c r="F146" s="7"/>
      <c r="G146" s="4">
        <v>3040</v>
      </c>
      <c r="H146" s="4">
        <v>2740</v>
      </c>
      <c r="I146" s="4">
        <v>2330</v>
      </c>
      <c r="J146" s="7"/>
      <c r="K146" s="4">
        <v>3250</v>
      </c>
      <c r="L146" s="4">
        <v>2900</v>
      </c>
      <c r="M146" s="4">
        <v>2450</v>
      </c>
      <c r="N146" s="4">
        <v>1</v>
      </c>
      <c r="O146" s="4">
        <v>1</v>
      </c>
      <c r="P146" s="4" t="s">
        <v>1637</v>
      </c>
      <c r="Q146" s="4">
        <v>0</v>
      </c>
      <c r="R146" s="4">
        <v>0</v>
      </c>
      <c r="S146" s="4">
        <v>0.5</v>
      </c>
      <c r="T146" s="4">
        <v>0</v>
      </c>
      <c r="U146" s="4">
        <v>0</v>
      </c>
      <c r="V146" s="4">
        <v>80</v>
      </c>
      <c r="W146" s="4">
        <v>0</v>
      </c>
      <c r="X146" s="4">
        <v>0</v>
      </c>
      <c r="Y146" s="4">
        <v>80</v>
      </c>
      <c r="Z146" s="4">
        <v>0</v>
      </c>
      <c r="AA146">
        <f t="shared" si="2"/>
        <v>80</v>
      </c>
    </row>
    <row r="147" ht="15.75" spans="1:27">
      <c r="A147" s="2">
        <v>139</v>
      </c>
      <c r="B147" s="4">
        <f>_xlfn.XLOOKUP(E147,Sheet2!E:E,Sheet2!A:A)</f>
        <v>3086</v>
      </c>
      <c r="C147" s="4">
        <v>201</v>
      </c>
      <c r="D147" s="5" t="str">
        <f>VLOOKUP(E147,Sheet2!F:G,2,FALSE)</f>
        <v>面神经周围神经移植术</v>
      </c>
      <c r="E147" s="4" t="s">
        <v>1587</v>
      </c>
      <c r="F147" s="7"/>
      <c r="G147" s="4">
        <v>2160</v>
      </c>
      <c r="H147" s="4">
        <v>1950</v>
      </c>
      <c r="I147" s="4">
        <v>1660</v>
      </c>
      <c r="J147" s="7"/>
      <c r="K147" s="4">
        <v>3250</v>
      </c>
      <c r="L147" s="4">
        <v>2900</v>
      </c>
      <c r="M147" s="4">
        <v>2450</v>
      </c>
      <c r="N147" s="4">
        <v>1</v>
      </c>
      <c r="O147" s="4">
        <v>1</v>
      </c>
      <c r="P147" s="4" t="s">
        <v>1637</v>
      </c>
      <c r="Q147" s="4">
        <v>0</v>
      </c>
      <c r="R147" s="4">
        <v>0.5</v>
      </c>
      <c r="S147" s="4">
        <v>0</v>
      </c>
      <c r="T147" s="4">
        <v>0</v>
      </c>
      <c r="U147" s="4">
        <v>545</v>
      </c>
      <c r="V147" s="4">
        <v>0</v>
      </c>
      <c r="W147" s="4">
        <v>0</v>
      </c>
      <c r="X147" s="4">
        <v>780</v>
      </c>
      <c r="Y147" s="4">
        <v>0</v>
      </c>
      <c r="Z147" s="4">
        <v>0</v>
      </c>
      <c r="AA147">
        <f t="shared" si="2"/>
        <v>780</v>
      </c>
    </row>
    <row r="148" ht="15.75"/>
  </sheetData>
  <autoFilter ref="A1:AA196">
    <sortState ref="A2:AA196">
      <sortCondition ref="B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Sheet1</vt:lpstr>
      <vt:lpstr>Sheet1 (2)</vt:lpstr>
      <vt:lpstr>Sheet2</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HIKVISION</dc:creator>
  <cp:lastModifiedBy>QHTF</cp:lastModifiedBy>
  <dcterms:created xsi:type="dcterms:W3CDTF">2026-01-24T17:05:00Z</dcterms:created>
  <dcterms:modified xsi:type="dcterms:W3CDTF">2026-04-29T16:27:14Z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6B19DC83C50D70303681E8691ADC10E8</vt:lpwstr>
  </property>
  <property fmtid="{D5CDD505-2E9C-101B-9397-08002B2CF9AE}" pid="3" name="KSOProductBuildVer">
    <vt:lpwstr>2052-11.8.2.12219</vt:lpwstr>
  </property>
  <property fmtid="{D5CDD505-2E9C-101B-9397-08002B2CF9AE}" pid="4" name="KSOReadingLayout">
    <vt:bool>true</vt:bool>
  </property>
</Properties>
</file>