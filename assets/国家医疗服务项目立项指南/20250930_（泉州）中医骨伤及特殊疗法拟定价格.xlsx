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20" windowHeight="11500"/>
  </bookViews>
  <sheets>
    <sheet name="骨伤" sheetId="5" r:id="rId1"/>
    <sheet name="特殊" sheetId="4" r:id="rId2"/>
  </sheets>
  <definedNames>
    <definedName name="_xlnm._FilterDatabase" localSheetId="0" hidden="1">骨伤!$A$2:$AL$44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<sst xmlns="http://schemas.openxmlformats.org/spreadsheetml/2006/main" count="505" uniqueCount="278">
  <si>
    <t>中医骨伤类医疗服务价格项目立项指南</t>
  </si>
  <si>
    <t>对应福建省项目</t>
  </si>
  <si>
    <t>序号</t>
  </si>
  <si>
    <t>项目代码</t>
  </si>
  <si>
    <t>项目名称</t>
  </si>
  <si>
    <t>归集口径</t>
  </si>
  <si>
    <t>服务产出</t>
  </si>
  <si>
    <t>价格构成</t>
  </si>
  <si>
    <t>计价单位</t>
  </si>
  <si>
    <t>计价说明</t>
  </si>
  <si>
    <t>省属三甲（元）</t>
  </si>
  <si>
    <t>省属三甲以下（元）</t>
  </si>
  <si>
    <t>测算平移价格(市)</t>
  </si>
  <si>
    <t>测算平移价格(县)</t>
  </si>
  <si>
    <t>测算平移价格(基层)</t>
  </si>
  <si>
    <t>拟定价格(市)</t>
  </si>
  <si>
    <t>拟定价格(县)</t>
  </si>
  <si>
    <t>拟定价格(基层)</t>
  </si>
  <si>
    <t>调价情况</t>
  </si>
  <si>
    <t>医保
属性</t>
  </si>
  <si>
    <t>医保限定支付范围</t>
  </si>
  <si>
    <t>个人先行自付比例</t>
  </si>
  <si>
    <t>备注</t>
  </si>
  <si>
    <t>国家结算编码</t>
  </si>
  <si>
    <t>地方项目代码</t>
  </si>
  <si>
    <t>地方项目名称</t>
  </si>
  <si>
    <t>地方项目内涵</t>
  </si>
  <si>
    <t>除外内容</t>
  </si>
  <si>
    <t>说明</t>
  </si>
  <si>
    <t>调整前（省三甲）</t>
  </si>
  <si>
    <t>调整前（省三甲以下）</t>
  </si>
  <si>
    <t>价格（省三甲）</t>
  </si>
  <si>
    <t>价格（省三甲以下）</t>
  </si>
  <si>
    <t>价格
(市级)</t>
  </si>
  <si>
    <t>价格
(县级)</t>
  </si>
  <si>
    <t>价格
(基层)</t>
  </si>
  <si>
    <t>市级数量</t>
  </si>
  <si>
    <t>县级数量</t>
  </si>
  <si>
    <t>基层数量</t>
  </si>
  <si>
    <t>市级收费总金额</t>
  </si>
  <si>
    <t>县级收费总金额</t>
  </si>
  <si>
    <t>基层收费总金额</t>
  </si>
  <si>
    <t>43</t>
  </si>
  <si>
    <t>（三）中医骨伤</t>
  </si>
  <si>
    <t>使用说明:
1.本类别以中医骨伤为重点，按照中医骨伤治疗方式的服务产出设立价格项目。医疗机构、医务人员实施中医骨伤过程中有关创新改良，采取“现有项目兼容”的方式简化处理，直接按照对应的整合项目执行即可。
2.“价格构成”指项目价格应涵盖的各类资源消耗，用于确定计价单元的边界，是各级医疗保障部门制定调整项目价格考虑的测算因子，不应作为临床技术标准理解，不是实际操作方式、路径、步骤、程序的强制性要求，价格构成中包含，但个别临床实践中非必要、未发生的，无需强制要求公立医疗机构减计费用。所列“设备投入”包括但不限于操作设备、器具及固定资产投入。
3.“加收项”指同一项目以不同方式提供或在不同场景应用时，确有必要制定差异化收费标准而细分的一类子项。
4.“扩展项”指同一项目下以不同方式提供或在不同场景应用时，只扩展价格项目适用范围、不额外加价的一类子项，子项的价格按主项目执行。
5.“基本物耗”指原则上限于不应或不必要与医疗服务项目分割的易耗品，包括但不限于各类消杀灭菌用品、标签、储存用品、清洁用品、个人防护用品、垃圾处理用品、冲洗液、润滑剂、棉球、棉签、纱布（垫）、护（尿）垫、手术巾（单）、治疗巾（单）、中单、治疗护理盘(包）、手术包、注射器、防渗漏垫、悬吊巾、压垫、棉垫、可复用的操作器具、各种针具刀具等。基本物耗成本计入项目价格，不另行收费。除基本物耗以外的其他耗材，按照实际采购价格零差率另行收费。
6.“每关节”是指单个大关节（肩、肘、腕、髋、膝、踝）、颈椎、胸椎、腰椎、单侧手掌部关节、单侧足部关节、单侧颞颌关节、单侧肩锁关节、胸锁关节。
7.“儿童”是指6岁及以下未成年人。
8. 涉及“包括……”“……等”的，属于开放型表述，所指对象不仅局限于表述中列明的事项，也包括未列明的同类事项。</t>
  </si>
  <si>
    <t>014300000010000</t>
  </si>
  <si>
    <t>手法整复术（关节脱位）</t>
  </si>
  <si>
    <t>治疗费</t>
  </si>
  <si>
    <t>通过手法（或辅助器械）使脱位或紊乱关节复位。</t>
  </si>
  <si>
    <t>所定价格涵盖摆位、整复、包扎、必要时固定等步骤，以及必要时使用辅助器械所需的人力资源和基本物质资源消耗。</t>
  </si>
  <si>
    <t>每关节</t>
  </si>
  <si>
    <r>
      <rPr>
        <sz val="10"/>
        <color theme="1"/>
        <rFont val="仿宋"/>
        <charset val="134"/>
      </rPr>
      <t>指（趾）间关节脱位、下颌关节脱位、桡骨头半脱位</t>
    </r>
    <r>
      <rPr>
        <sz val="10"/>
        <color rgb="FFFF0000"/>
        <rFont val="仿宋"/>
        <charset val="134"/>
      </rPr>
      <t>减半收取</t>
    </r>
    <r>
      <rPr>
        <sz val="10"/>
        <color theme="1"/>
        <rFont val="仿宋"/>
        <charset val="134"/>
      </rPr>
      <t>。</t>
    </r>
  </si>
  <si>
    <t>提高</t>
  </si>
  <si>
    <t>医保</t>
  </si>
  <si>
    <t>省级2024年调整价格，调整前450元，调整后550元，调整后我市价格仅为省级73.6%，考虑扶持中医发展和理顺比价关系，按原比价关拟定市级价格，按原比价关拟定市、县、基层价格</t>
  </si>
  <si>
    <t>004200000050000-420000005</t>
  </si>
  <si>
    <t>关节脱位手法整复术</t>
  </si>
  <si>
    <t>次</t>
  </si>
  <si>
    <t>陈旧性脱位、髋关节脱位加收100%；下颌关节脱位、指(趾)间关节脱位按50%计价；桡骨头半脱位市级医院162元，县级医院146元，基层124元；桡骨头脱位市级医院270元，县级医院243元，基层207元</t>
  </si>
  <si>
    <t>004200000050000-42000000506</t>
  </si>
  <si>
    <t>关节脱位手法整复术（桡骨头脱位）</t>
  </si>
  <si>
    <t>004200000090000-420000009</t>
  </si>
  <si>
    <t>麻醉下腰椎间盘突出症大手法治疗</t>
  </si>
  <si>
    <t>含X光透视、麻醉</t>
  </si>
  <si>
    <t>分项</t>
  </si>
  <si>
    <t>手法整复术（指（趾）间关节脱位、下颌关节脱位、桡骨头半脱位）</t>
  </si>
  <si>
    <t>004200000050003-42000000503</t>
  </si>
  <si>
    <t>关节脱位手法整复术（下颌关节脱位）</t>
  </si>
  <si>
    <t>004200000050004-42000000504</t>
  </si>
  <si>
    <t>关节脱位手法整复术（指（趾）间关节脱位）</t>
  </si>
  <si>
    <t>指(趾)间关节脱位</t>
  </si>
  <si>
    <t>004200000050000-42000000505</t>
  </si>
  <si>
    <t>关节脱位手法整复术（桡骨头半脱位）</t>
  </si>
  <si>
    <t>014300000010001</t>
  </si>
  <si>
    <t>手法整复术（关节脱位）-儿童（加收）</t>
  </si>
  <si>
    <t>指（趾）间关节脱位、下颌关节脱位、桡骨头半脱位减半收取。</t>
  </si>
  <si>
    <t>手法整复术（指（趾）间关节脱位、下颌关节脱位、桡骨头半脱位）-儿童（加收）</t>
  </si>
  <si>
    <t>014300000020000</t>
  </si>
  <si>
    <t>手法整复术（复杂关节脱位）</t>
  </si>
  <si>
    <t>通过手法（或辅助器械）使脱位复杂关节复位。</t>
  </si>
  <si>
    <t>“复杂关节脱位”指寰枢椎、髋关节、骨盆等关节脱位以及陈旧性脱位。</t>
  </si>
  <si>
    <t>省级2024年调整价格，调整前900元，调整后1100元，调整后我市价格仅为省级73.6%，考虑扶持中医发展和理顺比价关系，按原比价关拟定市、县、基层价格</t>
  </si>
  <si>
    <t>004200000050001-42000000501</t>
  </si>
  <si>
    <t>关节脱位手法整复术（陈旧性脱位）</t>
  </si>
  <si>
    <t>004200000050002-42000000502</t>
  </si>
  <si>
    <t>关节脱位手法整复术（髋关节脱位）</t>
  </si>
  <si>
    <t>014300000020001</t>
  </si>
  <si>
    <t>手法整复术（复杂关节脱位）-儿童（加收）</t>
  </si>
  <si>
    <t>014300000030000</t>
  </si>
  <si>
    <t>手法整复术（骨伤）</t>
  </si>
  <si>
    <t>通过正骨手法（或辅助器械）使骨折或韧带损伤复位。</t>
  </si>
  <si>
    <t>每处骨折</t>
  </si>
  <si>
    <t>掌（跖）、指（趾）骨折减半收取</t>
  </si>
  <si>
    <t>004200000010000-420000001</t>
  </si>
  <si>
    <t>骨折手法整复术</t>
  </si>
  <si>
    <t>陈旧性骨折加收100%；骨折合并脱位的加收50%；掌(跖)、指(趾)骨折按50%计价</t>
  </si>
  <si>
    <t>004200000010002-42000000102</t>
  </si>
  <si>
    <t>骨折手法整复术（骨折合并脱位）</t>
  </si>
  <si>
    <t>手法整复术（掌（跖）、指（趾）骨折）</t>
  </si>
  <si>
    <t>004200000010003-42000000103</t>
  </si>
  <si>
    <t>骨折手法整复术（掌（跖）、指（趾）骨折）</t>
  </si>
  <si>
    <t>掌(跖)、指(趾)骨折</t>
  </si>
  <si>
    <t>014300000030001</t>
  </si>
  <si>
    <t>手法整复术（骨伤）-儿童（加收）</t>
  </si>
  <si>
    <t>手法整复术（掌（跖）、指（趾）骨折）-儿童（加收）</t>
  </si>
  <si>
    <t>014300000040000</t>
  </si>
  <si>
    <t>手法整复术（复杂骨伤）</t>
  </si>
  <si>
    <t>通过正骨手法（或辅助器械）使复杂骨折或韧带损伤复位。</t>
  </si>
  <si>
    <t>“复杂骨伤”指脊柱、骨盆、关节内等骨折以及陈旧性、粉碎性骨折。</t>
  </si>
  <si>
    <t>省级2024年调整价格，调整前900元，调整后1100元，调整后我市价格仅为省级73.6%，考虑扶持中医发展和理顺比价关系，根据省局定价原则（与普通骨伤拉开差距，给予一定系数加成2.2倍），按原比价关和拟定市、县、基层价格。</t>
  </si>
  <si>
    <t>004200000010001-42000000101</t>
  </si>
  <si>
    <t>骨折手法整复术（陈旧性骨折）</t>
  </si>
  <si>
    <t>014300000040001</t>
  </si>
  <si>
    <t>手法整复术（复杂骨伤）-儿童（加收）</t>
  </si>
  <si>
    <t>014300000050000</t>
  </si>
  <si>
    <t>小夹板固定术</t>
  </si>
  <si>
    <t>通过小夹板等各种外固定方式对骨折部位进行包扎固定。</t>
  </si>
  <si>
    <t>所定价格涵盖摆位、固定等步骤所需的人力资源和基本物质资源消耗。</t>
  </si>
  <si>
    <t>部位</t>
  </si>
  <si>
    <t>掌（跖）、指（趾）骨折的小夹板固定按30%收取</t>
  </si>
  <si>
    <t>降低</t>
  </si>
  <si>
    <t>根据省局定价原则，按原比价关和拟定市、县、基层价格。</t>
  </si>
  <si>
    <t>004200000070000-420000007</t>
  </si>
  <si>
    <t>骨折夹板外固定术</t>
  </si>
  <si>
    <t>含整复固定，包括复查调整、8字绷带外固定术、叠瓦氏外固定术</t>
  </si>
  <si>
    <t>004200000070300-42000000701</t>
  </si>
  <si>
    <t>骨折夹板外固定术（叠瓦氏外固定术）</t>
  </si>
  <si>
    <t>叠瓦氏外固定术</t>
  </si>
  <si>
    <t>004200000070200-42000000702</t>
  </si>
  <si>
    <t>骨折夹板外固定术（8字绷带外固定术）</t>
  </si>
  <si>
    <t>8字绷带外固定术</t>
  </si>
  <si>
    <t>小夹板固定术（掌（跖）、指（趾）骨折）</t>
  </si>
  <si>
    <t>014300000050001</t>
  </si>
  <si>
    <t>小夹板固定术-儿童（加收）</t>
  </si>
  <si>
    <t>小夹板固定术（掌（跖）、指（趾）骨折）-儿童（加收）</t>
  </si>
  <si>
    <t>014300000060000</t>
  </si>
  <si>
    <t>小夹板调整术</t>
  </si>
  <si>
    <t>根据患者复诊情况对小夹板等外固定装置进行调整。</t>
  </si>
  <si>
    <t>所定价格涵盖观察、调整等步骤所需的人力资源和基本物质资源消耗。</t>
  </si>
  <si>
    <t>省级2024年调整价格，调整前52元，调整后65元，调整后我市价格仅为省级73.9%，考虑扶持中医发展和理顺比价关系，根据省局定价原则，按原比价关和拟定市、县、基层价格。</t>
  </si>
  <si>
    <t>004200000120000-420000012</t>
  </si>
  <si>
    <t>外固定调整术</t>
  </si>
  <si>
    <t>包括骨折外固定架、外固定夹板调整</t>
  </si>
  <si>
    <t>004200000120100-42000001201</t>
  </si>
  <si>
    <t>外固定调整术（骨折外固定架调整）</t>
  </si>
  <si>
    <t>骨折外固定架调整</t>
  </si>
  <si>
    <t>004200000120200-42000001202</t>
  </si>
  <si>
    <t>外固定调整术（外固定夹板调整）</t>
  </si>
  <si>
    <t>外固定夹板调整</t>
  </si>
  <si>
    <t>014300000060001</t>
  </si>
  <si>
    <t>小夹板调整术-儿童（加收）</t>
  </si>
  <si>
    <t>014300000070000</t>
  </si>
  <si>
    <t>中医复位内固定术</t>
  </si>
  <si>
    <t>手术费</t>
  </si>
  <si>
    <t>使用各种针具、钉具，以内固定方式复位固定骨折部位。</t>
  </si>
  <si>
    <t>所定价格涵盖摆位、消毒、进针、牵拉复位、撬拨、包扎固定等步骤所需的人力资源和基本物质资源消耗。</t>
  </si>
  <si>
    <t>基本持平</t>
  </si>
  <si>
    <t>平移后取整</t>
  </si>
  <si>
    <t>004200000030000-420000003</t>
  </si>
  <si>
    <t>骨折经皮钳夹复位术</t>
  </si>
  <si>
    <t>004200000040000-420000004</t>
  </si>
  <si>
    <t>骨折闭合复位经皮穿刺（钉）内固定</t>
  </si>
  <si>
    <t>含手法复位、穿针固定</t>
  </si>
  <si>
    <t>四肢长骨干、近关节基层医院收910元，县级医院收1015元，市级医院收1065元</t>
  </si>
  <si>
    <t>004200000040001-42000000401</t>
  </si>
  <si>
    <t>骨折闭合复位经皮穿刺（钉）内固定（四肢长骨干）</t>
  </si>
  <si>
    <t>四肢长骨干</t>
  </si>
  <si>
    <t>004200000040002-42000000402</t>
  </si>
  <si>
    <t>骨折闭合复位经皮穿刺（钉）内固定（近关节）</t>
  </si>
  <si>
    <t>近关节</t>
  </si>
  <si>
    <t>004200000020000-420000002</t>
  </si>
  <si>
    <t>骨折橇拨复位术</t>
  </si>
  <si>
    <t>014300000070001</t>
  </si>
  <si>
    <t>中医复位内固定术-儿童（加收）</t>
  </si>
  <si>
    <t>014300000080000</t>
  </si>
  <si>
    <t>手法松解术</t>
  </si>
  <si>
    <t>通过理筋、松筋、弹拨等手法疏通经络、松解粘连、滑利关节。</t>
  </si>
  <si>
    <t>所定价格涵盖摆位、手法疏通等步骤，以及必要时使用辅助器械所需的人力资源和基本物质资源消耗。</t>
  </si>
  <si>
    <t>不与同部位中医推拿同时收费。关节错缝术参照手法松解术并按110元收取。</t>
  </si>
  <si>
    <t>市级基本持平，县级、基层按比价关系提高</t>
  </si>
  <si>
    <t>市级平移后取整，县级、基层按比价关系拟定</t>
  </si>
  <si>
    <t>004200000110000-420000011</t>
  </si>
  <si>
    <t>关节粘连传统松解术</t>
  </si>
  <si>
    <t>大关节加收50%</t>
  </si>
  <si>
    <t>004200000110001-42000001101</t>
  </si>
  <si>
    <t>关节粘连传统松解术（大关节）</t>
  </si>
  <si>
    <t>手法松解术（关节错缝术）</t>
  </si>
  <si>
    <t>平移</t>
  </si>
  <si>
    <t>004200000080000-420000008</t>
  </si>
  <si>
    <t>关节错缝术</t>
  </si>
  <si>
    <t>014300000080001</t>
  </si>
  <si>
    <t>手法松解术-儿童（加收）</t>
  </si>
  <si>
    <t>不与同部位中医推拿同时收费。儿童关节错缝术参照手法松解术并按33元收取。</t>
  </si>
  <si>
    <t>手法松解术（关节错缝术）-儿童（加收）</t>
  </si>
  <si>
    <t>014300000090000</t>
  </si>
  <si>
    <t>手法挤压术</t>
  </si>
  <si>
    <t>通过抚触挤压腱鞘囊肿，使囊肿破裂。</t>
  </si>
  <si>
    <t>所定价格涵盖定位、抚触、挤压等步骤所需的人力资源和基本物质资源消耗。</t>
  </si>
  <si>
    <t>省级2024年调整价格，调整前42元，调整后50元，调整后我市价格仅为省级76%，考虑扶持中医发展和理顺比价关系，根据省局定价原则，按原比价关和拟定市、县、基层价格。</t>
  </si>
  <si>
    <t>004200000150000-420000015</t>
  </si>
  <si>
    <t>腱鞘囊肿挤压术</t>
  </si>
  <si>
    <t>含加压包扎</t>
  </si>
  <si>
    <t>014300000090001</t>
  </si>
  <si>
    <t>手法挤压术-儿童（加收）</t>
  </si>
  <si>
    <t>中医特殊类医疗服务价格项目立项指南</t>
  </si>
  <si>
    <t>三甲</t>
  </si>
  <si>
    <t>三甲以下</t>
  </si>
  <si>
    <t>市级人次</t>
  </si>
  <si>
    <t>县级人次</t>
  </si>
  <si>
    <t>基层人次</t>
  </si>
  <si>
    <t>46</t>
  </si>
  <si>
    <t>（六）中医特殊疗法</t>
  </si>
  <si>
    <t>使用说明:
1.本类别以中医特殊疗法为重点，按照中医特殊疗法治疗方式的服务产出设立价格项目。医疗机构、医务人员实施中医特殊疗法过程中有关创新改良，采取“现有项目兼容”的方式简化处理，直接按照对应的整合项目执行即可。
2“价格构成”指项目价格应涵盖的各类资源消耗，用于确定计价单元的边界，是各级医疗保障部门制定调整项目价格考虑的测算因子，不应作为临床技术标准理解，不是实际操作方式、路径、步骤、程序的强制性要求，价格构成中包含，但个别临床实践中非必要、未发生的，无需强制要求公立医疗机构减计费用。所列“设备投入”包括但不限于操作设备、器具及固定资产投入。
3.“加收项”指同一项目以不同方式提供或在不同场景应用时，确有必要制定差异化收费标准而细分的一类子项。
4.“扩展项”指同一项目下以不同方式提供或在不同场景应用时，只扩展价格项目适用范围、不额外加价的一类子项，子项的价格按主项目执行。
5.“基本物耗”指原则上限于不应或不必要与医疗服务项目分割的易耗品，包括但不限于各类消杀灭菌用品、标签、储存用品、清洁用品、个人防护用品、垃圾处理用品、冲洗液、润滑剂、棉球、棉签、纱布（垫）、护（尿）垫、手术巾（单）、治疗巾（单）、中单、治疗护理盘(包）、手术包、注射器、防渗漏垫、悬吊巾、压垫、棉垫、可复用的操作器具、各种针具刀具等。基本物耗成本计入项目价格，不另行收费。除基本物耗以外的其他耗材，按照实际采购价格零差率另行收费。
6.“针刀（钩活）疗法”的计价单位为“部位”，具体指：头部、颈部、胸部、腰部、腹部、臀部、四肢大关节及手足，一次部位多次进针的不叠加收费。
7.“儿童”是指6岁及以下未成年人。
8.涉及“包括……”“……等”的，属于开放型表述，所指对象不仅局限于表述中列明的事项，也包括未列明的同类事项。</t>
  </si>
  <si>
    <t>014600000010000</t>
  </si>
  <si>
    <t>针刀（钩活）疗法</t>
  </si>
  <si>
    <t>使用针刀、铍针、刃针等各种针刀具，对病变组织松解剥离，起到缓解症状或治疗疾病的作用。</t>
  </si>
  <si>
    <t>所定价格涵盖定位、穿刺、剥离、包扎等人力资源和基本物质资源消耗。</t>
  </si>
  <si>
    <t>原项目价格倒挂省级，专家论证后，考虑人力成本、资源消耗和风险程度，市级持平省级拟定。</t>
  </si>
  <si>
    <t>004700000050000-470000005</t>
  </si>
  <si>
    <t>小针刀治疗</t>
  </si>
  <si>
    <t>包括刃针治疗</t>
  </si>
  <si>
    <t>每个部位</t>
  </si>
  <si>
    <t>以头部、颈部、颈椎、胸部、胸椎、腰部、腰椎、臀部、腹部及四肢大关节为区分部位。</t>
  </si>
  <si>
    <t>004700000050100-47000000501</t>
  </si>
  <si>
    <t>小针刀治疗（刃针治疗）</t>
  </si>
  <si>
    <t>刃针治疗</t>
  </si>
  <si>
    <t>014600000010001</t>
  </si>
  <si>
    <t>针刀（钩活）疗法-脊柱针刀疗法（加收）</t>
  </si>
  <si>
    <t>014600000020000</t>
  </si>
  <si>
    <t>点穴疗法</t>
  </si>
  <si>
    <t>通过对穴位或局部点压施术，起到缓解症状或治疗疾病的作用。</t>
  </si>
  <si>
    <t>所定价格涵盖定位、施压等人力资源和基本物质资源消耗。</t>
  </si>
  <si>
    <t>计价单位不一致，根据历史数据，收费次数和门诊量加权平均得出单次平移价格。按照不超过省级价格原则拟定。</t>
  </si>
  <si>
    <t>004300000030000-430000003</t>
  </si>
  <si>
    <t>手指点穴</t>
  </si>
  <si>
    <t>/</t>
  </si>
  <si>
    <t>5个穴位</t>
  </si>
  <si>
    <t>014600000030000</t>
  </si>
  <si>
    <t>中医烙法</t>
  </si>
  <si>
    <t>通过烙具烙烫病变部位，起到缓解症状或治疗疾病的作用。</t>
  </si>
  <si>
    <t>所定价格涵盖定位、消毒、烙烫等人力资源和基本物质资源消耗。</t>
  </si>
  <si>
    <t>省级2024年调整价格，调整前127元，调整后145元，调整后我市价格仅为省级79.3%，考虑扶持中医发展和理顺比价关系，按原比价关拟定市级价格，按原比价关拟定市、县、基层价格</t>
  </si>
  <si>
    <t>004700000070000-470000007</t>
  </si>
  <si>
    <t>扁桃体烙法治疗</t>
  </si>
  <si>
    <t>包括扁桃体啄治、鼻中隔烙法治疗</t>
  </si>
  <si>
    <t>004700000070001-47000000702</t>
  </si>
  <si>
    <t>鼻中隔烙法治疗</t>
  </si>
  <si>
    <t>在鼻镜窥视下行鼻腔黏膜表面麻醉，根据局部病变情况使用不同规格的烙铁，借助酒精灯将烙铁烧红蘸香油后置于病变黏膜处</t>
  </si>
  <si>
    <t>014600000030001</t>
  </si>
  <si>
    <t>中医烙法-儿童（加收）</t>
  </si>
  <si>
    <t>014600000040000</t>
  </si>
  <si>
    <t>白内障针拨术</t>
  </si>
  <si>
    <t>通过拨障针摘除晶状体混浊部分。</t>
  </si>
  <si>
    <t>所定价格涵盖散瞳、消毒、开睑、切口、拨障针拨断晶状体悬韧带、晶体压入玻璃体腔、出针、闭合切口、包扎等人力资源和基本物质资源消耗。</t>
  </si>
  <si>
    <t>单眼</t>
  </si>
  <si>
    <t>泉州无开展量，按比较关系拟定项目价格。</t>
  </si>
  <si>
    <t>004700000010000-470000001</t>
  </si>
  <si>
    <t>粘弹剂</t>
  </si>
  <si>
    <t>004700000020000-470000002</t>
  </si>
  <si>
    <t>白内障针拨吸出术</t>
  </si>
  <si>
    <t>004700000030000-470000003</t>
  </si>
  <si>
    <t>白内障针拨套出术</t>
  </si>
  <si>
    <t>014600000050000</t>
  </si>
  <si>
    <t>足底反射疗法</t>
  </si>
  <si>
    <t>通过手法对足部反射区进行刺激，起到缓解症状或治疗疾病的作用。</t>
  </si>
  <si>
    <t>所定价格涵盖泡洗、定位、穴位刺激等人力资源和基本物质资源消耗。</t>
  </si>
  <si>
    <t>不与中医推拿同时收费。</t>
  </si>
  <si>
    <t>非医保</t>
  </si>
  <si>
    <t>004700000160000-470000016</t>
  </si>
  <si>
    <t>足底反射治疗</t>
  </si>
  <si>
    <t>014600000060000</t>
  </si>
  <si>
    <t>红皮病清消治疗</t>
  </si>
  <si>
    <t>针对红皮病病变部位进行清创处理、中药外敷，起到促进皮损愈合的作用。</t>
  </si>
  <si>
    <t>所定价格涵盖消毒、清创、敷药、包扎等人力资源和基本物质资源消耗。</t>
  </si>
  <si>
    <t>004700000060000-470000006</t>
  </si>
  <si>
    <t>红皮病清消术</t>
  </si>
  <si>
    <t>含药物调配</t>
  </si>
  <si>
    <t>药物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</si>
</sst>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</numFmts>
  <fonts count="38">
    <font>
      <sz val="11"/>
      <color theme="1"/>
      <name val="宋体"/>
      <charset val="134"/>
      <scheme val="minor"/>
    </font>
    <font>
      <sz val="14"/>
      <color theme="1"/>
      <name val="方正小标宋简体"/>
      <charset val="134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仿宋"/>
      <charset val="134"/>
    </font>
    <font>
      <sz val="12"/>
      <color theme="1"/>
      <name val="方正小标宋简体"/>
      <charset val="134"/>
    </font>
    <font>
      <sz val="12"/>
      <color theme="1"/>
      <name val="仿宋"/>
      <charset val="134"/>
    </font>
    <font>
      <sz val="14"/>
      <color theme="1"/>
      <name val="仿宋"/>
      <charset val="134"/>
    </font>
    <font>
      <b/>
      <sz val="10"/>
      <color theme="1"/>
      <name val="仿宋"/>
      <charset val="134"/>
    </font>
    <font>
      <b/>
      <sz val="10"/>
      <name val="仿宋"/>
      <charset val="134"/>
    </font>
    <font>
      <sz val="10"/>
      <name val="仿宋"/>
      <charset val="134"/>
    </font>
    <font>
      <sz val="10"/>
      <color rgb="FFFF0000"/>
      <name val="仿宋"/>
      <charset val="134"/>
    </font>
    <font>
      <sz val="10"/>
      <color theme="1"/>
      <name val="仿宋"/>
      <charset val="0"/>
    </font>
    <font>
      <sz val="10"/>
      <name val="仿宋"/>
      <charset val="0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sz val="10"/>
      <color theme="1"/>
      <name val="方正小标宋简体"/>
      <charset val="134"/>
    </font>
    <font>
      <i/>
      <sz val="10"/>
      <color theme="1"/>
      <name val="仿宋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1" applyNumberFormat="0" applyAlignment="0" applyProtection="0">
      <alignment vertical="center"/>
    </xf>
    <xf numFmtId="0" fontId="28" fillId="9" borderId="12" applyNumberFormat="0" applyAlignment="0" applyProtection="0">
      <alignment vertical="center"/>
    </xf>
    <xf numFmtId="0" fontId="29" fillId="9" borderId="11" applyNumberFormat="0" applyAlignment="0" applyProtection="0">
      <alignment vertical="center"/>
    </xf>
    <xf numFmtId="0" fontId="30" fillId="10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0" borderId="0"/>
  </cellStyleXfs>
  <cellXfs count="14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5" fillId="0" borderId="0" xfId="0" applyNumberFormat="1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 applyProtection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49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9" fillId="0" borderId="4" xfId="0" applyFont="1" applyFill="1" applyBorder="1" applyAlignment="1" applyProtection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4" borderId="5" xfId="49" applyFont="1" applyFill="1" applyBorder="1" applyAlignment="1" applyProtection="1">
      <alignment horizontal="center" vertical="center" wrapText="1"/>
      <protection locked="0"/>
    </xf>
    <xf numFmtId="0" fontId="5" fillId="2" borderId="5" xfId="49" applyFont="1" applyFill="1" applyBorder="1" applyAlignment="1" applyProtection="1">
      <alignment horizontal="center" vertical="center" wrapText="1"/>
      <protection locked="0"/>
    </xf>
    <xf numFmtId="0" fontId="12" fillId="3" borderId="5" xfId="49" applyFont="1" applyFill="1" applyBorder="1" applyAlignment="1" applyProtection="1">
      <alignment horizontal="center" vertical="center" wrapText="1"/>
      <protection locked="0"/>
    </xf>
    <xf numFmtId="0" fontId="11" fillId="3" borderId="5" xfId="49" applyFont="1" applyFill="1" applyBorder="1" applyAlignment="1" applyProtection="1">
      <alignment horizontal="center" vertical="center" wrapText="1"/>
      <protection locked="0"/>
    </xf>
    <xf numFmtId="0" fontId="5" fillId="4" borderId="5" xfId="49" applyFont="1" applyFill="1" applyBorder="1" applyAlignment="1" applyProtection="1">
      <alignment horizontal="left" vertical="center" wrapText="1"/>
      <protection locked="0"/>
    </xf>
    <xf numFmtId="0" fontId="5" fillId="4" borderId="1" xfId="49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49" applyNumberFormat="1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>
      <alignment horizontal="center" vertical="center"/>
    </xf>
    <xf numFmtId="0" fontId="5" fillId="4" borderId="6" xfId="49" applyFont="1" applyFill="1" applyBorder="1" applyAlignment="1" applyProtection="1">
      <alignment horizontal="center" vertical="center" wrapText="1"/>
      <protection locked="0"/>
    </xf>
    <xf numFmtId="0" fontId="5" fillId="2" borderId="6" xfId="49" applyFont="1" applyFill="1" applyBorder="1" applyAlignment="1" applyProtection="1">
      <alignment horizontal="center" vertical="center" wrapText="1"/>
      <protection locked="0"/>
    </xf>
    <xf numFmtId="0" fontId="12" fillId="3" borderId="6" xfId="49" applyFont="1" applyFill="1" applyBorder="1" applyAlignment="1" applyProtection="1">
      <alignment horizontal="center" vertical="center" wrapText="1"/>
      <protection locked="0"/>
    </xf>
    <xf numFmtId="0" fontId="11" fillId="3" borderId="6" xfId="49" applyFont="1" applyFill="1" applyBorder="1" applyAlignment="1" applyProtection="1">
      <alignment horizontal="center" vertical="center" wrapText="1"/>
      <protection locked="0"/>
    </xf>
    <xf numFmtId="0" fontId="5" fillId="4" borderId="7" xfId="49" applyFont="1" applyFill="1" applyBorder="1" applyAlignment="1" applyProtection="1">
      <alignment horizontal="left" vertical="center" wrapText="1"/>
      <protection locked="0"/>
    </xf>
    <xf numFmtId="0" fontId="5" fillId="4" borderId="1" xfId="49" applyFont="1" applyFill="1" applyBorder="1" applyAlignment="1" applyProtection="1">
      <alignment horizontal="left" vertical="center" wrapText="1"/>
      <protection locked="0"/>
    </xf>
    <xf numFmtId="0" fontId="5" fillId="4" borderId="6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5" fillId="4" borderId="6" xfId="49" applyFont="1" applyFill="1" applyBorder="1" applyAlignment="1" applyProtection="1">
      <alignment horizontal="left" vertical="center" wrapText="1"/>
      <protection locked="0"/>
    </xf>
    <xf numFmtId="0" fontId="13" fillId="4" borderId="2" xfId="0" applyFont="1" applyFill="1" applyBorder="1" applyAlignment="1">
      <alignment horizontal="left" vertical="center"/>
    </xf>
    <xf numFmtId="0" fontId="5" fillId="4" borderId="1" xfId="0" applyNumberFormat="1" applyFont="1" applyFill="1" applyBorder="1" applyAlignment="1">
      <alignment horizontal="center" vertical="top"/>
    </xf>
    <xf numFmtId="0" fontId="13" fillId="4" borderId="1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5" fillId="5" borderId="5" xfId="49" applyFont="1" applyFill="1" applyBorder="1" applyAlignment="1" applyProtection="1">
      <alignment horizontal="left" vertical="center" wrapText="1"/>
      <protection locked="0"/>
    </xf>
    <xf numFmtId="0" fontId="5" fillId="5" borderId="5" xfId="49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1" xfId="49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49" applyNumberFormat="1" applyFont="1" applyFill="1" applyBorder="1" applyAlignment="1" applyProtection="1">
      <alignment horizontal="center" vertical="center" wrapText="1"/>
      <protection locked="0"/>
    </xf>
    <xf numFmtId="0" fontId="5" fillId="5" borderId="7" xfId="49" applyFont="1" applyFill="1" applyBorder="1" applyAlignment="1" applyProtection="1">
      <alignment horizontal="center" vertical="center" wrapText="1"/>
      <protection locked="0"/>
    </xf>
    <xf numFmtId="0" fontId="5" fillId="2" borderId="7" xfId="49" applyFont="1" applyFill="1" applyBorder="1" applyAlignment="1" applyProtection="1">
      <alignment horizontal="center" vertical="center" wrapText="1"/>
      <protection locked="0"/>
    </xf>
    <xf numFmtId="0" fontId="11" fillId="3" borderId="7" xfId="49" applyFont="1" applyFill="1" applyBorder="1" applyAlignment="1" applyProtection="1">
      <alignment horizontal="center" vertical="center" wrapText="1"/>
      <protection locked="0"/>
    </xf>
    <xf numFmtId="0" fontId="5" fillId="5" borderId="7" xfId="49" applyFont="1" applyFill="1" applyBorder="1" applyAlignment="1" applyProtection="1">
      <alignment horizontal="left" vertical="center" wrapText="1"/>
      <protection locked="0"/>
    </xf>
    <xf numFmtId="0" fontId="3" fillId="5" borderId="0" xfId="0" applyFont="1" applyFill="1" applyBorder="1" applyAlignment="1">
      <alignment horizontal="left" vertical="top"/>
    </xf>
    <xf numFmtId="0" fontId="5" fillId="2" borderId="1" xfId="49" applyFont="1" applyFill="1" applyBorder="1" applyAlignment="1" applyProtection="1">
      <alignment horizontal="center" vertical="center" wrapText="1"/>
      <protection locked="0"/>
    </xf>
    <xf numFmtId="0" fontId="11" fillId="3" borderId="1" xfId="49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" xfId="49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>
      <alignment vertical="center"/>
    </xf>
    <xf numFmtId="0" fontId="15" fillId="0" borderId="0" xfId="0" applyFont="1" applyFill="1">
      <alignment vertical="center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/>
    </xf>
    <xf numFmtId="0" fontId="5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9" fontId="9" fillId="0" borderId="1" xfId="3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 applyProtection="1">
      <alignment horizontal="center" vertical="center" wrapText="1"/>
    </xf>
    <xf numFmtId="0" fontId="10" fillId="3" borderId="1" xfId="49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 applyProtection="1">
      <alignment horizontal="left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43" fontId="5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/>
    </xf>
    <xf numFmtId="0" fontId="5" fillId="3" borderId="1" xfId="49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>
      <alignment horizontal="left" vertical="center" wrapText="1"/>
    </xf>
    <xf numFmtId="0" fontId="12" fillId="3" borderId="1" xfId="49" applyFont="1" applyFill="1" applyBorder="1" applyAlignment="1" applyProtection="1">
      <alignment horizontal="center" vertical="center" wrapText="1"/>
      <protection locked="0"/>
    </xf>
    <xf numFmtId="43" fontId="5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6" xfId="49" applyFont="1" applyFill="1" applyBorder="1" applyAlignment="1" applyProtection="1">
      <alignment horizontal="left" vertical="center" wrapText="1"/>
      <protection locked="0"/>
    </xf>
    <xf numFmtId="0" fontId="18" fillId="5" borderId="1" xfId="49" applyFont="1" applyFill="1" applyBorder="1" applyAlignment="1" applyProtection="1">
      <alignment horizontal="center" vertical="center" wrapText="1"/>
      <protection locked="0"/>
    </xf>
    <xf numFmtId="43" fontId="18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18" fillId="5" borderId="1" xfId="49" applyNumberFormat="1" applyFont="1" applyFill="1" applyBorder="1" applyAlignment="1" applyProtection="1">
      <alignment horizontal="center" vertical="center" wrapText="1"/>
      <protection locked="0"/>
    </xf>
    <xf numFmtId="176" fontId="5" fillId="2" borderId="1" xfId="49" applyNumberFormat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/>
    </xf>
    <xf numFmtId="0" fontId="5" fillId="5" borderId="1" xfId="0" applyNumberFormat="1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177" fontId="5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</cellStyles>
  <tableStyles count="0" defaultTableStyle="TableStyleMedium2" defaultPivotStyle="PivotStyleLight16"/>
  <colors>
    <mruColors>
      <color rgb="00FFFFFF"/>
      <color rgb="00FCE4D6"/>
      <color rgb="00EDEDED"/>
      <color rgb="00FFF2C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30</xdr:col>
      <xdr:colOff>0</xdr:colOff>
      <xdr:row>0</xdr:row>
      <xdr:rowOff>0</xdr:rowOff>
    </xdr:from>
    <xdr:ext cx="309880" cy="272415"/>
    <xdr:sp>
      <xdr:nvSpPr>
        <xdr:cNvPr id="2" name="文本框 2"/>
        <xdr:cNvSpPr txBox="1"/>
      </xdr:nvSpPr>
      <xdr:spPr>
        <a:xfrm>
          <a:off x="22578060" y="0"/>
          <a:ext cx="309880" cy="2724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/>
      </xdr:txBody>
    </xdr:sp>
    <xdr:clientData/>
  </xdr:oneCellAnchor>
  <xdr:oneCellAnchor>
    <xdr:from>
      <xdr:col>30</xdr:col>
      <xdr:colOff>0</xdr:colOff>
      <xdr:row>0</xdr:row>
      <xdr:rowOff>0</xdr:rowOff>
    </xdr:from>
    <xdr:ext cx="309880" cy="272415"/>
    <xdr:sp>
      <xdr:nvSpPr>
        <xdr:cNvPr id="3" name="文本框 2"/>
        <xdr:cNvSpPr txBox="1"/>
      </xdr:nvSpPr>
      <xdr:spPr>
        <a:xfrm>
          <a:off x="22578060" y="0"/>
          <a:ext cx="309880" cy="2724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/>
      </xdr:txBody>
    </xdr:sp>
    <xdr:clientData/>
  </xdr:oneCellAnchor>
  <xdr:oneCellAnchor>
    <xdr:from>
      <xdr:col>30</xdr:col>
      <xdr:colOff>0</xdr:colOff>
      <xdr:row>0</xdr:row>
      <xdr:rowOff>0</xdr:rowOff>
    </xdr:from>
    <xdr:ext cx="309880" cy="272415"/>
    <xdr:sp>
      <xdr:nvSpPr>
        <xdr:cNvPr id="4" name="文本框 2"/>
        <xdr:cNvSpPr txBox="1"/>
      </xdr:nvSpPr>
      <xdr:spPr>
        <a:xfrm>
          <a:off x="22578060" y="0"/>
          <a:ext cx="309880" cy="2724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/>
      </xdr:txBody>
    </xdr:sp>
    <xdr:clientData/>
  </xdr:oneCellAnchor>
  <xdr:oneCellAnchor>
    <xdr:from>
      <xdr:col>30</xdr:col>
      <xdr:colOff>0</xdr:colOff>
      <xdr:row>0</xdr:row>
      <xdr:rowOff>0</xdr:rowOff>
    </xdr:from>
    <xdr:ext cx="309880" cy="272415"/>
    <xdr:sp>
      <xdr:nvSpPr>
        <xdr:cNvPr id="5" name="文本框 4"/>
        <xdr:cNvSpPr txBox="1"/>
      </xdr:nvSpPr>
      <xdr:spPr>
        <a:xfrm>
          <a:off x="22578060" y="0"/>
          <a:ext cx="309880" cy="2724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/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5"/>
  <sheetViews>
    <sheetView tabSelected="1" topLeftCell="B1" workbookViewId="0">
      <pane ySplit="2" topLeftCell="A16" activePane="bottomLeft" state="frozen"/>
      <selection/>
      <selection pane="bottomLeft" activeCell="P21" sqref="P21"/>
    </sheetView>
  </sheetViews>
  <sheetFormatPr defaultColWidth="9" defaultRowHeight="16.8"/>
  <cols>
    <col min="1" max="1" width="6" style="90" customWidth="1"/>
    <col min="2" max="2" width="20.25" style="90" customWidth="1"/>
    <col min="3" max="3" width="21.75" style="90" customWidth="1"/>
    <col min="4" max="4" width="4.625" style="90" customWidth="1"/>
    <col min="5" max="5" width="14.5" style="90" customWidth="1"/>
    <col min="6" max="6" width="16.25" style="90" customWidth="1"/>
    <col min="7" max="7" width="4.625" style="90" customWidth="1"/>
    <col min="8" max="8" width="24.375" style="90" customWidth="1"/>
    <col min="9" max="10" width="8" style="90" customWidth="1"/>
    <col min="11" max="13" width="8.875" style="90" customWidth="1"/>
    <col min="14" max="16" width="7.25" style="90" customWidth="1"/>
    <col min="17" max="17" width="15" style="90" customWidth="1"/>
    <col min="18" max="18" width="6.25" style="90" customWidth="1"/>
    <col min="19" max="20" width="6.125" style="90" customWidth="1"/>
    <col min="21" max="21" width="24.25" style="91" customWidth="1"/>
    <col min="22" max="22" width="17.875" style="90" customWidth="1"/>
    <col min="23" max="23" width="13.875" style="91" hidden="1" customWidth="1"/>
    <col min="24" max="24" width="21.125" style="91" customWidth="1"/>
    <col min="25" max="25" width="18.75" style="91" customWidth="1"/>
    <col min="26" max="26" width="8.63461538461539" style="91" customWidth="1"/>
    <col min="27" max="27" width="4.625" style="91" customWidth="1"/>
    <col min="28" max="28" width="21.375" style="91" customWidth="1"/>
    <col min="29" max="30" width="7.5" style="91" customWidth="1"/>
    <col min="31" max="32" width="7.5" style="6" customWidth="1"/>
    <col min="33" max="35" width="7.5" style="88" customWidth="1"/>
    <col min="36" max="36" width="9" style="92"/>
    <col min="37" max="37" width="9.375" style="92"/>
    <col min="38" max="38" width="11.625" style="92" customWidth="1"/>
    <col min="39" max="41" width="9.875" style="92" customWidth="1"/>
    <col min="42" max="16384" width="9" style="88"/>
  </cols>
  <sheetData>
    <row r="1" s="86" customFormat="1" ht="20.4" spans="1:41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4"/>
      <c r="L1" s="94"/>
      <c r="M1" s="94"/>
      <c r="N1" s="95"/>
      <c r="O1" s="95"/>
      <c r="P1" s="95"/>
      <c r="Q1" s="95"/>
      <c r="R1" s="93"/>
      <c r="S1" s="93"/>
      <c r="T1" s="93"/>
      <c r="U1" s="96"/>
      <c r="V1" s="97" t="s">
        <v>1</v>
      </c>
      <c r="W1" s="98"/>
      <c r="X1" s="98"/>
      <c r="Y1" s="98"/>
      <c r="Z1" s="98"/>
      <c r="AA1" s="98"/>
      <c r="AB1" s="98"/>
      <c r="AC1" s="99"/>
      <c r="AD1" s="99"/>
      <c r="AE1" s="98"/>
      <c r="AF1" s="98"/>
      <c r="AG1" s="100"/>
      <c r="AH1" s="100"/>
      <c r="AI1" s="100"/>
      <c r="AJ1" s="101"/>
      <c r="AK1" s="101"/>
      <c r="AL1" s="101"/>
      <c r="AM1" s="101"/>
      <c r="AN1" s="101"/>
      <c r="AO1" s="102"/>
    </row>
    <row r="2" s="87" customFormat="1" ht="61" spans="1:41">
      <c r="A2" s="1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6" t="s">
        <v>10</v>
      </c>
      <c r="J2" s="16" t="s">
        <v>11</v>
      </c>
      <c r="K2" s="17" t="s">
        <v>12</v>
      </c>
      <c r="L2" s="17" t="s">
        <v>13</v>
      </c>
      <c r="M2" s="17" t="s">
        <v>14</v>
      </c>
      <c r="N2" s="19" t="s">
        <v>15</v>
      </c>
      <c r="O2" s="19" t="s">
        <v>16</v>
      </c>
      <c r="P2" s="19" t="s">
        <v>17</v>
      </c>
      <c r="Q2" s="19" t="s">
        <v>18</v>
      </c>
      <c r="R2" s="16" t="s">
        <v>19</v>
      </c>
      <c r="S2" s="16" t="s">
        <v>20</v>
      </c>
      <c r="T2" s="103" t="s">
        <v>21</v>
      </c>
      <c r="U2" s="16" t="s">
        <v>22</v>
      </c>
      <c r="V2" s="16" t="s">
        <v>23</v>
      </c>
      <c r="W2" s="16" t="s">
        <v>24</v>
      </c>
      <c r="X2" s="16" t="s">
        <v>25</v>
      </c>
      <c r="Y2" s="16" t="s">
        <v>26</v>
      </c>
      <c r="Z2" s="16" t="s">
        <v>27</v>
      </c>
      <c r="AA2" s="16" t="s">
        <v>8</v>
      </c>
      <c r="AB2" s="16" t="s">
        <v>28</v>
      </c>
      <c r="AC2" s="104" t="s">
        <v>29</v>
      </c>
      <c r="AD2" s="104" t="s">
        <v>30</v>
      </c>
      <c r="AE2" s="21" t="s">
        <v>31</v>
      </c>
      <c r="AF2" s="21" t="s">
        <v>32</v>
      </c>
      <c r="AG2" s="105" t="s">
        <v>33</v>
      </c>
      <c r="AH2" s="105" t="s">
        <v>34</v>
      </c>
      <c r="AI2" s="105" t="s">
        <v>35</v>
      </c>
      <c r="AJ2" s="23" t="s">
        <v>36</v>
      </c>
      <c r="AK2" s="23" t="s">
        <v>37</v>
      </c>
      <c r="AL2" s="23" t="s">
        <v>38</v>
      </c>
      <c r="AM2" s="15" t="s">
        <v>39</v>
      </c>
      <c r="AN2" s="15" t="s">
        <v>40</v>
      </c>
      <c r="AO2" s="15" t="s">
        <v>41</v>
      </c>
    </row>
    <row r="3" s="88" customFormat="1" ht="162" customHeight="1" spans="1:41">
      <c r="A3" s="106"/>
      <c r="B3" s="106" t="s">
        <v>42</v>
      </c>
      <c r="C3" s="106" t="s">
        <v>43</v>
      </c>
      <c r="D3" s="107" t="s">
        <v>44</v>
      </c>
      <c r="E3" s="107"/>
      <c r="F3" s="107"/>
      <c r="G3" s="107"/>
      <c r="H3" s="107"/>
      <c r="I3" s="107"/>
      <c r="J3" s="107"/>
      <c r="K3" s="108"/>
      <c r="L3" s="108"/>
      <c r="M3" s="108"/>
      <c r="N3" s="109"/>
      <c r="O3" s="109"/>
      <c r="P3" s="109"/>
      <c r="Q3" s="109"/>
      <c r="R3" s="107"/>
      <c r="S3" s="107"/>
      <c r="T3" s="107"/>
      <c r="U3" s="110"/>
      <c r="V3" s="16"/>
      <c r="W3" s="16"/>
      <c r="X3" s="16"/>
      <c r="Y3" s="16"/>
      <c r="Z3" s="16"/>
      <c r="AA3" s="16"/>
      <c r="AB3" s="16"/>
      <c r="AC3" s="104"/>
      <c r="AD3" s="104"/>
      <c r="AE3" s="21"/>
      <c r="AF3" s="21"/>
      <c r="AG3" s="105"/>
      <c r="AH3" s="105"/>
      <c r="AI3" s="105"/>
      <c r="AJ3" s="24"/>
      <c r="AK3" s="24"/>
      <c r="AL3" s="24"/>
      <c r="AM3" s="24"/>
      <c r="AN3" s="24"/>
      <c r="AO3" s="24"/>
    </row>
    <row r="4" s="88" customFormat="1" ht="113" customHeight="1" spans="1:41">
      <c r="A4" s="32">
        <v>1</v>
      </c>
      <c r="B4" s="144" t="s">
        <v>45</v>
      </c>
      <c r="C4" s="32" t="s">
        <v>46</v>
      </c>
      <c r="D4" s="32" t="s">
        <v>47</v>
      </c>
      <c r="E4" s="32" t="s">
        <v>48</v>
      </c>
      <c r="F4" s="32" t="s">
        <v>49</v>
      </c>
      <c r="G4" s="32" t="s">
        <v>50</v>
      </c>
      <c r="H4" s="32" t="s">
        <v>51</v>
      </c>
      <c r="I4" s="32">
        <v>550</v>
      </c>
      <c r="J4" s="32">
        <v>550</v>
      </c>
      <c r="K4" s="111">
        <f>SUM(AM4:AM6)/SUM(AJ4:AJ6)</f>
        <v>400.27972027972</v>
      </c>
      <c r="L4" s="111">
        <f>SUM(AN4:AN6)/SUM(AK4:AK6)</f>
        <v>362.267845303867</v>
      </c>
      <c r="M4" s="111">
        <f>SUM(AO4:AO6)/SUM(AL4:AL6)</f>
        <v>306.364992894363</v>
      </c>
      <c r="N4" s="112">
        <v>495</v>
      </c>
      <c r="O4" s="112">
        <v>446</v>
      </c>
      <c r="P4" s="112">
        <v>380</v>
      </c>
      <c r="Q4" s="112" t="s">
        <v>52</v>
      </c>
      <c r="R4" s="32" t="s">
        <v>53</v>
      </c>
      <c r="S4" s="32"/>
      <c r="T4" s="32"/>
      <c r="U4" s="113" t="s">
        <v>54</v>
      </c>
      <c r="V4" s="39" t="s">
        <v>55</v>
      </c>
      <c r="W4" s="39">
        <v>420000005</v>
      </c>
      <c r="X4" s="114" t="s">
        <v>56</v>
      </c>
      <c r="Y4" s="40"/>
      <c r="Z4" s="40"/>
      <c r="AA4" s="40" t="s">
        <v>57</v>
      </c>
      <c r="AB4" s="40" t="s">
        <v>58</v>
      </c>
      <c r="AC4" s="115">
        <v>450</v>
      </c>
      <c r="AD4" s="115">
        <v>450</v>
      </c>
      <c r="AE4" s="116">
        <v>550</v>
      </c>
      <c r="AF4" s="116">
        <v>550</v>
      </c>
      <c r="AG4" s="117">
        <v>405</v>
      </c>
      <c r="AH4" s="117">
        <v>365</v>
      </c>
      <c r="AI4" s="117">
        <v>310</v>
      </c>
      <c r="AJ4" s="42">
        <v>55.2</v>
      </c>
      <c r="AK4" s="42">
        <v>437.35</v>
      </c>
      <c r="AL4" s="42">
        <v>203.65</v>
      </c>
      <c r="AM4" s="24">
        <f>AG4*AJ4</f>
        <v>22356</v>
      </c>
      <c r="AN4" s="24">
        <f>AH4*AK4</f>
        <v>159632.75</v>
      </c>
      <c r="AO4" s="24">
        <f>AI4*AL4</f>
        <v>63131.5</v>
      </c>
    </row>
    <row r="5" s="88" customFormat="1" ht="27" customHeight="1" spans="1:41">
      <c r="A5" s="32"/>
      <c r="B5" s="32"/>
      <c r="C5" s="32"/>
      <c r="D5" s="32"/>
      <c r="E5" s="32"/>
      <c r="F5" s="32"/>
      <c r="G5" s="32"/>
      <c r="H5" s="32"/>
      <c r="I5" s="32"/>
      <c r="J5" s="32"/>
      <c r="K5" s="111"/>
      <c r="L5" s="111"/>
      <c r="M5" s="111"/>
      <c r="N5" s="112"/>
      <c r="O5" s="112"/>
      <c r="P5" s="112"/>
      <c r="Q5" s="112"/>
      <c r="R5" s="32"/>
      <c r="S5" s="32"/>
      <c r="T5" s="32"/>
      <c r="U5" s="118"/>
      <c r="V5" s="39" t="s">
        <v>59</v>
      </c>
      <c r="W5" s="39">
        <v>42000000506</v>
      </c>
      <c r="X5" s="114" t="s">
        <v>60</v>
      </c>
      <c r="Y5" s="40"/>
      <c r="Z5" s="40"/>
      <c r="AA5" s="40" t="s">
        <v>57</v>
      </c>
      <c r="AB5" s="40"/>
      <c r="AC5" s="115">
        <v>300</v>
      </c>
      <c r="AD5" s="115">
        <v>300</v>
      </c>
      <c r="AE5" s="116">
        <v>367</v>
      </c>
      <c r="AF5" s="116">
        <v>367</v>
      </c>
      <c r="AG5" s="117">
        <v>270</v>
      </c>
      <c r="AH5" s="117">
        <v>243</v>
      </c>
      <c r="AI5" s="117">
        <v>207</v>
      </c>
      <c r="AJ5" s="42">
        <v>2</v>
      </c>
      <c r="AK5" s="42">
        <v>14.15</v>
      </c>
      <c r="AL5" s="42">
        <v>7.45</v>
      </c>
      <c r="AM5" s="24">
        <f>AG5*AJ5</f>
        <v>540</v>
      </c>
      <c r="AN5" s="24">
        <f>AH5*AK5</f>
        <v>3438.45</v>
      </c>
      <c r="AO5" s="24">
        <f>AI5*AL5</f>
        <v>1542.15</v>
      </c>
    </row>
    <row r="6" s="88" customFormat="1" ht="27" customHeight="1" spans="1:41">
      <c r="A6" s="32"/>
      <c r="B6" s="32"/>
      <c r="C6" s="32"/>
      <c r="D6" s="32"/>
      <c r="E6" s="32"/>
      <c r="F6" s="32"/>
      <c r="G6" s="32"/>
      <c r="H6" s="32"/>
      <c r="I6" s="32"/>
      <c r="J6" s="32"/>
      <c r="K6" s="111"/>
      <c r="L6" s="111"/>
      <c r="M6" s="111"/>
      <c r="N6" s="112"/>
      <c r="O6" s="112"/>
      <c r="P6" s="112"/>
      <c r="Q6" s="112"/>
      <c r="R6" s="32"/>
      <c r="S6" s="32"/>
      <c r="T6" s="32"/>
      <c r="U6" s="118"/>
      <c r="V6" s="39" t="s">
        <v>61</v>
      </c>
      <c r="W6" s="39">
        <v>420000009</v>
      </c>
      <c r="X6" s="114" t="s">
        <v>62</v>
      </c>
      <c r="Y6" s="40" t="s">
        <v>63</v>
      </c>
      <c r="Z6" s="40"/>
      <c r="AA6" s="40" t="s">
        <v>57</v>
      </c>
      <c r="AB6" s="40"/>
      <c r="AC6" s="115">
        <v>1000</v>
      </c>
      <c r="AD6" s="115">
        <v>1000</v>
      </c>
      <c r="AE6" s="116">
        <v>1150</v>
      </c>
      <c r="AF6" s="116">
        <v>1150</v>
      </c>
      <c r="AG6" s="117">
        <v>900</v>
      </c>
      <c r="AH6" s="117">
        <v>855</v>
      </c>
      <c r="AI6" s="117">
        <v>770</v>
      </c>
      <c r="AJ6" s="42">
        <v>0</v>
      </c>
      <c r="AK6" s="42">
        <v>1</v>
      </c>
      <c r="AL6" s="42">
        <v>0</v>
      </c>
      <c r="AM6" s="24">
        <f>AG6*AJ6</f>
        <v>0</v>
      </c>
      <c r="AN6" s="24">
        <f>AH6*AK6</f>
        <v>855</v>
      </c>
      <c r="AO6" s="24">
        <f>AI6*AL6</f>
        <v>0</v>
      </c>
    </row>
    <row r="7" s="88" customFormat="1" ht="27" customHeight="1" spans="1:41">
      <c r="A7" s="32" t="s">
        <v>64</v>
      </c>
      <c r="B7" s="144" t="s">
        <v>45</v>
      </c>
      <c r="C7" s="32" t="s">
        <v>65</v>
      </c>
      <c r="D7" s="32" t="s">
        <v>47</v>
      </c>
      <c r="E7" s="32"/>
      <c r="F7" s="32"/>
      <c r="G7" s="32" t="s">
        <v>50</v>
      </c>
      <c r="H7" s="32"/>
      <c r="I7" s="32">
        <v>275</v>
      </c>
      <c r="J7" s="32">
        <v>275</v>
      </c>
      <c r="K7" s="111">
        <f>SUM(AM7:AM9)/SUM(AJ7:AJ9)</f>
        <v>169.303278688525</v>
      </c>
      <c r="L7" s="111">
        <f>SUM(AN7:AN9)/SUM(AK7:AK9)</f>
        <v>158.088675213675</v>
      </c>
      <c r="M7" s="111">
        <f>SUM(AO7:AO9)/SUM(AL7:AL9)</f>
        <v>140.873563218391</v>
      </c>
      <c r="N7" s="119">
        <f>N4/2</f>
        <v>247.5</v>
      </c>
      <c r="O7" s="119">
        <f>O4/2</f>
        <v>223</v>
      </c>
      <c r="P7" s="119">
        <f>P4/2</f>
        <v>190</v>
      </c>
      <c r="Q7" s="119"/>
      <c r="R7" s="32" t="s">
        <v>53</v>
      </c>
      <c r="S7" s="32"/>
      <c r="T7" s="32"/>
      <c r="U7" s="118"/>
      <c r="V7" s="39" t="s">
        <v>66</v>
      </c>
      <c r="W7" s="39">
        <v>42000000503</v>
      </c>
      <c r="X7" s="114" t="s">
        <v>67</v>
      </c>
      <c r="Y7" s="40"/>
      <c r="Z7" s="40"/>
      <c r="AA7" s="40" t="s">
        <v>57</v>
      </c>
      <c r="AB7" s="40"/>
      <c r="AC7" s="115">
        <v>225</v>
      </c>
      <c r="AD7" s="115">
        <v>225</v>
      </c>
      <c r="AE7" s="116">
        <v>275</v>
      </c>
      <c r="AF7" s="116">
        <v>275</v>
      </c>
      <c r="AG7" s="117">
        <v>202.5</v>
      </c>
      <c r="AH7" s="117">
        <v>182.5</v>
      </c>
      <c r="AI7" s="117">
        <v>155</v>
      </c>
      <c r="AJ7" s="42">
        <v>12.5</v>
      </c>
      <c r="AK7" s="42">
        <v>61.7</v>
      </c>
      <c r="AL7" s="42">
        <v>79.1</v>
      </c>
      <c r="AM7" s="24">
        <f t="shared" ref="AM7:AM13" si="0">AG7*AJ7</f>
        <v>2531.25</v>
      </c>
      <c r="AN7" s="24">
        <f t="shared" ref="AN7:AN13" si="1">AH7*AK7</f>
        <v>11260.25</v>
      </c>
      <c r="AO7" s="24">
        <f t="shared" ref="AO7:AO13" si="2">AI7*AL7</f>
        <v>12260.5</v>
      </c>
    </row>
    <row r="8" s="88" customFormat="1" ht="27" customHeight="1" spans="1:41">
      <c r="A8" s="32"/>
      <c r="B8" s="32"/>
      <c r="C8" s="32"/>
      <c r="D8" s="32"/>
      <c r="E8" s="32"/>
      <c r="F8" s="32"/>
      <c r="G8" s="32"/>
      <c r="H8" s="32"/>
      <c r="I8" s="32"/>
      <c r="J8" s="32"/>
      <c r="K8" s="111"/>
      <c r="L8" s="111"/>
      <c r="M8" s="111"/>
      <c r="N8" s="119"/>
      <c r="O8" s="119"/>
      <c r="P8" s="119"/>
      <c r="Q8" s="119"/>
      <c r="R8" s="32"/>
      <c r="S8" s="32"/>
      <c r="T8" s="32"/>
      <c r="U8" s="118"/>
      <c r="V8" s="39" t="s">
        <v>68</v>
      </c>
      <c r="W8" s="39">
        <v>42000000504</v>
      </c>
      <c r="X8" s="114" t="s">
        <v>69</v>
      </c>
      <c r="Y8" s="40"/>
      <c r="Z8" s="40"/>
      <c r="AA8" s="40" t="s">
        <v>57</v>
      </c>
      <c r="AB8" s="40" t="s">
        <v>70</v>
      </c>
      <c r="AC8" s="115">
        <v>225</v>
      </c>
      <c r="AD8" s="115">
        <v>225</v>
      </c>
      <c r="AE8" s="116">
        <v>275</v>
      </c>
      <c r="AF8" s="116">
        <v>275</v>
      </c>
      <c r="AG8" s="117">
        <v>202.5</v>
      </c>
      <c r="AH8" s="117">
        <v>182.5</v>
      </c>
      <c r="AI8" s="117">
        <v>155</v>
      </c>
      <c r="AJ8" s="42">
        <v>4</v>
      </c>
      <c r="AK8" s="42">
        <v>108.8</v>
      </c>
      <c r="AL8" s="42">
        <v>67.7</v>
      </c>
      <c r="AM8" s="24">
        <f t="shared" si="0"/>
        <v>810</v>
      </c>
      <c r="AN8" s="24">
        <f t="shared" si="1"/>
        <v>19856</v>
      </c>
      <c r="AO8" s="24">
        <f t="shared" si="2"/>
        <v>10493.5</v>
      </c>
    </row>
    <row r="9" s="88" customFormat="1" ht="27" customHeight="1" spans="1:41">
      <c r="A9" s="32"/>
      <c r="B9" s="32"/>
      <c r="C9" s="32"/>
      <c r="D9" s="32"/>
      <c r="E9" s="32"/>
      <c r="F9" s="32"/>
      <c r="G9" s="32"/>
      <c r="H9" s="32"/>
      <c r="I9" s="32"/>
      <c r="J9" s="32"/>
      <c r="K9" s="111"/>
      <c r="L9" s="111"/>
      <c r="M9" s="111"/>
      <c r="N9" s="119"/>
      <c r="O9" s="119"/>
      <c r="P9" s="119"/>
      <c r="Q9" s="119"/>
      <c r="R9" s="32"/>
      <c r="S9" s="32"/>
      <c r="T9" s="32"/>
      <c r="U9" s="118"/>
      <c r="V9" s="39" t="s">
        <v>71</v>
      </c>
      <c r="W9" s="39">
        <v>42000000505</v>
      </c>
      <c r="X9" s="114" t="s">
        <v>72</v>
      </c>
      <c r="Y9" s="40"/>
      <c r="Z9" s="40"/>
      <c r="AA9" s="40" t="s">
        <v>57</v>
      </c>
      <c r="AB9" s="40"/>
      <c r="AC9" s="115">
        <v>180</v>
      </c>
      <c r="AD9" s="115">
        <v>180</v>
      </c>
      <c r="AE9" s="116">
        <v>220</v>
      </c>
      <c r="AF9" s="116">
        <v>220</v>
      </c>
      <c r="AG9" s="117">
        <v>162</v>
      </c>
      <c r="AH9" s="117">
        <v>146</v>
      </c>
      <c r="AI9" s="117">
        <v>124</v>
      </c>
      <c r="AJ9" s="42">
        <v>75</v>
      </c>
      <c r="AK9" s="42">
        <v>344.3</v>
      </c>
      <c r="AL9" s="42">
        <v>122.9</v>
      </c>
      <c r="AM9" s="24">
        <f t="shared" si="0"/>
        <v>12150</v>
      </c>
      <c r="AN9" s="24">
        <f t="shared" si="1"/>
        <v>50267.8</v>
      </c>
      <c r="AO9" s="24">
        <f t="shared" si="2"/>
        <v>15239.6</v>
      </c>
    </row>
    <row r="10" s="88" customFormat="1" ht="38" customHeight="1" spans="1:41">
      <c r="A10" s="32" t="s">
        <v>64</v>
      </c>
      <c r="B10" s="32" t="s">
        <v>73</v>
      </c>
      <c r="C10" s="32" t="s">
        <v>74</v>
      </c>
      <c r="D10" s="32" t="s">
        <v>47</v>
      </c>
      <c r="E10" s="32"/>
      <c r="F10" s="32"/>
      <c r="G10" s="32" t="s">
        <v>50</v>
      </c>
      <c r="H10" s="32" t="s">
        <v>75</v>
      </c>
      <c r="I10" s="42">
        <v>165</v>
      </c>
      <c r="J10" s="42">
        <v>165</v>
      </c>
      <c r="K10" s="120"/>
      <c r="L10" s="120"/>
      <c r="M10" s="120"/>
      <c r="N10" s="117">
        <f>N4*0.3</f>
        <v>148.5</v>
      </c>
      <c r="O10" s="117">
        <v>134</v>
      </c>
      <c r="P10" s="117">
        <f>P4*0.3</f>
        <v>114</v>
      </c>
      <c r="Q10" s="117"/>
      <c r="R10" s="42" t="s">
        <v>53</v>
      </c>
      <c r="S10" s="42"/>
      <c r="T10" s="42"/>
      <c r="U10" s="118"/>
      <c r="V10" s="42"/>
      <c r="W10" s="42"/>
      <c r="X10" s="32"/>
      <c r="Y10" s="42"/>
      <c r="Z10" s="32"/>
      <c r="AA10" s="42"/>
      <c r="AB10" s="32"/>
      <c r="AC10" s="121"/>
      <c r="AD10" s="121"/>
      <c r="AE10" s="56"/>
      <c r="AF10" s="122"/>
      <c r="AG10" s="117"/>
      <c r="AH10" s="117"/>
      <c r="AI10" s="117"/>
      <c r="AJ10" s="42"/>
      <c r="AK10" s="42"/>
      <c r="AL10" s="42"/>
      <c r="AM10" s="24"/>
      <c r="AN10" s="24"/>
      <c r="AO10" s="24"/>
    </row>
    <row r="11" s="88" customFormat="1" ht="54" customHeight="1" spans="1:41">
      <c r="A11" s="32" t="s">
        <v>64</v>
      </c>
      <c r="B11" s="32" t="s">
        <v>73</v>
      </c>
      <c r="C11" s="32" t="s">
        <v>76</v>
      </c>
      <c r="D11" s="32" t="s">
        <v>47</v>
      </c>
      <c r="E11" s="32"/>
      <c r="F11" s="32"/>
      <c r="G11" s="32" t="s">
        <v>50</v>
      </c>
      <c r="H11" s="32"/>
      <c r="I11" s="39">
        <v>83</v>
      </c>
      <c r="J11" s="39">
        <v>83</v>
      </c>
      <c r="K11" s="81"/>
      <c r="L11" s="81"/>
      <c r="M11" s="81"/>
      <c r="N11" s="123">
        <v>74.5</v>
      </c>
      <c r="O11" s="123">
        <v>67</v>
      </c>
      <c r="P11" s="123">
        <f>P7*0.3</f>
        <v>57</v>
      </c>
      <c r="Q11" s="123"/>
      <c r="R11" s="39" t="s">
        <v>53</v>
      </c>
      <c r="S11" s="39"/>
      <c r="T11" s="39"/>
      <c r="U11" s="124"/>
      <c r="V11" s="39"/>
      <c r="W11" s="39"/>
      <c r="X11" s="114"/>
      <c r="Y11" s="40"/>
      <c r="Z11" s="40"/>
      <c r="AA11" s="40"/>
      <c r="AB11" s="40"/>
      <c r="AC11" s="115"/>
      <c r="AD11" s="115"/>
      <c r="AE11" s="116"/>
      <c r="AF11" s="116"/>
      <c r="AG11" s="117"/>
      <c r="AH11" s="117"/>
      <c r="AI11" s="117"/>
      <c r="AJ11" s="42"/>
      <c r="AK11" s="42"/>
      <c r="AL11" s="42"/>
      <c r="AM11" s="24"/>
      <c r="AN11" s="24"/>
      <c r="AO11" s="24"/>
    </row>
    <row r="12" s="88" customFormat="1" ht="49" customHeight="1" spans="1:41">
      <c r="A12" s="83">
        <v>2</v>
      </c>
      <c r="B12" s="83" t="s">
        <v>77</v>
      </c>
      <c r="C12" s="83" t="s">
        <v>78</v>
      </c>
      <c r="D12" s="83" t="s">
        <v>47</v>
      </c>
      <c r="E12" s="83" t="s">
        <v>79</v>
      </c>
      <c r="F12" s="83" t="s">
        <v>49</v>
      </c>
      <c r="G12" s="83" t="s">
        <v>50</v>
      </c>
      <c r="H12" s="83" t="s">
        <v>80</v>
      </c>
      <c r="I12" s="73">
        <v>1100</v>
      </c>
      <c r="J12" s="73">
        <v>1100</v>
      </c>
      <c r="K12" s="81">
        <v>810</v>
      </c>
      <c r="L12" s="81">
        <v>730</v>
      </c>
      <c r="M12" s="81">
        <v>620</v>
      </c>
      <c r="N12" s="125">
        <f>N4*2</f>
        <v>990</v>
      </c>
      <c r="O12" s="125">
        <f>O4*2</f>
        <v>892</v>
      </c>
      <c r="P12" s="125">
        <f>P4*2</f>
        <v>760</v>
      </c>
      <c r="Q12" s="125" t="s">
        <v>52</v>
      </c>
      <c r="R12" s="73" t="s">
        <v>53</v>
      </c>
      <c r="S12" s="73"/>
      <c r="T12" s="73"/>
      <c r="U12" s="61" t="s">
        <v>81</v>
      </c>
      <c r="V12" s="73" t="s">
        <v>82</v>
      </c>
      <c r="W12" s="73">
        <v>42000000501</v>
      </c>
      <c r="X12" s="126" t="s">
        <v>83</v>
      </c>
      <c r="Y12" s="74"/>
      <c r="Z12" s="74"/>
      <c r="AA12" s="74" t="s">
        <v>57</v>
      </c>
      <c r="AB12" s="74"/>
      <c r="AC12" s="115">
        <v>900</v>
      </c>
      <c r="AD12" s="115">
        <v>900</v>
      </c>
      <c r="AE12" s="127">
        <v>1100</v>
      </c>
      <c r="AF12" s="127">
        <v>1100</v>
      </c>
      <c r="AG12" s="117">
        <v>810</v>
      </c>
      <c r="AH12" s="117">
        <v>730</v>
      </c>
      <c r="AI12" s="117">
        <v>620</v>
      </c>
      <c r="AJ12" s="63">
        <v>4</v>
      </c>
      <c r="AK12" s="63">
        <v>12.4</v>
      </c>
      <c r="AL12" s="63">
        <v>1.4</v>
      </c>
      <c r="AM12" s="24">
        <f t="shared" si="0"/>
        <v>3240</v>
      </c>
      <c r="AN12" s="24">
        <f t="shared" si="1"/>
        <v>9052</v>
      </c>
      <c r="AO12" s="24">
        <f t="shared" si="2"/>
        <v>868</v>
      </c>
    </row>
    <row r="13" s="88" customFormat="1" ht="49" customHeight="1" spans="1:41">
      <c r="A13" s="83"/>
      <c r="B13" s="83"/>
      <c r="C13" s="83"/>
      <c r="D13" s="83"/>
      <c r="E13" s="83"/>
      <c r="F13" s="83"/>
      <c r="G13" s="83"/>
      <c r="H13" s="83"/>
      <c r="I13" s="73"/>
      <c r="J13" s="73"/>
      <c r="K13" s="81"/>
      <c r="L13" s="81"/>
      <c r="M13" s="81"/>
      <c r="N13" s="125"/>
      <c r="O13" s="125"/>
      <c r="P13" s="125"/>
      <c r="Q13" s="125"/>
      <c r="R13" s="73"/>
      <c r="S13" s="73"/>
      <c r="T13" s="73"/>
      <c r="U13" s="79"/>
      <c r="V13" s="73" t="s">
        <v>84</v>
      </c>
      <c r="W13" s="73">
        <v>42000000502</v>
      </c>
      <c r="X13" s="126" t="s">
        <v>85</v>
      </c>
      <c r="Y13" s="74"/>
      <c r="Z13" s="74"/>
      <c r="AA13" s="74" t="s">
        <v>57</v>
      </c>
      <c r="AB13" s="74"/>
      <c r="AC13" s="115">
        <v>900</v>
      </c>
      <c r="AD13" s="115">
        <v>900</v>
      </c>
      <c r="AE13" s="127">
        <v>1100</v>
      </c>
      <c r="AF13" s="127">
        <v>1100</v>
      </c>
      <c r="AG13" s="117">
        <v>810</v>
      </c>
      <c r="AH13" s="117">
        <v>730</v>
      </c>
      <c r="AI13" s="117">
        <v>620</v>
      </c>
      <c r="AJ13" s="63">
        <v>11.5</v>
      </c>
      <c r="AK13" s="63">
        <v>55.2</v>
      </c>
      <c r="AL13" s="63">
        <v>10</v>
      </c>
      <c r="AM13" s="24">
        <f t="shared" si="0"/>
        <v>9315</v>
      </c>
      <c r="AN13" s="24">
        <f t="shared" si="1"/>
        <v>40296</v>
      </c>
      <c r="AO13" s="24">
        <f t="shared" si="2"/>
        <v>6200</v>
      </c>
    </row>
    <row r="14" s="88" customFormat="1" ht="58" customHeight="1" spans="1:41">
      <c r="A14" s="83" t="s">
        <v>64</v>
      </c>
      <c r="B14" s="83" t="s">
        <v>86</v>
      </c>
      <c r="C14" s="83" t="s">
        <v>87</v>
      </c>
      <c r="D14" s="83" t="s">
        <v>47</v>
      </c>
      <c r="E14" s="83"/>
      <c r="F14" s="83"/>
      <c r="G14" s="83" t="s">
        <v>50</v>
      </c>
      <c r="H14" s="83" t="s">
        <v>80</v>
      </c>
      <c r="I14" s="73">
        <v>330</v>
      </c>
      <c r="J14" s="73">
        <v>330</v>
      </c>
      <c r="K14" s="81"/>
      <c r="L14" s="81"/>
      <c r="M14" s="81"/>
      <c r="N14" s="123">
        <f>N12*0.3</f>
        <v>297</v>
      </c>
      <c r="O14" s="123">
        <v>268</v>
      </c>
      <c r="P14" s="123">
        <f>P12*0.3</f>
        <v>228</v>
      </c>
      <c r="Q14" s="123"/>
      <c r="R14" s="73" t="s">
        <v>53</v>
      </c>
      <c r="S14" s="73"/>
      <c r="T14" s="73"/>
      <c r="U14" s="128"/>
      <c r="V14" s="129"/>
      <c r="W14" s="129"/>
      <c r="X14" s="130"/>
      <c r="Y14" s="129"/>
      <c r="Z14" s="129"/>
      <c r="AA14" s="129"/>
      <c r="AB14" s="129"/>
      <c r="AC14" s="115"/>
      <c r="AD14" s="115"/>
      <c r="AE14" s="131"/>
      <c r="AF14" s="131"/>
      <c r="AG14" s="117"/>
      <c r="AH14" s="117"/>
      <c r="AI14" s="117"/>
      <c r="AJ14" s="63"/>
      <c r="AK14" s="63"/>
      <c r="AL14" s="63"/>
      <c r="AM14" s="24"/>
      <c r="AN14" s="24"/>
      <c r="AO14" s="24"/>
    </row>
    <row r="15" s="88" customFormat="1" ht="59" customHeight="1" spans="1:41">
      <c r="A15" s="32">
        <v>3</v>
      </c>
      <c r="B15" s="32" t="s">
        <v>88</v>
      </c>
      <c r="C15" s="32" t="s">
        <v>89</v>
      </c>
      <c r="D15" s="32" t="s">
        <v>47</v>
      </c>
      <c r="E15" s="32" t="s">
        <v>90</v>
      </c>
      <c r="F15" s="32" t="s">
        <v>49</v>
      </c>
      <c r="G15" s="32" t="s">
        <v>91</v>
      </c>
      <c r="H15" s="32" t="s">
        <v>92</v>
      </c>
      <c r="I15" s="39">
        <v>550</v>
      </c>
      <c r="J15" s="39">
        <v>550</v>
      </c>
      <c r="K15" s="132">
        <f>SUM(AM15:AM16)/SUM(AJ15:AJ16)</f>
        <v>431.018233483306</v>
      </c>
      <c r="L15" s="132">
        <f>SUM(AN15:AN16)/SUM(AK15:AK16)</f>
        <v>412.568975960233</v>
      </c>
      <c r="M15" s="132">
        <f>SUM(AO15:AO16)/SUM(AL15:AL16)</f>
        <v>370.745869996875</v>
      </c>
      <c r="N15" s="125">
        <f>N4</f>
        <v>495</v>
      </c>
      <c r="O15" s="125">
        <f>O4</f>
        <v>446</v>
      </c>
      <c r="P15" s="125">
        <f>P4</f>
        <v>380</v>
      </c>
      <c r="Q15" s="125" t="s">
        <v>52</v>
      </c>
      <c r="R15" s="39" t="s">
        <v>53</v>
      </c>
      <c r="S15" s="39"/>
      <c r="T15" s="39"/>
      <c r="U15" s="38" t="s">
        <v>54</v>
      </c>
      <c r="V15" s="39" t="s">
        <v>93</v>
      </c>
      <c r="W15" s="39">
        <v>420000001</v>
      </c>
      <c r="X15" s="114" t="s">
        <v>94</v>
      </c>
      <c r="Y15" s="40"/>
      <c r="Z15" s="40"/>
      <c r="AA15" s="40" t="s">
        <v>57</v>
      </c>
      <c r="AB15" s="40" t="s">
        <v>95</v>
      </c>
      <c r="AC15" s="115">
        <v>450</v>
      </c>
      <c r="AD15" s="115">
        <v>450</v>
      </c>
      <c r="AE15" s="116">
        <v>550</v>
      </c>
      <c r="AF15" s="116">
        <v>550</v>
      </c>
      <c r="AG15" s="117">
        <v>430</v>
      </c>
      <c r="AH15" s="117">
        <v>410</v>
      </c>
      <c r="AI15" s="117">
        <v>370</v>
      </c>
      <c r="AJ15" s="42">
        <v>420.3</v>
      </c>
      <c r="AK15" s="42">
        <v>1891.16</v>
      </c>
      <c r="AL15" s="42">
        <v>988.13</v>
      </c>
      <c r="AM15" s="24">
        <f t="shared" ref="AM15:AM17" si="3">AG15*AJ15</f>
        <v>180729</v>
      </c>
      <c r="AN15" s="24">
        <f t="shared" ref="AN15:AN17" si="4">AH15*AK15</f>
        <v>775375.6</v>
      </c>
      <c r="AO15" s="24">
        <f t="shared" ref="AO15:AO17" si="5">AI15*AL15</f>
        <v>365608.1</v>
      </c>
    </row>
    <row r="16" s="88" customFormat="1" ht="31" customHeight="1" spans="1:41">
      <c r="A16" s="32"/>
      <c r="B16" s="32"/>
      <c r="C16" s="32"/>
      <c r="D16" s="32"/>
      <c r="E16" s="32"/>
      <c r="F16" s="32"/>
      <c r="G16" s="32"/>
      <c r="H16" s="32"/>
      <c r="I16" s="39"/>
      <c r="J16" s="39"/>
      <c r="K16" s="132"/>
      <c r="L16" s="132"/>
      <c r="M16" s="132"/>
      <c r="N16" s="125"/>
      <c r="O16" s="125"/>
      <c r="P16" s="125"/>
      <c r="Q16" s="125"/>
      <c r="R16" s="39"/>
      <c r="S16" s="39"/>
      <c r="T16" s="39"/>
      <c r="U16" s="47"/>
      <c r="V16" s="39" t="s">
        <v>96</v>
      </c>
      <c r="W16" s="39">
        <v>42000000102</v>
      </c>
      <c r="X16" s="114" t="s">
        <v>97</v>
      </c>
      <c r="Y16" s="40"/>
      <c r="Z16" s="40"/>
      <c r="AA16" s="40" t="s">
        <v>57</v>
      </c>
      <c r="AB16" s="40"/>
      <c r="AC16" s="115">
        <v>675</v>
      </c>
      <c r="AD16" s="115">
        <v>675</v>
      </c>
      <c r="AE16" s="116">
        <v>825</v>
      </c>
      <c r="AF16" s="116">
        <v>825</v>
      </c>
      <c r="AG16" s="117">
        <v>645</v>
      </c>
      <c r="AH16" s="117">
        <v>615</v>
      </c>
      <c r="AI16" s="117">
        <v>555</v>
      </c>
      <c r="AJ16" s="42">
        <v>2</v>
      </c>
      <c r="AK16" s="42">
        <v>24</v>
      </c>
      <c r="AL16" s="42">
        <v>4</v>
      </c>
      <c r="AM16" s="24">
        <f t="shared" si="3"/>
        <v>1290</v>
      </c>
      <c r="AN16" s="24">
        <f t="shared" si="4"/>
        <v>14760</v>
      </c>
      <c r="AO16" s="24">
        <f t="shared" si="5"/>
        <v>2220</v>
      </c>
    </row>
    <row r="17" s="88" customFormat="1" ht="31" customHeight="1" spans="1:41">
      <c r="A17" s="32" t="s">
        <v>64</v>
      </c>
      <c r="B17" s="32" t="s">
        <v>88</v>
      </c>
      <c r="C17" s="32" t="s">
        <v>98</v>
      </c>
      <c r="D17" s="32" t="s">
        <v>47</v>
      </c>
      <c r="E17" s="32"/>
      <c r="F17" s="32"/>
      <c r="G17" s="32" t="s">
        <v>91</v>
      </c>
      <c r="H17" s="32"/>
      <c r="I17" s="39">
        <v>275</v>
      </c>
      <c r="J17" s="39">
        <v>275</v>
      </c>
      <c r="K17" s="81">
        <v>215</v>
      </c>
      <c r="L17" s="81">
        <v>205</v>
      </c>
      <c r="M17" s="81">
        <v>185</v>
      </c>
      <c r="N17" s="123">
        <f>N15/2</f>
        <v>247.5</v>
      </c>
      <c r="O17" s="123">
        <f>O15/2</f>
        <v>223</v>
      </c>
      <c r="P17" s="123">
        <f>P15/2</f>
        <v>190</v>
      </c>
      <c r="Q17" s="123"/>
      <c r="R17" s="39" t="s">
        <v>53</v>
      </c>
      <c r="S17" s="39"/>
      <c r="T17" s="39"/>
      <c r="U17" s="47"/>
      <c r="V17" s="39" t="s">
        <v>99</v>
      </c>
      <c r="W17" s="39">
        <v>42000000103</v>
      </c>
      <c r="X17" s="114" t="s">
        <v>100</v>
      </c>
      <c r="Y17" s="40"/>
      <c r="Z17" s="40"/>
      <c r="AA17" s="40" t="s">
        <v>57</v>
      </c>
      <c r="AB17" s="40" t="s">
        <v>101</v>
      </c>
      <c r="AC17" s="115">
        <v>225</v>
      </c>
      <c r="AD17" s="115">
        <v>225</v>
      </c>
      <c r="AE17" s="116">
        <v>275</v>
      </c>
      <c r="AF17" s="116">
        <v>275</v>
      </c>
      <c r="AG17" s="117">
        <v>215</v>
      </c>
      <c r="AH17" s="117">
        <v>205</v>
      </c>
      <c r="AI17" s="117">
        <v>185</v>
      </c>
      <c r="AJ17" s="42">
        <v>22.5</v>
      </c>
      <c r="AK17" s="42">
        <v>266.5</v>
      </c>
      <c r="AL17" s="42">
        <v>147.4</v>
      </c>
      <c r="AM17" s="24">
        <f t="shared" si="3"/>
        <v>4837.5</v>
      </c>
      <c r="AN17" s="24">
        <f t="shared" si="4"/>
        <v>54632.5</v>
      </c>
      <c r="AO17" s="24">
        <f t="shared" si="5"/>
        <v>27269</v>
      </c>
    </row>
    <row r="18" s="88" customFormat="1" ht="31" customHeight="1" spans="1:41">
      <c r="A18" s="32" t="s">
        <v>64</v>
      </c>
      <c r="B18" s="32" t="s">
        <v>102</v>
      </c>
      <c r="C18" s="32" t="s">
        <v>103</v>
      </c>
      <c r="D18" s="32" t="s">
        <v>47</v>
      </c>
      <c r="E18" s="32"/>
      <c r="F18" s="32"/>
      <c r="G18" s="32" t="s">
        <v>91</v>
      </c>
      <c r="H18" s="32" t="s">
        <v>92</v>
      </c>
      <c r="I18" s="32">
        <v>165</v>
      </c>
      <c r="J18" s="32">
        <v>165</v>
      </c>
      <c r="K18" s="133"/>
      <c r="L18" s="133"/>
      <c r="M18" s="133"/>
      <c r="N18" s="119">
        <f>N15*0.3</f>
        <v>148.5</v>
      </c>
      <c r="O18" s="119">
        <v>134</v>
      </c>
      <c r="P18" s="119">
        <f>P15*0.3</f>
        <v>114</v>
      </c>
      <c r="Q18" s="119"/>
      <c r="R18" s="32" t="s">
        <v>53</v>
      </c>
      <c r="S18" s="32"/>
      <c r="T18" s="32"/>
      <c r="U18" s="47"/>
      <c r="V18" s="32"/>
      <c r="W18" s="32"/>
      <c r="X18" s="42"/>
      <c r="Y18" s="32"/>
      <c r="Z18" s="42"/>
      <c r="AA18" s="32"/>
      <c r="AB18" s="42"/>
      <c r="AC18" s="115"/>
      <c r="AD18" s="115"/>
      <c r="AE18" s="56"/>
      <c r="AF18" s="56"/>
      <c r="AG18" s="117"/>
      <c r="AH18" s="117"/>
      <c r="AI18" s="117"/>
      <c r="AJ18" s="42"/>
      <c r="AK18" s="42"/>
      <c r="AL18" s="42"/>
      <c r="AM18" s="24"/>
      <c r="AN18" s="24"/>
      <c r="AO18" s="24"/>
    </row>
    <row r="19" s="88" customFormat="1" ht="31" customHeight="1" spans="1:41">
      <c r="A19" s="32" t="s">
        <v>64</v>
      </c>
      <c r="B19" s="32" t="s">
        <v>102</v>
      </c>
      <c r="C19" s="32" t="s">
        <v>104</v>
      </c>
      <c r="D19" s="32" t="s">
        <v>47</v>
      </c>
      <c r="E19" s="32"/>
      <c r="F19" s="32"/>
      <c r="G19" s="32" t="s">
        <v>91</v>
      </c>
      <c r="H19" s="32"/>
      <c r="I19" s="32">
        <v>83</v>
      </c>
      <c r="J19" s="32">
        <v>83</v>
      </c>
      <c r="K19" s="133"/>
      <c r="L19" s="133"/>
      <c r="M19" s="133"/>
      <c r="N19" s="123">
        <v>74.5</v>
      </c>
      <c r="O19" s="119">
        <v>67</v>
      </c>
      <c r="P19" s="119">
        <f>P17*0.3</f>
        <v>57</v>
      </c>
      <c r="Q19" s="119"/>
      <c r="R19" s="32" t="s">
        <v>53</v>
      </c>
      <c r="S19" s="32"/>
      <c r="T19" s="32"/>
      <c r="U19" s="54"/>
      <c r="V19" s="32"/>
      <c r="W19" s="32"/>
      <c r="X19" s="42"/>
      <c r="Y19" s="32"/>
      <c r="Z19" s="42"/>
      <c r="AA19" s="32"/>
      <c r="AB19" s="42"/>
      <c r="AC19" s="115"/>
      <c r="AD19" s="115"/>
      <c r="AE19" s="56"/>
      <c r="AF19" s="56"/>
      <c r="AG19" s="117"/>
      <c r="AH19" s="117"/>
      <c r="AI19" s="117"/>
      <c r="AJ19" s="42"/>
      <c r="AK19" s="42"/>
      <c r="AL19" s="42"/>
      <c r="AM19" s="24"/>
      <c r="AN19" s="24"/>
      <c r="AO19" s="24"/>
    </row>
    <row r="20" s="88" customFormat="1" ht="75" customHeight="1" spans="1:41">
      <c r="A20" s="83">
        <v>4</v>
      </c>
      <c r="B20" s="83" t="s">
        <v>105</v>
      </c>
      <c r="C20" s="83" t="s">
        <v>106</v>
      </c>
      <c r="D20" s="83" t="s">
        <v>47</v>
      </c>
      <c r="E20" s="83" t="s">
        <v>107</v>
      </c>
      <c r="F20" s="83" t="s">
        <v>49</v>
      </c>
      <c r="G20" s="83" t="s">
        <v>91</v>
      </c>
      <c r="H20" s="83" t="s">
        <v>108</v>
      </c>
      <c r="I20" s="73">
        <v>1210</v>
      </c>
      <c r="J20" s="73">
        <v>1210</v>
      </c>
      <c r="K20" s="81">
        <v>860</v>
      </c>
      <c r="L20" s="81">
        <v>820</v>
      </c>
      <c r="M20" s="81">
        <v>740</v>
      </c>
      <c r="N20" s="125">
        <v>1090</v>
      </c>
      <c r="O20" s="125">
        <v>980</v>
      </c>
      <c r="P20" s="125">
        <v>835</v>
      </c>
      <c r="Q20" s="125" t="s">
        <v>52</v>
      </c>
      <c r="R20" s="73" t="s">
        <v>53</v>
      </c>
      <c r="S20" s="73"/>
      <c r="T20" s="73"/>
      <c r="U20" s="61" t="s">
        <v>109</v>
      </c>
      <c r="V20" s="73" t="s">
        <v>110</v>
      </c>
      <c r="W20" s="73">
        <v>42000000101</v>
      </c>
      <c r="X20" s="126" t="s">
        <v>111</v>
      </c>
      <c r="Y20" s="74"/>
      <c r="Z20" s="74"/>
      <c r="AA20" s="74" t="s">
        <v>57</v>
      </c>
      <c r="AB20" s="74"/>
      <c r="AC20" s="115">
        <v>900</v>
      </c>
      <c r="AD20" s="115">
        <v>900</v>
      </c>
      <c r="AE20" s="127">
        <v>1100</v>
      </c>
      <c r="AF20" s="127">
        <v>1100</v>
      </c>
      <c r="AG20" s="117">
        <v>860</v>
      </c>
      <c r="AH20" s="117">
        <v>820</v>
      </c>
      <c r="AI20" s="117">
        <v>740</v>
      </c>
      <c r="AJ20" s="63">
        <v>1</v>
      </c>
      <c r="AK20" s="63">
        <v>8</v>
      </c>
      <c r="AL20" s="63">
        <v>1</v>
      </c>
      <c r="AM20" s="24">
        <f t="shared" ref="AM20:AO20" si="6">AG20*AJ20</f>
        <v>860</v>
      </c>
      <c r="AN20" s="24">
        <f t="shared" si="6"/>
        <v>6560</v>
      </c>
      <c r="AO20" s="24">
        <f t="shared" si="6"/>
        <v>740</v>
      </c>
    </row>
    <row r="21" s="88" customFormat="1" ht="74" customHeight="1" spans="1:41">
      <c r="A21" s="83" t="s">
        <v>64</v>
      </c>
      <c r="B21" s="83" t="s">
        <v>112</v>
      </c>
      <c r="C21" s="83" t="s">
        <v>113</v>
      </c>
      <c r="D21" s="83" t="s">
        <v>47</v>
      </c>
      <c r="E21" s="83"/>
      <c r="F21" s="83"/>
      <c r="G21" s="83" t="s">
        <v>91</v>
      </c>
      <c r="H21" s="83" t="s">
        <v>108</v>
      </c>
      <c r="I21" s="63">
        <v>363</v>
      </c>
      <c r="J21" s="63">
        <v>363</v>
      </c>
      <c r="K21" s="120"/>
      <c r="L21" s="120"/>
      <c r="M21" s="120"/>
      <c r="N21" s="117">
        <f>N20*0.3</f>
        <v>327</v>
      </c>
      <c r="O21" s="117">
        <f>O20*0.3</f>
        <v>294</v>
      </c>
      <c r="P21" s="117">
        <f>P20*0.3</f>
        <v>250.5</v>
      </c>
      <c r="Q21" s="117"/>
      <c r="R21" s="63" t="s">
        <v>53</v>
      </c>
      <c r="S21" s="63"/>
      <c r="T21" s="63"/>
      <c r="U21" s="128"/>
      <c r="V21" s="134"/>
      <c r="W21" s="134"/>
      <c r="X21" s="134"/>
      <c r="Y21" s="134"/>
      <c r="Z21" s="134"/>
      <c r="AA21" s="134"/>
      <c r="AB21" s="134"/>
      <c r="AC21" s="115"/>
      <c r="AD21" s="115"/>
      <c r="AE21" s="135"/>
      <c r="AF21" s="135"/>
      <c r="AG21" s="117"/>
      <c r="AH21" s="117"/>
      <c r="AI21" s="117"/>
      <c r="AJ21" s="63"/>
      <c r="AK21" s="63"/>
      <c r="AL21" s="63"/>
      <c r="AM21" s="24"/>
      <c r="AN21" s="24"/>
      <c r="AO21" s="24"/>
    </row>
    <row r="22" s="88" customFormat="1" ht="48" customHeight="1" spans="1:41">
      <c r="A22" s="32">
        <v>5</v>
      </c>
      <c r="B22" s="32" t="s">
        <v>114</v>
      </c>
      <c r="C22" s="32" t="s">
        <v>115</v>
      </c>
      <c r="D22" s="32" t="s">
        <v>47</v>
      </c>
      <c r="E22" s="32" t="s">
        <v>116</v>
      </c>
      <c r="F22" s="32" t="s">
        <v>117</v>
      </c>
      <c r="G22" s="32" t="s">
        <v>118</v>
      </c>
      <c r="H22" s="32" t="s">
        <v>119</v>
      </c>
      <c r="I22" s="32">
        <v>200</v>
      </c>
      <c r="J22" s="32">
        <v>200</v>
      </c>
      <c r="K22" s="133">
        <v>340</v>
      </c>
      <c r="L22" s="133">
        <v>325</v>
      </c>
      <c r="M22" s="133">
        <v>290</v>
      </c>
      <c r="N22" s="119">
        <v>190</v>
      </c>
      <c r="O22" s="119">
        <v>180</v>
      </c>
      <c r="P22" s="119">
        <v>160</v>
      </c>
      <c r="Q22" s="119" t="s">
        <v>120</v>
      </c>
      <c r="R22" s="32" t="s">
        <v>53</v>
      </c>
      <c r="S22" s="32"/>
      <c r="T22" s="32"/>
      <c r="U22" s="136" t="s">
        <v>121</v>
      </c>
      <c r="V22" s="39" t="s">
        <v>122</v>
      </c>
      <c r="W22" s="39">
        <v>420000007</v>
      </c>
      <c r="X22" s="114" t="s">
        <v>123</v>
      </c>
      <c r="Y22" s="40" t="s">
        <v>124</v>
      </c>
      <c r="Z22" s="40"/>
      <c r="AA22" s="40" t="s">
        <v>57</v>
      </c>
      <c r="AB22" s="40"/>
      <c r="AC22" s="115">
        <v>360</v>
      </c>
      <c r="AD22" s="115">
        <v>360</v>
      </c>
      <c r="AE22" s="116">
        <v>480</v>
      </c>
      <c r="AF22" s="116">
        <v>480</v>
      </c>
      <c r="AG22" s="117">
        <v>340</v>
      </c>
      <c r="AH22" s="117">
        <v>325</v>
      </c>
      <c r="AI22" s="117">
        <v>290</v>
      </c>
      <c r="AJ22" s="42">
        <v>1250</v>
      </c>
      <c r="AK22" s="42">
        <v>6417</v>
      </c>
      <c r="AL22" s="42">
        <v>1088</v>
      </c>
      <c r="AM22" s="24">
        <f t="shared" ref="AM22:AO22" si="7">AG22*AJ22</f>
        <v>425000</v>
      </c>
      <c r="AN22" s="24">
        <f t="shared" si="7"/>
        <v>2085525</v>
      </c>
      <c r="AO22" s="24">
        <f t="shared" si="7"/>
        <v>315520</v>
      </c>
    </row>
    <row r="23" s="88" customFormat="1" ht="31" customHeight="1" spans="1:4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133"/>
      <c r="L23" s="133"/>
      <c r="M23" s="133"/>
      <c r="N23" s="119"/>
      <c r="O23" s="119"/>
      <c r="P23" s="119"/>
      <c r="Q23" s="119"/>
      <c r="R23" s="32"/>
      <c r="S23" s="32"/>
      <c r="T23" s="32"/>
      <c r="U23" s="136"/>
      <c r="V23" s="39" t="s">
        <v>125</v>
      </c>
      <c r="W23" s="39">
        <v>42000000701</v>
      </c>
      <c r="X23" s="114" t="s">
        <v>126</v>
      </c>
      <c r="Y23" s="40"/>
      <c r="Z23" s="40"/>
      <c r="AA23" s="40" t="s">
        <v>57</v>
      </c>
      <c r="AB23" s="40" t="s">
        <v>127</v>
      </c>
      <c r="AC23" s="115">
        <v>360</v>
      </c>
      <c r="AD23" s="115">
        <v>360</v>
      </c>
      <c r="AE23" s="116">
        <v>480</v>
      </c>
      <c r="AF23" s="116">
        <v>480</v>
      </c>
      <c r="AG23" s="117">
        <v>340</v>
      </c>
      <c r="AH23" s="117">
        <v>325</v>
      </c>
      <c r="AI23" s="117">
        <v>290</v>
      </c>
      <c r="AJ23" s="42">
        <v>1</v>
      </c>
      <c r="AK23" s="42">
        <v>34</v>
      </c>
      <c r="AL23" s="42">
        <v>1</v>
      </c>
      <c r="AM23" s="24">
        <f t="shared" ref="AM23:AO23" si="8">AG23*AJ23</f>
        <v>340</v>
      </c>
      <c r="AN23" s="24">
        <f t="shared" si="8"/>
        <v>11050</v>
      </c>
      <c r="AO23" s="24">
        <f t="shared" si="8"/>
        <v>290</v>
      </c>
    </row>
    <row r="24" s="88" customFormat="1" ht="31" customHeight="1" spans="1:4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133"/>
      <c r="L24" s="133"/>
      <c r="M24" s="133"/>
      <c r="N24" s="119"/>
      <c r="O24" s="119"/>
      <c r="P24" s="119"/>
      <c r="Q24" s="119"/>
      <c r="R24" s="32"/>
      <c r="S24" s="32"/>
      <c r="T24" s="32"/>
      <c r="U24" s="136"/>
      <c r="V24" s="39" t="s">
        <v>128</v>
      </c>
      <c r="W24" s="39">
        <v>42000000702</v>
      </c>
      <c r="X24" s="114" t="s">
        <v>129</v>
      </c>
      <c r="Y24" s="40"/>
      <c r="Z24" s="40"/>
      <c r="AA24" s="40" t="s">
        <v>57</v>
      </c>
      <c r="AB24" s="40" t="s">
        <v>130</v>
      </c>
      <c r="AC24" s="115">
        <v>360</v>
      </c>
      <c r="AD24" s="115">
        <v>360</v>
      </c>
      <c r="AE24" s="116">
        <v>480</v>
      </c>
      <c r="AF24" s="116">
        <v>480</v>
      </c>
      <c r="AG24" s="117">
        <v>340</v>
      </c>
      <c r="AH24" s="117">
        <v>325</v>
      </c>
      <c r="AI24" s="117">
        <v>290</v>
      </c>
      <c r="AJ24" s="42">
        <v>0</v>
      </c>
      <c r="AK24" s="42">
        <v>44</v>
      </c>
      <c r="AL24" s="42">
        <v>7</v>
      </c>
      <c r="AM24" s="24">
        <f t="shared" ref="AM24:AO24" si="9">AG24*AJ24</f>
        <v>0</v>
      </c>
      <c r="AN24" s="24">
        <f t="shared" si="9"/>
        <v>14300</v>
      </c>
      <c r="AO24" s="24">
        <f t="shared" si="9"/>
        <v>2030</v>
      </c>
    </row>
    <row r="25" s="89" customFormat="1" ht="37" customHeight="1" spans="1:41">
      <c r="A25" s="32" t="s">
        <v>64</v>
      </c>
      <c r="B25" s="32" t="s">
        <v>114</v>
      </c>
      <c r="C25" s="32" t="s">
        <v>131</v>
      </c>
      <c r="D25" s="32" t="s">
        <v>47</v>
      </c>
      <c r="E25" s="32"/>
      <c r="F25" s="32"/>
      <c r="G25" s="32" t="s">
        <v>118</v>
      </c>
      <c r="H25" s="32"/>
      <c r="I25" s="42">
        <v>60</v>
      </c>
      <c r="J25" s="42">
        <v>60</v>
      </c>
      <c r="K25" s="120"/>
      <c r="L25" s="120"/>
      <c r="M25" s="120"/>
      <c r="N25" s="117">
        <f>N22*0.3</f>
        <v>57</v>
      </c>
      <c r="O25" s="117">
        <f>O22*0.3</f>
        <v>54</v>
      </c>
      <c r="P25" s="117">
        <f>P22*0.3</f>
        <v>48</v>
      </c>
      <c r="Q25" s="117"/>
      <c r="R25" s="42" t="s">
        <v>53</v>
      </c>
      <c r="S25" s="42"/>
      <c r="T25" s="42"/>
      <c r="U25" s="137"/>
      <c r="V25" s="42"/>
      <c r="W25" s="42"/>
      <c r="X25" s="42"/>
      <c r="Y25" s="42"/>
      <c r="Z25" s="42"/>
      <c r="AA25" s="42"/>
      <c r="AB25" s="42"/>
      <c r="AC25" s="115"/>
      <c r="AD25" s="115"/>
      <c r="AE25" s="122"/>
      <c r="AF25" s="122"/>
      <c r="AG25" s="117"/>
      <c r="AH25" s="117"/>
      <c r="AI25" s="117"/>
      <c r="AJ25" s="42"/>
      <c r="AK25" s="42"/>
      <c r="AL25" s="42"/>
      <c r="AM25" s="24"/>
      <c r="AN25" s="24"/>
      <c r="AO25" s="24"/>
    </row>
    <row r="26" s="88" customFormat="1" ht="37" customHeight="1" spans="1:41">
      <c r="A26" s="32" t="s">
        <v>64</v>
      </c>
      <c r="B26" s="32" t="s">
        <v>132</v>
      </c>
      <c r="C26" s="32" t="s">
        <v>133</v>
      </c>
      <c r="D26" s="32" t="s">
        <v>47</v>
      </c>
      <c r="E26" s="32"/>
      <c r="F26" s="32"/>
      <c r="G26" s="32" t="s">
        <v>118</v>
      </c>
      <c r="H26" s="32" t="s">
        <v>119</v>
      </c>
      <c r="I26" s="39">
        <v>60</v>
      </c>
      <c r="J26" s="39">
        <v>60</v>
      </c>
      <c r="K26" s="81"/>
      <c r="L26" s="81"/>
      <c r="M26" s="81"/>
      <c r="N26" s="123">
        <f>N25</f>
        <v>57</v>
      </c>
      <c r="O26" s="123">
        <f>O25</f>
        <v>54</v>
      </c>
      <c r="P26" s="123">
        <f>P25</f>
        <v>48</v>
      </c>
      <c r="Q26" s="123"/>
      <c r="R26" s="39" t="s">
        <v>53</v>
      </c>
      <c r="S26" s="39"/>
      <c r="T26" s="39"/>
      <c r="U26" s="48"/>
      <c r="V26" s="39"/>
      <c r="W26" s="39"/>
      <c r="X26" s="114"/>
      <c r="Y26" s="40"/>
      <c r="Z26" s="40"/>
      <c r="AA26" s="40"/>
      <c r="AB26" s="40"/>
      <c r="AC26" s="115"/>
      <c r="AD26" s="115"/>
      <c r="AE26" s="116"/>
      <c r="AF26" s="116"/>
      <c r="AG26" s="117"/>
      <c r="AH26" s="117"/>
      <c r="AI26" s="117"/>
      <c r="AJ26" s="42"/>
      <c r="AK26" s="42"/>
      <c r="AL26" s="42"/>
      <c r="AM26" s="24"/>
      <c r="AN26" s="24"/>
      <c r="AO26" s="24"/>
    </row>
    <row r="27" s="88" customFormat="1" ht="57" customHeight="1" spans="1:41">
      <c r="A27" s="32" t="s">
        <v>64</v>
      </c>
      <c r="B27" s="32" t="s">
        <v>132</v>
      </c>
      <c r="C27" s="32" t="s">
        <v>134</v>
      </c>
      <c r="D27" s="32" t="s">
        <v>47</v>
      </c>
      <c r="E27" s="32"/>
      <c r="F27" s="32"/>
      <c r="G27" s="32" t="s">
        <v>118</v>
      </c>
      <c r="H27" s="32"/>
      <c r="I27" s="39">
        <v>18</v>
      </c>
      <c r="J27" s="39">
        <v>18</v>
      </c>
      <c r="K27" s="81"/>
      <c r="L27" s="81"/>
      <c r="M27" s="81"/>
      <c r="N27" s="123">
        <f>N26*0.3</f>
        <v>17.1</v>
      </c>
      <c r="O27" s="123">
        <f>O26*0.3</f>
        <v>16.2</v>
      </c>
      <c r="P27" s="123">
        <f>P26*0.3</f>
        <v>14.4</v>
      </c>
      <c r="Q27" s="123"/>
      <c r="R27" s="39" t="s">
        <v>53</v>
      </c>
      <c r="S27" s="39"/>
      <c r="T27" s="39"/>
      <c r="U27" s="48"/>
      <c r="V27" s="39"/>
      <c r="W27" s="39"/>
      <c r="X27" s="114"/>
      <c r="Y27" s="40"/>
      <c r="Z27" s="40"/>
      <c r="AA27" s="40"/>
      <c r="AB27" s="40"/>
      <c r="AC27" s="115"/>
      <c r="AD27" s="115"/>
      <c r="AE27" s="116"/>
      <c r="AF27" s="116"/>
      <c r="AG27" s="117"/>
      <c r="AH27" s="117"/>
      <c r="AI27" s="117"/>
      <c r="AJ27" s="42"/>
      <c r="AK27" s="42"/>
      <c r="AL27" s="42"/>
      <c r="AM27" s="24"/>
      <c r="AN27" s="24"/>
      <c r="AO27" s="24"/>
    </row>
    <row r="28" s="88" customFormat="1" ht="31" customHeight="1" spans="1:41">
      <c r="A28" s="83">
        <v>6</v>
      </c>
      <c r="B28" s="83" t="s">
        <v>135</v>
      </c>
      <c r="C28" s="83" t="s">
        <v>136</v>
      </c>
      <c r="D28" s="83" t="s">
        <v>47</v>
      </c>
      <c r="E28" s="83" t="s">
        <v>137</v>
      </c>
      <c r="F28" s="83" t="s">
        <v>138</v>
      </c>
      <c r="G28" s="83" t="s">
        <v>118</v>
      </c>
      <c r="H28" s="83"/>
      <c r="I28" s="83">
        <v>65</v>
      </c>
      <c r="J28" s="83">
        <v>65</v>
      </c>
      <c r="K28" s="133">
        <v>50</v>
      </c>
      <c r="L28" s="133">
        <v>48</v>
      </c>
      <c r="M28" s="133">
        <v>40</v>
      </c>
      <c r="N28" s="112">
        <v>60</v>
      </c>
      <c r="O28" s="112">
        <v>55</v>
      </c>
      <c r="P28" s="112">
        <v>45</v>
      </c>
      <c r="Q28" s="112" t="s">
        <v>52</v>
      </c>
      <c r="R28" s="83" t="s">
        <v>53</v>
      </c>
      <c r="S28" s="83"/>
      <c r="T28" s="83"/>
      <c r="U28" s="138" t="s">
        <v>139</v>
      </c>
      <c r="V28" s="73" t="s">
        <v>140</v>
      </c>
      <c r="W28" s="73">
        <v>420000012</v>
      </c>
      <c r="X28" s="126" t="s">
        <v>141</v>
      </c>
      <c r="Y28" s="74" t="s">
        <v>142</v>
      </c>
      <c r="Z28" s="74"/>
      <c r="AA28" s="74" t="s">
        <v>57</v>
      </c>
      <c r="AB28" s="74"/>
      <c r="AC28" s="115">
        <v>52</v>
      </c>
      <c r="AD28" s="115">
        <v>52</v>
      </c>
      <c r="AE28" s="127">
        <v>65</v>
      </c>
      <c r="AF28" s="127">
        <v>65</v>
      </c>
      <c r="AG28" s="117">
        <v>50</v>
      </c>
      <c r="AH28" s="117">
        <v>48</v>
      </c>
      <c r="AI28" s="117">
        <v>40</v>
      </c>
      <c r="AJ28" s="63">
        <v>912</v>
      </c>
      <c r="AK28" s="63">
        <v>11768</v>
      </c>
      <c r="AL28" s="63">
        <v>943</v>
      </c>
      <c r="AM28" s="24">
        <f t="shared" ref="AM28:AM30" si="10">AG28*AJ28</f>
        <v>45600</v>
      </c>
      <c r="AN28" s="24">
        <f t="shared" ref="AN28:AN30" si="11">AH28*AK28</f>
        <v>564864</v>
      </c>
      <c r="AO28" s="24">
        <f t="shared" ref="AO28:AO30" si="12">AI28*AL28</f>
        <v>37720</v>
      </c>
    </row>
    <row r="29" s="88" customFormat="1" ht="31" customHeight="1" spans="1:4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133"/>
      <c r="L29" s="133"/>
      <c r="M29" s="133"/>
      <c r="N29" s="112"/>
      <c r="O29" s="112"/>
      <c r="P29" s="112"/>
      <c r="Q29" s="112"/>
      <c r="R29" s="83"/>
      <c r="S29" s="83"/>
      <c r="T29" s="83"/>
      <c r="U29" s="139"/>
      <c r="V29" s="73" t="s">
        <v>143</v>
      </c>
      <c r="W29" s="73">
        <v>42000001201</v>
      </c>
      <c r="X29" s="126" t="s">
        <v>144</v>
      </c>
      <c r="Y29" s="74"/>
      <c r="Z29" s="74"/>
      <c r="AA29" s="74" t="s">
        <v>57</v>
      </c>
      <c r="AB29" s="74" t="s">
        <v>145</v>
      </c>
      <c r="AC29" s="115">
        <v>52</v>
      </c>
      <c r="AD29" s="115">
        <v>52</v>
      </c>
      <c r="AE29" s="127">
        <v>65</v>
      </c>
      <c r="AF29" s="127">
        <v>65</v>
      </c>
      <c r="AG29" s="117">
        <v>50</v>
      </c>
      <c r="AH29" s="117">
        <v>48</v>
      </c>
      <c r="AI29" s="117">
        <v>40</v>
      </c>
      <c r="AJ29" s="63">
        <v>7.4</v>
      </c>
      <c r="AK29" s="63">
        <v>94.5</v>
      </c>
      <c r="AL29" s="63">
        <v>51</v>
      </c>
      <c r="AM29" s="24">
        <f t="shared" si="10"/>
        <v>370</v>
      </c>
      <c r="AN29" s="24">
        <f t="shared" si="11"/>
        <v>4536</v>
      </c>
      <c r="AO29" s="24">
        <f t="shared" si="12"/>
        <v>2040</v>
      </c>
    </row>
    <row r="30" s="88" customFormat="1" ht="31" customHeight="1" spans="1:4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133"/>
      <c r="L30" s="133"/>
      <c r="M30" s="133"/>
      <c r="N30" s="112"/>
      <c r="O30" s="112"/>
      <c r="P30" s="112"/>
      <c r="Q30" s="112"/>
      <c r="R30" s="83"/>
      <c r="S30" s="83"/>
      <c r="T30" s="83"/>
      <c r="U30" s="139"/>
      <c r="V30" s="73" t="s">
        <v>146</v>
      </c>
      <c r="W30" s="73">
        <v>42000001202</v>
      </c>
      <c r="X30" s="126" t="s">
        <v>147</v>
      </c>
      <c r="Y30" s="74"/>
      <c r="Z30" s="74"/>
      <c r="AA30" s="74" t="s">
        <v>57</v>
      </c>
      <c r="AB30" s="74" t="s">
        <v>148</v>
      </c>
      <c r="AC30" s="115">
        <v>52</v>
      </c>
      <c r="AD30" s="115">
        <v>52</v>
      </c>
      <c r="AE30" s="127">
        <v>65</v>
      </c>
      <c r="AF30" s="127">
        <v>65</v>
      </c>
      <c r="AG30" s="117">
        <v>50</v>
      </c>
      <c r="AH30" s="117">
        <v>48</v>
      </c>
      <c r="AI30" s="117">
        <v>40</v>
      </c>
      <c r="AJ30" s="63">
        <v>20</v>
      </c>
      <c r="AK30" s="63">
        <v>1987.05</v>
      </c>
      <c r="AL30" s="63">
        <v>520</v>
      </c>
      <c r="AM30" s="24">
        <f t="shared" si="10"/>
        <v>1000</v>
      </c>
      <c r="AN30" s="24">
        <f t="shared" si="11"/>
        <v>95378.4</v>
      </c>
      <c r="AO30" s="24">
        <f t="shared" si="12"/>
        <v>20800</v>
      </c>
    </row>
    <row r="31" s="88" customFormat="1" ht="31" customHeight="1" spans="1:41">
      <c r="A31" s="83" t="s">
        <v>64</v>
      </c>
      <c r="B31" s="83" t="s">
        <v>149</v>
      </c>
      <c r="C31" s="83" t="s">
        <v>150</v>
      </c>
      <c r="D31" s="83" t="s">
        <v>47</v>
      </c>
      <c r="E31" s="83"/>
      <c r="F31" s="83"/>
      <c r="G31" s="83" t="s">
        <v>118</v>
      </c>
      <c r="H31" s="83"/>
      <c r="I31" s="73">
        <v>19.5</v>
      </c>
      <c r="J31" s="73">
        <v>19.5</v>
      </c>
      <c r="K31" s="81"/>
      <c r="L31" s="81"/>
      <c r="M31" s="81"/>
      <c r="N31" s="123">
        <f>N28*0.3</f>
        <v>18</v>
      </c>
      <c r="O31" s="123">
        <f>O28*0.3</f>
        <v>16.5</v>
      </c>
      <c r="P31" s="123">
        <f>P28*0.3</f>
        <v>13.5</v>
      </c>
      <c r="Q31" s="123"/>
      <c r="R31" s="73" t="s">
        <v>53</v>
      </c>
      <c r="S31" s="73"/>
      <c r="T31" s="73"/>
      <c r="U31" s="140"/>
      <c r="V31" s="73"/>
      <c r="W31" s="73"/>
      <c r="X31" s="126"/>
      <c r="Y31" s="74"/>
      <c r="Z31" s="74"/>
      <c r="AA31" s="74"/>
      <c r="AB31" s="74"/>
      <c r="AC31" s="115"/>
      <c r="AD31" s="115"/>
      <c r="AE31" s="127"/>
      <c r="AF31" s="127"/>
      <c r="AG31" s="117"/>
      <c r="AH31" s="117"/>
      <c r="AI31" s="117"/>
      <c r="AJ31" s="63"/>
      <c r="AK31" s="63"/>
      <c r="AL31" s="63"/>
      <c r="AM31" s="24"/>
      <c r="AN31" s="24"/>
      <c r="AO31" s="24"/>
    </row>
    <row r="32" s="88" customFormat="1" ht="31" customHeight="1" spans="1:41">
      <c r="A32" s="32">
        <v>7</v>
      </c>
      <c r="B32" s="32" t="s">
        <v>151</v>
      </c>
      <c r="C32" s="32" t="s">
        <v>152</v>
      </c>
      <c r="D32" s="32" t="s">
        <v>153</v>
      </c>
      <c r="E32" s="32" t="s">
        <v>154</v>
      </c>
      <c r="F32" s="32" t="s">
        <v>155</v>
      </c>
      <c r="G32" s="32" t="s">
        <v>91</v>
      </c>
      <c r="H32" s="32"/>
      <c r="I32" s="32">
        <v>1135</v>
      </c>
      <c r="J32" s="32">
        <v>1135</v>
      </c>
      <c r="K32" s="111">
        <f>SUM(AM32:AM36)/SUM(AJ32:AJ36)</f>
        <v>1037.65151515152</v>
      </c>
      <c r="L32" s="111">
        <f>SUM(AN32:AN36)/SUM(AK32:AK36)</f>
        <v>989.116497431196</v>
      </c>
      <c r="M32" s="111">
        <f>SUM(AO32:AO36)/SUM(AL32:AL36)</f>
        <v>891.395348837209</v>
      </c>
      <c r="N32" s="119">
        <v>1050</v>
      </c>
      <c r="O32" s="119">
        <v>990</v>
      </c>
      <c r="P32" s="119">
        <v>890</v>
      </c>
      <c r="Q32" s="119" t="s">
        <v>156</v>
      </c>
      <c r="R32" s="32" t="s">
        <v>53</v>
      </c>
      <c r="S32" s="32"/>
      <c r="T32" s="32"/>
      <c r="U32" s="136" t="s">
        <v>157</v>
      </c>
      <c r="V32" s="39" t="s">
        <v>158</v>
      </c>
      <c r="W32" s="39">
        <v>420000003</v>
      </c>
      <c r="X32" s="114" t="s">
        <v>159</v>
      </c>
      <c r="Y32" s="40"/>
      <c r="Z32" s="40"/>
      <c r="AA32" s="40" t="s">
        <v>57</v>
      </c>
      <c r="AB32" s="40"/>
      <c r="AC32" s="115">
        <v>400</v>
      </c>
      <c r="AD32" s="115">
        <v>400</v>
      </c>
      <c r="AE32" s="116">
        <v>480</v>
      </c>
      <c r="AF32" s="116">
        <v>480</v>
      </c>
      <c r="AG32" s="117">
        <v>380</v>
      </c>
      <c r="AH32" s="117">
        <v>360</v>
      </c>
      <c r="AI32" s="117">
        <v>325</v>
      </c>
      <c r="AJ32" s="42">
        <v>0</v>
      </c>
      <c r="AK32" s="42">
        <v>4</v>
      </c>
      <c r="AL32" s="42">
        <v>0</v>
      </c>
      <c r="AM32" s="24">
        <f t="shared" ref="AM32:AM36" si="13">AG32*AJ32</f>
        <v>0</v>
      </c>
      <c r="AN32" s="24">
        <f t="shared" ref="AN32:AN36" si="14">AH32*AK32</f>
        <v>1440</v>
      </c>
      <c r="AO32" s="24">
        <f t="shared" ref="AO32:AO36" si="15">AI32*AL32</f>
        <v>0</v>
      </c>
    </row>
    <row r="33" s="88" customFormat="1" ht="72" customHeight="1" spans="1:4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111"/>
      <c r="L33" s="111"/>
      <c r="M33" s="111"/>
      <c r="N33" s="119"/>
      <c r="O33" s="119"/>
      <c r="P33" s="119"/>
      <c r="Q33" s="119"/>
      <c r="R33" s="32"/>
      <c r="S33" s="32"/>
      <c r="T33" s="32"/>
      <c r="U33" s="136"/>
      <c r="V33" s="39" t="s">
        <v>160</v>
      </c>
      <c r="W33" s="39">
        <v>420000004</v>
      </c>
      <c r="X33" s="114" t="s">
        <v>161</v>
      </c>
      <c r="Y33" s="40" t="s">
        <v>162</v>
      </c>
      <c r="Z33" s="40"/>
      <c r="AA33" s="40" t="s">
        <v>57</v>
      </c>
      <c r="AB33" s="40" t="s">
        <v>163</v>
      </c>
      <c r="AC33" s="115">
        <v>1000</v>
      </c>
      <c r="AD33" s="115">
        <v>1000</v>
      </c>
      <c r="AE33" s="116">
        <v>1150</v>
      </c>
      <c r="AF33" s="116">
        <v>1150</v>
      </c>
      <c r="AG33" s="117">
        <v>970</v>
      </c>
      <c r="AH33" s="117">
        <v>920</v>
      </c>
      <c r="AI33" s="117">
        <v>830</v>
      </c>
      <c r="AJ33" s="42">
        <v>9.5</v>
      </c>
      <c r="AK33" s="42">
        <v>34.4</v>
      </c>
      <c r="AL33" s="42">
        <v>1</v>
      </c>
      <c r="AM33" s="24">
        <f t="shared" si="13"/>
        <v>9215</v>
      </c>
      <c r="AN33" s="24">
        <f t="shared" si="14"/>
        <v>31648</v>
      </c>
      <c r="AO33" s="24">
        <f t="shared" si="15"/>
        <v>830</v>
      </c>
    </row>
    <row r="34" s="88" customFormat="1" ht="31" customHeight="1" spans="1:4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111"/>
      <c r="L34" s="111"/>
      <c r="M34" s="111"/>
      <c r="N34" s="119"/>
      <c r="O34" s="119"/>
      <c r="P34" s="119"/>
      <c r="Q34" s="119"/>
      <c r="R34" s="32"/>
      <c r="S34" s="32"/>
      <c r="T34" s="32"/>
      <c r="U34" s="136"/>
      <c r="V34" s="39" t="s">
        <v>164</v>
      </c>
      <c r="W34" s="39">
        <v>42000000401</v>
      </c>
      <c r="X34" s="114" t="s">
        <v>165</v>
      </c>
      <c r="Y34" s="40"/>
      <c r="Z34" s="40"/>
      <c r="AA34" s="40" t="s">
        <v>57</v>
      </c>
      <c r="AB34" s="40" t="s">
        <v>166</v>
      </c>
      <c r="AC34" s="115">
        <v>1100</v>
      </c>
      <c r="AD34" s="115">
        <v>1100</v>
      </c>
      <c r="AE34" s="116">
        <v>1260</v>
      </c>
      <c r="AF34" s="116">
        <v>1260</v>
      </c>
      <c r="AG34" s="117">
        <v>1065</v>
      </c>
      <c r="AH34" s="117">
        <v>1015</v>
      </c>
      <c r="AI34" s="117">
        <v>910</v>
      </c>
      <c r="AJ34" s="42">
        <v>4.5</v>
      </c>
      <c r="AK34" s="42">
        <v>118.55</v>
      </c>
      <c r="AL34" s="42">
        <v>0</v>
      </c>
      <c r="AM34" s="24">
        <f t="shared" si="13"/>
        <v>4792.5</v>
      </c>
      <c r="AN34" s="24">
        <f t="shared" si="14"/>
        <v>120328.25</v>
      </c>
      <c r="AO34" s="24">
        <f t="shared" si="15"/>
        <v>0</v>
      </c>
    </row>
    <row r="35" s="88" customFormat="1" ht="31" customHeight="1" spans="1:4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111"/>
      <c r="L35" s="111"/>
      <c r="M35" s="111"/>
      <c r="N35" s="119"/>
      <c r="O35" s="119"/>
      <c r="P35" s="119"/>
      <c r="Q35" s="119"/>
      <c r="R35" s="32"/>
      <c r="S35" s="32"/>
      <c r="T35" s="32"/>
      <c r="U35" s="136"/>
      <c r="V35" s="39" t="s">
        <v>167</v>
      </c>
      <c r="W35" s="39">
        <v>42000000402</v>
      </c>
      <c r="X35" s="114" t="s">
        <v>168</v>
      </c>
      <c r="Y35" s="40"/>
      <c r="Z35" s="40"/>
      <c r="AA35" s="40" t="s">
        <v>57</v>
      </c>
      <c r="AB35" s="40" t="s">
        <v>169</v>
      </c>
      <c r="AC35" s="115">
        <v>1100</v>
      </c>
      <c r="AD35" s="115">
        <v>1100</v>
      </c>
      <c r="AE35" s="116">
        <v>1260</v>
      </c>
      <c r="AF35" s="116">
        <v>1260</v>
      </c>
      <c r="AG35" s="117">
        <v>1065</v>
      </c>
      <c r="AH35" s="117">
        <v>1015</v>
      </c>
      <c r="AI35" s="117">
        <v>910</v>
      </c>
      <c r="AJ35" s="42">
        <v>19</v>
      </c>
      <c r="AK35" s="42">
        <v>508.0333</v>
      </c>
      <c r="AL35" s="42">
        <v>3.3</v>
      </c>
      <c r="AM35" s="24">
        <f t="shared" si="13"/>
        <v>20235</v>
      </c>
      <c r="AN35" s="24">
        <f t="shared" si="14"/>
        <v>515653.7995</v>
      </c>
      <c r="AO35" s="24">
        <f t="shared" si="15"/>
        <v>3003</v>
      </c>
    </row>
    <row r="36" s="88" customFormat="1" ht="31" customHeight="1" spans="1:4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111"/>
      <c r="L36" s="111"/>
      <c r="M36" s="111"/>
      <c r="N36" s="119"/>
      <c r="O36" s="119"/>
      <c r="P36" s="119"/>
      <c r="Q36" s="119"/>
      <c r="R36" s="32"/>
      <c r="S36" s="32"/>
      <c r="T36" s="32"/>
      <c r="U36" s="136"/>
      <c r="V36" s="39" t="s">
        <v>170</v>
      </c>
      <c r="W36" s="39">
        <v>420000002</v>
      </c>
      <c r="X36" s="114" t="s">
        <v>171</v>
      </c>
      <c r="Y36" s="40"/>
      <c r="Z36" s="40"/>
      <c r="AA36" s="40" t="s">
        <v>57</v>
      </c>
      <c r="AB36" s="40"/>
      <c r="AC36" s="115">
        <v>400</v>
      </c>
      <c r="AD36" s="115">
        <v>400</v>
      </c>
      <c r="AE36" s="116">
        <v>480</v>
      </c>
      <c r="AF36" s="116">
        <v>480</v>
      </c>
      <c r="AG36" s="117">
        <v>380</v>
      </c>
      <c r="AH36" s="117">
        <v>360</v>
      </c>
      <c r="AI36" s="117">
        <v>325</v>
      </c>
      <c r="AJ36" s="42">
        <v>0</v>
      </c>
      <c r="AK36" s="42">
        <v>18</v>
      </c>
      <c r="AL36" s="42">
        <v>0</v>
      </c>
      <c r="AM36" s="24">
        <f t="shared" si="13"/>
        <v>0</v>
      </c>
      <c r="AN36" s="24">
        <f t="shared" si="14"/>
        <v>6480</v>
      </c>
      <c r="AO36" s="24">
        <f t="shared" si="15"/>
        <v>0</v>
      </c>
    </row>
    <row r="37" s="88" customFormat="1" ht="31" customHeight="1" spans="1:41">
      <c r="A37" s="32" t="s">
        <v>64</v>
      </c>
      <c r="B37" s="32" t="s">
        <v>172</v>
      </c>
      <c r="C37" s="32" t="s">
        <v>173</v>
      </c>
      <c r="D37" s="32" t="s">
        <v>153</v>
      </c>
      <c r="E37" s="32"/>
      <c r="F37" s="32"/>
      <c r="G37" s="32" t="s">
        <v>91</v>
      </c>
      <c r="H37" s="32"/>
      <c r="I37" s="39">
        <v>340</v>
      </c>
      <c r="J37" s="39">
        <v>340</v>
      </c>
      <c r="K37" s="81"/>
      <c r="L37" s="81"/>
      <c r="M37" s="81"/>
      <c r="N37" s="123">
        <f>N32*0.3</f>
        <v>315</v>
      </c>
      <c r="O37" s="123">
        <f>O32*0.3</f>
        <v>297</v>
      </c>
      <c r="P37" s="123">
        <f>P32*0.3</f>
        <v>267</v>
      </c>
      <c r="Q37" s="123"/>
      <c r="R37" s="39" t="s">
        <v>53</v>
      </c>
      <c r="S37" s="39"/>
      <c r="T37" s="39"/>
      <c r="U37" s="48"/>
      <c r="V37" s="39"/>
      <c r="W37" s="39"/>
      <c r="X37" s="141"/>
      <c r="Y37" s="40"/>
      <c r="Z37" s="40"/>
      <c r="AA37" s="40"/>
      <c r="AB37" s="40"/>
      <c r="AC37" s="115"/>
      <c r="AD37" s="115"/>
      <c r="AE37" s="116"/>
      <c r="AF37" s="116"/>
      <c r="AG37" s="117"/>
      <c r="AH37" s="117"/>
      <c r="AI37" s="117"/>
      <c r="AJ37" s="42"/>
      <c r="AK37" s="42"/>
      <c r="AL37" s="42"/>
      <c r="AM37" s="24"/>
      <c r="AN37" s="24"/>
      <c r="AO37" s="24"/>
    </row>
    <row r="38" s="88" customFormat="1" ht="55" customHeight="1" spans="1:41">
      <c r="A38" s="83">
        <v>8</v>
      </c>
      <c r="B38" s="83" t="s">
        <v>174</v>
      </c>
      <c r="C38" s="83" t="s">
        <v>175</v>
      </c>
      <c r="D38" s="83" t="s">
        <v>47</v>
      </c>
      <c r="E38" s="83" t="s">
        <v>176</v>
      </c>
      <c r="F38" s="83" t="s">
        <v>177</v>
      </c>
      <c r="G38" s="83" t="s">
        <v>57</v>
      </c>
      <c r="H38" s="83" t="s">
        <v>178</v>
      </c>
      <c r="I38" s="83">
        <v>335</v>
      </c>
      <c r="J38" s="83">
        <v>335</v>
      </c>
      <c r="K38" s="111">
        <f>SUM(AM38:AM39)/SUM(AJ38:AJ39)</f>
        <v>326.08938547486</v>
      </c>
      <c r="L38" s="111">
        <f>SUM(AN38:AN39)/SUM(AK38:AK39)</f>
        <v>264.628910550229</v>
      </c>
      <c r="M38" s="111">
        <f>SUM(AO38:AO39)/SUM(AL38:AL39)</f>
        <v>221.004</v>
      </c>
      <c r="N38" s="119">
        <v>325</v>
      </c>
      <c r="O38" s="142">
        <v>290</v>
      </c>
      <c r="P38" s="142">
        <v>245</v>
      </c>
      <c r="Q38" s="119" t="s">
        <v>179</v>
      </c>
      <c r="R38" s="83" t="s">
        <v>53</v>
      </c>
      <c r="S38" s="83"/>
      <c r="T38" s="83"/>
      <c r="U38" s="143" t="s">
        <v>180</v>
      </c>
      <c r="V38" s="73" t="s">
        <v>181</v>
      </c>
      <c r="W38" s="73">
        <v>420000011</v>
      </c>
      <c r="X38" s="126" t="s">
        <v>182</v>
      </c>
      <c r="Y38" s="74"/>
      <c r="Z38" s="74"/>
      <c r="AA38" s="74" t="s">
        <v>57</v>
      </c>
      <c r="AB38" s="74" t="s">
        <v>183</v>
      </c>
      <c r="AC38" s="115">
        <v>280</v>
      </c>
      <c r="AD38" s="115">
        <v>280</v>
      </c>
      <c r="AE38" s="127">
        <v>320</v>
      </c>
      <c r="AF38" s="127">
        <v>320</v>
      </c>
      <c r="AG38" s="117">
        <v>260</v>
      </c>
      <c r="AH38" s="117">
        <v>250</v>
      </c>
      <c r="AI38" s="117">
        <v>212.5</v>
      </c>
      <c r="AJ38" s="63">
        <v>88</v>
      </c>
      <c r="AK38" s="63">
        <v>4411.4</v>
      </c>
      <c r="AL38" s="63">
        <v>69</v>
      </c>
      <c r="AM38" s="24">
        <f t="shared" ref="AM38:AM40" si="16">AG38*AJ38</f>
        <v>22880</v>
      </c>
      <c r="AN38" s="24">
        <f t="shared" ref="AN38:AN40" si="17">AH38*AK38</f>
        <v>1102850</v>
      </c>
      <c r="AO38" s="24">
        <f t="shared" ref="AO38:AO40" si="18">AI38*AL38</f>
        <v>14662.5</v>
      </c>
    </row>
    <row r="39" s="88" customFormat="1" ht="27" customHeight="1" spans="1:4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111"/>
      <c r="L39" s="111"/>
      <c r="M39" s="111"/>
      <c r="N39" s="119"/>
      <c r="O39" s="142"/>
      <c r="P39" s="142"/>
      <c r="Q39" s="119"/>
      <c r="R39" s="83"/>
      <c r="S39" s="83"/>
      <c r="T39" s="83"/>
      <c r="U39" s="143"/>
      <c r="V39" s="73" t="s">
        <v>184</v>
      </c>
      <c r="W39" s="73">
        <v>42000001101</v>
      </c>
      <c r="X39" s="126" t="s">
        <v>185</v>
      </c>
      <c r="Y39" s="74"/>
      <c r="Z39" s="74"/>
      <c r="AA39" s="74" t="s">
        <v>57</v>
      </c>
      <c r="AB39" s="74"/>
      <c r="AC39" s="115">
        <v>420</v>
      </c>
      <c r="AD39" s="115">
        <v>420</v>
      </c>
      <c r="AE39" s="127">
        <v>480</v>
      </c>
      <c r="AF39" s="127">
        <v>480</v>
      </c>
      <c r="AG39" s="117">
        <v>390</v>
      </c>
      <c r="AH39" s="117">
        <v>375</v>
      </c>
      <c r="AI39" s="117">
        <v>318.8</v>
      </c>
      <c r="AJ39" s="63">
        <v>91</v>
      </c>
      <c r="AK39" s="63">
        <v>584.7</v>
      </c>
      <c r="AL39" s="63">
        <v>6</v>
      </c>
      <c r="AM39" s="24">
        <f t="shared" si="16"/>
        <v>35490</v>
      </c>
      <c r="AN39" s="24">
        <f t="shared" si="17"/>
        <v>219262.5</v>
      </c>
      <c r="AO39" s="24">
        <f t="shared" si="18"/>
        <v>1912.8</v>
      </c>
    </row>
    <row r="40" s="88" customFormat="1" ht="31" customHeight="1" spans="1:41">
      <c r="A40" s="83" t="s">
        <v>64</v>
      </c>
      <c r="B40" s="83" t="s">
        <v>174</v>
      </c>
      <c r="C40" s="83" t="s">
        <v>186</v>
      </c>
      <c r="D40" s="83" t="s">
        <v>47</v>
      </c>
      <c r="E40" s="83"/>
      <c r="F40" s="83"/>
      <c r="G40" s="83" t="s">
        <v>57</v>
      </c>
      <c r="H40" s="83"/>
      <c r="I40" s="73">
        <v>110</v>
      </c>
      <c r="J40" s="73">
        <v>110</v>
      </c>
      <c r="K40" s="81">
        <v>100</v>
      </c>
      <c r="L40" s="81">
        <v>95</v>
      </c>
      <c r="M40" s="81">
        <v>85</v>
      </c>
      <c r="N40" s="123">
        <v>100</v>
      </c>
      <c r="O40" s="123">
        <v>95</v>
      </c>
      <c r="P40" s="123">
        <v>85</v>
      </c>
      <c r="Q40" s="123"/>
      <c r="R40" s="73" t="s">
        <v>53</v>
      </c>
      <c r="S40" s="73"/>
      <c r="T40" s="73"/>
      <c r="U40" s="85" t="s">
        <v>187</v>
      </c>
      <c r="V40" s="73" t="s">
        <v>188</v>
      </c>
      <c r="W40" s="73">
        <v>420000008</v>
      </c>
      <c r="X40" s="126" t="s">
        <v>189</v>
      </c>
      <c r="Y40" s="74"/>
      <c r="Z40" s="74"/>
      <c r="AA40" s="74" t="s">
        <v>57</v>
      </c>
      <c r="AB40" s="74"/>
      <c r="AC40" s="115">
        <v>100</v>
      </c>
      <c r="AD40" s="115">
        <v>100</v>
      </c>
      <c r="AE40" s="127">
        <v>110</v>
      </c>
      <c r="AF40" s="127">
        <v>110</v>
      </c>
      <c r="AG40" s="117">
        <v>100</v>
      </c>
      <c r="AH40" s="117">
        <v>95</v>
      </c>
      <c r="AI40" s="117">
        <v>85</v>
      </c>
      <c r="AJ40" s="63">
        <v>459</v>
      </c>
      <c r="AK40" s="63">
        <v>4879</v>
      </c>
      <c r="AL40" s="63">
        <v>3253.1</v>
      </c>
      <c r="AM40" s="24">
        <f t="shared" si="16"/>
        <v>45900</v>
      </c>
      <c r="AN40" s="24">
        <f t="shared" si="17"/>
        <v>463505</v>
      </c>
      <c r="AO40" s="24">
        <f t="shared" si="18"/>
        <v>276513.5</v>
      </c>
    </row>
    <row r="41" s="88" customFormat="1" ht="57" customHeight="1" spans="1:41">
      <c r="A41" s="83" t="s">
        <v>64</v>
      </c>
      <c r="B41" s="83" t="s">
        <v>190</v>
      </c>
      <c r="C41" s="83" t="s">
        <v>191</v>
      </c>
      <c r="D41" s="83" t="s">
        <v>47</v>
      </c>
      <c r="E41" s="83"/>
      <c r="F41" s="83"/>
      <c r="G41" s="83" t="s">
        <v>57</v>
      </c>
      <c r="H41" s="83" t="s">
        <v>192</v>
      </c>
      <c r="I41" s="73">
        <v>100</v>
      </c>
      <c r="J41" s="73">
        <v>100</v>
      </c>
      <c r="K41" s="81"/>
      <c r="L41" s="81"/>
      <c r="M41" s="81"/>
      <c r="N41" s="123">
        <f>N38*0.3</f>
        <v>97.5</v>
      </c>
      <c r="O41" s="123">
        <f>O38*0.3</f>
        <v>87</v>
      </c>
      <c r="P41" s="123">
        <f>P38*0.3</f>
        <v>73.5</v>
      </c>
      <c r="Q41" s="123"/>
      <c r="R41" s="73" t="s">
        <v>53</v>
      </c>
      <c r="S41" s="73"/>
      <c r="T41" s="73"/>
      <c r="U41" s="85"/>
      <c r="V41" s="73"/>
      <c r="W41" s="73"/>
      <c r="X41" s="126"/>
      <c r="Y41" s="74"/>
      <c r="Z41" s="74"/>
      <c r="AA41" s="74"/>
      <c r="AB41" s="74"/>
      <c r="AC41" s="115"/>
      <c r="AD41" s="115"/>
      <c r="AE41" s="127"/>
      <c r="AF41" s="127"/>
      <c r="AG41" s="117"/>
      <c r="AH41" s="117"/>
      <c r="AI41" s="117"/>
      <c r="AJ41" s="63"/>
      <c r="AK41" s="63"/>
      <c r="AL41" s="63"/>
      <c r="AM41" s="24"/>
      <c r="AN41" s="24"/>
      <c r="AO41" s="24"/>
    </row>
    <row r="42" s="88" customFormat="1" ht="31" customHeight="1" spans="1:41">
      <c r="A42" s="83" t="s">
        <v>64</v>
      </c>
      <c r="B42" s="83" t="s">
        <v>190</v>
      </c>
      <c r="C42" s="83" t="s">
        <v>193</v>
      </c>
      <c r="D42" s="83" t="s">
        <v>47</v>
      </c>
      <c r="E42" s="83"/>
      <c r="F42" s="83"/>
      <c r="G42" s="83" t="s">
        <v>57</v>
      </c>
      <c r="H42" s="83"/>
      <c r="I42" s="73">
        <v>33</v>
      </c>
      <c r="J42" s="73">
        <v>33</v>
      </c>
      <c r="K42" s="81"/>
      <c r="L42" s="81"/>
      <c r="M42" s="81"/>
      <c r="N42" s="123">
        <f>N40*0.3</f>
        <v>30</v>
      </c>
      <c r="O42" s="123">
        <f>O40*0.3</f>
        <v>28.5</v>
      </c>
      <c r="P42" s="123">
        <f>P40*0.3</f>
        <v>25.5</v>
      </c>
      <c r="Q42" s="123"/>
      <c r="R42" s="73" t="s">
        <v>53</v>
      </c>
      <c r="S42" s="73"/>
      <c r="T42" s="73"/>
      <c r="U42" s="85"/>
      <c r="V42" s="73"/>
      <c r="W42" s="73"/>
      <c r="X42" s="126"/>
      <c r="Y42" s="74"/>
      <c r="Z42" s="74"/>
      <c r="AA42" s="74"/>
      <c r="AB42" s="74"/>
      <c r="AC42" s="115"/>
      <c r="AD42" s="115"/>
      <c r="AE42" s="127"/>
      <c r="AF42" s="127"/>
      <c r="AG42" s="117"/>
      <c r="AH42" s="117"/>
      <c r="AI42" s="117"/>
      <c r="AJ42" s="63"/>
      <c r="AK42" s="63"/>
      <c r="AL42" s="63"/>
      <c r="AM42" s="24"/>
      <c r="AN42" s="24"/>
      <c r="AO42" s="24"/>
    </row>
    <row r="43" s="88" customFormat="1" ht="71" customHeight="1" spans="1:41">
      <c r="A43" s="32">
        <v>9</v>
      </c>
      <c r="B43" s="32" t="s">
        <v>194</v>
      </c>
      <c r="C43" s="32" t="s">
        <v>195</v>
      </c>
      <c r="D43" s="32" t="s">
        <v>47</v>
      </c>
      <c r="E43" s="32" t="s">
        <v>196</v>
      </c>
      <c r="F43" s="32" t="s">
        <v>197</v>
      </c>
      <c r="G43" s="42" t="s">
        <v>57</v>
      </c>
      <c r="H43" s="32"/>
      <c r="I43" s="39">
        <v>50</v>
      </c>
      <c r="J43" s="39">
        <v>50</v>
      </c>
      <c r="K43" s="81">
        <v>40</v>
      </c>
      <c r="L43" s="81">
        <v>38</v>
      </c>
      <c r="M43" s="81">
        <v>34</v>
      </c>
      <c r="N43" s="125">
        <v>45</v>
      </c>
      <c r="O43" s="125">
        <v>43</v>
      </c>
      <c r="P43" s="125">
        <v>36</v>
      </c>
      <c r="Q43" s="125" t="s">
        <v>52</v>
      </c>
      <c r="R43" s="39" t="s">
        <v>53</v>
      </c>
      <c r="S43" s="39"/>
      <c r="T43" s="39"/>
      <c r="U43" s="38" t="s">
        <v>198</v>
      </c>
      <c r="V43" s="39" t="s">
        <v>199</v>
      </c>
      <c r="W43" s="39">
        <v>420000015</v>
      </c>
      <c r="X43" s="114" t="s">
        <v>200</v>
      </c>
      <c r="Y43" s="40" t="s">
        <v>201</v>
      </c>
      <c r="Z43" s="40"/>
      <c r="AA43" s="40" t="s">
        <v>57</v>
      </c>
      <c r="AB43" s="40"/>
      <c r="AC43" s="115">
        <v>42</v>
      </c>
      <c r="AD43" s="115">
        <v>42</v>
      </c>
      <c r="AE43" s="116">
        <v>50</v>
      </c>
      <c r="AF43" s="116">
        <v>50</v>
      </c>
      <c r="AG43" s="117">
        <v>40</v>
      </c>
      <c r="AH43" s="117">
        <v>38</v>
      </c>
      <c r="AI43" s="117">
        <v>34</v>
      </c>
      <c r="AJ43" s="42">
        <v>30</v>
      </c>
      <c r="AK43" s="42">
        <v>289</v>
      </c>
      <c r="AL43" s="42">
        <v>128</v>
      </c>
      <c r="AM43" s="24">
        <f t="shared" ref="AM43:AO43" si="19">AG43*AJ43</f>
        <v>1200</v>
      </c>
      <c r="AN43" s="24">
        <f t="shared" si="19"/>
        <v>10982</v>
      </c>
      <c r="AO43" s="24">
        <f t="shared" si="19"/>
        <v>4352</v>
      </c>
    </row>
    <row r="44" s="88" customFormat="1" ht="31" customHeight="1" spans="1:41">
      <c r="A44" s="32" t="s">
        <v>64</v>
      </c>
      <c r="B44" s="32" t="s">
        <v>202</v>
      </c>
      <c r="C44" s="32" t="s">
        <v>203</v>
      </c>
      <c r="D44" s="32" t="s">
        <v>47</v>
      </c>
      <c r="E44" s="32"/>
      <c r="F44" s="32"/>
      <c r="G44" s="32" t="s">
        <v>57</v>
      </c>
      <c r="H44" s="32"/>
      <c r="I44" s="39">
        <v>15</v>
      </c>
      <c r="J44" s="39">
        <v>15</v>
      </c>
      <c r="K44" s="81"/>
      <c r="L44" s="81"/>
      <c r="M44" s="81"/>
      <c r="N44" s="123">
        <f>N43*0.3</f>
        <v>13.5</v>
      </c>
      <c r="O44" s="123">
        <f>O43*0.3</f>
        <v>12.9</v>
      </c>
      <c r="P44" s="123">
        <f>P43*0.3</f>
        <v>10.8</v>
      </c>
      <c r="Q44" s="123"/>
      <c r="R44" s="39" t="s">
        <v>53</v>
      </c>
      <c r="S44" s="39"/>
      <c r="T44" s="39"/>
      <c r="U44" s="54"/>
      <c r="V44" s="39"/>
      <c r="W44" s="39"/>
      <c r="X44" s="114"/>
      <c r="Y44" s="40"/>
      <c r="Z44" s="40"/>
      <c r="AA44" s="40"/>
      <c r="AB44" s="40"/>
      <c r="AC44" s="115"/>
      <c r="AD44" s="115"/>
      <c r="AE44" s="116"/>
      <c r="AF44" s="116"/>
      <c r="AG44" s="117"/>
      <c r="AH44" s="117"/>
      <c r="AI44" s="117"/>
      <c r="AJ44" s="42"/>
      <c r="AK44" s="42"/>
      <c r="AL44" s="42"/>
      <c r="AM44" s="24"/>
      <c r="AN44" s="24"/>
      <c r="AO44" s="24"/>
    </row>
    <row r="45" spans="1:41">
      <c r="AG45" s="88">
        <f>AG43/AC43</f>
        <v>0.952380952380952</v>
      </c>
      <c r="AH45" s="88">
        <f>AH43/AG43</f>
        <v>0.95</v>
      </c>
      <c r="AI45" s="88">
        <f>AI43/AH43</f>
        <v>0.894736842105263</v>
      </c>
    </row>
  </sheetData>
  <mergeCells count="172">
    <mergeCell ref="A1:U1"/>
    <mergeCell ref="V1:AO1"/>
    <mergeCell ref="D3:T3"/>
    <mergeCell ref="A4:A6"/>
    <mergeCell ref="A7:A9"/>
    <mergeCell ref="A12:A13"/>
    <mergeCell ref="A15:A16"/>
    <mergeCell ref="A22:A24"/>
    <mergeCell ref="A28:A30"/>
    <mergeCell ref="A32:A36"/>
    <mergeCell ref="A38:A39"/>
    <mergeCell ref="B4:B6"/>
    <mergeCell ref="B7:B9"/>
    <mergeCell ref="B12:B13"/>
    <mergeCell ref="B15:B16"/>
    <mergeCell ref="B22:B24"/>
    <mergeCell ref="B28:B30"/>
    <mergeCell ref="B32:B36"/>
    <mergeCell ref="B38:B39"/>
    <mergeCell ref="C4:C6"/>
    <mergeCell ref="C7:C9"/>
    <mergeCell ref="C12:C13"/>
    <mergeCell ref="C15:C16"/>
    <mergeCell ref="C22:C24"/>
    <mergeCell ref="C28:C30"/>
    <mergeCell ref="C32:C36"/>
    <mergeCell ref="C38:C39"/>
    <mergeCell ref="D4:D6"/>
    <mergeCell ref="D7:D9"/>
    <mergeCell ref="D12:D13"/>
    <mergeCell ref="D15:D16"/>
    <mergeCell ref="D22:D24"/>
    <mergeCell ref="D28:D30"/>
    <mergeCell ref="D32:D36"/>
    <mergeCell ref="D38:D39"/>
    <mergeCell ref="E4:E6"/>
    <mergeCell ref="E7:E9"/>
    <mergeCell ref="E12:E13"/>
    <mergeCell ref="E15:E16"/>
    <mergeCell ref="E22:E24"/>
    <mergeCell ref="E28:E30"/>
    <mergeCell ref="E32:E36"/>
    <mergeCell ref="E38:E39"/>
    <mergeCell ref="F4:F6"/>
    <mergeCell ref="F7:F9"/>
    <mergeCell ref="F12:F13"/>
    <mergeCell ref="F15:F16"/>
    <mergeCell ref="F22:F24"/>
    <mergeCell ref="F28:F30"/>
    <mergeCell ref="F32:F36"/>
    <mergeCell ref="F38:F39"/>
    <mergeCell ref="G4:G6"/>
    <mergeCell ref="G7:G9"/>
    <mergeCell ref="G12:G13"/>
    <mergeCell ref="G15:G16"/>
    <mergeCell ref="G22:G24"/>
    <mergeCell ref="G28:G30"/>
    <mergeCell ref="G32:G36"/>
    <mergeCell ref="G38:G39"/>
    <mergeCell ref="H4:H6"/>
    <mergeCell ref="H7:H9"/>
    <mergeCell ref="H12:H13"/>
    <mergeCell ref="H15:H16"/>
    <mergeCell ref="H22:H24"/>
    <mergeCell ref="H28:H30"/>
    <mergeCell ref="H32:H36"/>
    <mergeCell ref="H38:H39"/>
    <mergeCell ref="I4:I6"/>
    <mergeCell ref="I7:I9"/>
    <mergeCell ref="I12:I13"/>
    <mergeCell ref="I15:I16"/>
    <mergeCell ref="I22:I24"/>
    <mergeCell ref="I28:I30"/>
    <mergeCell ref="I32:I36"/>
    <mergeCell ref="I38:I39"/>
    <mergeCell ref="J4:J6"/>
    <mergeCell ref="J7:J9"/>
    <mergeCell ref="J12:J13"/>
    <mergeCell ref="J15:J16"/>
    <mergeCell ref="J22:J24"/>
    <mergeCell ref="J28:J30"/>
    <mergeCell ref="J32:J36"/>
    <mergeCell ref="J38:J39"/>
    <mergeCell ref="K4:K6"/>
    <mergeCell ref="K7:K9"/>
    <mergeCell ref="K12:K13"/>
    <mergeCell ref="K15:K16"/>
    <mergeCell ref="K22:K24"/>
    <mergeCell ref="K28:K30"/>
    <mergeCell ref="K32:K36"/>
    <mergeCell ref="K38:K39"/>
    <mergeCell ref="L4:L6"/>
    <mergeCell ref="L7:L9"/>
    <mergeCell ref="L12:L13"/>
    <mergeCell ref="L15:L16"/>
    <mergeCell ref="L22:L24"/>
    <mergeCell ref="L28:L30"/>
    <mergeCell ref="L32:L36"/>
    <mergeCell ref="L38:L39"/>
    <mergeCell ref="M4:M6"/>
    <mergeCell ref="M7:M9"/>
    <mergeCell ref="M12:M13"/>
    <mergeCell ref="M15:M16"/>
    <mergeCell ref="M22:M24"/>
    <mergeCell ref="M28:M30"/>
    <mergeCell ref="M32:M36"/>
    <mergeCell ref="M38:M39"/>
    <mergeCell ref="N4:N6"/>
    <mergeCell ref="N7:N9"/>
    <mergeCell ref="N12:N13"/>
    <mergeCell ref="N15:N16"/>
    <mergeCell ref="N22:N24"/>
    <mergeCell ref="N28:N30"/>
    <mergeCell ref="N32:N36"/>
    <mergeCell ref="N38:N39"/>
    <mergeCell ref="O4:O6"/>
    <mergeCell ref="O7:O9"/>
    <mergeCell ref="O12:O13"/>
    <mergeCell ref="O15:O16"/>
    <mergeCell ref="O22:O24"/>
    <mergeCell ref="O28:O30"/>
    <mergeCell ref="O32:O36"/>
    <mergeCell ref="O38:O39"/>
    <mergeCell ref="P4:P6"/>
    <mergeCell ref="P7:P9"/>
    <mergeCell ref="P12:P13"/>
    <mergeCell ref="P15:P16"/>
    <mergeCell ref="P22:P24"/>
    <mergeCell ref="P28:P30"/>
    <mergeCell ref="P32:P36"/>
    <mergeCell ref="P38:P39"/>
    <mergeCell ref="Q4:Q6"/>
    <mergeCell ref="Q7:Q9"/>
    <mergeCell ref="Q12:Q13"/>
    <mergeCell ref="Q15:Q16"/>
    <mergeCell ref="Q22:Q24"/>
    <mergeCell ref="Q28:Q30"/>
    <mergeCell ref="Q32:Q36"/>
    <mergeCell ref="Q38:Q39"/>
    <mergeCell ref="R4:R6"/>
    <mergeCell ref="R7:R9"/>
    <mergeCell ref="R12:R13"/>
    <mergeCell ref="R15:R16"/>
    <mergeCell ref="R22:R24"/>
    <mergeCell ref="R28:R30"/>
    <mergeCell ref="R32:R36"/>
    <mergeCell ref="R38:R39"/>
    <mergeCell ref="S4:S6"/>
    <mergeCell ref="S7:S9"/>
    <mergeCell ref="S12:S13"/>
    <mergeCell ref="S15:S16"/>
    <mergeCell ref="S22:S24"/>
    <mergeCell ref="S28:S30"/>
    <mergeCell ref="S32:S36"/>
    <mergeCell ref="S38:S39"/>
    <mergeCell ref="T4:T6"/>
    <mergeCell ref="T7:T9"/>
    <mergeCell ref="T12:T13"/>
    <mergeCell ref="T15:T16"/>
    <mergeCell ref="T22:T24"/>
    <mergeCell ref="T28:T30"/>
    <mergeCell ref="T32:T36"/>
    <mergeCell ref="T38:T39"/>
    <mergeCell ref="U4:U11"/>
    <mergeCell ref="U12:U14"/>
    <mergeCell ref="U15:U19"/>
    <mergeCell ref="U20:U21"/>
    <mergeCell ref="U22:U24"/>
    <mergeCell ref="U28:U31"/>
    <mergeCell ref="U32:U36"/>
    <mergeCell ref="U38:U39"/>
    <mergeCell ref="U43:U4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5"/>
  <sheetViews>
    <sheetView workbookViewId="0">
      <pane ySplit="2" topLeftCell="A3" activePane="bottomLeft" state="frozen"/>
      <selection/>
      <selection pane="bottomLeft" activeCell="U14" sqref="U14:U15"/>
    </sheetView>
  </sheetViews>
  <sheetFormatPr defaultColWidth="8.18269230769231" defaultRowHeight="45" customHeight="1"/>
  <cols>
    <col min="1" max="1" width="4.375" style="4" customWidth="1"/>
    <col min="2" max="2" width="15.25" style="4" customWidth="1"/>
    <col min="3" max="3" width="16.25" style="4" customWidth="1"/>
    <col min="4" max="4" width="4.625" style="4" customWidth="1"/>
    <col min="5" max="5" width="14.5" style="4" customWidth="1"/>
    <col min="6" max="6" width="17.625" style="4" customWidth="1"/>
    <col min="7" max="7" width="5.25" style="4" customWidth="1"/>
    <col min="8" max="8" width="18.5" style="4" customWidth="1"/>
    <col min="9" max="10" width="8.5" style="4" customWidth="1"/>
    <col min="11" max="13" width="8.375" style="4" customWidth="1"/>
    <col min="14" max="17" width="7.625" style="5" customWidth="1"/>
    <col min="18" max="20" width="6.875" style="4" customWidth="1"/>
    <col min="21" max="21" width="17.25" style="3" customWidth="1"/>
    <col min="22" max="22" width="17.25" style="4" customWidth="1"/>
    <col min="23" max="23" width="16.1346153846154" style="3" hidden="1" customWidth="1"/>
    <col min="24" max="24" width="16.125" style="3" customWidth="1"/>
    <col min="25" max="25" width="17.25" style="3" customWidth="1"/>
    <col min="26" max="26" width="8.63461538461539" style="3" customWidth="1"/>
    <col min="27" max="27" width="4.52884615384615" style="3" customWidth="1"/>
    <col min="28" max="28" width="16.375" style="3" customWidth="1"/>
    <col min="29" max="30" width="7.875" style="3" customWidth="1"/>
    <col min="31" max="32" width="7" style="6" customWidth="1"/>
    <col min="33" max="35" width="6.5" style="7" customWidth="1"/>
    <col min="36" max="41" width="8.625" style="7" customWidth="1"/>
    <col min="42" max="44" width="8.625" style="7" hidden="1" customWidth="1"/>
    <col min="45" max="47" width="7.125" style="3" customWidth="1"/>
    <col min="48" max="16376" width="21.4519230769231" style="3"/>
    <col min="16377" max="16384" width="8.18269230769231" style="3"/>
  </cols>
  <sheetData>
    <row r="1" s="1" customFormat="1" customHeight="1" spans="1:44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10"/>
      <c r="R1" s="8"/>
      <c r="S1" s="8"/>
      <c r="T1" s="8"/>
      <c r="U1" s="11"/>
      <c r="V1" s="12" t="s">
        <v>1</v>
      </c>
      <c r="W1" s="12"/>
      <c r="X1" s="12"/>
      <c r="Y1" s="12"/>
      <c r="Z1" s="12"/>
      <c r="AA1" s="12"/>
      <c r="AB1" s="12"/>
      <c r="AC1" s="12"/>
      <c r="AD1" s="12"/>
      <c r="AE1" s="13"/>
      <c r="AF1" s="13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</row>
    <row r="2" s="2" customFormat="1" ht="42" customHeight="1" spans="1:44">
      <c r="A2" s="1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6" t="s">
        <v>10</v>
      </c>
      <c r="J2" s="16" t="s">
        <v>11</v>
      </c>
      <c r="K2" s="17" t="s">
        <v>12</v>
      </c>
      <c r="L2" s="17" t="s">
        <v>13</v>
      </c>
      <c r="M2" s="17" t="s">
        <v>14</v>
      </c>
      <c r="N2" s="18" t="s">
        <v>15</v>
      </c>
      <c r="O2" s="18" t="s">
        <v>16</v>
      </c>
      <c r="P2" s="18" t="s">
        <v>17</v>
      </c>
      <c r="Q2" s="19" t="s">
        <v>18</v>
      </c>
      <c r="R2" s="16" t="s">
        <v>19</v>
      </c>
      <c r="S2" s="16" t="s">
        <v>20</v>
      </c>
      <c r="T2" s="16" t="s">
        <v>21</v>
      </c>
      <c r="U2" s="16" t="s">
        <v>22</v>
      </c>
      <c r="V2" s="16" t="s">
        <v>23</v>
      </c>
      <c r="W2" s="16" t="s">
        <v>24</v>
      </c>
      <c r="X2" s="16" t="s">
        <v>25</v>
      </c>
      <c r="Y2" s="20" t="s">
        <v>26</v>
      </c>
      <c r="Z2" s="16" t="s">
        <v>27</v>
      </c>
      <c r="AA2" s="16" t="s">
        <v>8</v>
      </c>
      <c r="AB2" s="16" t="s">
        <v>28</v>
      </c>
      <c r="AC2" s="16" t="s">
        <v>29</v>
      </c>
      <c r="AD2" s="16" t="s">
        <v>30</v>
      </c>
      <c r="AE2" s="21" t="s">
        <v>205</v>
      </c>
      <c r="AF2" s="21" t="s">
        <v>206</v>
      </c>
      <c r="AG2" s="22" t="s">
        <v>33</v>
      </c>
      <c r="AH2" s="22" t="s">
        <v>34</v>
      </c>
      <c r="AI2" s="22" t="s">
        <v>35</v>
      </c>
      <c r="AJ2" s="23" t="s">
        <v>36</v>
      </c>
      <c r="AK2" s="23" t="s">
        <v>37</v>
      </c>
      <c r="AL2" s="23" t="s">
        <v>38</v>
      </c>
      <c r="AM2" s="23" t="s">
        <v>207</v>
      </c>
      <c r="AN2" s="23" t="s">
        <v>208</v>
      </c>
      <c r="AO2" s="23" t="s">
        <v>209</v>
      </c>
      <c r="AP2" s="15" t="s">
        <v>39</v>
      </c>
      <c r="AQ2" s="15" t="s">
        <v>40</v>
      </c>
      <c r="AR2" s="15" t="s">
        <v>41</v>
      </c>
    </row>
    <row r="3" s="2" customFormat="1" ht="165" customHeight="1" spans="1:44">
      <c r="A3" s="15"/>
      <c r="B3" s="24" t="s">
        <v>210</v>
      </c>
      <c r="C3" s="25" t="s">
        <v>211</v>
      </c>
      <c r="D3" s="26" t="s">
        <v>212</v>
      </c>
      <c r="E3" s="27"/>
      <c r="F3" s="27"/>
      <c r="G3" s="27"/>
      <c r="H3" s="27"/>
      <c r="I3" s="27"/>
      <c r="J3" s="27"/>
      <c r="K3" s="28"/>
      <c r="L3" s="28"/>
      <c r="M3" s="28"/>
      <c r="N3" s="29"/>
      <c r="O3" s="29"/>
      <c r="P3" s="29"/>
      <c r="Q3" s="29"/>
      <c r="R3" s="27"/>
      <c r="S3" s="27"/>
      <c r="T3" s="30"/>
      <c r="U3" s="31"/>
      <c r="V3" s="16"/>
      <c r="W3" s="16"/>
      <c r="X3" s="16"/>
      <c r="Y3" s="20"/>
      <c r="Z3" s="16"/>
      <c r="AA3" s="16"/>
      <c r="AB3" s="16"/>
      <c r="AC3" s="16"/>
      <c r="AD3" s="16"/>
      <c r="AE3" s="21"/>
      <c r="AF3" s="21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</row>
    <row r="4" s="3" customFormat="1" ht="66" customHeight="1" spans="1:44">
      <c r="A4" s="32">
        <v>1</v>
      </c>
      <c r="B4" s="32" t="s">
        <v>213</v>
      </c>
      <c r="C4" s="32" t="s">
        <v>214</v>
      </c>
      <c r="D4" s="32" t="s">
        <v>47</v>
      </c>
      <c r="E4" s="32" t="s">
        <v>215</v>
      </c>
      <c r="F4" s="32" t="s">
        <v>216</v>
      </c>
      <c r="G4" s="32" t="s">
        <v>118</v>
      </c>
      <c r="H4" s="33"/>
      <c r="I4" s="34">
        <v>83</v>
      </c>
      <c r="J4" s="34">
        <v>83</v>
      </c>
      <c r="K4" s="35">
        <v>85</v>
      </c>
      <c r="L4" s="35">
        <v>80</v>
      </c>
      <c r="M4" s="35">
        <v>72</v>
      </c>
      <c r="N4" s="36">
        <v>83</v>
      </c>
      <c r="O4" s="36">
        <v>79</v>
      </c>
      <c r="P4" s="36">
        <v>67</v>
      </c>
      <c r="Q4" s="37" t="s">
        <v>120</v>
      </c>
      <c r="R4" s="34" t="s">
        <v>53</v>
      </c>
      <c r="S4" s="34"/>
      <c r="T4" s="34"/>
      <c r="U4" s="38" t="s">
        <v>217</v>
      </c>
      <c r="V4" s="39" t="s">
        <v>218</v>
      </c>
      <c r="W4" s="39">
        <v>470000005</v>
      </c>
      <c r="X4" s="39" t="s">
        <v>219</v>
      </c>
      <c r="Y4" s="39" t="s">
        <v>220</v>
      </c>
      <c r="Z4" s="40"/>
      <c r="AA4" s="39" t="s">
        <v>221</v>
      </c>
      <c r="AB4" s="39" t="s">
        <v>222</v>
      </c>
      <c r="AC4" s="39">
        <v>75</v>
      </c>
      <c r="AD4" s="39">
        <v>75</v>
      </c>
      <c r="AE4" s="41">
        <v>83</v>
      </c>
      <c r="AF4" s="41">
        <v>83</v>
      </c>
      <c r="AG4" s="42">
        <v>85</v>
      </c>
      <c r="AH4" s="42">
        <v>80</v>
      </c>
      <c r="AI4" s="42">
        <v>72</v>
      </c>
      <c r="AJ4" s="42">
        <v>7436</v>
      </c>
      <c r="AK4" s="42">
        <v>33613.6</v>
      </c>
      <c r="AL4" s="42">
        <v>40291.3</v>
      </c>
      <c r="AM4" s="42"/>
      <c r="AN4" s="42"/>
      <c r="AO4" s="42"/>
      <c r="AP4" s="42"/>
      <c r="AQ4" s="42"/>
      <c r="AR4" s="42"/>
    </row>
    <row r="5" s="3" customFormat="1" ht="66" customHeight="1" spans="1:44">
      <c r="A5" s="32"/>
      <c r="B5" s="32"/>
      <c r="C5" s="32"/>
      <c r="D5" s="32"/>
      <c r="E5" s="32"/>
      <c r="F5" s="32"/>
      <c r="G5" s="32"/>
      <c r="H5" s="33"/>
      <c r="I5" s="43"/>
      <c r="J5" s="43"/>
      <c r="K5" s="44"/>
      <c r="L5" s="44"/>
      <c r="M5" s="44"/>
      <c r="N5" s="45"/>
      <c r="O5" s="45"/>
      <c r="P5" s="45"/>
      <c r="Q5" s="46"/>
      <c r="R5" s="43"/>
      <c r="S5" s="43"/>
      <c r="T5" s="43"/>
      <c r="U5" s="47"/>
      <c r="V5" s="39" t="s">
        <v>223</v>
      </c>
      <c r="W5" s="34">
        <v>47000000501</v>
      </c>
      <c r="X5" s="48" t="s">
        <v>224</v>
      </c>
      <c r="Y5" s="48" t="s">
        <v>225</v>
      </c>
      <c r="Z5" s="34"/>
      <c r="AA5" s="39" t="s">
        <v>221</v>
      </c>
      <c r="AB5" s="48" t="s">
        <v>222</v>
      </c>
      <c r="AC5" s="39">
        <v>75</v>
      </c>
      <c r="AD5" s="39">
        <v>75</v>
      </c>
      <c r="AE5" s="41">
        <v>83</v>
      </c>
      <c r="AF5" s="41">
        <v>83</v>
      </c>
      <c r="AG5" s="42">
        <v>85</v>
      </c>
      <c r="AH5" s="42">
        <v>80</v>
      </c>
      <c r="AI5" s="42">
        <v>72</v>
      </c>
      <c r="AJ5" s="42">
        <v>310</v>
      </c>
      <c r="AK5" s="42">
        <v>64613</v>
      </c>
      <c r="AL5" s="42">
        <v>22229.5</v>
      </c>
      <c r="AM5" s="42"/>
      <c r="AN5" s="42"/>
      <c r="AO5" s="42"/>
      <c r="AP5" s="42"/>
      <c r="AQ5" s="42"/>
      <c r="AR5" s="42"/>
    </row>
    <row r="6" s="3" customFormat="1" ht="60" customHeight="1" spans="1:44">
      <c r="A6" s="49" t="s">
        <v>64</v>
      </c>
      <c r="B6" s="32" t="s">
        <v>226</v>
      </c>
      <c r="C6" s="32" t="s">
        <v>227</v>
      </c>
      <c r="D6" s="32" t="s">
        <v>47</v>
      </c>
      <c r="E6" s="32"/>
      <c r="F6" s="32"/>
      <c r="G6" s="32" t="s">
        <v>118</v>
      </c>
      <c r="H6" s="33"/>
      <c r="I6" s="50">
        <v>17</v>
      </c>
      <c r="J6" s="50">
        <v>17</v>
      </c>
      <c r="K6" s="51"/>
      <c r="L6" s="51"/>
      <c r="M6" s="51"/>
      <c r="N6" s="52">
        <v>16</v>
      </c>
      <c r="O6" s="52">
        <v>15</v>
      </c>
      <c r="P6" s="52">
        <v>13</v>
      </c>
      <c r="Q6" s="52"/>
      <c r="R6" s="50" t="s">
        <v>53</v>
      </c>
      <c r="S6" s="53"/>
      <c r="T6" s="53"/>
      <c r="U6" s="54"/>
      <c r="V6" s="53"/>
      <c r="W6" s="53"/>
      <c r="X6" s="32"/>
      <c r="Y6" s="55"/>
      <c r="Z6" s="32"/>
      <c r="AA6" s="50"/>
      <c r="AB6" s="32"/>
      <c r="AC6" s="32"/>
      <c r="AD6" s="32"/>
      <c r="AE6" s="56"/>
      <c r="AF6" s="57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</row>
    <row r="7" s="3" customFormat="1" ht="78" customHeight="1" spans="1:44">
      <c r="A7" s="58">
        <v>2</v>
      </c>
      <c r="B7" s="58" t="s">
        <v>228</v>
      </c>
      <c r="C7" s="58" t="s">
        <v>229</v>
      </c>
      <c r="D7" s="58" t="s">
        <v>47</v>
      </c>
      <c r="E7" s="58" t="s">
        <v>230</v>
      </c>
      <c r="F7" s="58" t="s">
        <v>231</v>
      </c>
      <c r="G7" s="58" t="s">
        <v>57</v>
      </c>
      <c r="H7" s="58"/>
      <c r="I7" s="58">
        <v>35</v>
      </c>
      <c r="J7" s="58">
        <v>35</v>
      </c>
      <c r="K7" s="59">
        <f>AG7*AJ7/AM7</f>
        <v>40.1103935664676</v>
      </c>
      <c r="L7" s="59">
        <f>AH7*AK7/AN7</f>
        <v>53.0278443425714</v>
      </c>
      <c r="M7" s="59">
        <f>AI7*AL7/AO7</f>
        <v>40.8900280119211</v>
      </c>
      <c r="N7" s="60">
        <v>33</v>
      </c>
      <c r="O7" s="60">
        <v>31</v>
      </c>
      <c r="P7" s="60">
        <v>26</v>
      </c>
      <c r="Q7" s="60" t="s">
        <v>120</v>
      </c>
      <c r="R7" s="58" t="s">
        <v>53</v>
      </c>
      <c r="S7" s="58"/>
      <c r="T7" s="58"/>
      <c r="U7" s="61" t="s">
        <v>232</v>
      </c>
      <c r="V7" s="62" t="s">
        <v>233</v>
      </c>
      <c r="W7" s="62">
        <v>430000003</v>
      </c>
      <c r="X7" s="62" t="s">
        <v>234</v>
      </c>
      <c r="Y7" s="62" t="s">
        <v>235</v>
      </c>
      <c r="Z7" s="62"/>
      <c r="AA7" s="62" t="s">
        <v>236</v>
      </c>
      <c r="AB7" s="62"/>
      <c r="AC7" s="62"/>
      <c r="AD7" s="62"/>
      <c r="AE7" s="62">
        <v>27</v>
      </c>
      <c r="AF7" s="62">
        <v>27</v>
      </c>
      <c r="AG7" s="62">
        <v>26</v>
      </c>
      <c r="AH7" s="62">
        <v>25</v>
      </c>
      <c r="AI7" s="62">
        <v>21.3</v>
      </c>
      <c r="AJ7" s="63">
        <v>12661</v>
      </c>
      <c r="AK7" s="63">
        <v>81433.8</v>
      </c>
      <c r="AL7" s="63">
        <v>150085.6</v>
      </c>
      <c r="AM7" s="63">
        <v>8207</v>
      </c>
      <c r="AN7" s="63">
        <v>38392</v>
      </c>
      <c r="AO7" s="63">
        <v>78181</v>
      </c>
      <c r="AP7" s="63"/>
      <c r="AQ7" s="63"/>
      <c r="AR7" s="63"/>
    </row>
    <row r="8" s="3" customFormat="1" ht="51" customHeight="1" spans="1:44">
      <c r="A8" s="32">
        <v>3</v>
      </c>
      <c r="B8" s="32" t="s">
        <v>237</v>
      </c>
      <c r="C8" s="32" t="s">
        <v>238</v>
      </c>
      <c r="D8" s="32" t="s">
        <v>47</v>
      </c>
      <c r="E8" s="32" t="s">
        <v>239</v>
      </c>
      <c r="F8" s="64" t="s">
        <v>240</v>
      </c>
      <c r="G8" s="32" t="s">
        <v>57</v>
      </c>
      <c r="H8" s="33"/>
      <c r="I8" s="34">
        <v>145</v>
      </c>
      <c r="J8" s="34">
        <v>145</v>
      </c>
      <c r="K8" s="35">
        <v>115</v>
      </c>
      <c r="L8" s="35">
        <v>104</v>
      </c>
      <c r="M8" s="35">
        <v>88</v>
      </c>
      <c r="N8" s="36">
        <v>125</v>
      </c>
      <c r="O8" s="36">
        <v>115</v>
      </c>
      <c r="P8" s="36">
        <v>95</v>
      </c>
      <c r="Q8" s="36" t="s">
        <v>52</v>
      </c>
      <c r="R8" s="34" t="s">
        <v>53</v>
      </c>
      <c r="S8" s="33"/>
      <c r="T8" s="33"/>
      <c r="U8" s="38" t="s">
        <v>241</v>
      </c>
      <c r="V8" s="39" t="s">
        <v>242</v>
      </c>
      <c r="W8" s="34">
        <v>470000007</v>
      </c>
      <c r="X8" s="34" t="s">
        <v>243</v>
      </c>
      <c r="Y8" s="34" t="s">
        <v>244</v>
      </c>
      <c r="Z8" s="34" t="s">
        <v>235</v>
      </c>
      <c r="AA8" s="34" t="s">
        <v>57</v>
      </c>
      <c r="AB8" s="40"/>
      <c r="AC8" s="40">
        <v>127</v>
      </c>
      <c r="AD8" s="40">
        <v>127</v>
      </c>
      <c r="AE8" s="41">
        <v>145</v>
      </c>
      <c r="AF8" s="41">
        <v>145</v>
      </c>
      <c r="AG8" s="42">
        <v>115</v>
      </c>
      <c r="AH8" s="42">
        <v>104</v>
      </c>
      <c r="AI8" s="42">
        <v>88</v>
      </c>
      <c r="AJ8" s="42">
        <v>2</v>
      </c>
      <c r="AK8" s="42">
        <v>24</v>
      </c>
      <c r="AL8" s="42">
        <v>45</v>
      </c>
      <c r="AM8" s="42"/>
      <c r="AN8" s="42"/>
      <c r="AO8" s="42"/>
      <c r="AP8" s="42"/>
      <c r="AQ8" s="42"/>
      <c r="AR8" s="42"/>
    </row>
    <row r="9" s="3" customFormat="1" ht="90" customHeight="1" spans="1:44">
      <c r="A9" s="32"/>
      <c r="B9" s="32"/>
      <c r="C9" s="32"/>
      <c r="D9" s="32"/>
      <c r="E9" s="32"/>
      <c r="F9" s="64"/>
      <c r="G9" s="32"/>
      <c r="H9" s="33"/>
      <c r="I9" s="43"/>
      <c r="J9" s="43"/>
      <c r="K9" s="44"/>
      <c r="L9" s="44"/>
      <c r="M9" s="44"/>
      <c r="N9" s="45"/>
      <c r="O9" s="45"/>
      <c r="P9" s="45"/>
      <c r="Q9" s="45"/>
      <c r="R9" s="43"/>
      <c r="S9" s="33"/>
      <c r="T9" s="33"/>
      <c r="U9" s="47"/>
      <c r="V9" s="39" t="s">
        <v>245</v>
      </c>
      <c r="W9" s="34">
        <v>47000000702</v>
      </c>
      <c r="X9" s="34" t="s">
        <v>246</v>
      </c>
      <c r="Y9" s="34" t="s">
        <v>247</v>
      </c>
      <c r="Z9" s="34" t="s">
        <v>235</v>
      </c>
      <c r="AA9" s="34" t="s">
        <v>57</v>
      </c>
      <c r="AB9" s="40"/>
      <c r="AC9" s="40">
        <v>127</v>
      </c>
      <c r="AD9" s="40">
        <v>127</v>
      </c>
      <c r="AE9" s="41">
        <v>145</v>
      </c>
      <c r="AF9" s="41">
        <v>145</v>
      </c>
      <c r="AG9" s="42">
        <v>115</v>
      </c>
      <c r="AH9" s="42">
        <v>104</v>
      </c>
      <c r="AI9" s="42">
        <v>88</v>
      </c>
      <c r="AJ9" s="42">
        <v>0</v>
      </c>
      <c r="AK9" s="42">
        <v>51</v>
      </c>
      <c r="AL9" s="42">
        <v>0</v>
      </c>
      <c r="AM9" s="42"/>
      <c r="AN9" s="42"/>
      <c r="AO9" s="42"/>
      <c r="AP9" s="42"/>
      <c r="AQ9" s="42"/>
      <c r="AR9" s="42"/>
    </row>
    <row r="10" s="3" customFormat="1" ht="48" customHeight="1" spans="1:44">
      <c r="A10" s="65" t="s">
        <v>64</v>
      </c>
      <c r="B10" s="32" t="s">
        <v>248</v>
      </c>
      <c r="C10" s="32" t="s">
        <v>249</v>
      </c>
      <c r="D10" s="32" t="s">
        <v>47</v>
      </c>
      <c r="E10" s="32"/>
      <c r="F10" s="32"/>
      <c r="G10" s="32" t="s">
        <v>57</v>
      </c>
      <c r="H10" s="66"/>
      <c r="I10" s="67">
        <v>43</v>
      </c>
      <c r="J10" s="67">
        <v>43</v>
      </c>
      <c r="K10" s="68"/>
      <c r="L10" s="68"/>
      <c r="M10" s="68"/>
      <c r="N10" s="69">
        <f>N8*0.3</f>
        <v>37.5</v>
      </c>
      <c r="O10" s="69">
        <f>O8*0.3</f>
        <v>34.5</v>
      </c>
      <c r="P10" s="69">
        <f>P8*0.3</f>
        <v>28.5</v>
      </c>
      <c r="Q10" s="69"/>
      <c r="R10" s="67" t="s">
        <v>53</v>
      </c>
      <c r="S10" s="67"/>
      <c r="T10" s="67"/>
      <c r="U10" s="47"/>
      <c r="V10" s="70"/>
      <c r="W10" s="70"/>
      <c r="X10" s="42"/>
      <c r="Y10" s="71"/>
      <c r="Z10" s="42"/>
      <c r="AA10" s="70"/>
      <c r="AB10" s="42"/>
      <c r="AC10" s="42"/>
      <c r="AD10" s="42"/>
      <c r="AE10" s="56"/>
      <c r="AF10" s="56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</row>
    <row r="11" s="3" customFormat="1" ht="56" customHeight="1" spans="1:44">
      <c r="A11" s="72">
        <v>4</v>
      </c>
      <c r="B11" s="72" t="s">
        <v>250</v>
      </c>
      <c r="C11" s="72" t="s">
        <v>251</v>
      </c>
      <c r="D11" s="72" t="s">
        <v>47</v>
      </c>
      <c r="E11" s="72" t="s">
        <v>252</v>
      </c>
      <c r="F11" s="72" t="s">
        <v>253</v>
      </c>
      <c r="G11" s="72" t="s">
        <v>254</v>
      </c>
      <c r="H11" s="72"/>
      <c r="I11" s="62">
        <v>500</v>
      </c>
      <c r="J11" s="62">
        <v>500</v>
      </c>
      <c r="K11" s="35">
        <v>511</v>
      </c>
      <c r="L11" s="35">
        <v>491</v>
      </c>
      <c r="M11" s="35">
        <v>418</v>
      </c>
      <c r="N11" s="37">
        <v>475</v>
      </c>
      <c r="O11" s="37">
        <v>450</v>
      </c>
      <c r="P11" s="37">
        <v>385</v>
      </c>
      <c r="Q11" s="37" t="s">
        <v>120</v>
      </c>
      <c r="R11" s="62" t="s">
        <v>53</v>
      </c>
      <c r="S11" s="72"/>
      <c r="T11" s="72"/>
      <c r="U11" s="61" t="s">
        <v>255</v>
      </c>
      <c r="V11" s="73" t="s">
        <v>256</v>
      </c>
      <c r="W11" s="62">
        <v>470000001</v>
      </c>
      <c r="X11" s="62" t="s">
        <v>251</v>
      </c>
      <c r="Y11" s="62" t="s">
        <v>235</v>
      </c>
      <c r="Z11" s="62" t="s">
        <v>257</v>
      </c>
      <c r="AA11" s="62" t="s">
        <v>254</v>
      </c>
      <c r="AB11" s="74"/>
      <c r="AC11" s="74">
        <v>315</v>
      </c>
      <c r="AD11" s="74">
        <v>315</v>
      </c>
      <c r="AE11" s="75">
        <v>365</v>
      </c>
      <c r="AF11" s="75">
        <v>365</v>
      </c>
      <c r="AG11" s="63">
        <v>364</v>
      </c>
      <c r="AH11" s="63">
        <v>350</v>
      </c>
      <c r="AI11" s="63">
        <v>297.5</v>
      </c>
      <c r="AJ11" s="63"/>
      <c r="AK11" s="63"/>
      <c r="AL11" s="63"/>
      <c r="AM11" s="63"/>
      <c r="AN11" s="63"/>
      <c r="AO11" s="63"/>
      <c r="AP11" s="63"/>
      <c r="AQ11" s="63"/>
      <c r="AR11" s="63"/>
    </row>
    <row r="12" s="3" customFormat="1" ht="56" customHeight="1" spans="1:44">
      <c r="A12" s="58"/>
      <c r="B12" s="58"/>
      <c r="C12" s="58"/>
      <c r="D12" s="58"/>
      <c r="E12" s="58"/>
      <c r="F12" s="58"/>
      <c r="G12" s="58"/>
      <c r="H12" s="58"/>
      <c r="I12" s="76"/>
      <c r="J12" s="76"/>
      <c r="K12" s="77"/>
      <c r="L12" s="77"/>
      <c r="M12" s="77"/>
      <c r="N12" s="78"/>
      <c r="O12" s="78"/>
      <c r="P12" s="78"/>
      <c r="Q12" s="78"/>
      <c r="R12" s="76"/>
      <c r="S12" s="58"/>
      <c r="T12" s="58"/>
      <c r="U12" s="79"/>
      <c r="V12" s="73" t="s">
        <v>258</v>
      </c>
      <c r="W12" s="62">
        <v>470000002</v>
      </c>
      <c r="X12" s="62" t="s">
        <v>259</v>
      </c>
      <c r="Y12" s="62" t="s">
        <v>235</v>
      </c>
      <c r="Z12" s="62" t="s">
        <v>257</v>
      </c>
      <c r="AA12" s="62" t="s">
        <v>254</v>
      </c>
      <c r="AB12" s="74"/>
      <c r="AC12" s="74">
        <v>505</v>
      </c>
      <c r="AD12" s="74">
        <v>505</v>
      </c>
      <c r="AE12" s="75">
        <v>585</v>
      </c>
      <c r="AF12" s="75">
        <v>585</v>
      </c>
      <c r="AG12" s="63">
        <v>585</v>
      </c>
      <c r="AH12" s="63">
        <v>562.5</v>
      </c>
      <c r="AI12" s="63">
        <v>478.1</v>
      </c>
      <c r="AJ12" s="80"/>
      <c r="AK12" s="63"/>
      <c r="AL12" s="63"/>
      <c r="AM12" s="63"/>
      <c r="AN12" s="63"/>
      <c r="AO12" s="63"/>
      <c r="AP12" s="63"/>
      <c r="AQ12" s="63"/>
      <c r="AR12" s="63"/>
    </row>
    <row r="13" s="3" customFormat="1" ht="56" customHeight="1" spans="1:44">
      <c r="A13" s="58"/>
      <c r="B13" s="58"/>
      <c r="C13" s="58"/>
      <c r="D13" s="58"/>
      <c r="E13" s="58"/>
      <c r="F13" s="58"/>
      <c r="G13" s="58"/>
      <c r="H13" s="58"/>
      <c r="I13" s="76"/>
      <c r="J13" s="76"/>
      <c r="K13" s="77"/>
      <c r="L13" s="77"/>
      <c r="M13" s="77"/>
      <c r="N13" s="78"/>
      <c r="O13" s="78"/>
      <c r="P13" s="78"/>
      <c r="Q13" s="78"/>
      <c r="R13" s="76"/>
      <c r="S13" s="58"/>
      <c r="T13" s="58"/>
      <c r="U13" s="79"/>
      <c r="V13" s="73" t="s">
        <v>260</v>
      </c>
      <c r="W13" s="62">
        <v>470000003</v>
      </c>
      <c r="X13" s="62" t="s">
        <v>261</v>
      </c>
      <c r="Y13" s="62" t="s">
        <v>235</v>
      </c>
      <c r="Z13" s="62" t="s">
        <v>257</v>
      </c>
      <c r="AA13" s="62" t="s">
        <v>254</v>
      </c>
      <c r="AB13" s="74"/>
      <c r="AC13" s="74">
        <v>505</v>
      </c>
      <c r="AD13" s="74">
        <v>505</v>
      </c>
      <c r="AE13" s="75">
        <v>585</v>
      </c>
      <c r="AF13" s="75">
        <v>585</v>
      </c>
      <c r="AG13" s="63">
        <v>585</v>
      </c>
      <c r="AH13" s="63">
        <v>562.5</v>
      </c>
      <c r="AI13" s="63">
        <v>478.1</v>
      </c>
      <c r="AJ13" s="63"/>
      <c r="AK13" s="63"/>
      <c r="AL13" s="63"/>
      <c r="AM13" s="63"/>
      <c r="AN13" s="63"/>
      <c r="AO13" s="63"/>
      <c r="AP13" s="63"/>
      <c r="AQ13" s="63"/>
      <c r="AR13" s="63"/>
    </row>
    <row r="14" s="3" customFormat="1" ht="73" customHeight="1" spans="1:44">
      <c r="A14" s="32">
        <v>5</v>
      </c>
      <c r="B14" s="32" t="s">
        <v>262</v>
      </c>
      <c r="C14" s="32" t="s">
        <v>263</v>
      </c>
      <c r="D14" s="32" t="s">
        <v>47</v>
      </c>
      <c r="E14" s="64" t="s">
        <v>264</v>
      </c>
      <c r="F14" s="32" t="s">
        <v>265</v>
      </c>
      <c r="G14" s="32" t="s">
        <v>57</v>
      </c>
      <c r="H14" s="32" t="s">
        <v>266</v>
      </c>
      <c r="I14" s="39">
        <v>45</v>
      </c>
      <c r="J14" s="39">
        <v>45</v>
      </c>
      <c r="K14" s="81">
        <v>52</v>
      </c>
      <c r="L14" s="81">
        <v>50</v>
      </c>
      <c r="M14" s="81">
        <v>42.5</v>
      </c>
      <c r="N14" s="82">
        <v>42</v>
      </c>
      <c r="O14" s="82">
        <v>40</v>
      </c>
      <c r="P14" s="82">
        <v>34</v>
      </c>
      <c r="Q14" s="82" t="s">
        <v>120</v>
      </c>
      <c r="R14" s="39" t="s">
        <v>267</v>
      </c>
      <c r="S14" s="39"/>
      <c r="T14" s="39"/>
      <c r="U14" s="48" t="s">
        <v>255</v>
      </c>
      <c r="V14" s="39" t="s">
        <v>268</v>
      </c>
      <c r="W14" s="34">
        <v>470000016</v>
      </c>
      <c r="X14" s="34" t="s">
        <v>269</v>
      </c>
      <c r="Y14" s="34" t="s">
        <v>235</v>
      </c>
      <c r="Z14" s="34" t="s">
        <v>235</v>
      </c>
      <c r="AA14" s="34" t="s">
        <v>57</v>
      </c>
      <c r="AB14" s="40"/>
      <c r="AC14" s="40"/>
      <c r="AD14" s="40"/>
      <c r="AE14" s="41">
        <v>45</v>
      </c>
      <c r="AF14" s="41">
        <v>45</v>
      </c>
      <c r="AG14" s="42">
        <v>52</v>
      </c>
      <c r="AH14" s="42">
        <v>50</v>
      </c>
      <c r="AI14" s="42">
        <v>42.5</v>
      </c>
      <c r="AJ14" s="42"/>
      <c r="AK14" s="42"/>
      <c r="AL14" s="42"/>
      <c r="AM14" s="42"/>
      <c r="AN14" s="42"/>
      <c r="AO14" s="42"/>
      <c r="AP14" s="42"/>
      <c r="AQ14" s="42"/>
      <c r="AR14" s="42"/>
    </row>
    <row r="15" s="3" customFormat="1" ht="90" customHeight="1" spans="1:44">
      <c r="A15" s="83">
        <v>6</v>
      </c>
      <c r="B15" s="83" t="s">
        <v>270</v>
      </c>
      <c r="C15" s="83" t="s">
        <v>271</v>
      </c>
      <c r="D15" s="83" t="s">
        <v>47</v>
      </c>
      <c r="E15" s="84" t="s">
        <v>272</v>
      </c>
      <c r="F15" s="83" t="s">
        <v>273</v>
      </c>
      <c r="G15" s="83" t="s">
        <v>57</v>
      </c>
      <c r="H15" s="83"/>
      <c r="I15" s="73">
        <v>70</v>
      </c>
      <c r="J15" s="73">
        <v>70</v>
      </c>
      <c r="K15" s="81">
        <v>65</v>
      </c>
      <c r="L15" s="81">
        <v>62.5</v>
      </c>
      <c r="M15" s="81">
        <v>53.1</v>
      </c>
      <c r="N15" s="82">
        <v>65</v>
      </c>
      <c r="O15" s="82">
        <v>62.5</v>
      </c>
      <c r="P15" s="82">
        <v>53.1</v>
      </c>
      <c r="Q15" s="82" t="s">
        <v>187</v>
      </c>
      <c r="R15" s="73" t="s">
        <v>53</v>
      </c>
      <c r="S15" s="73"/>
      <c r="T15" s="73"/>
      <c r="U15" s="85" t="s">
        <v>187</v>
      </c>
      <c r="V15" s="73" t="s">
        <v>274</v>
      </c>
      <c r="W15" s="73">
        <v>470000006</v>
      </c>
      <c r="X15" s="73" t="s">
        <v>275</v>
      </c>
      <c r="Y15" s="73" t="s">
        <v>276</v>
      </c>
      <c r="Z15" s="73" t="s">
        <v>277</v>
      </c>
      <c r="AA15" s="73" t="s">
        <v>57</v>
      </c>
      <c r="AB15" s="74"/>
      <c r="AC15" s="74"/>
      <c r="AD15" s="74"/>
      <c r="AE15" s="75">
        <v>70</v>
      </c>
      <c r="AF15" s="75">
        <v>70</v>
      </c>
      <c r="AG15" s="63">
        <v>65</v>
      </c>
      <c r="AH15" s="63">
        <v>62.5</v>
      </c>
      <c r="AI15" s="63">
        <v>53.1</v>
      </c>
      <c r="AJ15" s="63"/>
      <c r="AK15" s="63"/>
      <c r="AL15" s="63"/>
      <c r="AM15" s="63"/>
      <c r="AN15" s="63"/>
      <c r="AO15" s="63"/>
      <c r="AP15" s="63"/>
      <c r="AQ15" s="63"/>
      <c r="AR15" s="63"/>
    </row>
  </sheetData>
  <mergeCells count="66">
    <mergeCell ref="A1:U1"/>
    <mergeCell ref="V1:AF1"/>
    <mergeCell ref="D3:T3"/>
    <mergeCell ref="A4:A5"/>
    <mergeCell ref="A8:A9"/>
    <mergeCell ref="A11:A13"/>
    <mergeCell ref="B4:B5"/>
    <mergeCell ref="B8:B9"/>
    <mergeCell ref="B11:B13"/>
    <mergeCell ref="C4:C5"/>
    <mergeCell ref="C8:C9"/>
    <mergeCell ref="C11:C13"/>
    <mergeCell ref="D4:D5"/>
    <mergeCell ref="D8:D9"/>
    <mergeCell ref="D11:D13"/>
    <mergeCell ref="E4:E5"/>
    <mergeCell ref="E8:E9"/>
    <mergeCell ref="E11:E13"/>
    <mergeCell ref="F4:F5"/>
    <mergeCell ref="F8:F9"/>
    <mergeCell ref="F11:F13"/>
    <mergeCell ref="G4:G5"/>
    <mergeCell ref="G8:G9"/>
    <mergeCell ref="G11:G13"/>
    <mergeCell ref="H4:H5"/>
    <mergeCell ref="H8:H9"/>
    <mergeCell ref="H11:H13"/>
    <mergeCell ref="I4:I5"/>
    <mergeCell ref="I8:I9"/>
    <mergeCell ref="I11:I13"/>
    <mergeCell ref="J4:J5"/>
    <mergeCell ref="J8:J9"/>
    <mergeCell ref="J11:J13"/>
    <mergeCell ref="K4:K5"/>
    <mergeCell ref="K8:K9"/>
    <mergeCell ref="K11:K13"/>
    <mergeCell ref="L4:L5"/>
    <mergeCell ref="L8:L9"/>
    <mergeCell ref="L11:L13"/>
    <mergeCell ref="M4:M5"/>
    <mergeCell ref="M8:M9"/>
    <mergeCell ref="M11:M13"/>
    <mergeCell ref="N4:N5"/>
    <mergeCell ref="N8:N9"/>
    <mergeCell ref="N11:N13"/>
    <mergeCell ref="O4:O5"/>
    <mergeCell ref="O8:O9"/>
    <mergeCell ref="O11:O13"/>
    <mergeCell ref="P4:P5"/>
    <mergeCell ref="P8:P9"/>
    <mergeCell ref="P11:P13"/>
    <mergeCell ref="Q4:Q5"/>
    <mergeCell ref="Q8:Q9"/>
    <mergeCell ref="Q11:Q13"/>
    <mergeCell ref="R4:R5"/>
    <mergeCell ref="R8:R9"/>
    <mergeCell ref="R11:R13"/>
    <mergeCell ref="S4:S5"/>
    <mergeCell ref="S8:S9"/>
    <mergeCell ref="S11:S13"/>
    <mergeCell ref="T4:T5"/>
    <mergeCell ref="T8:T9"/>
    <mergeCell ref="T11:T13"/>
    <mergeCell ref="U4:U6"/>
    <mergeCell ref="U8:U10"/>
    <mergeCell ref="U11:U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骨伤</vt:lpstr>
      <vt:lpstr>特殊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吴华春</dc:creator>
  <cp:lastModifiedBy>林烨</cp:lastModifiedBy>
  <dcterms:created xsi:type="dcterms:W3CDTF">2025-07-23T00:00:00Z</dcterms:created>
  <dcterms:modified xsi:type="dcterms:W3CDTF">2026-06-28T11:52:49Z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3BCB1CB925F5989D236DDB6877DFE861</vt:lpwstr>
  </property>
  <property fmtid="{D5CDD505-2E9C-101B-9397-08002B2CF9AE}" pid="4" name="CalculationRule">
    <vt:i4>0</vt:i4>
  </property>
</Properties>
</file>