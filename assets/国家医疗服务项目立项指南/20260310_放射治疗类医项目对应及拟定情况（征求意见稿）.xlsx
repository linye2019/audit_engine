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435" activeTab="2"/>
  </bookViews>
  <sheets>
    <sheet name="规范放射治疗类医疗服务价格项目与福建省现行项目映射表" sheetId="16" r:id="rId1"/>
    <sheet name="Sheet1" sheetId="17" r:id="rId2"/>
    <sheet name="Sheet1 (fuben)" sheetId="19" r:id="rId3"/>
    <sheet name="Sheet2" sheetId="18" r:id="rId4"/>
  </sheets>
  <definedNames>
    <definedName name="_xlnm._FilterDatabase" localSheetId="0" hidden="1">规范放射治疗类医疗服务价格项目与福建省现行项目映射表!$A$3:$AQ$132</definedName>
    <definedName name="_xlnm._FilterDatabase" localSheetId="1" hidden="1">Sheet1!$A$1:$W$102</definedName>
    <definedName name="_xlnm._FilterDatabase" localSheetId="2" hidden="1">'Sheet1 (fuben)'!$A$1:$W$102</definedName>
  </definedNames>
  <calcPr calcId="144525"/>
</workbook>
</file>

<file path=xl/sharedStrings.xml><?xml version="1.0" encoding="utf-8"?>
<sst xmlns="http://schemas.openxmlformats.org/spreadsheetml/2006/main" count="3687" uniqueCount="505">
  <si>
    <t>放射治疗类医项目对应及拟定情况（征求意见稿）</t>
  </si>
  <si>
    <t>放射治疗类立项指南价格项目</t>
  </si>
  <si>
    <t>现行项目</t>
  </si>
  <si>
    <t>序号</t>
  </si>
  <si>
    <t>项目代码</t>
  </si>
  <si>
    <t>项目名称</t>
  </si>
  <si>
    <t>归集口径</t>
  </si>
  <si>
    <t>服务产出</t>
  </si>
  <si>
    <t>价格构成</t>
  </si>
  <si>
    <t>计价单位</t>
  </si>
  <si>
    <t>计价说明</t>
  </si>
  <si>
    <t>省三甲价格</t>
  </si>
  <si>
    <t>省三甲以下价格</t>
  </si>
  <si>
    <t>平移价格
(市级)</t>
  </si>
  <si>
    <t>平移价格
(县级)</t>
  </si>
  <si>
    <t>平移价格
(基层)</t>
  </si>
  <si>
    <t>拟定价格
(市级)</t>
  </si>
  <si>
    <t>拟定价格
(县级)</t>
  </si>
  <si>
    <t>拟定价格
(基层)</t>
  </si>
  <si>
    <t>医保
属性</t>
  </si>
  <si>
    <t>医保限定支付范围</t>
  </si>
  <si>
    <t>个人先行自付比例</t>
  </si>
  <si>
    <t>调整情况</t>
  </si>
  <si>
    <t>备注</t>
  </si>
  <si>
    <t>国家结算编码</t>
  </si>
  <si>
    <t>项目编码</t>
  </si>
  <si>
    <t>项目内涵</t>
  </si>
  <si>
    <t>除外内容</t>
  </si>
  <si>
    <t>说明</t>
  </si>
  <si>
    <t>价格
(市级)</t>
  </si>
  <si>
    <t>价格
(县级)</t>
  </si>
  <si>
    <t>价格
(基层)</t>
  </si>
  <si>
    <t>医保属性</t>
  </si>
  <si>
    <t>013401020010000</t>
  </si>
  <si>
    <t>放疗模拟定位</t>
  </si>
  <si>
    <t>治疗费</t>
  </si>
  <si>
    <t>应用CT影像技术，进行放疗模拟定位，确定靶区、危及器官，必要时确定射野。</t>
  </si>
  <si>
    <t>所定价格涵盖模具设计与制作、摆位、体位固定、图像扫描、标记、必要时静脉输注对比剂、定位、获取影像、传输、记录等过程中所需的人力资源、设备运转成本消耗与基本物耗。</t>
  </si>
  <si>
    <t>次</t>
  </si>
  <si>
    <t>“模具设计与制作”包括但不限于体位固定器、射线挡块、剂量补偿物等放疗过程中涉及的各类模具制作步骤。</t>
  </si>
  <si>
    <t>医保</t>
  </si>
  <si>
    <t/>
  </si>
  <si>
    <t>降低</t>
  </si>
  <si>
    <r>
      <rPr>
        <sz val="10"/>
        <rFont val="仿宋"/>
        <charset val="134"/>
      </rPr>
      <t xml:space="preserve">整合项目。
</t>
    </r>
    <r>
      <rPr>
        <sz val="10"/>
        <color rgb="FFC00000"/>
        <rFont val="仿宋"/>
        <charset val="134"/>
      </rPr>
      <t>我省项目除外耗材“模具”可另行收费，新立项指南将“模具”纳入医疗服务价格成本构成不再另行收费，加权平移价格不含“模具”费用。
省级根据区域间比价关系下调，我市按不高于省级价格下调。</t>
    </r>
  </si>
  <si>
    <t>352406000040000-240600004</t>
  </si>
  <si>
    <t>CT模拟机三维定位</t>
  </si>
  <si>
    <t>摆位及体位固定，参考中心标记，静脉输注对比剂，机器操作，三维影像获取，传输及记录。</t>
  </si>
  <si>
    <t>002405000010000-240500001</t>
  </si>
  <si>
    <t>合金模具设计及制作</t>
  </si>
  <si>
    <t>包括电子束制模、适形制模、斗蓬野、倒Y野</t>
  </si>
  <si>
    <t>002405000010100-24050000101</t>
  </si>
  <si>
    <t>合金模具设计及制作（电子束制模）</t>
  </si>
  <si>
    <t>电子束制模</t>
  </si>
  <si>
    <t>002405000010200-24050000102</t>
  </si>
  <si>
    <t>合金模具设计及制作（适形制模）</t>
  </si>
  <si>
    <t>适形制模</t>
  </si>
  <si>
    <t>002405000010000-24050000103</t>
  </si>
  <si>
    <t>合金模具设计及制作（斗蓬野）</t>
  </si>
  <si>
    <t>斗蓬野</t>
  </si>
  <si>
    <t>002405000010000-24050000104</t>
  </si>
  <si>
    <t>合金模具设计及制作（倒Y野）</t>
  </si>
  <si>
    <t>倒Y野</t>
  </si>
  <si>
    <t>002405000020000-240500002</t>
  </si>
  <si>
    <t>填充模具设计及制作</t>
  </si>
  <si>
    <t>包括斗蓬野、倒Y野</t>
  </si>
  <si>
    <t>002405000030000-240500003</t>
  </si>
  <si>
    <t>补偿物设计及制作</t>
  </si>
  <si>
    <t>一次性面模、体模材料</t>
  </si>
  <si>
    <t>002405000020000-24050000201</t>
  </si>
  <si>
    <t>填充模具设计及制作（斗蓬野）</t>
  </si>
  <si>
    <t>002405000040000-240500004</t>
  </si>
  <si>
    <t>面模设计及制作</t>
  </si>
  <si>
    <t>一次性面模、体模材料、真空垫</t>
  </si>
  <si>
    <t>002405000020000-24050000202</t>
  </si>
  <si>
    <t>填充模具设计及制作（倒Y野）</t>
  </si>
  <si>
    <t>002405000050000-240500005</t>
  </si>
  <si>
    <t>体架</t>
  </si>
  <si>
    <t>包括头架</t>
  </si>
  <si>
    <t>002405000050100-24050000501</t>
  </si>
  <si>
    <t>体架（头架）</t>
  </si>
  <si>
    <t>头架</t>
  </si>
  <si>
    <t>分项</t>
  </si>
  <si>
    <t>013401020010001</t>
  </si>
  <si>
    <t>放疗模拟定位-特殊影像模拟定位（加收）</t>
  </si>
  <si>
    <t>根据省级定价规则，按主项26%加收取整</t>
  </si>
  <si>
    <t>013401020010002</t>
  </si>
  <si>
    <t>放疗模拟定位-简易模拟定位（减收）</t>
  </si>
  <si>
    <t>简易模拟定位指使用B超、X线定位。</t>
  </si>
  <si>
    <t>由主项减去加权平移价格后得出平移价格。
省级根据区域间比价关系上调，我市按不高于省级价格上调。</t>
  </si>
  <si>
    <t>002402000010000-240200001</t>
  </si>
  <si>
    <t>简易定位</t>
  </si>
  <si>
    <t>指使用非专用定位机之定位，包括X线机、B超或CT等</t>
  </si>
  <si>
    <t>疗程</t>
  </si>
  <si>
    <t>002402000010100-24020000101</t>
  </si>
  <si>
    <t>X线机定位</t>
  </si>
  <si>
    <t>002402000010200-24020000102</t>
  </si>
  <si>
    <t>B超定位</t>
  </si>
  <si>
    <t>002402000010300-24020000103</t>
  </si>
  <si>
    <t>CT定位</t>
  </si>
  <si>
    <t>002402000020000-240200002</t>
  </si>
  <si>
    <t>专用X线机模拟定位</t>
  </si>
  <si>
    <t>每照射野</t>
  </si>
  <si>
    <t>002402000030000-240200003</t>
  </si>
  <si>
    <t>专用X线机复杂模拟定位</t>
  </si>
  <si>
    <t>指非共面4野以上之定位，包括CT机等模拟定位</t>
  </si>
  <si>
    <t>002402000030100-24020000301</t>
  </si>
  <si>
    <t>专用X线机复杂模拟定位（CT机模拟定位）</t>
  </si>
  <si>
    <t>CT机模拟定位</t>
  </si>
  <si>
    <t>002402000010000-24020000104</t>
  </si>
  <si>
    <t>简易定位（疗程中修改定位加收）</t>
  </si>
  <si>
    <t>疗程中修改定位加收</t>
  </si>
  <si>
    <t>002402000020000-24020000201</t>
  </si>
  <si>
    <t>专用X线机模拟定位（疗程中修改加收）</t>
  </si>
  <si>
    <t>002402000030000-24020000302</t>
  </si>
  <si>
    <t>专用X线机复杂模拟定位（疗程中修改加收）</t>
  </si>
  <si>
    <t>013401020010011</t>
  </si>
  <si>
    <t>放疗模拟定位-运动管理（加收）</t>
  </si>
  <si>
    <t>新增项目，按项目间比价关系定价，运动管理统一加收价格</t>
  </si>
  <si>
    <t>013401020010021</t>
  </si>
  <si>
    <t>放疗模拟定位-立体定向放疗模拟定位（加收）</t>
  </si>
  <si>
    <t>013401010010000</t>
  </si>
  <si>
    <t>放疗计划制定</t>
  </si>
  <si>
    <t>依据模拟定位，勾画放疗靶区和危及器官，制定放疗剂量、危及器官限量，放疗次数和方式等放疗计划。</t>
  </si>
  <si>
    <t>所定价格涵盖勾画靶区、给定处方剂量、制定放疗计划等过程中所需的人力资源、设备运转成本消耗与基本物耗。</t>
  </si>
  <si>
    <t>每个疗程限收2次。</t>
  </si>
  <si>
    <t>提高</t>
  </si>
  <si>
    <t>省级根据区域间比价关系上调，我市按不高于省级价格上调。</t>
  </si>
  <si>
    <t>002401000010000-240100001</t>
  </si>
  <si>
    <t>人工制定治疗计划（简单）</t>
  </si>
  <si>
    <t>含剂量计算</t>
  </si>
  <si>
    <t>疗程中修改计划加收40%</t>
  </si>
  <si>
    <t>002401000020000-240100002</t>
  </si>
  <si>
    <t>人工制定治疗计划（复杂）</t>
  </si>
  <si>
    <t>含治疗计划与剂量计算</t>
  </si>
  <si>
    <t>002401000030000-240100003</t>
  </si>
  <si>
    <t>计算机治疗计划系统（TPS）</t>
  </si>
  <si>
    <t>指二维TPS</t>
  </si>
  <si>
    <t>002401000040000-240100004</t>
  </si>
  <si>
    <t>特定计算机治疗计划系统</t>
  </si>
  <si>
    <t>包括加速器适型、伽玛刀、X刀之TPS、逆向调强TPS及优化</t>
  </si>
  <si>
    <t>002401000040100-24010000401</t>
  </si>
  <si>
    <t>加速器适型之TPS计算机治疗计划系统</t>
  </si>
  <si>
    <t>加速器适型之TPS</t>
  </si>
  <si>
    <t>002401000010000-24010000101</t>
  </si>
  <si>
    <t>人工制定治疗计划（简单、修改计划加收）</t>
  </si>
  <si>
    <t>疗程中修改计划加收</t>
  </si>
  <si>
    <t>002401000020000-24010000201</t>
  </si>
  <si>
    <t>人工制定治疗计划（复杂、修改计划加收）</t>
  </si>
  <si>
    <t>002401000030000-24010000301</t>
  </si>
  <si>
    <t>计算机治疗计划系统（TPS、修改计划加收）</t>
  </si>
  <si>
    <t>002401000040400-24010000404</t>
  </si>
  <si>
    <t>特定计算机治疗计划系统（疗程中修改计划加收）</t>
  </si>
  <si>
    <t>013401010010001</t>
  </si>
  <si>
    <t>放疗计划制定-调强计划制定（加收）</t>
  </si>
  <si>
    <t>映射项目价格扣除主项价格得出平移价格。
省级根据区域间比价关系下调，我市按不高于省级价格下调。</t>
  </si>
  <si>
    <t>002401000040400-24010000405</t>
  </si>
  <si>
    <t>逆向调强TPS及优化计算机治疗计划系统</t>
  </si>
  <si>
    <t>逆向调强TPS及优化</t>
  </si>
  <si>
    <t>352401000040000-240100006</t>
  </si>
  <si>
    <t>调强放疗计划设计</t>
  </si>
  <si>
    <t>使用专用计算机治疗计划系统，进行三维影像接收，靶区及危及器官勾画，逆向调强治疗计划设计，计划确认及传输。不含图像采集，传输，计划验证及填写治疗单。</t>
  </si>
  <si>
    <t>013401010010011</t>
  </si>
  <si>
    <t>放疗计划制定-立体定向放疗计划制定（加收）</t>
  </si>
  <si>
    <t>无开展量，按项目间比价关系拟定</t>
  </si>
  <si>
    <t>002401000040200-24010000402</t>
  </si>
  <si>
    <t>伽玛刀之TPS计算机治疗计划系统</t>
  </si>
  <si>
    <t>伽玛刀之TPS</t>
  </si>
  <si>
    <t>002401000040300-24010000403</t>
  </si>
  <si>
    <t>X刀之TPS计算机治疗计划系统</t>
  </si>
  <si>
    <t>X刀之TPS</t>
  </si>
  <si>
    <t>013401010020000</t>
  </si>
  <si>
    <t>放疗计划验证</t>
  </si>
  <si>
    <t>依据靶区及计划制定的方案对放疗计划进行验证，必要时进行调整。</t>
  </si>
  <si>
    <t>所定价格涵盖固定、摆位、标记、扫描、获取影像、比较、校正、标记及剂量验证等过程中所需的人力资源、设备运转成本消耗与基本物耗。</t>
  </si>
  <si>
    <t>理顺，降低</t>
  </si>
  <si>
    <t>平移后按不超过省级拟定</t>
  </si>
  <si>
    <t>002401000070000-240600002</t>
  </si>
  <si>
    <t>二维剂量验证</t>
  </si>
  <si>
    <t>使用阵列等面测量仪器，或者基于先进剂量模型的独立核对程序，采用实验测量或者独立计算的方法，验证一个计划中的一个特征面的剂量分布。</t>
  </si>
  <si>
    <t>002402000030000-240200004</t>
  </si>
  <si>
    <t>CT模拟机校位</t>
  </si>
  <si>
    <t>摆位及体位固定，将中心移至治疗中心并标记，必要时静脉输注对比剂，机器操作，CT影像获取及比较，校正治疗中心并标记。</t>
  </si>
  <si>
    <t>013401030010000</t>
  </si>
  <si>
    <t>外照射治疗（普通）</t>
  </si>
  <si>
    <t>使用医用电子直线加速器产生电子线和光子线，实施体外照射放射治疗。</t>
  </si>
  <si>
    <t>所定价格涵盖摆位、体位固定、操作设备出束治疗、实时监控、必要时使用射线档块、剂量补偿物等过程中所需的人力资源、设备运转成本消耗与基本物耗。</t>
  </si>
  <si>
    <t>平移取整</t>
  </si>
  <si>
    <t>按人次测算加权平移取整</t>
  </si>
  <si>
    <t>002401000050000-240100005</t>
  </si>
  <si>
    <t>放射治疗的适时监控</t>
  </si>
  <si>
    <t>指在治疗机下监控照射野的准确度</t>
  </si>
  <si>
    <t>疗程中修改定位加收40%</t>
  </si>
  <si>
    <t>002401000050000-24010000501</t>
  </si>
  <si>
    <t>放射治疗的适时监控（疗程中修改计划加收）</t>
  </si>
  <si>
    <t>002403000040000-240300004</t>
  </si>
  <si>
    <t>直线加速器放疗（固定照射）</t>
  </si>
  <si>
    <t>Gy</t>
  </si>
  <si>
    <t>002403000050000-240300005</t>
  </si>
  <si>
    <t>直线加速器放疗（特殊照射）</t>
  </si>
  <si>
    <t>包括旋转、门控、弧形、楔形滤板等方法</t>
  </si>
  <si>
    <t>002403000050100-24030000501</t>
  </si>
  <si>
    <t>直线加速器放疗（特殊照射、旋转）</t>
  </si>
  <si>
    <t>旋转</t>
  </si>
  <si>
    <t>002403000050300-24030000502</t>
  </si>
  <si>
    <t>直线加速器放疗（特殊照射、弧形）</t>
  </si>
  <si>
    <t>弧形</t>
  </si>
  <si>
    <t>002403000050400-24030000503</t>
  </si>
  <si>
    <t>直线加速器放疗（特殊照射、楔形滤板）</t>
  </si>
  <si>
    <t>楔形滤板</t>
  </si>
  <si>
    <t>002403000050200-24030000504</t>
  </si>
  <si>
    <t>直线加速器放疗（特殊照射、门控）</t>
  </si>
  <si>
    <t>门控</t>
  </si>
  <si>
    <t>002406000010000-240600001</t>
  </si>
  <si>
    <t>低氧放疗耐力测定</t>
  </si>
  <si>
    <t>002403000130000-240300013</t>
  </si>
  <si>
    <t>全身电子线照射</t>
  </si>
  <si>
    <t>指用于皮肤恶性淋巴瘤治疗</t>
  </si>
  <si>
    <t>013401030010001</t>
  </si>
  <si>
    <t>外照射治疗（普通）-超长靶区（加收）</t>
  </si>
  <si>
    <t>项目间比价关系拟定，超长靶区统一加收价</t>
  </si>
  <si>
    <t>002403000090000-240300009</t>
  </si>
  <si>
    <t>不规则野大面积照射</t>
  </si>
  <si>
    <t>002403000100000-240300010</t>
  </si>
  <si>
    <t>半身照射</t>
  </si>
  <si>
    <t>013401030010011</t>
  </si>
  <si>
    <t>外照射治疗（普通）-超高剂量率放疗（加收）</t>
  </si>
  <si>
    <t>根据省级定价规则，超高剂量率放疗统一按主项价格拟定</t>
  </si>
  <si>
    <t>013401030020000</t>
  </si>
  <si>
    <t>外照射治疗（光子线-适形）</t>
  </si>
  <si>
    <t>基于放疗计划，使用医用电子直线加速器或钴-60远距离治疗机等产生光子射线，实施外照射治疗。</t>
  </si>
  <si>
    <t>所定价格涵盖治疗摆位、体位固定、操作设备、出束治疗、实时监控、必要时使用射线档块、剂量补偿物等过程中所需的人力资源、设备运转成本消耗与基本物耗。</t>
  </si>
  <si>
    <t>平移</t>
  </si>
  <si>
    <t>根据临床实际，每次约为2.5Gy</t>
  </si>
  <si>
    <t>002403000010000-240300001</t>
  </si>
  <si>
    <t>深部X线照射</t>
  </si>
  <si>
    <t>002403000020000-240300002</t>
  </si>
  <si>
    <t>60钴外照射（固定照射）</t>
  </si>
  <si>
    <t>002403000030000-240300003</t>
  </si>
  <si>
    <t>60钴外照射（特殊照射）</t>
  </si>
  <si>
    <t>包括旋转、弧形、楔形滤板等方法</t>
  </si>
  <si>
    <t>002403000030100-24030000301</t>
  </si>
  <si>
    <t>60钴外照射（特殊照射、旋转）</t>
  </si>
  <si>
    <t>002403000030200-24030000302</t>
  </si>
  <si>
    <t>60钴外照射（特殊照射、弧形）</t>
  </si>
  <si>
    <t>002403000030300-24030000303</t>
  </si>
  <si>
    <t>60钴外照射（特殊照射、楔形滤板）</t>
  </si>
  <si>
    <t>002403000060000-240300006</t>
  </si>
  <si>
    <t>直线加速器适型治疗</t>
  </si>
  <si>
    <t>013401030020001</t>
  </si>
  <si>
    <t>外照射治疗（光子线-适形）-超长靶区（加收）</t>
  </si>
  <si>
    <t>002403000120000-240300012</t>
  </si>
  <si>
    <t>全身X线照射</t>
  </si>
  <si>
    <t>指用于骨髓移植</t>
  </si>
  <si>
    <t>002403000110000-240300011</t>
  </si>
  <si>
    <t>全身60钴照射</t>
  </si>
  <si>
    <t>013401030020011</t>
  </si>
  <si>
    <t>外照射治疗（光子线-适形）-超高剂量率放疗（加收）</t>
  </si>
  <si>
    <t>013401030020021</t>
  </si>
  <si>
    <t>外照射治疗（光子线-适形）-图像引导（加收）</t>
  </si>
  <si>
    <t>根据项目间比价关系拟定，图像引导统一价格</t>
  </si>
  <si>
    <t>002401000050000-240600003</t>
  </si>
  <si>
    <t>三维实时显像监控</t>
  </si>
  <si>
    <t>适用于三维图像引导放疗、CT在线校位、自适应放疗等。摆位，采用锥形束CT等设备获取三维影像、调整摆位、影像保存。</t>
  </si>
  <si>
    <t>013401030030000</t>
  </si>
  <si>
    <t>外照射治疗（光子线-调强）</t>
  </si>
  <si>
    <t>基于放疗计划，使用医用电子直线加速器等产生的光子线，根据肿瘤靶区和其周围危及器官的三维空间关系进行束流强度调节，实施外照射治疗。</t>
  </si>
  <si>
    <r>
      <rPr>
        <sz val="10"/>
        <rFont val="仿宋"/>
        <charset val="134"/>
      </rPr>
      <t>根据临床实际，每疗程治疗15-20次（一次性收费），取中值17次，按收费次数</t>
    </r>
    <r>
      <rPr>
        <sz val="10"/>
        <rFont val="Arial"/>
        <charset val="134"/>
      </rPr>
      <t>÷</t>
    </r>
    <r>
      <rPr>
        <sz val="10"/>
        <rFont val="仿宋"/>
        <charset val="134"/>
      </rPr>
      <t>人次</t>
    </r>
    <r>
      <rPr>
        <sz val="10"/>
        <rFont val="Arial"/>
        <charset val="134"/>
      </rPr>
      <t>÷</t>
    </r>
    <r>
      <rPr>
        <sz val="10"/>
        <rFont val="仿宋"/>
        <charset val="134"/>
      </rPr>
      <t>17，得出每次治疗约2.628Gy。</t>
    </r>
  </si>
  <si>
    <t>002403000150000-240300015</t>
  </si>
  <si>
    <t>适形调强放射治疗（IMRT）</t>
  </si>
  <si>
    <t>013401030030001</t>
  </si>
  <si>
    <t>外照射治疗（光子线-调强）-超长靶区（加收）</t>
  </si>
  <si>
    <t>013401030030011</t>
  </si>
  <si>
    <t>外照射治疗（光子线-调强）-超高剂量率放疗（加收）</t>
  </si>
  <si>
    <t>013401030030021</t>
  </si>
  <si>
    <t>外照射治疗（光子线-调强）-自适应放疗（加收）</t>
  </si>
  <si>
    <r>
      <rPr>
        <sz val="10"/>
        <rFont val="仿宋"/>
        <charset val="134"/>
      </rPr>
      <t>放疗过程中</t>
    </r>
    <r>
      <rPr>
        <sz val="10"/>
        <color rgb="FFC00000"/>
        <rFont val="仿宋"/>
        <charset val="134"/>
      </rPr>
      <t>不再另行收取放疗模拟定位、计划制定、计划验证</t>
    </r>
    <r>
      <rPr>
        <sz val="10"/>
        <rFont val="仿宋"/>
        <charset val="134"/>
      </rPr>
      <t>费用。</t>
    </r>
  </si>
  <si>
    <t>根据省级定价规则，为主项的60%</t>
  </si>
  <si>
    <t>013401030030031</t>
  </si>
  <si>
    <t>外照射治疗（光子线-调强）-运动管理（加收）</t>
  </si>
  <si>
    <t>013401030030041</t>
  </si>
  <si>
    <t>外照射治疗（光子线-调强）-图像引导（加收）</t>
  </si>
  <si>
    <t>013401030030051</t>
  </si>
  <si>
    <t>外照射治疗（光子线-调强）-断层调强放疗（加收）</t>
  </si>
  <si>
    <t>映射项目均价扣主项价格得出平移价格。
无开展量，按不超过省级拟定。</t>
  </si>
  <si>
    <t>352403000180000-240300017</t>
  </si>
  <si>
    <t>局部断层调强放疗（TOMO）</t>
  </si>
  <si>
    <t>调用治疗计划，摆位，体位固定，机器操作及照射。</t>
  </si>
  <si>
    <t>15次以上市级2700元/次，县级2430元/次，基层2065.5元/次。适用于肿瘤靶区复杂，即靶区形状不规则或靶区长度超过40cm(儿童不限)或靶区与重要器官关系密切，以及重要器官保护要求高的鼻咽癌及其它头颈肿瘤、胸部肿瘤、腹部肿瘤、乳腺肿瘤、妇科肿瘤、头颅神经肿瘤、儿童肿瘤等患者</t>
  </si>
  <si>
    <t>352403000180000-240300018</t>
  </si>
  <si>
    <t>局部断层调强放疗（TOMO、15次以上）</t>
  </si>
  <si>
    <t>15次以上每次。</t>
  </si>
  <si>
    <t>013401030030052</t>
  </si>
  <si>
    <t>外照射治疗（光子线-调强）-容积旋转调强放疗（加收）</t>
  </si>
  <si>
    <t>根据临床实际，每次约为3Gy，按照映射项目价格*3扣除主项价格，得出平移价格。市级按不高于省级理顺</t>
  </si>
  <si>
    <t>002403000150000-240300021</t>
  </si>
  <si>
    <t>旋转调强放疗</t>
  </si>
  <si>
    <t>013401030040000</t>
  </si>
  <si>
    <t>外照射治疗（光子线-立体定向）</t>
  </si>
  <si>
    <t>基于放疗计划，使用医用直线加速器、伽玛刀等产生的光子线，对肿瘤靶区进行大分割、高剂量短疗程放疗模式，实施外照射治疗。</t>
  </si>
  <si>
    <t>所定价格涵盖治疗摆位、体位固定、图像引导、操作设备、高剂量出束治疗、实时监控等过程中所需的人力资源、设备运转成本消耗与基本物耗。</t>
  </si>
  <si>
    <t>每疗程大于等于5次的三甲医院按30000元/疗程收取，三甲以下医院按27000元/疗程收取，不足5次的，每次按20%计费。X刀和伽玛刀三甲医院按15000元/疗程收取，三甲以下医院按13500元/疗程收取（疗程不区分次数）。本计价说明同时适用于加收项。</t>
  </si>
  <si>
    <t>理顺</t>
  </si>
  <si>
    <t>无开展量，按比价关系拟定</t>
  </si>
  <si>
    <t>352403000170000-240300019</t>
  </si>
  <si>
    <t>射波刀立体放疗系统（首次）</t>
  </si>
  <si>
    <t>患者体位固定，调入放疗计划和重建DRR影像，实时数字影像采集(六维颅骨追踪系统、金标追踪系统、xsight肺部追踪系统、xsight脊柱追踪系统)，必要时开启呼吸同步追踪系统(synchnony追踪系统，Cyberknife特有的)，建立运动数字模型，确认准确度，消除6维位置误差。每15-60秒千伏级的X线系统正交采集一次图像，及时修正误差。每次治疗时间60-90分钟。图文报告。</t>
  </si>
  <si>
    <t>首次市级16200元，县级14580元，基层12390元，此后每次市级7200元，县级6480元，基层5500元，一疗程不超过市级不超过45000元，县级不超过40500元，基层不超过34400元</t>
  </si>
  <si>
    <t>352403000170000-240300020</t>
  </si>
  <si>
    <t>射波刀立体放疗系统（第二次起）</t>
  </si>
  <si>
    <t>第二次起，每次市级7200元，县级6480元，基层5500元，一疗程不超过市级不超过45000元，县级不超过40500元，基层不超过34400元</t>
  </si>
  <si>
    <t>每疗程不足5次的，每次按20%计费。</t>
  </si>
  <si>
    <t>主项20%</t>
  </si>
  <si>
    <t>X刀和伽玛刀三甲医院按15000元/疗程收取，三甲以下医院按13500元/疗程收取（疗程不区分次数）。</t>
  </si>
  <si>
    <t>002403000070000-240300007</t>
  </si>
  <si>
    <t>X刀治疗</t>
  </si>
  <si>
    <t>例</t>
  </si>
  <si>
    <t>002403000080000-240300008</t>
  </si>
  <si>
    <t>伽玛刀治疗</t>
  </si>
  <si>
    <t>指颅内良性、恶性肿瘤和血管疾病的治疗</t>
  </si>
  <si>
    <t>1.单发肿瘤患者,同一疗程需要多次治疗的,第一、二次治疗不得加收,自第三次起,每增加治疗一次基层加收557.6元，县级医院加收656元，市级医院加收704元，加收最高不超过4800元；2.多发肿瘤患者,治疗第一个肿瘤按前述计费,同一疗程每增加治疗一个肿瘤基层仅加收1045.5元，县级医院仅加收1230元，市级医院仅加收1320元；3.未获得配置规划许可的，不得收费。</t>
  </si>
  <si>
    <t>002403000080000-24030000801</t>
  </si>
  <si>
    <t>伽玛刀治疗（每增加一次加收）</t>
  </si>
  <si>
    <t>自第三次起，每增加治疗一次加收</t>
  </si>
  <si>
    <t>002403000080000-24030000802</t>
  </si>
  <si>
    <t>伽玛刀治疗（多发肿瘤加收）</t>
  </si>
  <si>
    <t>每个肿物</t>
  </si>
  <si>
    <t>多发肿瘤加收</t>
  </si>
  <si>
    <t>013401030040001</t>
  </si>
  <si>
    <t>外照射治疗（光子线-立体定向）-自适应放疗（加收）</t>
  </si>
  <si>
    <t>放疗过程中不再另行收取放疗模拟定位、计划制定、计划验证费用。每疗程大于等于5次的三甲医院按18000元/疗程收取，三甲以下医院按16200元/疗程收取，不足5次的，每次按20%计费。X刀和伽玛刀三甲医院按9000元/疗程收取，三甲以下医院按8100元/疗程收取（疗程不区分次数）。</t>
  </si>
  <si>
    <t>新增项目，按省级90%拟定</t>
  </si>
  <si>
    <t>放疗过程中不再另行收取放疗模拟定位、计划制定、计划验证费用。每疗程不足5次的，每次按20%计费。</t>
  </si>
  <si>
    <t>放疗过程中不再另行收取放疗模拟定位、计划制定、计划验证费用。X刀和伽玛刀三甲医院按9000元/疗程收取，三甲以下医院按8100元/疗程收取（疗程不区分次数）。</t>
  </si>
  <si>
    <t>013401030040011</t>
  </si>
  <si>
    <t>外照射治疗（光子线-立体定向）-运动管理（加收）</t>
  </si>
  <si>
    <t>每疗程大于等于5次的三甲医院按1150元/疗程收取，三甲以下医院按1035元/疗程收取，不足5次的，每次按20%计费。X刀和伽玛刀三甲医院按575元/疗程收取，三甲以下医院按518元/疗程收取（疗程不区分次数）。</t>
  </si>
  <si>
    <t>X刀和伽玛刀三甲医院按575元/疗程收取，三甲以下医院按518元/疗程收取（疗程不区分次数）。</t>
  </si>
  <si>
    <t>013401030040021</t>
  </si>
  <si>
    <t>外照射治疗（光子线-立体定向）-超高剂量率放疗（加收）</t>
  </si>
  <si>
    <t>每疗程大于等于5次的三甲医院按30000元/疗程收取，三甲以下医院按27000元/疗程收取，不足5次的，每次按20%计费。X刀和伽玛刀三甲医院按15000元/疗程收取，三甲以下医院按13500元/疗程收取（疗程不区分次数）。</t>
  </si>
  <si>
    <t>013401030050000</t>
  </si>
  <si>
    <t>外照射治疗（质子放疗）</t>
  </si>
  <si>
    <t>基于放疗计划，使用医用粒子加速器产生的质子射线，对肿瘤靶区进行束流强度调节，实施外照射治疗。</t>
  </si>
  <si>
    <t>所定价格涵盖治疗摆位、体位固定、图像引导、操作设备、运动管理、出束治疗、实时监控、必要时使用射线档块、剂量补偿物等过程中所需的人力资源、设备运转成本消耗与基本物耗。</t>
  </si>
  <si>
    <t>每疗程设置封顶线。</t>
  </si>
  <si>
    <t>待医疗机构申请后研究</t>
  </si>
  <si>
    <t>新增</t>
  </si>
  <si>
    <t>新增项目。待省局定价后进一步考量</t>
  </si>
  <si>
    <t>013401030060000</t>
  </si>
  <si>
    <t>外照射治疗（重离子放疗）</t>
  </si>
  <si>
    <t>基于放疗计划，使用医用粒子加速器产生的重离子射线，对肿瘤靶区进行束流强度调节，实施外照射治疗。</t>
  </si>
  <si>
    <r>
      <rPr>
        <sz val="10"/>
        <rFont val="仿宋"/>
        <charset val="134"/>
      </rPr>
      <t xml:space="preserve">第二次起三甲医院按16500元/次收取，三甲以下医院按14850元/次收取，每疗程三甲医院收费最高不超过198000元，三甲以下医院收费最高不超过178200元；6个月内同一适应症再次治疗费用纳入同一疗程收费管理。
</t>
    </r>
    <r>
      <rPr>
        <sz val="10"/>
        <color rgb="FFFF0000"/>
        <rFont val="仿宋"/>
        <charset val="134"/>
      </rPr>
      <t>（泉州）</t>
    </r>
    <r>
      <rPr>
        <sz val="10"/>
        <rFont val="仿宋"/>
        <charset val="134"/>
      </rPr>
      <t>第二次起市级按15500元/次收取、县级按14850元/次收取，每疗程市级收费最高不超过186000元、县级收费最高不超过178200元；6个月内同一适应症再次治疗费用纳入同一疗程收费管理。</t>
    </r>
  </si>
  <si>
    <t>非医保</t>
  </si>
  <si>
    <t>泉州仅晋江市医院（目前执行县级价格）投入建设重离子放疗场所，预计年底前购买设备，明年中下旬启动运行，整体投入成本约15-20亿元。
因省属三甲以下无医院开展，价格按省三甲9折制定。我市县级按不超过省三甲拟定。市级稍拉开差距。</t>
  </si>
  <si>
    <t>013401030070000</t>
  </si>
  <si>
    <t>外照射治疗（硼-中子俘获）</t>
  </si>
  <si>
    <t>通过中子与同位素硼发生核反应作用于局部，达到杀灭肿瘤细胞的作用。</t>
  </si>
  <si>
    <t>所定价格涵盖设备准备、摆位、影像引导、靶区勾画、治疗计划设计、注射、局部照射等过程中所需的人力资源、设备运转成本消耗与基本物耗。</t>
  </si>
  <si>
    <t>待医疗机构 申请后研究</t>
  </si>
  <si>
    <t>013401040010000</t>
  </si>
  <si>
    <t>近距离治疗（后装）</t>
  </si>
  <si>
    <t>通过在人体内置入施源器后导入放射源进行的治疗。</t>
  </si>
  <si>
    <t>所定价格涵盖模拟定位、制定计划、剂量验证、置入施源器、组织人员插植、导入放射源、照射、环境辐射监测、必要时回收放射源、解除施源器等过程中所需的人力资源及设备运转成本消耗与基本物耗。</t>
  </si>
  <si>
    <t>“近距离治疗”包括但不限于“后装放射治疗”等一次性放射治疗及永久性植入放射性粒子治疗。</t>
  </si>
  <si>
    <t>根据临床实际，每次约为6-8Gy，取中值7.5计算平移价格</t>
  </si>
  <si>
    <t>002404000010000-240400001</t>
  </si>
  <si>
    <t>浅表部位后装治疗</t>
  </si>
  <si>
    <t>002404000020000-240400002</t>
  </si>
  <si>
    <t>腔内后装放疗</t>
  </si>
  <si>
    <t>002404000050000-240400005</t>
  </si>
  <si>
    <t>皮肤贴敷后装放疗</t>
  </si>
  <si>
    <t>002404000060000-240400006</t>
  </si>
  <si>
    <t>血管内后装放疗</t>
  </si>
  <si>
    <t>002404000040000-240400004</t>
  </si>
  <si>
    <t>手术置管放疗</t>
  </si>
  <si>
    <t>013401040010001</t>
  </si>
  <si>
    <t>近距离治疗（后装）-CT模拟定位（加收）</t>
  </si>
  <si>
    <t>为主项目30%</t>
  </si>
  <si>
    <t>013401040010002</t>
  </si>
  <si>
    <t>近距离治疗（后装）-MR模拟定位（加收）</t>
  </si>
  <si>
    <t>根据项目间比价关系拟定，按不超过省级95%拟定</t>
  </si>
  <si>
    <t>013401040010011</t>
  </si>
  <si>
    <t>近距离治疗（后装）-二维近距离治疗计划（加收）</t>
  </si>
  <si>
    <t>013401040010012</t>
  </si>
  <si>
    <t>近距离治疗（后装）-三维近距离治疗计划（加收）</t>
  </si>
  <si>
    <t>013401040010021</t>
  </si>
  <si>
    <t>近距离治疗（后装）-组织间插植/放射粒子植入（加收）</t>
  </si>
  <si>
    <t>结合临床实际，每人次治疗1-2次（一次性收费），取中值1.5次，按收费次数÷人次÷1.5，得出每次治疗约13.76Gy。根据项目间比价关系，按照不超过省级95%拟定</t>
  </si>
  <si>
    <t>002404000030000-240400003</t>
  </si>
  <si>
    <t>组织间插置放疗</t>
  </si>
  <si>
    <t>002403000160000-240300016</t>
  </si>
  <si>
    <t>快中子外照射</t>
  </si>
  <si>
    <t>002404000070000-240400007</t>
  </si>
  <si>
    <t>快中子后装治疗（中子刀）</t>
  </si>
  <si>
    <t>013402000010000</t>
  </si>
  <si>
    <t>内照射治疗（核素常规）</t>
  </si>
  <si>
    <t>通过口服、注射植入放射性核素，达到治疗恶性肿瘤和其他疾病的目的。</t>
  </si>
  <si>
    <t>所定价格涵盖治疗计划制定、放射性药品的标记与分装、注射或口服给药、防护器材使用、放射性废弃物处理、环境监测等步骤所需的人力资源与基本物质资源消耗。</t>
  </si>
  <si>
    <t>指小于等于60毫居。大于60毫居且小于等于100毫居的加收100%，大于100毫居的加收2次100%。99锝（云克）治疗三甲医院按120元/次收取，三甲以下医院按110元/次收取。</t>
  </si>
  <si>
    <t>理顺，提高</t>
  </si>
  <si>
    <t>我市有开展量的原项目价格偏低，仅为省级46.5%-61.5%，线调高理顺比价</t>
  </si>
  <si>
    <t>002306000010000-230600001</t>
  </si>
  <si>
    <t>131碘（甲亢治疗）</t>
  </si>
  <si>
    <t>002306000020000-230600002</t>
  </si>
  <si>
    <t>131碘（功能自主性甲状腺瘤治疗）</t>
  </si>
  <si>
    <t>002306000030000-230600003</t>
  </si>
  <si>
    <t>131碘（甲状腺癌转移灶治疗）</t>
  </si>
  <si>
    <t>002306000040000-230600004</t>
  </si>
  <si>
    <t>131碘（肿瘤抗体放免治疗）</t>
  </si>
  <si>
    <t>002306000050000-230600005</t>
  </si>
  <si>
    <t>32磷（胶体腔内治疗）</t>
  </si>
  <si>
    <t>002306000060000-230600006</t>
  </si>
  <si>
    <t>32磷（血液病治疗）</t>
  </si>
  <si>
    <t>002306000090000-230600009</t>
  </si>
  <si>
    <t>89锶（骨转移瘤治疗）</t>
  </si>
  <si>
    <t>002306000100000-230600010</t>
  </si>
  <si>
    <t>153钐-EDTMP骨转移瘤治疗</t>
  </si>
  <si>
    <t>002306000110000-230600011</t>
  </si>
  <si>
    <t>188铼-HEDP骨转移瘤治疗</t>
  </si>
  <si>
    <t>002306000120000-230600012</t>
  </si>
  <si>
    <t>131碘（MIBG恶性肿瘤治疗）</t>
  </si>
  <si>
    <t>133402000010001</t>
  </si>
  <si>
    <t>内照射治疗（核素常规）-大剂量核素药物（加收）</t>
  </si>
  <si>
    <t>指大于60毫居且小于等于100毫居的加收100%。</t>
  </si>
  <si>
    <t>持平主项价格</t>
  </si>
  <si>
    <t>指大于100毫居的加收2次100%。</t>
  </si>
  <si>
    <t>主项价格的2倍</t>
  </si>
  <si>
    <t>内照射治疗（核素常规）-99锝（云克）治疗</t>
  </si>
  <si>
    <t>原项目价格为省级83%，平移后提高理顺比价，基层向上取整</t>
  </si>
  <si>
    <t>002306000150000-230600015</t>
  </si>
  <si>
    <t>99锝（云克）治疗</t>
  </si>
  <si>
    <t>013402000020000</t>
  </si>
  <si>
    <t>内照射治疗（核素介入）</t>
  </si>
  <si>
    <t>通过组织间介入或血管介入方式植入放射性核素，辐射杀死病变细胞或缩小病灶，从而达到治疗癌症和其他疾病的目的。</t>
  </si>
  <si>
    <t>所定价格涵盖治疗计划制定、放射性药品的标记与分装、经皮穿刺或经血管介入给药、防护器材使用、放射性废弃物处理、环境监测等步骤所需的人力资源与基本物质资源消耗。</t>
  </si>
  <si>
    <t>开展量仅13例，省级按区域间比价提高拟定，我市按比价关系提高</t>
  </si>
  <si>
    <t>002306000070000-230600007</t>
  </si>
  <si>
    <t>32磷（微球介入治疗）</t>
  </si>
  <si>
    <t>002306000080000-230600008</t>
  </si>
  <si>
    <t>90钇（微球介入治疗）</t>
  </si>
  <si>
    <t>002306000130000-230600013</t>
  </si>
  <si>
    <t>核素组织间介入治疗</t>
  </si>
  <si>
    <t>002306000140000-230600014</t>
  </si>
  <si>
    <t>核素血管内介入治疗</t>
  </si>
  <si>
    <t>002306000170000-230600017</t>
  </si>
  <si>
    <t>组织间粒子植入术</t>
  </si>
  <si>
    <t>包括放射性粒子植入术、化疗药物粒子植入术</t>
  </si>
  <si>
    <t>放射性粒子、药物粒子</t>
  </si>
  <si>
    <t>002306000170100-23060001701</t>
  </si>
  <si>
    <t>放射性粒子植入术</t>
  </si>
  <si>
    <t>002306000170200-23060001702</t>
  </si>
  <si>
    <t>化疗药物粒子植入术</t>
  </si>
  <si>
    <t>013402000030000</t>
  </si>
  <si>
    <t>放射性核素敷贴治疗</t>
  </si>
  <si>
    <t>通过放射性核素嵌入的敷贴，覆盖在病变区域，提供高剂量局部辐射，达到治疗浅表病变的目的。</t>
  </si>
  <si>
    <t>所定价格涵盖治疗计划制定、放射性药品的标记与分装、制备、敷贴、防护器材使用、放射性废弃物处理、环境监测等步骤所需的人力资源与基本物质资源消耗。</t>
  </si>
  <si>
    <t>用敷贴器治疗时每照射野为一次。</t>
  </si>
  <si>
    <t>平移，基层向上取整</t>
  </si>
  <si>
    <t>002306000160000-230600016</t>
  </si>
  <si>
    <t>放射性核素贴敷治疗</t>
  </si>
  <si>
    <t>用贴敷器治疗时每照射野为一次。</t>
  </si>
  <si>
    <t>013401030080000</t>
  </si>
  <si>
    <t>术中放疗</t>
  </si>
  <si>
    <t>在术中进行的放射治疗。</t>
  </si>
  <si>
    <t>所定价格涵盖暴露瘤床、确定照射区域、遮挡正常组织器官、机器操作、设备照射、阅单等步骤所需的人力资源与基本物质资源消耗。</t>
  </si>
  <si>
    <t>不再另行收取耗材费用。可移动光子立体定向术中放疗三甲医院按7000元/次收取，三甲以下医院按6300元/次收取。</t>
  </si>
  <si>
    <t>无开展量，原项目价格持平省级，现按不超过省级95%理顺比价</t>
  </si>
  <si>
    <t>002403000140000-240300014</t>
  </si>
  <si>
    <t>可移动光子立体定向术中放疗市级6650元/次，县级5985元/次，基层5085元/次。</t>
  </si>
  <si>
    <t>术中放疗-可移动光子立体定向术中放疗</t>
  </si>
  <si>
    <t>不再另行收取耗材费用。</t>
  </si>
  <si>
    <t>002403000140000-24030001401</t>
  </si>
  <si>
    <t>可移动光子立体定向术中放疗</t>
  </si>
  <si>
    <t>术中肿瘤病人经外科手术切除病灶，彻底暴露需放疗的区域并评估肿瘤面积及残留深度，对周围的敏感器官及组织做好防护。设备开启后进行剂量测量及质控，根据术中切除后的瘤床选择适合瘤床形态及尺寸的施用器，由放疗医生和物理师共同确认处方剂量，制定治疗计划，照射时间由肿瘤的大小和类型决定。最后由外科医生将施用器置于需放疗的区域并固定，开始术中放疗。不含针形施用器计划设计剂量验证</t>
  </si>
  <si>
    <t>id</t>
  </si>
  <si>
    <t>code</t>
  </si>
  <si>
    <t>sever_type</t>
  </si>
  <si>
    <t>change_time</t>
  </si>
  <si>
    <t>old_hilist_code</t>
  </si>
  <si>
    <t>new_hilist_code</t>
  </si>
  <si>
    <t>hilist_name</t>
  </si>
  <si>
    <t>selfpay_prop</t>
  </si>
  <si>
    <t>old_price</t>
  </si>
  <si>
    <t>old_price_city</t>
  </si>
  <si>
    <t>old_price_town</t>
  </si>
  <si>
    <t>old_price_village</t>
  </si>
  <si>
    <t>new_price</t>
  </si>
  <si>
    <t>new_price_city</t>
  </si>
  <si>
    <t>new_price_town</t>
  </si>
  <si>
    <t>new_price_village</t>
  </si>
  <si>
    <t>unit</t>
  </si>
  <si>
    <t>batch</t>
  </si>
  <si>
    <t>is_use_old</t>
  </si>
  <si>
    <t>merge_type</t>
  </si>
  <si>
    <t>cnt_change_model</t>
  </si>
  <si>
    <t>cnt_change_value</t>
  </si>
  <si>
    <t>null</t>
  </si>
  <si>
    <t>2026-03-12 00:00:00</t>
  </si>
  <si>
    <t>normal</t>
  </si>
  <si>
    <t>main</t>
  </si>
  <si>
    <t>set</t>
  </si>
  <si>
    <t>limit</t>
  </si>
  <si>
    <t>server_list_id</t>
  </si>
  <si>
    <t>is_main</t>
  </si>
  <si>
    <t>main_code</t>
  </si>
</sst>
</file>

<file path=xl/styles.xml><?xml version="1.0" encoding="utf-8"?>
<styleSheet xmlns="http://schemas.openxmlformats.org/spreadsheetml/2006/main">
  <numFmts count="6">
    <numFmt numFmtId="176" formatCode="0_ "/>
    <numFmt numFmtId="177" formatCode="0.00_);[Red]\(0.00\)"/>
    <numFmt numFmtId="41" formatCode="_ * #,##0_ ;_ * \-#,##0_ ;_ * &quot;-&quot;_ ;_ @_ "/>
    <numFmt numFmtId="43" formatCode="_ * #,##0.00_ ;_ * \-#,##0.00_ ;_ * &quot;-&quot;??_ ;_ @_ "/>
    <numFmt numFmtId="42" formatCode="_ &quot;￥&quot;* #,##0_ ;_ &quot;￥&quot;* \-#,##0_ ;_ &quot;￥&quot;* &quot;-&quot;_ ;_ @_ "/>
    <numFmt numFmtId="44" formatCode="_ &quot;￥&quot;* #,##0.00_ ;_ &quot;￥&quot;* \-#,##0.00_ ;_ &quot;￥&quot;* &quot;-&quot;??_ ;_ @_ "/>
  </numFmts>
  <fonts count="39">
    <font>
      <sz val="12"/>
      <name val="宋体"/>
      <charset val="134"/>
    </font>
    <font>
      <b/>
      <sz val="10"/>
      <color theme="1"/>
      <name val="Arial Unicode MS"/>
      <charset val="134"/>
    </font>
    <font>
      <sz val="11"/>
      <color theme="1"/>
      <name val="宋体"/>
      <charset val="134"/>
      <scheme val="minor"/>
    </font>
    <font>
      <sz val="11"/>
      <color theme="1"/>
      <name val="方正小标宋简体"/>
      <charset val="134"/>
    </font>
    <font>
      <sz val="18"/>
      <name val="楷体"/>
      <charset val="134"/>
    </font>
    <font>
      <b/>
      <sz val="11"/>
      <color theme="1"/>
      <name val="宋体"/>
      <charset val="134"/>
      <scheme val="minor"/>
    </font>
    <font>
      <sz val="11"/>
      <name val="宋体"/>
      <charset val="134"/>
      <scheme val="minor"/>
    </font>
    <font>
      <sz val="10"/>
      <name val="仿宋"/>
      <charset val="134"/>
    </font>
    <font>
      <sz val="20"/>
      <color theme="1"/>
      <name val="方正小标宋简体"/>
      <charset val="134"/>
    </font>
    <font>
      <b/>
      <sz val="18"/>
      <color theme="1"/>
      <name val="楷体"/>
      <charset val="134"/>
    </font>
    <font>
      <b/>
      <sz val="10"/>
      <color theme="1"/>
      <name val="仿宋"/>
      <charset val="134"/>
    </font>
    <font>
      <b/>
      <sz val="10"/>
      <name val="仿宋"/>
      <charset val="134"/>
    </font>
    <font>
      <sz val="10"/>
      <color rgb="FFFF0000"/>
      <name val="仿宋"/>
      <charset val="134"/>
    </font>
    <font>
      <sz val="10"/>
      <name val="仿宋"/>
      <charset val="1"/>
    </font>
    <font>
      <sz val="10"/>
      <color rgb="FFC00000"/>
      <name val="仿宋"/>
      <charset val="134"/>
    </font>
    <font>
      <sz val="11"/>
      <color rgb="FFC00000"/>
      <name val="宋体"/>
      <charset val="134"/>
      <scheme val="minor"/>
    </font>
    <font>
      <sz val="10"/>
      <color theme="1"/>
      <name val="仿宋"/>
      <charset val="134"/>
    </font>
    <font>
      <sz val="11"/>
      <color theme="0"/>
      <name val="宋体"/>
      <charset val="134"/>
      <scheme val="minor"/>
    </font>
    <font>
      <sz val="11"/>
      <color indexed="8"/>
      <name val="宋体"/>
      <charset val="134"/>
      <scheme val="minor"/>
    </font>
    <font>
      <b/>
      <sz val="18"/>
      <color theme="3"/>
      <name val="宋体"/>
      <charset val="134"/>
      <scheme val="minor"/>
    </font>
    <font>
      <u/>
      <sz val="11"/>
      <color rgb="FF800080"/>
      <name val="宋体"/>
      <charset val="134"/>
      <scheme val="minor"/>
    </font>
    <font>
      <b/>
      <sz val="11"/>
      <color theme="3"/>
      <name val="宋体"/>
      <charset val="134"/>
      <scheme val="minor"/>
    </font>
    <font>
      <i/>
      <sz val="11"/>
      <color rgb="FF7F7F7F"/>
      <name val="宋体"/>
      <charset val="134"/>
      <scheme val="minor"/>
    </font>
    <font>
      <b/>
      <sz val="11"/>
      <color rgb="FF3F3F3F"/>
      <name val="宋体"/>
      <charset val="134"/>
      <scheme val="minor"/>
    </font>
    <font>
      <sz val="11"/>
      <color rgb="FF9C0006"/>
      <name val="宋体"/>
      <charset val="134"/>
      <scheme val="minor"/>
    </font>
    <font>
      <sz val="11"/>
      <color indexed="8"/>
      <name val="宋体"/>
      <charset val="134"/>
    </font>
    <font>
      <sz val="11"/>
      <color rgb="FF006100"/>
      <name val="宋体"/>
      <charset val="134"/>
      <scheme val="minor"/>
    </font>
    <font>
      <sz val="10"/>
      <name val="Arial"/>
      <charset val="204"/>
    </font>
    <font>
      <u/>
      <sz val="11"/>
      <color rgb="FF0000FF"/>
      <name val="宋体"/>
      <charset val="134"/>
      <scheme val="minor"/>
    </font>
    <font>
      <sz val="11"/>
      <color rgb="FF3F3F76"/>
      <name val="宋体"/>
      <charset val="134"/>
      <scheme val="minor"/>
    </font>
    <font>
      <b/>
      <sz val="11"/>
      <color rgb="FFFFFFFF"/>
      <name val="宋体"/>
      <charset val="134"/>
      <scheme val="minor"/>
    </font>
    <font>
      <sz val="11"/>
      <color rgb="FF9C6500"/>
      <name val="宋体"/>
      <charset val="134"/>
      <scheme val="minor"/>
    </font>
    <font>
      <sz val="11"/>
      <color rgb="FFFA7D00"/>
      <name val="宋体"/>
      <charset val="134"/>
      <scheme val="minor"/>
    </font>
    <font>
      <b/>
      <sz val="13"/>
      <color theme="3"/>
      <name val="宋体"/>
      <charset val="134"/>
      <scheme val="minor"/>
    </font>
    <font>
      <b/>
      <sz val="15"/>
      <color theme="3"/>
      <name val="宋体"/>
      <charset val="134"/>
      <scheme val="minor"/>
    </font>
    <font>
      <sz val="11"/>
      <color rgb="FFFF0000"/>
      <name val="宋体"/>
      <charset val="134"/>
      <scheme val="minor"/>
    </font>
    <font>
      <b/>
      <sz val="11"/>
      <color rgb="FFFA7D00"/>
      <name val="宋体"/>
      <charset val="134"/>
      <scheme val="minor"/>
    </font>
    <font>
      <b/>
      <sz val="15"/>
      <color indexed="56"/>
      <name val="宋体"/>
      <charset val="134"/>
    </font>
    <font>
      <sz val="10"/>
      <name val="Arial"/>
      <charset val="134"/>
    </font>
  </fonts>
  <fills count="39">
    <fill>
      <patternFill patternType="none"/>
    </fill>
    <fill>
      <patternFill patternType="gray125"/>
    </fill>
    <fill>
      <patternFill patternType="solid">
        <fgColor theme="5" tint="0.8"/>
        <bgColor indexed="64"/>
      </patternFill>
    </fill>
    <fill>
      <patternFill patternType="solid">
        <fgColor theme="2" tint="-0.1"/>
        <bgColor indexed="64"/>
      </patternFill>
    </fill>
    <fill>
      <patternFill patternType="solid">
        <fgColor theme="7" tint="0.8"/>
        <bgColor indexed="64"/>
      </patternFill>
    </fill>
    <fill>
      <patternFill patternType="solid">
        <fgColor theme="0" tint="-0.05"/>
        <bgColor indexed="64"/>
      </patternFill>
    </fill>
    <fill>
      <patternFill patternType="solid">
        <fgColor theme="4" tint="0.8"/>
        <bgColor indexed="64"/>
      </patternFill>
    </fill>
    <fill>
      <patternFill patternType="solid">
        <fgColor theme="9"/>
        <bgColor indexed="64"/>
      </patternFill>
    </fill>
    <fill>
      <patternFill patternType="solid">
        <fgColor theme="8" tint="0.599993896298105"/>
        <bgColor indexed="64"/>
      </patternFill>
    </fill>
    <fill>
      <patternFill patternType="solid">
        <fgColor theme="9" tint="0.599993896298105"/>
        <bgColor indexed="64"/>
      </patternFill>
    </fill>
    <fill>
      <patternFill patternType="solid">
        <fgColor theme="9" tint="0.799981688894314"/>
        <bgColor indexed="64"/>
      </patternFill>
    </fill>
    <fill>
      <patternFill patternType="solid">
        <fgColor rgb="FFFFFFCC"/>
        <bgColor indexed="64"/>
      </patternFill>
    </fill>
    <fill>
      <patternFill patternType="solid">
        <fgColor theme="5" tint="0.599993896298105"/>
        <bgColor indexed="64"/>
      </patternFill>
    </fill>
    <fill>
      <patternFill patternType="solid">
        <fgColor theme="6" tint="0.399975585192419"/>
        <bgColor indexed="64"/>
      </patternFill>
    </fill>
    <fill>
      <patternFill patternType="solid">
        <fgColor rgb="FFF2F2F2"/>
        <bgColor indexed="64"/>
      </patternFill>
    </fill>
    <fill>
      <patternFill patternType="solid">
        <fgColor theme="6"/>
        <bgColor indexed="64"/>
      </patternFill>
    </fill>
    <fill>
      <patternFill patternType="solid">
        <fgColor rgb="FFFFC7CE"/>
        <bgColor indexed="64"/>
      </patternFill>
    </fill>
    <fill>
      <patternFill patternType="solid">
        <fgColor indexed="26"/>
        <bgColor indexed="64"/>
      </patternFill>
    </fill>
    <fill>
      <patternFill patternType="solid">
        <fgColor rgb="FFC6EFCE"/>
        <bgColor indexed="64"/>
      </patternFill>
    </fill>
    <fill>
      <patternFill patternType="solid">
        <fgColor theme="4"/>
        <bgColor indexed="64"/>
      </patternFill>
    </fill>
    <fill>
      <patternFill patternType="solid">
        <fgColor theme="4" tint="0.399975585192419"/>
        <bgColor indexed="64"/>
      </patternFill>
    </fill>
    <fill>
      <patternFill patternType="solid">
        <fgColor theme="5"/>
        <bgColor indexed="64"/>
      </patternFill>
    </fill>
    <fill>
      <patternFill patternType="solid">
        <fgColor theme="5" tint="0.399975585192419"/>
        <bgColor indexed="64"/>
      </patternFill>
    </fill>
    <fill>
      <patternFill patternType="solid">
        <fgColor theme="8" tint="0.399975585192419"/>
        <bgColor indexed="64"/>
      </patternFill>
    </fill>
    <fill>
      <patternFill patternType="solid">
        <fgColor rgb="FFFFCC99"/>
        <bgColor indexed="64"/>
      </patternFill>
    </fill>
    <fill>
      <patternFill patternType="solid">
        <fgColor theme="7" tint="0.399975585192419"/>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rgb="FFA5A5A5"/>
        <bgColor indexed="64"/>
      </patternFill>
    </fill>
    <fill>
      <patternFill patternType="solid">
        <fgColor rgb="FFFFEB9C"/>
        <bgColor indexed="64"/>
      </patternFill>
    </fill>
    <fill>
      <patternFill patternType="solid">
        <fgColor theme="5" tint="0.799981688894314"/>
        <bgColor indexed="64"/>
      </patternFill>
    </fill>
    <fill>
      <patternFill patternType="solid">
        <fgColor theme="8" tint="0.799981688894314"/>
        <bgColor indexed="64"/>
      </patternFill>
    </fill>
    <fill>
      <patternFill patternType="solid">
        <fgColor theme="7" tint="0.799981688894314"/>
        <bgColor indexed="64"/>
      </patternFill>
    </fill>
    <fill>
      <patternFill patternType="solid">
        <fgColor theme="9" tint="0.399975585192419"/>
        <bgColor indexed="64"/>
      </patternFill>
    </fill>
    <fill>
      <patternFill patternType="solid">
        <fgColor theme="4" tint="0.599993896298105"/>
        <bgColor indexed="64"/>
      </patternFill>
    </fill>
    <fill>
      <patternFill patternType="solid">
        <fgColor theme="7" tint="0.599993896298105"/>
        <bgColor indexed="64"/>
      </patternFill>
    </fill>
    <fill>
      <patternFill patternType="solid">
        <fgColor theme="7"/>
        <bgColor indexed="64"/>
      </patternFill>
    </fill>
    <fill>
      <patternFill patternType="solid">
        <fgColor theme="8"/>
        <bgColor indexed="64"/>
      </patternFill>
    </fill>
    <fill>
      <patternFill patternType="solid">
        <fgColor theme="4" tint="0.799981688894314"/>
        <bgColor indexed="64"/>
      </patternFill>
    </fill>
  </fills>
  <borders count="12">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style="thin">
        <color indexed="22"/>
      </left>
      <right style="thin">
        <color indexed="22"/>
      </right>
      <top style="thin">
        <color indexed="22"/>
      </top>
      <bottom style="thin">
        <color indexed="22"/>
      </bottom>
      <diagonal/>
    </border>
    <border>
      <left/>
      <right/>
      <top style="thin">
        <color theme="4"/>
      </top>
      <bottom style="double">
        <color theme="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bottom style="medium">
        <color theme="4"/>
      </bottom>
      <diagonal/>
    </border>
    <border>
      <left/>
      <right/>
      <top/>
      <bottom style="medium">
        <color theme="4" tint="0.499984740745262"/>
      </bottom>
      <diagonal/>
    </border>
    <border>
      <left/>
      <right/>
      <top/>
      <bottom style="thick">
        <color indexed="62"/>
      </bottom>
      <diagonal/>
    </border>
  </borders>
  <cellStyleXfs count="80">
    <xf numFmtId="0" fontId="0" fillId="0" borderId="0">
      <alignment vertical="center"/>
    </xf>
    <xf numFmtId="0" fontId="0" fillId="0" borderId="0"/>
    <xf numFmtId="0" fontId="25" fillId="17" borderId="4" applyNumberFormat="0" applyFont="0" applyAlignment="0" applyProtection="0">
      <alignment vertical="center"/>
    </xf>
    <xf numFmtId="0" fontId="25" fillId="0" borderId="0">
      <alignment vertical="center"/>
    </xf>
    <xf numFmtId="0" fontId="37" fillId="0" borderId="11" applyNumberFormat="0" applyFill="0" applyAlignment="0" applyProtection="0">
      <alignment vertical="center"/>
    </xf>
    <xf numFmtId="0" fontId="2" fillId="0" borderId="0">
      <alignment vertical="center"/>
    </xf>
    <xf numFmtId="0" fontId="38" fillId="0" borderId="0" applyProtection="0"/>
    <xf numFmtId="0" fontId="0" fillId="0" borderId="0"/>
    <xf numFmtId="0" fontId="25" fillId="0" borderId="0">
      <alignment vertical="center"/>
    </xf>
    <xf numFmtId="0" fontId="0" fillId="0" borderId="0">
      <alignment vertical="center"/>
    </xf>
    <xf numFmtId="0" fontId="0" fillId="0" borderId="0" applyProtection="0">
      <alignment vertical="center"/>
    </xf>
    <xf numFmtId="0" fontId="0" fillId="0" borderId="0"/>
    <xf numFmtId="0" fontId="2" fillId="0" borderId="0">
      <alignment vertical="center"/>
    </xf>
    <xf numFmtId="0" fontId="0" fillId="0" borderId="0"/>
    <xf numFmtId="0" fontId="0" fillId="0" borderId="0">
      <alignment vertical="center"/>
    </xf>
    <xf numFmtId="0" fontId="0" fillId="0" borderId="0">
      <alignment vertical="center"/>
    </xf>
    <xf numFmtId="0" fontId="2" fillId="0" borderId="0">
      <alignment vertical="center"/>
    </xf>
    <xf numFmtId="9" fontId="2" fillId="0" borderId="0" applyFont="0" applyFill="0" applyBorder="0" applyAlignment="0" applyProtection="0">
      <alignment vertical="center"/>
    </xf>
    <xf numFmtId="0" fontId="17" fillId="33" borderId="0" applyNumberFormat="0" applyBorder="0" applyAlignment="0" applyProtection="0">
      <alignment vertical="center"/>
    </xf>
    <xf numFmtId="0" fontId="25" fillId="0" borderId="0">
      <alignment vertical="center"/>
    </xf>
    <xf numFmtId="0" fontId="2" fillId="32" borderId="0" applyNumberFormat="0" applyBorder="0" applyAlignment="0" applyProtection="0">
      <alignment vertical="center"/>
    </xf>
    <xf numFmtId="0" fontId="0" fillId="0" borderId="0">
      <alignment vertical="center"/>
    </xf>
    <xf numFmtId="0" fontId="17" fillId="36" borderId="0" applyNumberFormat="0" applyBorder="0" applyAlignment="0" applyProtection="0">
      <alignment vertical="center"/>
    </xf>
    <xf numFmtId="0" fontId="29" fillId="24" borderId="6" applyNumberFormat="0" applyAlignment="0" applyProtection="0">
      <alignment vertical="center"/>
    </xf>
    <xf numFmtId="0" fontId="2" fillId="27" borderId="0" applyNumberFormat="0" applyBorder="0" applyAlignment="0" applyProtection="0">
      <alignment vertical="center"/>
    </xf>
    <xf numFmtId="0" fontId="2" fillId="26" borderId="0" applyNumberFormat="0" applyBorder="0" applyAlignment="0" applyProtection="0">
      <alignment vertical="center"/>
    </xf>
    <xf numFmtId="44" fontId="0" fillId="0" borderId="0" applyFont="0" applyFill="0" applyBorder="0" applyAlignment="0" applyProtection="0">
      <alignment vertical="center"/>
    </xf>
    <xf numFmtId="0" fontId="17" fillId="15" borderId="0" applyNumberFormat="0" applyBorder="0" applyAlignment="0" applyProtection="0">
      <alignment vertical="center"/>
    </xf>
    <xf numFmtId="9" fontId="0" fillId="0" borderId="0" applyFont="0" applyFill="0" applyBorder="0" applyAlignment="0" applyProtection="0">
      <alignment vertical="center"/>
    </xf>
    <xf numFmtId="0" fontId="17" fillId="22" borderId="0" applyNumberFormat="0" applyBorder="0" applyAlignment="0" applyProtection="0">
      <alignment vertical="center"/>
    </xf>
    <xf numFmtId="0" fontId="17" fillId="23" borderId="0" applyNumberFormat="0" applyBorder="0" applyAlignment="0" applyProtection="0">
      <alignment vertical="center"/>
    </xf>
    <xf numFmtId="0" fontId="17" fillId="21" borderId="0" applyNumberFormat="0" applyBorder="0" applyAlignment="0" applyProtection="0">
      <alignment vertical="center"/>
    </xf>
    <xf numFmtId="0" fontId="17" fillId="20" borderId="0" applyNumberFormat="0" applyBorder="0" applyAlignment="0" applyProtection="0">
      <alignment vertical="center"/>
    </xf>
    <xf numFmtId="0" fontId="17" fillId="25" borderId="0" applyNumberFormat="0" applyBorder="0" applyAlignment="0" applyProtection="0">
      <alignment vertical="center"/>
    </xf>
    <xf numFmtId="0" fontId="36" fillId="14" borderId="6" applyNumberFormat="0" applyAlignment="0" applyProtection="0">
      <alignment vertical="center"/>
    </xf>
    <xf numFmtId="0" fontId="17" fillId="19" borderId="0" applyNumberFormat="0" applyBorder="0" applyAlignment="0" applyProtection="0">
      <alignment vertical="center"/>
    </xf>
    <xf numFmtId="0" fontId="31" fillId="29" borderId="0" applyNumberFormat="0" applyBorder="0" applyAlignment="0" applyProtection="0">
      <alignment vertical="center"/>
    </xf>
    <xf numFmtId="0" fontId="2" fillId="31" borderId="0" applyNumberFormat="0" applyBorder="0" applyAlignment="0" applyProtection="0">
      <alignment vertical="center"/>
    </xf>
    <xf numFmtId="0" fontId="27" fillId="0" borderId="0"/>
    <xf numFmtId="0" fontId="26" fillId="18" borderId="0" applyNumberFormat="0" applyBorder="0" applyAlignment="0" applyProtection="0">
      <alignment vertical="center"/>
    </xf>
    <xf numFmtId="0" fontId="2" fillId="38" borderId="0" applyNumberFormat="0" applyBorder="0" applyAlignment="0" applyProtection="0">
      <alignment vertical="center"/>
    </xf>
    <xf numFmtId="0" fontId="5" fillId="0" borderId="5" applyNumberFormat="0" applyFill="0" applyAlignment="0" applyProtection="0">
      <alignment vertical="center"/>
    </xf>
    <xf numFmtId="0" fontId="24" fillId="16" borderId="0" applyNumberFormat="0" applyBorder="0" applyAlignment="0" applyProtection="0">
      <alignment vertical="center"/>
    </xf>
    <xf numFmtId="0" fontId="30" fillId="28" borderId="7" applyNumberFormat="0" applyAlignment="0" applyProtection="0">
      <alignment vertical="center"/>
    </xf>
    <xf numFmtId="0" fontId="23" fillId="14" borderId="3" applyNumberFormat="0" applyAlignment="0" applyProtection="0">
      <alignment vertical="center"/>
    </xf>
    <xf numFmtId="0" fontId="34" fillId="0" borderId="9" applyNumberFormat="0" applyFill="0" applyAlignment="0" applyProtection="0">
      <alignment vertical="center"/>
    </xf>
    <xf numFmtId="0" fontId="0" fillId="0" borderId="0">
      <alignment vertical="center"/>
    </xf>
    <xf numFmtId="0" fontId="22" fillId="0" borderId="0" applyNumberFormat="0" applyFill="0" applyBorder="0" applyAlignment="0" applyProtection="0">
      <alignment vertical="center"/>
    </xf>
    <xf numFmtId="0" fontId="2" fillId="30" borderId="0" applyNumberFormat="0" applyBorder="0" applyAlignment="0" applyProtection="0">
      <alignment vertical="center"/>
    </xf>
    <xf numFmtId="0" fontId="0" fillId="0" borderId="0">
      <alignment vertical="center"/>
    </xf>
    <xf numFmtId="0" fontId="21" fillId="0" borderId="0" applyNumberFormat="0" applyFill="0" applyBorder="0" applyAlignment="0" applyProtection="0">
      <alignment vertical="center"/>
    </xf>
    <xf numFmtId="0" fontId="27" fillId="0" borderId="0"/>
    <xf numFmtId="42" fontId="0" fillId="0" borderId="0" applyFont="0" applyFill="0" applyBorder="0" applyAlignment="0" applyProtection="0">
      <alignment vertical="center"/>
    </xf>
    <xf numFmtId="0" fontId="2" fillId="35" borderId="0" applyNumberFormat="0" applyBorder="0" applyAlignment="0" applyProtection="0">
      <alignment vertical="center"/>
    </xf>
    <xf numFmtId="43" fontId="0" fillId="0" borderId="0" applyFont="0" applyFill="0" applyBorder="0" applyAlignment="0" applyProtection="0">
      <alignment vertical="center"/>
    </xf>
    <xf numFmtId="0" fontId="20" fillId="0" borderId="0" applyNumberFormat="0" applyFill="0" applyBorder="0" applyAlignment="0" applyProtection="0">
      <alignment vertical="center"/>
    </xf>
    <xf numFmtId="0" fontId="0" fillId="0" borderId="0">
      <alignment vertical="center"/>
    </xf>
    <xf numFmtId="0" fontId="19" fillId="0" borderId="0" applyNumberFormat="0" applyFill="0" applyBorder="0" applyAlignment="0" applyProtection="0">
      <alignment vertical="center"/>
    </xf>
    <xf numFmtId="0" fontId="2" fillId="12" borderId="0" applyNumberFormat="0" applyBorder="0" applyAlignment="0" applyProtection="0">
      <alignment vertical="center"/>
    </xf>
    <xf numFmtId="0" fontId="2" fillId="0" borderId="0">
      <alignment vertical="center"/>
    </xf>
    <xf numFmtId="0" fontId="0" fillId="0" borderId="0">
      <alignment vertical="center"/>
    </xf>
    <xf numFmtId="0" fontId="35" fillId="0" borderId="0" applyNumberFormat="0" applyFill="0" applyBorder="0" applyAlignment="0" applyProtection="0">
      <alignment vertical="center"/>
    </xf>
    <xf numFmtId="0" fontId="17" fillId="13" borderId="0" applyNumberFormat="0" applyBorder="0" applyAlignment="0" applyProtection="0">
      <alignment vertical="center"/>
    </xf>
    <xf numFmtId="0" fontId="18" fillId="11" borderId="2" applyNumberFormat="0" applyFont="0" applyAlignment="0" applyProtection="0">
      <alignment vertical="center"/>
    </xf>
    <xf numFmtId="0" fontId="2" fillId="10" borderId="0" applyNumberFormat="0" applyBorder="0" applyAlignment="0" applyProtection="0">
      <alignment vertical="center"/>
    </xf>
    <xf numFmtId="0" fontId="17" fillId="37" borderId="0" applyNumberFormat="0" applyBorder="0" applyAlignment="0" applyProtection="0">
      <alignment vertical="center"/>
    </xf>
    <xf numFmtId="0" fontId="2" fillId="9" borderId="0" applyNumberFormat="0" applyBorder="0" applyAlignment="0" applyProtection="0">
      <alignment vertical="center"/>
    </xf>
    <xf numFmtId="0" fontId="28" fillId="0" borderId="0" applyNumberFormat="0" applyFill="0" applyBorder="0" applyAlignment="0" applyProtection="0">
      <alignment vertical="center"/>
    </xf>
    <xf numFmtId="0" fontId="0" fillId="0" borderId="0">
      <alignment vertical="center"/>
    </xf>
    <xf numFmtId="41" fontId="0" fillId="0" borderId="0" applyFont="0" applyFill="0" applyBorder="0" applyAlignment="0" applyProtection="0">
      <alignment vertical="center"/>
    </xf>
    <xf numFmtId="0" fontId="0" fillId="0" borderId="0">
      <alignment vertical="center"/>
    </xf>
    <xf numFmtId="0" fontId="33" fillId="0" borderId="9" applyNumberFormat="0" applyFill="0" applyAlignment="0" applyProtection="0">
      <alignment vertical="center"/>
    </xf>
    <xf numFmtId="0" fontId="0" fillId="0" borderId="0">
      <alignment vertical="center"/>
    </xf>
    <xf numFmtId="0" fontId="2" fillId="8" borderId="0" applyNumberFormat="0" applyBorder="0" applyAlignment="0" applyProtection="0">
      <alignment vertical="center"/>
    </xf>
    <xf numFmtId="0" fontId="0" fillId="0" borderId="0"/>
    <xf numFmtId="0" fontId="21" fillId="0" borderId="10" applyNumberFormat="0" applyFill="0" applyAlignment="0" applyProtection="0">
      <alignment vertical="center"/>
    </xf>
    <xf numFmtId="0" fontId="17" fillId="7" borderId="0" applyNumberFormat="0" applyBorder="0" applyAlignment="0" applyProtection="0">
      <alignment vertical="center"/>
    </xf>
    <xf numFmtId="0" fontId="2" fillId="34" borderId="0" applyNumberFormat="0" applyBorder="0" applyAlignment="0" applyProtection="0">
      <alignment vertical="center"/>
    </xf>
    <xf numFmtId="0" fontId="2" fillId="0" borderId="0">
      <alignment vertical="center"/>
    </xf>
    <xf numFmtId="0" fontId="32" fillId="0" borderId="8" applyNumberFormat="0" applyFill="0" applyAlignment="0" applyProtection="0">
      <alignment vertical="center"/>
    </xf>
  </cellStyleXfs>
  <cellXfs count="69">
    <xf numFmtId="0" fontId="0" fillId="0" borderId="0" xfId="0">
      <alignment vertical="center"/>
    </xf>
    <xf numFmtId="0" fontId="1" fillId="0" borderId="0" xfId="0" applyFont="1" applyFill="1" applyBorder="1" applyAlignment="1">
      <alignment horizontal="center" vertical="center" wrapText="1"/>
    </xf>
    <xf numFmtId="49" fontId="1" fillId="0" borderId="0" xfId="0" applyNumberFormat="1" applyFont="1" applyFill="1" applyBorder="1" applyAlignment="1">
      <alignment horizontal="center" vertical="center" wrapText="1"/>
    </xf>
    <xf numFmtId="0" fontId="2" fillId="0" borderId="0" xfId="0" applyFont="1" applyFill="1" applyAlignment="1">
      <alignment vertical="center"/>
    </xf>
    <xf numFmtId="49" fontId="2" fillId="0" borderId="0" xfId="0" applyNumberFormat="1" applyFont="1" applyFill="1" applyBorder="1" applyAlignment="1">
      <alignment vertical="center"/>
    </xf>
    <xf numFmtId="0" fontId="2" fillId="0" borderId="0" xfId="0" applyFont="1" applyFill="1" applyBorder="1" applyAlignment="1">
      <alignment vertical="center"/>
    </xf>
    <xf numFmtId="0" fontId="3" fillId="0" borderId="0" xfId="0" applyFont="1" applyFill="1" applyBorder="1" applyAlignment="1">
      <alignment vertical="center" wrapText="1"/>
    </xf>
    <xf numFmtId="0" fontId="4" fillId="0" borderId="0" xfId="0" applyFont="1" applyFill="1">
      <alignment vertical="center"/>
    </xf>
    <xf numFmtId="0" fontId="5" fillId="0" borderId="0" xfId="0" applyFont="1" applyFill="1" applyBorder="1" applyAlignment="1">
      <alignment vertical="center" wrapText="1"/>
    </xf>
    <xf numFmtId="0" fontId="6" fillId="0" borderId="0" xfId="0" applyFont="1" applyFill="1" applyBorder="1" applyAlignment="1">
      <alignment vertical="center" wrapText="1"/>
    </xf>
    <xf numFmtId="0" fontId="7" fillId="0" borderId="0" xfId="0" applyFont="1">
      <alignment vertical="center"/>
    </xf>
    <xf numFmtId="0" fontId="2" fillId="0" borderId="0" xfId="0" applyFont="1" applyFill="1" applyBorder="1" applyAlignment="1">
      <alignment horizontal="center" vertical="center" wrapText="1"/>
    </xf>
    <xf numFmtId="0" fontId="2" fillId="0" borderId="0" xfId="0" applyFont="1" applyFill="1" applyBorder="1" applyAlignment="1">
      <alignment horizontal="left" vertical="center" wrapText="1"/>
    </xf>
    <xf numFmtId="0" fontId="2" fillId="0" borderId="0" xfId="0" applyNumberFormat="1" applyFont="1" applyFill="1" applyBorder="1" applyAlignment="1">
      <alignment horizontal="center" vertical="center" wrapText="1"/>
    </xf>
    <xf numFmtId="0" fontId="2" fillId="0" borderId="0" xfId="0" applyFont="1" applyFill="1" applyBorder="1" applyAlignment="1">
      <alignment vertical="center" wrapText="1"/>
    </xf>
    <xf numFmtId="0" fontId="8" fillId="0" borderId="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0" fillId="0" borderId="1" xfId="0" applyFont="1" applyFill="1" applyBorder="1" applyAlignment="1">
      <alignment horizontal="center" vertical="center" wrapText="1"/>
    </xf>
    <xf numFmtId="0" fontId="7" fillId="0" borderId="1" xfId="0" applyFont="1" applyFill="1" applyBorder="1" applyAlignment="1">
      <alignment horizontal="center" vertical="center" wrapText="1"/>
    </xf>
    <xf numFmtId="0" fontId="7" fillId="0" borderId="1" xfId="0" applyFont="1" applyFill="1" applyBorder="1" applyAlignment="1">
      <alignment vertical="center" wrapText="1"/>
    </xf>
    <xf numFmtId="0" fontId="8" fillId="0" borderId="0" xfId="0" applyFont="1" applyFill="1" applyBorder="1" applyAlignment="1">
      <alignment horizontal="left" vertical="center" wrapText="1"/>
    </xf>
    <xf numFmtId="0" fontId="9" fillId="2" borderId="1" xfId="0" applyFont="1" applyFill="1" applyBorder="1" applyAlignment="1">
      <alignment horizontal="left" vertical="center" wrapText="1"/>
    </xf>
    <xf numFmtId="0" fontId="7" fillId="0" borderId="1" xfId="0" applyFont="1" applyFill="1" applyBorder="1" applyAlignment="1">
      <alignment horizontal="left" vertical="center" wrapText="1"/>
    </xf>
    <xf numFmtId="0" fontId="11" fillId="2" borderId="1" xfId="0" applyFont="1" applyFill="1" applyBorder="1" applyAlignment="1">
      <alignment horizontal="center" vertical="center" wrapText="1"/>
    </xf>
    <xf numFmtId="0" fontId="11" fillId="3" borderId="1" xfId="0" applyFont="1" applyFill="1" applyBorder="1" applyAlignment="1">
      <alignment horizontal="center" vertical="center" wrapText="1"/>
    </xf>
    <xf numFmtId="0" fontId="7" fillId="2" borderId="1" xfId="0" applyFont="1" applyFill="1" applyBorder="1" applyAlignment="1">
      <alignment horizontal="center" vertical="center" wrapText="1"/>
    </xf>
    <xf numFmtId="177" fontId="7" fillId="3" borderId="1" xfId="0" applyNumberFormat="1" applyFont="1" applyFill="1" applyBorder="1" applyAlignment="1">
      <alignment horizontal="center" vertical="center" wrapText="1"/>
    </xf>
    <xf numFmtId="0" fontId="7" fillId="3" borderId="1" xfId="0" applyFont="1" applyFill="1" applyBorder="1" applyAlignment="1">
      <alignment horizontal="center" vertical="center" wrapText="1"/>
    </xf>
    <xf numFmtId="0" fontId="11" fillId="4" borderId="1" xfId="0" applyFont="1" applyFill="1" applyBorder="1" applyAlignment="1">
      <alignment horizontal="center" vertical="center" wrapText="1"/>
    </xf>
    <xf numFmtId="0" fontId="7" fillId="4" borderId="1" xfId="0" applyFont="1" applyFill="1" applyBorder="1" applyAlignment="1">
      <alignment horizontal="center" vertical="center" wrapText="1"/>
    </xf>
    <xf numFmtId="0" fontId="11" fillId="0" borderId="1" xfId="0" applyFont="1" applyFill="1" applyBorder="1" applyAlignment="1">
      <alignment horizontal="center" vertical="center" wrapText="1"/>
    </xf>
    <xf numFmtId="0" fontId="11" fillId="5" borderId="1" xfId="0" applyFont="1" applyFill="1" applyBorder="1" applyAlignment="1">
      <alignment horizontal="center" vertical="center" wrapText="1"/>
    </xf>
    <xf numFmtId="9" fontId="7" fillId="0" borderId="1" xfId="0" applyNumberFormat="1" applyFont="1" applyFill="1" applyBorder="1" applyAlignment="1">
      <alignment horizontal="center" vertical="center" wrapText="1"/>
    </xf>
    <xf numFmtId="0" fontId="7" fillId="5" borderId="1" xfId="0" applyFont="1" applyFill="1" applyBorder="1" applyAlignment="1">
      <alignment horizontal="center" vertical="center" wrapText="1"/>
    </xf>
    <xf numFmtId="0" fontId="9" fillId="6" borderId="1" xfId="0" applyFont="1" applyFill="1" applyBorder="1" applyAlignment="1">
      <alignment horizontal="center" vertical="center" wrapText="1"/>
    </xf>
    <xf numFmtId="0" fontId="11" fillId="0" borderId="1" xfId="51" applyFont="1" applyFill="1" applyBorder="1" applyAlignment="1" applyProtection="1">
      <alignment horizontal="center" vertical="center" wrapText="1"/>
      <protection locked="0"/>
    </xf>
    <xf numFmtId="43" fontId="11" fillId="0" borderId="1" xfId="54" applyNumberFormat="1" applyFont="1" applyFill="1" applyBorder="1" applyAlignment="1" applyProtection="1">
      <alignment horizontal="center" vertical="center" wrapText="1"/>
      <protection locked="0"/>
    </xf>
    <xf numFmtId="0" fontId="7" fillId="0" borderId="1" xfId="0" applyNumberFormat="1" applyFont="1" applyFill="1" applyBorder="1" applyAlignment="1">
      <alignment horizontal="center" vertical="center" wrapText="1"/>
    </xf>
    <xf numFmtId="49" fontId="7" fillId="0" borderId="1" xfId="0" applyNumberFormat="1" applyFont="1" applyFill="1" applyBorder="1" applyAlignment="1">
      <alignment horizontal="center" vertical="center" wrapText="1"/>
    </xf>
    <xf numFmtId="0" fontId="12" fillId="0" borderId="1" xfId="0" applyNumberFormat="1" applyFont="1" applyFill="1" applyBorder="1" applyAlignment="1">
      <alignment horizontal="center" vertical="center" wrapText="1"/>
    </xf>
    <xf numFmtId="49" fontId="12" fillId="0" borderId="1" xfId="0" applyNumberFormat="1" applyFont="1" applyFill="1" applyBorder="1" applyAlignment="1">
      <alignment horizontal="center" vertical="center" wrapText="1"/>
    </xf>
    <xf numFmtId="0" fontId="12" fillId="0" borderId="1" xfId="0" applyFont="1" applyFill="1" applyBorder="1" applyAlignment="1">
      <alignment vertical="center" wrapText="1"/>
    </xf>
    <xf numFmtId="0" fontId="7" fillId="4" borderId="1" xfId="0" applyNumberFormat="1" applyFont="1" applyFill="1" applyBorder="1" applyAlignment="1">
      <alignment horizontal="center" vertical="center" wrapText="1"/>
    </xf>
    <xf numFmtId="49" fontId="7" fillId="4" borderId="1" xfId="0" applyNumberFormat="1" applyFont="1" applyFill="1" applyBorder="1" applyAlignment="1">
      <alignment horizontal="center" vertical="center" wrapText="1"/>
    </xf>
    <xf numFmtId="0" fontId="7" fillId="4" borderId="1" xfId="0" applyFont="1" applyFill="1" applyBorder="1" applyAlignment="1">
      <alignment vertical="center" wrapText="1"/>
    </xf>
    <xf numFmtId="0" fontId="3" fillId="0" borderId="0" xfId="0" applyFont="1" applyFill="1" applyBorder="1" applyAlignment="1">
      <alignment horizontal="center" vertical="center" wrapText="1"/>
    </xf>
    <xf numFmtId="0" fontId="12" fillId="0" borderId="1" xfId="0" applyFont="1" applyFill="1" applyBorder="1" applyAlignment="1">
      <alignment horizontal="center" vertical="center" wrapText="1"/>
    </xf>
    <xf numFmtId="0" fontId="6" fillId="0" borderId="1" xfId="0" applyFont="1" applyFill="1" applyBorder="1" applyAlignment="1">
      <alignment horizontal="center" vertical="center" wrapText="1"/>
    </xf>
    <xf numFmtId="0" fontId="6" fillId="0" borderId="0" xfId="0" applyFont="1" applyFill="1" applyBorder="1" applyAlignment="1">
      <alignment horizontal="center" vertical="center" wrapText="1"/>
    </xf>
    <xf numFmtId="0" fontId="7" fillId="3" borderId="1" xfId="0" applyNumberFormat="1" applyFont="1" applyFill="1" applyBorder="1" applyAlignment="1">
      <alignment horizontal="center" vertical="center" wrapText="1"/>
    </xf>
    <xf numFmtId="49" fontId="13" fillId="0" borderId="1" xfId="0" applyNumberFormat="1" applyFont="1" applyFill="1" applyBorder="1" applyAlignment="1">
      <alignment horizontal="center" vertical="center" wrapText="1"/>
    </xf>
    <xf numFmtId="49" fontId="13" fillId="4" borderId="1" xfId="0" applyNumberFormat="1" applyFont="1" applyFill="1" applyBorder="1" applyAlignment="1">
      <alignment horizontal="center" vertical="center" wrapText="1"/>
    </xf>
    <xf numFmtId="0" fontId="13" fillId="0" borderId="1" xfId="0" applyNumberFormat="1" applyFont="1" applyFill="1" applyBorder="1" applyAlignment="1">
      <alignment horizontal="center" vertical="center" wrapText="1"/>
    </xf>
    <xf numFmtId="0" fontId="7" fillId="0" borderId="1" xfId="51" applyNumberFormat="1" applyFont="1" applyFill="1" applyBorder="1" applyAlignment="1">
      <alignment horizontal="center" vertical="center" wrapText="1"/>
    </xf>
    <xf numFmtId="0" fontId="14" fillId="0" borderId="1" xfId="0" applyNumberFormat="1" applyFont="1" applyFill="1" applyBorder="1" applyAlignment="1">
      <alignment horizontal="center" vertical="center" wrapText="1"/>
    </xf>
    <xf numFmtId="49" fontId="14" fillId="0" borderId="1" xfId="0" applyNumberFormat="1" applyFont="1" applyFill="1" applyBorder="1" applyAlignment="1">
      <alignment horizontal="center" vertical="center" wrapText="1"/>
    </xf>
    <xf numFmtId="0" fontId="14" fillId="0" borderId="1" xfId="0" applyFont="1" applyFill="1" applyBorder="1" applyAlignment="1">
      <alignment vertical="center" wrapText="1"/>
    </xf>
    <xf numFmtId="176" fontId="7" fillId="0" borderId="1" xfId="51" applyNumberFormat="1" applyFont="1" applyFill="1" applyBorder="1" applyAlignment="1">
      <alignment horizontal="center" vertical="center" wrapText="1"/>
    </xf>
    <xf numFmtId="0" fontId="14" fillId="0" borderId="1" xfId="0" applyFont="1" applyFill="1" applyBorder="1" applyAlignment="1">
      <alignment horizontal="center" vertical="center" wrapText="1"/>
    </xf>
    <xf numFmtId="0" fontId="14" fillId="4" borderId="1" xfId="0" applyNumberFormat="1" applyFont="1" applyFill="1" applyBorder="1" applyAlignment="1">
      <alignment horizontal="center" vertical="center" wrapText="1"/>
    </xf>
    <xf numFmtId="0" fontId="6" fillId="3" borderId="1" xfId="0" applyFont="1" applyFill="1" applyBorder="1" applyAlignment="1">
      <alignment horizontal="center" vertical="center" wrapText="1"/>
    </xf>
    <xf numFmtId="0" fontId="15" fillId="0" borderId="1" xfId="0" applyFont="1" applyFill="1" applyBorder="1" applyAlignment="1">
      <alignment horizontal="center" vertical="center" wrapText="1"/>
    </xf>
    <xf numFmtId="0" fontId="16" fillId="0" borderId="1" xfId="0" applyFont="1" applyFill="1" applyBorder="1" applyAlignment="1">
      <alignment horizontal="center" vertical="center" wrapText="1"/>
    </xf>
    <xf numFmtId="0" fontId="16" fillId="2" borderId="1" xfId="0" applyFont="1" applyFill="1" applyBorder="1" applyAlignment="1">
      <alignment horizontal="center" vertical="center" wrapText="1"/>
    </xf>
    <xf numFmtId="0" fontId="16" fillId="3" borderId="1" xfId="0" applyFont="1" applyFill="1" applyBorder="1" applyAlignment="1">
      <alignment horizontal="center" vertical="center" wrapText="1"/>
    </xf>
    <xf numFmtId="0" fontId="16" fillId="4" borderId="1" xfId="0" applyFont="1" applyFill="1" applyBorder="1" applyAlignment="1">
      <alignment horizontal="center" vertical="center" wrapText="1"/>
    </xf>
    <xf numFmtId="0" fontId="16" fillId="5" borderId="1" xfId="0" applyFont="1" applyFill="1" applyBorder="1" applyAlignment="1">
      <alignment horizontal="center" vertical="center" wrapText="1"/>
    </xf>
    <xf numFmtId="0" fontId="16" fillId="0" borderId="1" xfId="0" applyFont="1" applyFill="1" applyBorder="1" applyAlignment="1">
      <alignment horizontal="left" vertical="center" wrapText="1"/>
    </xf>
    <xf numFmtId="0" fontId="7" fillId="0" borderId="1" xfId="51" applyFont="1" applyFill="1" applyBorder="1" applyAlignment="1" applyProtection="1">
      <alignment horizontal="center" vertical="center" wrapText="1"/>
      <protection locked="0"/>
    </xf>
    <xf numFmtId="0" fontId="7" fillId="0" borderId="1" xfId="0" applyFont="1" applyFill="1" applyBorder="1" applyAlignment="1" quotePrefix="1">
      <alignment horizontal="center" vertical="center" wrapText="1"/>
    </xf>
  </cellXfs>
  <cellStyles count="80">
    <cellStyle name="常规" xfId="0" builtinId="0"/>
    <cellStyle name="常规 17 2" xfId="1"/>
    <cellStyle name="注释 2 6 4 2 4" xfId="2"/>
    <cellStyle name="常规_汇总 (3)" xfId="3"/>
    <cellStyle name="标题 1 2 7 3" xfId="4"/>
    <cellStyle name="常规 2 17" xfId="5"/>
    <cellStyle name="常规 4" xfId="6"/>
    <cellStyle name="常规 17" xfId="7"/>
    <cellStyle name="常规 4 5 3" xfId="8"/>
    <cellStyle name="常规_Sheet1" xfId="9"/>
    <cellStyle name="常规 5 2" xfId="10"/>
    <cellStyle name="汇总 2 7 23" xfId="11"/>
    <cellStyle name="常规 3 2" xfId="12"/>
    <cellStyle name="常规 5" xfId="13"/>
    <cellStyle name="常规 2 7" xfId="14"/>
    <cellStyle name="常规 2 5" xfId="15"/>
    <cellStyle name="常规 2" xfId="16"/>
    <cellStyle name="百分比 2" xfId="17"/>
    <cellStyle name="60% - 强调文字颜色 6" xfId="18" builtinId="52"/>
    <cellStyle name="常规 2 2 10" xfId="19"/>
    <cellStyle name="20% - 强调文字颜色 4" xfId="20" builtinId="42"/>
    <cellStyle name="常规 2 3 2" xfId="21"/>
    <cellStyle name="强调文字颜色 4" xfId="22" builtinId="41"/>
    <cellStyle name="输入" xfId="23" builtinId="20"/>
    <cellStyle name="40% - 强调文字颜色 3" xfId="24" builtinId="39"/>
    <cellStyle name="20% - 强调文字颜色 3" xfId="25" builtinId="38"/>
    <cellStyle name="货币" xfId="26" builtinId="4"/>
    <cellStyle name="强调文字颜色 3" xfId="27" builtinId="37"/>
    <cellStyle name="百分比" xfId="28" builtinId="5"/>
    <cellStyle name="60% - 强调文字颜色 2" xfId="29" builtinId="36"/>
    <cellStyle name="60% - 强调文字颜色 5" xfId="30" builtinId="48"/>
    <cellStyle name="强调文字颜色 2" xfId="31" builtinId="33"/>
    <cellStyle name="60% - 强调文字颜色 1" xfId="32" builtinId="32"/>
    <cellStyle name="60% - 强调文字颜色 4" xfId="33" builtinId="44"/>
    <cellStyle name="计算" xfId="34" builtinId="22"/>
    <cellStyle name="强调文字颜色 1" xfId="35" builtinId="29"/>
    <cellStyle name="适中" xfId="36" builtinId="28"/>
    <cellStyle name="20% - 强调文字颜色 5" xfId="37" builtinId="46"/>
    <cellStyle name="常规 18" xfId="38"/>
    <cellStyle name="好" xfId="39" builtinId="26"/>
    <cellStyle name="20% - 强调文字颜色 1" xfId="40" builtinId="30"/>
    <cellStyle name="汇总" xfId="41" builtinId="25"/>
    <cellStyle name="差" xfId="42" builtinId="27"/>
    <cellStyle name="检查单元格" xfId="43" builtinId="23"/>
    <cellStyle name="输出" xfId="44" builtinId="21"/>
    <cellStyle name="标题 1" xfId="45" builtinId="16"/>
    <cellStyle name="常规 2 8" xfId="46"/>
    <cellStyle name="解释性文本" xfId="47" builtinId="53"/>
    <cellStyle name="20% - 强调文字颜色 2" xfId="48" builtinId="34"/>
    <cellStyle name="常规 2 12" xfId="49"/>
    <cellStyle name="标题 4" xfId="50" builtinId="19"/>
    <cellStyle name="常规 10" xfId="51"/>
    <cellStyle name="货币[0]" xfId="52" builtinId="7"/>
    <cellStyle name="40% - 强调文字颜色 4" xfId="53" builtinId="43"/>
    <cellStyle name="千位分隔" xfId="54" builtinId="3"/>
    <cellStyle name="已访问的超链接" xfId="55" builtinId="9"/>
    <cellStyle name="常规 2 6" xfId="56"/>
    <cellStyle name="标题" xfId="57" builtinId="15"/>
    <cellStyle name="40% - 强调文字颜色 2" xfId="58" builtinId="35"/>
    <cellStyle name="常规 10 2" xfId="59"/>
    <cellStyle name="常规 2 9" xfId="60"/>
    <cellStyle name="警告文本" xfId="61" builtinId="11"/>
    <cellStyle name="60% - 强调文字颜色 3" xfId="62" builtinId="40"/>
    <cellStyle name="注释" xfId="63" builtinId="10"/>
    <cellStyle name="20% - 强调文字颜色 6" xfId="64" builtinId="50"/>
    <cellStyle name="强调文字颜色 5" xfId="65" builtinId="45"/>
    <cellStyle name="40% - 强调文字颜色 6" xfId="66" builtinId="51"/>
    <cellStyle name="超链接" xfId="67" builtinId="8"/>
    <cellStyle name="常规 2 13" xfId="68"/>
    <cellStyle name="千位分隔[0]" xfId="69" builtinId="6"/>
    <cellStyle name="常规 2 10" xfId="70"/>
    <cellStyle name="标题 2" xfId="71" builtinId="17"/>
    <cellStyle name="常规 2 3" xfId="72"/>
    <cellStyle name="40% - 强调文字颜色 5" xfId="73" builtinId="47"/>
    <cellStyle name="常规 8 3 2 2 2 2" xfId="74"/>
    <cellStyle name="标题 3" xfId="75" builtinId="18"/>
    <cellStyle name="强调文字颜色 6" xfId="76" builtinId="49"/>
    <cellStyle name="40% - 强调文字颜色 1" xfId="77" builtinId="31"/>
    <cellStyle name="常规 3" xfId="78"/>
    <cellStyle name="链接单元格" xfId="79" builtinId="24"/>
  </cellStyles>
  <dxfs count="1">
    <dxf>
      <fill>
        <patternFill patternType="solid">
          <bgColor rgb="FFFF9900"/>
        </patternFill>
      </fill>
    </dxf>
  </dxfs>
  <tableStyles count="0" defaultTableStyle="TableStyleMedium2" defaultPivotStyle="PivotStyleLight16"/>
  <colors>
    <mruColors>
      <color rgb="00339966"/>
      <color rgb="000066CC"/>
      <color rgb="00FF0000"/>
      <color rgb="00FFF2CC"/>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haredStrings" Target="sharedStrings.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I132"/>
  <sheetViews>
    <sheetView topLeftCell="F1" workbookViewId="0">
      <pane ySplit="3" topLeftCell="A125" activePane="bottomLeft" state="frozen"/>
      <selection/>
      <selection pane="bottomLeft" activeCell="N121" sqref="N121:P132"/>
    </sheetView>
  </sheetViews>
  <sheetFormatPr defaultColWidth="21.9416666666667" defaultRowHeight="14.25"/>
  <cols>
    <col min="1" max="1" width="5.125" style="11" customWidth="1"/>
    <col min="2" max="2" width="17.75" style="11" customWidth="1"/>
    <col min="3" max="3" width="22.5" style="11" customWidth="1"/>
    <col min="4" max="4" width="5.25" style="11" customWidth="1"/>
    <col min="5" max="5" width="17.125" style="12" customWidth="1"/>
    <col min="6" max="6" width="21.125" style="12" customWidth="1"/>
    <col min="7" max="7" width="4.625" style="11" customWidth="1"/>
    <col min="8" max="8" width="33.125" style="11" customWidth="1"/>
    <col min="9" max="10" width="7.875" style="11" customWidth="1"/>
    <col min="11" max="16" width="7.75" style="11" customWidth="1"/>
    <col min="17" max="19" width="5.875" style="11" hidden="1" customWidth="1"/>
    <col min="20" max="20" width="6.875" style="11" customWidth="1"/>
    <col min="21" max="21" width="22.375" style="12" customWidth="1"/>
    <col min="22" max="22" width="15.5" style="13" customWidth="1"/>
    <col min="23" max="23" width="12.5" style="11" customWidth="1"/>
    <col min="24" max="24" width="33.75" style="14" customWidth="1"/>
    <col min="25" max="25" width="28.875" style="14" hidden="1" customWidth="1"/>
    <col min="26" max="26" width="23.625" style="14" hidden="1" customWidth="1"/>
    <col min="27" max="27" width="4.75" style="11" customWidth="1"/>
    <col min="28" max="28" width="23.125" style="14" hidden="1" customWidth="1"/>
    <col min="29" max="31" width="8.25" style="11" customWidth="1"/>
    <col min="32" max="33" width="6.5" style="11" hidden="1" customWidth="1"/>
    <col min="34" max="38" width="12.875" style="14" customWidth="1"/>
    <col min="39" max="16370" width="21.9416666666667" style="14" customWidth="1"/>
    <col min="16371" max="16384" width="21.9416666666667" style="14"/>
  </cols>
  <sheetData>
    <row r="1" s="6" customFormat="1" ht="52" customHeight="1" spans="1:33">
      <c r="A1" s="15" t="s">
        <v>0</v>
      </c>
      <c r="B1" s="15"/>
      <c r="C1" s="15"/>
      <c r="D1" s="15"/>
      <c r="E1" s="20"/>
      <c r="F1" s="20"/>
      <c r="G1" s="15"/>
      <c r="H1" s="15"/>
      <c r="I1" s="15"/>
      <c r="J1" s="15"/>
      <c r="K1" s="15"/>
      <c r="L1" s="15"/>
      <c r="M1" s="15"/>
      <c r="N1" s="15"/>
      <c r="O1" s="15"/>
      <c r="P1" s="15"/>
      <c r="Q1" s="15"/>
      <c r="R1" s="15"/>
      <c r="S1" s="15"/>
      <c r="T1" s="15"/>
      <c r="U1" s="20"/>
      <c r="V1" s="15"/>
      <c r="W1" s="15"/>
      <c r="X1" s="15"/>
      <c r="AA1" s="45"/>
      <c r="AC1" s="45"/>
      <c r="AD1" s="45"/>
      <c r="AE1" s="45"/>
      <c r="AF1" s="45"/>
      <c r="AG1" s="45"/>
    </row>
    <row r="2" s="7" customFormat="1" ht="37" customHeight="1" spans="1:33">
      <c r="A2" s="16" t="s">
        <v>1</v>
      </c>
      <c r="B2" s="16"/>
      <c r="C2" s="16"/>
      <c r="D2" s="16"/>
      <c r="E2" s="21"/>
      <c r="F2" s="21"/>
      <c r="G2" s="16"/>
      <c r="H2" s="16"/>
      <c r="I2" s="16"/>
      <c r="J2" s="16"/>
      <c r="K2" s="16"/>
      <c r="L2" s="16"/>
      <c r="M2" s="16"/>
      <c r="N2" s="16"/>
      <c r="O2" s="16"/>
      <c r="P2" s="16"/>
      <c r="Q2" s="16"/>
      <c r="R2" s="16"/>
      <c r="S2" s="16"/>
      <c r="T2" s="16"/>
      <c r="U2" s="21"/>
      <c r="V2" s="34" t="s">
        <v>2</v>
      </c>
      <c r="W2" s="34"/>
      <c r="X2" s="34"/>
      <c r="Y2" s="34"/>
      <c r="Z2" s="34"/>
      <c r="AA2" s="34"/>
      <c r="AB2" s="34"/>
      <c r="AC2" s="34"/>
      <c r="AD2" s="34"/>
      <c r="AE2" s="34"/>
      <c r="AF2" s="34"/>
      <c r="AG2" s="34"/>
    </row>
    <row r="3" s="8" customFormat="1" ht="48" customHeight="1" spans="1:33">
      <c r="A3" s="17" t="s">
        <v>3</v>
      </c>
      <c r="B3" s="17" t="s">
        <v>4</v>
      </c>
      <c r="C3" s="17" t="s">
        <v>5</v>
      </c>
      <c r="D3" s="17" t="s">
        <v>6</v>
      </c>
      <c r="E3" s="17" t="s">
        <v>7</v>
      </c>
      <c r="F3" s="17" t="s">
        <v>8</v>
      </c>
      <c r="G3" s="17" t="s">
        <v>9</v>
      </c>
      <c r="H3" s="17" t="s">
        <v>10</v>
      </c>
      <c r="I3" s="23" t="s">
        <v>11</v>
      </c>
      <c r="J3" s="23" t="s">
        <v>12</v>
      </c>
      <c r="K3" s="24" t="s">
        <v>13</v>
      </c>
      <c r="L3" s="24" t="s">
        <v>14</v>
      </c>
      <c r="M3" s="24" t="s">
        <v>15</v>
      </c>
      <c r="N3" s="28" t="s">
        <v>16</v>
      </c>
      <c r="O3" s="28" t="s">
        <v>17</v>
      </c>
      <c r="P3" s="28" t="s">
        <v>18</v>
      </c>
      <c r="Q3" s="30" t="s">
        <v>19</v>
      </c>
      <c r="R3" s="30" t="s">
        <v>20</v>
      </c>
      <c r="S3" s="30" t="s">
        <v>21</v>
      </c>
      <c r="T3" s="31" t="s">
        <v>22</v>
      </c>
      <c r="U3" s="30" t="s">
        <v>23</v>
      </c>
      <c r="V3" s="35" t="s">
        <v>24</v>
      </c>
      <c r="W3" s="35" t="s">
        <v>25</v>
      </c>
      <c r="X3" s="36" t="s">
        <v>5</v>
      </c>
      <c r="Y3" s="35" t="s">
        <v>26</v>
      </c>
      <c r="Z3" s="35" t="s">
        <v>27</v>
      </c>
      <c r="AA3" s="35" t="s">
        <v>9</v>
      </c>
      <c r="AB3" s="35" t="s">
        <v>28</v>
      </c>
      <c r="AC3" s="28" t="s">
        <v>29</v>
      </c>
      <c r="AD3" s="28" t="s">
        <v>30</v>
      </c>
      <c r="AE3" s="28" t="s">
        <v>31</v>
      </c>
      <c r="AF3" s="30" t="s">
        <v>32</v>
      </c>
      <c r="AG3" s="30" t="s">
        <v>21</v>
      </c>
    </row>
    <row r="4" s="9" customFormat="1" ht="24" customHeight="1" spans="1:33">
      <c r="A4" s="18">
        <v>1</v>
      </c>
      <c r="B4" s="18" t="s">
        <v>33</v>
      </c>
      <c r="C4" s="18" t="s">
        <v>34</v>
      </c>
      <c r="D4" s="18" t="s">
        <v>35</v>
      </c>
      <c r="E4" s="22" t="s">
        <v>36</v>
      </c>
      <c r="F4" s="22" t="s">
        <v>37</v>
      </c>
      <c r="G4" s="18" t="s">
        <v>38</v>
      </c>
      <c r="H4" s="22" t="s">
        <v>39</v>
      </c>
      <c r="I4" s="25">
        <v>1500</v>
      </c>
      <c r="J4" s="25">
        <v>1350</v>
      </c>
      <c r="K4" s="26">
        <v>1700.53304324177</v>
      </c>
      <c r="L4" s="27"/>
      <c r="M4" s="27"/>
      <c r="N4" s="29">
        <v>1450</v>
      </c>
      <c r="O4" s="29">
        <v>1350</v>
      </c>
      <c r="P4" s="29">
        <v>1150</v>
      </c>
      <c r="Q4" s="18" t="s">
        <v>40</v>
      </c>
      <c r="R4" s="18" t="s">
        <v>41</v>
      </c>
      <c r="S4" s="32">
        <v>0.05</v>
      </c>
      <c r="T4" s="33" t="s">
        <v>42</v>
      </c>
      <c r="U4" s="22" t="s">
        <v>43</v>
      </c>
      <c r="V4" s="37" t="s">
        <v>44</v>
      </c>
      <c r="W4" s="38">
        <v>240600004</v>
      </c>
      <c r="X4" s="19" t="s">
        <v>45</v>
      </c>
      <c r="Y4" s="19" t="s">
        <v>46</v>
      </c>
      <c r="Z4" s="19" t="s">
        <v>41</v>
      </c>
      <c r="AA4" s="18" t="s">
        <v>38</v>
      </c>
      <c r="AB4" s="19" t="s">
        <v>41</v>
      </c>
      <c r="AC4" s="42">
        <v>1200</v>
      </c>
      <c r="AD4" s="42">
        <v>1200</v>
      </c>
      <c r="AE4" s="42">
        <v>1020</v>
      </c>
      <c r="AF4" s="18" t="s">
        <v>40</v>
      </c>
      <c r="AG4" s="47" t="s">
        <v>41</v>
      </c>
    </row>
    <row r="5" s="9" customFormat="1" ht="24" customHeight="1" spans="1:33">
      <c r="A5" s="18"/>
      <c r="B5" s="18"/>
      <c r="C5" s="18"/>
      <c r="D5" s="18"/>
      <c r="E5" s="22"/>
      <c r="F5" s="22"/>
      <c r="G5" s="18"/>
      <c r="H5" s="22"/>
      <c r="I5" s="25"/>
      <c r="J5" s="25"/>
      <c r="K5" s="26"/>
      <c r="L5" s="27"/>
      <c r="M5" s="27"/>
      <c r="N5" s="29"/>
      <c r="O5" s="29"/>
      <c r="P5" s="29"/>
      <c r="Q5" s="18"/>
      <c r="R5" s="18"/>
      <c r="S5" s="32"/>
      <c r="T5" s="33"/>
      <c r="U5" s="22"/>
      <c r="V5" s="37" t="s">
        <v>47</v>
      </c>
      <c r="W5" s="38">
        <v>240500001</v>
      </c>
      <c r="X5" s="19" t="s">
        <v>48</v>
      </c>
      <c r="Y5" s="19" t="s">
        <v>49</v>
      </c>
      <c r="Z5" s="19" t="s">
        <v>41</v>
      </c>
      <c r="AA5" s="18" t="s">
        <v>38</v>
      </c>
      <c r="AB5" s="19" t="s">
        <v>41</v>
      </c>
      <c r="AC5" s="42">
        <v>180</v>
      </c>
      <c r="AD5" s="42">
        <v>158.4</v>
      </c>
      <c r="AE5" s="42">
        <v>134.6</v>
      </c>
      <c r="AF5" s="18" t="s">
        <v>40</v>
      </c>
      <c r="AG5" s="47" t="s">
        <v>41</v>
      </c>
    </row>
    <row r="6" s="9" customFormat="1" ht="24" customHeight="1" spans="1:33">
      <c r="A6" s="18"/>
      <c r="B6" s="18"/>
      <c r="C6" s="18"/>
      <c r="D6" s="18"/>
      <c r="E6" s="22"/>
      <c r="F6" s="22"/>
      <c r="G6" s="18"/>
      <c r="H6" s="22"/>
      <c r="I6" s="25"/>
      <c r="J6" s="25"/>
      <c r="K6" s="26"/>
      <c r="L6" s="27"/>
      <c r="M6" s="27"/>
      <c r="N6" s="29"/>
      <c r="O6" s="29"/>
      <c r="P6" s="29"/>
      <c r="Q6" s="18"/>
      <c r="R6" s="18"/>
      <c r="S6" s="32"/>
      <c r="T6" s="33"/>
      <c r="U6" s="22"/>
      <c r="V6" s="37" t="s">
        <v>50</v>
      </c>
      <c r="W6" s="38">
        <v>24050000101</v>
      </c>
      <c r="X6" s="19" t="s">
        <v>51</v>
      </c>
      <c r="Y6" s="19" t="s">
        <v>41</v>
      </c>
      <c r="Z6" s="19" t="s">
        <v>41</v>
      </c>
      <c r="AA6" s="18" t="s">
        <v>38</v>
      </c>
      <c r="AB6" s="19" t="s">
        <v>52</v>
      </c>
      <c r="AC6" s="42">
        <v>180</v>
      </c>
      <c r="AD6" s="42">
        <v>158.4</v>
      </c>
      <c r="AE6" s="42">
        <v>134.6</v>
      </c>
      <c r="AF6" s="18" t="s">
        <v>40</v>
      </c>
      <c r="AG6" s="47" t="s">
        <v>41</v>
      </c>
    </row>
    <row r="7" s="9" customFormat="1" ht="24" customHeight="1" spans="1:33">
      <c r="A7" s="18"/>
      <c r="B7" s="18"/>
      <c r="C7" s="18"/>
      <c r="D7" s="18"/>
      <c r="E7" s="22"/>
      <c r="F7" s="22"/>
      <c r="G7" s="18"/>
      <c r="H7" s="22"/>
      <c r="I7" s="25"/>
      <c r="J7" s="25"/>
      <c r="K7" s="26"/>
      <c r="L7" s="27"/>
      <c r="M7" s="27"/>
      <c r="N7" s="29"/>
      <c r="O7" s="29"/>
      <c r="P7" s="29"/>
      <c r="Q7" s="18"/>
      <c r="R7" s="18"/>
      <c r="S7" s="32"/>
      <c r="T7" s="33"/>
      <c r="U7" s="22"/>
      <c r="V7" s="37" t="s">
        <v>53</v>
      </c>
      <c r="W7" s="38">
        <v>24050000102</v>
      </c>
      <c r="X7" s="19" t="s">
        <v>54</v>
      </c>
      <c r="Y7" s="19" t="s">
        <v>41</v>
      </c>
      <c r="Z7" s="19" t="s">
        <v>41</v>
      </c>
      <c r="AA7" s="18" t="s">
        <v>38</v>
      </c>
      <c r="AB7" s="19" t="s">
        <v>55</v>
      </c>
      <c r="AC7" s="42">
        <v>180</v>
      </c>
      <c r="AD7" s="42">
        <v>158.4</v>
      </c>
      <c r="AE7" s="42">
        <v>134.6</v>
      </c>
      <c r="AF7" s="18" t="s">
        <v>40</v>
      </c>
      <c r="AG7" s="47" t="s">
        <v>41</v>
      </c>
    </row>
    <row r="8" s="9" customFormat="1" ht="24" customHeight="1" spans="1:33">
      <c r="A8" s="18"/>
      <c r="B8" s="18"/>
      <c r="C8" s="18"/>
      <c r="D8" s="18"/>
      <c r="E8" s="22"/>
      <c r="F8" s="22"/>
      <c r="G8" s="18"/>
      <c r="H8" s="22"/>
      <c r="I8" s="25"/>
      <c r="J8" s="25"/>
      <c r="K8" s="26"/>
      <c r="L8" s="27"/>
      <c r="M8" s="27"/>
      <c r="N8" s="29"/>
      <c r="O8" s="29"/>
      <c r="P8" s="29"/>
      <c r="Q8" s="18"/>
      <c r="R8" s="18"/>
      <c r="S8" s="32"/>
      <c r="T8" s="33"/>
      <c r="U8" s="22"/>
      <c r="V8" s="37" t="s">
        <v>56</v>
      </c>
      <c r="W8" s="38">
        <v>24050000103</v>
      </c>
      <c r="X8" s="19" t="s">
        <v>57</v>
      </c>
      <c r="Y8" s="19" t="s">
        <v>41</v>
      </c>
      <c r="Z8" s="19" t="s">
        <v>41</v>
      </c>
      <c r="AA8" s="18" t="s">
        <v>38</v>
      </c>
      <c r="AB8" s="19" t="s">
        <v>58</v>
      </c>
      <c r="AC8" s="42">
        <v>180</v>
      </c>
      <c r="AD8" s="42">
        <v>158.4</v>
      </c>
      <c r="AE8" s="42">
        <v>134.6</v>
      </c>
      <c r="AF8" s="18" t="s">
        <v>40</v>
      </c>
      <c r="AG8" s="47" t="s">
        <v>41</v>
      </c>
    </row>
    <row r="9" s="9" customFormat="1" ht="24" customHeight="1" spans="1:33">
      <c r="A9" s="18"/>
      <c r="B9" s="18"/>
      <c r="C9" s="18"/>
      <c r="D9" s="18"/>
      <c r="E9" s="22"/>
      <c r="F9" s="22"/>
      <c r="G9" s="18"/>
      <c r="H9" s="22"/>
      <c r="I9" s="25"/>
      <c r="J9" s="25"/>
      <c r="K9" s="26"/>
      <c r="L9" s="27"/>
      <c r="M9" s="27"/>
      <c r="N9" s="29"/>
      <c r="O9" s="29"/>
      <c r="P9" s="29"/>
      <c r="Q9" s="18"/>
      <c r="R9" s="18"/>
      <c r="S9" s="32"/>
      <c r="T9" s="33"/>
      <c r="U9" s="22"/>
      <c r="V9" s="37" t="s">
        <v>59</v>
      </c>
      <c r="W9" s="38">
        <v>24050000104</v>
      </c>
      <c r="X9" s="19" t="s">
        <v>60</v>
      </c>
      <c r="Y9" s="19" t="s">
        <v>41</v>
      </c>
      <c r="Z9" s="19" t="s">
        <v>41</v>
      </c>
      <c r="AA9" s="18" t="s">
        <v>38</v>
      </c>
      <c r="AB9" s="19" t="s">
        <v>61</v>
      </c>
      <c r="AC9" s="42">
        <v>180</v>
      </c>
      <c r="AD9" s="42">
        <v>158.4</v>
      </c>
      <c r="AE9" s="42">
        <v>134.6</v>
      </c>
      <c r="AF9" s="18" t="s">
        <v>40</v>
      </c>
      <c r="AG9" s="47" t="s">
        <v>41</v>
      </c>
    </row>
    <row r="10" s="9" customFormat="1" ht="24" customHeight="1" spans="1:33">
      <c r="A10" s="18"/>
      <c r="B10" s="18"/>
      <c r="C10" s="18"/>
      <c r="D10" s="18"/>
      <c r="E10" s="22"/>
      <c r="F10" s="22"/>
      <c r="G10" s="18"/>
      <c r="H10" s="22"/>
      <c r="I10" s="25"/>
      <c r="J10" s="25"/>
      <c r="K10" s="26"/>
      <c r="L10" s="27"/>
      <c r="M10" s="27"/>
      <c r="N10" s="29"/>
      <c r="O10" s="29"/>
      <c r="P10" s="29"/>
      <c r="Q10" s="18"/>
      <c r="R10" s="18"/>
      <c r="S10" s="32"/>
      <c r="T10" s="33"/>
      <c r="U10" s="22"/>
      <c r="V10" s="37" t="s">
        <v>62</v>
      </c>
      <c r="W10" s="38">
        <v>240500002</v>
      </c>
      <c r="X10" s="19" t="s">
        <v>63</v>
      </c>
      <c r="Y10" s="19" t="s">
        <v>64</v>
      </c>
      <c r="Z10" s="19" t="s">
        <v>41</v>
      </c>
      <c r="AA10" s="18" t="s">
        <v>38</v>
      </c>
      <c r="AB10" s="19" t="s">
        <v>41</v>
      </c>
      <c r="AC10" s="42">
        <v>80</v>
      </c>
      <c r="AD10" s="42">
        <v>70.4</v>
      </c>
      <c r="AE10" s="42">
        <v>59.8</v>
      </c>
      <c r="AF10" s="18" t="s">
        <v>40</v>
      </c>
      <c r="AG10" s="47" t="s">
        <v>41</v>
      </c>
    </row>
    <row r="11" s="9" customFormat="1" ht="24" customHeight="1" spans="1:33">
      <c r="A11" s="18"/>
      <c r="B11" s="18"/>
      <c r="C11" s="18"/>
      <c r="D11" s="18"/>
      <c r="E11" s="22"/>
      <c r="F11" s="22"/>
      <c r="G11" s="18"/>
      <c r="H11" s="22"/>
      <c r="I11" s="25"/>
      <c r="J11" s="25"/>
      <c r="K11" s="26"/>
      <c r="L11" s="27"/>
      <c r="M11" s="27"/>
      <c r="N11" s="29"/>
      <c r="O11" s="29"/>
      <c r="P11" s="29"/>
      <c r="Q11" s="18"/>
      <c r="R11" s="18"/>
      <c r="S11" s="32"/>
      <c r="T11" s="33"/>
      <c r="U11" s="22"/>
      <c r="V11" s="37" t="s">
        <v>65</v>
      </c>
      <c r="W11" s="38">
        <v>240500003</v>
      </c>
      <c r="X11" s="19" t="s">
        <v>66</v>
      </c>
      <c r="Y11" s="19" t="s">
        <v>41</v>
      </c>
      <c r="Z11" s="19" t="s">
        <v>67</v>
      </c>
      <c r="AA11" s="18" t="s">
        <v>38</v>
      </c>
      <c r="AB11" s="19" t="s">
        <v>41</v>
      </c>
      <c r="AC11" s="42">
        <v>140</v>
      </c>
      <c r="AD11" s="42">
        <v>123.2</v>
      </c>
      <c r="AE11" s="42">
        <v>104.7</v>
      </c>
      <c r="AF11" s="18" t="s">
        <v>40</v>
      </c>
      <c r="AG11" s="47" t="s">
        <v>41</v>
      </c>
    </row>
    <row r="12" s="9" customFormat="1" ht="24" customHeight="1" spans="1:33">
      <c r="A12" s="18"/>
      <c r="B12" s="18"/>
      <c r="C12" s="18"/>
      <c r="D12" s="18"/>
      <c r="E12" s="22"/>
      <c r="F12" s="22"/>
      <c r="G12" s="18"/>
      <c r="H12" s="22"/>
      <c r="I12" s="25"/>
      <c r="J12" s="25"/>
      <c r="K12" s="26"/>
      <c r="L12" s="27"/>
      <c r="M12" s="27"/>
      <c r="N12" s="29"/>
      <c r="O12" s="29"/>
      <c r="P12" s="29"/>
      <c r="Q12" s="18"/>
      <c r="R12" s="18"/>
      <c r="S12" s="32"/>
      <c r="T12" s="33"/>
      <c r="U12" s="22"/>
      <c r="V12" s="37" t="s">
        <v>68</v>
      </c>
      <c r="W12" s="38">
        <v>24050000201</v>
      </c>
      <c r="X12" s="19" t="s">
        <v>69</v>
      </c>
      <c r="Y12" s="19" t="s">
        <v>41</v>
      </c>
      <c r="Z12" s="19" t="s">
        <v>41</v>
      </c>
      <c r="AA12" s="18" t="s">
        <v>38</v>
      </c>
      <c r="AB12" s="19" t="s">
        <v>58</v>
      </c>
      <c r="AC12" s="42">
        <v>80</v>
      </c>
      <c r="AD12" s="42">
        <v>70.4</v>
      </c>
      <c r="AE12" s="42">
        <v>59.8</v>
      </c>
      <c r="AF12" s="18" t="s">
        <v>40</v>
      </c>
      <c r="AG12" s="47" t="s">
        <v>41</v>
      </c>
    </row>
    <row r="13" s="9" customFormat="1" ht="24" customHeight="1" spans="1:33">
      <c r="A13" s="18"/>
      <c r="B13" s="18"/>
      <c r="C13" s="18"/>
      <c r="D13" s="18"/>
      <c r="E13" s="22"/>
      <c r="F13" s="22"/>
      <c r="G13" s="18"/>
      <c r="H13" s="22"/>
      <c r="I13" s="25"/>
      <c r="J13" s="25"/>
      <c r="K13" s="26"/>
      <c r="L13" s="27"/>
      <c r="M13" s="27"/>
      <c r="N13" s="29"/>
      <c r="O13" s="29"/>
      <c r="P13" s="29"/>
      <c r="Q13" s="18"/>
      <c r="R13" s="18"/>
      <c r="S13" s="32"/>
      <c r="T13" s="33"/>
      <c r="U13" s="22"/>
      <c r="V13" s="37" t="s">
        <v>70</v>
      </c>
      <c r="W13" s="38">
        <v>240500004</v>
      </c>
      <c r="X13" s="19" t="s">
        <v>71</v>
      </c>
      <c r="Y13" s="19" t="s">
        <v>41</v>
      </c>
      <c r="Z13" s="19" t="s">
        <v>72</v>
      </c>
      <c r="AA13" s="18" t="s">
        <v>38</v>
      </c>
      <c r="AB13" s="19" t="s">
        <v>41</v>
      </c>
      <c r="AC13" s="42">
        <v>300</v>
      </c>
      <c r="AD13" s="42">
        <v>264</v>
      </c>
      <c r="AE13" s="42">
        <v>224.4</v>
      </c>
      <c r="AF13" s="18" t="s">
        <v>40</v>
      </c>
      <c r="AG13" s="47" t="s">
        <v>41</v>
      </c>
    </row>
    <row r="14" s="9" customFormat="1" ht="24" customHeight="1" spans="1:33">
      <c r="A14" s="18"/>
      <c r="B14" s="18"/>
      <c r="C14" s="18"/>
      <c r="D14" s="18"/>
      <c r="E14" s="22"/>
      <c r="F14" s="22"/>
      <c r="G14" s="18"/>
      <c r="H14" s="22"/>
      <c r="I14" s="25"/>
      <c r="J14" s="25"/>
      <c r="K14" s="26"/>
      <c r="L14" s="27"/>
      <c r="M14" s="27"/>
      <c r="N14" s="29"/>
      <c r="O14" s="29"/>
      <c r="P14" s="29"/>
      <c r="Q14" s="18"/>
      <c r="R14" s="18"/>
      <c r="S14" s="32"/>
      <c r="T14" s="33"/>
      <c r="U14" s="22"/>
      <c r="V14" s="37" t="s">
        <v>73</v>
      </c>
      <c r="W14" s="38">
        <v>24050000202</v>
      </c>
      <c r="X14" s="19" t="s">
        <v>74</v>
      </c>
      <c r="Y14" s="19" t="s">
        <v>41</v>
      </c>
      <c r="Z14" s="19" t="s">
        <v>41</v>
      </c>
      <c r="AA14" s="18" t="s">
        <v>38</v>
      </c>
      <c r="AB14" s="19" t="s">
        <v>61</v>
      </c>
      <c r="AC14" s="42">
        <v>80</v>
      </c>
      <c r="AD14" s="42">
        <v>70.4</v>
      </c>
      <c r="AE14" s="42">
        <v>59.8</v>
      </c>
      <c r="AF14" s="18" t="s">
        <v>40</v>
      </c>
      <c r="AG14" s="47" t="s">
        <v>41</v>
      </c>
    </row>
    <row r="15" s="9" customFormat="1" ht="24" customHeight="1" spans="1:33">
      <c r="A15" s="18"/>
      <c r="B15" s="18"/>
      <c r="C15" s="18"/>
      <c r="D15" s="18"/>
      <c r="E15" s="22"/>
      <c r="F15" s="22"/>
      <c r="G15" s="18"/>
      <c r="H15" s="22"/>
      <c r="I15" s="25"/>
      <c r="J15" s="25"/>
      <c r="K15" s="26"/>
      <c r="L15" s="27"/>
      <c r="M15" s="27"/>
      <c r="N15" s="29"/>
      <c r="O15" s="29"/>
      <c r="P15" s="29"/>
      <c r="Q15" s="18"/>
      <c r="R15" s="18"/>
      <c r="S15" s="32"/>
      <c r="T15" s="33"/>
      <c r="U15" s="22"/>
      <c r="V15" s="37" t="s">
        <v>75</v>
      </c>
      <c r="W15" s="38">
        <v>240500005</v>
      </c>
      <c r="X15" s="19" t="s">
        <v>76</v>
      </c>
      <c r="Y15" s="19" t="s">
        <v>77</v>
      </c>
      <c r="Z15" s="19" t="s">
        <v>41</v>
      </c>
      <c r="AA15" s="18" t="s">
        <v>38</v>
      </c>
      <c r="AB15" s="19" t="s">
        <v>41</v>
      </c>
      <c r="AC15" s="42">
        <v>20</v>
      </c>
      <c r="AD15" s="42">
        <v>17.6</v>
      </c>
      <c r="AE15" s="42">
        <v>15</v>
      </c>
      <c r="AF15" s="18" t="s">
        <v>40</v>
      </c>
      <c r="AG15" s="47" t="s">
        <v>41</v>
      </c>
    </row>
    <row r="16" s="9" customFormat="1" ht="24" customHeight="1" spans="1:33">
      <c r="A16" s="18"/>
      <c r="B16" s="18"/>
      <c r="C16" s="18"/>
      <c r="D16" s="18"/>
      <c r="E16" s="22"/>
      <c r="F16" s="22"/>
      <c r="G16" s="18"/>
      <c r="H16" s="22"/>
      <c r="I16" s="25"/>
      <c r="J16" s="25"/>
      <c r="K16" s="26"/>
      <c r="L16" s="27"/>
      <c r="M16" s="27"/>
      <c r="N16" s="29"/>
      <c r="O16" s="29"/>
      <c r="P16" s="29"/>
      <c r="Q16" s="18"/>
      <c r="R16" s="18"/>
      <c r="S16" s="32"/>
      <c r="T16" s="33"/>
      <c r="U16" s="22"/>
      <c r="V16" s="37" t="s">
        <v>78</v>
      </c>
      <c r="W16" s="38">
        <v>24050000501</v>
      </c>
      <c r="X16" s="19" t="s">
        <v>79</v>
      </c>
      <c r="Y16" s="19" t="s">
        <v>41</v>
      </c>
      <c r="Z16" s="19" t="s">
        <v>41</v>
      </c>
      <c r="AA16" s="18" t="s">
        <v>38</v>
      </c>
      <c r="AB16" s="19" t="s">
        <v>80</v>
      </c>
      <c r="AC16" s="42">
        <v>20</v>
      </c>
      <c r="AD16" s="42">
        <v>17.6</v>
      </c>
      <c r="AE16" s="42">
        <v>15</v>
      </c>
      <c r="AF16" s="18" t="s">
        <v>40</v>
      </c>
      <c r="AG16" s="47" t="s">
        <v>41</v>
      </c>
    </row>
    <row r="17" s="9" customFormat="1" ht="57" customHeight="1" spans="1:33">
      <c r="A17" s="18" t="s">
        <v>81</v>
      </c>
      <c r="B17" s="19" t="s">
        <v>82</v>
      </c>
      <c r="C17" s="18" t="s">
        <v>83</v>
      </c>
      <c r="D17" s="18" t="s">
        <v>35</v>
      </c>
      <c r="E17" s="22" t="s">
        <v>41</v>
      </c>
      <c r="F17" s="22" t="s">
        <v>41</v>
      </c>
      <c r="G17" s="18" t="s">
        <v>38</v>
      </c>
      <c r="H17" s="22"/>
      <c r="I17" s="25">
        <v>390</v>
      </c>
      <c r="J17" s="25">
        <v>351</v>
      </c>
      <c r="K17" s="27"/>
      <c r="L17" s="27"/>
      <c r="M17" s="27"/>
      <c r="N17" s="29">
        <v>375</v>
      </c>
      <c r="O17" s="29">
        <v>350</v>
      </c>
      <c r="P17" s="29">
        <v>300</v>
      </c>
      <c r="Q17" s="18" t="s">
        <v>40</v>
      </c>
      <c r="R17" s="18" t="s">
        <v>41</v>
      </c>
      <c r="S17" s="32">
        <v>0.05</v>
      </c>
      <c r="T17" s="33"/>
      <c r="U17" s="22" t="s">
        <v>84</v>
      </c>
      <c r="V17" s="37"/>
      <c r="W17" s="38"/>
      <c r="X17" s="19"/>
      <c r="Y17" s="19"/>
      <c r="Z17" s="19"/>
      <c r="AA17" s="18"/>
      <c r="AB17" s="19"/>
      <c r="AC17" s="29"/>
      <c r="AD17" s="29"/>
      <c r="AE17" s="29"/>
      <c r="AF17" s="18"/>
      <c r="AG17" s="47"/>
    </row>
    <row r="18" s="9" customFormat="1" ht="26" customHeight="1" spans="1:33">
      <c r="A18" s="18" t="s">
        <v>81</v>
      </c>
      <c r="B18" s="18" t="s">
        <v>85</v>
      </c>
      <c r="C18" s="18" t="s">
        <v>86</v>
      </c>
      <c r="D18" s="18" t="s">
        <v>35</v>
      </c>
      <c r="E18" s="22" t="s">
        <v>41</v>
      </c>
      <c r="F18" s="22" t="s">
        <v>41</v>
      </c>
      <c r="G18" s="18" t="s">
        <v>38</v>
      </c>
      <c r="H18" s="22" t="s">
        <v>87</v>
      </c>
      <c r="I18" s="25">
        <v>1050</v>
      </c>
      <c r="J18" s="25">
        <v>945</v>
      </c>
      <c r="K18" s="26">
        <v>1123.48175182482</v>
      </c>
      <c r="L18" s="26"/>
      <c r="M18" s="26"/>
      <c r="N18" s="29">
        <v>1000</v>
      </c>
      <c r="O18" s="29">
        <v>945</v>
      </c>
      <c r="P18" s="29">
        <v>850</v>
      </c>
      <c r="Q18" s="18" t="s">
        <v>40</v>
      </c>
      <c r="R18" s="18" t="s">
        <v>41</v>
      </c>
      <c r="S18" s="32">
        <v>0.05</v>
      </c>
      <c r="T18" s="33"/>
      <c r="U18" s="22" t="s">
        <v>88</v>
      </c>
      <c r="V18" s="37" t="s">
        <v>89</v>
      </c>
      <c r="W18" s="38">
        <v>240200001</v>
      </c>
      <c r="X18" s="19" t="s">
        <v>90</v>
      </c>
      <c r="Y18" s="19" t="s">
        <v>91</v>
      </c>
      <c r="Z18" s="19" t="s">
        <v>41</v>
      </c>
      <c r="AA18" s="18" t="s">
        <v>92</v>
      </c>
      <c r="AB18" s="19" t="s">
        <v>41</v>
      </c>
      <c r="AC18" s="42">
        <v>40</v>
      </c>
      <c r="AD18" s="42">
        <v>35.2</v>
      </c>
      <c r="AE18" s="42">
        <v>29.9</v>
      </c>
      <c r="AF18" s="18" t="s">
        <v>40</v>
      </c>
      <c r="AG18" s="47" t="s">
        <v>41</v>
      </c>
    </row>
    <row r="19" s="9" customFormat="1" ht="25" customHeight="1" spans="1:33">
      <c r="A19" s="18"/>
      <c r="B19" s="18"/>
      <c r="C19" s="18"/>
      <c r="D19" s="18"/>
      <c r="E19" s="22"/>
      <c r="F19" s="22"/>
      <c r="G19" s="18"/>
      <c r="H19" s="22"/>
      <c r="I19" s="25"/>
      <c r="J19" s="25"/>
      <c r="K19" s="26"/>
      <c r="L19" s="26"/>
      <c r="M19" s="26"/>
      <c r="N19" s="29"/>
      <c r="O19" s="29"/>
      <c r="P19" s="29"/>
      <c r="Q19" s="18"/>
      <c r="R19" s="18"/>
      <c r="S19" s="32"/>
      <c r="T19" s="33"/>
      <c r="U19" s="22"/>
      <c r="V19" s="37" t="s">
        <v>93</v>
      </c>
      <c r="W19" s="38">
        <v>24020000101</v>
      </c>
      <c r="X19" s="19" t="s">
        <v>94</v>
      </c>
      <c r="Y19" s="19" t="s">
        <v>41</v>
      </c>
      <c r="Z19" s="19" t="s">
        <v>41</v>
      </c>
      <c r="AA19" s="18" t="s">
        <v>92</v>
      </c>
      <c r="AB19" s="19" t="s">
        <v>94</v>
      </c>
      <c r="AC19" s="42">
        <v>40</v>
      </c>
      <c r="AD19" s="42">
        <v>35.2</v>
      </c>
      <c r="AE19" s="42">
        <v>29.9</v>
      </c>
      <c r="AF19" s="18" t="s">
        <v>40</v>
      </c>
      <c r="AG19" s="47" t="s">
        <v>41</v>
      </c>
    </row>
    <row r="20" s="9" customFormat="1" ht="25" customHeight="1" spans="1:33">
      <c r="A20" s="18"/>
      <c r="B20" s="18"/>
      <c r="C20" s="18"/>
      <c r="D20" s="18"/>
      <c r="E20" s="22"/>
      <c r="F20" s="22"/>
      <c r="G20" s="18"/>
      <c r="H20" s="22"/>
      <c r="I20" s="25"/>
      <c r="J20" s="25"/>
      <c r="K20" s="26"/>
      <c r="L20" s="26"/>
      <c r="M20" s="26"/>
      <c r="N20" s="29"/>
      <c r="O20" s="29"/>
      <c r="P20" s="29"/>
      <c r="Q20" s="18"/>
      <c r="R20" s="18"/>
      <c r="S20" s="32"/>
      <c r="T20" s="33"/>
      <c r="U20" s="22"/>
      <c r="V20" s="37" t="s">
        <v>95</v>
      </c>
      <c r="W20" s="38">
        <v>24020000102</v>
      </c>
      <c r="X20" s="19" t="s">
        <v>96</v>
      </c>
      <c r="Y20" s="19" t="s">
        <v>41</v>
      </c>
      <c r="Z20" s="19" t="s">
        <v>41</v>
      </c>
      <c r="AA20" s="18" t="s">
        <v>92</v>
      </c>
      <c r="AB20" s="19" t="s">
        <v>96</v>
      </c>
      <c r="AC20" s="42">
        <v>40</v>
      </c>
      <c r="AD20" s="42">
        <v>35.2</v>
      </c>
      <c r="AE20" s="42">
        <v>29.9</v>
      </c>
      <c r="AF20" s="18" t="s">
        <v>40</v>
      </c>
      <c r="AG20" s="47" t="s">
        <v>41</v>
      </c>
    </row>
    <row r="21" s="9" customFormat="1" ht="30" customHeight="1" spans="1:33">
      <c r="A21" s="18"/>
      <c r="B21" s="18"/>
      <c r="C21" s="18"/>
      <c r="D21" s="18"/>
      <c r="E21" s="22"/>
      <c r="F21" s="22"/>
      <c r="G21" s="18"/>
      <c r="H21" s="22"/>
      <c r="I21" s="25"/>
      <c r="J21" s="25"/>
      <c r="K21" s="26"/>
      <c r="L21" s="26"/>
      <c r="M21" s="26"/>
      <c r="N21" s="29"/>
      <c r="O21" s="29"/>
      <c r="P21" s="29"/>
      <c r="Q21" s="18"/>
      <c r="R21" s="18"/>
      <c r="S21" s="32"/>
      <c r="T21" s="33"/>
      <c r="U21" s="22"/>
      <c r="V21" s="37" t="s">
        <v>97</v>
      </c>
      <c r="W21" s="38">
        <v>24020000103</v>
      </c>
      <c r="X21" s="19" t="s">
        <v>98</v>
      </c>
      <c r="Y21" s="19" t="s">
        <v>41</v>
      </c>
      <c r="Z21" s="19" t="s">
        <v>41</v>
      </c>
      <c r="AA21" s="18" t="s">
        <v>92</v>
      </c>
      <c r="AB21" s="19" t="s">
        <v>98</v>
      </c>
      <c r="AC21" s="42">
        <v>40</v>
      </c>
      <c r="AD21" s="42">
        <v>35.2</v>
      </c>
      <c r="AE21" s="42">
        <v>29.9</v>
      </c>
      <c r="AF21" s="18" t="s">
        <v>40</v>
      </c>
      <c r="AG21" s="47" t="s">
        <v>41</v>
      </c>
    </row>
    <row r="22" s="9" customFormat="1" ht="27" customHeight="1" spans="1:33">
      <c r="A22" s="18"/>
      <c r="B22" s="18"/>
      <c r="C22" s="18"/>
      <c r="D22" s="18"/>
      <c r="E22" s="22"/>
      <c r="F22" s="22"/>
      <c r="G22" s="18"/>
      <c r="H22" s="22"/>
      <c r="I22" s="25"/>
      <c r="J22" s="25"/>
      <c r="K22" s="26"/>
      <c r="L22" s="26"/>
      <c r="M22" s="26"/>
      <c r="N22" s="29"/>
      <c r="O22" s="29"/>
      <c r="P22" s="29"/>
      <c r="Q22" s="18"/>
      <c r="R22" s="18"/>
      <c r="S22" s="32"/>
      <c r="T22" s="33"/>
      <c r="U22" s="22"/>
      <c r="V22" s="37" t="s">
        <v>99</v>
      </c>
      <c r="W22" s="38">
        <v>240200002</v>
      </c>
      <c r="X22" s="19" t="s">
        <v>100</v>
      </c>
      <c r="Y22" s="19" t="s">
        <v>41</v>
      </c>
      <c r="Z22" s="19" t="s">
        <v>41</v>
      </c>
      <c r="AA22" s="18" t="s">
        <v>101</v>
      </c>
      <c r="AB22" s="19" t="s">
        <v>41</v>
      </c>
      <c r="AC22" s="42">
        <v>100</v>
      </c>
      <c r="AD22" s="42">
        <v>88</v>
      </c>
      <c r="AE22" s="42">
        <v>74.8</v>
      </c>
      <c r="AF22" s="18" t="s">
        <v>40</v>
      </c>
      <c r="AG22" s="47" t="s">
        <v>41</v>
      </c>
    </row>
    <row r="23" s="9" customFormat="1" ht="26" customHeight="1" spans="1:33">
      <c r="A23" s="18"/>
      <c r="B23" s="18"/>
      <c r="C23" s="18"/>
      <c r="D23" s="18"/>
      <c r="E23" s="22"/>
      <c r="F23" s="22"/>
      <c r="G23" s="18"/>
      <c r="H23" s="22"/>
      <c r="I23" s="25"/>
      <c r="J23" s="25"/>
      <c r="K23" s="26"/>
      <c r="L23" s="26"/>
      <c r="M23" s="26"/>
      <c r="N23" s="29"/>
      <c r="O23" s="29"/>
      <c r="P23" s="29"/>
      <c r="Q23" s="18"/>
      <c r="R23" s="18"/>
      <c r="S23" s="32"/>
      <c r="T23" s="33"/>
      <c r="U23" s="22"/>
      <c r="V23" s="37" t="s">
        <v>102</v>
      </c>
      <c r="W23" s="38">
        <v>240200003</v>
      </c>
      <c r="X23" s="19" t="s">
        <v>103</v>
      </c>
      <c r="Y23" s="19" t="s">
        <v>104</v>
      </c>
      <c r="Z23" s="19" t="s">
        <v>41</v>
      </c>
      <c r="AA23" s="18" t="s">
        <v>92</v>
      </c>
      <c r="AB23" s="19" t="s">
        <v>41</v>
      </c>
      <c r="AC23" s="42">
        <v>350</v>
      </c>
      <c r="AD23" s="42">
        <v>308</v>
      </c>
      <c r="AE23" s="42">
        <v>261.8</v>
      </c>
      <c r="AF23" s="18" t="s">
        <v>40</v>
      </c>
      <c r="AG23" s="47" t="s">
        <v>41</v>
      </c>
    </row>
    <row r="24" s="9" customFormat="1" ht="38" customHeight="1" spans="1:33">
      <c r="A24" s="18"/>
      <c r="B24" s="18"/>
      <c r="C24" s="18"/>
      <c r="D24" s="18"/>
      <c r="E24" s="22"/>
      <c r="F24" s="22"/>
      <c r="G24" s="18"/>
      <c r="H24" s="22"/>
      <c r="I24" s="25"/>
      <c r="J24" s="25"/>
      <c r="K24" s="26"/>
      <c r="L24" s="26"/>
      <c r="M24" s="26"/>
      <c r="N24" s="29"/>
      <c r="O24" s="29"/>
      <c r="P24" s="29"/>
      <c r="Q24" s="18"/>
      <c r="R24" s="18"/>
      <c r="S24" s="32"/>
      <c r="T24" s="33"/>
      <c r="U24" s="22"/>
      <c r="V24" s="37" t="s">
        <v>105</v>
      </c>
      <c r="W24" s="38">
        <v>24020000301</v>
      </c>
      <c r="X24" s="19" t="s">
        <v>106</v>
      </c>
      <c r="Y24" s="19" t="s">
        <v>41</v>
      </c>
      <c r="Z24" s="19" t="s">
        <v>41</v>
      </c>
      <c r="AA24" s="18" t="s">
        <v>92</v>
      </c>
      <c r="AB24" s="19" t="s">
        <v>107</v>
      </c>
      <c r="AC24" s="42">
        <v>350</v>
      </c>
      <c r="AD24" s="42">
        <v>308</v>
      </c>
      <c r="AE24" s="42">
        <v>261.8</v>
      </c>
      <c r="AF24" s="18" t="s">
        <v>40</v>
      </c>
      <c r="AG24" s="47" t="s">
        <v>41</v>
      </c>
    </row>
    <row r="25" s="9" customFormat="1" ht="31" customHeight="1" spans="1:33">
      <c r="A25" s="18"/>
      <c r="B25" s="18"/>
      <c r="C25" s="18"/>
      <c r="D25" s="18"/>
      <c r="E25" s="22"/>
      <c r="F25" s="22"/>
      <c r="G25" s="18"/>
      <c r="H25" s="22"/>
      <c r="I25" s="25"/>
      <c r="J25" s="25"/>
      <c r="K25" s="26"/>
      <c r="L25" s="26"/>
      <c r="M25" s="26"/>
      <c r="N25" s="29"/>
      <c r="O25" s="29"/>
      <c r="P25" s="29"/>
      <c r="Q25" s="18"/>
      <c r="R25" s="18"/>
      <c r="S25" s="32"/>
      <c r="T25" s="33"/>
      <c r="U25" s="22"/>
      <c r="V25" s="39" t="s">
        <v>108</v>
      </c>
      <c r="W25" s="40">
        <v>24020000104</v>
      </c>
      <c r="X25" s="41" t="s">
        <v>109</v>
      </c>
      <c r="Y25" s="41" t="s">
        <v>41</v>
      </c>
      <c r="Z25" s="41" t="s">
        <v>41</v>
      </c>
      <c r="AA25" s="46" t="s">
        <v>92</v>
      </c>
      <c r="AB25" s="41" t="s">
        <v>110</v>
      </c>
      <c r="AC25" s="42">
        <v>16</v>
      </c>
      <c r="AD25" s="42">
        <v>14.1</v>
      </c>
      <c r="AE25" s="42">
        <v>12</v>
      </c>
      <c r="AF25" s="18" t="s">
        <v>40</v>
      </c>
      <c r="AG25" s="47" t="s">
        <v>41</v>
      </c>
    </row>
    <row r="26" s="9" customFormat="1" ht="31" customHeight="1" spans="1:33">
      <c r="A26" s="18"/>
      <c r="B26" s="18"/>
      <c r="C26" s="18"/>
      <c r="D26" s="18"/>
      <c r="E26" s="22"/>
      <c r="F26" s="22"/>
      <c r="G26" s="18"/>
      <c r="H26" s="22"/>
      <c r="I26" s="25"/>
      <c r="J26" s="25"/>
      <c r="K26" s="26"/>
      <c r="L26" s="26"/>
      <c r="M26" s="26"/>
      <c r="N26" s="29"/>
      <c r="O26" s="29"/>
      <c r="P26" s="29"/>
      <c r="Q26" s="18"/>
      <c r="R26" s="18"/>
      <c r="S26" s="32"/>
      <c r="T26" s="33"/>
      <c r="U26" s="22"/>
      <c r="V26" s="39" t="s">
        <v>111</v>
      </c>
      <c r="W26" s="40">
        <v>24020000201</v>
      </c>
      <c r="X26" s="41" t="s">
        <v>112</v>
      </c>
      <c r="Y26" s="41" t="s">
        <v>41</v>
      </c>
      <c r="Z26" s="41" t="s">
        <v>41</v>
      </c>
      <c r="AA26" s="46" t="s">
        <v>92</v>
      </c>
      <c r="AB26" s="41" t="s">
        <v>110</v>
      </c>
      <c r="AC26" s="42">
        <v>40</v>
      </c>
      <c r="AD26" s="42">
        <v>35.2</v>
      </c>
      <c r="AE26" s="42">
        <v>29.9</v>
      </c>
      <c r="AF26" s="18" t="s">
        <v>40</v>
      </c>
      <c r="AG26" s="47" t="s">
        <v>41</v>
      </c>
    </row>
    <row r="27" s="9" customFormat="1" ht="31" customHeight="1" spans="1:33">
      <c r="A27" s="18"/>
      <c r="B27" s="18"/>
      <c r="C27" s="18"/>
      <c r="D27" s="18"/>
      <c r="E27" s="22"/>
      <c r="F27" s="22"/>
      <c r="G27" s="18"/>
      <c r="H27" s="22"/>
      <c r="I27" s="25"/>
      <c r="J27" s="25"/>
      <c r="K27" s="26"/>
      <c r="L27" s="26"/>
      <c r="M27" s="26"/>
      <c r="N27" s="29"/>
      <c r="O27" s="29"/>
      <c r="P27" s="29"/>
      <c r="Q27" s="18"/>
      <c r="R27" s="18"/>
      <c r="S27" s="32"/>
      <c r="T27" s="33"/>
      <c r="U27" s="22"/>
      <c r="V27" s="39" t="s">
        <v>113</v>
      </c>
      <c r="W27" s="40">
        <v>24020000302</v>
      </c>
      <c r="X27" s="41" t="s">
        <v>114</v>
      </c>
      <c r="Y27" s="41" t="s">
        <v>41</v>
      </c>
      <c r="Z27" s="41" t="s">
        <v>41</v>
      </c>
      <c r="AA27" s="46" t="s">
        <v>92</v>
      </c>
      <c r="AB27" s="41" t="s">
        <v>110</v>
      </c>
      <c r="AC27" s="42">
        <v>140</v>
      </c>
      <c r="AD27" s="42">
        <v>123.2</v>
      </c>
      <c r="AE27" s="42">
        <v>104.7</v>
      </c>
      <c r="AF27" s="18" t="s">
        <v>40</v>
      </c>
      <c r="AG27" s="47" t="s">
        <v>41</v>
      </c>
    </row>
    <row r="28" s="9" customFormat="1" ht="54" customHeight="1" spans="1:33">
      <c r="A28" s="18" t="s">
        <v>81</v>
      </c>
      <c r="B28" s="18" t="s">
        <v>115</v>
      </c>
      <c r="C28" s="18" t="s">
        <v>116</v>
      </c>
      <c r="D28" s="18" t="s">
        <v>35</v>
      </c>
      <c r="E28" s="22" t="s">
        <v>41</v>
      </c>
      <c r="F28" s="22" t="s">
        <v>41</v>
      </c>
      <c r="G28" s="18" t="s">
        <v>38</v>
      </c>
      <c r="H28" s="22"/>
      <c r="I28" s="25">
        <v>230</v>
      </c>
      <c r="J28" s="25">
        <v>207</v>
      </c>
      <c r="K28" s="27"/>
      <c r="L28" s="27"/>
      <c r="M28" s="27"/>
      <c r="N28" s="29">
        <v>220</v>
      </c>
      <c r="O28" s="29">
        <v>205</v>
      </c>
      <c r="P28" s="29">
        <v>175</v>
      </c>
      <c r="Q28" s="18" t="s">
        <v>40</v>
      </c>
      <c r="R28" s="18" t="s">
        <v>41</v>
      </c>
      <c r="S28" s="32">
        <v>0.05</v>
      </c>
      <c r="T28" s="33"/>
      <c r="U28" s="22" t="s">
        <v>117</v>
      </c>
      <c r="V28" s="37"/>
      <c r="W28" s="38"/>
      <c r="X28" s="19"/>
      <c r="Y28" s="19"/>
      <c r="Z28" s="19"/>
      <c r="AA28" s="18"/>
      <c r="AB28" s="19"/>
      <c r="AC28" s="29"/>
      <c r="AD28" s="29"/>
      <c r="AE28" s="29"/>
      <c r="AF28" s="18"/>
      <c r="AG28" s="47"/>
    </row>
    <row r="29" s="9" customFormat="1" ht="54" customHeight="1" spans="1:33">
      <c r="A29" s="18" t="s">
        <v>81</v>
      </c>
      <c r="B29" s="18" t="s">
        <v>118</v>
      </c>
      <c r="C29" s="18" t="s">
        <v>119</v>
      </c>
      <c r="D29" s="18" t="s">
        <v>35</v>
      </c>
      <c r="E29" s="22" t="s">
        <v>41</v>
      </c>
      <c r="F29" s="22" t="s">
        <v>41</v>
      </c>
      <c r="G29" s="18" t="s">
        <v>38</v>
      </c>
      <c r="H29" s="22"/>
      <c r="I29" s="25">
        <v>390</v>
      </c>
      <c r="J29" s="25">
        <v>351</v>
      </c>
      <c r="K29" s="27"/>
      <c r="L29" s="27"/>
      <c r="M29" s="27"/>
      <c r="N29" s="29">
        <v>375</v>
      </c>
      <c r="O29" s="29">
        <v>350</v>
      </c>
      <c r="P29" s="29">
        <v>300</v>
      </c>
      <c r="Q29" s="18" t="s">
        <v>40</v>
      </c>
      <c r="R29" s="18" t="s">
        <v>41</v>
      </c>
      <c r="S29" s="32">
        <v>0.05</v>
      </c>
      <c r="T29" s="33"/>
      <c r="U29" s="22" t="s">
        <v>84</v>
      </c>
      <c r="V29" s="37"/>
      <c r="W29" s="38"/>
      <c r="X29" s="19"/>
      <c r="Y29" s="19"/>
      <c r="Z29" s="19"/>
      <c r="AA29" s="18"/>
      <c r="AB29" s="19"/>
      <c r="AC29" s="29"/>
      <c r="AD29" s="29"/>
      <c r="AE29" s="29"/>
      <c r="AF29" s="18"/>
      <c r="AG29" s="47"/>
    </row>
    <row r="30" s="9" customFormat="1" ht="25" customHeight="1" spans="1:33">
      <c r="A30" s="18">
        <v>2</v>
      </c>
      <c r="B30" s="18" t="s">
        <v>120</v>
      </c>
      <c r="C30" s="18" t="s">
        <v>121</v>
      </c>
      <c r="D30" s="18" t="s">
        <v>35</v>
      </c>
      <c r="E30" s="22" t="s">
        <v>122</v>
      </c>
      <c r="F30" s="22" t="s">
        <v>123</v>
      </c>
      <c r="G30" s="18" t="s">
        <v>38</v>
      </c>
      <c r="H30" s="22" t="s">
        <v>124</v>
      </c>
      <c r="I30" s="25">
        <v>1000</v>
      </c>
      <c r="J30" s="25">
        <v>900</v>
      </c>
      <c r="K30" s="26">
        <v>473.180904522613</v>
      </c>
      <c r="L30" s="26">
        <v>134.962666666667</v>
      </c>
      <c r="M30" s="26">
        <v>37.4</v>
      </c>
      <c r="N30" s="29">
        <v>900</v>
      </c>
      <c r="O30" s="29">
        <v>810</v>
      </c>
      <c r="P30" s="29">
        <v>690</v>
      </c>
      <c r="Q30" s="18" t="s">
        <v>40</v>
      </c>
      <c r="R30" s="18" t="s">
        <v>41</v>
      </c>
      <c r="S30" s="32">
        <v>0.05</v>
      </c>
      <c r="T30" s="33" t="s">
        <v>125</v>
      </c>
      <c r="U30" s="22" t="s">
        <v>126</v>
      </c>
      <c r="V30" s="37" t="s">
        <v>127</v>
      </c>
      <c r="W30" s="38">
        <v>240100001</v>
      </c>
      <c r="X30" s="19" t="s">
        <v>128</v>
      </c>
      <c r="Y30" s="19" t="s">
        <v>129</v>
      </c>
      <c r="Z30" s="19" t="s">
        <v>41</v>
      </c>
      <c r="AA30" s="18" t="s">
        <v>92</v>
      </c>
      <c r="AB30" s="19" t="s">
        <v>130</v>
      </c>
      <c r="AC30" s="42">
        <v>50</v>
      </c>
      <c r="AD30" s="42">
        <v>44</v>
      </c>
      <c r="AE30" s="42">
        <v>37.4</v>
      </c>
      <c r="AF30" s="18" t="s">
        <v>40</v>
      </c>
      <c r="AG30" s="47" t="s">
        <v>41</v>
      </c>
    </row>
    <row r="31" s="9" customFormat="1" ht="25" customHeight="1" spans="1:33">
      <c r="A31" s="18"/>
      <c r="B31" s="18"/>
      <c r="C31" s="18"/>
      <c r="D31" s="18"/>
      <c r="E31" s="22"/>
      <c r="F31" s="22"/>
      <c r="G31" s="18"/>
      <c r="H31" s="22"/>
      <c r="I31" s="25"/>
      <c r="J31" s="25"/>
      <c r="K31" s="26"/>
      <c r="L31" s="26"/>
      <c r="M31" s="26"/>
      <c r="N31" s="29"/>
      <c r="O31" s="29"/>
      <c r="P31" s="29"/>
      <c r="Q31" s="18"/>
      <c r="R31" s="18"/>
      <c r="S31" s="32"/>
      <c r="T31" s="33"/>
      <c r="U31" s="22"/>
      <c r="V31" s="37" t="s">
        <v>131</v>
      </c>
      <c r="W31" s="38">
        <v>240100002</v>
      </c>
      <c r="X31" s="19" t="s">
        <v>132</v>
      </c>
      <c r="Y31" s="19" t="s">
        <v>133</v>
      </c>
      <c r="Z31" s="19" t="s">
        <v>41</v>
      </c>
      <c r="AA31" s="18" t="s">
        <v>92</v>
      </c>
      <c r="AB31" s="19" t="s">
        <v>130</v>
      </c>
      <c r="AC31" s="42">
        <v>80</v>
      </c>
      <c r="AD31" s="42">
        <v>70.4</v>
      </c>
      <c r="AE31" s="42">
        <v>59.8</v>
      </c>
      <c r="AF31" s="18" t="s">
        <v>40</v>
      </c>
      <c r="AG31" s="47" t="s">
        <v>41</v>
      </c>
    </row>
    <row r="32" s="9" customFormat="1" ht="25" customHeight="1" spans="1:33">
      <c r="A32" s="18"/>
      <c r="B32" s="18"/>
      <c r="C32" s="18"/>
      <c r="D32" s="18"/>
      <c r="E32" s="22"/>
      <c r="F32" s="22"/>
      <c r="G32" s="18"/>
      <c r="H32" s="22"/>
      <c r="I32" s="25"/>
      <c r="J32" s="25"/>
      <c r="K32" s="26"/>
      <c r="L32" s="26"/>
      <c r="M32" s="26"/>
      <c r="N32" s="29"/>
      <c r="O32" s="29"/>
      <c r="P32" s="29"/>
      <c r="Q32" s="18"/>
      <c r="R32" s="18"/>
      <c r="S32" s="32"/>
      <c r="T32" s="33"/>
      <c r="U32" s="22"/>
      <c r="V32" s="37" t="s">
        <v>134</v>
      </c>
      <c r="W32" s="38">
        <v>240100003</v>
      </c>
      <c r="X32" s="19" t="s">
        <v>135</v>
      </c>
      <c r="Y32" s="19" t="s">
        <v>136</v>
      </c>
      <c r="Z32" s="19" t="s">
        <v>41</v>
      </c>
      <c r="AA32" s="18" t="s">
        <v>92</v>
      </c>
      <c r="AB32" s="19" t="s">
        <v>130</v>
      </c>
      <c r="AC32" s="42">
        <v>240</v>
      </c>
      <c r="AD32" s="42">
        <v>211.2</v>
      </c>
      <c r="AE32" s="42">
        <v>179.5</v>
      </c>
      <c r="AF32" s="18" t="s">
        <v>40</v>
      </c>
      <c r="AG32" s="47" t="s">
        <v>41</v>
      </c>
    </row>
    <row r="33" s="9" customFormat="1" ht="25" customHeight="1" spans="1:33">
      <c r="A33" s="18"/>
      <c r="B33" s="18"/>
      <c r="C33" s="18"/>
      <c r="D33" s="18"/>
      <c r="E33" s="22"/>
      <c r="F33" s="22"/>
      <c r="G33" s="18"/>
      <c r="H33" s="22"/>
      <c r="I33" s="25"/>
      <c r="J33" s="25"/>
      <c r="K33" s="26"/>
      <c r="L33" s="26"/>
      <c r="M33" s="26"/>
      <c r="N33" s="29"/>
      <c r="O33" s="29"/>
      <c r="P33" s="29"/>
      <c r="Q33" s="18"/>
      <c r="R33" s="18"/>
      <c r="S33" s="32"/>
      <c r="T33" s="33"/>
      <c r="U33" s="22"/>
      <c r="V33" s="37" t="s">
        <v>137</v>
      </c>
      <c r="W33" s="38">
        <v>240100004</v>
      </c>
      <c r="X33" s="19" t="s">
        <v>138</v>
      </c>
      <c r="Y33" s="19" t="s">
        <v>139</v>
      </c>
      <c r="Z33" s="19" t="s">
        <v>41</v>
      </c>
      <c r="AA33" s="18" t="s">
        <v>92</v>
      </c>
      <c r="AB33" s="19" t="s">
        <v>130</v>
      </c>
      <c r="AC33" s="42">
        <v>600</v>
      </c>
      <c r="AD33" s="42">
        <v>550</v>
      </c>
      <c r="AE33" s="42">
        <v>467.5</v>
      </c>
      <c r="AF33" s="18" t="s">
        <v>40</v>
      </c>
      <c r="AG33" s="47" t="s">
        <v>41</v>
      </c>
    </row>
    <row r="34" s="9" customFormat="1" ht="25" customHeight="1" spans="1:33">
      <c r="A34" s="18"/>
      <c r="B34" s="18"/>
      <c r="C34" s="18"/>
      <c r="D34" s="18"/>
      <c r="E34" s="22"/>
      <c r="F34" s="22"/>
      <c r="G34" s="18"/>
      <c r="H34" s="22"/>
      <c r="I34" s="25"/>
      <c r="J34" s="25"/>
      <c r="K34" s="26"/>
      <c r="L34" s="26"/>
      <c r="M34" s="26"/>
      <c r="N34" s="29"/>
      <c r="O34" s="29"/>
      <c r="P34" s="29"/>
      <c r="Q34" s="18"/>
      <c r="R34" s="18"/>
      <c r="S34" s="32"/>
      <c r="T34" s="33"/>
      <c r="U34" s="22"/>
      <c r="V34" s="37" t="s">
        <v>140</v>
      </c>
      <c r="W34" s="38">
        <v>24010000401</v>
      </c>
      <c r="X34" s="19" t="s">
        <v>141</v>
      </c>
      <c r="Y34" s="19" t="s">
        <v>41</v>
      </c>
      <c r="Z34" s="19" t="s">
        <v>41</v>
      </c>
      <c r="AA34" s="18" t="s">
        <v>92</v>
      </c>
      <c r="AB34" s="19" t="s">
        <v>142</v>
      </c>
      <c r="AC34" s="42">
        <v>600</v>
      </c>
      <c r="AD34" s="42">
        <v>550</v>
      </c>
      <c r="AE34" s="42">
        <v>467.5</v>
      </c>
      <c r="AF34" s="18" t="s">
        <v>40</v>
      </c>
      <c r="AG34" s="47" t="s">
        <v>41</v>
      </c>
    </row>
    <row r="35" s="9" customFormat="1" ht="25.5" spans="1:33">
      <c r="A35" s="18"/>
      <c r="B35" s="18"/>
      <c r="C35" s="18"/>
      <c r="D35" s="18"/>
      <c r="E35" s="22"/>
      <c r="F35" s="22"/>
      <c r="G35" s="18"/>
      <c r="H35" s="22"/>
      <c r="I35" s="25"/>
      <c r="J35" s="25"/>
      <c r="K35" s="26"/>
      <c r="L35" s="26"/>
      <c r="M35" s="26"/>
      <c r="N35" s="29"/>
      <c r="O35" s="29"/>
      <c r="P35" s="29"/>
      <c r="Q35" s="18"/>
      <c r="R35" s="18"/>
      <c r="S35" s="32"/>
      <c r="T35" s="33"/>
      <c r="U35" s="22"/>
      <c r="V35" s="39" t="s">
        <v>143</v>
      </c>
      <c r="W35" s="40">
        <v>24010000101</v>
      </c>
      <c r="X35" s="41" t="s">
        <v>144</v>
      </c>
      <c r="Y35" s="41" t="s">
        <v>41</v>
      </c>
      <c r="Z35" s="41" t="s">
        <v>41</v>
      </c>
      <c r="AA35" s="46" t="s">
        <v>92</v>
      </c>
      <c r="AB35" s="41" t="s">
        <v>145</v>
      </c>
      <c r="AC35" s="42">
        <v>20</v>
      </c>
      <c r="AD35" s="42">
        <v>17.6</v>
      </c>
      <c r="AE35" s="42">
        <v>15</v>
      </c>
      <c r="AF35" s="18" t="s">
        <v>40</v>
      </c>
      <c r="AG35" s="47" t="s">
        <v>41</v>
      </c>
    </row>
    <row r="36" s="9" customFormat="1" ht="25.5" spans="1:33">
      <c r="A36" s="18"/>
      <c r="B36" s="18"/>
      <c r="C36" s="18"/>
      <c r="D36" s="18"/>
      <c r="E36" s="22"/>
      <c r="F36" s="22"/>
      <c r="G36" s="18"/>
      <c r="H36" s="22"/>
      <c r="I36" s="25"/>
      <c r="J36" s="25"/>
      <c r="K36" s="26"/>
      <c r="L36" s="26"/>
      <c r="M36" s="26"/>
      <c r="N36" s="29"/>
      <c r="O36" s="29"/>
      <c r="P36" s="29"/>
      <c r="Q36" s="18"/>
      <c r="R36" s="18"/>
      <c r="S36" s="32"/>
      <c r="T36" s="33"/>
      <c r="U36" s="22"/>
      <c r="V36" s="39" t="s">
        <v>146</v>
      </c>
      <c r="W36" s="40">
        <v>24010000201</v>
      </c>
      <c r="X36" s="41" t="s">
        <v>147</v>
      </c>
      <c r="Y36" s="41" t="s">
        <v>41</v>
      </c>
      <c r="Z36" s="41" t="s">
        <v>41</v>
      </c>
      <c r="AA36" s="46" t="s">
        <v>92</v>
      </c>
      <c r="AB36" s="41" t="s">
        <v>145</v>
      </c>
      <c r="AC36" s="42">
        <v>32</v>
      </c>
      <c r="AD36" s="42">
        <v>28.16</v>
      </c>
      <c r="AE36" s="42">
        <v>23.9</v>
      </c>
      <c r="AF36" s="18" t="s">
        <v>40</v>
      </c>
      <c r="AG36" s="47" t="s">
        <v>41</v>
      </c>
    </row>
    <row r="37" s="9" customFormat="1" ht="25.5" spans="1:33">
      <c r="A37" s="18"/>
      <c r="B37" s="18"/>
      <c r="C37" s="18"/>
      <c r="D37" s="18"/>
      <c r="E37" s="22"/>
      <c r="F37" s="22"/>
      <c r="G37" s="18"/>
      <c r="H37" s="22"/>
      <c r="I37" s="25"/>
      <c r="J37" s="25"/>
      <c r="K37" s="26"/>
      <c r="L37" s="26"/>
      <c r="M37" s="26"/>
      <c r="N37" s="29"/>
      <c r="O37" s="29"/>
      <c r="P37" s="29"/>
      <c r="Q37" s="18"/>
      <c r="R37" s="18"/>
      <c r="S37" s="32"/>
      <c r="T37" s="33"/>
      <c r="U37" s="22"/>
      <c r="V37" s="39" t="s">
        <v>148</v>
      </c>
      <c r="W37" s="40">
        <v>24010000301</v>
      </c>
      <c r="X37" s="41" t="s">
        <v>149</v>
      </c>
      <c r="Y37" s="41" t="s">
        <v>41</v>
      </c>
      <c r="Z37" s="41" t="s">
        <v>41</v>
      </c>
      <c r="AA37" s="46" t="s">
        <v>92</v>
      </c>
      <c r="AB37" s="41" t="s">
        <v>145</v>
      </c>
      <c r="AC37" s="42">
        <v>96</v>
      </c>
      <c r="AD37" s="42">
        <v>84.48</v>
      </c>
      <c r="AE37" s="42">
        <v>71.8</v>
      </c>
      <c r="AF37" s="18" t="s">
        <v>40</v>
      </c>
      <c r="AG37" s="47" t="s">
        <v>41</v>
      </c>
    </row>
    <row r="38" s="9" customFormat="1" ht="25.5" spans="1:33">
      <c r="A38" s="18"/>
      <c r="B38" s="18"/>
      <c r="C38" s="18"/>
      <c r="D38" s="18"/>
      <c r="E38" s="22"/>
      <c r="F38" s="22"/>
      <c r="G38" s="18"/>
      <c r="H38" s="22"/>
      <c r="I38" s="25"/>
      <c r="J38" s="25"/>
      <c r="K38" s="26"/>
      <c r="L38" s="26"/>
      <c r="M38" s="26"/>
      <c r="N38" s="29"/>
      <c r="O38" s="29"/>
      <c r="P38" s="29"/>
      <c r="Q38" s="18"/>
      <c r="R38" s="18"/>
      <c r="S38" s="32"/>
      <c r="T38" s="33"/>
      <c r="U38" s="22"/>
      <c r="V38" s="39" t="s">
        <v>150</v>
      </c>
      <c r="W38" s="40">
        <v>24010000404</v>
      </c>
      <c r="X38" s="41" t="s">
        <v>151</v>
      </c>
      <c r="Y38" s="41" t="s">
        <v>41</v>
      </c>
      <c r="Z38" s="41" t="s">
        <v>41</v>
      </c>
      <c r="AA38" s="46" t="s">
        <v>92</v>
      </c>
      <c r="AB38" s="41" t="s">
        <v>145</v>
      </c>
      <c r="AC38" s="42">
        <v>240</v>
      </c>
      <c r="AD38" s="42">
        <v>220</v>
      </c>
      <c r="AE38" s="42">
        <v>187</v>
      </c>
      <c r="AF38" s="18" t="s">
        <v>40</v>
      </c>
      <c r="AG38" s="47" t="s">
        <v>41</v>
      </c>
    </row>
    <row r="39" s="9" customFormat="1" ht="41" customHeight="1" spans="1:33">
      <c r="A39" s="18" t="s">
        <v>81</v>
      </c>
      <c r="B39" s="18" t="s">
        <v>152</v>
      </c>
      <c r="C39" s="18" t="s">
        <v>153</v>
      </c>
      <c r="D39" s="18" t="s">
        <v>35</v>
      </c>
      <c r="E39" s="22" t="s">
        <v>41</v>
      </c>
      <c r="F39" s="22" t="s">
        <v>41</v>
      </c>
      <c r="G39" s="18" t="s">
        <v>38</v>
      </c>
      <c r="H39" s="22" t="s">
        <v>41</v>
      </c>
      <c r="I39" s="25">
        <v>650</v>
      </c>
      <c r="J39" s="25">
        <v>585</v>
      </c>
      <c r="K39" s="27">
        <v>1100</v>
      </c>
      <c r="L39" s="27"/>
      <c r="M39" s="27"/>
      <c r="N39" s="29">
        <v>600</v>
      </c>
      <c r="O39" s="29">
        <v>540</v>
      </c>
      <c r="P39" s="29">
        <v>460</v>
      </c>
      <c r="Q39" s="18" t="s">
        <v>40</v>
      </c>
      <c r="R39" s="18" t="s">
        <v>41</v>
      </c>
      <c r="S39" s="32">
        <v>0.05</v>
      </c>
      <c r="T39" s="33"/>
      <c r="U39" s="22" t="s">
        <v>154</v>
      </c>
      <c r="V39" s="37" t="s">
        <v>155</v>
      </c>
      <c r="W39" s="38">
        <v>24010000405</v>
      </c>
      <c r="X39" s="19" t="s">
        <v>156</v>
      </c>
      <c r="Y39" s="19" t="s">
        <v>41</v>
      </c>
      <c r="Z39" s="19" t="s">
        <v>41</v>
      </c>
      <c r="AA39" s="18" t="s">
        <v>92</v>
      </c>
      <c r="AB39" s="19" t="s">
        <v>157</v>
      </c>
      <c r="AC39" s="42">
        <v>600</v>
      </c>
      <c r="AD39" s="42">
        <v>550</v>
      </c>
      <c r="AE39" s="42">
        <v>467.5</v>
      </c>
      <c r="AF39" s="18" t="s">
        <v>40</v>
      </c>
      <c r="AG39" s="47" t="s">
        <v>41</v>
      </c>
    </row>
    <row r="40" s="9" customFormat="1" ht="41" customHeight="1" spans="1:33">
      <c r="A40" s="18"/>
      <c r="B40" s="18"/>
      <c r="C40" s="18"/>
      <c r="D40" s="18"/>
      <c r="E40" s="22"/>
      <c r="F40" s="22"/>
      <c r="G40" s="18"/>
      <c r="H40" s="22"/>
      <c r="I40" s="25"/>
      <c r="J40" s="25"/>
      <c r="K40" s="27"/>
      <c r="L40" s="27"/>
      <c r="M40" s="27"/>
      <c r="N40" s="29"/>
      <c r="O40" s="29"/>
      <c r="P40" s="29"/>
      <c r="Q40" s="18"/>
      <c r="R40" s="18"/>
      <c r="S40" s="32"/>
      <c r="T40" s="33"/>
      <c r="U40" s="22"/>
      <c r="V40" s="37" t="s">
        <v>158</v>
      </c>
      <c r="W40" s="38">
        <v>240100006</v>
      </c>
      <c r="X40" s="19" t="s">
        <v>159</v>
      </c>
      <c r="Y40" s="19" t="s">
        <v>160</v>
      </c>
      <c r="Z40" s="19" t="s">
        <v>41</v>
      </c>
      <c r="AA40" s="18" t="s">
        <v>38</v>
      </c>
      <c r="AB40" s="19" t="s">
        <v>41</v>
      </c>
      <c r="AC40" s="42">
        <v>2000</v>
      </c>
      <c r="AD40" s="42">
        <v>2000</v>
      </c>
      <c r="AE40" s="42">
        <v>1700</v>
      </c>
      <c r="AF40" s="18" t="s">
        <v>40</v>
      </c>
      <c r="AG40" s="47" t="s">
        <v>41</v>
      </c>
    </row>
    <row r="41" s="9" customFormat="1" ht="36" customHeight="1" spans="1:33">
      <c r="A41" s="18" t="s">
        <v>81</v>
      </c>
      <c r="B41" s="18" t="s">
        <v>161</v>
      </c>
      <c r="C41" s="18" t="s">
        <v>162</v>
      </c>
      <c r="D41" s="18" t="s">
        <v>35</v>
      </c>
      <c r="E41" s="22" t="s">
        <v>41</v>
      </c>
      <c r="F41" s="22" t="s">
        <v>41</v>
      </c>
      <c r="G41" s="18" t="s">
        <v>38</v>
      </c>
      <c r="H41" s="22" t="s">
        <v>41</v>
      </c>
      <c r="I41" s="25">
        <v>800</v>
      </c>
      <c r="J41" s="25">
        <v>720</v>
      </c>
      <c r="K41" s="27"/>
      <c r="L41" s="27"/>
      <c r="M41" s="27"/>
      <c r="N41" s="29">
        <v>750</v>
      </c>
      <c r="O41" s="29">
        <v>680</v>
      </c>
      <c r="P41" s="29">
        <v>580</v>
      </c>
      <c r="Q41" s="18" t="s">
        <v>40</v>
      </c>
      <c r="R41" s="18" t="s">
        <v>41</v>
      </c>
      <c r="S41" s="32">
        <v>0.05</v>
      </c>
      <c r="T41" s="33"/>
      <c r="U41" s="22" t="s">
        <v>163</v>
      </c>
      <c r="V41" s="37" t="s">
        <v>164</v>
      </c>
      <c r="W41" s="38">
        <v>24010000402</v>
      </c>
      <c r="X41" s="19" t="s">
        <v>165</v>
      </c>
      <c r="Y41" s="19" t="s">
        <v>41</v>
      </c>
      <c r="Z41" s="19" t="s">
        <v>41</v>
      </c>
      <c r="AA41" s="18" t="s">
        <v>92</v>
      </c>
      <c r="AB41" s="19" t="s">
        <v>166</v>
      </c>
      <c r="AC41" s="42">
        <v>600</v>
      </c>
      <c r="AD41" s="42">
        <v>550</v>
      </c>
      <c r="AE41" s="42">
        <v>467.5</v>
      </c>
      <c r="AF41" s="18" t="s">
        <v>40</v>
      </c>
      <c r="AG41" s="47" t="s">
        <v>41</v>
      </c>
    </row>
    <row r="42" s="9" customFormat="1" ht="36" customHeight="1" spans="1:33">
      <c r="A42" s="18"/>
      <c r="B42" s="18"/>
      <c r="C42" s="18"/>
      <c r="D42" s="18"/>
      <c r="E42" s="22"/>
      <c r="F42" s="22"/>
      <c r="G42" s="18"/>
      <c r="H42" s="22"/>
      <c r="I42" s="25"/>
      <c r="J42" s="25"/>
      <c r="K42" s="27"/>
      <c r="L42" s="27"/>
      <c r="M42" s="27"/>
      <c r="N42" s="29"/>
      <c r="O42" s="29"/>
      <c r="P42" s="29"/>
      <c r="Q42" s="18"/>
      <c r="R42" s="18"/>
      <c r="S42" s="32"/>
      <c r="T42" s="33"/>
      <c r="U42" s="22"/>
      <c r="V42" s="37" t="s">
        <v>167</v>
      </c>
      <c r="W42" s="38">
        <v>24010000403</v>
      </c>
      <c r="X42" s="19" t="s">
        <v>168</v>
      </c>
      <c r="Y42" s="19" t="s">
        <v>41</v>
      </c>
      <c r="Z42" s="19" t="s">
        <v>41</v>
      </c>
      <c r="AA42" s="18" t="s">
        <v>92</v>
      </c>
      <c r="AB42" s="19" t="s">
        <v>169</v>
      </c>
      <c r="AC42" s="42">
        <v>600</v>
      </c>
      <c r="AD42" s="42">
        <v>550</v>
      </c>
      <c r="AE42" s="42">
        <v>467.5</v>
      </c>
      <c r="AF42" s="18" t="s">
        <v>40</v>
      </c>
      <c r="AG42" s="47" t="s">
        <v>41</v>
      </c>
    </row>
    <row r="43" s="9" customFormat="1" ht="49" customHeight="1" spans="1:33">
      <c r="A43" s="18">
        <v>3</v>
      </c>
      <c r="B43" s="18" t="s">
        <v>170</v>
      </c>
      <c r="C43" s="18" t="s">
        <v>171</v>
      </c>
      <c r="D43" s="18" t="s">
        <v>35</v>
      </c>
      <c r="E43" s="22" t="s">
        <v>172</v>
      </c>
      <c r="F43" s="22" t="s">
        <v>173</v>
      </c>
      <c r="G43" s="18" t="s">
        <v>38</v>
      </c>
      <c r="H43" s="22" t="s">
        <v>41</v>
      </c>
      <c r="I43" s="25">
        <v>1200</v>
      </c>
      <c r="J43" s="25">
        <v>1080</v>
      </c>
      <c r="K43" s="26">
        <v>1512.88941038428</v>
      </c>
      <c r="L43" s="26">
        <v>300</v>
      </c>
      <c r="M43" s="26" t="e">
        <v>#DIV/0!</v>
      </c>
      <c r="N43" s="29">
        <v>1150</v>
      </c>
      <c r="O43" s="29">
        <v>1035</v>
      </c>
      <c r="P43" s="29">
        <v>880</v>
      </c>
      <c r="Q43" s="18" t="s">
        <v>40</v>
      </c>
      <c r="R43" s="18" t="s">
        <v>41</v>
      </c>
      <c r="S43" s="32">
        <v>0.05</v>
      </c>
      <c r="T43" s="33" t="s">
        <v>174</v>
      </c>
      <c r="U43" s="22" t="s">
        <v>175</v>
      </c>
      <c r="V43" s="37" t="s">
        <v>176</v>
      </c>
      <c r="W43" s="38">
        <v>240600002</v>
      </c>
      <c r="X43" s="19" t="s">
        <v>177</v>
      </c>
      <c r="Y43" s="19" t="s">
        <v>178</v>
      </c>
      <c r="Z43" s="19" t="s">
        <v>41</v>
      </c>
      <c r="AA43" s="18" t="s">
        <v>38</v>
      </c>
      <c r="AB43" s="19" t="s">
        <v>41</v>
      </c>
      <c r="AC43" s="42">
        <v>1600</v>
      </c>
      <c r="AD43" s="42">
        <v>1600</v>
      </c>
      <c r="AE43" s="42">
        <v>1360</v>
      </c>
      <c r="AF43" s="18" t="s">
        <v>40</v>
      </c>
      <c r="AG43" s="47" t="s">
        <v>41</v>
      </c>
    </row>
    <row r="44" s="9" customFormat="1" ht="49" customHeight="1" spans="1:33">
      <c r="A44" s="18"/>
      <c r="B44" s="18"/>
      <c r="C44" s="18"/>
      <c r="D44" s="18"/>
      <c r="E44" s="22"/>
      <c r="F44" s="22"/>
      <c r="G44" s="18"/>
      <c r="H44" s="22"/>
      <c r="I44" s="25"/>
      <c r="J44" s="25"/>
      <c r="K44" s="26"/>
      <c r="L44" s="26"/>
      <c r="M44" s="26"/>
      <c r="N44" s="29"/>
      <c r="O44" s="29"/>
      <c r="P44" s="29"/>
      <c r="Q44" s="18"/>
      <c r="R44" s="18"/>
      <c r="S44" s="32"/>
      <c r="T44" s="33"/>
      <c r="U44" s="22"/>
      <c r="V44" s="37" t="s">
        <v>179</v>
      </c>
      <c r="W44" s="38">
        <v>240200004</v>
      </c>
      <c r="X44" s="19" t="s">
        <v>180</v>
      </c>
      <c r="Y44" s="19" t="s">
        <v>181</v>
      </c>
      <c r="Z44" s="19" t="s">
        <v>41</v>
      </c>
      <c r="AA44" s="18" t="s">
        <v>38</v>
      </c>
      <c r="AB44" s="19" t="s">
        <v>41</v>
      </c>
      <c r="AC44" s="42">
        <v>320</v>
      </c>
      <c r="AD44" s="42">
        <v>300</v>
      </c>
      <c r="AE44" s="42">
        <v>280</v>
      </c>
      <c r="AF44" s="18" t="s">
        <v>40</v>
      </c>
      <c r="AG44" s="47" t="s">
        <v>41</v>
      </c>
    </row>
    <row r="45" s="9" customFormat="1" ht="32" customHeight="1" spans="1:33">
      <c r="A45" s="18">
        <v>4</v>
      </c>
      <c r="B45" s="18" t="s">
        <v>182</v>
      </c>
      <c r="C45" s="18" t="s">
        <v>183</v>
      </c>
      <c r="D45" s="18" t="s">
        <v>35</v>
      </c>
      <c r="E45" s="22" t="s">
        <v>184</v>
      </c>
      <c r="F45" s="22" t="s">
        <v>185</v>
      </c>
      <c r="G45" s="18" t="s">
        <v>38</v>
      </c>
      <c r="H45" s="22" t="s">
        <v>41</v>
      </c>
      <c r="I45" s="25">
        <v>425</v>
      </c>
      <c r="J45" s="25">
        <v>383</v>
      </c>
      <c r="K45" s="26">
        <v>409.655015197568</v>
      </c>
      <c r="L45" s="27"/>
      <c r="M45" s="27"/>
      <c r="N45" s="29">
        <v>410</v>
      </c>
      <c r="O45" s="29">
        <v>370</v>
      </c>
      <c r="P45" s="29">
        <v>315</v>
      </c>
      <c r="Q45" s="18" t="s">
        <v>40</v>
      </c>
      <c r="R45" s="18" t="s">
        <v>41</v>
      </c>
      <c r="S45" s="32">
        <v>0.05</v>
      </c>
      <c r="T45" s="33" t="s">
        <v>186</v>
      </c>
      <c r="U45" s="22" t="s">
        <v>187</v>
      </c>
      <c r="V45" s="37" t="s">
        <v>188</v>
      </c>
      <c r="W45" s="38">
        <v>240100005</v>
      </c>
      <c r="X45" s="19" t="s">
        <v>189</v>
      </c>
      <c r="Y45" s="19" t="s">
        <v>190</v>
      </c>
      <c r="Z45" s="19" t="s">
        <v>41</v>
      </c>
      <c r="AA45" s="18" t="s">
        <v>38</v>
      </c>
      <c r="AB45" s="19" t="s">
        <v>191</v>
      </c>
      <c r="AC45" s="42">
        <v>50</v>
      </c>
      <c r="AD45" s="42">
        <v>44</v>
      </c>
      <c r="AE45" s="42">
        <v>37.4</v>
      </c>
      <c r="AF45" s="18" t="s">
        <v>40</v>
      </c>
      <c r="AG45" s="47" t="s">
        <v>41</v>
      </c>
    </row>
    <row r="46" s="9" customFormat="1" ht="25.5" spans="1:33">
      <c r="A46" s="18"/>
      <c r="B46" s="18"/>
      <c r="C46" s="18"/>
      <c r="D46" s="18"/>
      <c r="E46" s="22"/>
      <c r="F46" s="22"/>
      <c r="G46" s="18"/>
      <c r="H46" s="22"/>
      <c r="I46" s="25"/>
      <c r="J46" s="25"/>
      <c r="K46" s="26"/>
      <c r="L46" s="27"/>
      <c r="M46" s="27"/>
      <c r="N46" s="29"/>
      <c r="O46" s="29"/>
      <c r="P46" s="29"/>
      <c r="Q46" s="18"/>
      <c r="R46" s="18"/>
      <c r="S46" s="32"/>
      <c r="T46" s="33"/>
      <c r="U46" s="22"/>
      <c r="V46" s="37" t="s">
        <v>192</v>
      </c>
      <c r="W46" s="37">
        <v>24010000501</v>
      </c>
      <c r="X46" s="41" t="s">
        <v>193</v>
      </c>
      <c r="Y46" s="41" t="s">
        <v>41</v>
      </c>
      <c r="Z46" s="41" t="s">
        <v>41</v>
      </c>
      <c r="AA46" s="46" t="s">
        <v>92</v>
      </c>
      <c r="AB46" s="41" t="s">
        <v>145</v>
      </c>
      <c r="AC46" s="42">
        <v>20</v>
      </c>
      <c r="AD46" s="42">
        <v>17.6</v>
      </c>
      <c r="AE46" s="42">
        <v>15</v>
      </c>
      <c r="AF46" s="18" t="s">
        <v>40</v>
      </c>
      <c r="AG46" s="47" t="s">
        <v>41</v>
      </c>
    </row>
    <row r="47" s="9" customFormat="1" ht="25.5" spans="1:33">
      <c r="A47" s="18"/>
      <c r="B47" s="18"/>
      <c r="C47" s="18"/>
      <c r="D47" s="18"/>
      <c r="E47" s="22"/>
      <c r="F47" s="22"/>
      <c r="G47" s="18"/>
      <c r="H47" s="22"/>
      <c r="I47" s="25"/>
      <c r="J47" s="25"/>
      <c r="K47" s="26"/>
      <c r="L47" s="27"/>
      <c r="M47" s="27"/>
      <c r="N47" s="29"/>
      <c r="O47" s="29"/>
      <c r="P47" s="29"/>
      <c r="Q47" s="18"/>
      <c r="R47" s="18"/>
      <c r="S47" s="32"/>
      <c r="T47" s="33"/>
      <c r="U47" s="22"/>
      <c r="V47" s="37" t="s">
        <v>194</v>
      </c>
      <c r="W47" s="38">
        <v>240300004</v>
      </c>
      <c r="X47" s="19" t="s">
        <v>195</v>
      </c>
      <c r="Y47" s="19" t="s">
        <v>41</v>
      </c>
      <c r="Z47" s="19" t="s">
        <v>41</v>
      </c>
      <c r="AA47" s="18" t="s">
        <v>196</v>
      </c>
      <c r="AB47" s="19" t="s">
        <v>41</v>
      </c>
      <c r="AC47" s="42">
        <v>50</v>
      </c>
      <c r="AD47" s="42">
        <v>45</v>
      </c>
      <c r="AE47" s="29" t="s">
        <v>41</v>
      </c>
      <c r="AF47" s="18" t="s">
        <v>40</v>
      </c>
      <c r="AG47" s="47" t="s">
        <v>41</v>
      </c>
    </row>
    <row r="48" s="9" customFormat="1" ht="25.5" spans="1:33">
      <c r="A48" s="18"/>
      <c r="B48" s="18"/>
      <c r="C48" s="18"/>
      <c r="D48" s="18"/>
      <c r="E48" s="22"/>
      <c r="F48" s="22"/>
      <c r="G48" s="18"/>
      <c r="H48" s="22"/>
      <c r="I48" s="25"/>
      <c r="J48" s="25"/>
      <c r="K48" s="26"/>
      <c r="L48" s="27"/>
      <c r="M48" s="27"/>
      <c r="N48" s="29"/>
      <c r="O48" s="29"/>
      <c r="P48" s="29"/>
      <c r="Q48" s="18"/>
      <c r="R48" s="18"/>
      <c r="S48" s="32"/>
      <c r="T48" s="33"/>
      <c r="U48" s="22"/>
      <c r="V48" s="37" t="s">
        <v>197</v>
      </c>
      <c r="W48" s="38">
        <v>240300005</v>
      </c>
      <c r="X48" s="19" t="s">
        <v>198</v>
      </c>
      <c r="Y48" s="19" t="s">
        <v>199</v>
      </c>
      <c r="Z48" s="19" t="s">
        <v>41</v>
      </c>
      <c r="AA48" s="18" t="s">
        <v>196</v>
      </c>
      <c r="AB48" s="19" t="s">
        <v>41</v>
      </c>
      <c r="AC48" s="42">
        <v>100</v>
      </c>
      <c r="AD48" s="42">
        <v>90</v>
      </c>
      <c r="AE48" s="29" t="s">
        <v>41</v>
      </c>
      <c r="AF48" s="18" t="s">
        <v>40</v>
      </c>
      <c r="AG48" s="47" t="s">
        <v>41</v>
      </c>
    </row>
    <row r="49" s="9" customFormat="1" ht="25.5" spans="1:33">
      <c r="A49" s="18"/>
      <c r="B49" s="18"/>
      <c r="C49" s="18"/>
      <c r="D49" s="18"/>
      <c r="E49" s="22"/>
      <c r="F49" s="22"/>
      <c r="G49" s="18"/>
      <c r="H49" s="22"/>
      <c r="I49" s="25"/>
      <c r="J49" s="25"/>
      <c r="K49" s="26"/>
      <c r="L49" s="27"/>
      <c r="M49" s="27"/>
      <c r="N49" s="29"/>
      <c r="O49" s="29"/>
      <c r="P49" s="29"/>
      <c r="Q49" s="18"/>
      <c r="R49" s="18"/>
      <c r="S49" s="32"/>
      <c r="T49" s="33"/>
      <c r="U49" s="22"/>
      <c r="V49" s="37" t="s">
        <v>200</v>
      </c>
      <c r="W49" s="38">
        <v>24030000501</v>
      </c>
      <c r="X49" s="19" t="s">
        <v>201</v>
      </c>
      <c r="Y49" s="19" t="s">
        <v>41</v>
      </c>
      <c r="Z49" s="19" t="s">
        <v>41</v>
      </c>
      <c r="AA49" s="18" t="s">
        <v>196</v>
      </c>
      <c r="AB49" s="19" t="s">
        <v>202</v>
      </c>
      <c r="AC49" s="42">
        <v>100</v>
      </c>
      <c r="AD49" s="42">
        <v>90</v>
      </c>
      <c r="AE49" s="29" t="s">
        <v>41</v>
      </c>
      <c r="AF49" s="18" t="s">
        <v>40</v>
      </c>
      <c r="AG49" s="47" t="s">
        <v>41</v>
      </c>
    </row>
    <row r="50" s="9" customFormat="1" ht="25.5" spans="1:33">
      <c r="A50" s="18"/>
      <c r="B50" s="18"/>
      <c r="C50" s="18"/>
      <c r="D50" s="18"/>
      <c r="E50" s="22"/>
      <c r="F50" s="22"/>
      <c r="G50" s="18"/>
      <c r="H50" s="22"/>
      <c r="I50" s="25"/>
      <c r="J50" s="25"/>
      <c r="K50" s="26"/>
      <c r="L50" s="27"/>
      <c r="M50" s="27"/>
      <c r="N50" s="29"/>
      <c r="O50" s="29"/>
      <c r="P50" s="29"/>
      <c r="Q50" s="18"/>
      <c r="R50" s="18"/>
      <c r="S50" s="32"/>
      <c r="T50" s="33"/>
      <c r="U50" s="22"/>
      <c r="V50" s="37" t="s">
        <v>203</v>
      </c>
      <c r="W50" s="38">
        <v>24030000502</v>
      </c>
      <c r="X50" s="19" t="s">
        <v>204</v>
      </c>
      <c r="Y50" s="19" t="s">
        <v>41</v>
      </c>
      <c r="Z50" s="19" t="s">
        <v>41</v>
      </c>
      <c r="AA50" s="18" t="s">
        <v>196</v>
      </c>
      <c r="AB50" s="19" t="s">
        <v>205</v>
      </c>
      <c r="AC50" s="42">
        <v>100</v>
      </c>
      <c r="AD50" s="42">
        <v>90</v>
      </c>
      <c r="AE50" s="29" t="s">
        <v>41</v>
      </c>
      <c r="AF50" s="18" t="s">
        <v>40</v>
      </c>
      <c r="AG50" s="47" t="s">
        <v>41</v>
      </c>
    </row>
    <row r="51" s="9" customFormat="1" ht="25.5" spans="1:33">
      <c r="A51" s="18"/>
      <c r="B51" s="18"/>
      <c r="C51" s="18"/>
      <c r="D51" s="18"/>
      <c r="E51" s="22"/>
      <c r="F51" s="22"/>
      <c r="G51" s="18"/>
      <c r="H51" s="22"/>
      <c r="I51" s="25"/>
      <c r="J51" s="25"/>
      <c r="K51" s="26"/>
      <c r="L51" s="27"/>
      <c r="M51" s="27"/>
      <c r="N51" s="29"/>
      <c r="O51" s="29"/>
      <c r="P51" s="29"/>
      <c r="Q51" s="18"/>
      <c r="R51" s="18"/>
      <c r="S51" s="32"/>
      <c r="T51" s="33"/>
      <c r="U51" s="22"/>
      <c r="V51" s="37" t="s">
        <v>206</v>
      </c>
      <c r="W51" s="38">
        <v>24030000503</v>
      </c>
      <c r="X51" s="19" t="s">
        <v>207</v>
      </c>
      <c r="Y51" s="19" t="s">
        <v>41</v>
      </c>
      <c r="Z51" s="19" t="s">
        <v>41</v>
      </c>
      <c r="AA51" s="18" t="s">
        <v>196</v>
      </c>
      <c r="AB51" s="19" t="s">
        <v>208</v>
      </c>
      <c r="AC51" s="42">
        <v>100</v>
      </c>
      <c r="AD51" s="42">
        <v>90</v>
      </c>
      <c r="AE51" s="29" t="s">
        <v>41</v>
      </c>
      <c r="AF51" s="18" t="s">
        <v>40</v>
      </c>
      <c r="AG51" s="47" t="s">
        <v>41</v>
      </c>
    </row>
    <row r="52" s="9" customFormat="1" ht="25.5" spans="1:33">
      <c r="A52" s="18"/>
      <c r="B52" s="18"/>
      <c r="C52" s="18"/>
      <c r="D52" s="18"/>
      <c r="E52" s="22"/>
      <c r="F52" s="22"/>
      <c r="G52" s="18"/>
      <c r="H52" s="22"/>
      <c r="I52" s="25"/>
      <c r="J52" s="25"/>
      <c r="K52" s="26"/>
      <c r="L52" s="27"/>
      <c r="M52" s="27"/>
      <c r="N52" s="29"/>
      <c r="O52" s="29"/>
      <c r="P52" s="29"/>
      <c r="Q52" s="18"/>
      <c r="R52" s="18"/>
      <c r="S52" s="32"/>
      <c r="T52" s="33"/>
      <c r="U52" s="22"/>
      <c r="V52" s="37" t="s">
        <v>209</v>
      </c>
      <c r="W52" s="38">
        <v>24030000504</v>
      </c>
      <c r="X52" s="19" t="s">
        <v>210</v>
      </c>
      <c r="Y52" s="19" t="s">
        <v>41</v>
      </c>
      <c r="Z52" s="19" t="s">
        <v>41</v>
      </c>
      <c r="AA52" s="18" t="s">
        <v>196</v>
      </c>
      <c r="AB52" s="19" t="s">
        <v>211</v>
      </c>
      <c r="AC52" s="42">
        <v>100</v>
      </c>
      <c r="AD52" s="42">
        <v>90</v>
      </c>
      <c r="AE52" s="29" t="s">
        <v>41</v>
      </c>
      <c r="AF52" s="18" t="s">
        <v>40</v>
      </c>
      <c r="AG52" s="47" t="s">
        <v>41</v>
      </c>
    </row>
    <row r="53" s="9" customFormat="1" ht="25.5" spans="1:33">
      <c r="A53" s="18"/>
      <c r="B53" s="18"/>
      <c r="C53" s="18"/>
      <c r="D53" s="18"/>
      <c r="E53" s="22"/>
      <c r="F53" s="22"/>
      <c r="G53" s="18"/>
      <c r="H53" s="22"/>
      <c r="I53" s="25"/>
      <c r="J53" s="25"/>
      <c r="K53" s="26"/>
      <c r="L53" s="27"/>
      <c r="M53" s="27"/>
      <c r="N53" s="29"/>
      <c r="O53" s="29"/>
      <c r="P53" s="29"/>
      <c r="Q53" s="18"/>
      <c r="R53" s="18"/>
      <c r="S53" s="32"/>
      <c r="T53" s="33"/>
      <c r="U53" s="22"/>
      <c r="V53" s="37" t="s">
        <v>212</v>
      </c>
      <c r="W53" s="38">
        <v>240600001</v>
      </c>
      <c r="X53" s="19" t="s">
        <v>213</v>
      </c>
      <c r="Y53" s="19" t="s">
        <v>41</v>
      </c>
      <c r="Z53" s="19" t="s">
        <v>41</v>
      </c>
      <c r="AA53" s="18" t="s">
        <v>38</v>
      </c>
      <c r="AB53" s="19" t="s">
        <v>41</v>
      </c>
      <c r="AC53" s="29" t="s">
        <v>41</v>
      </c>
      <c r="AD53" s="29" t="s">
        <v>41</v>
      </c>
      <c r="AE53" s="29" t="s">
        <v>41</v>
      </c>
      <c r="AF53" s="18" t="s">
        <v>41</v>
      </c>
      <c r="AG53" s="47" t="s">
        <v>41</v>
      </c>
    </row>
    <row r="54" s="9" customFormat="1" ht="25.5" spans="1:33">
      <c r="A54" s="18"/>
      <c r="B54" s="18"/>
      <c r="C54" s="18"/>
      <c r="D54" s="18"/>
      <c r="E54" s="22"/>
      <c r="F54" s="22"/>
      <c r="G54" s="18"/>
      <c r="H54" s="22"/>
      <c r="I54" s="25"/>
      <c r="J54" s="25"/>
      <c r="K54" s="26"/>
      <c r="L54" s="27"/>
      <c r="M54" s="27"/>
      <c r="N54" s="29"/>
      <c r="O54" s="29"/>
      <c r="P54" s="29"/>
      <c r="Q54" s="18"/>
      <c r="R54" s="18"/>
      <c r="S54" s="32"/>
      <c r="T54" s="33"/>
      <c r="U54" s="22"/>
      <c r="V54" s="37" t="s">
        <v>214</v>
      </c>
      <c r="W54" s="38">
        <v>240300013</v>
      </c>
      <c r="X54" s="19" t="s">
        <v>215</v>
      </c>
      <c r="Y54" s="19" t="s">
        <v>216</v>
      </c>
      <c r="Z54" s="19" t="s">
        <v>41</v>
      </c>
      <c r="AA54" s="18" t="s">
        <v>101</v>
      </c>
      <c r="AB54" s="19" t="s">
        <v>41</v>
      </c>
      <c r="AC54" s="42">
        <v>1200</v>
      </c>
      <c r="AD54" s="42">
        <v>1056</v>
      </c>
      <c r="AE54" s="42">
        <v>897.6</v>
      </c>
      <c r="AF54" s="18" t="s">
        <v>40</v>
      </c>
      <c r="AG54" s="47" t="s">
        <v>41</v>
      </c>
    </row>
    <row r="55" s="9" customFormat="1" ht="30" customHeight="1" spans="1:33">
      <c r="A55" s="18" t="s">
        <v>81</v>
      </c>
      <c r="B55" s="18" t="s">
        <v>217</v>
      </c>
      <c r="C55" s="18" t="s">
        <v>218</v>
      </c>
      <c r="D55" s="18" t="s">
        <v>35</v>
      </c>
      <c r="E55" s="22" t="s">
        <v>41</v>
      </c>
      <c r="F55" s="22" t="s">
        <v>41</v>
      </c>
      <c r="G55" s="18" t="s">
        <v>38</v>
      </c>
      <c r="H55" s="22" t="s">
        <v>41</v>
      </c>
      <c r="I55" s="25">
        <v>120</v>
      </c>
      <c r="J55" s="25">
        <v>108</v>
      </c>
      <c r="K55" s="27"/>
      <c r="L55" s="27"/>
      <c r="M55" s="27"/>
      <c r="N55" s="29">
        <v>115</v>
      </c>
      <c r="O55" s="29">
        <v>100</v>
      </c>
      <c r="P55" s="29">
        <v>85</v>
      </c>
      <c r="Q55" s="18" t="s">
        <v>40</v>
      </c>
      <c r="R55" s="18" t="s">
        <v>41</v>
      </c>
      <c r="S55" s="32">
        <v>0.05</v>
      </c>
      <c r="T55" s="33"/>
      <c r="U55" s="22" t="s">
        <v>219</v>
      </c>
      <c r="V55" s="37" t="s">
        <v>220</v>
      </c>
      <c r="W55" s="38">
        <v>240300009</v>
      </c>
      <c r="X55" s="19" t="s">
        <v>221</v>
      </c>
      <c r="Y55" s="19" t="s">
        <v>41</v>
      </c>
      <c r="Z55" s="19" t="s">
        <v>41</v>
      </c>
      <c r="AA55" s="18" t="s">
        <v>101</v>
      </c>
      <c r="AB55" s="19" t="s">
        <v>41</v>
      </c>
      <c r="AC55" s="42">
        <v>130</v>
      </c>
      <c r="AD55" s="42">
        <v>114.4</v>
      </c>
      <c r="AE55" s="42">
        <v>97.2</v>
      </c>
      <c r="AF55" s="18" t="s">
        <v>40</v>
      </c>
      <c r="AG55" s="47" t="s">
        <v>41</v>
      </c>
    </row>
    <row r="56" s="9" customFormat="1" ht="30" customHeight="1" spans="1:33">
      <c r="A56" s="18"/>
      <c r="B56" s="18"/>
      <c r="C56" s="18"/>
      <c r="D56" s="18"/>
      <c r="E56" s="22"/>
      <c r="F56" s="22"/>
      <c r="G56" s="18"/>
      <c r="H56" s="22"/>
      <c r="I56" s="25"/>
      <c r="J56" s="25"/>
      <c r="K56" s="27"/>
      <c r="L56" s="27"/>
      <c r="M56" s="27"/>
      <c r="N56" s="29"/>
      <c r="O56" s="29"/>
      <c r="P56" s="29"/>
      <c r="Q56" s="18"/>
      <c r="R56" s="18"/>
      <c r="S56" s="32"/>
      <c r="T56" s="33"/>
      <c r="U56" s="22"/>
      <c r="V56" s="37" t="s">
        <v>222</v>
      </c>
      <c r="W56" s="38">
        <v>240300010</v>
      </c>
      <c r="X56" s="19" t="s">
        <v>223</v>
      </c>
      <c r="Y56" s="19" t="s">
        <v>41</v>
      </c>
      <c r="Z56" s="19" t="s">
        <v>41</v>
      </c>
      <c r="AA56" s="18" t="s">
        <v>101</v>
      </c>
      <c r="AB56" s="19" t="s">
        <v>41</v>
      </c>
      <c r="AC56" s="42">
        <v>1000</v>
      </c>
      <c r="AD56" s="42">
        <v>880</v>
      </c>
      <c r="AE56" s="42">
        <v>748</v>
      </c>
      <c r="AF56" s="18" t="s">
        <v>40</v>
      </c>
      <c r="AG56" s="47" t="s">
        <v>41</v>
      </c>
    </row>
    <row r="57" s="9" customFormat="1" ht="41" customHeight="1" spans="1:33">
      <c r="A57" s="18" t="s">
        <v>81</v>
      </c>
      <c r="B57" s="18" t="s">
        <v>224</v>
      </c>
      <c r="C57" s="18" t="s">
        <v>225</v>
      </c>
      <c r="D57" s="18" t="s">
        <v>35</v>
      </c>
      <c r="E57" s="22" t="s">
        <v>41</v>
      </c>
      <c r="F57" s="22" t="s">
        <v>41</v>
      </c>
      <c r="G57" s="18" t="s">
        <v>38</v>
      </c>
      <c r="H57" s="22" t="s">
        <v>41</v>
      </c>
      <c r="I57" s="25">
        <v>425</v>
      </c>
      <c r="J57" s="25">
        <v>383</v>
      </c>
      <c r="K57" s="27"/>
      <c r="L57" s="27"/>
      <c r="M57" s="27"/>
      <c r="N57" s="29">
        <v>410</v>
      </c>
      <c r="O57" s="29">
        <v>370</v>
      </c>
      <c r="P57" s="29">
        <v>315</v>
      </c>
      <c r="Q57" s="18" t="s">
        <v>40</v>
      </c>
      <c r="R57" s="18" t="s">
        <v>41</v>
      </c>
      <c r="S57" s="32">
        <v>0.05</v>
      </c>
      <c r="T57" s="33"/>
      <c r="U57" s="22" t="s">
        <v>226</v>
      </c>
      <c r="V57" s="37"/>
      <c r="W57" s="38"/>
      <c r="X57" s="19"/>
      <c r="Y57" s="19"/>
      <c r="Z57" s="19"/>
      <c r="AA57" s="18"/>
      <c r="AB57" s="19"/>
      <c r="AC57" s="29"/>
      <c r="AD57" s="29"/>
      <c r="AE57" s="29"/>
      <c r="AF57" s="18"/>
      <c r="AG57" s="47"/>
    </row>
    <row r="58" s="9" customFormat="1" ht="27" customHeight="1" spans="1:33">
      <c r="A58" s="18">
        <v>5</v>
      </c>
      <c r="B58" s="18" t="s">
        <v>227</v>
      </c>
      <c r="C58" s="18" t="s">
        <v>228</v>
      </c>
      <c r="D58" s="18" t="s">
        <v>35</v>
      </c>
      <c r="E58" s="22" t="s">
        <v>229</v>
      </c>
      <c r="F58" s="22" t="s">
        <v>230</v>
      </c>
      <c r="G58" s="18" t="s">
        <v>38</v>
      </c>
      <c r="H58" s="22" t="s">
        <v>41</v>
      </c>
      <c r="I58" s="25">
        <v>1100</v>
      </c>
      <c r="J58" s="25">
        <v>990</v>
      </c>
      <c r="K58" s="27">
        <v>1050</v>
      </c>
      <c r="L58" s="27">
        <v>945</v>
      </c>
      <c r="M58" s="27"/>
      <c r="N58" s="29">
        <v>1050</v>
      </c>
      <c r="O58" s="29">
        <v>945</v>
      </c>
      <c r="P58" s="29">
        <v>805</v>
      </c>
      <c r="Q58" s="18" t="s">
        <v>40</v>
      </c>
      <c r="R58" s="18" t="s">
        <v>41</v>
      </c>
      <c r="S58" s="32">
        <v>0.05</v>
      </c>
      <c r="T58" s="33" t="s">
        <v>231</v>
      </c>
      <c r="U58" s="22" t="s">
        <v>232</v>
      </c>
      <c r="V58" s="37" t="s">
        <v>233</v>
      </c>
      <c r="W58" s="38">
        <v>240300001</v>
      </c>
      <c r="X58" s="19" t="s">
        <v>234</v>
      </c>
      <c r="Y58" s="19" t="s">
        <v>41</v>
      </c>
      <c r="Z58" s="19" t="s">
        <v>41</v>
      </c>
      <c r="AA58" s="18" t="s">
        <v>101</v>
      </c>
      <c r="AB58" s="19" t="s">
        <v>41</v>
      </c>
      <c r="AC58" s="42">
        <v>15</v>
      </c>
      <c r="AD58" s="42">
        <v>13.2</v>
      </c>
      <c r="AE58" s="42">
        <v>11.2</v>
      </c>
      <c r="AF58" s="18" t="s">
        <v>40</v>
      </c>
      <c r="AG58" s="47" t="s">
        <v>41</v>
      </c>
    </row>
    <row r="59" s="9" customFormat="1" ht="27" customHeight="1" spans="1:33">
      <c r="A59" s="18"/>
      <c r="B59" s="18"/>
      <c r="C59" s="18"/>
      <c r="D59" s="18"/>
      <c r="E59" s="22"/>
      <c r="F59" s="22"/>
      <c r="G59" s="18"/>
      <c r="H59" s="22"/>
      <c r="I59" s="25"/>
      <c r="J59" s="25"/>
      <c r="K59" s="27"/>
      <c r="L59" s="27"/>
      <c r="M59" s="27"/>
      <c r="N59" s="29"/>
      <c r="O59" s="29"/>
      <c r="P59" s="29"/>
      <c r="Q59" s="18"/>
      <c r="R59" s="18"/>
      <c r="S59" s="32"/>
      <c r="T59" s="33"/>
      <c r="U59" s="22"/>
      <c r="V59" s="37" t="s">
        <v>235</v>
      </c>
      <c r="W59" s="38">
        <v>240300002</v>
      </c>
      <c r="X59" s="19" t="s">
        <v>236</v>
      </c>
      <c r="Y59" s="19" t="s">
        <v>41</v>
      </c>
      <c r="Z59" s="19" t="s">
        <v>41</v>
      </c>
      <c r="AA59" s="18" t="s">
        <v>101</v>
      </c>
      <c r="AB59" s="19" t="s">
        <v>41</v>
      </c>
      <c r="AC59" s="42">
        <v>30</v>
      </c>
      <c r="AD59" s="42">
        <v>26.4</v>
      </c>
      <c r="AE59" s="42">
        <v>22.4</v>
      </c>
      <c r="AF59" s="18" t="s">
        <v>40</v>
      </c>
      <c r="AG59" s="47" t="s">
        <v>41</v>
      </c>
    </row>
    <row r="60" s="9" customFormat="1" ht="27" customHeight="1" spans="1:33">
      <c r="A60" s="18"/>
      <c r="B60" s="18"/>
      <c r="C60" s="18"/>
      <c r="D60" s="18"/>
      <c r="E60" s="22"/>
      <c r="F60" s="22"/>
      <c r="G60" s="18"/>
      <c r="H60" s="22"/>
      <c r="I60" s="25"/>
      <c r="J60" s="25"/>
      <c r="K60" s="27"/>
      <c r="L60" s="27"/>
      <c r="M60" s="27"/>
      <c r="N60" s="29"/>
      <c r="O60" s="29"/>
      <c r="P60" s="29"/>
      <c r="Q60" s="18"/>
      <c r="R60" s="18"/>
      <c r="S60" s="32"/>
      <c r="T60" s="33"/>
      <c r="U60" s="22"/>
      <c r="V60" s="37" t="s">
        <v>237</v>
      </c>
      <c r="W60" s="38">
        <v>240300003</v>
      </c>
      <c r="X60" s="19" t="s">
        <v>238</v>
      </c>
      <c r="Y60" s="19" t="s">
        <v>239</v>
      </c>
      <c r="Z60" s="19" t="s">
        <v>41</v>
      </c>
      <c r="AA60" s="18" t="s">
        <v>101</v>
      </c>
      <c r="AB60" s="19" t="s">
        <v>41</v>
      </c>
      <c r="AC60" s="42">
        <v>60</v>
      </c>
      <c r="AD60" s="42">
        <v>52.8</v>
      </c>
      <c r="AE60" s="42">
        <v>44.9</v>
      </c>
      <c r="AF60" s="18" t="s">
        <v>40</v>
      </c>
      <c r="AG60" s="47" t="s">
        <v>41</v>
      </c>
    </row>
    <row r="61" s="9" customFormat="1" ht="27" customHeight="1" spans="1:33">
      <c r="A61" s="18"/>
      <c r="B61" s="18"/>
      <c r="C61" s="18"/>
      <c r="D61" s="18"/>
      <c r="E61" s="22"/>
      <c r="F61" s="22"/>
      <c r="G61" s="18"/>
      <c r="H61" s="22"/>
      <c r="I61" s="25"/>
      <c r="J61" s="25"/>
      <c r="K61" s="27"/>
      <c r="L61" s="27"/>
      <c r="M61" s="27"/>
      <c r="N61" s="29"/>
      <c r="O61" s="29"/>
      <c r="P61" s="29"/>
      <c r="Q61" s="18"/>
      <c r="R61" s="18"/>
      <c r="S61" s="32"/>
      <c r="T61" s="33"/>
      <c r="U61" s="22"/>
      <c r="V61" s="37" t="s">
        <v>240</v>
      </c>
      <c r="W61" s="38">
        <v>24030000301</v>
      </c>
      <c r="X61" s="19" t="s">
        <v>241</v>
      </c>
      <c r="Y61" s="19" t="s">
        <v>41</v>
      </c>
      <c r="Z61" s="19" t="s">
        <v>41</v>
      </c>
      <c r="AA61" s="18" t="s">
        <v>101</v>
      </c>
      <c r="AB61" s="19" t="s">
        <v>202</v>
      </c>
      <c r="AC61" s="42">
        <v>60</v>
      </c>
      <c r="AD61" s="42">
        <v>52.8</v>
      </c>
      <c r="AE61" s="42">
        <v>44.9</v>
      </c>
      <c r="AF61" s="18" t="s">
        <v>40</v>
      </c>
      <c r="AG61" s="47" t="s">
        <v>41</v>
      </c>
    </row>
    <row r="62" s="9" customFormat="1" ht="27" customHeight="1" spans="1:35">
      <c r="A62" s="18"/>
      <c r="B62" s="18"/>
      <c r="C62" s="18"/>
      <c r="D62" s="18"/>
      <c r="E62" s="22"/>
      <c r="F62" s="22"/>
      <c r="G62" s="18"/>
      <c r="H62" s="22"/>
      <c r="I62" s="25"/>
      <c r="J62" s="25"/>
      <c r="K62" s="27"/>
      <c r="L62" s="27"/>
      <c r="M62" s="27"/>
      <c r="N62" s="29"/>
      <c r="O62" s="29"/>
      <c r="P62" s="29"/>
      <c r="Q62" s="18"/>
      <c r="R62" s="18"/>
      <c r="S62" s="32"/>
      <c r="T62" s="33"/>
      <c r="U62" s="22"/>
      <c r="V62" s="37" t="s">
        <v>242</v>
      </c>
      <c r="W62" s="38">
        <v>24030000302</v>
      </c>
      <c r="X62" s="19" t="s">
        <v>243</v>
      </c>
      <c r="Y62" s="19" t="s">
        <v>41</v>
      </c>
      <c r="Z62" s="19" t="s">
        <v>41</v>
      </c>
      <c r="AA62" s="18" t="s">
        <v>101</v>
      </c>
      <c r="AB62" s="19" t="s">
        <v>205</v>
      </c>
      <c r="AC62" s="42">
        <v>60</v>
      </c>
      <c r="AD62" s="42">
        <v>52.8</v>
      </c>
      <c r="AE62" s="42">
        <v>44.9</v>
      </c>
      <c r="AF62" s="18" t="s">
        <v>40</v>
      </c>
      <c r="AG62" s="47" t="s">
        <v>41</v>
      </c>
      <c r="AH62" s="48"/>
      <c r="AI62" s="48"/>
    </row>
    <row r="63" s="9" customFormat="1" ht="27" customHeight="1" spans="1:35">
      <c r="A63" s="18"/>
      <c r="B63" s="18"/>
      <c r="C63" s="18"/>
      <c r="D63" s="18"/>
      <c r="E63" s="22"/>
      <c r="F63" s="22"/>
      <c r="G63" s="18"/>
      <c r="H63" s="22"/>
      <c r="I63" s="25"/>
      <c r="J63" s="25"/>
      <c r="K63" s="27"/>
      <c r="L63" s="27"/>
      <c r="M63" s="27"/>
      <c r="N63" s="29"/>
      <c r="O63" s="29"/>
      <c r="P63" s="29"/>
      <c r="Q63" s="18"/>
      <c r="R63" s="18"/>
      <c r="S63" s="32"/>
      <c r="T63" s="33"/>
      <c r="U63" s="22"/>
      <c r="V63" s="37" t="s">
        <v>244</v>
      </c>
      <c r="W63" s="38">
        <v>24030000303</v>
      </c>
      <c r="X63" s="19" t="s">
        <v>245</v>
      </c>
      <c r="Y63" s="19" t="s">
        <v>41</v>
      </c>
      <c r="Z63" s="19" t="s">
        <v>41</v>
      </c>
      <c r="AA63" s="18" t="s">
        <v>101</v>
      </c>
      <c r="AB63" s="19" t="s">
        <v>208</v>
      </c>
      <c r="AC63" s="42">
        <v>60</v>
      </c>
      <c r="AD63" s="42">
        <v>52.8</v>
      </c>
      <c r="AE63" s="42">
        <v>44.9</v>
      </c>
      <c r="AF63" s="18" t="s">
        <v>40</v>
      </c>
      <c r="AG63" s="47" t="s">
        <v>41</v>
      </c>
      <c r="AH63" s="48"/>
      <c r="AI63" s="48"/>
    </row>
    <row r="64" s="9" customFormat="1" ht="27" customHeight="1" spans="1:35">
      <c r="A64" s="18"/>
      <c r="B64" s="18"/>
      <c r="C64" s="18"/>
      <c r="D64" s="18"/>
      <c r="E64" s="22"/>
      <c r="F64" s="22"/>
      <c r="G64" s="18"/>
      <c r="H64" s="22"/>
      <c r="I64" s="25"/>
      <c r="J64" s="25"/>
      <c r="K64" s="27"/>
      <c r="L64" s="27"/>
      <c r="M64" s="27"/>
      <c r="N64" s="29"/>
      <c r="O64" s="29"/>
      <c r="P64" s="29"/>
      <c r="Q64" s="18"/>
      <c r="R64" s="18"/>
      <c r="S64" s="32"/>
      <c r="T64" s="33"/>
      <c r="U64" s="22"/>
      <c r="V64" s="42" t="s">
        <v>246</v>
      </c>
      <c r="W64" s="43">
        <v>240300006</v>
      </c>
      <c r="X64" s="44" t="s">
        <v>247</v>
      </c>
      <c r="Y64" s="44" t="s">
        <v>41</v>
      </c>
      <c r="Z64" s="44" t="s">
        <v>41</v>
      </c>
      <c r="AA64" s="29" t="s">
        <v>196</v>
      </c>
      <c r="AB64" s="44" t="s">
        <v>41</v>
      </c>
      <c r="AC64" s="42">
        <v>420</v>
      </c>
      <c r="AD64" s="42">
        <v>378</v>
      </c>
      <c r="AE64" s="29" t="s">
        <v>41</v>
      </c>
      <c r="AF64" s="18" t="s">
        <v>40</v>
      </c>
      <c r="AG64" s="47" t="s">
        <v>41</v>
      </c>
      <c r="AH64" s="48"/>
      <c r="AI64" s="48"/>
    </row>
    <row r="65" s="9" customFormat="1" ht="33" customHeight="1" spans="1:35">
      <c r="A65" s="18" t="s">
        <v>81</v>
      </c>
      <c r="B65" s="18" t="s">
        <v>248</v>
      </c>
      <c r="C65" s="18" t="s">
        <v>249</v>
      </c>
      <c r="D65" s="18" t="s">
        <v>35</v>
      </c>
      <c r="E65" s="22" t="s">
        <v>41</v>
      </c>
      <c r="F65" s="22" t="s">
        <v>41</v>
      </c>
      <c r="G65" s="18" t="s">
        <v>38</v>
      </c>
      <c r="H65" s="22" t="s">
        <v>41</v>
      </c>
      <c r="I65" s="25">
        <v>120</v>
      </c>
      <c r="J65" s="25">
        <v>108</v>
      </c>
      <c r="K65" s="27"/>
      <c r="L65" s="27"/>
      <c r="M65" s="27"/>
      <c r="N65" s="29">
        <v>115</v>
      </c>
      <c r="O65" s="29">
        <v>100</v>
      </c>
      <c r="P65" s="29">
        <v>85</v>
      </c>
      <c r="Q65" s="18" t="s">
        <v>40</v>
      </c>
      <c r="R65" s="18" t="s">
        <v>41</v>
      </c>
      <c r="S65" s="32">
        <v>0.05</v>
      </c>
      <c r="T65" s="33"/>
      <c r="U65" s="22" t="s">
        <v>219</v>
      </c>
      <c r="V65" s="37" t="s">
        <v>250</v>
      </c>
      <c r="W65" s="38">
        <v>240300012</v>
      </c>
      <c r="X65" s="19" t="s">
        <v>251</v>
      </c>
      <c r="Y65" s="19" t="s">
        <v>252</v>
      </c>
      <c r="Z65" s="19" t="s">
        <v>41</v>
      </c>
      <c r="AA65" s="18" t="s">
        <v>101</v>
      </c>
      <c r="AB65" s="19" t="s">
        <v>41</v>
      </c>
      <c r="AC65" s="42">
        <v>1700</v>
      </c>
      <c r="AD65" s="42">
        <v>1496</v>
      </c>
      <c r="AE65" s="42">
        <v>1271.6</v>
      </c>
      <c r="AF65" s="18" t="s">
        <v>40</v>
      </c>
      <c r="AG65" s="47" t="s">
        <v>41</v>
      </c>
      <c r="AH65" s="48"/>
      <c r="AI65" s="48"/>
    </row>
    <row r="66" s="9" customFormat="1" ht="39" customHeight="1" spans="1:35">
      <c r="A66" s="18"/>
      <c r="B66" s="18"/>
      <c r="C66" s="18"/>
      <c r="D66" s="18"/>
      <c r="E66" s="22"/>
      <c r="F66" s="22"/>
      <c r="G66" s="18"/>
      <c r="H66" s="22"/>
      <c r="I66" s="25"/>
      <c r="J66" s="25"/>
      <c r="K66" s="27"/>
      <c r="L66" s="27"/>
      <c r="M66" s="27"/>
      <c r="N66" s="29"/>
      <c r="O66" s="29"/>
      <c r="P66" s="29"/>
      <c r="Q66" s="18"/>
      <c r="R66" s="18"/>
      <c r="S66" s="32"/>
      <c r="T66" s="33"/>
      <c r="U66" s="22"/>
      <c r="V66" s="37" t="s">
        <v>253</v>
      </c>
      <c r="W66" s="38">
        <v>240300011</v>
      </c>
      <c r="X66" s="19" t="s">
        <v>254</v>
      </c>
      <c r="Y66" s="19" t="s">
        <v>41</v>
      </c>
      <c r="Z66" s="19" t="s">
        <v>41</v>
      </c>
      <c r="AA66" s="18" t="s">
        <v>101</v>
      </c>
      <c r="AB66" s="19" t="s">
        <v>41</v>
      </c>
      <c r="AC66" s="42">
        <v>1000</v>
      </c>
      <c r="AD66" s="42">
        <v>880</v>
      </c>
      <c r="AE66" s="42">
        <v>748</v>
      </c>
      <c r="AF66" s="18" t="s">
        <v>40</v>
      </c>
      <c r="AG66" s="47" t="s">
        <v>41</v>
      </c>
      <c r="AH66" s="48"/>
      <c r="AI66" s="48"/>
    </row>
    <row r="67" s="9" customFormat="1" ht="54" customHeight="1" spans="1:33">
      <c r="A67" s="18" t="s">
        <v>81</v>
      </c>
      <c r="B67" s="18" t="s">
        <v>255</v>
      </c>
      <c r="C67" s="18" t="s">
        <v>256</v>
      </c>
      <c r="D67" s="18" t="s">
        <v>35</v>
      </c>
      <c r="E67" s="22" t="s">
        <v>41</v>
      </c>
      <c r="F67" s="22" t="s">
        <v>41</v>
      </c>
      <c r="G67" s="18" t="s">
        <v>38</v>
      </c>
      <c r="H67" s="22" t="s">
        <v>41</v>
      </c>
      <c r="I67" s="25">
        <v>1100</v>
      </c>
      <c r="J67" s="25">
        <v>990</v>
      </c>
      <c r="K67" s="27"/>
      <c r="L67" s="27"/>
      <c r="M67" s="27"/>
      <c r="N67" s="29">
        <v>1050</v>
      </c>
      <c r="O67" s="29">
        <v>945</v>
      </c>
      <c r="P67" s="29">
        <v>805</v>
      </c>
      <c r="Q67" s="18" t="s">
        <v>40</v>
      </c>
      <c r="R67" s="18" t="s">
        <v>41</v>
      </c>
      <c r="S67" s="32">
        <v>0.05</v>
      </c>
      <c r="T67" s="33"/>
      <c r="U67" s="22"/>
      <c r="V67" s="37"/>
      <c r="W67" s="38"/>
      <c r="X67" s="19"/>
      <c r="Y67" s="19"/>
      <c r="Z67" s="19"/>
      <c r="AA67" s="18"/>
      <c r="AB67" s="19"/>
      <c r="AC67" s="29"/>
      <c r="AD67" s="29"/>
      <c r="AE67" s="29"/>
      <c r="AF67" s="18"/>
      <c r="AG67" s="47"/>
    </row>
    <row r="68" s="9" customFormat="1" ht="78" customHeight="1" spans="1:33">
      <c r="A68" s="18" t="s">
        <v>81</v>
      </c>
      <c r="B68" s="18" t="s">
        <v>257</v>
      </c>
      <c r="C68" s="18" t="s">
        <v>258</v>
      </c>
      <c r="D68" s="18" t="s">
        <v>35</v>
      </c>
      <c r="E68" s="22" t="s">
        <v>41</v>
      </c>
      <c r="F68" s="22" t="s">
        <v>41</v>
      </c>
      <c r="G68" s="18" t="s">
        <v>38</v>
      </c>
      <c r="H68" s="22"/>
      <c r="I68" s="25">
        <v>180</v>
      </c>
      <c r="J68" s="25">
        <v>162</v>
      </c>
      <c r="K68" s="26">
        <v>176.958041958042</v>
      </c>
      <c r="L68" s="27"/>
      <c r="M68" s="27"/>
      <c r="N68" s="29">
        <v>170</v>
      </c>
      <c r="O68" s="29">
        <v>155</v>
      </c>
      <c r="P68" s="29">
        <v>130</v>
      </c>
      <c r="Q68" s="18" t="s">
        <v>40</v>
      </c>
      <c r="R68" s="18" t="s">
        <v>41</v>
      </c>
      <c r="S68" s="32">
        <v>0.05</v>
      </c>
      <c r="T68" s="33"/>
      <c r="U68" s="22" t="s">
        <v>259</v>
      </c>
      <c r="V68" s="37" t="s">
        <v>260</v>
      </c>
      <c r="W68" s="50">
        <v>240600003</v>
      </c>
      <c r="X68" s="19" t="s">
        <v>261</v>
      </c>
      <c r="Y68" s="19" t="s">
        <v>262</v>
      </c>
      <c r="Z68" s="19" t="s">
        <v>41</v>
      </c>
      <c r="AA68" s="18" t="s">
        <v>38</v>
      </c>
      <c r="AB68" s="19" t="s">
        <v>41</v>
      </c>
      <c r="AC68" s="42">
        <v>300</v>
      </c>
      <c r="AD68" s="42">
        <v>300</v>
      </c>
      <c r="AE68" s="42">
        <v>255</v>
      </c>
      <c r="AF68" s="18" t="s">
        <v>40</v>
      </c>
      <c r="AG68" s="47" t="s">
        <v>41</v>
      </c>
    </row>
    <row r="69" s="9" customFormat="1" ht="98" customHeight="1" spans="1:33">
      <c r="A69" s="18">
        <v>6</v>
      </c>
      <c r="B69" s="18" t="s">
        <v>263</v>
      </c>
      <c r="C69" s="18" t="s">
        <v>264</v>
      </c>
      <c r="D69" s="18" t="s">
        <v>35</v>
      </c>
      <c r="E69" s="22" t="s">
        <v>265</v>
      </c>
      <c r="F69" s="22" t="s">
        <v>230</v>
      </c>
      <c r="G69" s="18" t="s">
        <v>38</v>
      </c>
      <c r="H69" s="22"/>
      <c r="I69" s="25">
        <v>1700</v>
      </c>
      <c r="J69" s="25">
        <v>1530</v>
      </c>
      <c r="K69" s="27">
        <v>1603.08</v>
      </c>
      <c r="L69" s="27">
        <v>1445.4</v>
      </c>
      <c r="M69" s="27"/>
      <c r="N69" s="29">
        <v>1600</v>
      </c>
      <c r="O69" s="29">
        <v>1445</v>
      </c>
      <c r="P69" s="29">
        <v>1250</v>
      </c>
      <c r="Q69" s="18" t="s">
        <v>40</v>
      </c>
      <c r="R69" s="18" t="s">
        <v>41</v>
      </c>
      <c r="S69" s="32">
        <v>0.05</v>
      </c>
      <c r="T69" s="33" t="s">
        <v>186</v>
      </c>
      <c r="U69" s="22" t="s">
        <v>266</v>
      </c>
      <c r="V69" s="37" t="s">
        <v>267</v>
      </c>
      <c r="W69" s="51">
        <v>240300015</v>
      </c>
      <c r="X69" s="44" t="s">
        <v>268</v>
      </c>
      <c r="Y69" s="44" t="s">
        <v>41</v>
      </c>
      <c r="Z69" s="44" t="s">
        <v>41</v>
      </c>
      <c r="AA69" s="18" t="s">
        <v>196</v>
      </c>
      <c r="AB69" s="19" t="s">
        <v>41</v>
      </c>
      <c r="AC69" s="59">
        <v>610</v>
      </c>
      <c r="AD69" s="59">
        <v>550</v>
      </c>
      <c r="AE69" s="29">
        <v>0</v>
      </c>
      <c r="AF69" s="18" t="s">
        <v>40</v>
      </c>
      <c r="AG69" s="47" t="s">
        <v>41</v>
      </c>
    </row>
    <row r="70" s="9" customFormat="1" ht="46" customHeight="1" spans="1:33">
      <c r="A70" s="18" t="s">
        <v>81</v>
      </c>
      <c r="B70" s="18" t="s">
        <v>269</v>
      </c>
      <c r="C70" s="18" t="s">
        <v>270</v>
      </c>
      <c r="D70" s="18" t="s">
        <v>35</v>
      </c>
      <c r="E70" s="22" t="s">
        <v>41</v>
      </c>
      <c r="F70" s="22" t="s">
        <v>41</v>
      </c>
      <c r="G70" s="18" t="s">
        <v>38</v>
      </c>
      <c r="H70" s="22" t="s">
        <v>41</v>
      </c>
      <c r="I70" s="25">
        <v>120</v>
      </c>
      <c r="J70" s="25">
        <v>108</v>
      </c>
      <c r="K70" s="27"/>
      <c r="L70" s="27"/>
      <c r="M70" s="27"/>
      <c r="N70" s="29">
        <v>115</v>
      </c>
      <c r="O70" s="29">
        <v>100</v>
      </c>
      <c r="P70" s="29">
        <v>85</v>
      </c>
      <c r="Q70" s="18" t="s">
        <v>40</v>
      </c>
      <c r="R70" s="18" t="s">
        <v>41</v>
      </c>
      <c r="S70" s="32">
        <v>0.05</v>
      </c>
      <c r="T70" s="33"/>
      <c r="U70" s="19" t="s">
        <v>219</v>
      </c>
      <c r="V70" s="37"/>
      <c r="W70" s="50"/>
      <c r="X70" s="19"/>
      <c r="Y70" s="19"/>
      <c r="Z70" s="19"/>
      <c r="AA70" s="18"/>
      <c r="AB70" s="19"/>
      <c r="AC70" s="29"/>
      <c r="AD70" s="29"/>
      <c r="AE70" s="29"/>
      <c r="AF70" s="18"/>
      <c r="AG70" s="47"/>
    </row>
    <row r="71" s="9" customFormat="1" ht="46" customHeight="1" spans="1:33">
      <c r="A71" s="18" t="s">
        <v>81</v>
      </c>
      <c r="B71" s="18" t="s">
        <v>271</v>
      </c>
      <c r="C71" s="18" t="s">
        <v>272</v>
      </c>
      <c r="D71" s="18" t="s">
        <v>35</v>
      </c>
      <c r="E71" s="22" t="s">
        <v>41</v>
      </c>
      <c r="F71" s="22" t="s">
        <v>41</v>
      </c>
      <c r="G71" s="18" t="s">
        <v>38</v>
      </c>
      <c r="H71" s="22" t="s">
        <v>41</v>
      </c>
      <c r="I71" s="25">
        <v>1700</v>
      </c>
      <c r="J71" s="25">
        <v>1530</v>
      </c>
      <c r="K71" s="27"/>
      <c r="L71" s="27"/>
      <c r="M71" s="27"/>
      <c r="N71" s="29">
        <v>1600</v>
      </c>
      <c r="O71" s="29">
        <v>1445</v>
      </c>
      <c r="P71" s="29">
        <v>1250</v>
      </c>
      <c r="Q71" s="18" t="s">
        <v>40</v>
      </c>
      <c r="R71" s="18" t="s">
        <v>41</v>
      </c>
      <c r="S71" s="32">
        <v>0.05</v>
      </c>
      <c r="T71" s="33"/>
      <c r="U71" s="22" t="s">
        <v>226</v>
      </c>
      <c r="V71" s="37"/>
      <c r="W71" s="50"/>
      <c r="X71" s="19"/>
      <c r="Y71" s="19"/>
      <c r="Z71" s="19"/>
      <c r="AA71" s="18"/>
      <c r="AB71" s="19"/>
      <c r="AC71" s="29"/>
      <c r="AD71" s="29"/>
      <c r="AE71" s="29"/>
      <c r="AF71" s="18"/>
      <c r="AG71" s="47"/>
    </row>
    <row r="72" s="9" customFormat="1" ht="46" customHeight="1" spans="1:33">
      <c r="A72" s="18" t="s">
        <v>81</v>
      </c>
      <c r="B72" s="18" t="s">
        <v>273</v>
      </c>
      <c r="C72" s="18" t="s">
        <v>274</v>
      </c>
      <c r="D72" s="18" t="s">
        <v>35</v>
      </c>
      <c r="E72" s="22" t="s">
        <v>41</v>
      </c>
      <c r="F72" s="22" t="s">
        <v>41</v>
      </c>
      <c r="G72" s="18" t="s">
        <v>38</v>
      </c>
      <c r="H72" s="22" t="s">
        <v>275</v>
      </c>
      <c r="I72" s="25">
        <v>1020</v>
      </c>
      <c r="J72" s="25">
        <v>918</v>
      </c>
      <c r="K72" s="27"/>
      <c r="L72" s="27"/>
      <c r="M72" s="27"/>
      <c r="N72" s="29">
        <v>960</v>
      </c>
      <c r="O72" s="29">
        <v>867</v>
      </c>
      <c r="P72" s="29">
        <v>750</v>
      </c>
      <c r="Q72" s="18" t="s">
        <v>40</v>
      </c>
      <c r="R72" s="18" t="s">
        <v>41</v>
      </c>
      <c r="S72" s="32">
        <v>0.05</v>
      </c>
      <c r="T72" s="33"/>
      <c r="U72" s="19" t="s">
        <v>276</v>
      </c>
      <c r="V72" s="37"/>
      <c r="W72" s="50"/>
      <c r="X72" s="19"/>
      <c r="Y72" s="19"/>
      <c r="Z72" s="19"/>
      <c r="AA72" s="18"/>
      <c r="AB72" s="19"/>
      <c r="AC72" s="29"/>
      <c r="AD72" s="29"/>
      <c r="AE72" s="29"/>
      <c r="AF72" s="18"/>
      <c r="AG72" s="47"/>
    </row>
    <row r="73" s="9" customFormat="1" ht="46" customHeight="1" spans="1:33">
      <c r="A73" s="18" t="s">
        <v>81</v>
      </c>
      <c r="B73" s="18" t="s">
        <v>277</v>
      </c>
      <c r="C73" s="18" t="s">
        <v>278</v>
      </c>
      <c r="D73" s="18" t="s">
        <v>35</v>
      </c>
      <c r="E73" s="22" t="s">
        <v>41</v>
      </c>
      <c r="F73" s="22" t="s">
        <v>41</v>
      </c>
      <c r="G73" s="18" t="s">
        <v>38</v>
      </c>
      <c r="H73" s="22" t="s">
        <v>41</v>
      </c>
      <c r="I73" s="25">
        <v>230</v>
      </c>
      <c r="J73" s="25">
        <v>207</v>
      </c>
      <c r="K73" s="27"/>
      <c r="L73" s="27"/>
      <c r="M73" s="27"/>
      <c r="N73" s="29">
        <v>220</v>
      </c>
      <c r="O73" s="29">
        <v>205</v>
      </c>
      <c r="P73" s="29">
        <v>175</v>
      </c>
      <c r="Q73" s="18" t="s">
        <v>40</v>
      </c>
      <c r="R73" s="18" t="s">
        <v>41</v>
      </c>
      <c r="S73" s="32">
        <v>0.05</v>
      </c>
      <c r="T73" s="33"/>
      <c r="U73" s="22" t="str">
        <f>U28</f>
        <v>新增项目，按项目间比价关系定价，运动管理统一加收价格</v>
      </c>
      <c r="V73" s="37"/>
      <c r="W73" s="50"/>
      <c r="X73" s="19"/>
      <c r="Y73" s="19"/>
      <c r="Z73" s="19"/>
      <c r="AA73" s="18"/>
      <c r="AB73" s="19"/>
      <c r="AC73" s="29"/>
      <c r="AD73" s="29"/>
      <c r="AE73" s="29"/>
      <c r="AF73" s="18"/>
      <c r="AG73" s="47"/>
    </row>
    <row r="74" s="9" customFormat="1" ht="49" customHeight="1" spans="1:33">
      <c r="A74" s="18" t="s">
        <v>81</v>
      </c>
      <c r="B74" s="18" t="s">
        <v>279</v>
      </c>
      <c r="C74" s="18" t="s">
        <v>280</v>
      </c>
      <c r="D74" s="18" t="s">
        <v>35</v>
      </c>
      <c r="E74" s="22" t="s">
        <v>41</v>
      </c>
      <c r="F74" s="22" t="s">
        <v>41</v>
      </c>
      <c r="G74" s="18" t="s">
        <v>38</v>
      </c>
      <c r="H74" s="22" t="s">
        <v>41</v>
      </c>
      <c r="I74" s="25">
        <v>180</v>
      </c>
      <c r="J74" s="25">
        <v>162</v>
      </c>
      <c r="K74" s="27"/>
      <c r="L74" s="27"/>
      <c r="M74" s="27"/>
      <c r="N74" s="29">
        <v>170</v>
      </c>
      <c r="O74" s="29">
        <v>155</v>
      </c>
      <c r="P74" s="29">
        <v>130</v>
      </c>
      <c r="Q74" s="18" t="s">
        <v>40</v>
      </c>
      <c r="R74" s="18" t="s">
        <v>41</v>
      </c>
      <c r="S74" s="32">
        <v>0.05</v>
      </c>
      <c r="T74" s="33"/>
      <c r="U74" s="22" t="s">
        <v>259</v>
      </c>
      <c r="V74" s="37" t="s">
        <v>260</v>
      </c>
      <c r="W74" s="50">
        <v>240600003</v>
      </c>
      <c r="X74" s="19" t="s">
        <v>261</v>
      </c>
      <c r="Y74" s="19" t="s">
        <v>262</v>
      </c>
      <c r="Z74" s="19" t="s">
        <v>41</v>
      </c>
      <c r="AA74" s="18" t="s">
        <v>38</v>
      </c>
      <c r="AB74" s="19" t="s">
        <v>41</v>
      </c>
      <c r="AC74" s="42">
        <v>300</v>
      </c>
      <c r="AD74" s="42">
        <v>300</v>
      </c>
      <c r="AE74" s="42">
        <v>255</v>
      </c>
      <c r="AF74" s="18" t="s">
        <v>40</v>
      </c>
      <c r="AG74" s="47" t="s">
        <v>41</v>
      </c>
    </row>
    <row r="75" s="9" customFormat="1" ht="42" customHeight="1" spans="1:33">
      <c r="A75" s="18" t="s">
        <v>81</v>
      </c>
      <c r="B75" s="18" t="s">
        <v>281</v>
      </c>
      <c r="C75" s="18" t="s">
        <v>282</v>
      </c>
      <c r="D75" s="18" t="s">
        <v>35</v>
      </c>
      <c r="E75" s="22" t="s">
        <v>41</v>
      </c>
      <c r="F75" s="22" t="s">
        <v>41</v>
      </c>
      <c r="G75" s="18" t="s">
        <v>38</v>
      </c>
      <c r="H75" s="22" t="s">
        <v>41</v>
      </c>
      <c r="I75" s="25">
        <v>2200</v>
      </c>
      <c r="J75" s="25">
        <v>1980</v>
      </c>
      <c r="K75" s="27">
        <v>2225</v>
      </c>
      <c r="L75" s="27">
        <v>1997.5</v>
      </c>
      <c r="M75" s="27">
        <v>1676.15</v>
      </c>
      <c r="N75" s="29">
        <v>2100</v>
      </c>
      <c r="O75" s="29">
        <v>1900</v>
      </c>
      <c r="P75" s="29">
        <v>1600</v>
      </c>
      <c r="Q75" s="18" t="s">
        <v>40</v>
      </c>
      <c r="R75" s="18" t="s">
        <v>41</v>
      </c>
      <c r="S75" s="32">
        <v>0.2</v>
      </c>
      <c r="T75" s="33"/>
      <c r="U75" s="22" t="s">
        <v>283</v>
      </c>
      <c r="V75" s="37" t="s">
        <v>284</v>
      </c>
      <c r="W75" s="38">
        <v>240300017</v>
      </c>
      <c r="X75" s="19" t="s">
        <v>285</v>
      </c>
      <c r="Y75" s="19" t="s">
        <v>286</v>
      </c>
      <c r="Z75" s="19" t="s">
        <v>41</v>
      </c>
      <c r="AA75" s="18" t="s">
        <v>38</v>
      </c>
      <c r="AB75" s="19" t="s">
        <v>287</v>
      </c>
      <c r="AC75" s="42">
        <v>4950</v>
      </c>
      <c r="AD75" s="42">
        <v>4455</v>
      </c>
      <c r="AE75" s="42">
        <v>3786.8</v>
      </c>
      <c r="AF75" s="18" t="s">
        <v>40</v>
      </c>
      <c r="AG75" s="47" t="s">
        <v>41</v>
      </c>
    </row>
    <row r="76" s="9" customFormat="1" ht="42" customHeight="1" spans="1:33">
      <c r="A76" s="18"/>
      <c r="B76" s="18"/>
      <c r="C76" s="18"/>
      <c r="D76" s="18"/>
      <c r="E76" s="22"/>
      <c r="F76" s="22"/>
      <c r="G76" s="18"/>
      <c r="H76" s="22"/>
      <c r="I76" s="25"/>
      <c r="J76" s="25"/>
      <c r="K76" s="27"/>
      <c r="L76" s="27"/>
      <c r="M76" s="27"/>
      <c r="N76" s="29"/>
      <c r="O76" s="29"/>
      <c r="P76" s="29"/>
      <c r="Q76" s="18"/>
      <c r="R76" s="18"/>
      <c r="S76" s="32"/>
      <c r="T76" s="33"/>
      <c r="U76" s="22"/>
      <c r="V76" s="37" t="s">
        <v>288</v>
      </c>
      <c r="W76" s="38">
        <v>240300018</v>
      </c>
      <c r="X76" s="19" t="s">
        <v>289</v>
      </c>
      <c r="Y76" s="19" t="s">
        <v>41</v>
      </c>
      <c r="Z76" s="19" t="s">
        <v>41</v>
      </c>
      <c r="AA76" s="18" t="s">
        <v>38</v>
      </c>
      <c r="AB76" s="19" t="s">
        <v>290</v>
      </c>
      <c r="AC76" s="42">
        <v>2700</v>
      </c>
      <c r="AD76" s="42">
        <v>2430</v>
      </c>
      <c r="AE76" s="42">
        <v>2065.5</v>
      </c>
      <c r="AF76" s="18" t="s">
        <v>40</v>
      </c>
      <c r="AG76" s="47" t="s">
        <v>41</v>
      </c>
    </row>
    <row r="77" s="9" customFormat="1" ht="53" customHeight="1" spans="1:33">
      <c r="A77" s="18" t="s">
        <v>81</v>
      </c>
      <c r="B77" s="18" t="s">
        <v>291</v>
      </c>
      <c r="C77" s="18" t="s">
        <v>292</v>
      </c>
      <c r="D77" s="18" t="s">
        <v>35</v>
      </c>
      <c r="E77" s="22" t="s">
        <v>41</v>
      </c>
      <c r="F77" s="22" t="s">
        <v>41</v>
      </c>
      <c r="G77" s="18" t="s">
        <v>38</v>
      </c>
      <c r="H77" s="22" t="s">
        <v>41</v>
      </c>
      <c r="I77" s="25">
        <v>340</v>
      </c>
      <c r="J77" s="25">
        <v>306</v>
      </c>
      <c r="K77" s="49">
        <v>350</v>
      </c>
      <c r="L77" s="49">
        <v>310</v>
      </c>
      <c r="M77" s="27"/>
      <c r="N77" s="29">
        <v>330</v>
      </c>
      <c r="O77" s="29">
        <v>305</v>
      </c>
      <c r="P77" s="29">
        <v>260</v>
      </c>
      <c r="Q77" s="18" t="s">
        <v>40</v>
      </c>
      <c r="R77" s="18" t="s">
        <v>41</v>
      </c>
      <c r="S77" s="32">
        <v>0.05</v>
      </c>
      <c r="T77" s="33"/>
      <c r="U77" s="22" t="s">
        <v>293</v>
      </c>
      <c r="V77" s="37" t="s">
        <v>294</v>
      </c>
      <c r="W77" s="50">
        <v>240300021</v>
      </c>
      <c r="X77" s="19" t="s">
        <v>295</v>
      </c>
      <c r="Y77" s="19" t="s">
        <v>286</v>
      </c>
      <c r="Z77" s="19"/>
      <c r="AA77" s="18" t="s">
        <v>196</v>
      </c>
      <c r="AB77" s="19"/>
      <c r="AC77" s="42">
        <v>650</v>
      </c>
      <c r="AD77" s="42">
        <v>585</v>
      </c>
      <c r="AE77" s="29" t="s">
        <v>41</v>
      </c>
      <c r="AF77" s="18" t="s">
        <v>40</v>
      </c>
      <c r="AG77" s="47" t="s">
        <v>41</v>
      </c>
    </row>
    <row r="78" s="9" customFormat="1" ht="130" customHeight="1" spans="1:33">
      <c r="A78" s="18">
        <v>7</v>
      </c>
      <c r="B78" s="69" t="s">
        <v>296</v>
      </c>
      <c r="C78" s="18" t="s">
        <v>297</v>
      </c>
      <c r="D78" s="18" t="s">
        <v>35</v>
      </c>
      <c r="E78" s="22" t="s">
        <v>298</v>
      </c>
      <c r="F78" s="22" t="s">
        <v>299</v>
      </c>
      <c r="G78" s="18" t="s">
        <v>92</v>
      </c>
      <c r="H78" s="22" t="s">
        <v>300</v>
      </c>
      <c r="I78" s="25">
        <v>30000</v>
      </c>
      <c r="J78" s="25">
        <v>27000</v>
      </c>
      <c r="K78" s="27"/>
      <c r="L78" s="27"/>
      <c r="M78" s="27"/>
      <c r="N78" s="29">
        <v>27000</v>
      </c>
      <c r="O78" s="29">
        <v>24300</v>
      </c>
      <c r="P78" s="29">
        <v>20650</v>
      </c>
      <c r="Q78" s="18" t="s">
        <v>40</v>
      </c>
      <c r="R78" s="18" t="s">
        <v>41</v>
      </c>
      <c r="S78" s="32">
        <v>0.2</v>
      </c>
      <c r="T78" s="33" t="s">
        <v>301</v>
      </c>
      <c r="U78" s="22" t="s">
        <v>302</v>
      </c>
      <c r="V78" s="37" t="s">
        <v>303</v>
      </c>
      <c r="W78" s="38">
        <v>240300019</v>
      </c>
      <c r="X78" s="19" t="s">
        <v>304</v>
      </c>
      <c r="Y78" s="19" t="s">
        <v>305</v>
      </c>
      <c r="Z78" s="19" t="s">
        <v>41</v>
      </c>
      <c r="AA78" s="18" t="s">
        <v>38</v>
      </c>
      <c r="AB78" s="19" t="s">
        <v>306</v>
      </c>
      <c r="AC78" s="42">
        <v>16200</v>
      </c>
      <c r="AD78" s="42">
        <v>14580</v>
      </c>
      <c r="AE78" s="42">
        <v>12390</v>
      </c>
      <c r="AF78" s="18" t="s">
        <v>41</v>
      </c>
      <c r="AG78" s="47" t="s">
        <v>41</v>
      </c>
    </row>
    <row r="79" s="9" customFormat="1" ht="74" customHeight="1" spans="1:33">
      <c r="A79" s="18"/>
      <c r="B79" s="18"/>
      <c r="C79" s="18"/>
      <c r="D79" s="18"/>
      <c r="E79" s="22"/>
      <c r="F79" s="22"/>
      <c r="G79" s="18"/>
      <c r="H79" s="22"/>
      <c r="I79" s="25"/>
      <c r="J79" s="25"/>
      <c r="K79" s="27"/>
      <c r="L79" s="27"/>
      <c r="M79" s="27"/>
      <c r="N79" s="29"/>
      <c r="O79" s="29"/>
      <c r="P79" s="29"/>
      <c r="Q79" s="18"/>
      <c r="R79" s="18"/>
      <c r="S79" s="32"/>
      <c r="T79" s="33"/>
      <c r="U79" s="22"/>
      <c r="V79" s="37" t="s">
        <v>307</v>
      </c>
      <c r="W79" s="38">
        <v>240300020</v>
      </c>
      <c r="X79" s="19" t="s">
        <v>308</v>
      </c>
      <c r="Y79" s="19" t="s">
        <v>41</v>
      </c>
      <c r="Z79" s="19"/>
      <c r="AA79" s="18" t="s">
        <v>38</v>
      </c>
      <c r="AB79" s="19" t="s">
        <v>309</v>
      </c>
      <c r="AC79" s="42">
        <v>7200</v>
      </c>
      <c r="AD79" s="42">
        <v>6480</v>
      </c>
      <c r="AE79" s="42">
        <v>5500</v>
      </c>
      <c r="AF79" s="18" t="s">
        <v>41</v>
      </c>
      <c r="AG79" s="47" t="s">
        <v>41</v>
      </c>
    </row>
    <row r="80" s="9" customFormat="1" ht="54" customHeight="1" spans="1:33">
      <c r="A80" s="18" t="s">
        <v>81</v>
      </c>
      <c r="B80" s="69" t="s">
        <v>296</v>
      </c>
      <c r="C80" s="18" t="s">
        <v>297</v>
      </c>
      <c r="D80" s="18" t="s">
        <v>35</v>
      </c>
      <c r="E80" s="22"/>
      <c r="F80" s="22"/>
      <c r="G80" s="18" t="s">
        <v>38</v>
      </c>
      <c r="H80" s="22" t="s">
        <v>310</v>
      </c>
      <c r="I80" s="25">
        <v>6000</v>
      </c>
      <c r="J80" s="25">
        <v>5400</v>
      </c>
      <c r="K80" s="27"/>
      <c r="L80" s="27"/>
      <c r="M80" s="27"/>
      <c r="N80" s="29">
        <v>5400</v>
      </c>
      <c r="O80" s="29">
        <v>4860</v>
      </c>
      <c r="P80" s="29">
        <v>4130</v>
      </c>
      <c r="Q80" s="18" t="s">
        <v>40</v>
      </c>
      <c r="R80" s="18" t="s">
        <v>41</v>
      </c>
      <c r="S80" s="32">
        <v>0.2</v>
      </c>
      <c r="T80" s="33"/>
      <c r="U80" s="22" t="s">
        <v>311</v>
      </c>
      <c r="V80" s="37"/>
      <c r="W80" s="38"/>
      <c r="X80" s="19"/>
      <c r="Y80" s="19"/>
      <c r="Z80" s="19"/>
      <c r="AA80" s="18"/>
      <c r="AB80" s="19"/>
      <c r="AC80" s="29">
        <f>AC78+AC79*1.5</f>
        <v>27000</v>
      </c>
      <c r="AD80" s="29">
        <f>AD78+AD79*1.5</f>
        <v>24300</v>
      </c>
      <c r="AE80" s="29">
        <f>AE78+AE79*1.5</f>
        <v>20640</v>
      </c>
      <c r="AF80" s="18"/>
      <c r="AG80" s="47"/>
    </row>
    <row r="81" s="9" customFormat="1" ht="25" customHeight="1" spans="1:33">
      <c r="A81" s="18" t="s">
        <v>81</v>
      </c>
      <c r="B81" s="69" t="s">
        <v>296</v>
      </c>
      <c r="C81" s="18" t="s">
        <v>297</v>
      </c>
      <c r="D81" s="18" t="s">
        <v>35</v>
      </c>
      <c r="E81" s="22"/>
      <c r="F81" s="22"/>
      <c r="G81" s="18" t="s">
        <v>92</v>
      </c>
      <c r="H81" s="22" t="s">
        <v>312</v>
      </c>
      <c r="I81" s="25">
        <v>15000</v>
      </c>
      <c r="J81" s="25">
        <v>13500</v>
      </c>
      <c r="K81" s="27"/>
      <c r="L81" s="27"/>
      <c r="M81" s="27"/>
      <c r="N81" s="29">
        <v>13500</v>
      </c>
      <c r="O81" s="29">
        <v>12150</v>
      </c>
      <c r="P81" s="29">
        <v>10350</v>
      </c>
      <c r="Q81" s="18" t="s">
        <v>40</v>
      </c>
      <c r="R81" s="18" t="s">
        <v>41</v>
      </c>
      <c r="S81" s="32">
        <v>0.2</v>
      </c>
      <c r="T81" s="33"/>
      <c r="U81" s="22" t="s">
        <v>302</v>
      </c>
      <c r="V81" s="37" t="s">
        <v>313</v>
      </c>
      <c r="W81" s="38">
        <v>240300007</v>
      </c>
      <c r="X81" s="19" t="s">
        <v>314</v>
      </c>
      <c r="Y81" s="19" t="s">
        <v>41</v>
      </c>
      <c r="Z81" s="19" t="s">
        <v>41</v>
      </c>
      <c r="AA81" s="18" t="s">
        <v>315</v>
      </c>
      <c r="AB81" s="19" t="s">
        <v>41</v>
      </c>
      <c r="AC81" s="42">
        <v>5280</v>
      </c>
      <c r="AD81" s="42">
        <v>4920</v>
      </c>
      <c r="AE81" s="42">
        <v>4182</v>
      </c>
      <c r="AF81" s="18" t="s">
        <v>40</v>
      </c>
      <c r="AG81" s="47" t="s">
        <v>41</v>
      </c>
    </row>
    <row r="82" s="9" customFormat="1" ht="25" customHeight="1" spans="1:33">
      <c r="A82" s="18"/>
      <c r="B82" s="18"/>
      <c r="C82" s="18"/>
      <c r="D82" s="18"/>
      <c r="E82" s="22"/>
      <c r="F82" s="22"/>
      <c r="G82" s="18"/>
      <c r="H82" s="22"/>
      <c r="I82" s="25"/>
      <c r="J82" s="25"/>
      <c r="K82" s="27"/>
      <c r="L82" s="27"/>
      <c r="M82" s="27"/>
      <c r="N82" s="29"/>
      <c r="O82" s="29"/>
      <c r="P82" s="29"/>
      <c r="Q82" s="18"/>
      <c r="R82" s="18"/>
      <c r="S82" s="32"/>
      <c r="T82" s="33"/>
      <c r="U82" s="22"/>
      <c r="V82" s="37" t="s">
        <v>316</v>
      </c>
      <c r="W82" s="38">
        <v>240300008</v>
      </c>
      <c r="X82" s="19" t="s">
        <v>317</v>
      </c>
      <c r="Y82" s="19" t="s">
        <v>318</v>
      </c>
      <c r="Z82" s="19" t="s">
        <v>41</v>
      </c>
      <c r="AA82" s="18" t="s">
        <v>92</v>
      </c>
      <c r="AB82" s="19" t="s">
        <v>319</v>
      </c>
      <c r="AC82" s="42">
        <v>7480</v>
      </c>
      <c r="AD82" s="42">
        <v>6970</v>
      </c>
      <c r="AE82" s="42">
        <v>5924.5</v>
      </c>
      <c r="AF82" s="18" t="s">
        <v>40</v>
      </c>
      <c r="AG82" s="47" t="s">
        <v>41</v>
      </c>
    </row>
    <row r="83" s="9" customFormat="1" ht="25" customHeight="1" spans="1:33">
      <c r="A83" s="18"/>
      <c r="B83" s="18"/>
      <c r="C83" s="18"/>
      <c r="D83" s="18"/>
      <c r="E83" s="22"/>
      <c r="F83" s="22"/>
      <c r="G83" s="18"/>
      <c r="H83" s="22"/>
      <c r="I83" s="25"/>
      <c r="J83" s="25"/>
      <c r="K83" s="27"/>
      <c r="L83" s="27"/>
      <c r="M83" s="27"/>
      <c r="N83" s="29"/>
      <c r="O83" s="29"/>
      <c r="P83" s="29"/>
      <c r="Q83" s="18"/>
      <c r="R83" s="18"/>
      <c r="S83" s="32"/>
      <c r="T83" s="33"/>
      <c r="U83" s="22"/>
      <c r="V83" s="37" t="s">
        <v>320</v>
      </c>
      <c r="W83" s="38">
        <v>24030000801</v>
      </c>
      <c r="X83" s="19" t="s">
        <v>321</v>
      </c>
      <c r="Y83" s="19" t="s">
        <v>41</v>
      </c>
      <c r="Z83" s="19" t="s">
        <v>41</v>
      </c>
      <c r="AA83" s="18" t="s">
        <v>38</v>
      </c>
      <c r="AB83" s="19" t="s">
        <v>322</v>
      </c>
      <c r="AC83" s="42">
        <v>704</v>
      </c>
      <c r="AD83" s="42">
        <v>656</v>
      </c>
      <c r="AE83" s="42">
        <v>557.6</v>
      </c>
      <c r="AF83" s="18" t="s">
        <v>40</v>
      </c>
      <c r="AG83" s="47" t="s">
        <v>41</v>
      </c>
    </row>
    <row r="84" s="9" customFormat="1" ht="25" customHeight="1" spans="1:33">
      <c r="A84" s="18"/>
      <c r="B84" s="18"/>
      <c r="C84" s="18"/>
      <c r="D84" s="18"/>
      <c r="E84" s="22"/>
      <c r="F84" s="22"/>
      <c r="G84" s="18"/>
      <c r="H84" s="22"/>
      <c r="I84" s="25"/>
      <c r="J84" s="25"/>
      <c r="K84" s="27"/>
      <c r="L84" s="27"/>
      <c r="M84" s="27"/>
      <c r="N84" s="29"/>
      <c r="O84" s="29"/>
      <c r="P84" s="29"/>
      <c r="Q84" s="18"/>
      <c r="R84" s="18"/>
      <c r="S84" s="32"/>
      <c r="T84" s="33"/>
      <c r="U84" s="22"/>
      <c r="V84" s="37" t="s">
        <v>323</v>
      </c>
      <c r="W84" s="38">
        <v>24030000802</v>
      </c>
      <c r="X84" s="19" t="s">
        <v>324</v>
      </c>
      <c r="Y84" s="19" t="s">
        <v>41</v>
      </c>
      <c r="Z84" s="19" t="s">
        <v>41</v>
      </c>
      <c r="AA84" s="18" t="s">
        <v>325</v>
      </c>
      <c r="AB84" s="19" t="s">
        <v>326</v>
      </c>
      <c r="AC84" s="42">
        <v>1320</v>
      </c>
      <c r="AD84" s="42">
        <v>1230</v>
      </c>
      <c r="AE84" s="42">
        <v>1045.5</v>
      </c>
      <c r="AF84" s="18" t="s">
        <v>40</v>
      </c>
      <c r="AG84" s="47" t="s">
        <v>41</v>
      </c>
    </row>
    <row r="85" s="9" customFormat="1" ht="99" customHeight="1" spans="1:33">
      <c r="A85" s="18" t="s">
        <v>81</v>
      </c>
      <c r="B85" s="18" t="s">
        <v>327</v>
      </c>
      <c r="C85" s="18" t="s">
        <v>328</v>
      </c>
      <c r="D85" s="18" t="s">
        <v>35</v>
      </c>
      <c r="E85" s="22"/>
      <c r="F85" s="22"/>
      <c r="G85" s="18" t="s">
        <v>92</v>
      </c>
      <c r="H85" s="22" t="s">
        <v>329</v>
      </c>
      <c r="I85" s="25">
        <v>18000</v>
      </c>
      <c r="J85" s="25">
        <v>16200</v>
      </c>
      <c r="K85" s="27"/>
      <c r="L85" s="27"/>
      <c r="M85" s="27"/>
      <c r="N85" s="29">
        <v>16200</v>
      </c>
      <c r="O85" s="29">
        <v>14600</v>
      </c>
      <c r="P85" s="29">
        <v>13400</v>
      </c>
      <c r="Q85" s="18" t="s">
        <v>40</v>
      </c>
      <c r="R85" s="18" t="s">
        <v>41</v>
      </c>
      <c r="S85" s="32">
        <v>0.2</v>
      </c>
      <c r="T85" s="33"/>
      <c r="U85" s="22" t="s">
        <v>330</v>
      </c>
      <c r="V85" s="37"/>
      <c r="W85" s="38"/>
      <c r="X85" s="19"/>
      <c r="Y85" s="19"/>
      <c r="Z85" s="19"/>
      <c r="AA85" s="18"/>
      <c r="AB85" s="19"/>
      <c r="AC85" s="29"/>
      <c r="AD85" s="29"/>
      <c r="AE85" s="29"/>
      <c r="AF85" s="18"/>
      <c r="AG85" s="47"/>
    </row>
    <row r="86" s="9" customFormat="1" ht="63" customHeight="1" spans="1:33">
      <c r="A86" s="18" t="s">
        <v>81</v>
      </c>
      <c r="B86" s="18" t="s">
        <v>327</v>
      </c>
      <c r="C86" s="18" t="s">
        <v>328</v>
      </c>
      <c r="D86" s="18" t="s">
        <v>35</v>
      </c>
      <c r="E86" s="22"/>
      <c r="F86" s="22"/>
      <c r="G86" s="18" t="s">
        <v>38</v>
      </c>
      <c r="H86" s="22" t="s">
        <v>331</v>
      </c>
      <c r="I86" s="25">
        <v>3600</v>
      </c>
      <c r="J86" s="25">
        <v>3240</v>
      </c>
      <c r="K86" s="27"/>
      <c r="L86" s="27"/>
      <c r="M86" s="27"/>
      <c r="N86" s="29">
        <v>3240</v>
      </c>
      <c r="O86" s="29">
        <v>2920</v>
      </c>
      <c r="P86" s="29">
        <v>2680</v>
      </c>
      <c r="Q86" s="18" t="s">
        <v>40</v>
      </c>
      <c r="R86" s="18" t="s">
        <v>41</v>
      </c>
      <c r="S86" s="32">
        <v>0.2</v>
      </c>
      <c r="T86" s="33"/>
      <c r="U86" s="22"/>
      <c r="V86" s="37"/>
      <c r="W86" s="38"/>
      <c r="X86" s="19"/>
      <c r="Y86" s="19"/>
      <c r="Z86" s="19"/>
      <c r="AA86" s="18"/>
      <c r="AB86" s="19"/>
      <c r="AC86" s="29"/>
      <c r="AD86" s="29"/>
      <c r="AE86" s="29"/>
      <c r="AF86" s="18"/>
      <c r="AG86" s="47"/>
    </row>
    <row r="87" s="9" customFormat="1" ht="77" customHeight="1" spans="1:33">
      <c r="A87" s="18" t="s">
        <v>81</v>
      </c>
      <c r="B87" s="18" t="s">
        <v>327</v>
      </c>
      <c r="C87" s="18" t="s">
        <v>328</v>
      </c>
      <c r="D87" s="18" t="s">
        <v>35</v>
      </c>
      <c r="E87" s="22"/>
      <c r="F87" s="22"/>
      <c r="G87" s="18" t="s">
        <v>92</v>
      </c>
      <c r="H87" s="22" t="s">
        <v>332</v>
      </c>
      <c r="I87" s="25">
        <v>9000</v>
      </c>
      <c r="J87" s="25">
        <v>8100</v>
      </c>
      <c r="K87" s="27"/>
      <c r="L87" s="27"/>
      <c r="M87" s="27"/>
      <c r="N87" s="29">
        <v>8100</v>
      </c>
      <c r="O87" s="29">
        <v>7300</v>
      </c>
      <c r="P87" s="29">
        <v>6200</v>
      </c>
      <c r="Q87" s="18" t="s">
        <v>40</v>
      </c>
      <c r="R87" s="18" t="s">
        <v>41</v>
      </c>
      <c r="S87" s="32">
        <v>0.2</v>
      </c>
      <c r="T87" s="33"/>
      <c r="U87" s="22" t="s">
        <v>330</v>
      </c>
      <c r="V87" s="37"/>
      <c r="W87" s="38"/>
      <c r="X87" s="19"/>
      <c r="Y87" s="19"/>
      <c r="Z87" s="19"/>
      <c r="AA87" s="18"/>
      <c r="AB87" s="19"/>
      <c r="AC87" s="29"/>
      <c r="AD87" s="29"/>
      <c r="AE87" s="29"/>
      <c r="AF87" s="18"/>
      <c r="AG87" s="47"/>
    </row>
    <row r="88" s="9" customFormat="1" ht="94" customHeight="1" spans="1:33">
      <c r="A88" s="18" t="s">
        <v>81</v>
      </c>
      <c r="B88" s="18" t="s">
        <v>333</v>
      </c>
      <c r="C88" s="18" t="s">
        <v>334</v>
      </c>
      <c r="D88" s="18" t="s">
        <v>35</v>
      </c>
      <c r="E88" s="22"/>
      <c r="F88" s="22"/>
      <c r="G88" s="18" t="s">
        <v>92</v>
      </c>
      <c r="H88" s="22" t="s">
        <v>335</v>
      </c>
      <c r="I88" s="25">
        <v>1150</v>
      </c>
      <c r="J88" s="25">
        <v>1035</v>
      </c>
      <c r="K88" s="27"/>
      <c r="L88" s="27"/>
      <c r="M88" s="27"/>
      <c r="N88" s="29">
        <v>1035</v>
      </c>
      <c r="O88" s="29">
        <v>930</v>
      </c>
      <c r="P88" s="29">
        <v>790</v>
      </c>
      <c r="Q88" s="18" t="s">
        <v>40</v>
      </c>
      <c r="R88" s="18" t="s">
        <v>41</v>
      </c>
      <c r="S88" s="32">
        <v>0.2</v>
      </c>
      <c r="T88" s="33"/>
      <c r="U88" s="22" t="s">
        <v>330</v>
      </c>
      <c r="V88" s="37"/>
      <c r="W88" s="38"/>
      <c r="X88" s="19"/>
      <c r="Y88" s="19"/>
      <c r="Z88" s="19"/>
      <c r="AA88" s="18"/>
      <c r="AB88" s="19"/>
      <c r="AC88" s="29"/>
      <c r="AD88" s="29"/>
      <c r="AE88" s="29"/>
      <c r="AF88" s="18"/>
      <c r="AG88" s="47"/>
    </row>
    <row r="89" s="9" customFormat="1" ht="80" customHeight="1" spans="1:33">
      <c r="A89" s="18" t="s">
        <v>81</v>
      </c>
      <c r="B89" s="18" t="s">
        <v>333</v>
      </c>
      <c r="C89" s="18" t="s">
        <v>334</v>
      </c>
      <c r="D89" s="18" t="s">
        <v>35</v>
      </c>
      <c r="E89" s="22"/>
      <c r="F89" s="22"/>
      <c r="G89" s="18" t="s">
        <v>38</v>
      </c>
      <c r="H89" s="22" t="s">
        <v>310</v>
      </c>
      <c r="I89" s="25">
        <v>230</v>
      </c>
      <c r="J89" s="25">
        <v>207</v>
      </c>
      <c r="K89" s="27"/>
      <c r="L89" s="27"/>
      <c r="M89" s="27"/>
      <c r="N89" s="29">
        <v>207</v>
      </c>
      <c r="O89" s="29">
        <v>186</v>
      </c>
      <c r="P89" s="29">
        <v>158</v>
      </c>
      <c r="Q89" s="18" t="s">
        <v>40</v>
      </c>
      <c r="R89" s="18" t="s">
        <v>41</v>
      </c>
      <c r="S89" s="32">
        <v>0.2</v>
      </c>
      <c r="T89" s="33"/>
      <c r="U89" s="22"/>
      <c r="V89" s="37"/>
      <c r="W89" s="38"/>
      <c r="X89" s="19"/>
      <c r="Y89" s="19"/>
      <c r="Z89" s="19"/>
      <c r="AA89" s="18"/>
      <c r="AB89" s="19"/>
      <c r="AC89" s="29"/>
      <c r="AD89" s="29"/>
      <c r="AE89" s="29"/>
      <c r="AF89" s="18"/>
      <c r="AG89" s="47"/>
    </row>
    <row r="90" s="9" customFormat="1" ht="70" customHeight="1" spans="1:33">
      <c r="A90" s="18" t="s">
        <v>81</v>
      </c>
      <c r="B90" s="18" t="s">
        <v>333</v>
      </c>
      <c r="C90" s="18" t="s">
        <v>334</v>
      </c>
      <c r="D90" s="18" t="s">
        <v>35</v>
      </c>
      <c r="E90" s="22"/>
      <c r="F90" s="22"/>
      <c r="G90" s="18" t="s">
        <v>92</v>
      </c>
      <c r="H90" s="22" t="s">
        <v>336</v>
      </c>
      <c r="I90" s="25">
        <v>575</v>
      </c>
      <c r="J90" s="25">
        <v>518</v>
      </c>
      <c r="K90" s="27"/>
      <c r="L90" s="27"/>
      <c r="M90" s="27"/>
      <c r="N90" s="29">
        <v>518</v>
      </c>
      <c r="O90" s="29">
        <v>465</v>
      </c>
      <c r="P90" s="29">
        <v>395</v>
      </c>
      <c r="Q90" s="18" t="s">
        <v>40</v>
      </c>
      <c r="R90" s="18" t="s">
        <v>41</v>
      </c>
      <c r="S90" s="32">
        <v>0.2</v>
      </c>
      <c r="T90" s="33"/>
      <c r="U90" s="22"/>
      <c r="V90" s="37"/>
      <c r="W90" s="38"/>
      <c r="X90" s="19"/>
      <c r="Y90" s="19"/>
      <c r="Z90" s="19"/>
      <c r="AA90" s="18"/>
      <c r="AB90" s="19"/>
      <c r="AC90" s="29"/>
      <c r="AD90" s="29"/>
      <c r="AE90" s="29"/>
      <c r="AF90" s="18"/>
      <c r="AG90" s="47"/>
    </row>
    <row r="91" s="9" customFormat="1" ht="97" customHeight="1" spans="1:33">
      <c r="A91" s="18" t="s">
        <v>81</v>
      </c>
      <c r="B91" s="18" t="s">
        <v>337</v>
      </c>
      <c r="C91" s="18" t="s">
        <v>338</v>
      </c>
      <c r="D91" s="18" t="s">
        <v>35</v>
      </c>
      <c r="E91" s="22"/>
      <c r="F91" s="22"/>
      <c r="G91" s="18" t="s">
        <v>92</v>
      </c>
      <c r="H91" s="22" t="s">
        <v>339</v>
      </c>
      <c r="I91" s="25">
        <v>30000</v>
      </c>
      <c r="J91" s="25">
        <v>27000</v>
      </c>
      <c r="K91" s="27"/>
      <c r="L91" s="27"/>
      <c r="M91" s="27"/>
      <c r="N91" s="29">
        <v>27000</v>
      </c>
      <c r="O91" s="29">
        <v>24300</v>
      </c>
      <c r="P91" s="29">
        <v>20650</v>
      </c>
      <c r="Q91" s="18" t="s">
        <v>40</v>
      </c>
      <c r="R91" s="18" t="s">
        <v>41</v>
      </c>
      <c r="S91" s="32">
        <v>0.2</v>
      </c>
      <c r="T91" s="33"/>
      <c r="U91" s="22" t="s">
        <v>226</v>
      </c>
      <c r="V91" s="37"/>
      <c r="W91" s="38"/>
      <c r="X91" s="19"/>
      <c r="Y91" s="19"/>
      <c r="Z91" s="19"/>
      <c r="AA91" s="18"/>
      <c r="AB91" s="19"/>
      <c r="AC91" s="29"/>
      <c r="AD91" s="29"/>
      <c r="AE91" s="29"/>
      <c r="AF91" s="18"/>
      <c r="AG91" s="47"/>
    </row>
    <row r="92" s="9" customFormat="1" ht="84" customHeight="1" spans="1:33">
      <c r="A92" s="18" t="s">
        <v>81</v>
      </c>
      <c r="B92" s="18" t="s">
        <v>337</v>
      </c>
      <c r="C92" s="18" t="s">
        <v>338</v>
      </c>
      <c r="D92" s="18" t="s">
        <v>35</v>
      </c>
      <c r="E92" s="22"/>
      <c r="F92" s="22"/>
      <c r="G92" s="18" t="s">
        <v>38</v>
      </c>
      <c r="H92" s="22" t="s">
        <v>310</v>
      </c>
      <c r="I92" s="25">
        <v>6000</v>
      </c>
      <c r="J92" s="25">
        <v>5400</v>
      </c>
      <c r="K92" s="27"/>
      <c r="L92" s="27"/>
      <c r="M92" s="27"/>
      <c r="N92" s="29">
        <v>5400</v>
      </c>
      <c r="O92" s="29">
        <v>4860</v>
      </c>
      <c r="P92" s="29">
        <v>4130</v>
      </c>
      <c r="Q92" s="18" t="s">
        <v>40</v>
      </c>
      <c r="R92" s="18" t="s">
        <v>41</v>
      </c>
      <c r="S92" s="32">
        <v>0.2</v>
      </c>
      <c r="T92" s="33"/>
      <c r="U92" s="22"/>
      <c r="V92" s="37"/>
      <c r="W92" s="38"/>
      <c r="X92" s="19"/>
      <c r="Y92" s="19"/>
      <c r="Z92" s="19"/>
      <c r="AA92" s="18"/>
      <c r="AB92" s="19"/>
      <c r="AC92" s="29"/>
      <c r="AD92" s="29"/>
      <c r="AE92" s="29"/>
      <c r="AF92" s="18"/>
      <c r="AG92" s="47"/>
    </row>
    <row r="93" s="9" customFormat="1" ht="84" customHeight="1" spans="1:33">
      <c r="A93" s="18" t="s">
        <v>81</v>
      </c>
      <c r="B93" s="18" t="s">
        <v>337</v>
      </c>
      <c r="C93" s="18" t="s">
        <v>338</v>
      </c>
      <c r="D93" s="18" t="s">
        <v>35</v>
      </c>
      <c r="E93" s="22"/>
      <c r="F93" s="22"/>
      <c r="G93" s="18" t="s">
        <v>92</v>
      </c>
      <c r="H93" s="22" t="s">
        <v>312</v>
      </c>
      <c r="I93" s="25">
        <v>15000</v>
      </c>
      <c r="J93" s="25">
        <v>13500</v>
      </c>
      <c r="K93" s="27"/>
      <c r="L93" s="27"/>
      <c r="M93" s="27"/>
      <c r="N93" s="29">
        <v>13500</v>
      </c>
      <c r="O93" s="29">
        <v>12150</v>
      </c>
      <c r="P93" s="29">
        <v>10350</v>
      </c>
      <c r="Q93" s="18" t="s">
        <v>40</v>
      </c>
      <c r="R93" s="18" t="s">
        <v>41</v>
      </c>
      <c r="S93" s="32">
        <v>0.2</v>
      </c>
      <c r="T93" s="33"/>
      <c r="U93" s="22" t="s">
        <v>330</v>
      </c>
      <c r="V93" s="37"/>
      <c r="W93" s="38"/>
      <c r="X93" s="19"/>
      <c r="Y93" s="19"/>
      <c r="Z93" s="19"/>
      <c r="AA93" s="18"/>
      <c r="AB93" s="19"/>
      <c r="AC93" s="29"/>
      <c r="AD93" s="29"/>
      <c r="AE93" s="29"/>
      <c r="AF93" s="18"/>
      <c r="AG93" s="47"/>
    </row>
    <row r="94" s="9" customFormat="1" ht="145" customHeight="1" spans="1:33">
      <c r="A94" s="18">
        <v>8</v>
      </c>
      <c r="B94" s="18" t="s">
        <v>340</v>
      </c>
      <c r="C94" s="18" t="s">
        <v>341</v>
      </c>
      <c r="D94" s="18" t="s">
        <v>35</v>
      </c>
      <c r="E94" s="22" t="s">
        <v>342</v>
      </c>
      <c r="F94" s="22" t="s">
        <v>343</v>
      </c>
      <c r="G94" s="18" t="s">
        <v>38</v>
      </c>
      <c r="H94" s="22" t="s">
        <v>344</v>
      </c>
      <c r="I94" s="25" t="s">
        <v>345</v>
      </c>
      <c r="J94" s="25" t="s">
        <v>345</v>
      </c>
      <c r="K94" s="27"/>
      <c r="L94" s="27"/>
      <c r="M94" s="27"/>
      <c r="N94" s="29" t="s">
        <v>345</v>
      </c>
      <c r="O94" s="29" t="s">
        <v>345</v>
      </c>
      <c r="P94" s="29"/>
      <c r="Q94" s="18" t="s">
        <v>41</v>
      </c>
      <c r="R94" s="18" t="s">
        <v>41</v>
      </c>
      <c r="S94" s="32" t="s">
        <v>41</v>
      </c>
      <c r="T94" s="33" t="s">
        <v>346</v>
      </c>
      <c r="U94" s="22" t="s">
        <v>347</v>
      </c>
      <c r="V94" s="37"/>
      <c r="W94" s="38"/>
      <c r="X94" s="19"/>
      <c r="Y94" s="19"/>
      <c r="Z94" s="19"/>
      <c r="AA94" s="18"/>
      <c r="AB94" s="19"/>
      <c r="AC94" s="29"/>
      <c r="AD94" s="29"/>
      <c r="AE94" s="29"/>
      <c r="AF94" s="18"/>
      <c r="AG94" s="47"/>
    </row>
    <row r="95" s="9" customFormat="1" ht="152" customHeight="1" spans="1:33">
      <c r="A95" s="18">
        <v>9</v>
      </c>
      <c r="B95" s="18" t="s">
        <v>348</v>
      </c>
      <c r="C95" s="18" t="s">
        <v>349</v>
      </c>
      <c r="D95" s="18" t="s">
        <v>35</v>
      </c>
      <c r="E95" s="22" t="s">
        <v>350</v>
      </c>
      <c r="F95" s="22" t="s">
        <v>343</v>
      </c>
      <c r="G95" s="18" t="s">
        <v>38</v>
      </c>
      <c r="H95" s="22" t="s">
        <v>351</v>
      </c>
      <c r="I95" s="25">
        <v>49500</v>
      </c>
      <c r="J95" s="25">
        <v>44550</v>
      </c>
      <c r="K95" s="27"/>
      <c r="L95" s="27"/>
      <c r="M95" s="27"/>
      <c r="N95" s="29">
        <v>46500</v>
      </c>
      <c r="O95" s="29">
        <v>44500</v>
      </c>
      <c r="P95" s="29"/>
      <c r="Q95" s="18" t="s">
        <v>352</v>
      </c>
      <c r="R95" s="18" t="s">
        <v>41</v>
      </c>
      <c r="S95" s="32" t="s">
        <v>41</v>
      </c>
      <c r="T95" s="33" t="s">
        <v>346</v>
      </c>
      <c r="U95" s="22" t="s">
        <v>353</v>
      </c>
      <c r="V95" s="37"/>
      <c r="W95" s="38"/>
      <c r="X95" s="19"/>
      <c r="Y95" s="19"/>
      <c r="Z95" s="19"/>
      <c r="AA95" s="18"/>
      <c r="AB95" s="19"/>
      <c r="AC95" s="29"/>
      <c r="AD95" s="29"/>
      <c r="AE95" s="29"/>
      <c r="AF95" s="18"/>
      <c r="AG95" s="47"/>
    </row>
    <row r="96" s="9" customFormat="1" ht="88" customHeight="1" spans="1:33">
      <c r="A96" s="18">
        <v>10</v>
      </c>
      <c r="B96" s="18" t="s">
        <v>354</v>
      </c>
      <c r="C96" s="18" t="s">
        <v>355</v>
      </c>
      <c r="D96" s="18" t="s">
        <v>35</v>
      </c>
      <c r="E96" s="22" t="s">
        <v>356</v>
      </c>
      <c r="F96" s="22" t="s">
        <v>357</v>
      </c>
      <c r="G96" s="18" t="s">
        <v>38</v>
      </c>
      <c r="H96" s="22" t="s">
        <v>344</v>
      </c>
      <c r="I96" s="25" t="s">
        <v>345</v>
      </c>
      <c r="J96" s="25" t="s">
        <v>358</v>
      </c>
      <c r="K96" s="27"/>
      <c r="L96" s="27"/>
      <c r="M96" s="27"/>
      <c r="N96" s="29" t="s">
        <v>345</v>
      </c>
      <c r="O96" s="29" t="s">
        <v>345</v>
      </c>
      <c r="P96" s="29"/>
      <c r="Q96" s="18" t="s">
        <v>41</v>
      </c>
      <c r="R96" s="18" t="s">
        <v>41</v>
      </c>
      <c r="S96" s="32" t="s">
        <v>41</v>
      </c>
      <c r="T96" s="33" t="s">
        <v>346</v>
      </c>
      <c r="U96" s="22" t="s">
        <v>347</v>
      </c>
      <c r="V96" s="37"/>
      <c r="W96" s="38"/>
      <c r="X96" s="19"/>
      <c r="Y96" s="19"/>
      <c r="Z96" s="19"/>
      <c r="AA96" s="18"/>
      <c r="AB96" s="19"/>
      <c r="AC96" s="29"/>
      <c r="AD96" s="29"/>
      <c r="AE96" s="29"/>
      <c r="AF96" s="18"/>
      <c r="AG96" s="47"/>
    </row>
    <row r="97" s="9" customFormat="1" ht="26" customHeight="1" spans="1:33">
      <c r="A97" s="18">
        <v>11</v>
      </c>
      <c r="B97" s="18" t="s">
        <v>359</v>
      </c>
      <c r="C97" s="18" t="s">
        <v>360</v>
      </c>
      <c r="D97" s="18" t="s">
        <v>35</v>
      </c>
      <c r="E97" s="22" t="s">
        <v>361</v>
      </c>
      <c r="F97" s="22" t="s">
        <v>362</v>
      </c>
      <c r="G97" s="18" t="s">
        <v>38</v>
      </c>
      <c r="H97" s="22" t="s">
        <v>363</v>
      </c>
      <c r="I97" s="25">
        <v>800</v>
      </c>
      <c r="J97" s="25">
        <v>720</v>
      </c>
      <c r="K97" s="27">
        <v>750</v>
      </c>
      <c r="L97" s="27">
        <v>675</v>
      </c>
      <c r="M97" s="27"/>
      <c r="N97" s="29">
        <v>750</v>
      </c>
      <c r="O97" s="29">
        <v>675</v>
      </c>
      <c r="P97" s="29">
        <v>580</v>
      </c>
      <c r="Q97" s="18" t="s">
        <v>40</v>
      </c>
      <c r="R97" s="18" t="s">
        <v>41</v>
      </c>
      <c r="S97" s="32">
        <v>0.05</v>
      </c>
      <c r="T97" s="33" t="s">
        <v>231</v>
      </c>
      <c r="U97" s="22" t="s">
        <v>364</v>
      </c>
      <c r="V97" s="37" t="s">
        <v>365</v>
      </c>
      <c r="W97" s="38">
        <v>240400001</v>
      </c>
      <c r="X97" s="19" t="s">
        <v>366</v>
      </c>
      <c r="Y97" s="19" t="s">
        <v>41</v>
      </c>
      <c r="Z97" s="19" t="s">
        <v>41</v>
      </c>
      <c r="AA97" s="18" t="s">
        <v>196</v>
      </c>
      <c r="AB97" s="19" t="s">
        <v>41</v>
      </c>
      <c r="AC97" s="42">
        <v>50</v>
      </c>
      <c r="AD97" s="42">
        <v>45</v>
      </c>
      <c r="AE97" s="29" t="s">
        <v>41</v>
      </c>
      <c r="AF97" s="18" t="s">
        <v>40</v>
      </c>
      <c r="AG97" s="47" t="s">
        <v>41</v>
      </c>
    </row>
    <row r="98" s="9" customFormat="1" ht="26" customHeight="1" spans="1:33">
      <c r="A98" s="18"/>
      <c r="B98" s="18"/>
      <c r="C98" s="18"/>
      <c r="D98" s="18"/>
      <c r="E98" s="22"/>
      <c r="F98" s="22"/>
      <c r="G98" s="18"/>
      <c r="H98" s="22"/>
      <c r="I98" s="25"/>
      <c r="J98" s="25"/>
      <c r="K98" s="27"/>
      <c r="L98" s="27"/>
      <c r="M98" s="27"/>
      <c r="N98" s="29"/>
      <c r="O98" s="29"/>
      <c r="P98" s="29"/>
      <c r="Q98" s="18"/>
      <c r="R98" s="18"/>
      <c r="S98" s="32"/>
      <c r="T98" s="33"/>
      <c r="U98" s="22"/>
      <c r="V98" s="37" t="s">
        <v>367</v>
      </c>
      <c r="W98" s="38">
        <v>240400002</v>
      </c>
      <c r="X98" s="19" t="s">
        <v>368</v>
      </c>
      <c r="Y98" s="19" t="s">
        <v>41</v>
      </c>
      <c r="Z98" s="19" t="s">
        <v>41</v>
      </c>
      <c r="AA98" s="18" t="s">
        <v>196</v>
      </c>
      <c r="AB98" s="19" t="s">
        <v>41</v>
      </c>
      <c r="AC98" s="42">
        <v>100</v>
      </c>
      <c r="AD98" s="42">
        <v>90</v>
      </c>
      <c r="AE98" s="29" t="s">
        <v>41</v>
      </c>
      <c r="AF98" s="18" t="s">
        <v>40</v>
      </c>
      <c r="AG98" s="47" t="s">
        <v>41</v>
      </c>
    </row>
    <row r="99" s="9" customFormat="1" ht="26" customHeight="1" spans="1:33">
      <c r="A99" s="18"/>
      <c r="B99" s="18"/>
      <c r="C99" s="18"/>
      <c r="D99" s="18"/>
      <c r="E99" s="22"/>
      <c r="F99" s="22"/>
      <c r="G99" s="18"/>
      <c r="H99" s="22"/>
      <c r="I99" s="25"/>
      <c r="J99" s="25"/>
      <c r="K99" s="27"/>
      <c r="L99" s="27"/>
      <c r="M99" s="27"/>
      <c r="N99" s="29"/>
      <c r="O99" s="29"/>
      <c r="P99" s="29"/>
      <c r="Q99" s="18"/>
      <c r="R99" s="18"/>
      <c r="S99" s="32"/>
      <c r="T99" s="33"/>
      <c r="U99" s="22"/>
      <c r="V99" s="37" t="s">
        <v>369</v>
      </c>
      <c r="W99" s="38">
        <v>240400005</v>
      </c>
      <c r="X99" s="19" t="s">
        <v>370</v>
      </c>
      <c r="Y99" s="19" t="s">
        <v>41</v>
      </c>
      <c r="Z99" s="19" t="s">
        <v>41</v>
      </c>
      <c r="AA99" s="18" t="s">
        <v>38</v>
      </c>
      <c r="AB99" s="19" t="s">
        <v>41</v>
      </c>
      <c r="AC99" s="42">
        <v>350</v>
      </c>
      <c r="AD99" s="42">
        <v>308</v>
      </c>
      <c r="AE99" s="42">
        <v>261.8</v>
      </c>
      <c r="AF99" s="18" t="s">
        <v>40</v>
      </c>
      <c r="AG99" s="47" t="s">
        <v>41</v>
      </c>
    </row>
    <row r="100" s="9" customFormat="1" ht="26" customHeight="1" spans="1:33">
      <c r="A100" s="18"/>
      <c r="B100" s="18"/>
      <c r="C100" s="18"/>
      <c r="D100" s="18"/>
      <c r="E100" s="22"/>
      <c r="F100" s="22"/>
      <c r="G100" s="18"/>
      <c r="H100" s="22"/>
      <c r="I100" s="25"/>
      <c r="J100" s="25"/>
      <c r="K100" s="27"/>
      <c r="L100" s="27"/>
      <c r="M100" s="27"/>
      <c r="N100" s="29"/>
      <c r="O100" s="29"/>
      <c r="P100" s="29"/>
      <c r="Q100" s="18"/>
      <c r="R100" s="18"/>
      <c r="S100" s="32"/>
      <c r="T100" s="33"/>
      <c r="U100" s="22"/>
      <c r="V100" s="37" t="s">
        <v>371</v>
      </c>
      <c r="W100" s="38">
        <v>240400006</v>
      </c>
      <c r="X100" s="19" t="s">
        <v>372</v>
      </c>
      <c r="Y100" s="19" t="s">
        <v>41</v>
      </c>
      <c r="Z100" s="19" t="s">
        <v>41</v>
      </c>
      <c r="AA100" s="18" t="s">
        <v>38</v>
      </c>
      <c r="AB100" s="19" t="s">
        <v>41</v>
      </c>
      <c r="AC100" s="29" t="s">
        <v>41</v>
      </c>
      <c r="AD100" s="29" t="s">
        <v>41</v>
      </c>
      <c r="AE100" s="29" t="s">
        <v>41</v>
      </c>
      <c r="AF100" s="18" t="s">
        <v>41</v>
      </c>
      <c r="AG100" s="47" t="s">
        <v>41</v>
      </c>
    </row>
    <row r="101" s="9" customFormat="1" ht="26" customHeight="1" spans="1:33">
      <c r="A101" s="18"/>
      <c r="B101" s="18"/>
      <c r="C101" s="18"/>
      <c r="D101" s="18"/>
      <c r="E101" s="22"/>
      <c r="F101" s="22"/>
      <c r="G101" s="18"/>
      <c r="H101" s="22"/>
      <c r="I101" s="25"/>
      <c r="J101" s="25"/>
      <c r="K101" s="27"/>
      <c r="L101" s="27"/>
      <c r="M101" s="27"/>
      <c r="N101" s="29"/>
      <c r="O101" s="29"/>
      <c r="P101" s="29"/>
      <c r="Q101" s="18"/>
      <c r="R101" s="18"/>
      <c r="S101" s="32"/>
      <c r="T101" s="33"/>
      <c r="U101" s="22"/>
      <c r="V101" s="37" t="s">
        <v>373</v>
      </c>
      <c r="W101" s="38">
        <v>240400004</v>
      </c>
      <c r="X101" s="19" t="s">
        <v>374</v>
      </c>
      <c r="Y101" s="19" t="s">
        <v>41</v>
      </c>
      <c r="Z101" s="19" t="s">
        <v>41</v>
      </c>
      <c r="AA101" s="18" t="s">
        <v>38</v>
      </c>
      <c r="AB101" s="19" t="s">
        <v>41</v>
      </c>
      <c r="AC101" s="42">
        <v>350</v>
      </c>
      <c r="AD101" s="42">
        <v>308</v>
      </c>
      <c r="AE101" s="42">
        <v>261.8</v>
      </c>
      <c r="AF101" s="18" t="s">
        <v>40</v>
      </c>
      <c r="AG101" s="47" t="s">
        <v>41</v>
      </c>
    </row>
    <row r="102" s="9" customFormat="1" ht="64" customHeight="1" spans="1:33">
      <c r="A102" s="18" t="s">
        <v>81</v>
      </c>
      <c r="B102" s="18" t="s">
        <v>375</v>
      </c>
      <c r="C102" s="18" t="s">
        <v>376</v>
      </c>
      <c r="D102" s="18" t="s">
        <v>35</v>
      </c>
      <c r="E102" s="22" t="s">
        <v>41</v>
      </c>
      <c r="F102" s="22" t="s">
        <v>41</v>
      </c>
      <c r="G102" s="18" t="s">
        <v>38</v>
      </c>
      <c r="H102" s="22"/>
      <c r="I102" s="25">
        <v>240</v>
      </c>
      <c r="J102" s="25">
        <v>216</v>
      </c>
      <c r="K102" s="27"/>
      <c r="L102" s="27"/>
      <c r="M102" s="27"/>
      <c r="N102" s="29">
        <v>225</v>
      </c>
      <c r="O102" s="29">
        <v>202.5</v>
      </c>
      <c r="P102" s="29">
        <v>174</v>
      </c>
      <c r="Q102" s="18" t="s">
        <v>40</v>
      </c>
      <c r="R102" s="18" t="s">
        <v>41</v>
      </c>
      <c r="S102" s="32">
        <v>0.05</v>
      </c>
      <c r="T102" s="33"/>
      <c r="U102" s="22" t="s">
        <v>377</v>
      </c>
      <c r="V102" s="37"/>
      <c r="W102" s="50"/>
      <c r="X102" s="19"/>
      <c r="Y102" s="19"/>
      <c r="Z102" s="19"/>
      <c r="AA102" s="18"/>
      <c r="AB102" s="19"/>
      <c r="AC102" s="37"/>
      <c r="AD102" s="37"/>
      <c r="AE102" s="37"/>
      <c r="AF102" s="27"/>
      <c r="AG102" s="60"/>
    </row>
    <row r="103" s="9" customFormat="1" ht="55" customHeight="1" spans="1:33">
      <c r="A103" s="18" t="s">
        <v>81</v>
      </c>
      <c r="B103" s="18" t="s">
        <v>378</v>
      </c>
      <c r="C103" s="18" t="s">
        <v>379</v>
      </c>
      <c r="D103" s="18" t="s">
        <v>35</v>
      </c>
      <c r="E103" s="22" t="s">
        <v>41</v>
      </c>
      <c r="F103" s="22" t="s">
        <v>41</v>
      </c>
      <c r="G103" s="18" t="s">
        <v>38</v>
      </c>
      <c r="H103" s="22"/>
      <c r="I103" s="25">
        <v>390</v>
      </c>
      <c r="J103" s="25">
        <v>351</v>
      </c>
      <c r="K103" s="27"/>
      <c r="L103" s="27"/>
      <c r="M103" s="27"/>
      <c r="N103" s="29">
        <v>365</v>
      </c>
      <c r="O103" s="29">
        <v>330</v>
      </c>
      <c r="P103" s="29">
        <v>280</v>
      </c>
      <c r="Q103" s="18" t="s">
        <v>40</v>
      </c>
      <c r="R103" s="18" t="s">
        <v>41</v>
      </c>
      <c r="S103" s="32">
        <v>0.05</v>
      </c>
      <c r="T103" s="33"/>
      <c r="U103" s="22" t="s">
        <v>380</v>
      </c>
      <c r="V103" s="37"/>
      <c r="W103" s="50"/>
      <c r="X103" s="19"/>
      <c r="Y103" s="19"/>
      <c r="Z103" s="19"/>
      <c r="AA103" s="18"/>
      <c r="AB103" s="19"/>
      <c r="AC103" s="29"/>
      <c r="AD103" s="29"/>
      <c r="AE103" s="29"/>
      <c r="AF103" s="18"/>
      <c r="AG103" s="47"/>
    </row>
    <row r="104" s="9" customFormat="1" ht="38" customHeight="1" spans="1:33">
      <c r="A104" s="18" t="s">
        <v>81</v>
      </c>
      <c r="B104" s="18" t="s">
        <v>381</v>
      </c>
      <c r="C104" s="18" t="s">
        <v>382</v>
      </c>
      <c r="D104" s="18" t="s">
        <v>35</v>
      </c>
      <c r="E104" s="22" t="s">
        <v>41</v>
      </c>
      <c r="F104" s="22" t="s">
        <v>41</v>
      </c>
      <c r="G104" s="18" t="s">
        <v>38</v>
      </c>
      <c r="H104" s="22"/>
      <c r="I104" s="25">
        <v>180</v>
      </c>
      <c r="J104" s="25">
        <v>162</v>
      </c>
      <c r="K104" s="26"/>
      <c r="L104" s="26"/>
      <c r="M104" s="26"/>
      <c r="N104" s="29">
        <v>170</v>
      </c>
      <c r="O104" s="29">
        <v>155</v>
      </c>
      <c r="P104" s="29">
        <v>130</v>
      </c>
      <c r="Q104" s="18" t="s">
        <v>40</v>
      </c>
      <c r="R104" s="18" t="s">
        <v>41</v>
      </c>
      <c r="S104" s="32">
        <v>0.05</v>
      </c>
      <c r="T104" s="33"/>
      <c r="U104" s="22" t="s">
        <v>380</v>
      </c>
      <c r="V104" s="37"/>
      <c r="W104" s="38"/>
      <c r="X104" s="19"/>
      <c r="Y104" s="19"/>
      <c r="Z104" s="19"/>
      <c r="AA104" s="18"/>
      <c r="AB104" s="19"/>
      <c r="AC104" s="37"/>
      <c r="AD104" s="37"/>
      <c r="AE104" s="37"/>
      <c r="AF104" s="18"/>
      <c r="AG104" s="47"/>
    </row>
    <row r="105" s="9" customFormat="1" ht="41" customHeight="1" spans="1:33">
      <c r="A105" s="18" t="s">
        <v>81</v>
      </c>
      <c r="B105" s="18" t="s">
        <v>383</v>
      </c>
      <c r="C105" s="18" t="s">
        <v>384</v>
      </c>
      <c r="D105" s="18" t="s">
        <v>35</v>
      </c>
      <c r="E105" s="22" t="s">
        <v>41</v>
      </c>
      <c r="F105" s="22" t="s">
        <v>41</v>
      </c>
      <c r="G105" s="18" t="s">
        <v>38</v>
      </c>
      <c r="H105" s="22" t="s">
        <v>41</v>
      </c>
      <c r="I105" s="25">
        <v>1000</v>
      </c>
      <c r="J105" s="25">
        <v>900</v>
      </c>
      <c r="K105" s="27"/>
      <c r="L105" s="27"/>
      <c r="M105" s="27"/>
      <c r="N105" s="29">
        <v>950</v>
      </c>
      <c r="O105" s="29">
        <v>860</v>
      </c>
      <c r="P105" s="29">
        <v>730</v>
      </c>
      <c r="Q105" s="18" t="s">
        <v>40</v>
      </c>
      <c r="R105" s="18" t="s">
        <v>41</v>
      </c>
      <c r="S105" s="32">
        <v>0.05</v>
      </c>
      <c r="T105" s="33"/>
      <c r="U105" s="22"/>
      <c r="V105" s="37"/>
      <c r="W105" s="38"/>
      <c r="X105" s="19"/>
      <c r="Y105" s="19"/>
      <c r="Z105" s="19"/>
      <c r="AA105" s="18"/>
      <c r="AB105" s="19"/>
      <c r="AC105" s="37"/>
      <c r="AD105" s="37"/>
      <c r="AE105" s="37"/>
      <c r="AF105" s="18"/>
      <c r="AG105" s="47"/>
    </row>
    <row r="106" s="9" customFormat="1" ht="31" customHeight="1" spans="1:33">
      <c r="A106" s="18" t="s">
        <v>81</v>
      </c>
      <c r="B106" s="18" t="s">
        <v>385</v>
      </c>
      <c r="C106" s="18" t="s">
        <v>386</v>
      </c>
      <c r="D106" s="18" t="s">
        <v>35</v>
      </c>
      <c r="E106" s="22" t="s">
        <v>41</v>
      </c>
      <c r="F106" s="22" t="s">
        <v>41</v>
      </c>
      <c r="G106" s="18" t="s">
        <v>38</v>
      </c>
      <c r="H106" s="22" t="s">
        <v>41</v>
      </c>
      <c r="I106" s="25">
        <v>1000</v>
      </c>
      <c r="J106" s="25">
        <v>900</v>
      </c>
      <c r="K106" s="26">
        <v>1038.8</v>
      </c>
      <c r="L106" s="26">
        <v>934.92</v>
      </c>
      <c r="M106" s="26" t="e">
        <v>#VALUE!</v>
      </c>
      <c r="N106" s="29">
        <v>950</v>
      </c>
      <c r="O106" s="29">
        <v>860</v>
      </c>
      <c r="P106" s="29">
        <v>730</v>
      </c>
      <c r="Q106" s="18" t="s">
        <v>40</v>
      </c>
      <c r="R106" s="18" t="s">
        <v>41</v>
      </c>
      <c r="S106" s="32">
        <v>0.05</v>
      </c>
      <c r="T106" s="33"/>
      <c r="U106" s="22" t="s">
        <v>387</v>
      </c>
      <c r="V106" s="37" t="s">
        <v>388</v>
      </c>
      <c r="W106" s="52">
        <v>240400003</v>
      </c>
      <c r="X106" s="19" t="s">
        <v>389</v>
      </c>
      <c r="Y106" s="19" t="s">
        <v>41</v>
      </c>
      <c r="Z106" s="19" t="s">
        <v>41</v>
      </c>
      <c r="AA106" s="18" t="s">
        <v>196</v>
      </c>
      <c r="AB106" s="19" t="e">
        <f>1800/#REF!</f>
        <v>#REF!</v>
      </c>
      <c r="AC106" s="42">
        <v>130</v>
      </c>
      <c r="AD106" s="42">
        <v>117</v>
      </c>
      <c r="AE106" s="29" t="s">
        <v>41</v>
      </c>
      <c r="AF106" s="18" t="s">
        <v>40</v>
      </c>
      <c r="AG106" s="47" t="s">
        <v>41</v>
      </c>
    </row>
    <row r="107" s="9" customFormat="1" ht="31" customHeight="1" spans="1:33">
      <c r="A107" s="18"/>
      <c r="B107" s="18"/>
      <c r="C107" s="18"/>
      <c r="D107" s="18"/>
      <c r="E107" s="22"/>
      <c r="F107" s="22"/>
      <c r="G107" s="18"/>
      <c r="H107" s="22"/>
      <c r="I107" s="25"/>
      <c r="J107" s="25"/>
      <c r="K107" s="26"/>
      <c r="L107" s="26"/>
      <c r="M107" s="26"/>
      <c r="N107" s="29"/>
      <c r="O107" s="29"/>
      <c r="P107" s="29"/>
      <c r="Q107" s="18"/>
      <c r="R107" s="18"/>
      <c r="S107" s="32"/>
      <c r="T107" s="33"/>
      <c r="U107" s="22"/>
      <c r="V107" s="37" t="s">
        <v>390</v>
      </c>
      <c r="W107" s="52">
        <v>240300016</v>
      </c>
      <c r="X107" s="19" t="s">
        <v>391</v>
      </c>
      <c r="Y107" s="19" t="s">
        <v>41</v>
      </c>
      <c r="Z107" s="19" t="s">
        <v>41</v>
      </c>
      <c r="AA107" s="18" t="s">
        <v>38</v>
      </c>
      <c r="AB107" s="19"/>
      <c r="AC107" s="29" t="s">
        <v>41</v>
      </c>
      <c r="AD107" s="29" t="s">
        <v>41</v>
      </c>
      <c r="AE107" s="29" t="s">
        <v>41</v>
      </c>
      <c r="AF107" s="18" t="s">
        <v>41</v>
      </c>
      <c r="AG107" s="47" t="s">
        <v>41</v>
      </c>
    </row>
    <row r="108" s="9" customFormat="1" ht="31" customHeight="1" spans="1:33">
      <c r="A108" s="18"/>
      <c r="B108" s="18"/>
      <c r="C108" s="18"/>
      <c r="D108" s="18"/>
      <c r="E108" s="22"/>
      <c r="F108" s="22"/>
      <c r="G108" s="18"/>
      <c r="H108" s="22"/>
      <c r="I108" s="25"/>
      <c r="J108" s="25"/>
      <c r="K108" s="26"/>
      <c r="L108" s="26"/>
      <c r="M108" s="26"/>
      <c r="N108" s="29"/>
      <c r="O108" s="29"/>
      <c r="P108" s="29"/>
      <c r="Q108" s="18"/>
      <c r="R108" s="18"/>
      <c r="S108" s="32"/>
      <c r="T108" s="33"/>
      <c r="U108" s="22"/>
      <c r="V108" s="37" t="s">
        <v>392</v>
      </c>
      <c r="W108" s="53">
        <v>240400007</v>
      </c>
      <c r="X108" s="19" t="s">
        <v>393</v>
      </c>
      <c r="Y108" s="19" t="s">
        <v>41</v>
      </c>
      <c r="Z108" s="19" t="s">
        <v>41</v>
      </c>
      <c r="AA108" s="18" t="s">
        <v>38</v>
      </c>
      <c r="AB108" s="19" t="s">
        <v>41</v>
      </c>
      <c r="AC108" s="29" t="s">
        <v>41</v>
      </c>
      <c r="AD108" s="29" t="s">
        <v>41</v>
      </c>
      <c r="AE108" s="29" t="s">
        <v>41</v>
      </c>
      <c r="AF108" s="18" t="s">
        <v>41</v>
      </c>
      <c r="AG108" s="47" t="s">
        <v>41</v>
      </c>
    </row>
    <row r="109" s="9" customFormat="1" ht="25.5" spans="1:33">
      <c r="A109" s="18">
        <v>12</v>
      </c>
      <c r="B109" s="18" t="s">
        <v>394</v>
      </c>
      <c r="C109" s="18" t="s">
        <v>395</v>
      </c>
      <c r="D109" s="18" t="s">
        <v>35</v>
      </c>
      <c r="E109" s="22" t="s">
        <v>396</v>
      </c>
      <c r="F109" s="22" t="s">
        <v>397</v>
      </c>
      <c r="G109" s="18" t="s">
        <v>38</v>
      </c>
      <c r="H109" s="22" t="s">
        <v>398</v>
      </c>
      <c r="I109" s="25">
        <v>550</v>
      </c>
      <c r="J109" s="25">
        <v>495</v>
      </c>
      <c r="K109" s="26">
        <v>325.927152317881</v>
      </c>
      <c r="L109" s="26">
        <v>190</v>
      </c>
      <c r="M109" s="26">
        <v>242.3</v>
      </c>
      <c r="N109" s="29">
        <v>500</v>
      </c>
      <c r="O109" s="29">
        <v>450</v>
      </c>
      <c r="P109" s="29">
        <v>390</v>
      </c>
      <c r="Q109" s="18" t="s">
        <v>40</v>
      </c>
      <c r="R109" s="18" t="s">
        <v>41</v>
      </c>
      <c r="S109" s="32" t="s">
        <v>41</v>
      </c>
      <c r="T109" s="33" t="s">
        <v>399</v>
      </c>
      <c r="U109" s="22" t="s">
        <v>400</v>
      </c>
      <c r="V109" s="37" t="s">
        <v>401</v>
      </c>
      <c r="W109" s="38">
        <v>230600001</v>
      </c>
      <c r="X109" s="19" t="s">
        <v>402</v>
      </c>
      <c r="Y109" s="19" t="s">
        <v>41</v>
      </c>
      <c r="Z109" s="19" t="s">
        <v>41</v>
      </c>
      <c r="AA109" s="18" t="s">
        <v>38</v>
      </c>
      <c r="AB109" s="19"/>
      <c r="AC109" s="42">
        <v>200</v>
      </c>
      <c r="AD109" s="42">
        <v>190</v>
      </c>
      <c r="AE109" s="42">
        <v>161.5</v>
      </c>
      <c r="AF109" s="18" t="s">
        <v>40</v>
      </c>
      <c r="AG109" s="47" t="s">
        <v>41</v>
      </c>
    </row>
    <row r="110" s="9" customFormat="1" ht="25.5" spans="1:33">
      <c r="A110" s="18"/>
      <c r="B110" s="18"/>
      <c r="C110" s="18"/>
      <c r="D110" s="18"/>
      <c r="E110" s="22"/>
      <c r="F110" s="22"/>
      <c r="G110" s="18"/>
      <c r="H110" s="22"/>
      <c r="I110" s="25"/>
      <c r="J110" s="25"/>
      <c r="K110" s="26"/>
      <c r="L110" s="26"/>
      <c r="M110" s="26"/>
      <c r="N110" s="29"/>
      <c r="O110" s="29"/>
      <c r="P110" s="29"/>
      <c r="Q110" s="18"/>
      <c r="R110" s="18"/>
      <c r="S110" s="32"/>
      <c r="T110" s="33"/>
      <c r="U110" s="22"/>
      <c r="V110" s="37" t="s">
        <v>403</v>
      </c>
      <c r="W110" s="38">
        <v>230600002</v>
      </c>
      <c r="X110" s="19" t="s">
        <v>404</v>
      </c>
      <c r="Y110" s="19" t="s">
        <v>41</v>
      </c>
      <c r="Z110" s="19" t="s">
        <v>41</v>
      </c>
      <c r="AA110" s="18" t="s">
        <v>38</v>
      </c>
      <c r="AB110" s="19"/>
      <c r="AC110" s="42">
        <v>200</v>
      </c>
      <c r="AD110" s="42">
        <v>190</v>
      </c>
      <c r="AE110" s="42">
        <v>161.5</v>
      </c>
      <c r="AF110" s="18" t="s">
        <v>40</v>
      </c>
      <c r="AG110" s="47" t="s">
        <v>41</v>
      </c>
    </row>
    <row r="111" s="9" customFormat="1" ht="25.5" spans="1:33">
      <c r="A111" s="18"/>
      <c r="B111" s="18"/>
      <c r="C111" s="18"/>
      <c r="D111" s="18"/>
      <c r="E111" s="22"/>
      <c r="F111" s="22"/>
      <c r="G111" s="18"/>
      <c r="H111" s="22"/>
      <c r="I111" s="25"/>
      <c r="J111" s="25"/>
      <c r="K111" s="26"/>
      <c r="L111" s="26"/>
      <c r="M111" s="26"/>
      <c r="N111" s="29"/>
      <c r="O111" s="29"/>
      <c r="P111" s="29"/>
      <c r="Q111" s="18"/>
      <c r="R111" s="18"/>
      <c r="S111" s="32"/>
      <c r="T111" s="33"/>
      <c r="U111" s="22"/>
      <c r="V111" s="37" t="s">
        <v>405</v>
      </c>
      <c r="W111" s="38">
        <v>230600003</v>
      </c>
      <c r="X111" s="19" t="s">
        <v>406</v>
      </c>
      <c r="Y111" s="19" t="s">
        <v>41</v>
      </c>
      <c r="Z111" s="19" t="s">
        <v>41</v>
      </c>
      <c r="AA111" s="18" t="s">
        <v>38</v>
      </c>
      <c r="AB111" s="19"/>
      <c r="AC111" s="42">
        <v>400</v>
      </c>
      <c r="AD111" s="42">
        <v>380</v>
      </c>
      <c r="AE111" s="42">
        <v>323</v>
      </c>
      <c r="AF111" s="18" t="s">
        <v>40</v>
      </c>
      <c r="AG111" s="47" t="s">
        <v>41</v>
      </c>
    </row>
    <row r="112" s="9" customFormat="1" ht="25.5" spans="1:33">
      <c r="A112" s="18"/>
      <c r="B112" s="18"/>
      <c r="C112" s="18"/>
      <c r="D112" s="18"/>
      <c r="E112" s="22"/>
      <c r="F112" s="22"/>
      <c r="G112" s="18"/>
      <c r="H112" s="22"/>
      <c r="I112" s="25"/>
      <c r="J112" s="25"/>
      <c r="K112" s="26"/>
      <c r="L112" s="26"/>
      <c r="M112" s="26"/>
      <c r="N112" s="29"/>
      <c r="O112" s="29"/>
      <c r="P112" s="29"/>
      <c r="Q112" s="18"/>
      <c r="R112" s="18"/>
      <c r="S112" s="32"/>
      <c r="T112" s="33"/>
      <c r="U112" s="22"/>
      <c r="V112" s="37" t="s">
        <v>407</v>
      </c>
      <c r="W112" s="38">
        <v>230600004</v>
      </c>
      <c r="X112" s="19" t="s">
        <v>408</v>
      </c>
      <c r="Y112" s="19" t="s">
        <v>41</v>
      </c>
      <c r="Z112" s="19" t="s">
        <v>41</v>
      </c>
      <c r="AA112" s="18" t="s">
        <v>38</v>
      </c>
      <c r="AB112" s="19"/>
      <c r="AC112" s="42">
        <v>400</v>
      </c>
      <c r="AD112" s="42">
        <v>380</v>
      </c>
      <c r="AE112" s="42">
        <v>323</v>
      </c>
      <c r="AF112" s="18" t="s">
        <v>40</v>
      </c>
      <c r="AG112" s="47" t="s">
        <v>41</v>
      </c>
    </row>
    <row r="113" s="9" customFormat="1" ht="25.5" spans="1:33">
      <c r="A113" s="18"/>
      <c r="B113" s="18"/>
      <c r="C113" s="18"/>
      <c r="D113" s="18"/>
      <c r="E113" s="22"/>
      <c r="F113" s="22"/>
      <c r="G113" s="18"/>
      <c r="H113" s="22"/>
      <c r="I113" s="25"/>
      <c r="J113" s="25"/>
      <c r="K113" s="26"/>
      <c r="L113" s="26"/>
      <c r="M113" s="26"/>
      <c r="N113" s="29"/>
      <c r="O113" s="29"/>
      <c r="P113" s="29"/>
      <c r="Q113" s="18"/>
      <c r="R113" s="18"/>
      <c r="S113" s="32"/>
      <c r="T113" s="33"/>
      <c r="U113" s="22"/>
      <c r="V113" s="37" t="s">
        <v>409</v>
      </c>
      <c r="W113" s="38">
        <v>230600005</v>
      </c>
      <c r="X113" s="19" t="s">
        <v>410</v>
      </c>
      <c r="Y113" s="19" t="s">
        <v>41</v>
      </c>
      <c r="Z113" s="19" t="s">
        <v>41</v>
      </c>
      <c r="AA113" s="18" t="s">
        <v>38</v>
      </c>
      <c r="AB113" s="19"/>
      <c r="AC113" s="42">
        <v>260</v>
      </c>
      <c r="AD113" s="42">
        <v>247</v>
      </c>
      <c r="AE113" s="42">
        <v>210</v>
      </c>
      <c r="AF113" s="18" t="s">
        <v>40</v>
      </c>
      <c r="AG113" s="47" t="s">
        <v>41</v>
      </c>
    </row>
    <row r="114" s="9" customFormat="1" ht="25.5" spans="1:33">
      <c r="A114" s="18"/>
      <c r="B114" s="18"/>
      <c r="C114" s="18"/>
      <c r="D114" s="18"/>
      <c r="E114" s="22"/>
      <c r="F114" s="22"/>
      <c r="G114" s="18"/>
      <c r="H114" s="22"/>
      <c r="I114" s="25"/>
      <c r="J114" s="25"/>
      <c r="K114" s="26"/>
      <c r="L114" s="26"/>
      <c r="M114" s="26"/>
      <c r="N114" s="29"/>
      <c r="O114" s="29"/>
      <c r="P114" s="29"/>
      <c r="Q114" s="18"/>
      <c r="R114" s="18"/>
      <c r="S114" s="32"/>
      <c r="T114" s="33"/>
      <c r="U114" s="22"/>
      <c r="V114" s="37" t="s">
        <v>411</v>
      </c>
      <c r="W114" s="38">
        <v>230600006</v>
      </c>
      <c r="X114" s="19" t="s">
        <v>412</v>
      </c>
      <c r="Y114" s="19" t="s">
        <v>41</v>
      </c>
      <c r="Z114" s="19" t="s">
        <v>41</v>
      </c>
      <c r="AA114" s="18" t="s">
        <v>38</v>
      </c>
      <c r="AB114" s="19"/>
      <c r="AC114" s="42">
        <v>165</v>
      </c>
      <c r="AD114" s="42">
        <v>153</v>
      </c>
      <c r="AE114" s="42">
        <v>130.1</v>
      </c>
      <c r="AF114" s="18" t="s">
        <v>40</v>
      </c>
      <c r="AG114" s="47" t="s">
        <v>41</v>
      </c>
    </row>
    <row r="115" s="9" customFormat="1" ht="25.5" spans="1:33">
      <c r="A115" s="18"/>
      <c r="B115" s="18"/>
      <c r="C115" s="18"/>
      <c r="D115" s="18"/>
      <c r="E115" s="22"/>
      <c r="F115" s="22"/>
      <c r="G115" s="18"/>
      <c r="H115" s="22"/>
      <c r="I115" s="25"/>
      <c r="J115" s="25"/>
      <c r="K115" s="26"/>
      <c r="L115" s="26"/>
      <c r="M115" s="26"/>
      <c r="N115" s="29"/>
      <c r="O115" s="29"/>
      <c r="P115" s="29"/>
      <c r="Q115" s="18"/>
      <c r="R115" s="18"/>
      <c r="S115" s="32"/>
      <c r="T115" s="33"/>
      <c r="U115" s="22"/>
      <c r="V115" s="37" t="s">
        <v>413</v>
      </c>
      <c r="W115" s="38">
        <v>230600009</v>
      </c>
      <c r="X115" s="19" t="s">
        <v>414</v>
      </c>
      <c r="Y115" s="19" t="s">
        <v>41</v>
      </c>
      <c r="Z115" s="19" t="s">
        <v>41</v>
      </c>
      <c r="AA115" s="18" t="s">
        <v>38</v>
      </c>
      <c r="AB115" s="19"/>
      <c r="AC115" s="42">
        <v>235</v>
      </c>
      <c r="AD115" s="42">
        <v>210</v>
      </c>
      <c r="AE115" s="42">
        <v>178.5</v>
      </c>
      <c r="AF115" s="18" t="s">
        <v>40</v>
      </c>
      <c r="AG115" s="47" t="s">
        <v>41</v>
      </c>
    </row>
    <row r="116" s="9" customFormat="1" ht="25.5" spans="1:33">
      <c r="A116" s="18"/>
      <c r="B116" s="18"/>
      <c r="C116" s="18"/>
      <c r="D116" s="18"/>
      <c r="E116" s="22"/>
      <c r="F116" s="22"/>
      <c r="G116" s="18"/>
      <c r="H116" s="22"/>
      <c r="I116" s="25"/>
      <c r="J116" s="25"/>
      <c r="K116" s="26"/>
      <c r="L116" s="26"/>
      <c r="M116" s="26"/>
      <c r="N116" s="29"/>
      <c r="O116" s="29"/>
      <c r="P116" s="29"/>
      <c r="Q116" s="18"/>
      <c r="R116" s="18"/>
      <c r="S116" s="32"/>
      <c r="T116" s="33"/>
      <c r="U116" s="22"/>
      <c r="V116" s="37" t="s">
        <v>415</v>
      </c>
      <c r="W116" s="38">
        <v>230600010</v>
      </c>
      <c r="X116" s="19" t="s">
        <v>416</v>
      </c>
      <c r="Y116" s="19" t="s">
        <v>41</v>
      </c>
      <c r="Z116" s="19" t="s">
        <v>41</v>
      </c>
      <c r="AA116" s="18" t="s">
        <v>38</v>
      </c>
      <c r="AB116" s="19"/>
      <c r="AC116" s="42">
        <v>300</v>
      </c>
      <c r="AD116" s="42">
        <v>285</v>
      </c>
      <c r="AE116" s="42">
        <v>242.3</v>
      </c>
      <c r="AF116" s="18" t="s">
        <v>40</v>
      </c>
      <c r="AG116" s="47" t="s">
        <v>41</v>
      </c>
    </row>
    <row r="117" s="9" customFormat="1" ht="25.5" spans="1:33">
      <c r="A117" s="18"/>
      <c r="B117" s="18"/>
      <c r="C117" s="18"/>
      <c r="D117" s="18"/>
      <c r="E117" s="22"/>
      <c r="F117" s="22"/>
      <c r="G117" s="18"/>
      <c r="H117" s="22"/>
      <c r="I117" s="25"/>
      <c r="J117" s="25"/>
      <c r="K117" s="26"/>
      <c r="L117" s="26"/>
      <c r="M117" s="26"/>
      <c r="N117" s="29"/>
      <c r="O117" s="29"/>
      <c r="P117" s="29"/>
      <c r="Q117" s="18"/>
      <c r="R117" s="18"/>
      <c r="S117" s="32"/>
      <c r="T117" s="33"/>
      <c r="U117" s="22"/>
      <c r="V117" s="37" t="s">
        <v>417</v>
      </c>
      <c r="W117" s="38">
        <v>230600011</v>
      </c>
      <c r="X117" s="19" t="s">
        <v>418</v>
      </c>
      <c r="Y117" s="19" t="s">
        <v>41</v>
      </c>
      <c r="Z117" s="19" t="s">
        <v>41</v>
      </c>
      <c r="AA117" s="18" t="s">
        <v>38</v>
      </c>
      <c r="AB117" s="19"/>
      <c r="AC117" s="42">
        <v>300</v>
      </c>
      <c r="AD117" s="42">
        <v>285</v>
      </c>
      <c r="AE117" s="42">
        <v>242.3</v>
      </c>
      <c r="AF117" s="18" t="s">
        <v>40</v>
      </c>
      <c r="AG117" s="47" t="s">
        <v>41</v>
      </c>
    </row>
    <row r="118" s="9" customFormat="1" ht="25.5" spans="1:33">
      <c r="A118" s="18"/>
      <c r="B118" s="18"/>
      <c r="C118" s="18"/>
      <c r="D118" s="18"/>
      <c r="E118" s="22"/>
      <c r="F118" s="22"/>
      <c r="G118" s="18"/>
      <c r="H118" s="22"/>
      <c r="I118" s="25"/>
      <c r="J118" s="25"/>
      <c r="K118" s="26"/>
      <c r="L118" s="26"/>
      <c r="M118" s="26"/>
      <c r="N118" s="29"/>
      <c r="O118" s="29"/>
      <c r="P118" s="29"/>
      <c r="Q118" s="18"/>
      <c r="R118" s="18"/>
      <c r="S118" s="32"/>
      <c r="T118" s="33"/>
      <c r="U118" s="22"/>
      <c r="V118" s="37" t="s">
        <v>419</v>
      </c>
      <c r="W118" s="38">
        <v>230600012</v>
      </c>
      <c r="X118" s="19" t="s">
        <v>420</v>
      </c>
      <c r="Y118" s="19" t="s">
        <v>41</v>
      </c>
      <c r="Z118" s="19" t="s">
        <v>41</v>
      </c>
      <c r="AA118" s="18" t="s">
        <v>38</v>
      </c>
      <c r="AB118" s="19"/>
      <c r="AC118" s="42">
        <v>320</v>
      </c>
      <c r="AD118" s="42">
        <v>304</v>
      </c>
      <c r="AE118" s="42">
        <v>258.4</v>
      </c>
      <c r="AF118" s="18" t="s">
        <v>40</v>
      </c>
      <c r="AG118" s="47" t="s">
        <v>41</v>
      </c>
    </row>
    <row r="119" s="9" customFormat="1" ht="42" customHeight="1" spans="1:33">
      <c r="A119" s="18" t="s">
        <v>81</v>
      </c>
      <c r="B119" s="69" t="s">
        <v>421</v>
      </c>
      <c r="C119" s="18" t="s">
        <v>422</v>
      </c>
      <c r="D119" s="18" t="s">
        <v>35</v>
      </c>
      <c r="E119" s="22"/>
      <c r="F119" s="22"/>
      <c r="G119" s="18" t="s">
        <v>38</v>
      </c>
      <c r="H119" s="22" t="s">
        <v>423</v>
      </c>
      <c r="I119" s="25">
        <v>550</v>
      </c>
      <c r="J119" s="25">
        <v>495</v>
      </c>
      <c r="K119" s="27"/>
      <c r="L119" s="27"/>
      <c r="M119" s="27"/>
      <c r="N119" s="29">
        <v>500</v>
      </c>
      <c r="O119" s="29">
        <v>450</v>
      </c>
      <c r="P119" s="29">
        <v>390</v>
      </c>
      <c r="Q119" s="18" t="s">
        <v>40</v>
      </c>
      <c r="R119" s="18" t="s">
        <v>41</v>
      </c>
      <c r="S119" s="32" t="s">
        <v>41</v>
      </c>
      <c r="T119" s="33"/>
      <c r="U119" s="22" t="s">
        <v>424</v>
      </c>
      <c r="V119" s="37"/>
      <c r="W119" s="38"/>
      <c r="X119" s="19"/>
      <c r="Y119" s="19"/>
      <c r="Z119" s="19"/>
      <c r="AA119" s="18"/>
      <c r="AB119" s="19"/>
      <c r="AC119" s="29"/>
      <c r="AD119" s="29"/>
      <c r="AE119" s="29"/>
      <c r="AF119" s="18"/>
      <c r="AG119" s="47"/>
    </row>
    <row r="120" s="9" customFormat="1" ht="42" customHeight="1" spans="1:33">
      <c r="A120" s="18" t="s">
        <v>81</v>
      </c>
      <c r="B120" s="69" t="s">
        <v>421</v>
      </c>
      <c r="C120" s="18" t="s">
        <v>422</v>
      </c>
      <c r="D120" s="18" t="s">
        <v>35</v>
      </c>
      <c r="E120" s="22"/>
      <c r="F120" s="22"/>
      <c r="G120" s="18" t="s">
        <v>38</v>
      </c>
      <c r="H120" s="22" t="s">
        <v>425</v>
      </c>
      <c r="I120" s="25">
        <v>1100</v>
      </c>
      <c r="J120" s="25">
        <v>990</v>
      </c>
      <c r="K120" s="27"/>
      <c r="L120" s="27"/>
      <c r="M120" s="27"/>
      <c r="N120" s="29">
        <v>1000</v>
      </c>
      <c r="O120" s="29">
        <v>900</v>
      </c>
      <c r="P120" s="29">
        <v>780</v>
      </c>
      <c r="Q120" s="18" t="s">
        <v>40</v>
      </c>
      <c r="R120" s="18"/>
      <c r="S120" s="32"/>
      <c r="T120" s="33"/>
      <c r="U120" s="22" t="s">
        <v>426</v>
      </c>
      <c r="V120" s="54"/>
      <c r="W120" s="55"/>
      <c r="X120" s="56"/>
      <c r="Y120" s="56"/>
      <c r="Z120" s="56"/>
      <c r="AA120" s="58"/>
      <c r="AB120" s="56"/>
      <c r="AC120" s="59"/>
      <c r="AD120" s="59"/>
      <c r="AE120" s="59"/>
      <c r="AF120" s="58"/>
      <c r="AG120" s="61"/>
    </row>
    <row r="121" s="9" customFormat="1" ht="42" customHeight="1" spans="1:33">
      <c r="A121" s="18" t="s">
        <v>81</v>
      </c>
      <c r="B121" s="69" t="s">
        <v>394</v>
      </c>
      <c r="C121" s="18" t="s">
        <v>427</v>
      </c>
      <c r="D121" s="18" t="s">
        <v>35</v>
      </c>
      <c r="E121" s="22"/>
      <c r="F121" s="22"/>
      <c r="G121" s="18" t="s">
        <v>38</v>
      </c>
      <c r="H121" s="22"/>
      <c r="I121" s="25">
        <v>120</v>
      </c>
      <c r="J121" s="25">
        <v>110</v>
      </c>
      <c r="K121" s="27">
        <v>100</v>
      </c>
      <c r="L121" s="27">
        <v>95</v>
      </c>
      <c r="M121" s="27">
        <v>80.8</v>
      </c>
      <c r="N121" s="29">
        <v>110</v>
      </c>
      <c r="O121" s="29">
        <v>100</v>
      </c>
      <c r="P121" s="29">
        <v>85</v>
      </c>
      <c r="Q121" s="18" t="s">
        <v>40</v>
      </c>
      <c r="R121" s="18"/>
      <c r="S121" s="32"/>
      <c r="T121" s="33"/>
      <c r="U121" s="22" t="s">
        <v>428</v>
      </c>
      <c r="V121" s="37" t="s">
        <v>429</v>
      </c>
      <c r="W121" s="38">
        <v>230600015</v>
      </c>
      <c r="X121" s="19" t="s">
        <v>430</v>
      </c>
      <c r="Y121" s="19" t="s">
        <v>41</v>
      </c>
      <c r="Z121" s="19" t="s">
        <v>41</v>
      </c>
      <c r="AA121" s="18" t="s">
        <v>38</v>
      </c>
      <c r="AB121" s="19"/>
      <c r="AC121" s="42">
        <v>100</v>
      </c>
      <c r="AD121" s="42">
        <v>95</v>
      </c>
      <c r="AE121" s="42">
        <v>80.8</v>
      </c>
      <c r="AF121" s="18" t="s">
        <v>40</v>
      </c>
      <c r="AG121" s="47" t="s">
        <v>41</v>
      </c>
    </row>
    <row r="122" s="9" customFormat="1" ht="28" customHeight="1" spans="1:33">
      <c r="A122" s="18">
        <v>13</v>
      </c>
      <c r="B122" s="18" t="s">
        <v>431</v>
      </c>
      <c r="C122" s="18" t="s">
        <v>432</v>
      </c>
      <c r="D122" s="18" t="s">
        <v>35</v>
      </c>
      <c r="E122" s="22" t="s">
        <v>433</v>
      </c>
      <c r="F122" s="22" t="s">
        <v>434</v>
      </c>
      <c r="G122" s="18" t="s">
        <v>38</v>
      </c>
      <c r="H122" s="22" t="s">
        <v>41</v>
      </c>
      <c r="I122" s="25">
        <v>1600</v>
      </c>
      <c r="J122" s="25">
        <v>1440</v>
      </c>
      <c r="K122" s="27">
        <v>830</v>
      </c>
      <c r="L122" s="27"/>
      <c r="M122" s="27"/>
      <c r="N122" s="29">
        <v>1450</v>
      </c>
      <c r="O122" s="29">
        <v>1300</v>
      </c>
      <c r="P122" s="29">
        <v>1100</v>
      </c>
      <c r="Q122" s="18" t="s">
        <v>40</v>
      </c>
      <c r="R122" s="18" t="s">
        <v>41</v>
      </c>
      <c r="S122" s="32" t="s">
        <v>41</v>
      </c>
      <c r="T122" s="33" t="s">
        <v>125</v>
      </c>
      <c r="U122" s="22" t="s">
        <v>435</v>
      </c>
      <c r="V122" s="54" t="s">
        <v>436</v>
      </c>
      <c r="W122" s="55">
        <v>230600007</v>
      </c>
      <c r="X122" s="56" t="s">
        <v>437</v>
      </c>
      <c r="Y122" s="56" t="s">
        <v>41</v>
      </c>
      <c r="Z122" s="56" t="s">
        <v>41</v>
      </c>
      <c r="AA122" s="58" t="s">
        <v>38</v>
      </c>
      <c r="AB122" s="56" t="s">
        <v>41</v>
      </c>
      <c r="AC122" s="59">
        <v>450</v>
      </c>
      <c r="AD122" s="59">
        <v>428</v>
      </c>
      <c r="AE122" s="59">
        <v>363.8</v>
      </c>
      <c r="AF122" s="58" t="s">
        <v>40</v>
      </c>
      <c r="AG122" s="61" t="s">
        <v>41</v>
      </c>
    </row>
    <row r="123" s="9" customFormat="1" ht="28" customHeight="1" spans="1:33">
      <c r="A123" s="18"/>
      <c r="B123" s="18"/>
      <c r="C123" s="18"/>
      <c r="D123" s="18"/>
      <c r="E123" s="22"/>
      <c r="F123" s="22"/>
      <c r="G123" s="18"/>
      <c r="H123" s="22"/>
      <c r="I123" s="25"/>
      <c r="J123" s="25"/>
      <c r="K123" s="27"/>
      <c r="L123" s="27"/>
      <c r="M123" s="27"/>
      <c r="N123" s="29"/>
      <c r="O123" s="29"/>
      <c r="P123" s="29"/>
      <c r="Q123" s="18"/>
      <c r="R123" s="18"/>
      <c r="S123" s="32"/>
      <c r="T123" s="33"/>
      <c r="U123" s="22"/>
      <c r="V123" s="54" t="s">
        <v>438</v>
      </c>
      <c r="W123" s="55">
        <v>230600008</v>
      </c>
      <c r="X123" s="56" t="s">
        <v>439</v>
      </c>
      <c r="Y123" s="56" t="s">
        <v>41</v>
      </c>
      <c r="Z123" s="56" t="s">
        <v>41</v>
      </c>
      <c r="AA123" s="58" t="s">
        <v>38</v>
      </c>
      <c r="AB123" s="56" t="s">
        <v>41</v>
      </c>
      <c r="AC123" s="59">
        <v>450</v>
      </c>
      <c r="AD123" s="59">
        <v>428</v>
      </c>
      <c r="AE123" s="59">
        <v>363.8</v>
      </c>
      <c r="AF123" s="58" t="s">
        <v>40</v>
      </c>
      <c r="AG123" s="61" t="s">
        <v>41</v>
      </c>
    </row>
    <row r="124" s="9" customFormat="1" ht="28" customHeight="1" spans="1:33">
      <c r="A124" s="18"/>
      <c r="B124" s="18"/>
      <c r="C124" s="18"/>
      <c r="D124" s="18"/>
      <c r="E124" s="22"/>
      <c r="F124" s="22"/>
      <c r="G124" s="18"/>
      <c r="H124" s="22"/>
      <c r="I124" s="25"/>
      <c r="J124" s="25"/>
      <c r="K124" s="27"/>
      <c r="L124" s="27"/>
      <c r="M124" s="27"/>
      <c r="N124" s="29"/>
      <c r="O124" s="29"/>
      <c r="P124" s="29"/>
      <c r="Q124" s="18"/>
      <c r="R124" s="18"/>
      <c r="S124" s="32"/>
      <c r="T124" s="33"/>
      <c r="U124" s="22"/>
      <c r="V124" s="37" t="s">
        <v>440</v>
      </c>
      <c r="W124" s="53">
        <v>230600013</v>
      </c>
      <c r="X124" s="19" t="s">
        <v>441</v>
      </c>
      <c r="Y124" s="19" t="s">
        <v>41</v>
      </c>
      <c r="Z124" s="19" t="s">
        <v>41</v>
      </c>
      <c r="AA124" s="18" t="s">
        <v>38</v>
      </c>
      <c r="AB124" s="19" t="s">
        <v>41</v>
      </c>
      <c r="AC124" s="42">
        <v>450</v>
      </c>
      <c r="AD124" s="42">
        <v>428</v>
      </c>
      <c r="AE124" s="42">
        <v>363.8</v>
      </c>
      <c r="AF124" s="18" t="s">
        <v>40</v>
      </c>
      <c r="AG124" s="47" t="s">
        <v>41</v>
      </c>
    </row>
    <row r="125" s="9" customFormat="1" ht="28" customHeight="1" spans="1:33">
      <c r="A125" s="18"/>
      <c r="B125" s="18"/>
      <c r="C125" s="18"/>
      <c r="D125" s="18"/>
      <c r="E125" s="22"/>
      <c r="F125" s="22"/>
      <c r="G125" s="18"/>
      <c r="H125" s="22"/>
      <c r="I125" s="25"/>
      <c r="J125" s="25"/>
      <c r="K125" s="27"/>
      <c r="L125" s="27"/>
      <c r="M125" s="27"/>
      <c r="N125" s="29"/>
      <c r="O125" s="29"/>
      <c r="P125" s="29"/>
      <c r="Q125" s="18"/>
      <c r="R125" s="18"/>
      <c r="S125" s="32"/>
      <c r="T125" s="33"/>
      <c r="U125" s="22"/>
      <c r="V125" s="37" t="s">
        <v>442</v>
      </c>
      <c r="W125" s="53">
        <v>230600014</v>
      </c>
      <c r="X125" s="19" t="s">
        <v>443</v>
      </c>
      <c r="Y125" s="19" t="s">
        <v>41</v>
      </c>
      <c r="Z125" s="19" t="s">
        <v>41</v>
      </c>
      <c r="AA125" s="18" t="s">
        <v>38</v>
      </c>
      <c r="AB125" s="19" t="s">
        <v>41</v>
      </c>
      <c r="AC125" s="42">
        <v>300</v>
      </c>
      <c r="AD125" s="42">
        <v>285</v>
      </c>
      <c r="AE125" s="42">
        <v>242.3</v>
      </c>
      <c r="AF125" s="18" t="s">
        <v>40</v>
      </c>
      <c r="AG125" s="47" t="s">
        <v>41</v>
      </c>
    </row>
    <row r="126" s="9" customFormat="1" ht="28" customHeight="1" spans="1:33">
      <c r="A126" s="18"/>
      <c r="B126" s="18"/>
      <c r="C126" s="18"/>
      <c r="D126" s="18"/>
      <c r="E126" s="22"/>
      <c r="F126" s="22"/>
      <c r="G126" s="18"/>
      <c r="H126" s="22"/>
      <c r="I126" s="25"/>
      <c r="J126" s="25"/>
      <c r="K126" s="27"/>
      <c r="L126" s="27"/>
      <c r="M126" s="27"/>
      <c r="N126" s="29"/>
      <c r="O126" s="29"/>
      <c r="P126" s="29"/>
      <c r="Q126" s="18"/>
      <c r="R126" s="18"/>
      <c r="S126" s="32"/>
      <c r="T126" s="33"/>
      <c r="U126" s="22"/>
      <c r="V126" s="57" t="s">
        <v>444</v>
      </c>
      <c r="W126" s="53">
        <v>230600017</v>
      </c>
      <c r="X126" s="19" t="s">
        <v>445</v>
      </c>
      <c r="Y126" s="19" t="s">
        <v>446</v>
      </c>
      <c r="Z126" s="19" t="s">
        <v>447</v>
      </c>
      <c r="AA126" s="18" t="s">
        <v>38</v>
      </c>
      <c r="AB126" s="19" t="s">
        <v>41</v>
      </c>
      <c r="AC126" s="42">
        <v>830</v>
      </c>
      <c r="AD126" s="42">
        <v>750</v>
      </c>
      <c r="AE126" s="42">
        <v>637.5</v>
      </c>
      <c r="AF126" s="18" t="s">
        <v>40</v>
      </c>
      <c r="AG126" s="47" t="s">
        <v>41</v>
      </c>
    </row>
    <row r="127" s="9" customFormat="1" ht="28" customHeight="1" spans="1:33">
      <c r="A127" s="18"/>
      <c r="B127" s="18"/>
      <c r="C127" s="18"/>
      <c r="D127" s="18"/>
      <c r="E127" s="22"/>
      <c r="F127" s="22"/>
      <c r="G127" s="18"/>
      <c r="H127" s="22"/>
      <c r="I127" s="25"/>
      <c r="J127" s="25"/>
      <c r="K127" s="27"/>
      <c r="L127" s="27"/>
      <c r="M127" s="27"/>
      <c r="N127" s="29"/>
      <c r="O127" s="29"/>
      <c r="P127" s="29"/>
      <c r="Q127" s="18"/>
      <c r="R127" s="18"/>
      <c r="S127" s="32"/>
      <c r="T127" s="33"/>
      <c r="U127" s="22"/>
      <c r="V127" s="57" t="s">
        <v>448</v>
      </c>
      <c r="W127" s="53">
        <v>23060001701</v>
      </c>
      <c r="X127" s="19" t="s">
        <v>449</v>
      </c>
      <c r="Y127" s="19" t="s">
        <v>41</v>
      </c>
      <c r="Z127" s="19" t="s">
        <v>41</v>
      </c>
      <c r="AA127" s="18" t="s">
        <v>38</v>
      </c>
      <c r="AB127" s="19" t="s">
        <v>449</v>
      </c>
      <c r="AC127" s="42">
        <v>830</v>
      </c>
      <c r="AD127" s="42">
        <v>750</v>
      </c>
      <c r="AE127" s="42">
        <v>637.5</v>
      </c>
      <c r="AF127" s="18" t="s">
        <v>40</v>
      </c>
      <c r="AG127" s="47" t="s">
        <v>41</v>
      </c>
    </row>
    <row r="128" s="9" customFormat="1" ht="28" customHeight="1" spans="1:33">
      <c r="A128" s="18"/>
      <c r="B128" s="18"/>
      <c r="C128" s="18"/>
      <c r="D128" s="18"/>
      <c r="E128" s="22"/>
      <c r="F128" s="22"/>
      <c r="G128" s="18"/>
      <c r="H128" s="22"/>
      <c r="I128" s="25"/>
      <c r="J128" s="25"/>
      <c r="K128" s="27"/>
      <c r="L128" s="27"/>
      <c r="M128" s="27"/>
      <c r="N128" s="29"/>
      <c r="O128" s="29"/>
      <c r="P128" s="29"/>
      <c r="Q128" s="18"/>
      <c r="R128" s="18"/>
      <c r="S128" s="32"/>
      <c r="T128" s="33"/>
      <c r="U128" s="22"/>
      <c r="V128" s="57" t="s">
        <v>450</v>
      </c>
      <c r="W128" s="53">
        <v>23060001702</v>
      </c>
      <c r="X128" s="19" t="s">
        <v>451</v>
      </c>
      <c r="Y128" s="19" t="s">
        <v>41</v>
      </c>
      <c r="Z128" s="19" t="s">
        <v>41</v>
      </c>
      <c r="AA128" s="18" t="s">
        <v>38</v>
      </c>
      <c r="AB128" s="19" t="s">
        <v>451</v>
      </c>
      <c r="AC128" s="42">
        <v>830</v>
      </c>
      <c r="AD128" s="42">
        <v>750</v>
      </c>
      <c r="AE128" s="42">
        <v>637.5</v>
      </c>
      <c r="AF128" s="18" t="s">
        <v>40</v>
      </c>
      <c r="AG128" s="47" t="s">
        <v>41</v>
      </c>
    </row>
    <row r="129" s="9" customFormat="1" ht="102" customHeight="1" spans="1:33">
      <c r="A129" s="18">
        <v>14</v>
      </c>
      <c r="B129" s="18" t="s">
        <v>452</v>
      </c>
      <c r="C129" s="18" t="s">
        <v>453</v>
      </c>
      <c r="D129" s="18" t="s">
        <v>35</v>
      </c>
      <c r="E129" s="22" t="s">
        <v>454</v>
      </c>
      <c r="F129" s="22" t="s">
        <v>455</v>
      </c>
      <c r="G129" s="18" t="s">
        <v>38</v>
      </c>
      <c r="H129" s="22" t="s">
        <v>456</v>
      </c>
      <c r="I129" s="25">
        <v>50</v>
      </c>
      <c r="J129" s="25">
        <v>45</v>
      </c>
      <c r="K129" s="27">
        <v>49</v>
      </c>
      <c r="L129" s="27">
        <v>44</v>
      </c>
      <c r="M129" s="27">
        <v>37.4</v>
      </c>
      <c r="N129" s="29">
        <v>49</v>
      </c>
      <c r="O129" s="29">
        <v>44</v>
      </c>
      <c r="P129" s="29">
        <v>38</v>
      </c>
      <c r="Q129" s="18" t="s">
        <v>40</v>
      </c>
      <c r="R129" s="18" t="s">
        <v>41</v>
      </c>
      <c r="S129" s="32" t="s">
        <v>41</v>
      </c>
      <c r="T129" s="33" t="s">
        <v>231</v>
      </c>
      <c r="U129" s="22" t="s">
        <v>457</v>
      </c>
      <c r="V129" s="37" t="s">
        <v>458</v>
      </c>
      <c r="W129" s="50">
        <v>230600016</v>
      </c>
      <c r="X129" s="19" t="s">
        <v>459</v>
      </c>
      <c r="Y129" s="19" t="s">
        <v>41</v>
      </c>
      <c r="Z129" s="19" t="s">
        <v>41</v>
      </c>
      <c r="AA129" s="18" t="s">
        <v>38</v>
      </c>
      <c r="AB129" s="19" t="s">
        <v>460</v>
      </c>
      <c r="AC129" s="42">
        <v>49</v>
      </c>
      <c r="AD129" s="42">
        <v>44</v>
      </c>
      <c r="AE129" s="42">
        <v>37.4</v>
      </c>
      <c r="AF129" s="18" t="s">
        <v>40</v>
      </c>
      <c r="AG129" s="47" t="s">
        <v>41</v>
      </c>
    </row>
    <row r="130" s="9" customFormat="1" ht="41" customHeight="1" spans="1:33">
      <c r="A130" s="18">
        <v>15</v>
      </c>
      <c r="B130" s="18" t="s">
        <v>461</v>
      </c>
      <c r="C130" s="18" t="s">
        <v>462</v>
      </c>
      <c r="D130" s="18" t="s">
        <v>35</v>
      </c>
      <c r="E130" s="22" t="s">
        <v>463</v>
      </c>
      <c r="F130" s="22" t="s">
        <v>464</v>
      </c>
      <c r="G130" s="18" t="s">
        <v>38</v>
      </c>
      <c r="H130" s="22" t="s">
        <v>465</v>
      </c>
      <c r="I130" s="25">
        <v>1500</v>
      </c>
      <c r="J130" s="25">
        <v>1350</v>
      </c>
      <c r="K130" s="27">
        <v>1500</v>
      </c>
      <c r="L130" s="27">
        <v>1320</v>
      </c>
      <c r="M130" s="27">
        <v>1122</v>
      </c>
      <c r="N130" s="29">
        <v>1400</v>
      </c>
      <c r="O130" s="29">
        <v>1250</v>
      </c>
      <c r="P130" s="29">
        <v>1050</v>
      </c>
      <c r="Q130" s="18" t="s">
        <v>40</v>
      </c>
      <c r="R130" s="18" t="s">
        <v>41</v>
      </c>
      <c r="S130" s="18" t="s">
        <v>41</v>
      </c>
      <c r="T130" s="33" t="s">
        <v>174</v>
      </c>
      <c r="U130" s="22" t="s">
        <v>466</v>
      </c>
      <c r="V130" s="37" t="s">
        <v>467</v>
      </c>
      <c r="W130" s="52">
        <v>240300014</v>
      </c>
      <c r="X130" s="19" t="s">
        <v>462</v>
      </c>
      <c r="Y130" s="19" t="s">
        <v>41</v>
      </c>
      <c r="Z130" s="19" t="s">
        <v>41</v>
      </c>
      <c r="AA130" s="18" t="s">
        <v>38</v>
      </c>
      <c r="AB130" s="19" t="s">
        <v>468</v>
      </c>
      <c r="AC130" s="42">
        <v>1500</v>
      </c>
      <c r="AD130" s="42">
        <v>1320</v>
      </c>
      <c r="AE130" s="42">
        <v>1122</v>
      </c>
      <c r="AF130" s="18" t="s">
        <v>40</v>
      </c>
      <c r="AG130" s="47" t="s">
        <v>41</v>
      </c>
    </row>
    <row r="131" s="9" customFormat="1" ht="41" customHeight="1" spans="1:33">
      <c r="A131" s="18"/>
      <c r="B131" s="18"/>
      <c r="C131" s="18"/>
      <c r="D131" s="18"/>
      <c r="E131" s="22"/>
      <c r="F131" s="22"/>
      <c r="G131" s="18"/>
      <c r="H131" s="22"/>
      <c r="I131" s="25"/>
      <c r="J131" s="25"/>
      <c r="K131" s="27"/>
      <c r="L131" s="27"/>
      <c r="M131" s="27"/>
      <c r="N131" s="29"/>
      <c r="O131" s="29"/>
      <c r="P131" s="29"/>
      <c r="Q131" s="18"/>
      <c r="R131" s="18"/>
      <c r="S131" s="18"/>
      <c r="T131" s="33"/>
      <c r="U131" s="22"/>
      <c r="V131" s="37" t="s">
        <v>373</v>
      </c>
      <c r="W131" s="38">
        <v>240400004</v>
      </c>
      <c r="X131" s="19" t="s">
        <v>374</v>
      </c>
      <c r="Y131" s="19" t="s">
        <v>41</v>
      </c>
      <c r="Z131" s="19" t="s">
        <v>41</v>
      </c>
      <c r="AA131" s="18" t="s">
        <v>38</v>
      </c>
      <c r="AB131" s="19" t="s">
        <v>41</v>
      </c>
      <c r="AC131" s="42">
        <v>350</v>
      </c>
      <c r="AD131" s="42">
        <v>308</v>
      </c>
      <c r="AE131" s="42">
        <v>261.8</v>
      </c>
      <c r="AF131" s="18" t="s">
        <v>40</v>
      </c>
      <c r="AG131" s="47" t="s">
        <v>41</v>
      </c>
    </row>
    <row r="132" s="10" customFormat="1" ht="140.25" spans="1:33">
      <c r="A132" s="62" t="s">
        <v>81</v>
      </c>
      <c r="B132" s="62" t="s">
        <v>461</v>
      </c>
      <c r="C132" s="62" t="s">
        <v>469</v>
      </c>
      <c r="D132" s="62" t="s">
        <v>35</v>
      </c>
      <c r="E132" s="62"/>
      <c r="F132" s="62"/>
      <c r="G132" s="62" t="s">
        <v>38</v>
      </c>
      <c r="H132" s="62" t="s">
        <v>470</v>
      </c>
      <c r="I132" s="63">
        <v>7000</v>
      </c>
      <c r="J132" s="63">
        <v>6300</v>
      </c>
      <c r="K132" s="64">
        <v>6650</v>
      </c>
      <c r="L132" s="64">
        <v>5985</v>
      </c>
      <c r="M132" s="64">
        <v>5085</v>
      </c>
      <c r="N132" s="65">
        <v>6650</v>
      </c>
      <c r="O132" s="65">
        <v>5985</v>
      </c>
      <c r="P132" s="65">
        <v>5085</v>
      </c>
      <c r="Q132" s="18" t="s">
        <v>40</v>
      </c>
      <c r="R132" s="18"/>
      <c r="S132" s="18"/>
      <c r="T132" s="66" t="s">
        <v>231</v>
      </c>
      <c r="U132" s="67" t="s">
        <v>231</v>
      </c>
      <c r="V132" s="37" t="s">
        <v>471</v>
      </c>
      <c r="W132" s="68">
        <v>24030001401</v>
      </c>
      <c r="X132" s="19" t="s">
        <v>472</v>
      </c>
      <c r="Y132" s="19" t="s">
        <v>473</v>
      </c>
      <c r="Z132" s="19" t="s">
        <v>41</v>
      </c>
      <c r="AA132" s="18" t="s">
        <v>38</v>
      </c>
      <c r="AB132" s="19" t="s">
        <v>41</v>
      </c>
      <c r="AC132" s="42">
        <v>6650</v>
      </c>
      <c r="AD132" s="42">
        <v>5985</v>
      </c>
      <c r="AE132" s="42">
        <v>5085</v>
      </c>
      <c r="AF132" s="18" t="s">
        <v>41</v>
      </c>
      <c r="AG132" s="47" t="s">
        <v>41</v>
      </c>
    </row>
  </sheetData>
  <autoFilter ref="A3:AQ132">
    <extLst/>
  </autoFilter>
  <mergeCells count="381">
    <mergeCell ref="A1:X1"/>
    <mergeCell ref="A2:U2"/>
    <mergeCell ref="V2:AG2"/>
    <mergeCell ref="A4:A16"/>
    <mergeCell ref="A18:A27"/>
    <mergeCell ref="A30:A38"/>
    <mergeCell ref="A39:A40"/>
    <mergeCell ref="A41:A42"/>
    <mergeCell ref="A43:A44"/>
    <mergeCell ref="A45:A54"/>
    <mergeCell ref="A55:A56"/>
    <mergeCell ref="A58:A64"/>
    <mergeCell ref="A65:A66"/>
    <mergeCell ref="A75:A76"/>
    <mergeCell ref="A78:A79"/>
    <mergeCell ref="A81:A84"/>
    <mergeCell ref="A97:A101"/>
    <mergeCell ref="A106:A108"/>
    <mergeCell ref="A109:A118"/>
    <mergeCell ref="A122:A128"/>
    <mergeCell ref="A130:A131"/>
    <mergeCell ref="B4:B16"/>
    <mergeCell ref="B18:B27"/>
    <mergeCell ref="B30:B38"/>
    <mergeCell ref="B39:B40"/>
    <mergeCell ref="B41:B42"/>
    <mergeCell ref="B43:B44"/>
    <mergeCell ref="B45:B54"/>
    <mergeCell ref="B55:B56"/>
    <mergeCell ref="B58:B64"/>
    <mergeCell ref="B65:B66"/>
    <mergeCell ref="B75:B76"/>
    <mergeCell ref="B78:B79"/>
    <mergeCell ref="B81:B84"/>
    <mergeCell ref="B97:B101"/>
    <mergeCell ref="B106:B108"/>
    <mergeCell ref="B109:B118"/>
    <mergeCell ref="B122:B128"/>
    <mergeCell ref="B130:B131"/>
    <mergeCell ref="C4:C16"/>
    <mergeCell ref="C18:C27"/>
    <mergeCell ref="C30:C38"/>
    <mergeCell ref="C39:C40"/>
    <mergeCell ref="C41:C42"/>
    <mergeCell ref="C43:C44"/>
    <mergeCell ref="C45:C54"/>
    <mergeCell ref="C55:C56"/>
    <mergeCell ref="C58:C64"/>
    <mergeCell ref="C65:C66"/>
    <mergeCell ref="C75:C76"/>
    <mergeCell ref="C78:C79"/>
    <mergeCell ref="C81:C84"/>
    <mergeCell ref="C97:C101"/>
    <mergeCell ref="C106:C108"/>
    <mergeCell ref="C109:C118"/>
    <mergeCell ref="C122:C128"/>
    <mergeCell ref="C130:C131"/>
    <mergeCell ref="D4:D16"/>
    <mergeCell ref="D18:D27"/>
    <mergeCell ref="D30:D38"/>
    <mergeCell ref="D39:D40"/>
    <mergeCell ref="D41:D42"/>
    <mergeCell ref="D43:D44"/>
    <mergeCell ref="D45:D54"/>
    <mergeCell ref="D55:D56"/>
    <mergeCell ref="D58:D64"/>
    <mergeCell ref="D65:D66"/>
    <mergeCell ref="D75:D76"/>
    <mergeCell ref="D78:D79"/>
    <mergeCell ref="D81:D84"/>
    <mergeCell ref="D97:D101"/>
    <mergeCell ref="D106:D108"/>
    <mergeCell ref="D109:D118"/>
    <mergeCell ref="D122:D128"/>
    <mergeCell ref="D130:D131"/>
    <mergeCell ref="E4:E16"/>
    <mergeCell ref="E18:E27"/>
    <mergeCell ref="E30:E38"/>
    <mergeCell ref="E39:E40"/>
    <mergeCell ref="E41:E42"/>
    <mergeCell ref="E43:E44"/>
    <mergeCell ref="E45:E54"/>
    <mergeCell ref="E55:E56"/>
    <mergeCell ref="E58:E64"/>
    <mergeCell ref="E65:E66"/>
    <mergeCell ref="E75:E76"/>
    <mergeCell ref="E78:E79"/>
    <mergeCell ref="E81:E84"/>
    <mergeCell ref="E97:E101"/>
    <mergeCell ref="E106:E108"/>
    <mergeCell ref="E109:E118"/>
    <mergeCell ref="E122:E128"/>
    <mergeCell ref="E130:E131"/>
    <mergeCell ref="F4:F16"/>
    <mergeCell ref="F18:F27"/>
    <mergeCell ref="F30:F38"/>
    <mergeCell ref="F39:F40"/>
    <mergeCell ref="F41:F42"/>
    <mergeCell ref="F43:F44"/>
    <mergeCell ref="F45:F54"/>
    <mergeCell ref="F55:F56"/>
    <mergeCell ref="F58:F64"/>
    <mergeCell ref="F65:F66"/>
    <mergeCell ref="F75:F76"/>
    <mergeCell ref="F78:F79"/>
    <mergeCell ref="F81:F84"/>
    <mergeCell ref="F97:F101"/>
    <mergeCell ref="F106:F108"/>
    <mergeCell ref="F109:F118"/>
    <mergeCell ref="F122:F128"/>
    <mergeCell ref="F130:F131"/>
    <mergeCell ref="G4:G16"/>
    <mergeCell ref="G18:G27"/>
    <mergeCell ref="G30:G38"/>
    <mergeCell ref="G39:G40"/>
    <mergeCell ref="G41:G42"/>
    <mergeCell ref="G43:G44"/>
    <mergeCell ref="G45:G54"/>
    <mergeCell ref="G55:G56"/>
    <mergeCell ref="G58:G64"/>
    <mergeCell ref="G65:G66"/>
    <mergeCell ref="G75:G76"/>
    <mergeCell ref="G78:G79"/>
    <mergeCell ref="G81:G84"/>
    <mergeCell ref="G97:G101"/>
    <mergeCell ref="G106:G108"/>
    <mergeCell ref="G109:G118"/>
    <mergeCell ref="G122:G128"/>
    <mergeCell ref="G130:G131"/>
    <mergeCell ref="H4:H16"/>
    <mergeCell ref="H18:H27"/>
    <mergeCell ref="H30:H38"/>
    <mergeCell ref="H39:H40"/>
    <mergeCell ref="H41:H42"/>
    <mergeCell ref="H43:H44"/>
    <mergeCell ref="H45:H54"/>
    <mergeCell ref="H55:H56"/>
    <mergeCell ref="H58:H64"/>
    <mergeCell ref="H65:H66"/>
    <mergeCell ref="H75:H76"/>
    <mergeCell ref="H78:H79"/>
    <mergeCell ref="H81:H84"/>
    <mergeCell ref="H97:H101"/>
    <mergeCell ref="H106:H108"/>
    <mergeCell ref="H109:H118"/>
    <mergeCell ref="H122:H128"/>
    <mergeCell ref="H130:H131"/>
    <mergeCell ref="I4:I16"/>
    <mergeCell ref="I18:I27"/>
    <mergeCell ref="I30:I38"/>
    <mergeCell ref="I39:I40"/>
    <mergeCell ref="I41:I42"/>
    <mergeCell ref="I43:I44"/>
    <mergeCell ref="I45:I54"/>
    <mergeCell ref="I55:I56"/>
    <mergeCell ref="I58:I64"/>
    <mergeCell ref="I65:I66"/>
    <mergeCell ref="I75:I76"/>
    <mergeCell ref="I78:I79"/>
    <mergeCell ref="I81:I84"/>
    <mergeCell ref="I97:I101"/>
    <mergeCell ref="I106:I108"/>
    <mergeCell ref="I109:I118"/>
    <mergeCell ref="I122:I128"/>
    <mergeCell ref="I130:I131"/>
    <mergeCell ref="J4:J16"/>
    <mergeCell ref="J18:J27"/>
    <mergeCell ref="J30:J38"/>
    <mergeCell ref="J39:J40"/>
    <mergeCell ref="J41:J42"/>
    <mergeCell ref="J43:J44"/>
    <mergeCell ref="J45:J54"/>
    <mergeCell ref="J55:J56"/>
    <mergeCell ref="J58:J64"/>
    <mergeCell ref="J65:J66"/>
    <mergeCell ref="J75:J76"/>
    <mergeCell ref="J78:J79"/>
    <mergeCell ref="J81:J84"/>
    <mergeCell ref="J97:J101"/>
    <mergeCell ref="J106:J108"/>
    <mergeCell ref="J109:J118"/>
    <mergeCell ref="J122:J128"/>
    <mergeCell ref="J130:J131"/>
    <mergeCell ref="K4:K16"/>
    <mergeCell ref="K18:K27"/>
    <mergeCell ref="K30:K38"/>
    <mergeCell ref="K39:K40"/>
    <mergeCell ref="K41:K42"/>
    <mergeCell ref="K43:K44"/>
    <mergeCell ref="K45:K54"/>
    <mergeCell ref="K55:K56"/>
    <mergeCell ref="K58:K64"/>
    <mergeCell ref="K65:K66"/>
    <mergeCell ref="K75:K76"/>
    <mergeCell ref="K78:K79"/>
    <mergeCell ref="K81:K84"/>
    <mergeCell ref="K97:K101"/>
    <mergeCell ref="K106:K108"/>
    <mergeCell ref="K109:K118"/>
    <mergeCell ref="K122:K128"/>
    <mergeCell ref="K130:K131"/>
    <mergeCell ref="L4:L16"/>
    <mergeCell ref="L18:L27"/>
    <mergeCell ref="L30:L38"/>
    <mergeCell ref="L39:L40"/>
    <mergeCell ref="L41:L42"/>
    <mergeCell ref="L43:L44"/>
    <mergeCell ref="L45:L54"/>
    <mergeCell ref="L55:L56"/>
    <mergeCell ref="L58:L64"/>
    <mergeCell ref="L65:L66"/>
    <mergeCell ref="L75:L76"/>
    <mergeCell ref="L78:L79"/>
    <mergeCell ref="L81:L84"/>
    <mergeCell ref="L97:L101"/>
    <mergeCell ref="L106:L108"/>
    <mergeCell ref="L109:L118"/>
    <mergeCell ref="L122:L128"/>
    <mergeCell ref="L130:L131"/>
    <mergeCell ref="M4:M16"/>
    <mergeCell ref="M18:M27"/>
    <mergeCell ref="M30:M38"/>
    <mergeCell ref="M39:M40"/>
    <mergeCell ref="M41:M42"/>
    <mergeCell ref="M43:M44"/>
    <mergeCell ref="M45:M54"/>
    <mergeCell ref="M55:M56"/>
    <mergeCell ref="M58:M64"/>
    <mergeCell ref="M65:M66"/>
    <mergeCell ref="M75:M76"/>
    <mergeCell ref="M78:M79"/>
    <mergeCell ref="M81:M84"/>
    <mergeCell ref="M97:M101"/>
    <mergeCell ref="M106:M108"/>
    <mergeCell ref="M109:M118"/>
    <mergeCell ref="M122:M128"/>
    <mergeCell ref="M130:M131"/>
    <mergeCell ref="N4:N16"/>
    <mergeCell ref="N18:N27"/>
    <mergeCell ref="N30:N38"/>
    <mergeCell ref="N39:N40"/>
    <mergeCell ref="N41:N42"/>
    <mergeCell ref="N43:N44"/>
    <mergeCell ref="N45:N54"/>
    <mergeCell ref="N55:N56"/>
    <mergeCell ref="N58:N64"/>
    <mergeCell ref="N65:N66"/>
    <mergeCell ref="N75:N76"/>
    <mergeCell ref="N78:N79"/>
    <mergeCell ref="N81:N84"/>
    <mergeCell ref="N97:N101"/>
    <mergeCell ref="N106:N108"/>
    <mergeCell ref="N109:N118"/>
    <mergeCell ref="N122:N128"/>
    <mergeCell ref="N130:N131"/>
    <mergeCell ref="O4:O16"/>
    <mergeCell ref="O18:O27"/>
    <mergeCell ref="O30:O38"/>
    <mergeCell ref="O39:O40"/>
    <mergeCell ref="O41:O42"/>
    <mergeCell ref="O43:O44"/>
    <mergeCell ref="O45:O54"/>
    <mergeCell ref="O55:O56"/>
    <mergeCell ref="O58:O64"/>
    <mergeCell ref="O65:O66"/>
    <mergeCell ref="O75:O76"/>
    <mergeCell ref="O78:O79"/>
    <mergeCell ref="O81:O84"/>
    <mergeCell ref="O97:O101"/>
    <mergeCell ref="O106:O108"/>
    <mergeCell ref="O109:O118"/>
    <mergeCell ref="O122:O128"/>
    <mergeCell ref="O130:O131"/>
    <mergeCell ref="P4:P16"/>
    <mergeCell ref="P18:P27"/>
    <mergeCell ref="P30:P38"/>
    <mergeCell ref="P39:P40"/>
    <mergeCell ref="P41:P42"/>
    <mergeCell ref="P43:P44"/>
    <mergeCell ref="P45:P54"/>
    <mergeCell ref="P55:P56"/>
    <mergeCell ref="P58:P64"/>
    <mergeCell ref="P65:P66"/>
    <mergeCell ref="P75:P76"/>
    <mergeCell ref="P78:P79"/>
    <mergeCell ref="P81:P84"/>
    <mergeCell ref="P97:P101"/>
    <mergeCell ref="P106:P108"/>
    <mergeCell ref="P109:P118"/>
    <mergeCell ref="P122:P128"/>
    <mergeCell ref="P130:P131"/>
    <mergeCell ref="Q4:Q16"/>
    <mergeCell ref="Q18:Q27"/>
    <mergeCell ref="Q30:Q38"/>
    <mergeCell ref="Q39:Q40"/>
    <mergeCell ref="Q41:Q42"/>
    <mergeCell ref="Q43:Q44"/>
    <mergeCell ref="Q45:Q54"/>
    <mergeCell ref="Q55:Q56"/>
    <mergeCell ref="Q58:Q64"/>
    <mergeCell ref="Q65:Q66"/>
    <mergeCell ref="Q75:Q76"/>
    <mergeCell ref="Q78:Q79"/>
    <mergeCell ref="Q81:Q84"/>
    <mergeCell ref="Q97:Q101"/>
    <mergeCell ref="Q106:Q108"/>
    <mergeCell ref="Q109:Q118"/>
    <mergeCell ref="Q122:Q128"/>
    <mergeCell ref="Q130:Q131"/>
    <mergeCell ref="R4:R16"/>
    <mergeCell ref="R18:R27"/>
    <mergeCell ref="R30:R38"/>
    <mergeCell ref="R39:R40"/>
    <mergeCell ref="R41:R42"/>
    <mergeCell ref="R43:R44"/>
    <mergeCell ref="R45:R54"/>
    <mergeCell ref="R55:R56"/>
    <mergeCell ref="R58:R64"/>
    <mergeCell ref="R65:R66"/>
    <mergeCell ref="R75:R76"/>
    <mergeCell ref="R78:R79"/>
    <mergeCell ref="R81:R84"/>
    <mergeCell ref="R97:R101"/>
    <mergeCell ref="R106:R108"/>
    <mergeCell ref="R109:R118"/>
    <mergeCell ref="R122:R128"/>
    <mergeCell ref="R130:R131"/>
    <mergeCell ref="S4:S16"/>
    <mergeCell ref="S18:S27"/>
    <mergeCell ref="S30:S38"/>
    <mergeCell ref="S39:S40"/>
    <mergeCell ref="S41:S42"/>
    <mergeCell ref="S43:S44"/>
    <mergeCell ref="S45:S54"/>
    <mergeCell ref="S55:S56"/>
    <mergeCell ref="S58:S64"/>
    <mergeCell ref="S65:S66"/>
    <mergeCell ref="S75:S76"/>
    <mergeCell ref="S78:S79"/>
    <mergeCell ref="S81:S84"/>
    <mergeCell ref="S97:S101"/>
    <mergeCell ref="S106:S108"/>
    <mergeCell ref="S109:S118"/>
    <mergeCell ref="S122:S128"/>
    <mergeCell ref="S130:S131"/>
    <mergeCell ref="T4:T16"/>
    <mergeCell ref="T18:T27"/>
    <mergeCell ref="T30:T38"/>
    <mergeCell ref="T39:T40"/>
    <mergeCell ref="T41:T42"/>
    <mergeCell ref="T43:T44"/>
    <mergeCell ref="T45:T54"/>
    <mergeCell ref="T55:T56"/>
    <mergeCell ref="T58:T64"/>
    <mergeCell ref="T65:T66"/>
    <mergeCell ref="T75:T76"/>
    <mergeCell ref="T78:T79"/>
    <mergeCell ref="T81:T84"/>
    <mergeCell ref="T97:T101"/>
    <mergeCell ref="T106:T108"/>
    <mergeCell ref="T109:T118"/>
    <mergeCell ref="T122:T128"/>
    <mergeCell ref="T130:T131"/>
    <mergeCell ref="U4:U16"/>
    <mergeCell ref="U18:U27"/>
    <mergeCell ref="U30:U38"/>
    <mergeCell ref="U39:U40"/>
    <mergeCell ref="U41:U42"/>
    <mergeCell ref="U43:U44"/>
    <mergeCell ref="U45:U54"/>
    <mergeCell ref="U55:U56"/>
    <mergeCell ref="U58:U64"/>
    <mergeCell ref="U65:U66"/>
    <mergeCell ref="U75:U76"/>
    <mergeCell ref="U78:U79"/>
    <mergeCell ref="U81:U84"/>
    <mergeCell ref="U97:U101"/>
    <mergeCell ref="U106:U108"/>
    <mergeCell ref="U109:U118"/>
    <mergeCell ref="U122:U128"/>
    <mergeCell ref="U130:U131"/>
  </mergeCells>
  <conditionalFormatting sqref="X3">
    <cfRule type="duplicateValues" dxfId="0" priority="1"/>
  </conditionalFormatting>
  <conditionalFormatting sqref="W108">
    <cfRule type="duplicateValues" dxfId="0" priority="3"/>
  </conditionalFormatting>
  <conditionalFormatting sqref="V132:W132">
    <cfRule type="duplicateValues" dxfId="0" priority="4"/>
  </conditionalFormatting>
  <conditionalFormatting sqref="W126:W128">
    <cfRule type="duplicateValues" dxfId="0" priority="2"/>
  </conditionalFormatting>
  <conditionalFormatting sqref="V124:W125">
    <cfRule type="duplicateValues" dxfId="0" priority="5"/>
  </conditionalFormatting>
  <pageMargins left="0.75" right="0.75" top="1" bottom="1" header="0.5" footer="0.5"/>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W102"/>
  <sheetViews>
    <sheetView topLeftCell="G1" workbookViewId="0">
      <selection activeCell="V25" sqref="V25:V29 V40 V42:V47 V49:V58 V62 V66 V73:V74 V78"/>
    </sheetView>
  </sheetViews>
  <sheetFormatPr defaultColWidth="9" defaultRowHeight="15.75"/>
  <cols>
    <col min="4" max="4" width="19.875" customWidth="1"/>
    <col min="5" max="5" width="30.375" customWidth="1"/>
    <col min="6" max="6" width="28.25" customWidth="1"/>
    <col min="7" max="7" width="19.125" customWidth="1"/>
    <col min="14" max="16" width="12.625"/>
    <col min="19" max="19" width="12.625"/>
    <col min="23" max="23" width="62.5" customWidth="1"/>
  </cols>
  <sheetData>
    <row r="1" ht="38.25" spans="1:23">
      <c r="A1" s="1" t="s">
        <v>474</v>
      </c>
      <c r="B1" s="1" t="s">
        <v>475</v>
      </c>
      <c r="C1" s="1" t="s">
        <v>476</v>
      </c>
      <c r="D1" s="2" t="s">
        <v>477</v>
      </c>
      <c r="E1" s="1" t="s">
        <v>478</v>
      </c>
      <c r="F1" s="2" t="s">
        <v>479</v>
      </c>
      <c r="G1" s="1" t="s">
        <v>480</v>
      </c>
      <c r="H1" s="1" t="s">
        <v>481</v>
      </c>
      <c r="I1" s="1" t="s">
        <v>482</v>
      </c>
      <c r="J1" s="1" t="s">
        <v>483</v>
      </c>
      <c r="K1" s="1" t="s">
        <v>484</v>
      </c>
      <c r="L1" s="1" t="s">
        <v>485</v>
      </c>
      <c r="M1" s="1" t="s">
        <v>486</v>
      </c>
      <c r="N1" s="1" t="s">
        <v>487</v>
      </c>
      <c r="O1" s="1" t="s">
        <v>488</v>
      </c>
      <c r="P1" s="1" t="s">
        <v>489</v>
      </c>
      <c r="Q1" s="1" t="s">
        <v>490</v>
      </c>
      <c r="R1" s="1" t="s">
        <v>491</v>
      </c>
      <c r="S1" s="1" t="s">
        <v>492</v>
      </c>
      <c r="T1" s="1" t="s">
        <v>493</v>
      </c>
      <c r="U1" s="1" t="s">
        <v>494</v>
      </c>
      <c r="V1" s="1" t="s">
        <v>495</v>
      </c>
      <c r="W1" s="3" t="str">
        <f>"insert into server_list_change_all_20250525 ("&amp;_xlfn.TEXTJOIN(",",TRUE,A1:V1)&amp;") values"</f>
        <v>insert into server_list_change_all_20250525 (id,code,sever_type,change_time,old_hilist_code,new_hilist_code,hilist_name,selfpay_prop,old_price,old_price_city,old_price_town,old_price_village,new_price,new_price_city,new_price_town,new_price_village,unit,batch,is_use_old,merge_type,cnt_change_model,cnt_change_value) values</v>
      </c>
    </row>
    <row r="2" hidden="1" spans="1:23">
      <c r="A2">
        <v>1301</v>
      </c>
      <c r="B2" s="3" t="s">
        <v>496</v>
      </c>
      <c r="C2" s="3">
        <v>1</v>
      </c>
      <c r="D2" s="4" t="s">
        <v>497</v>
      </c>
      <c r="E2" t="s">
        <v>44</v>
      </c>
      <c r="F2" t="s">
        <v>44</v>
      </c>
      <c r="G2" t="s">
        <v>45</v>
      </c>
      <c r="H2" s="5" t="s">
        <v>496</v>
      </c>
      <c r="I2" s="5" t="s">
        <v>496</v>
      </c>
      <c r="J2">
        <v>1200</v>
      </c>
      <c r="K2">
        <v>1200</v>
      </c>
      <c r="L2">
        <v>1020</v>
      </c>
      <c r="M2" s="5" t="s">
        <v>496</v>
      </c>
      <c r="N2">
        <v>1450</v>
      </c>
      <c r="O2">
        <v>1350</v>
      </c>
      <c r="P2">
        <v>1150</v>
      </c>
      <c r="Q2" t="s">
        <v>38</v>
      </c>
      <c r="R2">
        <v>19</v>
      </c>
      <c r="S2" s="5">
        <v>1</v>
      </c>
      <c r="T2" s="3" t="s">
        <v>498</v>
      </c>
      <c r="U2" s="3" t="s">
        <v>499</v>
      </c>
      <c r="V2">
        <v>0</v>
      </c>
      <c r="W2" s="5" t="str">
        <f>"("&amp;A2&amp;","&amp;B2&amp;","&amp;C2&amp;",'"&amp;D2&amp;"','"&amp;E2&amp;"','"&amp;F2&amp;"','"&amp;G2&amp;"',"&amp;H2&amp;","&amp;I2&amp;","&amp;J2&amp;","&amp;K2&amp;","&amp;L2&amp;","&amp;M2&amp;","&amp;N2&amp;","&amp;O2&amp;","&amp;P2&amp;",'"&amp;Q2&amp;"',"&amp;R2&amp;","&amp;S2&amp;",'"&amp;T2&amp;"','"&amp;U2&amp;"',"&amp;V2&amp;"),"</f>
        <v>(1301,null,1,'2026-03-12 00:00:00','352406000040000-240600004','352406000040000-240600004','CT模拟机三维定位',null,null,1200,1200,1020,null,1450,1350,1150,'次',19,1,'normal','main',0),</v>
      </c>
    </row>
    <row r="3" hidden="1" spans="1:23">
      <c r="A3">
        <v>1302</v>
      </c>
      <c r="B3" s="3" t="s">
        <v>496</v>
      </c>
      <c r="C3" s="3">
        <v>1</v>
      </c>
      <c r="D3" s="4" t="s">
        <v>497</v>
      </c>
      <c r="E3" t="s">
        <v>47</v>
      </c>
      <c r="F3" t="s">
        <v>47</v>
      </c>
      <c r="G3" t="s">
        <v>48</v>
      </c>
      <c r="H3" s="5" t="s">
        <v>496</v>
      </c>
      <c r="I3" s="5" t="s">
        <v>496</v>
      </c>
      <c r="J3">
        <v>180</v>
      </c>
      <c r="K3">
        <v>158.4</v>
      </c>
      <c r="L3">
        <v>134.6</v>
      </c>
      <c r="M3" s="5" t="s">
        <v>496</v>
      </c>
      <c r="N3">
        <v>0</v>
      </c>
      <c r="O3">
        <v>0</v>
      </c>
      <c r="P3">
        <v>0</v>
      </c>
      <c r="Q3" t="s">
        <v>38</v>
      </c>
      <c r="R3">
        <v>19</v>
      </c>
      <c r="S3" s="5">
        <v>1</v>
      </c>
      <c r="T3" s="3" t="s">
        <v>498</v>
      </c>
      <c r="U3" t="s">
        <v>499</v>
      </c>
      <c r="V3">
        <v>0</v>
      </c>
      <c r="W3" s="5" t="str">
        <f t="shared" ref="W3:W34" si="0">"("&amp;A3&amp;","&amp;B3&amp;","&amp;C3&amp;",'"&amp;D3&amp;"','"&amp;E3&amp;"','"&amp;F3&amp;"','"&amp;G3&amp;"',"&amp;H3&amp;","&amp;I3&amp;","&amp;J3&amp;","&amp;K3&amp;","&amp;L3&amp;","&amp;M3&amp;","&amp;N3&amp;","&amp;O3&amp;","&amp;P3&amp;",'"&amp;Q3&amp;"',"&amp;R3&amp;","&amp;S3&amp;",'"&amp;T3&amp;"','"&amp;U3&amp;"',"&amp;V3&amp;"),"</f>
        <v>(1302,null,1,'2026-03-12 00:00:00','002405000010000-240500001','002405000010000-240500001','合金模具设计及制作',null,null,180,158.4,134.6,null,0,0,0,'次',19,1,'normal','main',0),</v>
      </c>
    </row>
    <row r="4" hidden="1" spans="1:23">
      <c r="A4">
        <v>1303</v>
      </c>
      <c r="B4" s="3" t="s">
        <v>496</v>
      </c>
      <c r="C4" s="3">
        <v>1</v>
      </c>
      <c r="D4" s="4" t="s">
        <v>497</v>
      </c>
      <c r="E4" t="s">
        <v>50</v>
      </c>
      <c r="F4" t="s">
        <v>50</v>
      </c>
      <c r="G4" t="s">
        <v>51</v>
      </c>
      <c r="H4" s="5" t="s">
        <v>496</v>
      </c>
      <c r="I4" s="5" t="s">
        <v>496</v>
      </c>
      <c r="J4">
        <v>180</v>
      </c>
      <c r="K4">
        <v>158.4</v>
      </c>
      <c r="L4">
        <v>134.6</v>
      </c>
      <c r="M4" s="5" t="s">
        <v>496</v>
      </c>
      <c r="N4">
        <v>0</v>
      </c>
      <c r="O4">
        <v>0</v>
      </c>
      <c r="P4">
        <v>0</v>
      </c>
      <c r="Q4" t="s">
        <v>38</v>
      </c>
      <c r="R4">
        <v>19</v>
      </c>
      <c r="S4" s="5">
        <v>1</v>
      </c>
      <c r="T4" s="3" t="s">
        <v>498</v>
      </c>
      <c r="U4" t="s">
        <v>499</v>
      </c>
      <c r="V4">
        <v>0</v>
      </c>
      <c r="W4" s="5" t="str">
        <f t="shared" si="0"/>
        <v>(1303,null,1,'2026-03-12 00:00:00','002405000010100-24050000101','002405000010100-24050000101','合金模具设计及制作（电子束制模）',null,null,180,158.4,134.6,null,0,0,0,'次',19,1,'normal','main',0),</v>
      </c>
    </row>
    <row r="5" hidden="1" spans="1:23">
      <c r="A5">
        <v>1304</v>
      </c>
      <c r="B5" s="3" t="s">
        <v>496</v>
      </c>
      <c r="C5" s="3">
        <v>1</v>
      </c>
      <c r="D5" s="4" t="s">
        <v>497</v>
      </c>
      <c r="E5" t="s">
        <v>53</v>
      </c>
      <c r="F5" t="s">
        <v>53</v>
      </c>
      <c r="G5" t="s">
        <v>54</v>
      </c>
      <c r="H5" s="5" t="s">
        <v>496</v>
      </c>
      <c r="I5" s="5" t="s">
        <v>496</v>
      </c>
      <c r="J5">
        <v>180</v>
      </c>
      <c r="K5">
        <v>158.4</v>
      </c>
      <c r="L5">
        <v>134.6</v>
      </c>
      <c r="M5" s="5" t="s">
        <v>496</v>
      </c>
      <c r="N5">
        <v>0</v>
      </c>
      <c r="O5">
        <v>0</v>
      </c>
      <c r="P5">
        <v>0</v>
      </c>
      <c r="Q5" t="s">
        <v>38</v>
      </c>
      <c r="R5">
        <v>19</v>
      </c>
      <c r="S5" s="5">
        <v>1</v>
      </c>
      <c r="T5" s="3" t="s">
        <v>498</v>
      </c>
      <c r="U5" t="s">
        <v>499</v>
      </c>
      <c r="V5">
        <v>0</v>
      </c>
      <c r="W5" s="5" t="str">
        <f t="shared" si="0"/>
        <v>(1304,null,1,'2026-03-12 00:00:00','002405000010200-24050000102','002405000010200-24050000102','合金模具设计及制作（适形制模）',null,null,180,158.4,134.6,null,0,0,0,'次',19,1,'normal','main',0),</v>
      </c>
    </row>
    <row r="6" hidden="1" spans="1:23">
      <c r="A6">
        <v>1305</v>
      </c>
      <c r="B6" s="3" t="s">
        <v>496</v>
      </c>
      <c r="C6" s="3">
        <v>1</v>
      </c>
      <c r="D6" s="4" t="s">
        <v>497</v>
      </c>
      <c r="E6" t="s">
        <v>56</v>
      </c>
      <c r="F6" t="s">
        <v>56</v>
      </c>
      <c r="G6" t="s">
        <v>57</v>
      </c>
      <c r="H6" s="5" t="s">
        <v>496</v>
      </c>
      <c r="I6" s="5" t="s">
        <v>496</v>
      </c>
      <c r="J6">
        <v>180</v>
      </c>
      <c r="K6">
        <v>158.4</v>
      </c>
      <c r="L6">
        <v>134.6</v>
      </c>
      <c r="M6" s="5" t="s">
        <v>496</v>
      </c>
      <c r="N6">
        <v>0</v>
      </c>
      <c r="O6">
        <v>0</v>
      </c>
      <c r="P6">
        <v>0</v>
      </c>
      <c r="Q6" t="s">
        <v>38</v>
      </c>
      <c r="R6">
        <v>19</v>
      </c>
      <c r="S6" s="5">
        <v>1</v>
      </c>
      <c r="T6" s="3" t="s">
        <v>498</v>
      </c>
      <c r="U6" t="s">
        <v>499</v>
      </c>
      <c r="V6">
        <v>0</v>
      </c>
      <c r="W6" s="5" t="str">
        <f t="shared" si="0"/>
        <v>(1305,null,1,'2026-03-12 00:00:00','002405000010000-24050000103','002405000010000-24050000103','合金模具设计及制作（斗蓬野）',null,null,180,158.4,134.6,null,0,0,0,'次',19,1,'normal','main',0),</v>
      </c>
    </row>
    <row r="7" hidden="1" spans="1:23">
      <c r="A7">
        <v>1306</v>
      </c>
      <c r="B7" s="3" t="s">
        <v>496</v>
      </c>
      <c r="C7" s="3">
        <v>1</v>
      </c>
      <c r="D7" s="4" t="s">
        <v>497</v>
      </c>
      <c r="E7" t="s">
        <v>59</v>
      </c>
      <c r="F7" t="s">
        <v>59</v>
      </c>
      <c r="G7" t="s">
        <v>60</v>
      </c>
      <c r="H7" s="5" t="s">
        <v>496</v>
      </c>
      <c r="I7" s="5" t="s">
        <v>496</v>
      </c>
      <c r="J7">
        <v>180</v>
      </c>
      <c r="K7">
        <v>158.4</v>
      </c>
      <c r="L7">
        <v>134.6</v>
      </c>
      <c r="M7" s="5" t="s">
        <v>496</v>
      </c>
      <c r="N7">
        <v>0</v>
      </c>
      <c r="O7">
        <v>0</v>
      </c>
      <c r="P7">
        <v>0</v>
      </c>
      <c r="Q7" t="s">
        <v>38</v>
      </c>
      <c r="R7">
        <v>19</v>
      </c>
      <c r="S7" s="5">
        <v>1</v>
      </c>
      <c r="T7" s="3" t="s">
        <v>498</v>
      </c>
      <c r="U7" t="s">
        <v>499</v>
      </c>
      <c r="V7">
        <v>0</v>
      </c>
      <c r="W7" s="5" t="str">
        <f t="shared" si="0"/>
        <v>(1306,null,1,'2026-03-12 00:00:00','002405000010000-24050000104','002405000010000-24050000104','合金模具设计及制作（倒Y野）',null,null,180,158.4,134.6,null,0,0,0,'次',19,1,'normal','main',0),</v>
      </c>
    </row>
    <row r="8" hidden="1" spans="1:23">
      <c r="A8">
        <v>1307</v>
      </c>
      <c r="B8" s="3" t="s">
        <v>496</v>
      </c>
      <c r="C8" s="3">
        <v>1</v>
      </c>
      <c r="D8" s="4" t="s">
        <v>497</v>
      </c>
      <c r="E8" t="s">
        <v>62</v>
      </c>
      <c r="F8" t="s">
        <v>62</v>
      </c>
      <c r="G8" t="s">
        <v>63</v>
      </c>
      <c r="H8" s="5" t="s">
        <v>496</v>
      </c>
      <c r="I8" s="5" t="s">
        <v>496</v>
      </c>
      <c r="J8">
        <v>80</v>
      </c>
      <c r="K8">
        <v>70.4</v>
      </c>
      <c r="L8">
        <v>59.8</v>
      </c>
      <c r="M8" s="5" t="s">
        <v>496</v>
      </c>
      <c r="N8">
        <v>0</v>
      </c>
      <c r="O8">
        <v>0</v>
      </c>
      <c r="P8">
        <v>0</v>
      </c>
      <c r="Q8" t="s">
        <v>38</v>
      </c>
      <c r="R8">
        <v>19</v>
      </c>
      <c r="S8" s="5">
        <v>1</v>
      </c>
      <c r="T8" s="3" t="s">
        <v>498</v>
      </c>
      <c r="U8" t="s">
        <v>499</v>
      </c>
      <c r="V8">
        <v>0</v>
      </c>
      <c r="W8" s="5" t="str">
        <f t="shared" si="0"/>
        <v>(1307,null,1,'2026-03-12 00:00:00','002405000020000-240500002','002405000020000-240500002','填充模具设计及制作',null,null,80,70.4,59.8,null,0,0,0,'次',19,1,'normal','main',0),</v>
      </c>
    </row>
    <row r="9" hidden="1" spans="1:23">
      <c r="A9">
        <v>1308</v>
      </c>
      <c r="B9" s="3" t="s">
        <v>496</v>
      </c>
      <c r="C9" s="3">
        <v>1</v>
      </c>
      <c r="D9" s="4" t="s">
        <v>497</v>
      </c>
      <c r="E9" t="s">
        <v>65</v>
      </c>
      <c r="F9" t="s">
        <v>65</v>
      </c>
      <c r="G9" t="s">
        <v>66</v>
      </c>
      <c r="H9" s="5" t="s">
        <v>496</v>
      </c>
      <c r="I9" s="5" t="s">
        <v>496</v>
      </c>
      <c r="J9">
        <v>140</v>
      </c>
      <c r="K9">
        <v>123.2</v>
      </c>
      <c r="L9">
        <v>104.7</v>
      </c>
      <c r="M9" s="5" t="s">
        <v>496</v>
      </c>
      <c r="N9">
        <v>0</v>
      </c>
      <c r="O9">
        <v>0</v>
      </c>
      <c r="P9">
        <v>0</v>
      </c>
      <c r="Q9" t="s">
        <v>38</v>
      </c>
      <c r="R9">
        <v>19</v>
      </c>
      <c r="S9" s="5">
        <v>1</v>
      </c>
      <c r="T9" s="3" t="s">
        <v>498</v>
      </c>
      <c r="U9" t="s">
        <v>499</v>
      </c>
      <c r="V9">
        <v>0</v>
      </c>
      <c r="W9" s="5" t="str">
        <f t="shared" si="0"/>
        <v>(1308,null,1,'2026-03-12 00:00:00','002405000030000-240500003','002405000030000-240500003','补偿物设计及制作',null,null,140,123.2,104.7,null,0,0,0,'次',19,1,'normal','main',0),</v>
      </c>
    </row>
    <row r="10" hidden="1" spans="1:23">
      <c r="A10">
        <v>1309</v>
      </c>
      <c r="B10" s="3" t="s">
        <v>496</v>
      </c>
      <c r="C10" s="3">
        <v>1</v>
      </c>
      <c r="D10" s="4" t="s">
        <v>497</v>
      </c>
      <c r="E10" t="s">
        <v>68</v>
      </c>
      <c r="F10" t="s">
        <v>68</v>
      </c>
      <c r="G10" t="s">
        <v>69</v>
      </c>
      <c r="H10" s="5" t="s">
        <v>496</v>
      </c>
      <c r="I10" s="5" t="s">
        <v>496</v>
      </c>
      <c r="J10">
        <v>80</v>
      </c>
      <c r="K10">
        <v>70.4</v>
      </c>
      <c r="L10">
        <v>59.8</v>
      </c>
      <c r="M10" s="5" t="s">
        <v>496</v>
      </c>
      <c r="N10">
        <v>0</v>
      </c>
      <c r="O10">
        <v>0</v>
      </c>
      <c r="P10">
        <v>0</v>
      </c>
      <c r="Q10" t="s">
        <v>38</v>
      </c>
      <c r="R10">
        <v>19</v>
      </c>
      <c r="S10" s="5">
        <v>1</v>
      </c>
      <c r="T10" s="3" t="s">
        <v>498</v>
      </c>
      <c r="U10" t="s">
        <v>499</v>
      </c>
      <c r="V10">
        <v>0</v>
      </c>
      <c r="W10" s="5" t="str">
        <f t="shared" si="0"/>
        <v>(1309,null,1,'2026-03-12 00:00:00','002405000020000-24050000201','002405000020000-24050000201','填充模具设计及制作（斗蓬野）',null,null,80,70.4,59.8,null,0,0,0,'次',19,1,'normal','main',0),</v>
      </c>
    </row>
    <row r="11" hidden="1" spans="1:23">
      <c r="A11">
        <v>1310</v>
      </c>
      <c r="B11" s="3" t="s">
        <v>496</v>
      </c>
      <c r="C11" s="3">
        <v>1</v>
      </c>
      <c r="D11" s="4" t="s">
        <v>497</v>
      </c>
      <c r="E11" t="s">
        <v>70</v>
      </c>
      <c r="F11" t="s">
        <v>70</v>
      </c>
      <c r="G11" t="s">
        <v>71</v>
      </c>
      <c r="H11" s="5" t="s">
        <v>496</v>
      </c>
      <c r="I11" s="5" t="s">
        <v>496</v>
      </c>
      <c r="J11">
        <v>300</v>
      </c>
      <c r="K11">
        <v>264</v>
      </c>
      <c r="L11">
        <v>224.4</v>
      </c>
      <c r="M11" s="5" t="s">
        <v>496</v>
      </c>
      <c r="N11">
        <v>0</v>
      </c>
      <c r="O11">
        <v>0</v>
      </c>
      <c r="P11">
        <v>0</v>
      </c>
      <c r="Q11" t="s">
        <v>38</v>
      </c>
      <c r="R11">
        <v>19</v>
      </c>
      <c r="S11" s="5">
        <v>1</v>
      </c>
      <c r="T11" s="3" t="s">
        <v>498</v>
      </c>
      <c r="U11" t="s">
        <v>499</v>
      </c>
      <c r="V11">
        <v>0</v>
      </c>
      <c r="W11" s="5" t="str">
        <f t="shared" si="0"/>
        <v>(1310,null,1,'2026-03-12 00:00:00','002405000040000-240500004','002405000040000-240500004','面模设计及制作',null,null,300,264,224.4,null,0,0,0,'次',19,1,'normal','main',0),</v>
      </c>
    </row>
    <row r="12" hidden="1" spans="1:23">
      <c r="A12">
        <v>1311</v>
      </c>
      <c r="B12" s="3" t="s">
        <v>496</v>
      </c>
      <c r="C12" s="3">
        <v>1</v>
      </c>
      <c r="D12" s="4" t="s">
        <v>497</v>
      </c>
      <c r="E12" t="s">
        <v>73</v>
      </c>
      <c r="F12" t="s">
        <v>73</v>
      </c>
      <c r="G12" t="s">
        <v>74</v>
      </c>
      <c r="H12" s="5" t="s">
        <v>496</v>
      </c>
      <c r="I12" s="5" t="s">
        <v>496</v>
      </c>
      <c r="J12">
        <v>80</v>
      </c>
      <c r="K12">
        <v>70.4</v>
      </c>
      <c r="L12">
        <v>59.8</v>
      </c>
      <c r="M12" s="5" t="s">
        <v>496</v>
      </c>
      <c r="N12">
        <v>0</v>
      </c>
      <c r="O12">
        <v>0</v>
      </c>
      <c r="P12">
        <v>0</v>
      </c>
      <c r="Q12" t="s">
        <v>38</v>
      </c>
      <c r="R12">
        <v>19</v>
      </c>
      <c r="S12" s="5">
        <v>1</v>
      </c>
      <c r="T12" s="3" t="s">
        <v>498</v>
      </c>
      <c r="U12" t="s">
        <v>499</v>
      </c>
      <c r="V12">
        <v>0</v>
      </c>
      <c r="W12" s="5" t="str">
        <f t="shared" si="0"/>
        <v>(1311,null,1,'2026-03-12 00:00:00','002405000020000-24050000202','002405000020000-24050000202','填充模具设计及制作（倒Y野）',null,null,80,70.4,59.8,null,0,0,0,'次',19,1,'normal','main',0),</v>
      </c>
    </row>
    <row r="13" hidden="1" spans="1:23">
      <c r="A13">
        <v>1312</v>
      </c>
      <c r="B13" s="3" t="s">
        <v>496</v>
      </c>
      <c r="C13" s="3">
        <v>1</v>
      </c>
      <c r="D13" s="4" t="s">
        <v>497</v>
      </c>
      <c r="E13" t="s">
        <v>75</v>
      </c>
      <c r="F13" t="s">
        <v>75</v>
      </c>
      <c r="G13" t="s">
        <v>76</v>
      </c>
      <c r="H13" s="5" t="s">
        <v>496</v>
      </c>
      <c r="I13" s="5" t="s">
        <v>496</v>
      </c>
      <c r="J13">
        <v>20</v>
      </c>
      <c r="K13">
        <v>17.6</v>
      </c>
      <c r="L13">
        <v>15</v>
      </c>
      <c r="M13" s="5" t="s">
        <v>496</v>
      </c>
      <c r="N13">
        <v>0</v>
      </c>
      <c r="O13">
        <v>0</v>
      </c>
      <c r="P13">
        <v>0</v>
      </c>
      <c r="Q13" t="s">
        <v>38</v>
      </c>
      <c r="R13">
        <v>19</v>
      </c>
      <c r="S13" s="5">
        <v>1</v>
      </c>
      <c r="T13" s="3" t="s">
        <v>498</v>
      </c>
      <c r="U13" t="s">
        <v>499</v>
      </c>
      <c r="V13">
        <v>0</v>
      </c>
      <c r="W13" s="5" t="str">
        <f t="shared" si="0"/>
        <v>(1312,null,1,'2026-03-12 00:00:00','002405000050000-240500005','002405000050000-240500005','体架',null,null,20,17.6,15,null,0,0,0,'次',19,1,'normal','main',0),</v>
      </c>
    </row>
    <row r="14" hidden="1" spans="1:23">
      <c r="A14">
        <v>1313</v>
      </c>
      <c r="B14" s="3" t="s">
        <v>496</v>
      </c>
      <c r="C14" s="3">
        <v>1</v>
      </c>
      <c r="D14" s="4" t="s">
        <v>497</v>
      </c>
      <c r="E14" t="s">
        <v>78</v>
      </c>
      <c r="F14" t="s">
        <v>78</v>
      </c>
      <c r="G14" t="s">
        <v>79</v>
      </c>
      <c r="H14" s="5" t="s">
        <v>496</v>
      </c>
      <c r="I14" s="5" t="s">
        <v>496</v>
      </c>
      <c r="J14">
        <v>20</v>
      </c>
      <c r="K14">
        <v>17.6</v>
      </c>
      <c r="L14">
        <v>15</v>
      </c>
      <c r="M14" s="5" t="s">
        <v>496</v>
      </c>
      <c r="N14">
        <v>0</v>
      </c>
      <c r="O14">
        <v>0</v>
      </c>
      <c r="P14">
        <v>0</v>
      </c>
      <c r="Q14" t="s">
        <v>38</v>
      </c>
      <c r="R14">
        <v>19</v>
      </c>
      <c r="S14" s="5">
        <v>1</v>
      </c>
      <c r="T14" s="3" t="s">
        <v>498</v>
      </c>
      <c r="U14" t="s">
        <v>499</v>
      </c>
      <c r="V14">
        <v>0</v>
      </c>
      <c r="W14" s="5" t="str">
        <f t="shared" si="0"/>
        <v>(1313,null,1,'2026-03-12 00:00:00','002405000050100-24050000501','002405000050100-24050000501','体架（头架）',null,null,20,17.6,15,null,0,0,0,'次',19,1,'normal','main',0),</v>
      </c>
    </row>
    <row r="15" hidden="1" spans="1:23">
      <c r="A15">
        <v>1314</v>
      </c>
      <c r="B15" s="3" t="s">
        <v>496</v>
      </c>
      <c r="C15" s="3">
        <v>1</v>
      </c>
      <c r="D15" s="4" t="s">
        <v>497</v>
      </c>
      <c r="E15" t="s">
        <v>89</v>
      </c>
      <c r="F15" t="s">
        <v>89</v>
      </c>
      <c r="G15" t="s">
        <v>90</v>
      </c>
      <c r="H15" s="5" t="s">
        <v>496</v>
      </c>
      <c r="I15" s="5" t="s">
        <v>496</v>
      </c>
      <c r="J15">
        <v>40</v>
      </c>
      <c r="K15">
        <v>35.2</v>
      </c>
      <c r="L15">
        <v>29.9</v>
      </c>
      <c r="M15" s="5" t="s">
        <v>496</v>
      </c>
      <c r="N15">
        <v>450</v>
      </c>
      <c r="O15">
        <v>405</v>
      </c>
      <c r="P15">
        <v>300</v>
      </c>
      <c r="Q15" t="s">
        <v>92</v>
      </c>
      <c r="R15">
        <v>19</v>
      </c>
      <c r="S15" s="5">
        <v>1</v>
      </c>
      <c r="T15" s="3" t="s">
        <v>498</v>
      </c>
      <c r="U15" t="s">
        <v>499</v>
      </c>
      <c r="V15">
        <v>0</v>
      </c>
      <c r="W15" s="5" t="str">
        <f t="shared" si="0"/>
        <v>(1314,null,1,'2026-03-12 00:00:00','002402000010000-240200001','002402000010000-240200001','简易定位',null,null,40,35.2,29.9,null,450,405,300,'疗程',19,1,'normal','main',0),</v>
      </c>
    </row>
    <row r="16" hidden="1" spans="1:23">
      <c r="A16">
        <v>1315</v>
      </c>
      <c r="B16" s="3" t="s">
        <v>496</v>
      </c>
      <c r="C16" s="3">
        <v>1</v>
      </c>
      <c r="D16" s="4" t="s">
        <v>497</v>
      </c>
      <c r="E16" t="s">
        <v>93</v>
      </c>
      <c r="F16" t="s">
        <v>93</v>
      </c>
      <c r="G16" t="s">
        <v>94</v>
      </c>
      <c r="H16" s="5" t="s">
        <v>496</v>
      </c>
      <c r="I16" s="5" t="s">
        <v>496</v>
      </c>
      <c r="J16">
        <v>40</v>
      </c>
      <c r="K16">
        <v>35.2</v>
      </c>
      <c r="L16">
        <v>29.9</v>
      </c>
      <c r="M16" s="5" t="s">
        <v>496</v>
      </c>
      <c r="N16">
        <v>450</v>
      </c>
      <c r="O16">
        <v>405</v>
      </c>
      <c r="P16">
        <v>300</v>
      </c>
      <c r="Q16" t="s">
        <v>92</v>
      </c>
      <c r="R16">
        <v>19</v>
      </c>
      <c r="S16" s="5">
        <v>1</v>
      </c>
      <c r="T16" s="3" t="s">
        <v>498</v>
      </c>
      <c r="U16" t="s">
        <v>499</v>
      </c>
      <c r="V16">
        <v>0</v>
      </c>
      <c r="W16" s="5" t="str">
        <f t="shared" si="0"/>
        <v>(1315,null,1,'2026-03-12 00:00:00','002402000010100-24020000101','002402000010100-24020000101','X线机定位',null,null,40,35.2,29.9,null,450,405,300,'疗程',19,1,'normal','main',0),</v>
      </c>
    </row>
    <row r="17" hidden="1" spans="1:23">
      <c r="A17">
        <v>1316</v>
      </c>
      <c r="B17" s="3" t="s">
        <v>496</v>
      </c>
      <c r="C17" s="3">
        <v>1</v>
      </c>
      <c r="D17" s="4" t="s">
        <v>497</v>
      </c>
      <c r="E17" t="s">
        <v>95</v>
      </c>
      <c r="F17" t="s">
        <v>95</v>
      </c>
      <c r="G17" t="s">
        <v>96</v>
      </c>
      <c r="H17" s="5" t="s">
        <v>496</v>
      </c>
      <c r="I17" s="5" t="s">
        <v>496</v>
      </c>
      <c r="J17">
        <v>40</v>
      </c>
      <c r="K17">
        <v>35.2</v>
      </c>
      <c r="L17">
        <v>29.9</v>
      </c>
      <c r="M17" s="5" t="s">
        <v>496</v>
      </c>
      <c r="N17">
        <v>450</v>
      </c>
      <c r="O17">
        <v>405</v>
      </c>
      <c r="P17">
        <v>300</v>
      </c>
      <c r="Q17" t="s">
        <v>92</v>
      </c>
      <c r="R17">
        <v>19</v>
      </c>
      <c r="S17" s="5">
        <v>1</v>
      </c>
      <c r="T17" s="3" t="s">
        <v>498</v>
      </c>
      <c r="U17" t="s">
        <v>499</v>
      </c>
      <c r="V17">
        <v>0</v>
      </c>
      <c r="W17" s="5" t="str">
        <f t="shared" si="0"/>
        <v>(1316,null,1,'2026-03-12 00:00:00','002402000010200-24020000102','002402000010200-24020000102','B超定位',null,null,40,35.2,29.9,null,450,405,300,'疗程',19,1,'normal','main',0),</v>
      </c>
    </row>
    <row r="18" hidden="1" spans="1:23">
      <c r="A18">
        <v>1317</v>
      </c>
      <c r="B18" s="3" t="s">
        <v>496</v>
      </c>
      <c r="C18" s="3">
        <v>1</v>
      </c>
      <c r="D18" s="4" t="s">
        <v>497</v>
      </c>
      <c r="E18" t="s">
        <v>97</v>
      </c>
      <c r="F18" t="s">
        <v>97</v>
      </c>
      <c r="G18" t="s">
        <v>98</v>
      </c>
      <c r="H18" s="5" t="s">
        <v>496</v>
      </c>
      <c r="I18" s="5" t="s">
        <v>496</v>
      </c>
      <c r="J18">
        <v>40</v>
      </c>
      <c r="K18">
        <v>35.2</v>
      </c>
      <c r="L18">
        <v>29.9</v>
      </c>
      <c r="M18" s="5" t="s">
        <v>496</v>
      </c>
      <c r="N18">
        <v>450</v>
      </c>
      <c r="O18">
        <v>405</v>
      </c>
      <c r="P18">
        <v>300</v>
      </c>
      <c r="Q18" t="s">
        <v>92</v>
      </c>
      <c r="R18">
        <v>19</v>
      </c>
      <c r="S18" s="5">
        <v>1</v>
      </c>
      <c r="T18" s="3" t="s">
        <v>498</v>
      </c>
      <c r="U18" t="s">
        <v>499</v>
      </c>
      <c r="V18">
        <v>0</v>
      </c>
      <c r="W18" s="5" t="str">
        <f t="shared" si="0"/>
        <v>(1317,null,1,'2026-03-12 00:00:00','002402000010300-24020000103','002402000010300-24020000103','CT定位',null,null,40,35.2,29.9,null,450,405,300,'疗程',19,1,'normal','main',0),</v>
      </c>
    </row>
    <row r="19" spans="1:23">
      <c r="A19">
        <v>1318</v>
      </c>
      <c r="B19" s="3" t="s">
        <v>496</v>
      </c>
      <c r="C19" s="3">
        <v>1</v>
      </c>
      <c r="D19" s="4" t="s">
        <v>497</v>
      </c>
      <c r="E19" t="s">
        <v>99</v>
      </c>
      <c r="F19" t="s">
        <v>99</v>
      </c>
      <c r="G19" t="s">
        <v>100</v>
      </c>
      <c r="H19" s="5" t="s">
        <v>496</v>
      </c>
      <c r="I19" s="5" t="s">
        <v>496</v>
      </c>
      <c r="J19">
        <v>100</v>
      </c>
      <c r="K19">
        <v>88</v>
      </c>
      <c r="L19">
        <v>74.8</v>
      </c>
      <c r="M19" s="5" t="s">
        <v>496</v>
      </c>
      <c r="N19">
        <v>450</v>
      </c>
      <c r="O19">
        <v>405</v>
      </c>
      <c r="P19">
        <v>300</v>
      </c>
      <c r="Q19" t="s">
        <v>101</v>
      </c>
      <c r="R19">
        <v>19</v>
      </c>
      <c r="S19" s="5">
        <v>1</v>
      </c>
      <c r="T19" s="3" t="s">
        <v>498</v>
      </c>
      <c r="U19" t="s">
        <v>500</v>
      </c>
      <c r="V19">
        <v>10</v>
      </c>
      <c r="W19" s="5" t="str">
        <f t="shared" si="0"/>
        <v>(1318,null,1,'2026-03-12 00:00:00','002402000020000-240200002','002402000020000-240200002','专用X线机模拟定位',null,null,100,88,74.8,null,450,405,300,'每照射野',19,1,'normal','set',10),</v>
      </c>
    </row>
    <row r="20" hidden="1" spans="1:23">
      <c r="A20">
        <v>1319</v>
      </c>
      <c r="B20" s="3" t="s">
        <v>496</v>
      </c>
      <c r="C20" s="3">
        <v>1</v>
      </c>
      <c r="D20" s="4" t="s">
        <v>497</v>
      </c>
      <c r="E20" t="s">
        <v>102</v>
      </c>
      <c r="F20" t="s">
        <v>102</v>
      </c>
      <c r="G20" t="s">
        <v>103</v>
      </c>
      <c r="H20" s="5" t="s">
        <v>496</v>
      </c>
      <c r="I20" s="5" t="s">
        <v>496</v>
      </c>
      <c r="J20">
        <v>350</v>
      </c>
      <c r="K20">
        <v>308</v>
      </c>
      <c r="L20">
        <v>261.8</v>
      </c>
      <c r="M20" s="5" t="s">
        <v>496</v>
      </c>
      <c r="N20">
        <v>450</v>
      </c>
      <c r="O20">
        <v>405</v>
      </c>
      <c r="P20">
        <v>300</v>
      </c>
      <c r="Q20" t="s">
        <v>92</v>
      </c>
      <c r="R20">
        <v>19</v>
      </c>
      <c r="S20" s="5">
        <v>1</v>
      </c>
      <c r="T20" s="3" t="s">
        <v>498</v>
      </c>
      <c r="U20" t="s">
        <v>499</v>
      </c>
      <c r="V20">
        <v>0</v>
      </c>
      <c r="W20" s="5" t="str">
        <f t="shared" si="0"/>
        <v>(1319,null,1,'2026-03-12 00:00:00','002402000030000-240200003','002402000030000-240200003','专用X线机复杂模拟定位',null,null,350,308,261.8,null,450,405,300,'疗程',19,1,'normal','main',0),</v>
      </c>
    </row>
    <row r="21" hidden="1" spans="1:23">
      <c r="A21">
        <v>1320</v>
      </c>
      <c r="B21" s="3" t="s">
        <v>496</v>
      </c>
      <c r="C21" s="3">
        <v>1</v>
      </c>
      <c r="D21" s="4" t="s">
        <v>497</v>
      </c>
      <c r="E21" t="s">
        <v>105</v>
      </c>
      <c r="F21" t="s">
        <v>105</v>
      </c>
      <c r="G21" t="s">
        <v>106</v>
      </c>
      <c r="H21" s="5" t="s">
        <v>496</v>
      </c>
      <c r="I21" s="5" t="s">
        <v>496</v>
      </c>
      <c r="J21">
        <v>350</v>
      </c>
      <c r="K21">
        <v>308</v>
      </c>
      <c r="L21">
        <v>261.8</v>
      </c>
      <c r="M21" s="5" t="s">
        <v>496</v>
      </c>
      <c r="N21">
        <v>450</v>
      </c>
      <c r="O21">
        <v>405</v>
      </c>
      <c r="P21">
        <v>300</v>
      </c>
      <c r="Q21" t="s">
        <v>92</v>
      </c>
      <c r="R21">
        <v>19</v>
      </c>
      <c r="S21" s="5">
        <v>1</v>
      </c>
      <c r="T21" s="3" t="s">
        <v>498</v>
      </c>
      <c r="U21" t="s">
        <v>499</v>
      </c>
      <c r="V21">
        <v>0</v>
      </c>
      <c r="W21" s="5" t="str">
        <f t="shared" si="0"/>
        <v>(1320,null,1,'2026-03-12 00:00:00','002402000030100-24020000301','002402000030100-24020000301','专用X线机复杂模拟定位（CT机模拟定位）',null,null,350,308,261.8,null,450,405,300,'疗程',19,1,'normal','main',0),</v>
      </c>
    </row>
    <row r="22" hidden="1" spans="1:23">
      <c r="A22">
        <v>1321</v>
      </c>
      <c r="B22" s="3" t="s">
        <v>496</v>
      </c>
      <c r="C22" s="3">
        <v>1</v>
      </c>
      <c r="D22" s="4" t="s">
        <v>497</v>
      </c>
      <c r="E22" t="s">
        <v>108</v>
      </c>
      <c r="F22" t="s">
        <v>108</v>
      </c>
      <c r="G22" t="s">
        <v>109</v>
      </c>
      <c r="H22" s="5" t="s">
        <v>496</v>
      </c>
      <c r="I22" s="5" t="s">
        <v>496</v>
      </c>
      <c r="J22">
        <v>16</v>
      </c>
      <c r="K22">
        <v>14.1</v>
      </c>
      <c r="L22">
        <v>12</v>
      </c>
      <c r="M22" s="5" t="s">
        <v>496</v>
      </c>
      <c r="N22">
        <v>0</v>
      </c>
      <c r="O22">
        <v>0</v>
      </c>
      <c r="P22">
        <v>0</v>
      </c>
      <c r="Q22" t="s">
        <v>92</v>
      </c>
      <c r="R22">
        <v>19</v>
      </c>
      <c r="S22" s="5">
        <v>1</v>
      </c>
      <c r="T22" s="3" t="s">
        <v>498</v>
      </c>
      <c r="U22" t="s">
        <v>499</v>
      </c>
      <c r="V22">
        <v>0</v>
      </c>
      <c r="W22" s="5" t="str">
        <f t="shared" si="0"/>
        <v>(1321,null,1,'2026-03-12 00:00:00','002402000010000-24020000104','002402000010000-24020000104','简易定位（疗程中修改定位加收）',null,null,16,14.1,12,null,0,0,0,'疗程',19,1,'normal','main',0),</v>
      </c>
    </row>
    <row r="23" hidden="1" spans="1:23">
      <c r="A23">
        <v>1322</v>
      </c>
      <c r="B23" s="3" t="s">
        <v>496</v>
      </c>
      <c r="C23" s="3">
        <v>1</v>
      </c>
      <c r="D23" s="4" t="s">
        <v>497</v>
      </c>
      <c r="E23" t="s">
        <v>111</v>
      </c>
      <c r="F23" t="s">
        <v>111</v>
      </c>
      <c r="G23" t="s">
        <v>112</v>
      </c>
      <c r="H23" s="5" t="s">
        <v>496</v>
      </c>
      <c r="I23" s="5" t="s">
        <v>496</v>
      </c>
      <c r="J23">
        <v>40</v>
      </c>
      <c r="K23">
        <v>35.2</v>
      </c>
      <c r="L23">
        <v>29.9</v>
      </c>
      <c r="M23" s="5" t="s">
        <v>496</v>
      </c>
      <c r="N23">
        <v>0</v>
      </c>
      <c r="O23">
        <v>0</v>
      </c>
      <c r="P23">
        <v>0</v>
      </c>
      <c r="Q23" t="s">
        <v>92</v>
      </c>
      <c r="R23">
        <v>19</v>
      </c>
      <c r="S23" s="5">
        <v>1</v>
      </c>
      <c r="T23" s="3" t="s">
        <v>498</v>
      </c>
      <c r="U23" t="s">
        <v>499</v>
      </c>
      <c r="V23">
        <v>0</v>
      </c>
      <c r="W23" s="5" t="str">
        <f t="shared" si="0"/>
        <v>(1322,null,1,'2026-03-12 00:00:00','002402000020000-24020000201','002402000020000-24020000201','专用X线机模拟定位（疗程中修改加收）',null,null,40,35.2,29.9,null,0,0,0,'疗程',19,1,'normal','main',0),</v>
      </c>
    </row>
    <row r="24" hidden="1" spans="1:23">
      <c r="A24">
        <v>1323</v>
      </c>
      <c r="B24" s="3" t="s">
        <v>496</v>
      </c>
      <c r="C24" s="3">
        <v>1</v>
      </c>
      <c r="D24" s="4" t="s">
        <v>497</v>
      </c>
      <c r="E24" t="s">
        <v>113</v>
      </c>
      <c r="F24" t="s">
        <v>113</v>
      </c>
      <c r="G24" t="s">
        <v>114</v>
      </c>
      <c r="H24" s="5" t="s">
        <v>496</v>
      </c>
      <c r="I24" s="5" t="s">
        <v>496</v>
      </c>
      <c r="J24">
        <v>140</v>
      </c>
      <c r="K24">
        <v>123.2</v>
      </c>
      <c r="L24">
        <v>104.7</v>
      </c>
      <c r="M24" s="5" t="s">
        <v>496</v>
      </c>
      <c r="N24">
        <v>0</v>
      </c>
      <c r="O24">
        <v>0</v>
      </c>
      <c r="P24">
        <v>0</v>
      </c>
      <c r="Q24" t="s">
        <v>92</v>
      </c>
      <c r="R24">
        <v>19</v>
      </c>
      <c r="S24" s="5">
        <v>1</v>
      </c>
      <c r="T24" s="3" t="s">
        <v>498</v>
      </c>
      <c r="U24" t="s">
        <v>499</v>
      </c>
      <c r="V24">
        <v>0</v>
      </c>
      <c r="W24" s="5" t="str">
        <f t="shared" si="0"/>
        <v>(1323,null,1,'2026-03-12 00:00:00','002402000030000-24020000302','002402000030000-24020000302','专用X线机复杂模拟定位（疗程中修改加收）',null,null,140,123.2,104.7,null,0,0,0,'疗程',19,1,'normal','main',0),</v>
      </c>
    </row>
    <row r="25" spans="1:23">
      <c r="A25">
        <v>1324</v>
      </c>
      <c r="B25" s="3" t="s">
        <v>496</v>
      </c>
      <c r="C25" s="3">
        <v>1</v>
      </c>
      <c r="D25" s="4" t="s">
        <v>497</v>
      </c>
      <c r="E25" t="s">
        <v>127</v>
      </c>
      <c r="F25" t="s">
        <v>127</v>
      </c>
      <c r="G25" t="s">
        <v>128</v>
      </c>
      <c r="H25" s="5" t="s">
        <v>496</v>
      </c>
      <c r="I25" s="5" t="s">
        <v>496</v>
      </c>
      <c r="J25">
        <v>50</v>
      </c>
      <c r="K25">
        <v>44</v>
      </c>
      <c r="L25">
        <v>37.4</v>
      </c>
      <c r="M25" s="5" t="s">
        <v>496</v>
      </c>
      <c r="N25">
        <v>900</v>
      </c>
      <c r="O25">
        <v>810</v>
      </c>
      <c r="P25">
        <v>690</v>
      </c>
      <c r="Q25" t="s">
        <v>92</v>
      </c>
      <c r="R25">
        <v>19</v>
      </c>
      <c r="S25" s="5">
        <v>1</v>
      </c>
      <c r="T25" s="3" t="s">
        <v>498</v>
      </c>
      <c r="U25" t="s">
        <v>500</v>
      </c>
      <c r="V25">
        <v>10</v>
      </c>
      <c r="W25" s="5" t="str">
        <f t="shared" si="0"/>
        <v>(1324,null,1,'2026-03-12 00:00:00','002401000010000-240100001','002401000010000-240100001','人工制定治疗计划（简单）',null,null,50,44,37.4,null,900,810,690,'疗程',19,1,'normal','set',10),</v>
      </c>
    </row>
    <row r="26" spans="1:23">
      <c r="A26">
        <v>1325</v>
      </c>
      <c r="B26" s="3" t="s">
        <v>496</v>
      </c>
      <c r="C26" s="3">
        <v>1</v>
      </c>
      <c r="D26" s="4" t="s">
        <v>497</v>
      </c>
      <c r="E26" t="s">
        <v>131</v>
      </c>
      <c r="F26" t="s">
        <v>131</v>
      </c>
      <c r="G26" t="s">
        <v>132</v>
      </c>
      <c r="H26" s="5" t="s">
        <v>496</v>
      </c>
      <c r="I26" s="5" t="s">
        <v>496</v>
      </c>
      <c r="J26">
        <v>80</v>
      </c>
      <c r="K26">
        <v>70.4</v>
      </c>
      <c r="L26">
        <v>59.8</v>
      </c>
      <c r="M26" s="5" t="s">
        <v>496</v>
      </c>
      <c r="N26">
        <v>900</v>
      </c>
      <c r="O26">
        <v>810</v>
      </c>
      <c r="P26">
        <v>690</v>
      </c>
      <c r="Q26" t="s">
        <v>92</v>
      </c>
      <c r="R26">
        <v>19</v>
      </c>
      <c r="S26" s="5">
        <v>1</v>
      </c>
      <c r="T26" s="3" t="s">
        <v>498</v>
      </c>
      <c r="U26" t="s">
        <v>500</v>
      </c>
      <c r="V26">
        <v>10</v>
      </c>
      <c r="W26" s="5" t="str">
        <f t="shared" si="0"/>
        <v>(1325,null,1,'2026-03-12 00:00:00','002401000020000-240100002','002401000020000-240100002','人工制定治疗计划（复杂）',null,null,80,70.4,59.8,null,900,810,690,'疗程',19,1,'normal','set',10),</v>
      </c>
    </row>
    <row r="27" spans="1:23">
      <c r="A27">
        <v>1326</v>
      </c>
      <c r="B27" s="3" t="s">
        <v>496</v>
      </c>
      <c r="C27" s="3">
        <v>1</v>
      </c>
      <c r="D27" s="4" t="s">
        <v>497</v>
      </c>
      <c r="E27" t="s">
        <v>134</v>
      </c>
      <c r="F27" t="s">
        <v>134</v>
      </c>
      <c r="G27" t="s">
        <v>135</v>
      </c>
      <c r="H27" s="5" t="s">
        <v>496</v>
      </c>
      <c r="I27" s="5" t="s">
        <v>496</v>
      </c>
      <c r="J27">
        <v>240</v>
      </c>
      <c r="K27">
        <v>211.2</v>
      </c>
      <c r="L27">
        <v>179.5</v>
      </c>
      <c r="M27" s="5" t="s">
        <v>496</v>
      </c>
      <c r="N27">
        <v>900</v>
      </c>
      <c r="O27">
        <v>810</v>
      </c>
      <c r="P27">
        <v>690</v>
      </c>
      <c r="Q27" t="s">
        <v>92</v>
      </c>
      <c r="R27">
        <v>19</v>
      </c>
      <c r="S27" s="5">
        <v>1</v>
      </c>
      <c r="T27" s="3" t="s">
        <v>498</v>
      </c>
      <c r="U27" t="s">
        <v>500</v>
      </c>
      <c r="V27">
        <v>10</v>
      </c>
      <c r="W27" s="5" t="str">
        <f t="shared" si="0"/>
        <v>(1326,null,1,'2026-03-12 00:00:00','002401000030000-240100003','002401000030000-240100003','计算机治疗计划系统（TPS）',null,null,240,211.2,179.5,null,900,810,690,'疗程',19,1,'normal','set',10),</v>
      </c>
    </row>
    <row r="28" spans="1:23">
      <c r="A28">
        <v>1327</v>
      </c>
      <c r="B28" s="3" t="s">
        <v>496</v>
      </c>
      <c r="C28" s="3">
        <v>1</v>
      </c>
      <c r="D28" s="4" t="s">
        <v>497</v>
      </c>
      <c r="E28" t="s">
        <v>137</v>
      </c>
      <c r="F28" t="s">
        <v>137</v>
      </c>
      <c r="G28" t="s">
        <v>138</v>
      </c>
      <c r="H28" s="5" t="s">
        <v>496</v>
      </c>
      <c r="I28" s="5" t="s">
        <v>496</v>
      </c>
      <c r="J28">
        <v>600</v>
      </c>
      <c r="K28">
        <v>550</v>
      </c>
      <c r="L28">
        <v>467.5</v>
      </c>
      <c r="M28" s="5" t="s">
        <v>496</v>
      </c>
      <c r="N28">
        <v>900</v>
      </c>
      <c r="O28">
        <v>810</v>
      </c>
      <c r="P28">
        <v>690</v>
      </c>
      <c r="Q28" t="s">
        <v>92</v>
      </c>
      <c r="R28">
        <v>19</v>
      </c>
      <c r="S28" s="5">
        <v>1</v>
      </c>
      <c r="T28" s="3" t="s">
        <v>498</v>
      </c>
      <c r="U28" t="s">
        <v>500</v>
      </c>
      <c r="V28">
        <v>10</v>
      </c>
      <c r="W28" s="5" t="str">
        <f t="shared" si="0"/>
        <v>(1327,null,1,'2026-03-12 00:00:00','002401000040000-240100004','002401000040000-240100004','特定计算机治疗计划系统',null,null,600,550,467.5,null,900,810,690,'疗程',19,1,'normal','set',10),</v>
      </c>
    </row>
    <row r="29" spans="1:23">
      <c r="A29">
        <v>1328</v>
      </c>
      <c r="B29" s="3" t="s">
        <v>496</v>
      </c>
      <c r="C29" s="3">
        <v>1</v>
      </c>
      <c r="D29" s="4" t="s">
        <v>497</v>
      </c>
      <c r="E29" t="s">
        <v>140</v>
      </c>
      <c r="F29" t="s">
        <v>140</v>
      </c>
      <c r="G29" t="s">
        <v>141</v>
      </c>
      <c r="H29" s="5" t="s">
        <v>496</v>
      </c>
      <c r="I29" s="5" t="s">
        <v>496</v>
      </c>
      <c r="J29">
        <v>600</v>
      </c>
      <c r="K29">
        <v>550</v>
      </c>
      <c r="L29">
        <v>467.5</v>
      </c>
      <c r="M29" s="5" t="s">
        <v>496</v>
      </c>
      <c r="N29">
        <v>900</v>
      </c>
      <c r="O29">
        <v>810</v>
      </c>
      <c r="P29">
        <v>690</v>
      </c>
      <c r="Q29" t="s">
        <v>92</v>
      </c>
      <c r="R29">
        <v>19</v>
      </c>
      <c r="S29" s="5">
        <v>1</v>
      </c>
      <c r="T29" s="3" t="s">
        <v>498</v>
      </c>
      <c r="U29" t="s">
        <v>500</v>
      </c>
      <c r="V29">
        <v>10</v>
      </c>
      <c r="W29" s="5" t="str">
        <f t="shared" si="0"/>
        <v>(1328,null,1,'2026-03-12 00:00:00','002401000040100-24010000401','002401000040100-24010000401','加速器适型之TPS计算机治疗计划系统',null,null,600,550,467.5,null,900,810,690,'疗程',19,1,'normal','set',10),</v>
      </c>
    </row>
    <row r="30" hidden="1" spans="1:23">
      <c r="A30">
        <v>1329</v>
      </c>
      <c r="B30" s="3" t="s">
        <v>496</v>
      </c>
      <c r="C30" s="3">
        <v>1</v>
      </c>
      <c r="D30" s="4" t="s">
        <v>497</v>
      </c>
      <c r="E30" t="s">
        <v>143</v>
      </c>
      <c r="F30" t="s">
        <v>143</v>
      </c>
      <c r="G30" t="s">
        <v>144</v>
      </c>
      <c r="H30" s="5" t="s">
        <v>496</v>
      </c>
      <c r="I30" s="5" t="s">
        <v>496</v>
      </c>
      <c r="J30">
        <v>20</v>
      </c>
      <c r="K30">
        <v>17.6</v>
      </c>
      <c r="L30">
        <v>15</v>
      </c>
      <c r="M30" s="5" t="s">
        <v>496</v>
      </c>
      <c r="N30">
        <v>0</v>
      </c>
      <c r="O30">
        <v>0</v>
      </c>
      <c r="P30">
        <v>0</v>
      </c>
      <c r="Q30" t="s">
        <v>92</v>
      </c>
      <c r="R30">
        <v>19</v>
      </c>
      <c r="S30" s="5">
        <v>1</v>
      </c>
      <c r="T30" s="3" t="s">
        <v>498</v>
      </c>
      <c r="U30" t="s">
        <v>499</v>
      </c>
      <c r="V30">
        <v>0</v>
      </c>
      <c r="W30" s="5" t="str">
        <f t="shared" si="0"/>
        <v>(1329,null,1,'2026-03-12 00:00:00','002401000010000-24010000101','002401000010000-24010000101','人工制定治疗计划（简单、修改计划加收）',null,null,20,17.6,15,null,0,0,0,'疗程',19,1,'normal','main',0),</v>
      </c>
    </row>
    <row r="31" hidden="1" spans="1:23">
      <c r="A31">
        <v>1330</v>
      </c>
      <c r="B31" s="3" t="s">
        <v>496</v>
      </c>
      <c r="C31" s="3">
        <v>1</v>
      </c>
      <c r="D31" s="4" t="s">
        <v>497</v>
      </c>
      <c r="E31" t="s">
        <v>146</v>
      </c>
      <c r="F31" t="s">
        <v>146</v>
      </c>
      <c r="G31" t="s">
        <v>147</v>
      </c>
      <c r="H31" s="5" t="s">
        <v>496</v>
      </c>
      <c r="I31" s="5" t="s">
        <v>496</v>
      </c>
      <c r="J31">
        <v>32</v>
      </c>
      <c r="K31">
        <v>28.16</v>
      </c>
      <c r="L31">
        <v>23.9</v>
      </c>
      <c r="M31" s="5" t="s">
        <v>496</v>
      </c>
      <c r="N31">
        <v>0</v>
      </c>
      <c r="O31">
        <v>0</v>
      </c>
      <c r="P31">
        <v>0</v>
      </c>
      <c r="Q31" t="s">
        <v>92</v>
      </c>
      <c r="R31">
        <v>19</v>
      </c>
      <c r="S31" s="5">
        <v>1</v>
      </c>
      <c r="T31" s="3" t="s">
        <v>498</v>
      </c>
      <c r="U31" t="s">
        <v>499</v>
      </c>
      <c r="V31">
        <v>0</v>
      </c>
      <c r="W31" s="5" t="str">
        <f t="shared" si="0"/>
        <v>(1330,null,1,'2026-03-12 00:00:00','002401000020000-24010000201','002401000020000-24010000201','人工制定治疗计划（复杂、修改计划加收）',null,null,32,28.16,23.9,null,0,0,0,'疗程',19,1,'normal','main',0),</v>
      </c>
    </row>
    <row r="32" hidden="1" spans="1:23">
      <c r="A32">
        <v>1331</v>
      </c>
      <c r="B32" s="3" t="s">
        <v>496</v>
      </c>
      <c r="C32" s="3">
        <v>1</v>
      </c>
      <c r="D32" s="4" t="s">
        <v>497</v>
      </c>
      <c r="E32" t="s">
        <v>148</v>
      </c>
      <c r="F32" t="s">
        <v>148</v>
      </c>
      <c r="G32" t="s">
        <v>149</v>
      </c>
      <c r="H32" s="5" t="s">
        <v>496</v>
      </c>
      <c r="I32" s="5" t="s">
        <v>496</v>
      </c>
      <c r="J32">
        <v>96</v>
      </c>
      <c r="K32">
        <v>84.48</v>
      </c>
      <c r="L32">
        <v>71.8</v>
      </c>
      <c r="M32" s="5" t="s">
        <v>496</v>
      </c>
      <c r="N32">
        <v>0</v>
      </c>
      <c r="O32">
        <v>0</v>
      </c>
      <c r="P32">
        <v>0</v>
      </c>
      <c r="Q32" t="s">
        <v>92</v>
      </c>
      <c r="R32">
        <v>19</v>
      </c>
      <c r="S32" s="5">
        <v>1</v>
      </c>
      <c r="T32" s="3" t="s">
        <v>498</v>
      </c>
      <c r="U32" t="s">
        <v>499</v>
      </c>
      <c r="V32">
        <v>0</v>
      </c>
      <c r="W32" s="5" t="str">
        <f t="shared" si="0"/>
        <v>(1331,null,1,'2026-03-12 00:00:00','002401000030000-24010000301','002401000030000-24010000301','计算机治疗计划系统（TPS、修改计划加收）',null,null,96,84.48,71.8,null,0,0,0,'疗程',19,1,'normal','main',0),</v>
      </c>
    </row>
    <row r="33" hidden="1" spans="1:23">
      <c r="A33">
        <v>1332</v>
      </c>
      <c r="B33" s="3" t="s">
        <v>496</v>
      </c>
      <c r="C33" s="3">
        <v>1</v>
      </c>
      <c r="D33" s="4" t="s">
        <v>497</v>
      </c>
      <c r="E33" t="s">
        <v>150</v>
      </c>
      <c r="F33" t="s">
        <v>150</v>
      </c>
      <c r="G33" t="s">
        <v>151</v>
      </c>
      <c r="H33" s="5" t="s">
        <v>496</v>
      </c>
      <c r="I33" s="5" t="s">
        <v>496</v>
      </c>
      <c r="J33">
        <v>240</v>
      </c>
      <c r="K33">
        <v>220</v>
      </c>
      <c r="L33">
        <v>187</v>
      </c>
      <c r="M33" s="5" t="s">
        <v>496</v>
      </c>
      <c r="N33">
        <v>0</v>
      </c>
      <c r="O33">
        <v>0</v>
      </c>
      <c r="P33">
        <v>0</v>
      </c>
      <c r="Q33" t="s">
        <v>92</v>
      </c>
      <c r="R33">
        <v>19</v>
      </c>
      <c r="S33" s="5">
        <v>1</v>
      </c>
      <c r="T33" s="3" t="s">
        <v>498</v>
      </c>
      <c r="U33" t="s">
        <v>499</v>
      </c>
      <c r="V33">
        <v>0</v>
      </c>
      <c r="W33" s="5" t="str">
        <f t="shared" si="0"/>
        <v>(1332,null,1,'2026-03-12 00:00:00','002401000040400-24010000404','002401000040400-24010000404','特定计算机治疗计划系统（疗程中修改计划加收）',null,null,240,220,187,null,0,0,0,'疗程',19,1,'normal','main',0),</v>
      </c>
    </row>
    <row r="34" hidden="1" spans="1:23">
      <c r="A34">
        <v>1333</v>
      </c>
      <c r="B34" s="3" t="s">
        <v>496</v>
      </c>
      <c r="C34" s="3">
        <v>1</v>
      </c>
      <c r="D34" s="4" t="s">
        <v>497</v>
      </c>
      <c r="E34" t="s">
        <v>155</v>
      </c>
      <c r="F34" t="s">
        <v>155</v>
      </c>
      <c r="G34" t="s">
        <v>156</v>
      </c>
      <c r="H34" s="5" t="s">
        <v>496</v>
      </c>
      <c r="I34" s="5" t="s">
        <v>496</v>
      </c>
      <c r="J34">
        <v>600</v>
      </c>
      <c r="K34">
        <v>550</v>
      </c>
      <c r="L34">
        <v>467.5</v>
      </c>
      <c r="M34" s="5" t="s">
        <v>496</v>
      </c>
      <c r="N34">
        <v>1500</v>
      </c>
      <c r="O34">
        <v>1350</v>
      </c>
      <c r="P34">
        <v>1150</v>
      </c>
      <c r="Q34" t="s">
        <v>92</v>
      </c>
      <c r="R34">
        <v>19</v>
      </c>
      <c r="S34" s="5">
        <v>1</v>
      </c>
      <c r="T34" s="3" t="s">
        <v>498</v>
      </c>
      <c r="U34" t="s">
        <v>499</v>
      </c>
      <c r="V34">
        <v>0</v>
      </c>
      <c r="W34" s="5" t="str">
        <f t="shared" si="0"/>
        <v>(1333,null,1,'2026-03-12 00:00:00','002401000040400-24010000405','002401000040400-24010000405','逆向调强TPS及优化计算机治疗计划系统',null,null,600,550,467.5,null,1500,1350,1150,'疗程',19,1,'normal','main',0),</v>
      </c>
    </row>
    <row r="35" hidden="1" spans="1:23">
      <c r="A35">
        <v>1334</v>
      </c>
      <c r="B35" s="3" t="s">
        <v>496</v>
      </c>
      <c r="C35" s="3">
        <v>1</v>
      </c>
      <c r="D35" s="4" t="s">
        <v>497</v>
      </c>
      <c r="E35" t="s">
        <v>158</v>
      </c>
      <c r="F35" t="s">
        <v>158</v>
      </c>
      <c r="G35" t="s">
        <v>159</v>
      </c>
      <c r="H35" s="5" t="s">
        <v>496</v>
      </c>
      <c r="I35" s="5" t="s">
        <v>496</v>
      </c>
      <c r="J35">
        <v>2000</v>
      </c>
      <c r="K35">
        <v>2000</v>
      </c>
      <c r="L35">
        <v>1700</v>
      </c>
      <c r="M35" s="5" t="s">
        <v>496</v>
      </c>
      <c r="N35">
        <v>1500</v>
      </c>
      <c r="O35">
        <v>1350</v>
      </c>
      <c r="P35">
        <v>1150</v>
      </c>
      <c r="Q35" t="s">
        <v>38</v>
      </c>
      <c r="R35">
        <v>19</v>
      </c>
      <c r="S35" s="5">
        <v>1</v>
      </c>
      <c r="T35" s="3" t="s">
        <v>498</v>
      </c>
      <c r="U35" t="s">
        <v>499</v>
      </c>
      <c r="V35">
        <v>0</v>
      </c>
      <c r="W35" s="5" t="str">
        <f t="shared" ref="W35:W66" si="1">"("&amp;A35&amp;","&amp;B35&amp;","&amp;C35&amp;",'"&amp;D35&amp;"','"&amp;E35&amp;"','"&amp;F35&amp;"','"&amp;G35&amp;"',"&amp;H35&amp;","&amp;I35&amp;","&amp;J35&amp;","&amp;K35&amp;","&amp;L35&amp;","&amp;M35&amp;","&amp;N35&amp;","&amp;O35&amp;","&amp;P35&amp;",'"&amp;Q35&amp;"',"&amp;R35&amp;","&amp;S35&amp;",'"&amp;T35&amp;"','"&amp;U35&amp;"',"&amp;V35&amp;"),"</f>
        <v>(1334,null,1,'2026-03-12 00:00:00','352401000040000-240100006','352401000040000-240100006','调强放疗计划设计',null,null,2000,2000,1700,null,1500,1350,1150,'次',19,1,'normal','main',0),</v>
      </c>
    </row>
    <row r="36" hidden="1" spans="1:23">
      <c r="A36">
        <v>1335</v>
      </c>
      <c r="B36" s="3" t="s">
        <v>496</v>
      </c>
      <c r="C36" s="3">
        <v>1</v>
      </c>
      <c r="D36" s="4" t="s">
        <v>497</v>
      </c>
      <c r="E36" t="s">
        <v>164</v>
      </c>
      <c r="F36" t="s">
        <v>164</v>
      </c>
      <c r="G36" t="s">
        <v>165</v>
      </c>
      <c r="H36" s="5" t="s">
        <v>496</v>
      </c>
      <c r="I36" s="5" t="s">
        <v>496</v>
      </c>
      <c r="J36">
        <v>600</v>
      </c>
      <c r="K36">
        <v>550</v>
      </c>
      <c r="L36">
        <v>467.5</v>
      </c>
      <c r="M36" s="5" t="s">
        <v>496</v>
      </c>
      <c r="N36">
        <v>1650</v>
      </c>
      <c r="O36">
        <v>1490</v>
      </c>
      <c r="P36">
        <v>1270</v>
      </c>
      <c r="Q36" t="s">
        <v>92</v>
      </c>
      <c r="R36">
        <v>19</v>
      </c>
      <c r="S36" s="5">
        <v>1</v>
      </c>
      <c r="T36" s="3" t="s">
        <v>498</v>
      </c>
      <c r="U36" t="s">
        <v>499</v>
      </c>
      <c r="V36">
        <v>0</v>
      </c>
      <c r="W36" s="5" t="str">
        <f t="shared" si="1"/>
        <v>(1335,null,1,'2026-03-12 00:00:00','002401000040200-24010000402','002401000040200-24010000402','伽玛刀之TPS计算机治疗计划系统',null,null,600,550,467.5,null,1650,1490,1270,'疗程',19,1,'normal','main',0),</v>
      </c>
    </row>
    <row r="37" hidden="1" spans="1:23">
      <c r="A37">
        <v>1336</v>
      </c>
      <c r="B37" s="3" t="s">
        <v>496</v>
      </c>
      <c r="C37" s="3">
        <v>1</v>
      </c>
      <c r="D37" s="4" t="s">
        <v>497</v>
      </c>
      <c r="E37" t="s">
        <v>167</v>
      </c>
      <c r="F37" t="s">
        <v>167</v>
      </c>
      <c r="G37" t="s">
        <v>168</v>
      </c>
      <c r="H37" s="5" t="s">
        <v>496</v>
      </c>
      <c r="I37" s="5" t="s">
        <v>496</v>
      </c>
      <c r="J37">
        <v>600</v>
      </c>
      <c r="K37">
        <v>550</v>
      </c>
      <c r="L37">
        <v>467.5</v>
      </c>
      <c r="M37" s="5" t="s">
        <v>496</v>
      </c>
      <c r="N37">
        <v>1650</v>
      </c>
      <c r="O37">
        <v>1490</v>
      </c>
      <c r="P37">
        <v>1270</v>
      </c>
      <c r="Q37" t="s">
        <v>92</v>
      </c>
      <c r="R37">
        <v>19</v>
      </c>
      <c r="S37" s="5">
        <v>1</v>
      </c>
      <c r="T37" s="3" t="s">
        <v>498</v>
      </c>
      <c r="U37" t="s">
        <v>499</v>
      </c>
      <c r="V37">
        <v>0</v>
      </c>
      <c r="W37" s="5" t="str">
        <f t="shared" si="1"/>
        <v>(1336,null,1,'2026-03-12 00:00:00','002401000040300-24010000403','002401000040300-24010000403','X刀之TPS计算机治疗计划系统',null,null,600,550,467.5,null,1650,1490,1270,'疗程',19,1,'normal','main',0),</v>
      </c>
    </row>
    <row r="38" hidden="1" spans="1:23">
      <c r="A38">
        <v>1337</v>
      </c>
      <c r="B38" s="3" t="s">
        <v>496</v>
      </c>
      <c r="C38" s="3">
        <v>1</v>
      </c>
      <c r="D38" s="4" t="s">
        <v>497</v>
      </c>
      <c r="E38" t="s">
        <v>176</v>
      </c>
      <c r="F38" t="s">
        <v>176</v>
      </c>
      <c r="G38" t="s">
        <v>177</v>
      </c>
      <c r="H38" s="5" t="s">
        <v>496</v>
      </c>
      <c r="I38" s="5" t="s">
        <v>496</v>
      </c>
      <c r="J38">
        <v>1600</v>
      </c>
      <c r="K38">
        <v>1600</v>
      </c>
      <c r="L38">
        <v>1360</v>
      </c>
      <c r="M38" s="5" t="s">
        <v>496</v>
      </c>
      <c r="N38">
        <v>1150</v>
      </c>
      <c r="O38">
        <v>1035</v>
      </c>
      <c r="P38">
        <v>880</v>
      </c>
      <c r="Q38" t="s">
        <v>38</v>
      </c>
      <c r="R38">
        <v>19</v>
      </c>
      <c r="S38" s="5">
        <v>1</v>
      </c>
      <c r="T38" s="3" t="s">
        <v>498</v>
      </c>
      <c r="U38" t="s">
        <v>499</v>
      </c>
      <c r="V38">
        <v>0</v>
      </c>
      <c r="W38" s="5" t="str">
        <f t="shared" si="1"/>
        <v>(1337,null,1,'2026-03-12 00:00:00','002401000070000-240600002','002401000070000-240600002','二维剂量验证',null,null,1600,1600,1360,null,1150,1035,880,'次',19,1,'normal','main',0),</v>
      </c>
    </row>
    <row r="39" hidden="1" spans="1:23">
      <c r="A39">
        <v>1338</v>
      </c>
      <c r="B39" s="3" t="s">
        <v>496</v>
      </c>
      <c r="C39" s="3">
        <v>1</v>
      </c>
      <c r="D39" s="4" t="s">
        <v>497</v>
      </c>
      <c r="E39" t="s">
        <v>179</v>
      </c>
      <c r="F39" t="s">
        <v>179</v>
      </c>
      <c r="G39" t="s">
        <v>180</v>
      </c>
      <c r="H39" s="5" t="s">
        <v>496</v>
      </c>
      <c r="I39" s="5" t="s">
        <v>496</v>
      </c>
      <c r="J39">
        <v>320</v>
      </c>
      <c r="K39">
        <v>300</v>
      </c>
      <c r="L39">
        <v>280</v>
      </c>
      <c r="M39" s="5" t="s">
        <v>496</v>
      </c>
      <c r="N39">
        <v>1150</v>
      </c>
      <c r="O39">
        <v>1035</v>
      </c>
      <c r="P39">
        <v>880</v>
      </c>
      <c r="Q39" t="s">
        <v>38</v>
      </c>
      <c r="R39">
        <v>19</v>
      </c>
      <c r="S39" s="5">
        <v>1</v>
      </c>
      <c r="T39" s="3" t="s">
        <v>498</v>
      </c>
      <c r="U39" t="s">
        <v>499</v>
      </c>
      <c r="V39">
        <v>0</v>
      </c>
      <c r="W39" s="5" t="str">
        <f t="shared" si="1"/>
        <v>(1338,null,1,'2026-03-12 00:00:00','002402000030000-240200004','002402000030000-240200004','CT模拟机校位',null,null,320,300,280,null,1150,1035,880,'次',19,1,'normal','main',0),</v>
      </c>
    </row>
    <row r="40" spans="1:23">
      <c r="A40">
        <v>1339</v>
      </c>
      <c r="B40" s="3" t="s">
        <v>496</v>
      </c>
      <c r="C40" s="3">
        <v>1</v>
      </c>
      <c r="D40" s="4" t="s">
        <v>497</v>
      </c>
      <c r="E40" t="s">
        <v>188</v>
      </c>
      <c r="F40" t="s">
        <v>188</v>
      </c>
      <c r="G40" t="s">
        <v>189</v>
      </c>
      <c r="H40" s="5" t="s">
        <v>496</v>
      </c>
      <c r="I40" s="5" t="s">
        <v>496</v>
      </c>
      <c r="J40">
        <v>50</v>
      </c>
      <c r="K40">
        <v>44</v>
      </c>
      <c r="L40">
        <v>37.4</v>
      </c>
      <c r="M40" s="5" t="s">
        <v>496</v>
      </c>
      <c r="N40">
        <v>410</v>
      </c>
      <c r="O40">
        <v>370</v>
      </c>
      <c r="P40">
        <v>315</v>
      </c>
      <c r="Q40" t="s">
        <v>38</v>
      </c>
      <c r="R40">
        <v>19</v>
      </c>
      <c r="S40" s="5">
        <v>1</v>
      </c>
      <c r="T40" s="3" t="s">
        <v>498</v>
      </c>
      <c r="U40" t="s">
        <v>500</v>
      </c>
      <c r="V40">
        <v>10</v>
      </c>
      <c r="W40" s="5" t="str">
        <f t="shared" si="1"/>
        <v>(1339,null,1,'2026-03-12 00:00:00','002401000050000-240100005','002401000050000-240100005','放射治疗的适时监控',null,null,50,44,37.4,null,410,370,315,'次',19,1,'normal','set',10),</v>
      </c>
    </row>
    <row r="41" hidden="1" spans="1:23">
      <c r="A41">
        <v>1340</v>
      </c>
      <c r="B41" s="3" t="s">
        <v>496</v>
      </c>
      <c r="C41" s="3">
        <v>1</v>
      </c>
      <c r="D41" s="4" t="s">
        <v>497</v>
      </c>
      <c r="E41" t="s">
        <v>192</v>
      </c>
      <c r="F41" t="s">
        <v>192</v>
      </c>
      <c r="G41" t="s">
        <v>193</v>
      </c>
      <c r="H41" s="5" t="s">
        <v>496</v>
      </c>
      <c r="I41" s="5" t="s">
        <v>496</v>
      </c>
      <c r="J41">
        <v>20</v>
      </c>
      <c r="K41">
        <v>17.6</v>
      </c>
      <c r="L41">
        <v>15</v>
      </c>
      <c r="M41" s="5" t="s">
        <v>496</v>
      </c>
      <c r="N41">
        <v>0</v>
      </c>
      <c r="O41">
        <v>0</v>
      </c>
      <c r="P41">
        <v>0</v>
      </c>
      <c r="Q41" t="s">
        <v>92</v>
      </c>
      <c r="R41">
        <v>19</v>
      </c>
      <c r="S41" s="5">
        <v>1</v>
      </c>
      <c r="T41" s="3" t="s">
        <v>498</v>
      </c>
      <c r="U41" t="s">
        <v>499</v>
      </c>
      <c r="V41">
        <v>0</v>
      </c>
      <c r="W41" s="5" t="str">
        <f t="shared" si="1"/>
        <v>(1340,null,1,'2026-03-12 00:00:00','002401000050000-24010000501','002401000050000-24010000501','放射治疗的适时监控（疗程中修改计划加收）',null,null,20,17.6,15,null,0,0,0,'疗程',19,1,'normal','main',0),</v>
      </c>
    </row>
    <row r="42" spans="1:23">
      <c r="A42">
        <v>1341</v>
      </c>
      <c r="B42" s="3" t="s">
        <v>496</v>
      </c>
      <c r="C42" s="3">
        <v>1</v>
      </c>
      <c r="D42" s="4" t="s">
        <v>497</v>
      </c>
      <c r="E42" t="s">
        <v>194</v>
      </c>
      <c r="F42" t="s">
        <v>194</v>
      </c>
      <c r="G42" t="s">
        <v>195</v>
      </c>
      <c r="H42" s="5" t="s">
        <v>496</v>
      </c>
      <c r="I42" s="5" t="s">
        <v>496</v>
      </c>
      <c r="J42">
        <v>50</v>
      </c>
      <c r="K42">
        <v>45</v>
      </c>
      <c r="L42">
        <v>0</v>
      </c>
      <c r="M42" s="5" t="s">
        <v>496</v>
      </c>
      <c r="N42">
        <v>410</v>
      </c>
      <c r="O42">
        <v>370</v>
      </c>
      <c r="P42">
        <v>315</v>
      </c>
      <c r="Q42" t="s">
        <v>196</v>
      </c>
      <c r="R42">
        <v>19</v>
      </c>
      <c r="S42" s="5">
        <v>1</v>
      </c>
      <c r="T42" s="3" t="s">
        <v>498</v>
      </c>
      <c r="U42" t="s">
        <v>501</v>
      </c>
      <c r="V42">
        <v>10</v>
      </c>
      <c r="W42" s="5" t="str">
        <f t="shared" si="1"/>
        <v>(1341,null,1,'2026-03-12 00:00:00','002403000040000-240300004','002403000040000-240300004','直线加速器放疗（固定照射）',null,null,50,45,0,null,410,370,315,'Gy',19,1,'normal','limit',10),</v>
      </c>
    </row>
    <row r="43" spans="1:23">
      <c r="A43">
        <v>1342</v>
      </c>
      <c r="B43" s="3" t="s">
        <v>496</v>
      </c>
      <c r="C43" s="3">
        <v>1</v>
      </c>
      <c r="D43" s="4" t="s">
        <v>497</v>
      </c>
      <c r="E43" t="s">
        <v>197</v>
      </c>
      <c r="F43" t="s">
        <v>197</v>
      </c>
      <c r="G43" t="s">
        <v>198</v>
      </c>
      <c r="H43" s="5" t="s">
        <v>496</v>
      </c>
      <c r="I43" s="5" t="s">
        <v>496</v>
      </c>
      <c r="J43">
        <v>100</v>
      </c>
      <c r="K43">
        <v>90</v>
      </c>
      <c r="L43">
        <v>0</v>
      </c>
      <c r="M43" s="5" t="s">
        <v>496</v>
      </c>
      <c r="N43">
        <v>410</v>
      </c>
      <c r="O43">
        <v>370</v>
      </c>
      <c r="P43">
        <v>315</v>
      </c>
      <c r="Q43" t="s">
        <v>196</v>
      </c>
      <c r="R43">
        <v>19</v>
      </c>
      <c r="S43" s="5">
        <v>1</v>
      </c>
      <c r="T43" s="3" t="s">
        <v>498</v>
      </c>
      <c r="U43" t="s">
        <v>501</v>
      </c>
      <c r="V43">
        <v>10</v>
      </c>
      <c r="W43" s="5" t="str">
        <f t="shared" si="1"/>
        <v>(1342,null,1,'2026-03-12 00:00:00','002403000050000-240300005','002403000050000-240300005','直线加速器放疗（特殊照射）',null,null,100,90,0,null,410,370,315,'Gy',19,1,'normal','limit',10),</v>
      </c>
    </row>
    <row r="44" spans="1:23">
      <c r="A44">
        <v>1343</v>
      </c>
      <c r="B44" s="3" t="s">
        <v>496</v>
      </c>
      <c r="C44" s="3">
        <v>1</v>
      </c>
      <c r="D44" s="4" t="s">
        <v>497</v>
      </c>
      <c r="E44" t="s">
        <v>200</v>
      </c>
      <c r="F44" t="s">
        <v>200</v>
      </c>
      <c r="G44" t="s">
        <v>201</v>
      </c>
      <c r="H44" s="5" t="s">
        <v>496</v>
      </c>
      <c r="I44" s="5" t="s">
        <v>496</v>
      </c>
      <c r="J44">
        <v>100</v>
      </c>
      <c r="K44">
        <v>90</v>
      </c>
      <c r="L44">
        <v>0</v>
      </c>
      <c r="M44" s="5" t="s">
        <v>496</v>
      </c>
      <c r="N44">
        <v>410</v>
      </c>
      <c r="O44">
        <v>370</v>
      </c>
      <c r="P44">
        <v>315</v>
      </c>
      <c r="Q44" t="s">
        <v>196</v>
      </c>
      <c r="R44">
        <v>19</v>
      </c>
      <c r="S44" s="5">
        <v>1</v>
      </c>
      <c r="T44" s="3" t="s">
        <v>498</v>
      </c>
      <c r="U44" t="s">
        <v>501</v>
      </c>
      <c r="V44">
        <v>10</v>
      </c>
      <c r="W44" s="5" t="str">
        <f t="shared" si="1"/>
        <v>(1343,null,1,'2026-03-12 00:00:00','002403000050100-24030000501','002403000050100-24030000501','直线加速器放疗（特殊照射、旋转）',null,null,100,90,0,null,410,370,315,'Gy',19,1,'normal','limit',10),</v>
      </c>
    </row>
    <row r="45" spans="1:23">
      <c r="A45">
        <v>1344</v>
      </c>
      <c r="B45" s="3" t="s">
        <v>496</v>
      </c>
      <c r="C45" s="3">
        <v>1</v>
      </c>
      <c r="D45" s="4" t="s">
        <v>497</v>
      </c>
      <c r="E45" t="s">
        <v>203</v>
      </c>
      <c r="F45" t="s">
        <v>203</v>
      </c>
      <c r="G45" t="s">
        <v>204</v>
      </c>
      <c r="H45" s="5" t="s">
        <v>496</v>
      </c>
      <c r="I45" s="5" t="s">
        <v>496</v>
      </c>
      <c r="J45">
        <v>100</v>
      </c>
      <c r="K45">
        <v>90</v>
      </c>
      <c r="L45">
        <v>0</v>
      </c>
      <c r="M45" s="5" t="s">
        <v>496</v>
      </c>
      <c r="N45">
        <v>410</v>
      </c>
      <c r="O45">
        <v>370</v>
      </c>
      <c r="P45">
        <v>315</v>
      </c>
      <c r="Q45" t="s">
        <v>196</v>
      </c>
      <c r="R45">
        <v>19</v>
      </c>
      <c r="S45" s="5">
        <v>1</v>
      </c>
      <c r="T45" s="3" t="s">
        <v>498</v>
      </c>
      <c r="U45" t="s">
        <v>501</v>
      </c>
      <c r="V45">
        <v>10</v>
      </c>
      <c r="W45" s="5" t="str">
        <f t="shared" si="1"/>
        <v>(1344,null,1,'2026-03-12 00:00:00','002403000050300-24030000502','002403000050300-24030000502','直线加速器放疗（特殊照射、弧形）',null,null,100,90,0,null,410,370,315,'Gy',19,1,'normal','limit',10),</v>
      </c>
    </row>
    <row r="46" spans="1:23">
      <c r="A46">
        <v>1345</v>
      </c>
      <c r="B46" s="3" t="s">
        <v>496</v>
      </c>
      <c r="C46" s="3">
        <v>1</v>
      </c>
      <c r="D46" s="4" t="s">
        <v>497</v>
      </c>
      <c r="E46" t="s">
        <v>206</v>
      </c>
      <c r="F46" t="s">
        <v>206</v>
      </c>
      <c r="G46" t="s">
        <v>207</v>
      </c>
      <c r="H46" s="5" t="s">
        <v>496</v>
      </c>
      <c r="I46" s="5" t="s">
        <v>496</v>
      </c>
      <c r="J46">
        <v>100</v>
      </c>
      <c r="K46">
        <v>90</v>
      </c>
      <c r="L46">
        <v>0</v>
      </c>
      <c r="M46" s="5" t="s">
        <v>496</v>
      </c>
      <c r="N46">
        <v>410</v>
      </c>
      <c r="O46">
        <v>370</v>
      </c>
      <c r="P46">
        <v>315</v>
      </c>
      <c r="Q46" t="s">
        <v>196</v>
      </c>
      <c r="R46">
        <v>19</v>
      </c>
      <c r="S46" s="5">
        <v>1</v>
      </c>
      <c r="T46" s="3" t="s">
        <v>498</v>
      </c>
      <c r="U46" t="s">
        <v>501</v>
      </c>
      <c r="V46">
        <v>10</v>
      </c>
      <c r="W46" s="5" t="str">
        <f t="shared" si="1"/>
        <v>(1345,null,1,'2026-03-12 00:00:00','002403000050400-24030000503','002403000050400-24030000503','直线加速器放疗（特殊照射、楔形滤板）',null,null,100,90,0,null,410,370,315,'Gy',19,1,'normal','limit',10),</v>
      </c>
    </row>
    <row r="47" spans="1:23">
      <c r="A47">
        <v>1346</v>
      </c>
      <c r="B47" s="3" t="s">
        <v>496</v>
      </c>
      <c r="C47" s="3">
        <v>1</v>
      </c>
      <c r="D47" s="4" t="s">
        <v>497</v>
      </c>
      <c r="E47" t="s">
        <v>209</v>
      </c>
      <c r="F47" t="s">
        <v>209</v>
      </c>
      <c r="G47" t="s">
        <v>210</v>
      </c>
      <c r="H47" s="5" t="s">
        <v>496</v>
      </c>
      <c r="I47" s="5" t="s">
        <v>496</v>
      </c>
      <c r="J47">
        <v>100</v>
      </c>
      <c r="K47">
        <v>90</v>
      </c>
      <c r="L47">
        <v>0</v>
      </c>
      <c r="M47" s="5" t="s">
        <v>496</v>
      </c>
      <c r="N47">
        <v>410</v>
      </c>
      <c r="O47">
        <v>370</v>
      </c>
      <c r="P47">
        <v>315</v>
      </c>
      <c r="Q47" t="s">
        <v>196</v>
      </c>
      <c r="R47">
        <v>19</v>
      </c>
      <c r="S47" s="5">
        <v>1</v>
      </c>
      <c r="T47" s="3" t="s">
        <v>498</v>
      </c>
      <c r="U47" t="s">
        <v>501</v>
      </c>
      <c r="V47">
        <v>10</v>
      </c>
      <c r="W47" s="5" t="str">
        <f t="shared" si="1"/>
        <v>(1346,null,1,'2026-03-12 00:00:00','002403000050200-24030000504','002403000050200-24030000504','直线加速器放疗（特殊照射、门控）',null,null,100,90,0,null,410,370,315,'Gy',19,1,'normal','limit',10),</v>
      </c>
    </row>
    <row r="48" hidden="1" spans="1:23">
      <c r="A48">
        <v>1347</v>
      </c>
      <c r="B48" s="3" t="s">
        <v>496</v>
      </c>
      <c r="C48" s="3">
        <v>1</v>
      </c>
      <c r="D48" s="4" t="s">
        <v>497</v>
      </c>
      <c r="E48" t="s">
        <v>212</v>
      </c>
      <c r="F48" t="s">
        <v>212</v>
      </c>
      <c r="G48" t="s">
        <v>213</v>
      </c>
      <c r="H48" s="5" t="s">
        <v>496</v>
      </c>
      <c r="I48" s="5" t="s">
        <v>496</v>
      </c>
      <c r="J48">
        <v>0</v>
      </c>
      <c r="K48">
        <v>0</v>
      </c>
      <c r="L48">
        <v>0</v>
      </c>
      <c r="M48" s="5" t="s">
        <v>496</v>
      </c>
      <c r="N48">
        <v>410</v>
      </c>
      <c r="O48">
        <v>370</v>
      </c>
      <c r="P48">
        <v>315</v>
      </c>
      <c r="Q48" t="s">
        <v>38</v>
      </c>
      <c r="R48">
        <v>19</v>
      </c>
      <c r="S48" s="5">
        <v>1</v>
      </c>
      <c r="T48" s="3" t="s">
        <v>498</v>
      </c>
      <c r="U48" t="s">
        <v>499</v>
      </c>
      <c r="V48">
        <v>0</v>
      </c>
      <c r="W48" s="5" t="str">
        <f t="shared" si="1"/>
        <v>(1347,null,1,'2026-03-12 00:00:00','002406000010000-240600001','002406000010000-240600001','低氧放疗耐力测定',null,null,0,0,0,null,410,370,315,'次',19,1,'normal','main',0),</v>
      </c>
    </row>
    <row r="49" spans="1:23">
      <c r="A49">
        <v>1348</v>
      </c>
      <c r="B49" s="3" t="s">
        <v>496</v>
      </c>
      <c r="C49" s="3">
        <v>1</v>
      </c>
      <c r="D49" s="4" t="s">
        <v>497</v>
      </c>
      <c r="E49" t="s">
        <v>214</v>
      </c>
      <c r="F49" t="s">
        <v>214</v>
      </c>
      <c r="G49" t="s">
        <v>215</v>
      </c>
      <c r="H49" s="5" t="s">
        <v>496</v>
      </c>
      <c r="I49" s="5" t="s">
        <v>496</v>
      </c>
      <c r="J49">
        <v>1200</v>
      </c>
      <c r="K49">
        <v>1056</v>
      </c>
      <c r="L49">
        <v>897.6</v>
      </c>
      <c r="M49" s="5" t="s">
        <v>496</v>
      </c>
      <c r="N49">
        <v>410</v>
      </c>
      <c r="O49">
        <v>370</v>
      </c>
      <c r="P49">
        <v>315</v>
      </c>
      <c r="Q49" t="s">
        <v>101</v>
      </c>
      <c r="R49">
        <v>19</v>
      </c>
      <c r="S49" s="5">
        <v>1</v>
      </c>
      <c r="T49" s="3" t="s">
        <v>498</v>
      </c>
      <c r="U49" t="s">
        <v>500</v>
      </c>
      <c r="V49">
        <v>10</v>
      </c>
      <c r="W49" s="5" t="str">
        <f t="shared" si="1"/>
        <v>(1348,null,1,'2026-03-12 00:00:00','002403000130000-240300013','002403000130000-240300013','全身电子线照射',null,null,1200,1056,897.6,null,410,370,315,'每照射野',19,1,'normal','set',10),</v>
      </c>
    </row>
    <row r="50" spans="1:23">
      <c r="A50">
        <v>1349</v>
      </c>
      <c r="B50" s="3" t="s">
        <v>496</v>
      </c>
      <c r="C50" s="3">
        <v>1</v>
      </c>
      <c r="D50" s="4" t="s">
        <v>497</v>
      </c>
      <c r="E50" t="s">
        <v>220</v>
      </c>
      <c r="F50" t="s">
        <v>220</v>
      </c>
      <c r="G50" t="s">
        <v>221</v>
      </c>
      <c r="H50" s="5" t="s">
        <v>496</v>
      </c>
      <c r="I50" s="5" t="s">
        <v>496</v>
      </c>
      <c r="J50">
        <v>130</v>
      </c>
      <c r="K50">
        <v>114.4</v>
      </c>
      <c r="L50">
        <v>97.2</v>
      </c>
      <c r="M50" s="5" t="s">
        <v>496</v>
      </c>
      <c r="N50">
        <v>115</v>
      </c>
      <c r="O50">
        <v>100</v>
      </c>
      <c r="P50">
        <v>85</v>
      </c>
      <c r="Q50" t="s">
        <v>101</v>
      </c>
      <c r="R50">
        <v>19</v>
      </c>
      <c r="S50" s="5">
        <v>1</v>
      </c>
      <c r="T50" s="3" t="s">
        <v>498</v>
      </c>
      <c r="U50" t="s">
        <v>500</v>
      </c>
      <c r="V50">
        <v>10</v>
      </c>
      <c r="W50" s="5" t="str">
        <f t="shared" si="1"/>
        <v>(1349,null,1,'2026-03-12 00:00:00','002403000090000-240300009','002403000090000-240300009','不规则野大面积照射',null,null,130,114.4,97.2,null,115,100,85,'每照射野',19,1,'normal','set',10),</v>
      </c>
    </row>
    <row r="51" spans="1:23">
      <c r="A51">
        <v>1350</v>
      </c>
      <c r="B51" s="3" t="s">
        <v>496</v>
      </c>
      <c r="C51" s="3">
        <v>1</v>
      </c>
      <c r="D51" s="4" t="s">
        <v>497</v>
      </c>
      <c r="E51" t="s">
        <v>222</v>
      </c>
      <c r="F51" t="s">
        <v>222</v>
      </c>
      <c r="G51" t="s">
        <v>223</v>
      </c>
      <c r="H51" s="5" t="s">
        <v>496</v>
      </c>
      <c r="I51" s="5" t="s">
        <v>496</v>
      </c>
      <c r="J51">
        <v>1000</v>
      </c>
      <c r="K51">
        <v>880</v>
      </c>
      <c r="L51">
        <v>748</v>
      </c>
      <c r="M51" s="5" t="s">
        <v>496</v>
      </c>
      <c r="N51">
        <v>115</v>
      </c>
      <c r="O51">
        <v>100</v>
      </c>
      <c r="P51">
        <v>85</v>
      </c>
      <c r="Q51" t="s">
        <v>101</v>
      </c>
      <c r="R51">
        <v>19</v>
      </c>
      <c r="S51" s="5">
        <v>1</v>
      </c>
      <c r="T51" s="3" t="s">
        <v>498</v>
      </c>
      <c r="U51" t="s">
        <v>500</v>
      </c>
      <c r="V51">
        <v>10</v>
      </c>
      <c r="W51" s="5" t="str">
        <f t="shared" si="1"/>
        <v>(1350,null,1,'2026-03-12 00:00:00','002403000100000-240300010','002403000100000-240300010','半身照射',null,null,1000,880,748,null,115,100,85,'每照射野',19,1,'normal','set',10),</v>
      </c>
    </row>
    <row r="52" spans="1:23">
      <c r="A52">
        <v>1351</v>
      </c>
      <c r="B52" s="3" t="s">
        <v>496</v>
      </c>
      <c r="C52" s="3">
        <v>1</v>
      </c>
      <c r="D52" s="4" t="s">
        <v>497</v>
      </c>
      <c r="E52" t="s">
        <v>233</v>
      </c>
      <c r="F52" t="s">
        <v>233</v>
      </c>
      <c r="G52" t="s">
        <v>234</v>
      </c>
      <c r="H52" s="5" t="s">
        <v>496</v>
      </c>
      <c r="I52" s="5" t="s">
        <v>496</v>
      </c>
      <c r="J52">
        <v>15</v>
      </c>
      <c r="K52">
        <v>13.2</v>
      </c>
      <c r="L52">
        <v>11.2</v>
      </c>
      <c r="M52" s="5" t="s">
        <v>496</v>
      </c>
      <c r="N52">
        <v>1050</v>
      </c>
      <c r="O52">
        <v>945</v>
      </c>
      <c r="P52">
        <v>805</v>
      </c>
      <c r="Q52" t="s">
        <v>101</v>
      </c>
      <c r="R52">
        <v>19</v>
      </c>
      <c r="S52" s="5">
        <v>1</v>
      </c>
      <c r="T52" s="3" t="s">
        <v>498</v>
      </c>
      <c r="U52" t="s">
        <v>500</v>
      </c>
      <c r="V52">
        <v>10</v>
      </c>
      <c r="W52" s="5" t="str">
        <f t="shared" si="1"/>
        <v>(1351,null,1,'2026-03-12 00:00:00','002403000010000-240300001','002403000010000-240300001','深部X线照射',null,null,15,13.2,11.2,null,1050,945,805,'每照射野',19,1,'normal','set',10),</v>
      </c>
    </row>
    <row r="53" spans="1:23">
      <c r="A53">
        <v>1352</v>
      </c>
      <c r="B53" s="3" t="s">
        <v>496</v>
      </c>
      <c r="C53" s="3">
        <v>1</v>
      </c>
      <c r="D53" s="4" t="s">
        <v>497</v>
      </c>
      <c r="E53" t="s">
        <v>235</v>
      </c>
      <c r="F53" t="s">
        <v>235</v>
      </c>
      <c r="G53" t="s">
        <v>236</v>
      </c>
      <c r="H53" s="5" t="s">
        <v>496</v>
      </c>
      <c r="I53" s="5" t="s">
        <v>496</v>
      </c>
      <c r="J53">
        <v>30</v>
      </c>
      <c r="K53">
        <v>26.4</v>
      </c>
      <c r="L53">
        <v>22.4</v>
      </c>
      <c r="M53" s="5" t="s">
        <v>496</v>
      </c>
      <c r="N53">
        <v>1050</v>
      </c>
      <c r="O53">
        <v>945</v>
      </c>
      <c r="P53">
        <v>805</v>
      </c>
      <c r="Q53" t="s">
        <v>101</v>
      </c>
      <c r="R53">
        <v>19</v>
      </c>
      <c r="S53" s="5">
        <v>1</v>
      </c>
      <c r="T53" s="3" t="s">
        <v>498</v>
      </c>
      <c r="U53" t="s">
        <v>500</v>
      </c>
      <c r="V53">
        <v>10</v>
      </c>
      <c r="W53" s="5" t="str">
        <f t="shared" si="1"/>
        <v>(1352,null,1,'2026-03-12 00:00:00','002403000020000-240300002','002403000020000-240300002','60钴外照射（固定照射）',null,null,30,26.4,22.4,null,1050,945,805,'每照射野',19,1,'normal','set',10),</v>
      </c>
    </row>
    <row r="54" spans="1:23">
      <c r="A54">
        <v>1353</v>
      </c>
      <c r="B54" s="3" t="s">
        <v>496</v>
      </c>
      <c r="C54" s="3">
        <v>1</v>
      </c>
      <c r="D54" s="4" t="s">
        <v>497</v>
      </c>
      <c r="E54" t="s">
        <v>237</v>
      </c>
      <c r="F54" t="s">
        <v>237</v>
      </c>
      <c r="G54" t="s">
        <v>238</v>
      </c>
      <c r="H54" s="5" t="s">
        <v>496</v>
      </c>
      <c r="I54" s="5" t="s">
        <v>496</v>
      </c>
      <c r="J54">
        <v>60</v>
      </c>
      <c r="K54">
        <v>52.8</v>
      </c>
      <c r="L54">
        <v>44.9</v>
      </c>
      <c r="M54" s="5" t="s">
        <v>496</v>
      </c>
      <c r="N54">
        <v>1050</v>
      </c>
      <c r="O54">
        <v>945</v>
      </c>
      <c r="P54">
        <v>805</v>
      </c>
      <c r="Q54" t="s">
        <v>101</v>
      </c>
      <c r="R54">
        <v>19</v>
      </c>
      <c r="S54" s="5">
        <v>1</v>
      </c>
      <c r="T54" s="3" t="s">
        <v>498</v>
      </c>
      <c r="U54" t="s">
        <v>500</v>
      </c>
      <c r="V54">
        <v>10</v>
      </c>
      <c r="W54" s="5" t="str">
        <f t="shared" si="1"/>
        <v>(1353,null,1,'2026-03-12 00:00:00','002403000030000-240300003','002403000030000-240300003','60钴外照射（特殊照射）',null,null,60,52.8,44.9,null,1050,945,805,'每照射野',19,1,'normal','set',10),</v>
      </c>
    </row>
    <row r="55" spans="1:23">
      <c r="A55">
        <v>1354</v>
      </c>
      <c r="B55" s="3" t="s">
        <v>496</v>
      </c>
      <c r="C55" s="3">
        <v>1</v>
      </c>
      <c r="D55" s="4" t="s">
        <v>497</v>
      </c>
      <c r="E55" t="s">
        <v>240</v>
      </c>
      <c r="F55" t="s">
        <v>240</v>
      </c>
      <c r="G55" t="s">
        <v>241</v>
      </c>
      <c r="H55" s="5" t="s">
        <v>496</v>
      </c>
      <c r="I55" s="5" t="s">
        <v>496</v>
      </c>
      <c r="J55">
        <v>60</v>
      </c>
      <c r="K55">
        <v>52.8</v>
      </c>
      <c r="L55">
        <v>44.9</v>
      </c>
      <c r="M55" s="5" t="s">
        <v>496</v>
      </c>
      <c r="N55">
        <v>1050</v>
      </c>
      <c r="O55">
        <v>945</v>
      </c>
      <c r="P55">
        <v>805</v>
      </c>
      <c r="Q55" t="s">
        <v>101</v>
      </c>
      <c r="R55">
        <v>19</v>
      </c>
      <c r="S55" s="5">
        <v>1</v>
      </c>
      <c r="T55" s="3" t="s">
        <v>498</v>
      </c>
      <c r="U55" t="s">
        <v>500</v>
      </c>
      <c r="V55">
        <v>10</v>
      </c>
      <c r="W55" s="5" t="str">
        <f t="shared" si="1"/>
        <v>(1354,null,1,'2026-03-12 00:00:00','002403000030100-24030000301','002403000030100-24030000301','60钴外照射（特殊照射、旋转）',null,null,60,52.8,44.9,null,1050,945,805,'每照射野',19,1,'normal','set',10),</v>
      </c>
    </row>
    <row r="56" spans="1:23">
      <c r="A56">
        <v>1355</v>
      </c>
      <c r="B56" s="3" t="s">
        <v>496</v>
      </c>
      <c r="C56" s="3">
        <v>1</v>
      </c>
      <c r="D56" s="4" t="s">
        <v>497</v>
      </c>
      <c r="E56" t="s">
        <v>242</v>
      </c>
      <c r="F56" t="s">
        <v>242</v>
      </c>
      <c r="G56" t="s">
        <v>243</v>
      </c>
      <c r="H56" s="5" t="s">
        <v>496</v>
      </c>
      <c r="I56" s="5" t="s">
        <v>496</v>
      </c>
      <c r="J56">
        <v>60</v>
      </c>
      <c r="K56">
        <v>52.8</v>
      </c>
      <c r="L56">
        <v>44.9</v>
      </c>
      <c r="M56" s="5" t="s">
        <v>496</v>
      </c>
      <c r="N56">
        <v>1050</v>
      </c>
      <c r="O56">
        <v>945</v>
      </c>
      <c r="P56">
        <v>805</v>
      </c>
      <c r="Q56" t="s">
        <v>101</v>
      </c>
      <c r="R56">
        <v>19</v>
      </c>
      <c r="S56" s="5">
        <v>1</v>
      </c>
      <c r="T56" s="3" t="s">
        <v>498</v>
      </c>
      <c r="U56" t="s">
        <v>500</v>
      </c>
      <c r="V56">
        <v>10</v>
      </c>
      <c r="W56" s="5" t="str">
        <f t="shared" si="1"/>
        <v>(1355,null,1,'2026-03-12 00:00:00','002403000030200-24030000302','002403000030200-24030000302','60钴外照射（特殊照射、弧形）',null,null,60,52.8,44.9,null,1050,945,805,'每照射野',19,1,'normal','set',10),</v>
      </c>
    </row>
    <row r="57" spans="1:23">
      <c r="A57">
        <v>1356</v>
      </c>
      <c r="B57" s="3" t="s">
        <v>496</v>
      </c>
      <c r="C57" s="3">
        <v>1</v>
      </c>
      <c r="D57" s="4" t="s">
        <v>497</v>
      </c>
      <c r="E57" t="s">
        <v>244</v>
      </c>
      <c r="F57" t="s">
        <v>244</v>
      </c>
      <c r="G57" t="s">
        <v>245</v>
      </c>
      <c r="H57" s="5" t="s">
        <v>496</v>
      </c>
      <c r="I57" s="5" t="s">
        <v>496</v>
      </c>
      <c r="J57">
        <v>60</v>
      </c>
      <c r="K57">
        <v>52.8</v>
      </c>
      <c r="L57">
        <v>44.9</v>
      </c>
      <c r="M57" s="5" t="s">
        <v>496</v>
      </c>
      <c r="N57">
        <v>1050</v>
      </c>
      <c r="O57">
        <v>945</v>
      </c>
      <c r="P57">
        <v>805</v>
      </c>
      <c r="Q57" t="s">
        <v>101</v>
      </c>
      <c r="R57">
        <v>19</v>
      </c>
      <c r="S57" s="5">
        <v>1</v>
      </c>
      <c r="T57" s="3" t="s">
        <v>498</v>
      </c>
      <c r="U57" t="s">
        <v>500</v>
      </c>
      <c r="V57">
        <v>10</v>
      </c>
      <c r="W57" s="5" t="str">
        <f t="shared" si="1"/>
        <v>(1356,null,1,'2026-03-12 00:00:00','002403000030300-24030000303','002403000030300-24030000303','60钴外照射（特殊照射、楔形滤板）',null,null,60,52.8,44.9,null,1050,945,805,'每照射野',19,1,'normal','set',10),</v>
      </c>
    </row>
    <row r="58" spans="1:23">
      <c r="A58">
        <v>1357</v>
      </c>
      <c r="B58" s="3" t="s">
        <v>496</v>
      </c>
      <c r="C58" s="3">
        <v>1</v>
      </c>
      <c r="D58" s="4" t="s">
        <v>497</v>
      </c>
      <c r="E58" t="s">
        <v>246</v>
      </c>
      <c r="F58" t="s">
        <v>246</v>
      </c>
      <c r="G58" t="s">
        <v>247</v>
      </c>
      <c r="H58" s="5" t="s">
        <v>496</v>
      </c>
      <c r="I58" s="5" t="s">
        <v>496</v>
      </c>
      <c r="J58">
        <v>420</v>
      </c>
      <c r="K58">
        <v>378</v>
      </c>
      <c r="L58">
        <v>0</v>
      </c>
      <c r="M58" s="5" t="s">
        <v>496</v>
      </c>
      <c r="N58">
        <v>1050</v>
      </c>
      <c r="O58">
        <v>945</v>
      </c>
      <c r="P58">
        <v>805</v>
      </c>
      <c r="Q58" t="s">
        <v>196</v>
      </c>
      <c r="R58">
        <v>19</v>
      </c>
      <c r="S58" s="5">
        <v>1</v>
      </c>
      <c r="T58" s="3" t="s">
        <v>498</v>
      </c>
      <c r="U58" t="s">
        <v>501</v>
      </c>
      <c r="V58">
        <v>10</v>
      </c>
      <c r="W58" s="5" t="str">
        <f t="shared" si="1"/>
        <v>(1357,null,1,'2026-03-12 00:00:00','002403000060000-240300006','002403000060000-240300006','直线加速器适型治疗',null,null,420,378,0,null,1050,945,805,'Gy',19,1,'normal','limit',10),</v>
      </c>
    </row>
    <row r="59" hidden="1" spans="1:23">
      <c r="A59">
        <v>1358</v>
      </c>
      <c r="B59" s="3" t="s">
        <v>496</v>
      </c>
      <c r="C59" s="3">
        <v>1</v>
      </c>
      <c r="D59" s="4" t="s">
        <v>497</v>
      </c>
      <c r="E59" t="s">
        <v>250</v>
      </c>
      <c r="F59" t="s">
        <v>250</v>
      </c>
      <c r="G59" t="s">
        <v>251</v>
      </c>
      <c r="H59" s="5" t="s">
        <v>496</v>
      </c>
      <c r="I59" s="5" t="s">
        <v>496</v>
      </c>
      <c r="J59">
        <v>1700</v>
      </c>
      <c r="K59">
        <v>1496</v>
      </c>
      <c r="L59">
        <v>1271.6</v>
      </c>
      <c r="M59" s="5" t="s">
        <v>496</v>
      </c>
      <c r="N59">
        <v>115</v>
      </c>
      <c r="O59">
        <v>100</v>
      </c>
      <c r="P59">
        <v>85</v>
      </c>
      <c r="Q59" t="s">
        <v>101</v>
      </c>
      <c r="R59">
        <v>19</v>
      </c>
      <c r="S59" s="5">
        <v>1</v>
      </c>
      <c r="T59" s="3" t="s">
        <v>498</v>
      </c>
      <c r="U59" t="s">
        <v>499</v>
      </c>
      <c r="V59">
        <v>0</v>
      </c>
      <c r="W59" s="5" t="str">
        <f t="shared" si="1"/>
        <v>(1358,null,1,'2026-03-12 00:00:00','002403000120000-240300012','002403000120000-240300012','全身X线照射',null,null,1700,1496,1271.6,null,115,100,85,'每照射野',19,1,'normal','main',0),</v>
      </c>
    </row>
    <row r="60" hidden="1" spans="1:23">
      <c r="A60">
        <v>1359</v>
      </c>
      <c r="B60" s="3" t="s">
        <v>496</v>
      </c>
      <c r="C60" s="3">
        <v>1</v>
      </c>
      <c r="D60" s="4" t="s">
        <v>497</v>
      </c>
      <c r="E60" t="s">
        <v>253</v>
      </c>
      <c r="F60" t="s">
        <v>253</v>
      </c>
      <c r="G60" t="s">
        <v>254</v>
      </c>
      <c r="H60" s="5" t="s">
        <v>496</v>
      </c>
      <c r="I60" s="5" t="s">
        <v>496</v>
      </c>
      <c r="J60">
        <v>1000</v>
      </c>
      <c r="K60">
        <v>880</v>
      </c>
      <c r="L60">
        <v>748</v>
      </c>
      <c r="M60" s="5" t="s">
        <v>496</v>
      </c>
      <c r="N60">
        <v>115</v>
      </c>
      <c r="O60">
        <v>100</v>
      </c>
      <c r="P60">
        <v>85</v>
      </c>
      <c r="Q60" t="s">
        <v>101</v>
      </c>
      <c r="R60">
        <v>19</v>
      </c>
      <c r="S60" s="5">
        <v>1</v>
      </c>
      <c r="T60" s="3" t="s">
        <v>498</v>
      </c>
      <c r="U60" t="s">
        <v>499</v>
      </c>
      <c r="V60">
        <v>0</v>
      </c>
      <c r="W60" s="5" t="str">
        <f t="shared" si="1"/>
        <v>(1359,null,1,'2026-03-12 00:00:00','002403000110000-240300011','002403000110000-240300011','全身60钴照射',null,null,1000,880,748,null,115,100,85,'每照射野',19,1,'normal','main',0),</v>
      </c>
    </row>
    <row r="61" hidden="1" spans="1:23">
      <c r="A61">
        <v>1360</v>
      </c>
      <c r="B61" s="3" t="s">
        <v>496</v>
      </c>
      <c r="C61" s="3">
        <v>1</v>
      </c>
      <c r="D61" s="4" t="s">
        <v>497</v>
      </c>
      <c r="E61" t="s">
        <v>260</v>
      </c>
      <c r="F61" t="s">
        <v>260</v>
      </c>
      <c r="G61" t="s">
        <v>261</v>
      </c>
      <c r="H61" s="5" t="s">
        <v>496</v>
      </c>
      <c r="I61" s="5" t="s">
        <v>496</v>
      </c>
      <c r="J61">
        <v>300</v>
      </c>
      <c r="K61">
        <v>300</v>
      </c>
      <c r="L61">
        <v>255</v>
      </c>
      <c r="M61" s="5" t="s">
        <v>496</v>
      </c>
      <c r="N61">
        <v>170</v>
      </c>
      <c r="O61">
        <v>155</v>
      </c>
      <c r="P61">
        <v>130</v>
      </c>
      <c r="Q61" t="s">
        <v>38</v>
      </c>
      <c r="R61">
        <v>19</v>
      </c>
      <c r="S61" s="5">
        <v>1</v>
      </c>
      <c r="T61" s="3" t="s">
        <v>498</v>
      </c>
      <c r="U61" t="s">
        <v>499</v>
      </c>
      <c r="V61">
        <v>0</v>
      </c>
      <c r="W61" s="5" t="str">
        <f t="shared" si="1"/>
        <v>(1360,null,1,'2026-03-12 00:00:00','002401000050000-240600003','002401000050000-240600003','三维实时显像监控',null,null,300,300,255,null,170,155,130,'次',19,1,'normal','main',0),</v>
      </c>
    </row>
    <row r="62" spans="1:23">
      <c r="A62">
        <v>1361</v>
      </c>
      <c r="B62" s="3" t="s">
        <v>496</v>
      </c>
      <c r="C62" s="3">
        <v>1</v>
      </c>
      <c r="D62" s="4" t="s">
        <v>497</v>
      </c>
      <c r="E62" t="s">
        <v>267</v>
      </c>
      <c r="F62" t="s">
        <v>267</v>
      </c>
      <c r="G62" t="s">
        <v>268</v>
      </c>
      <c r="H62" s="5" t="s">
        <v>496</v>
      </c>
      <c r="I62" s="5" t="s">
        <v>496</v>
      </c>
      <c r="J62">
        <v>610</v>
      </c>
      <c r="K62">
        <v>550</v>
      </c>
      <c r="L62">
        <v>0</v>
      </c>
      <c r="M62" s="5" t="s">
        <v>496</v>
      </c>
      <c r="N62">
        <f>1600/2.6</f>
        <v>615.384615384615</v>
      </c>
      <c r="O62">
        <f>1445/2.6</f>
        <v>555.769230769231</v>
      </c>
      <c r="P62">
        <f>1250/2.6</f>
        <v>480.769230769231</v>
      </c>
      <c r="Q62" t="s">
        <v>196</v>
      </c>
      <c r="R62">
        <v>19</v>
      </c>
      <c r="S62" s="5">
        <v>1</v>
      </c>
      <c r="T62" s="3" t="s">
        <v>498</v>
      </c>
      <c r="U62" t="s">
        <v>501</v>
      </c>
      <c r="V62">
        <v>10</v>
      </c>
      <c r="W62" s="5" t="str">
        <f t="shared" si="1"/>
        <v>(1361,null,1,'2026-03-12 00:00:00','002403000150000-240300015','002403000150000-240300015','适形调强放射治疗（IMRT）',null,null,610,550,0,null,615.384615384615,555.769230769231,480.769230769231,'Gy',19,1,'normal','limit',10),</v>
      </c>
    </row>
    <row r="63" hidden="1" spans="1:23">
      <c r="A63">
        <v>1362</v>
      </c>
      <c r="B63" s="3" t="s">
        <v>496</v>
      </c>
      <c r="C63" s="3">
        <v>1</v>
      </c>
      <c r="D63" s="4" t="s">
        <v>497</v>
      </c>
      <c r="E63" t="s">
        <v>260</v>
      </c>
      <c r="F63" t="s">
        <v>260</v>
      </c>
      <c r="G63" t="s">
        <v>261</v>
      </c>
      <c r="H63" s="5" t="s">
        <v>496</v>
      </c>
      <c r="I63" s="5" t="s">
        <v>496</v>
      </c>
      <c r="J63">
        <v>300</v>
      </c>
      <c r="K63">
        <v>300</v>
      </c>
      <c r="L63">
        <v>255</v>
      </c>
      <c r="M63" s="5" t="s">
        <v>496</v>
      </c>
      <c r="N63">
        <v>170</v>
      </c>
      <c r="O63">
        <v>155</v>
      </c>
      <c r="P63">
        <v>130</v>
      </c>
      <c r="Q63" t="s">
        <v>38</v>
      </c>
      <c r="R63">
        <v>19</v>
      </c>
      <c r="S63" s="5">
        <v>1</v>
      </c>
      <c r="T63" s="3" t="s">
        <v>498</v>
      </c>
      <c r="U63" t="s">
        <v>499</v>
      </c>
      <c r="V63">
        <v>0</v>
      </c>
      <c r="W63" s="5" t="str">
        <f t="shared" si="1"/>
        <v>(1362,null,1,'2026-03-12 00:00:00','002401000050000-240600003','002401000050000-240600003','三维实时显像监控',null,null,300,300,255,null,170,155,130,'次',19,1,'normal','main',0),</v>
      </c>
    </row>
    <row r="64" hidden="1" spans="1:23">
      <c r="A64">
        <v>1363</v>
      </c>
      <c r="B64" s="3" t="s">
        <v>496</v>
      </c>
      <c r="C64" s="3">
        <v>1</v>
      </c>
      <c r="D64" s="4" t="s">
        <v>497</v>
      </c>
      <c r="E64" t="s">
        <v>284</v>
      </c>
      <c r="F64" t="s">
        <v>284</v>
      </c>
      <c r="G64" t="s">
        <v>285</v>
      </c>
      <c r="H64" s="5" t="s">
        <v>496</v>
      </c>
      <c r="I64" s="5" t="s">
        <v>496</v>
      </c>
      <c r="J64">
        <v>4950</v>
      </c>
      <c r="K64">
        <v>4455</v>
      </c>
      <c r="L64">
        <v>3786.8</v>
      </c>
      <c r="M64" s="5" t="s">
        <v>496</v>
      </c>
      <c r="N64">
        <v>2100</v>
      </c>
      <c r="O64">
        <v>1900</v>
      </c>
      <c r="P64">
        <v>1600</v>
      </c>
      <c r="Q64" t="s">
        <v>38</v>
      </c>
      <c r="R64">
        <v>19</v>
      </c>
      <c r="S64" s="5">
        <v>1</v>
      </c>
      <c r="T64" s="3" t="s">
        <v>498</v>
      </c>
      <c r="U64" t="s">
        <v>499</v>
      </c>
      <c r="V64">
        <v>0</v>
      </c>
      <c r="W64" s="5" t="str">
        <f t="shared" si="1"/>
        <v>(1363,null,1,'2026-03-12 00:00:00','352403000180000-240300017','352403000180000-240300017','局部断层调强放疗（TOMO）',null,null,4950,4455,3786.8,null,2100,1900,1600,'次',19,1,'normal','main',0),</v>
      </c>
    </row>
    <row r="65" hidden="1" spans="1:23">
      <c r="A65">
        <v>1364</v>
      </c>
      <c r="B65" s="3" t="s">
        <v>496</v>
      </c>
      <c r="C65" s="3">
        <v>1</v>
      </c>
      <c r="D65" s="4" t="s">
        <v>497</v>
      </c>
      <c r="E65" t="s">
        <v>288</v>
      </c>
      <c r="F65" t="s">
        <v>288</v>
      </c>
      <c r="G65" t="s">
        <v>289</v>
      </c>
      <c r="H65" s="5" t="s">
        <v>496</v>
      </c>
      <c r="I65" s="5" t="s">
        <v>496</v>
      </c>
      <c r="J65">
        <v>2700</v>
      </c>
      <c r="K65">
        <v>2430</v>
      </c>
      <c r="L65">
        <v>2065.5</v>
      </c>
      <c r="M65" s="5" t="s">
        <v>496</v>
      </c>
      <c r="N65">
        <v>2100</v>
      </c>
      <c r="O65">
        <v>1900</v>
      </c>
      <c r="P65">
        <v>1600</v>
      </c>
      <c r="Q65" t="s">
        <v>38</v>
      </c>
      <c r="R65">
        <v>19</v>
      </c>
      <c r="S65" s="5">
        <v>1</v>
      </c>
      <c r="T65" s="3" t="s">
        <v>498</v>
      </c>
      <c r="U65" t="s">
        <v>499</v>
      </c>
      <c r="V65">
        <v>0</v>
      </c>
      <c r="W65" s="5" t="str">
        <f t="shared" si="1"/>
        <v>(1364,null,1,'2026-03-12 00:00:00','352403000180000-240300018','352403000180000-240300018','局部断层调强放疗（TOMO、15次以上）',null,null,2700,2430,2065.5,null,2100,1900,1600,'次',19,1,'normal','main',0),</v>
      </c>
    </row>
    <row r="66" spans="1:23">
      <c r="A66">
        <v>1365</v>
      </c>
      <c r="B66" s="3" t="s">
        <v>496</v>
      </c>
      <c r="C66" s="3">
        <v>1</v>
      </c>
      <c r="D66" s="4" t="s">
        <v>497</v>
      </c>
      <c r="E66" t="s">
        <v>294</v>
      </c>
      <c r="F66" t="s">
        <v>294</v>
      </c>
      <c r="G66" t="s">
        <v>295</v>
      </c>
      <c r="H66" s="5" t="s">
        <v>496</v>
      </c>
      <c r="I66" s="5" t="s">
        <v>496</v>
      </c>
      <c r="J66">
        <v>650</v>
      </c>
      <c r="K66">
        <v>585</v>
      </c>
      <c r="L66">
        <v>0</v>
      </c>
      <c r="M66" s="5" t="s">
        <v>496</v>
      </c>
      <c r="N66">
        <v>330</v>
      </c>
      <c r="O66">
        <v>305</v>
      </c>
      <c r="P66">
        <v>260</v>
      </c>
      <c r="Q66" t="s">
        <v>196</v>
      </c>
      <c r="R66">
        <v>19</v>
      </c>
      <c r="S66" s="5">
        <v>1</v>
      </c>
      <c r="T66" s="3" t="s">
        <v>498</v>
      </c>
      <c r="U66" t="s">
        <v>501</v>
      </c>
      <c r="V66">
        <v>10</v>
      </c>
      <c r="W66" s="5" t="str">
        <f t="shared" si="1"/>
        <v>(1365,null,1,'2026-03-12 00:00:00','002403000150000-240300021','002403000150000-240300021','旋转调强放疗',null,null,650,585,0,null,330,305,260,'Gy',19,1,'normal','limit',10),</v>
      </c>
    </row>
    <row r="67" hidden="1" spans="1:23">
      <c r="A67">
        <v>1366</v>
      </c>
      <c r="B67" s="3" t="s">
        <v>496</v>
      </c>
      <c r="C67" s="3">
        <v>1</v>
      </c>
      <c r="D67" s="4" t="s">
        <v>497</v>
      </c>
      <c r="E67" t="s">
        <v>303</v>
      </c>
      <c r="F67" t="s">
        <v>303</v>
      </c>
      <c r="G67" t="s">
        <v>304</v>
      </c>
      <c r="H67" s="5" t="s">
        <v>496</v>
      </c>
      <c r="I67" s="5" t="s">
        <v>496</v>
      </c>
      <c r="J67">
        <v>16200</v>
      </c>
      <c r="K67">
        <v>14580</v>
      </c>
      <c r="L67">
        <v>12390</v>
      </c>
      <c r="M67" s="5" t="s">
        <v>496</v>
      </c>
      <c r="N67">
        <v>27000</v>
      </c>
      <c r="O67">
        <v>24300</v>
      </c>
      <c r="P67">
        <v>20650</v>
      </c>
      <c r="Q67" t="s">
        <v>38</v>
      </c>
      <c r="R67">
        <v>19</v>
      </c>
      <c r="S67" s="5">
        <v>1</v>
      </c>
      <c r="T67" s="3" t="s">
        <v>498</v>
      </c>
      <c r="U67" t="s">
        <v>499</v>
      </c>
      <c r="V67">
        <v>0</v>
      </c>
      <c r="W67" s="5" t="str">
        <f t="shared" ref="W67:W102" si="2">"("&amp;A67&amp;","&amp;B67&amp;","&amp;C67&amp;",'"&amp;D67&amp;"','"&amp;E67&amp;"','"&amp;F67&amp;"','"&amp;G67&amp;"',"&amp;H67&amp;","&amp;I67&amp;","&amp;J67&amp;","&amp;K67&amp;","&amp;L67&amp;","&amp;M67&amp;","&amp;N67&amp;","&amp;O67&amp;","&amp;P67&amp;",'"&amp;Q67&amp;"',"&amp;R67&amp;","&amp;S67&amp;",'"&amp;T67&amp;"','"&amp;U67&amp;"',"&amp;V67&amp;"),"</f>
        <v>(1366,null,1,'2026-03-12 00:00:00','352403000170000-240300019','352403000170000-240300019','射波刀立体放疗系统（首次）',null,null,16200,14580,12390,null,27000,24300,20650,'次',19,1,'normal','main',0),</v>
      </c>
    </row>
    <row r="68" hidden="1" spans="1:23">
      <c r="A68">
        <v>1367</v>
      </c>
      <c r="B68" s="3" t="s">
        <v>496</v>
      </c>
      <c r="C68" s="3">
        <v>1</v>
      </c>
      <c r="D68" s="4" t="s">
        <v>497</v>
      </c>
      <c r="E68" t="s">
        <v>307</v>
      </c>
      <c r="F68" t="s">
        <v>307</v>
      </c>
      <c r="G68" t="s">
        <v>308</v>
      </c>
      <c r="H68" s="5" t="s">
        <v>496</v>
      </c>
      <c r="I68" s="5" t="s">
        <v>496</v>
      </c>
      <c r="J68">
        <v>7200</v>
      </c>
      <c r="K68">
        <v>6480</v>
      </c>
      <c r="L68">
        <v>5500</v>
      </c>
      <c r="M68" s="5" t="s">
        <v>496</v>
      </c>
      <c r="N68">
        <v>27000</v>
      </c>
      <c r="O68">
        <v>24300</v>
      </c>
      <c r="P68">
        <v>20650</v>
      </c>
      <c r="Q68" t="s">
        <v>38</v>
      </c>
      <c r="R68">
        <v>19</v>
      </c>
      <c r="S68" s="5">
        <v>1</v>
      </c>
      <c r="T68" s="3" t="s">
        <v>498</v>
      </c>
      <c r="U68" t="s">
        <v>499</v>
      </c>
      <c r="V68">
        <v>0</v>
      </c>
      <c r="W68" s="5" t="str">
        <f t="shared" si="2"/>
        <v>(1367,null,1,'2026-03-12 00:00:00','352403000170000-240300020','352403000170000-240300020','射波刀立体放疗系统（第二次起）',null,null,7200,6480,5500,null,27000,24300,20650,'次',19,1,'normal','main',0),</v>
      </c>
    </row>
    <row r="69" hidden="1" spans="1:23">
      <c r="A69">
        <v>1368</v>
      </c>
      <c r="B69" s="3" t="s">
        <v>496</v>
      </c>
      <c r="C69" s="3">
        <v>1</v>
      </c>
      <c r="D69" s="4" t="s">
        <v>497</v>
      </c>
      <c r="E69" t="s">
        <v>313</v>
      </c>
      <c r="F69" t="s">
        <v>313</v>
      </c>
      <c r="G69" t="s">
        <v>314</v>
      </c>
      <c r="H69" s="5" t="s">
        <v>496</v>
      </c>
      <c r="I69" s="5" t="s">
        <v>496</v>
      </c>
      <c r="J69">
        <v>5280</v>
      </c>
      <c r="K69">
        <v>4920</v>
      </c>
      <c r="L69">
        <v>4182</v>
      </c>
      <c r="M69" s="5" t="s">
        <v>496</v>
      </c>
      <c r="N69">
        <v>13500</v>
      </c>
      <c r="O69">
        <v>12150</v>
      </c>
      <c r="P69">
        <v>10350</v>
      </c>
      <c r="Q69" t="s">
        <v>315</v>
      </c>
      <c r="R69">
        <v>19</v>
      </c>
      <c r="S69" s="5">
        <v>1</v>
      </c>
      <c r="T69" s="3" t="s">
        <v>498</v>
      </c>
      <c r="U69" t="s">
        <v>499</v>
      </c>
      <c r="V69">
        <v>0</v>
      </c>
      <c r="W69" s="5" t="str">
        <f t="shared" si="2"/>
        <v>(1368,null,1,'2026-03-12 00:00:00','002403000070000-240300007','002403000070000-240300007','X刀治疗',null,null,5280,4920,4182,null,13500,12150,10350,'例',19,1,'normal','main',0),</v>
      </c>
    </row>
    <row r="70" hidden="1" spans="1:23">
      <c r="A70">
        <v>1369</v>
      </c>
      <c r="B70" s="3" t="s">
        <v>496</v>
      </c>
      <c r="C70" s="3">
        <v>1</v>
      </c>
      <c r="D70" s="4" t="s">
        <v>497</v>
      </c>
      <c r="E70" t="s">
        <v>316</v>
      </c>
      <c r="F70" t="s">
        <v>316</v>
      </c>
      <c r="G70" t="s">
        <v>317</v>
      </c>
      <c r="H70" s="5" t="s">
        <v>496</v>
      </c>
      <c r="I70" s="5" t="s">
        <v>496</v>
      </c>
      <c r="J70">
        <v>7480</v>
      </c>
      <c r="K70">
        <v>6970</v>
      </c>
      <c r="L70">
        <v>5924.5</v>
      </c>
      <c r="M70" s="5" t="s">
        <v>496</v>
      </c>
      <c r="N70">
        <v>13500</v>
      </c>
      <c r="O70">
        <v>12150</v>
      </c>
      <c r="P70">
        <v>10350</v>
      </c>
      <c r="Q70" t="s">
        <v>92</v>
      </c>
      <c r="R70">
        <v>19</v>
      </c>
      <c r="S70" s="5">
        <v>1</v>
      </c>
      <c r="T70" s="3" t="s">
        <v>498</v>
      </c>
      <c r="U70" t="s">
        <v>499</v>
      </c>
      <c r="V70">
        <v>0</v>
      </c>
      <c r="W70" s="5" t="str">
        <f t="shared" si="2"/>
        <v>(1369,null,1,'2026-03-12 00:00:00','002403000080000-240300008','002403000080000-240300008','伽玛刀治疗',null,null,7480,6970,5924.5,null,13500,12150,10350,'疗程',19,1,'normal','main',0),</v>
      </c>
    </row>
    <row r="71" hidden="1" spans="1:23">
      <c r="A71">
        <v>1370</v>
      </c>
      <c r="B71" s="3" t="s">
        <v>496</v>
      </c>
      <c r="C71" s="3">
        <v>1</v>
      </c>
      <c r="D71" s="4" t="s">
        <v>497</v>
      </c>
      <c r="E71" t="s">
        <v>320</v>
      </c>
      <c r="F71" t="s">
        <v>320</v>
      </c>
      <c r="G71" t="s">
        <v>321</v>
      </c>
      <c r="H71" s="5" t="s">
        <v>496</v>
      </c>
      <c r="I71" s="5" t="s">
        <v>496</v>
      </c>
      <c r="J71">
        <v>704</v>
      </c>
      <c r="K71">
        <v>656</v>
      </c>
      <c r="L71">
        <v>557.6</v>
      </c>
      <c r="M71" s="5" t="s">
        <v>496</v>
      </c>
      <c r="N71">
        <v>13500</v>
      </c>
      <c r="O71">
        <v>12150</v>
      </c>
      <c r="P71">
        <v>10350</v>
      </c>
      <c r="Q71" t="s">
        <v>38</v>
      </c>
      <c r="R71">
        <v>19</v>
      </c>
      <c r="S71" s="5">
        <v>1</v>
      </c>
      <c r="T71" s="3" t="s">
        <v>498</v>
      </c>
      <c r="U71" t="s">
        <v>499</v>
      </c>
      <c r="V71">
        <v>0</v>
      </c>
      <c r="W71" s="5" t="str">
        <f t="shared" si="2"/>
        <v>(1370,null,1,'2026-03-12 00:00:00','002403000080000-24030000801','002403000080000-24030000801','伽玛刀治疗（每增加一次加收）',null,null,704,656,557.6,null,13500,12150,10350,'次',19,1,'normal','main',0),</v>
      </c>
    </row>
    <row r="72" hidden="1" spans="1:23">
      <c r="A72">
        <v>1371</v>
      </c>
      <c r="B72" s="3" t="s">
        <v>496</v>
      </c>
      <c r="C72" s="3">
        <v>1</v>
      </c>
      <c r="D72" s="4" t="s">
        <v>497</v>
      </c>
      <c r="E72" t="s">
        <v>323</v>
      </c>
      <c r="F72" t="s">
        <v>323</v>
      </c>
      <c r="G72" t="s">
        <v>324</v>
      </c>
      <c r="H72" s="5" t="s">
        <v>496</v>
      </c>
      <c r="I72" s="5" t="s">
        <v>496</v>
      </c>
      <c r="J72">
        <v>1320</v>
      </c>
      <c r="K72">
        <v>1230</v>
      </c>
      <c r="L72">
        <v>1045.5</v>
      </c>
      <c r="M72" s="5" t="s">
        <v>496</v>
      </c>
      <c r="N72">
        <v>13500</v>
      </c>
      <c r="O72">
        <v>12150</v>
      </c>
      <c r="P72">
        <v>10350</v>
      </c>
      <c r="Q72" t="s">
        <v>325</v>
      </c>
      <c r="R72">
        <v>19</v>
      </c>
      <c r="S72" s="5">
        <v>1</v>
      </c>
      <c r="T72" s="3" t="s">
        <v>498</v>
      </c>
      <c r="U72" t="s">
        <v>499</v>
      </c>
      <c r="V72">
        <v>0</v>
      </c>
      <c r="W72" s="5" t="str">
        <f t="shared" si="2"/>
        <v>(1371,null,1,'2026-03-12 00:00:00','002403000080000-24030000802','002403000080000-24030000802','伽玛刀治疗（多发肿瘤加收）',null,null,1320,1230,1045.5,null,13500,12150,10350,'每个肿物',19,1,'normal','main',0),</v>
      </c>
    </row>
    <row r="73" spans="1:23">
      <c r="A73">
        <v>1372</v>
      </c>
      <c r="B73" s="3" t="s">
        <v>496</v>
      </c>
      <c r="C73" s="3">
        <v>1</v>
      </c>
      <c r="D73" s="4" t="s">
        <v>497</v>
      </c>
      <c r="E73" t="s">
        <v>365</v>
      </c>
      <c r="F73" t="s">
        <v>365</v>
      </c>
      <c r="G73" t="s">
        <v>366</v>
      </c>
      <c r="H73" s="5" t="s">
        <v>496</v>
      </c>
      <c r="I73" s="5" t="s">
        <v>496</v>
      </c>
      <c r="J73">
        <v>50</v>
      </c>
      <c r="K73">
        <v>45</v>
      </c>
      <c r="L73">
        <v>0</v>
      </c>
      <c r="M73" s="5" t="s">
        <v>496</v>
      </c>
      <c r="N73">
        <v>750</v>
      </c>
      <c r="O73">
        <v>675</v>
      </c>
      <c r="P73">
        <v>580</v>
      </c>
      <c r="Q73" t="s">
        <v>196</v>
      </c>
      <c r="R73">
        <v>19</v>
      </c>
      <c r="S73" s="5">
        <v>1</v>
      </c>
      <c r="T73" s="3" t="s">
        <v>498</v>
      </c>
      <c r="U73" t="s">
        <v>501</v>
      </c>
      <c r="V73">
        <v>10</v>
      </c>
      <c r="W73" s="5" t="str">
        <f t="shared" si="2"/>
        <v>(1372,null,1,'2026-03-12 00:00:00','002404000010000-240400001','002404000010000-240400001','浅表部位后装治疗',null,null,50,45,0,null,750,675,580,'Gy',19,1,'normal','limit',10),</v>
      </c>
    </row>
    <row r="74" spans="1:23">
      <c r="A74">
        <v>1373</v>
      </c>
      <c r="B74" s="3" t="s">
        <v>496</v>
      </c>
      <c r="C74" s="3">
        <v>1</v>
      </c>
      <c r="D74" s="4" t="s">
        <v>497</v>
      </c>
      <c r="E74" t="s">
        <v>367</v>
      </c>
      <c r="F74" t="s">
        <v>367</v>
      </c>
      <c r="G74" t="s">
        <v>368</v>
      </c>
      <c r="H74" s="5" t="s">
        <v>496</v>
      </c>
      <c r="I74" s="5" t="s">
        <v>496</v>
      </c>
      <c r="J74">
        <v>100</v>
      </c>
      <c r="K74">
        <v>90</v>
      </c>
      <c r="L74">
        <v>0</v>
      </c>
      <c r="M74" s="5" t="s">
        <v>496</v>
      </c>
      <c r="N74">
        <v>750</v>
      </c>
      <c r="O74">
        <v>675</v>
      </c>
      <c r="P74">
        <v>580</v>
      </c>
      <c r="Q74" t="s">
        <v>196</v>
      </c>
      <c r="R74">
        <v>19</v>
      </c>
      <c r="S74" s="5">
        <v>1</v>
      </c>
      <c r="T74" s="3" t="s">
        <v>498</v>
      </c>
      <c r="U74" t="s">
        <v>501</v>
      </c>
      <c r="V74">
        <v>10</v>
      </c>
      <c r="W74" s="5" t="str">
        <f t="shared" si="2"/>
        <v>(1373,null,1,'2026-03-12 00:00:00','002404000020000-240400002','002404000020000-240400002','腔内后装放疗',null,null,100,90,0,null,750,675,580,'Gy',19,1,'normal','limit',10),</v>
      </c>
    </row>
    <row r="75" hidden="1" spans="1:23">
      <c r="A75">
        <v>1374</v>
      </c>
      <c r="B75" s="3" t="s">
        <v>496</v>
      </c>
      <c r="C75" s="3">
        <v>1</v>
      </c>
      <c r="D75" s="4" t="s">
        <v>497</v>
      </c>
      <c r="E75" t="s">
        <v>369</v>
      </c>
      <c r="F75" t="s">
        <v>369</v>
      </c>
      <c r="G75" t="s">
        <v>370</v>
      </c>
      <c r="H75" s="5" t="s">
        <v>496</v>
      </c>
      <c r="I75" s="5" t="s">
        <v>496</v>
      </c>
      <c r="J75">
        <v>350</v>
      </c>
      <c r="K75">
        <v>308</v>
      </c>
      <c r="L75">
        <v>261.8</v>
      </c>
      <c r="M75" s="5" t="s">
        <v>496</v>
      </c>
      <c r="N75">
        <v>750</v>
      </c>
      <c r="O75">
        <v>675</v>
      </c>
      <c r="P75">
        <v>580</v>
      </c>
      <c r="Q75" t="s">
        <v>38</v>
      </c>
      <c r="R75">
        <v>19</v>
      </c>
      <c r="S75" s="5">
        <v>1</v>
      </c>
      <c r="T75" s="3" t="s">
        <v>498</v>
      </c>
      <c r="U75" t="s">
        <v>499</v>
      </c>
      <c r="V75">
        <v>0</v>
      </c>
      <c r="W75" s="5" t="str">
        <f t="shared" si="2"/>
        <v>(1374,null,1,'2026-03-12 00:00:00','002404000050000-240400005','002404000050000-240400005','皮肤贴敷后装放疗',null,null,350,308,261.8,null,750,675,580,'次',19,1,'normal','main',0),</v>
      </c>
    </row>
    <row r="76" hidden="1" spans="1:23">
      <c r="A76">
        <v>1375</v>
      </c>
      <c r="B76" s="3" t="s">
        <v>496</v>
      </c>
      <c r="C76" s="3">
        <v>1</v>
      </c>
      <c r="D76" s="4" t="s">
        <v>497</v>
      </c>
      <c r="E76" t="s">
        <v>371</v>
      </c>
      <c r="F76" t="s">
        <v>371</v>
      </c>
      <c r="G76" t="s">
        <v>372</v>
      </c>
      <c r="H76" s="5" t="s">
        <v>496</v>
      </c>
      <c r="I76" s="5" t="s">
        <v>496</v>
      </c>
      <c r="J76">
        <v>0</v>
      </c>
      <c r="K76">
        <v>0</v>
      </c>
      <c r="L76">
        <v>0</v>
      </c>
      <c r="M76" s="5" t="s">
        <v>496</v>
      </c>
      <c r="N76">
        <v>750</v>
      </c>
      <c r="O76">
        <v>675</v>
      </c>
      <c r="P76">
        <v>580</v>
      </c>
      <c r="Q76" t="s">
        <v>38</v>
      </c>
      <c r="R76">
        <v>19</v>
      </c>
      <c r="S76" s="5">
        <v>1</v>
      </c>
      <c r="T76" s="3" t="s">
        <v>498</v>
      </c>
      <c r="U76" t="s">
        <v>499</v>
      </c>
      <c r="V76">
        <v>0</v>
      </c>
      <c r="W76" s="5" t="str">
        <f t="shared" si="2"/>
        <v>(1375,null,1,'2026-03-12 00:00:00','002404000060000-240400006','002404000060000-240400006','血管内后装放疗',null,null,0,0,0,null,750,675,580,'次',19,1,'normal','main',0),</v>
      </c>
    </row>
    <row r="77" hidden="1" spans="1:23">
      <c r="A77">
        <v>1376</v>
      </c>
      <c r="B77" s="3" t="s">
        <v>496</v>
      </c>
      <c r="C77" s="3">
        <v>1</v>
      </c>
      <c r="D77" s="4" t="s">
        <v>497</v>
      </c>
      <c r="E77" t="s">
        <v>373</v>
      </c>
      <c r="F77" t="s">
        <v>373</v>
      </c>
      <c r="G77" t="s">
        <v>374</v>
      </c>
      <c r="H77" s="5" t="s">
        <v>496</v>
      </c>
      <c r="I77" s="5" t="s">
        <v>496</v>
      </c>
      <c r="J77">
        <v>350</v>
      </c>
      <c r="K77">
        <v>308</v>
      </c>
      <c r="L77">
        <v>261.8</v>
      </c>
      <c r="M77" s="5" t="s">
        <v>496</v>
      </c>
      <c r="N77">
        <v>750</v>
      </c>
      <c r="O77">
        <v>675</v>
      </c>
      <c r="P77">
        <v>580</v>
      </c>
      <c r="Q77" t="s">
        <v>38</v>
      </c>
      <c r="R77">
        <v>19</v>
      </c>
      <c r="S77" s="5">
        <v>1</v>
      </c>
      <c r="T77" s="3" t="s">
        <v>498</v>
      </c>
      <c r="U77" t="s">
        <v>499</v>
      </c>
      <c r="V77">
        <v>0</v>
      </c>
      <c r="W77" s="5" t="str">
        <f t="shared" si="2"/>
        <v>(1376,null,1,'2026-03-12 00:00:00','002404000040000-240400004','002404000040000-240400004','手术置管放疗',null,null,350,308,261.8,null,750,675,580,'次',19,1,'normal','main',0),</v>
      </c>
    </row>
    <row r="78" spans="1:23">
      <c r="A78">
        <v>1377</v>
      </c>
      <c r="B78" s="3" t="s">
        <v>496</v>
      </c>
      <c r="C78" s="3">
        <v>1</v>
      </c>
      <c r="D78" s="4" t="s">
        <v>497</v>
      </c>
      <c r="E78" t="s">
        <v>388</v>
      </c>
      <c r="F78" t="s">
        <v>388</v>
      </c>
      <c r="G78" t="s">
        <v>389</v>
      </c>
      <c r="H78" s="5" t="s">
        <v>496</v>
      </c>
      <c r="I78" s="5" t="s">
        <v>496</v>
      </c>
      <c r="J78">
        <v>130</v>
      </c>
      <c r="K78">
        <v>117</v>
      </c>
      <c r="L78">
        <v>0</v>
      </c>
      <c r="M78" s="5" t="s">
        <v>496</v>
      </c>
      <c r="N78">
        <v>950</v>
      </c>
      <c r="O78">
        <v>860</v>
      </c>
      <c r="P78">
        <v>730</v>
      </c>
      <c r="Q78" t="s">
        <v>196</v>
      </c>
      <c r="R78">
        <v>19</v>
      </c>
      <c r="S78" s="5">
        <v>1</v>
      </c>
      <c r="T78" s="3" t="s">
        <v>498</v>
      </c>
      <c r="U78" t="s">
        <v>501</v>
      </c>
      <c r="V78">
        <v>10</v>
      </c>
      <c r="W78" s="5" t="str">
        <f t="shared" si="2"/>
        <v>(1377,null,1,'2026-03-12 00:00:00','002404000030000-240400003','002404000030000-240400003','组织间插置放疗',null,null,130,117,0,null,950,860,730,'Gy',19,1,'normal','limit',10),</v>
      </c>
    </row>
    <row r="79" hidden="1" spans="1:23">
      <c r="A79">
        <v>1378</v>
      </c>
      <c r="B79" s="3" t="s">
        <v>496</v>
      </c>
      <c r="C79" s="3">
        <v>1</v>
      </c>
      <c r="D79" s="4" t="s">
        <v>497</v>
      </c>
      <c r="E79" t="s">
        <v>390</v>
      </c>
      <c r="F79" t="s">
        <v>390</v>
      </c>
      <c r="G79" t="s">
        <v>391</v>
      </c>
      <c r="H79" s="5" t="s">
        <v>496</v>
      </c>
      <c r="I79" s="5" t="s">
        <v>496</v>
      </c>
      <c r="J79">
        <v>0</v>
      </c>
      <c r="K79">
        <v>0</v>
      </c>
      <c r="L79">
        <v>0</v>
      </c>
      <c r="M79" s="5" t="s">
        <v>496</v>
      </c>
      <c r="N79">
        <v>950</v>
      </c>
      <c r="O79">
        <v>860</v>
      </c>
      <c r="P79">
        <v>730</v>
      </c>
      <c r="Q79" t="s">
        <v>38</v>
      </c>
      <c r="R79">
        <v>19</v>
      </c>
      <c r="S79" s="5">
        <v>1</v>
      </c>
      <c r="T79" s="3" t="s">
        <v>498</v>
      </c>
      <c r="U79" t="s">
        <v>499</v>
      </c>
      <c r="V79">
        <v>0</v>
      </c>
      <c r="W79" s="5" t="str">
        <f t="shared" si="2"/>
        <v>(1378,null,1,'2026-03-12 00:00:00','002403000160000-240300016','002403000160000-240300016','快中子外照射',null,null,0,0,0,null,950,860,730,'次',19,1,'normal','main',0),</v>
      </c>
    </row>
    <row r="80" hidden="1" spans="1:23">
      <c r="A80">
        <v>1379</v>
      </c>
      <c r="B80" s="3" t="s">
        <v>496</v>
      </c>
      <c r="C80" s="3">
        <v>1</v>
      </c>
      <c r="D80" s="4" t="s">
        <v>497</v>
      </c>
      <c r="E80" t="s">
        <v>392</v>
      </c>
      <c r="F80" t="s">
        <v>392</v>
      </c>
      <c r="G80" t="s">
        <v>393</v>
      </c>
      <c r="H80" s="5" t="s">
        <v>496</v>
      </c>
      <c r="I80" s="5" t="s">
        <v>496</v>
      </c>
      <c r="J80">
        <v>0</v>
      </c>
      <c r="K80">
        <v>0</v>
      </c>
      <c r="L80">
        <v>0</v>
      </c>
      <c r="M80" s="5" t="s">
        <v>496</v>
      </c>
      <c r="N80">
        <v>950</v>
      </c>
      <c r="O80">
        <v>860</v>
      </c>
      <c r="P80">
        <v>730</v>
      </c>
      <c r="Q80" t="s">
        <v>38</v>
      </c>
      <c r="R80">
        <v>19</v>
      </c>
      <c r="S80" s="5">
        <v>1</v>
      </c>
      <c r="T80" s="3" t="s">
        <v>498</v>
      </c>
      <c r="U80" t="s">
        <v>499</v>
      </c>
      <c r="V80">
        <v>0</v>
      </c>
      <c r="W80" s="5" t="str">
        <f t="shared" si="2"/>
        <v>(1379,null,1,'2026-03-12 00:00:00','002404000070000-240400007','002404000070000-240400007','快中子后装治疗（中子刀）',null,null,0,0,0,null,950,860,730,'次',19,1,'normal','main',0),</v>
      </c>
    </row>
    <row r="81" hidden="1" spans="1:23">
      <c r="A81">
        <v>1380</v>
      </c>
      <c r="B81" s="3" t="s">
        <v>496</v>
      </c>
      <c r="C81" s="3">
        <v>1</v>
      </c>
      <c r="D81" s="4" t="s">
        <v>497</v>
      </c>
      <c r="E81" t="s">
        <v>401</v>
      </c>
      <c r="F81" t="s">
        <v>401</v>
      </c>
      <c r="G81" t="s">
        <v>402</v>
      </c>
      <c r="H81" s="5" t="s">
        <v>496</v>
      </c>
      <c r="I81" s="5" t="s">
        <v>496</v>
      </c>
      <c r="J81">
        <v>200</v>
      </c>
      <c r="K81">
        <v>190</v>
      </c>
      <c r="L81">
        <v>161.5</v>
      </c>
      <c r="M81" s="5" t="s">
        <v>496</v>
      </c>
      <c r="N81">
        <v>500</v>
      </c>
      <c r="O81">
        <v>450</v>
      </c>
      <c r="P81">
        <v>390</v>
      </c>
      <c r="Q81" t="s">
        <v>38</v>
      </c>
      <c r="R81">
        <v>19</v>
      </c>
      <c r="S81" s="5">
        <v>1</v>
      </c>
      <c r="T81" s="3" t="s">
        <v>498</v>
      </c>
      <c r="U81" t="s">
        <v>499</v>
      </c>
      <c r="V81">
        <v>0</v>
      </c>
      <c r="W81" s="5" t="str">
        <f t="shared" si="2"/>
        <v>(1380,null,1,'2026-03-12 00:00:00','002306000010000-230600001','002306000010000-230600001','131碘（甲亢治疗）',null,null,200,190,161.5,null,500,450,390,'次',19,1,'normal','main',0),</v>
      </c>
    </row>
    <row r="82" hidden="1" spans="1:23">
      <c r="A82">
        <v>1381</v>
      </c>
      <c r="B82" s="3" t="s">
        <v>496</v>
      </c>
      <c r="C82" s="3">
        <v>1</v>
      </c>
      <c r="D82" s="4" t="s">
        <v>497</v>
      </c>
      <c r="E82" t="s">
        <v>403</v>
      </c>
      <c r="F82" t="s">
        <v>403</v>
      </c>
      <c r="G82" t="s">
        <v>404</v>
      </c>
      <c r="H82" s="5" t="s">
        <v>496</v>
      </c>
      <c r="I82" s="5" t="s">
        <v>496</v>
      </c>
      <c r="J82">
        <v>200</v>
      </c>
      <c r="K82">
        <v>190</v>
      </c>
      <c r="L82">
        <v>161.5</v>
      </c>
      <c r="M82" s="5" t="s">
        <v>496</v>
      </c>
      <c r="N82">
        <v>500</v>
      </c>
      <c r="O82">
        <v>450</v>
      </c>
      <c r="P82">
        <v>390</v>
      </c>
      <c r="Q82" t="s">
        <v>38</v>
      </c>
      <c r="R82">
        <v>19</v>
      </c>
      <c r="S82" s="5">
        <v>1</v>
      </c>
      <c r="T82" s="3" t="s">
        <v>498</v>
      </c>
      <c r="U82" t="s">
        <v>499</v>
      </c>
      <c r="V82">
        <v>0</v>
      </c>
      <c r="W82" s="5" t="str">
        <f t="shared" si="2"/>
        <v>(1381,null,1,'2026-03-12 00:00:00','002306000020000-230600002','002306000020000-230600002','131碘（功能自主性甲状腺瘤治疗）',null,null,200,190,161.5,null,500,450,390,'次',19,1,'normal','main',0),</v>
      </c>
    </row>
    <row r="83" hidden="1" spans="1:23">
      <c r="A83">
        <v>1382</v>
      </c>
      <c r="B83" s="3" t="s">
        <v>496</v>
      </c>
      <c r="C83" s="3">
        <v>1</v>
      </c>
      <c r="D83" s="4" t="s">
        <v>497</v>
      </c>
      <c r="E83" t="s">
        <v>405</v>
      </c>
      <c r="F83" t="s">
        <v>405</v>
      </c>
      <c r="G83" t="s">
        <v>406</v>
      </c>
      <c r="H83" s="5" t="s">
        <v>496</v>
      </c>
      <c r="I83" s="5" t="s">
        <v>496</v>
      </c>
      <c r="J83">
        <v>400</v>
      </c>
      <c r="K83">
        <v>380</v>
      </c>
      <c r="L83">
        <v>323</v>
      </c>
      <c r="M83" s="5" t="s">
        <v>496</v>
      </c>
      <c r="N83">
        <v>500</v>
      </c>
      <c r="O83">
        <v>450</v>
      </c>
      <c r="P83">
        <v>390</v>
      </c>
      <c r="Q83" t="s">
        <v>38</v>
      </c>
      <c r="R83">
        <v>19</v>
      </c>
      <c r="S83" s="5">
        <v>1</v>
      </c>
      <c r="T83" s="3" t="s">
        <v>498</v>
      </c>
      <c r="U83" t="s">
        <v>499</v>
      </c>
      <c r="V83">
        <v>0</v>
      </c>
      <c r="W83" s="5" t="str">
        <f t="shared" si="2"/>
        <v>(1382,null,1,'2026-03-12 00:00:00','002306000030000-230600003','002306000030000-230600003','131碘（甲状腺癌转移灶治疗）',null,null,400,380,323,null,500,450,390,'次',19,1,'normal','main',0),</v>
      </c>
    </row>
    <row r="84" hidden="1" spans="1:23">
      <c r="A84">
        <v>1383</v>
      </c>
      <c r="B84" s="3" t="s">
        <v>496</v>
      </c>
      <c r="C84" s="3">
        <v>1</v>
      </c>
      <c r="D84" s="4" t="s">
        <v>497</v>
      </c>
      <c r="E84" t="s">
        <v>407</v>
      </c>
      <c r="F84" t="s">
        <v>407</v>
      </c>
      <c r="G84" t="s">
        <v>408</v>
      </c>
      <c r="H84" s="5" t="s">
        <v>496</v>
      </c>
      <c r="I84" s="5" t="s">
        <v>496</v>
      </c>
      <c r="J84">
        <v>400</v>
      </c>
      <c r="K84">
        <v>380</v>
      </c>
      <c r="L84">
        <v>323</v>
      </c>
      <c r="M84" s="5" t="s">
        <v>496</v>
      </c>
      <c r="N84">
        <v>500</v>
      </c>
      <c r="O84">
        <v>450</v>
      </c>
      <c r="P84">
        <v>390</v>
      </c>
      <c r="Q84" t="s">
        <v>38</v>
      </c>
      <c r="R84">
        <v>19</v>
      </c>
      <c r="S84" s="5">
        <v>1</v>
      </c>
      <c r="T84" s="3" t="s">
        <v>498</v>
      </c>
      <c r="U84" t="s">
        <v>499</v>
      </c>
      <c r="V84">
        <v>0</v>
      </c>
      <c r="W84" s="5" t="str">
        <f t="shared" si="2"/>
        <v>(1383,null,1,'2026-03-12 00:00:00','002306000040000-230600004','002306000040000-230600004','131碘（肿瘤抗体放免治疗）',null,null,400,380,323,null,500,450,390,'次',19,1,'normal','main',0),</v>
      </c>
    </row>
    <row r="85" hidden="1" spans="1:23">
      <c r="A85">
        <v>1384</v>
      </c>
      <c r="B85" s="3" t="s">
        <v>496</v>
      </c>
      <c r="C85" s="3">
        <v>1</v>
      </c>
      <c r="D85" s="4" t="s">
        <v>497</v>
      </c>
      <c r="E85" t="s">
        <v>409</v>
      </c>
      <c r="F85" t="s">
        <v>409</v>
      </c>
      <c r="G85" t="s">
        <v>410</v>
      </c>
      <c r="H85" s="5" t="s">
        <v>496</v>
      </c>
      <c r="I85" s="5" t="s">
        <v>496</v>
      </c>
      <c r="J85">
        <v>260</v>
      </c>
      <c r="K85">
        <v>247</v>
      </c>
      <c r="L85">
        <v>210</v>
      </c>
      <c r="M85" s="5" t="s">
        <v>496</v>
      </c>
      <c r="N85">
        <v>500</v>
      </c>
      <c r="O85">
        <v>450</v>
      </c>
      <c r="P85">
        <v>390</v>
      </c>
      <c r="Q85" t="s">
        <v>38</v>
      </c>
      <c r="R85">
        <v>19</v>
      </c>
      <c r="S85" s="5">
        <v>1</v>
      </c>
      <c r="T85" s="3" t="s">
        <v>498</v>
      </c>
      <c r="U85" t="s">
        <v>499</v>
      </c>
      <c r="V85">
        <v>0</v>
      </c>
      <c r="W85" s="5" t="str">
        <f t="shared" si="2"/>
        <v>(1384,null,1,'2026-03-12 00:00:00','002306000050000-230600005','002306000050000-230600005','32磷（胶体腔内治疗）',null,null,260,247,210,null,500,450,390,'次',19,1,'normal','main',0),</v>
      </c>
    </row>
    <row r="86" hidden="1" spans="1:23">
      <c r="A86">
        <v>1385</v>
      </c>
      <c r="B86" s="3" t="s">
        <v>496</v>
      </c>
      <c r="C86" s="3">
        <v>1</v>
      </c>
      <c r="D86" s="4" t="s">
        <v>497</v>
      </c>
      <c r="E86" t="s">
        <v>411</v>
      </c>
      <c r="F86" t="s">
        <v>411</v>
      </c>
      <c r="G86" t="s">
        <v>412</v>
      </c>
      <c r="H86" s="5" t="s">
        <v>496</v>
      </c>
      <c r="I86" s="5" t="s">
        <v>496</v>
      </c>
      <c r="J86">
        <v>165</v>
      </c>
      <c r="K86">
        <v>153</v>
      </c>
      <c r="L86">
        <v>130.1</v>
      </c>
      <c r="M86" s="5" t="s">
        <v>496</v>
      </c>
      <c r="N86">
        <v>500</v>
      </c>
      <c r="O86">
        <v>450</v>
      </c>
      <c r="P86">
        <v>390</v>
      </c>
      <c r="Q86" t="s">
        <v>38</v>
      </c>
      <c r="R86">
        <v>19</v>
      </c>
      <c r="S86" s="5">
        <v>1</v>
      </c>
      <c r="T86" s="3" t="s">
        <v>498</v>
      </c>
      <c r="U86" t="s">
        <v>499</v>
      </c>
      <c r="V86">
        <v>0</v>
      </c>
      <c r="W86" s="5" t="str">
        <f t="shared" si="2"/>
        <v>(1385,null,1,'2026-03-12 00:00:00','002306000060000-230600006','002306000060000-230600006','32磷（血液病治疗）',null,null,165,153,130.1,null,500,450,390,'次',19,1,'normal','main',0),</v>
      </c>
    </row>
    <row r="87" hidden="1" spans="1:23">
      <c r="A87">
        <v>1386</v>
      </c>
      <c r="B87" s="3" t="s">
        <v>496</v>
      </c>
      <c r="C87" s="3">
        <v>1</v>
      </c>
      <c r="D87" s="4" t="s">
        <v>497</v>
      </c>
      <c r="E87" t="s">
        <v>413</v>
      </c>
      <c r="F87" t="s">
        <v>413</v>
      </c>
      <c r="G87" t="s">
        <v>414</v>
      </c>
      <c r="H87" s="5" t="s">
        <v>496</v>
      </c>
      <c r="I87" s="5" t="s">
        <v>496</v>
      </c>
      <c r="J87">
        <v>235</v>
      </c>
      <c r="K87">
        <v>210</v>
      </c>
      <c r="L87">
        <v>178.5</v>
      </c>
      <c r="M87" s="5" t="s">
        <v>496</v>
      </c>
      <c r="N87">
        <v>500</v>
      </c>
      <c r="O87">
        <v>450</v>
      </c>
      <c r="P87">
        <v>390</v>
      </c>
      <c r="Q87" t="s">
        <v>38</v>
      </c>
      <c r="R87">
        <v>19</v>
      </c>
      <c r="S87" s="5">
        <v>1</v>
      </c>
      <c r="T87" s="3" t="s">
        <v>498</v>
      </c>
      <c r="U87" t="s">
        <v>499</v>
      </c>
      <c r="V87">
        <v>0</v>
      </c>
      <c r="W87" s="5" t="str">
        <f t="shared" si="2"/>
        <v>(1386,null,1,'2026-03-12 00:00:00','002306000090000-230600009','002306000090000-230600009','89锶（骨转移瘤治疗）',null,null,235,210,178.5,null,500,450,390,'次',19,1,'normal','main',0),</v>
      </c>
    </row>
    <row r="88" hidden="1" spans="1:23">
      <c r="A88">
        <v>1387</v>
      </c>
      <c r="B88" s="3" t="s">
        <v>496</v>
      </c>
      <c r="C88" s="3">
        <v>1</v>
      </c>
      <c r="D88" s="4" t="s">
        <v>497</v>
      </c>
      <c r="E88" t="s">
        <v>415</v>
      </c>
      <c r="F88" t="s">
        <v>415</v>
      </c>
      <c r="G88" t="s">
        <v>416</v>
      </c>
      <c r="H88" s="5" t="s">
        <v>496</v>
      </c>
      <c r="I88" s="5" t="s">
        <v>496</v>
      </c>
      <c r="J88">
        <v>300</v>
      </c>
      <c r="K88">
        <v>285</v>
      </c>
      <c r="L88">
        <v>242.3</v>
      </c>
      <c r="M88" s="5" t="s">
        <v>496</v>
      </c>
      <c r="N88">
        <v>500</v>
      </c>
      <c r="O88">
        <v>450</v>
      </c>
      <c r="P88">
        <v>390</v>
      </c>
      <c r="Q88" t="s">
        <v>38</v>
      </c>
      <c r="R88">
        <v>19</v>
      </c>
      <c r="S88" s="5">
        <v>1</v>
      </c>
      <c r="T88" s="3" t="s">
        <v>498</v>
      </c>
      <c r="U88" t="s">
        <v>499</v>
      </c>
      <c r="V88">
        <v>0</v>
      </c>
      <c r="W88" s="5" t="str">
        <f t="shared" si="2"/>
        <v>(1387,null,1,'2026-03-12 00:00:00','002306000100000-230600010','002306000100000-230600010','153钐-EDTMP骨转移瘤治疗',null,null,300,285,242.3,null,500,450,390,'次',19,1,'normal','main',0),</v>
      </c>
    </row>
    <row r="89" hidden="1" spans="1:23">
      <c r="A89">
        <v>1388</v>
      </c>
      <c r="B89" s="3" t="s">
        <v>496</v>
      </c>
      <c r="C89" s="3">
        <v>1</v>
      </c>
      <c r="D89" s="4" t="s">
        <v>497</v>
      </c>
      <c r="E89" t="s">
        <v>417</v>
      </c>
      <c r="F89" t="s">
        <v>417</v>
      </c>
      <c r="G89" t="s">
        <v>418</v>
      </c>
      <c r="H89" s="5" t="s">
        <v>496</v>
      </c>
      <c r="I89" s="5" t="s">
        <v>496</v>
      </c>
      <c r="J89">
        <v>300</v>
      </c>
      <c r="K89">
        <v>285</v>
      </c>
      <c r="L89">
        <v>242.3</v>
      </c>
      <c r="M89" s="5" t="s">
        <v>496</v>
      </c>
      <c r="N89">
        <v>500</v>
      </c>
      <c r="O89">
        <v>450</v>
      </c>
      <c r="P89">
        <v>390</v>
      </c>
      <c r="Q89" t="s">
        <v>38</v>
      </c>
      <c r="R89">
        <v>19</v>
      </c>
      <c r="S89" s="5">
        <v>1</v>
      </c>
      <c r="T89" s="3" t="s">
        <v>498</v>
      </c>
      <c r="U89" t="s">
        <v>499</v>
      </c>
      <c r="V89">
        <v>0</v>
      </c>
      <c r="W89" s="5" t="str">
        <f t="shared" si="2"/>
        <v>(1388,null,1,'2026-03-12 00:00:00','002306000110000-230600011','002306000110000-230600011','188铼-HEDP骨转移瘤治疗',null,null,300,285,242.3,null,500,450,390,'次',19,1,'normal','main',0),</v>
      </c>
    </row>
    <row r="90" hidden="1" spans="1:23">
      <c r="A90">
        <v>1389</v>
      </c>
      <c r="B90" s="3" t="s">
        <v>496</v>
      </c>
      <c r="C90" s="3">
        <v>1</v>
      </c>
      <c r="D90" s="4" t="s">
        <v>497</v>
      </c>
      <c r="E90" t="s">
        <v>419</v>
      </c>
      <c r="F90" t="s">
        <v>419</v>
      </c>
      <c r="G90" t="s">
        <v>420</v>
      </c>
      <c r="H90" s="5" t="s">
        <v>496</v>
      </c>
      <c r="I90" s="5" t="s">
        <v>496</v>
      </c>
      <c r="J90">
        <v>320</v>
      </c>
      <c r="K90">
        <v>304</v>
      </c>
      <c r="L90">
        <v>258.4</v>
      </c>
      <c r="M90" s="5" t="s">
        <v>496</v>
      </c>
      <c r="N90">
        <v>500</v>
      </c>
      <c r="O90">
        <v>450</v>
      </c>
      <c r="P90">
        <v>390</v>
      </c>
      <c r="Q90" t="s">
        <v>38</v>
      </c>
      <c r="R90">
        <v>19</v>
      </c>
      <c r="S90" s="5">
        <v>1</v>
      </c>
      <c r="T90" s="3" t="s">
        <v>498</v>
      </c>
      <c r="U90" t="s">
        <v>499</v>
      </c>
      <c r="V90">
        <v>0</v>
      </c>
      <c r="W90" s="5" t="str">
        <f t="shared" si="2"/>
        <v>(1389,null,1,'2026-03-12 00:00:00','002306000120000-230600012','002306000120000-230600012','131碘（MIBG恶性肿瘤治疗）',null,null,320,304,258.4,null,500,450,390,'次',19,1,'normal','main',0),</v>
      </c>
    </row>
    <row r="91" hidden="1" spans="1:23">
      <c r="A91">
        <v>1390</v>
      </c>
      <c r="B91" s="3" t="s">
        <v>496</v>
      </c>
      <c r="C91" s="3">
        <v>1</v>
      </c>
      <c r="D91" s="4" t="s">
        <v>497</v>
      </c>
      <c r="E91" t="s">
        <v>429</v>
      </c>
      <c r="F91" t="s">
        <v>429</v>
      </c>
      <c r="G91" t="s">
        <v>430</v>
      </c>
      <c r="H91" s="5" t="s">
        <v>496</v>
      </c>
      <c r="I91" s="5" t="s">
        <v>496</v>
      </c>
      <c r="J91">
        <v>100</v>
      </c>
      <c r="K91">
        <v>95</v>
      </c>
      <c r="L91">
        <v>80.8</v>
      </c>
      <c r="M91" s="5" t="s">
        <v>496</v>
      </c>
      <c r="N91">
        <v>110</v>
      </c>
      <c r="O91">
        <v>100</v>
      </c>
      <c r="P91">
        <v>85</v>
      </c>
      <c r="Q91" t="s">
        <v>38</v>
      </c>
      <c r="R91">
        <v>19</v>
      </c>
      <c r="S91" s="5">
        <v>1</v>
      </c>
      <c r="T91" s="3" t="s">
        <v>498</v>
      </c>
      <c r="U91" t="s">
        <v>499</v>
      </c>
      <c r="V91">
        <v>0</v>
      </c>
      <c r="W91" s="5" t="str">
        <f t="shared" si="2"/>
        <v>(1390,null,1,'2026-03-12 00:00:00','002306000150000-230600015','002306000150000-230600015','99锝（云克）治疗',null,null,100,95,80.8,null,110,100,85,'次',19,1,'normal','main',0),</v>
      </c>
    </row>
    <row r="92" hidden="1" spans="1:23">
      <c r="A92">
        <v>1391</v>
      </c>
      <c r="B92" s="3" t="s">
        <v>496</v>
      </c>
      <c r="C92" s="3">
        <v>1</v>
      </c>
      <c r="D92" s="4" t="s">
        <v>497</v>
      </c>
      <c r="E92" t="s">
        <v>436</v>
      </c>
      <c r="F92" t="s">
        <v>436</v>
      </c>
      <c r="G92" t="s">
        <v>437</v>
      </c>
      <c r="H92" s="5" t="s">
        <v>496</v>
      </c>
      <c r="I92" s="5" t="s">
        <v>496</v>
      </c>
      <c r="J92">
        <v>450</v>
      </c>
      <c r="K92">
        <v>428</v>
      </c>
      <c r="L92">
        <v>363.8</v>
      </c>
      <c r="M92" s="5" t="s">
        <v>496</v>
      </c>
      <c r="N92">
        <v>1450</v>
      </c>
      <c r="O92">
        <v>1300</v>
      </c>
      <c r="P92">
        <v>1100</v>
      </c>
      <c r="Q92" t="s">
        <v>38</v>
      </c>
      <c r="R92">
        <v>19</v>
      </c>
      <c r="S92" s="5">
        <v>1</v>
      </c>
      <c r="T92" s="3" t="s">
        <v>498</v>
      </c>
      <c r="U92" t="s">
        <v>499</v>
      </c>
      <c r="V92">
        <v>0</v>
      </c>
      <c r="W92" s="5" t="str">
        <f t="shared" si="2"/>
        <v>(1391,null,1,'2026-03-12 00:00:00','002306000070000-230600007','002306000070000-230600007','32磷（微球介入治疗）',null,null,450,428,363.8,null,1450,1300,1100,'次',19,1,'normal','main',0),</v>
      </c>
    </row>
    <row r="93" hidden="1" spans="1:23">
      <c r="A93">
        <v>1392</v>
      </c>
      <c r="B93" s="3" t="s">
        <v>496</v>
      </c>
      <c r="C93" s="3">
        <v>1</v>
      </c>
      <c r="D93" s="4" t="s">
        <v>497</v>
      </c>
      <c r="E93" t="s">
        <v>438</v>
      </c>
      <c r="F93" t="s">
        <v>438</v>
      </c>
      <c r="G93" t="s">
        <v>439</v>
      </c>
      <c r="H93" s="5" t="s">
        <v>496</v>
      </c>
      <c r="I93" s="5" t="s">
        <v>496</v>
      </c>
      <c r="J93">
        <v>450</v>
      </c>
      <c r="K93">
        <v>428</v>
      </c>
      <c r="L93">
        <v>363.8</v>
      </c>
      <c r="M93" s="5" t="s">
        <v>496</v>
      </c>
      <c r="N93">
        <v>1450</v>
      </c>
      <c r="O93">
        <v>1300</v>
      </c>
      <c r="P93">
        <v>1100</v>
      </c>
      <c r="Q93" t="s">
        <v>38</v>
      </c>
      <c r="R93">
        <v>19</v>
      </c>
      <c r="S93" s="5">
        <v>1</v>
      </c>
      <c r="T93" s="3" t="s">
        <v>498</v>
      </c>
      <c r="U93" t="s">
        <v>499</v>
      </c>
      <c r="V93">
        <v>0</v>
      </c>
      <c r="W93" s="5" t="str">
        <f t="shared" si="2"/>
        <v>(1392,null,1,'2026-03-12 00:00:00','002306000080000-230600008','002306000080000-230600008','90钇（微球介入治疗）',null,null,450,428,363.8,null,1450,1300,1100,'次',19,1,'normal','main',0),</v>
      </c>
    </row>
    <row r="94" hidden="1" spans="1:23">
      <c r="A94">
        <v>1393</v>
      </c>
      <c r="B94" s="3" t="s">
        <v>496</v>
      </c>
      <c r="C94" s="3">
        <v>1</v>
      </c>
      <c r="D94" s="4" t="s">
        <v>497</v>
      </c>
      <c r="E94" t="s">
        <v>440</v>
      </c>
      <c r="F94" t="s">
        <v>440</v>
      </c>
      <c r="G94" t="s">
        <v>441</v>
      </c>
      <c r="H94" s="5" t="s">
        <v>496</v>
      </c>
      <c r="I94" s="5" t="s">
        <v>496</v>
      </c>
      <c r="J94">
        <v>450</v>
      </c>
      <c r="K94">
        <v>428</v>
      </c>
      <c r="L94">
        <v>363.8</v>
      </c>
      <c r="M94" s="5" t="s">
        <v>496</v>
      </c>
      <c r="N94">
        <v>1450</v>
      </c>
      <c r="O94">
        <v>1300</v>
      </c>
      <c r="P94">
        <v>1100</v>
      </c>
      <c r="Q94" t="s">
        <v>38</v>
      </c>
      <c r="R94">
        <v>19</v>
      </c>
      <c r="S94" s="5">
        <v>1</v>
      </c>
      <c r="T94" s="3" t="s">
        <v>498</v>
      </c>
      <c r="U94" t="s">
        <v>499</v>
      </c>
      <c r="V94">
        <v>0</v>
      </c>
      <c r="W94" s="5" t="str">
        <f t="shared" si="2"/>
        <v>(1393,null,1,'2026-03-12 00:00:00','002306000130000-230600013','002306000130000-230600013','核素组织间介入治疗',null,null,450,428,363.8,null,1450,1300,1100,'次',19,1,'normal','main',0),</v>
      </c>
    </row>
    <row r="95" hidden="1" spans="1:23">
      <c r="A95">
        <v>1394</v>
      </c>
      <c r="B95" s="3" t="s">
        <v>496</v>
      </c>
      <c r="C95" s="3">
        <v>1</v>
      </c>
      <c r="D95" s="4" t="s">
        <v>497</v>
      </c>
      <c r="E95" t="s">
        <v>442</v>
      </c>
      <c r="F95" t="s">
        <v>442</v>
      </c>
      <c r="G95" t="s">
        <v>443</v>
      </c>
      <c r="H95" s="5" t="s">
        <v>496</v>
      </c>
      <c r="I95" s="5" t="s">
        <v>496</v>
      </c>
      <c r="J95">
        <v>300</v>
      </c>
      <c r="K95">
        <v>285</v>
      </c>
      <c r="L95">
        <v>242.3</v>
      </c>
      <c r="M95" s="5" t="s">
        <v>496</v>
      </c>
      <c r="N95">
        <v>1450</v>
      </c>
      <c r="O95">
        <v>1300</v>
      </c>
      <c r="P95">
        <v>1100</v>
      </c>
      <c r="Q95" t="s">
        <v>38</v>
      </c>
      <c r="R95">
        <v>19</v>
      </c>
      <c r="S95" s="5">
        <v>1</v>
      </c>
      <c r="T95" s="3" t="s">
        <v>498</v>
      </c>
      <c r="U95" t="s">
        <v>499</v>
      </c>
      <c r="V95">
        <v>0</v>
      </c>
      <c r="W95" s="5" t="str">
        <f t="shared" si="2"/>
        <v>(1394,null,1,'2026-03-12 00:00:00','002306000140000-230600014','002306000140000-230600014','核素血管内介入治疗',null,null,300,285,242.3,null,1450,1300,1100,'次',19,1,'normal','main',0),</v>
      </c>
    </row>
    <row r="96" hidden="1" spans="1:23">
      <c r="A96">
        <v>1395</v>
      </c>
      <c r="B96" s="3" t="s">
        <v>496</v>
      </c>
      <c r="C96" s="3">
        <v>1</v>
      </c>
      <c r="D96" s="4" t="s">
        <v>497</v>
      </c>
      <c r="E96" t="s">
        <v>444</v>
      </c>
      <c r="F96" t="s">
        <v>444</v>
      </c>
      <c r="G96" t="s">
        <v>445</v>
      </c>
      <c r="H96" s="5" t="s">
        <v>496</v>
      </c>
      <c r="I96" s="5" t="s">
        <v>496</v>
      </c>
      <c r="J96">
        <v>830</v>
      </c>
      <c r="K96">
        <v>750</v>
      </c>
      <c r="L96">
        <v>637.5</v>
      </c>
      <c r="M96" s="5" t="s">
        <v>496</v>
      </c>
      <c r="N96">
        <v>1450</v>
      </c>
      <c r="O96">
        <v>1300</v>
      </c>
      <c r="P96">
        <v>1100</v>
      </c>
      <c r="Q96" t="s">
        <v>38</v>
      </c>
      <c r="R96">
        <v>19</v>
      </c>
      <c r="S96" s="5">
        <v>1</v>
      </c>
      <c r="T96" s="3" t="s">
        <v>498</v>
      </c>
      <c r="U96" t="s">
        <v>499</v>
      </c>
      <c r="V96">
        <v>0</v>
      </c>
      <c r="W96" s="5" t="str">
        <f t="shared" si="2"/>
        <v>(1395,null,1,'2026-03-12 00:00:00','002306000170000-230600017','002306000170000-230600017','组织间粒子植入术',null,null,830,750,637.5,null,1450,1300,1100,'次',19,1,'normal','main',0),</v>
      </c>
    </row>
    <row r="97" hidden="1" spans="1:23">
      <c r="A97">
        <v>1396</v>
      </c>
      <c r="B97" s="3" t="s">
        <v>496</v>
      </c>
      <c r="C97" s="3">
        <v>1</v>
      </c>
      <c r="D97" s="4" t="s">
        <v>497</v>
      </c>
      <c r="E97" t="s">
        <v>448</v>
      </c>
      <c r="F97" t="s">
        <v>448</v>
      </c>
      <c r="G97" t="s">
        <v>449</v>
      </c>
      <c r="H97" s="5" t="s">
        <v>496</v>
      </c>
      <c r="I97" s="5" t="s">
        <v>496</v>
      </c>
      <c r="J97">
        <v>830</v>
      </c>
      <c r="K97">
        <v>750</v>
      </c>
      <c r="L97">
        <v>637.5</v>
      </c>
      <c r="M97" s="5" t="s">
        <v>496</v>
      </c>
      <c r="N97">
        <v>1450</v>
      </c>
      <c r="O97">
        <v>1300</v>
      </c>
      <c r="P97">
        <v>1100</v>
      </c>
      <c r="Q97" t="s">
        <v>38</v>
      </c>
      <c r="R97">
        <v>19</v>
      </c>
      <c r="S97" s="5">
        <v>1</v>
      </c>
      <c r="T97" s="3" t="s">
        <v>498</v>
      </c>
      <c r="U97" t="s">
        <v>499</v>
      </c>
      <c r="V97">
        <v>0</v>
      </c>
      <c r="W97" s="5" t="str">
        <f t="shared" si="2"/>
        <v>(1396,null,1,'2026-03-12 00:00:00','002306000170100-23060001701','002306000170100-23060001701','放射性粒子植入术',null,null,830,750,637.5,null,1450,1300,1100,'次',19,1,'normal','main',0),</v>
      </c>
    </row>
    <row r="98" hidden="1" spans="1:23">
      <c r="A98">
        <v>1397</v>
      </c>
      <c r="B98" s="3" t="s">
        <v>496</v>
      </c>
      <c r="C98" s="3">
        <v>1</v>
      </c>
      <c r="D98" s="4" t="s">
        <v>497</v>
      </c>
      <c r="E98" t="s">
        <v>450</v>
      </c>
      <c r="F98" t="s">
        <v>450</v>
      </c>
      <c r="G98" t="s">
        <v>451</v>
      </c>
      <c r="H98" s="5" t="s">
        <v>496</v>
      </c>
      <c r="I98" s="5" t="s">
        <v>496</v>
      </c>
      <c r="J98">
        <v>830</v>
      </c>
      <c r="K98">
        <v>750</v>
      </c>
      <c r="L98">
        <v>637.5</v>
      </c>
      <c r="M98" s="5" t="s">
        <v>496</v>
      </c>
      <c r="N98">
        <v>1450</v>
      </c>
      <c r="O98">
        <v>1300</v>
      </c>
      <c r="P98">
        <v>1100</v>
      </c>
      <c r="Q98" t="s">
        <v>38</v>
      </c>
      <c r="R98">
        <v>19</v>
      </c>
      <c r="S98" s="5">
        <v>1</v>
      </c>
      <c r="T98" s="3" t="s">
        <v>498</v>
      </c>
      <c r="U98" t="s">
        <v>499</v>
      </c>
      <c r="V98">
        <v>0</v>
      </c>
      <c r="W98" s="5" t="str">
        <f t="shared" si="2"/>
        <v>(1397,null,1,'2026-03-12 00:00:00','002306000170200-23060001702','002306000170200-23060001702','化疗药物粒子植入术',null,null,830,750,637.5,null,1450,1300,1100,'次',19,1,'normal','main',0),</v>
      </c>
    </row>
    <row r="99" hidden="1" spans="1:23">
      <c r="A99">
        <v>1398</v>
      </c>
      <c r="B99" s="3" t="s">
        <v>496</v>
      </c>
      <c r="C99" s="3">
        <v>1</v>
      </c>
      <c r="D99" s="4" t="s">
        <v>497</v>
      </c>
      <c r="E99" t="s">
        <v>458</v>
      </c>
      <c r="F99" t="s">
        <v>458</v>
      </c>
      <c r="G99" t="s">
        <v>459</v>
      </c>
      <c r="H99" s="5" t="s">
        <v>496</v>
      </c>
      <c r="I99" s="5" t="s">
        <v>496</v>
      </c>
      <c r="J99">
        <v>49</v>
      </c>
      <c r="K99">
        <v>44</v>
      </c>
      <c r="L99">
        <v>37.4</v>
      </c>
      <c r="M99" s="5" t="s">
        <v>496</v>
      </c>
      <c r="N99">
        <v>49</v>
      </c>
      <c r="O99">
        <v>44</v>
      </c>
      <c r="P99">
        <v>38</v>
      </c>
      <c r="Q99" t="s">
        <v>38</v>
      </c>
      <c r="R99">
        <v>19</v>
      </c>
      <c r="S99" s="5">
        <v>1</v>
      </c>
      <c r="T99" s="3" t="s">
        <v>498</v>
      </c>
      <c r="U99" t="s">
        <v>499</v>
      </c>
      <c r="V99">
        <v>0</v>
      </c>
      <c r="W99" s="5" t="str">
        <f t="shared" si="2"/>
        <v>(1398,null,1,'2026-03-12 00:00:00','002306000160000-230600016','002306000160000-230600016','放射性核素贴敷治疗',null,null,49,44,37.4,null,49,44,38,'次',19,1,'normal','main',0),</v>
      </c>
    </row>
    <row r="100" hidden="1" spans="1:23">
      <c r="A100">
        <v>1399</v>
      </c>
      <c r="B100" s="3" t="s">
        <v>496</v>
      </c>
      <c r="C100" s="3">
        <v>1</v>
      </c>
      <c r="D100" s="4" t="s">
        <v>497</v>
      </c>
      <c r="E100" t="s">
        <v>467</v>
      </c>
      <c r="F100" t="s">
        <v>467</v>
      </c>
      <c r="G100" t="s">
        <v>462</v>
      </c>
      <c r="H100" s="5" t="s">
        <v>496</v>
      </c>
      <c r="I100" s="5" t="s">
        <v>496</v>
      </c>
      <c r="J100">
        <v>1500</v>
      </c>
      <c r="K100">
        <v>1320</v>
      </c>
      <c r="L100">
        <v>1122</v>
      </c>
      <c r="M100" s="5" t="s">
        <v>496</v>
      </c>
      <c r="N100">
        <v>1400</v>
      </c>
      <c r="O100">
        <v>1250</v>
      </c>
      <c r="P100">
        <v>1050</v>
      </c>
      <c r="Q100" t="s">
        <v>38</v>
      </c>
      <c r="R100">
        <v>19</v>
      </c>
      <c r="S100" s="5">
        <v>1</v>
      </c>
      <c r="T100" s="3" t="s">
        <v>498</v>
      </c>
      <c r="U100" t="s">
        <v>499</v>
      </c>
      <c r="V100">
        <v>0</v>
      </c>
      <c r="W100" s="5" t="str">
        <f t="shared" si="2"/>
        <v>(1399,null,1,'2026-03-12 00:00:00','002403000140000-240300014','002403000140000-240300014','术中放疗',null,null,1500,1320,1122,null,1400,1250,1050,'次',19,1,'normal','main',0),</v>
      </c>
    </row>
    <row r="101" hidden="1" spans="1:23">
      <c r="A101">
        <v>1400</v>
      </c>
      <c r="B101" s="3" t="s">
        <v>496</v>
      </c>
      <c r="C101" s="3">
        <v>1</v>
      </c>
      <c r="D101" s="4" t="s">
        <v>497</v>
      </c>
      <c r="E101" t="s">
        <v>373</v>
      </c>
      <c r="F101" t="s">
        <v>373</v>
      </c>
      <c r="G101" t="s">
        <v>374</v>
      </c>
      <c r="H101" s="5" t="s">
        <v>496</v>
      </c>
      <c r="I101" s="5" t="s">
        <v>496</v>
      </c>
      <c r="J101">
        <v>350</v>
      </c>
      <c r="K101">
        <v>308</v>
      </c>
      <c r="L101">
        <v>261.8</v>
      </c>
      <c r="M101" s="5" t="s">
        <v>496</v>
      </c>
      <c r="N101">
        <v>1400</v>
      </c>
      <c r="O101">
        <v>1250</v>
      </c>
      <c r="P101">
        <v>1050</v>
      </c>
      <c r="Q101" t="s">
        <v>38</v>
      </c>
      <c r="R101">
        <v>19</v>
      </c>
      <c r="S101" s="5">
        <v>1</v>
      </c>
      <c r="T101" s="3" t="s">
        <v>498</v>
      </c>
      <c r="U101" t="s">
        <v>499</v>
      </c>
      <c r="V101">
        <v>0</v>
      </c>
      <c r="W101" s="5" t="str">
        <f t="shared" si="2"/>
        <v>(1400,null,1,'2026-03-12 00:00:00','002404000040000-240400004','002404000040000-240400004','手术置管放疗',null,null,350,308,261.8,null,1400,1250,1050,'次',19,1,'normal','main',0),</v>
      </c>
    </row>
    <row r="102" hidden="1" spans="1:23">
      <c r="A102">
        <v>1401</v>
      </c>
      <c r="B102" s="3" t="s">
        <v>496</v>
      </c>
      <c r="C102" s="3">
        <v>1</v>
      </c>
      <c r="D102" s="4" t="s">
        <v>497</v>
      </c>
      <c r="E102" t="s">
        <v>471</v>
      </c>
      <c r="F102" t="s">
        <v>471</v>
      </c>
      <c r="G102" t="s">
        <v>472</v>
      </c>
      <c r="H102" s="5" t="s">
        <v>496</v>
      </c>
      <c r="I102" s="5" t="s">
        <v>496</v>
      </c>
      <c r="J102">
        <v>6650</v>
      </c>
      <c r="K102">
        <v>5985</v>
      </c>
      <c r="L102">
        <v>5085</v>
      </c>
      <c r="M102" s="5" t="s">
        <v>496</v>
      </c>
      <c r="N102">
        <v>6650</v>
      </c>
      <c r="O102">
        <v>5985</v>
      </c>
      <c r="P102">
        <v>5085</v>
      </c>
      <c r="Q102" t="s">
        <v>38</v>
      </c>
      <c r="R102">
        <v>19</v>
      </c>
      <c r="S102" s="5">
        <v>1</v>
      </c>
      <c r="T102" s="3" t="s">
        <v>498</v>
      </c>
      <c r="U102" t="s">
        <v>499</v>
      </c>
      <c r="V102">
        <v>0</v>
      </c>
      <c r="W102" s="5" t="str">
        <f t="shared" si="2"/>
        <v>(1401,null,1,'2026-03-12 00:00:00','002403000140000-24030001401','002403000140000-24030001401','可移动光子立体定向术中放疗',null,null,6650,5985,5085,null,6650,5985,5085,'次',19,1,'normal','main',0),</v>
      </c>
    </row>
  </sheetData>
  <autoFilter ref="A1:W102">
    <filterColumn colId="20">
      <customFilters>
        <customFilter operator="equal" val="set"/>
        <customFilter operator="equal" val="limit"/>
      </customFilters>
    </filterColumn>
    <extLst/>
  </autoFilter>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102"/>
  <sheetViews>
    <sheetView tabSelected="1" topLeftCell="G43" workbookViewId="0">
      <selection activeCell="M79" sqref="M79"/>
    </sheetView>
  </sheetViews>
  <sheetFormatPr defaultColWidth="9" defaultRowHeight="15.75"/>
  <cols>
    <col min="4" max="4" width="19.875" customWidth="1"/>
    <col min="5" max="5" width="30.375" customWidth="1"/>
    <col min="6" max="6" width="28.25" customWidth="1"/>
    <col min="7" max="7" width="19.125" customWidth="1"/>
    <col min="14" max="16" width="12.625"/>
    <col min="19" max="19" width="12.625"/>
    <col min="23" max="23" width="62.5" customWidth="1"/>
  </cols>
  <sheetData>
    <row r="1" ht="38.25" spans="1:23">
      <c r="A1" s="1" t="s">
        <v>474</v>
      </c>
      <c r="B1" s="1" t="s">
        <v>475</v>
      </c>
      <c r="C1" s="1" t="s">
        <v>476</v>
      </c>
      <c r="D1" s="2" t="s">
        <v>477</v>
      </c>
      <c r="E1" s="1" t="s">
        <v>478</v>
      </c>
      <c r="F1" s="2" t="s">
        <v>479</v>
      </c>
      <c r="G1" s="1" t="s">
        <v>480</v>
      </c>
      <c r="H1" s="1" t="s">
        <v>481</v>
      </c>
      <c r="I1" s="1" t="s">
        <v>482</v>
      </c>
      <c r="J1" s="1" t="s">
        <v>483</v>
      </c>
      <c r="K1" s="1" t="s">
        <v>484</v>
      </c>
      <c r="L1" s="1" t="s">
        <v>485</v>
      </c>
      <c r="M1" s="1" t="s">
        <v>486</v>
      </c>
      <c r="N1" s="1" t="s">
        <v>487</v>
      </c>
      <c r="O1" s="1" t="s">
        <v>488</v>
      </c>
      <c r="P1" s="1" t="s">
        <v>489</v>
      </c>
      <c r="Q1" s="1" t="s">
        <v>490</v>
      </c>
      <c r="R1" s="1" t="s">
        <v>491</v>
      </c>
      <c r="S1" s="1" t="s">
        <v>492</v>
      </c>
      <c r="T1" s="1" t="s">
        <v>493</v>
      </c>
      <c r="U1" s="1" t="s">
        <v>494</v>
      </c>
      <c r="V1" s="1" t="s">
        <v>495</v>
      </c>
      <c r="W1" s="3" t="str">
        <f>"insert into server_list_change_all_20250525 ("&amp;_xlfn.TEXTJOIN(",",TRUE,A1:V1)&amp;") values"</f>
        <v>insert into server_list_change_all_20250525 (id,code,sever_type,change_time,old_hilist_code,new_hilist_code,hilist_name,selfpay_prop,old_price,old_price_city,old_price_town,old_price_village,new_price,new_price_city,new_price_town,new_price_village,unit,batch,is_use_old,merge_type,cnt_change_model,cnt_change_value) values</v>
      </c>
    </row>
    <row r="2" spans="1:23">
      <c r="A2">
        <v>1301</v>
      </c>
      <c r="B2" s="3" t="s">
        <v>496</v>
      </c>
      <c r="C2" s="3">
        <v>1</v>
      </c>
      <c r="D2" s="4" t="s">
        <v>497</v>
      </c>
      <c r="E2" t="s">
        <v>44</v>
      </c>
      <c r="F2" t="s">
        <v>44</v>
      </c>
      <c r="G2" t="s">
        <v>45</v>
      </c>
      <c r="H2" s="5" t="s">
        <v>496</v>
      </c>
      <c r="I2" s="5" t="s">
        <v>496</v>
      </c>
      <c r="J2">
        <v>1200</v>
      </c>
      <c r="K2">
        <v>1200</v>
      </c>
      <c r="L2">
        <v>1020</v>
      </c>
      <c r="M2" s="5" t="s">
        <v>496</v>
      </c>
      <c r="N2">
        <v>1450</v>
      </c>
      <c r="O2">
        <v>1350</v>
      </c>
      <c r="P2">
        <v>1150</v>
      </c>
      <c r="Q2" t="s">
        <v>38</v>
      </c>
      <c r="R2">
        <v>19</v>
      </c>
      <c r="S2" s="5">
        <v>1</v>
      </c>
      <c r="T2" s="3" t="s">
        <v>498</v>
      </c>
      <c r="U2" s="3" t="s">
        <v>499</v>
      </c>
      <c r="V2">
        <v>0</v>
      </c>
      <c r="W2" s="5" t="str">
        <f t="shared" ref="W2:W65" si="0">"("&amp;A2&amp;","&amp;B2&amp;","&amp;C2&amp;",'"&amp;D2&amp;"','"&amp;E2&amp;"','"&amp;F2&amp;"','"&amp;G2&amp;"',"&amp;H2&amp;","&amp;I2&amp;","&amp;J2&amp;","&amp;K2&amp;","&amp;L2&amp;","&amp;M2&amp;","&amp;N2&amp;","&amp;O2&amp;","&amp;P2&amp;",'"&amp;Q2&amp;"',"&amp;R2&amp;","&amp;S2&amp;",'"&amp;T2&amp;"','"&amp;U2&amp;"',"&amp;V2&amp;"),"</f>
        <v>(1301,null,1,'2026-03-12 00:00:00','352406000040000-240600004','352406000040000-240600004','CT模拟机三维定位',null,null,1200,1200,1020,null,1450,1350,1150,'次',19,1,'normal','main',0),</v>
      </c>
    </row>
    <row r="3" spans="1:23">
      <c r="A3">
        <v>1302</v>
      </c>
      <c r="B3" s="3" t="s">
        <v>496</v>
      </c>
      <c r="C3" s="3">
        <v>1</v>
      </c>
      <c r="D3" s="4" t="s">
        <v>497</v>
      </c>
      <c r="E3" t="s">
        <v>47</v>
      </c>
      <c r="F3" t="s">
        <v>47</v>
      </c>
      <c r="G3" t="s">
        <v>48</v>
      </c>
      <c r="H3" s="5" t="s">
        <v>496</v>
      </c>
      <c r="I3" s="5" t="s">
        <v>496</v>
      </c>
      <c r="J3">
        <v>180</v>
      </c>
      <c r="K3">
        <v>158.4</v>
      </c>
      <c r="L3">
        <v>134.6</v>
      </c>
      <c r="M3" s="5" t="s">
        <v>496</v>
      </c>
      <c r="N3">
        <v>0</v>
      </c>
      <c r="O3">
        <v>0</v>
      </c>
      <c r="P3">
        <v>0</v>
      </c>
      <c r="Q3" t="s">
        <v>38</v>
      </c>
      <c r="R3">
        <v>19</v>
      </c>
      <c r="S3" s="5">
        <v>1</v>
      </c>
      <c r="T3" s="3" t="s">
        <v>498</v>
      </c>
      <c r="U3" s="3" t="s">
        <v>499</v>
      </c>
      <c r="V3">
        <v>0</v>
      </c>
      <c r="W3" s="5" t="str">
        <f t="shared" si="0"/>
        <v>(1302,null,1,'2026-03-12 00:00:00','002405000010000-240500001','002405000010000-240500001','合金模具设计及制作',null,null,180,158.4,134.6,null,0,0,0,'次',19,1,'normal','main',0),</v>
      </c>
    </row>
    <row r="4" spans="1:23">
      <c r="A4">
        <v>1303</v>
      </c>
      <c r="B4" s="3" t="s">
        <v>496</v>
      </c>
      <c r="C4" s="3">
        <v>1</v>
      </c>
      <c r="D4" s="4" t="s">
        <v>497</v>
      </c>
      <c r="E4" t="s">
        <v>50</v>
      </c>
      <c r="F4" t="s">
        <v>50</v>
      </c>
      <c r="G4" t="s">
        <v>51</v>
      </c>
      <c r="H4" s="5" t="s">
        <v>496</v>
      </c>
      <c r="I4" s="5" t="s">
        <v>496</v>
      </c>
      <c r="J4">
        <v>180</v>
      </c>
      <c r="K4">
        <v>158.4</v>
      </c>
      <c r="L4">
        <v>134.6</v>
      </c>
      <c r="M4" s="5" t="s">
        <v>496</v>
      </c>
      <c r="N4">
        <v>0</v>
      </c>
      <c r="O4">
        <v>0</v>
      </c>
      <c r="P4">
        <v>0</v>
      </c>
      <c r="Q4" t="s">
        <v>38</v>
      </c>
      <c r="R4">
        <v>19</v>
      </c>
      <c r="S4" s="5">
        <v>1</v>
      </c>
      <c r="T4" s="3" t="s">
        <v>498</v>
      </c>
      <c r="U4" s="3" t="s">
        <v>499</v>
      </c>
      <c r="V4">
        <v>0</v>
      </c>
      <c r="W4" s="5" t="str">
        <f t="shared" si="0"/>
        <v>(1303,null,1,'2026-03-12 00:00:00','002405000010100-24050000101','002405000010100-24050000101','合金模具设计及制作（电子束制模）',null,null,180,158.4,134.6,null,0,0,0,'次',19,1,'normal','main',0),</v>
      </c>
    </row>
    <row r="5" spans="1:23">
      <c r="A5">
        <v>1304</v>
      </c>
      <c r="B5" s="3" t="s">
        <v>496</v>
      </c>
      <c r="C5" s="3">
        <v>1</v>
      </c>
      <c r="D5" s="4" t="s">
        <v>497</v>
      </c>
      <c r="E5" t="s">
        <v>53</v>
      </c>
      <c r="F5" t="s">
        <v>53</v>
      </c>
      <c r="G5" t="s">
        <v>54</v>
      </c>
      <c r="H5" s="5" t="s">
        <v>496</v>
      </c>
      <c r="I5" s="5" t="s">
        <v>496</v>
      </c>
      <c r="J5">
        <v>180</v>
      </c>
      <c r="K5">
        <v>158.4</v>
      </c>
      <c r="L5">
        <v>134.6</v>
      </c>
      <c r="M5" s="5" t="s">
        <v>496</v>
      </c>
      <c r="N5">
        <v>0</v>
      </c>
      <c r="O5">
        <v>0</v>
      </c>
      <c r="P5">
        <v>0</v>
      </c>
      <c r="Q5" t="s">
        <v>38</v>
      </c>
      <c r="R5">
        <v>19</v>
      </c>
      <c r="S5" s="5">
        <v>1</v>
      </c>
      <c r="T5" s="3" t="s">
        <v>498</v>
      </c>
      <c r="U5" s="3" t="s">
        <v>499</v>
      </c>
      <c r="V5">
        <v>0</v>
      </c>
      <c r="W5" s="5" t="str">
        <f t="shared" si="0"/>
        <v>(1304,null,1,'2026-03-12 00:00:00','002405000010200-24050000102','002405000010200-24050000102','合金模具设计及制作（适形制模）',null,null,180,158.4,134.6,null,0,0,0,'次',19,1,'normal','main',0),</v>
      </c>
    </row>
    <row r="6" spans="1:23">
      <c r="A6">
        <v>1305</v>
      </c>
      <c r="B6" s="3" t="s">
        <v>496</v>
      </c>
      <c r="C6" s="3">
        <v>1</v>
      </c>
      <c r="D6" s="4" t="s">
        <v>497</v>
      </c>
      <c r="E6" t="s">
        <v>56</v>
      </c>
      <c r="F6" t="s">
        <v>56</v>
      </c>
      <c r="G6" t="s">
        <v>57</v>
      </c>
      <c r="H6" s="5" t="s">
        <v>496</v>
      </c>
      <c r="I6" s="5" t="s">
        <v>496</v>
      </c>
      <c r="J6">
        <v>180</v>
      </c>
      <c r="K6">
        <v>158.4</v>
      </c>
      <c r="L6">
        <v>134.6</v>
      </c>
      <c r="M6" s="5" t="s">
        <v>496</v>
      </c>
      <c r="N6">
        <v>0</v>
      </c>
      <c r="O6">
        <v>0</v>
      </c>
      <c r="P6">
        <v>0</v>
      </c>
      <c r="Q6" t="s">
        <v>38</v>
      </c>
      <c r="R6">
        <v>19</v>
      </c>
      <c r="S6" s="5">
        <v>1</v>
      </c>
      <c r="T6" s="3" t="s">
        <v>498</v>
      </c>
      <c r="U6" s="3" t="s">
        <v>499</v>
      </c>
      <c r="V6">
        <v>0</v>
      </c>
      <c r="W6" s="5" t="str">
        <f t="shared" si="0"/>
        <v>(1305,null,1,'2026-03-12 00:00:00','002405000010000-24050000103','002405000010000-24050000103','合金模具设计及制作（斗蓬野）',null,null,180,158.4,134.6,null,0,0,0,'次',19,1,'normal','main',0),</v>
      </c>
    </row>
    <row r="7" spans="1:23">
      <c r="A7">
        <v>1306</v>
      </c>
      <c r="B7" s="3" t="s">
        <v>496</v>
      </c>
      <c r="C7" s="3">
        <v>1</v>
      </c>
      <c r="D7" s="4" t="s">
        <v>497</v>
      </c>
      <c r="E7" t="s">
        <v>59</v>
      </c>
      <c r="F7" t="s">
        <v>59</v>
      </c>
      <c r="G7" t="s">
        <v>60</v>
      </c>
      <c r="H7" s="5" t="s">
        <v>496</v>
      </c>
      <c r="I7" s="5" t="s">
        <v>496</v>
      </c>
      <c r="J7">
        <v>180</v>
      </c>
      <c r="K7">
        <v>158.4</v>
      </c>
      <c r="L7">
        <v>134.6</v>
      </c>
      <c r="M7" s="5" t="s">
        <v>496</v>
      </c>
      <c r="N7">
        <v>0</v>
      </c>
      <c r="O7">
        <v>0</v>
      </c>
      <c r="P7">
        <v>0</v>
      </c>
      <c r="Q7" t="s">
        <v>38</v>
      </c>
      <c r="R7">
        <v>19</v>
      </c>
      <c r="S7" s="5">
        <v>1</v>
      </c>
      <c r="T7" s="3" t="s">
        <v>498</v>
      </c>
      <c r="U7" s="3" t="s">
        <v>499</v>
      </c>
      <c r="V7">
        <v>0</v>
      </c>
      <c r="W7" s="5" t="str">
        <f t="shared" si="0"/>
        <v>(1306,null,1,'2026-03-12 00:00:00','002405000010000-24050000104','002405000010000-24050000104','合金模具设计及制作（倒Y野）',null,null,180,158.4,134.6,null,0,0,0,'次',19,1,'normal','main',0),</v>
      </c>
    </row>
    <row r="8" spans="1:23">
      <c r="A8">
        <v>1307</v>
      </c>
      <c r="B8" s="3" t="s">
        <v>496</v>
      </c>
      <c r="C8" s="3">
        <v>1</v>
      </c>
      <c r="D8" s="4" t="s">
        <v>497</v>
      </c>
      <c r="E8" t="s">
        <v>62</v>
      </c>
      <c r="F8" t="s">
        <v>62</v>
      </c>
      <c r="G8" t="s">
        <v>63</v>
      </c>
      <c r="H8" s="5" t="s">
        <v>496</v>
      </c>
      <c r="I8" s="5" t="s">
        <v>496</v>
      </c>
      <c r="J8">
        <v>80</v>
      </c>
      <c r="K8">
        <v>70.4</v>
      </c>
      <c r="L8">
        <v>59.8</v>
      </c>
      <c r="M8" s="5" t="s">
        <v>496</v>
      </c>
      <c r="N8">
        <v>0</v>
      </c>
      <c r="O8">
        <v>0</v>
      </c>
      <c r="P8">
        <v>0</v>
      </c>
      <c r="Q8" t="s">
        <v>38</v>
      </c>
      <c r="R8">
        <v>19</v>
      </c>
      <c r="S8" s="5">
        <v>1</v>
      </c>
      <c r="T8" s="3" t="s">
        <v>498</v>
      </c>
      <c r="U8" s="3" t="s">
        <v>499</v>
      </c>
      <c r="V8">
        <v>0</v>
      </c>
      <c r="W8" s="5" t="str">
        <f t="shared" si="0"/>
        <v>(1307,null,1,'2026-03-12 00:00:00','002405000020000-240500002','002405000020000-240500002','填充模具设计及制作',null,null,80,70.4,59.8,null,0,0,0,'次',19,1,'normal','main',0),</v>
      </c>
    </row>
    <row r="9" spans="1:23">
      <c r="A9">
        <v>1308</v>
      </c>
      <c r="B9" s="3" t="s">
        <v>496</v>
      </c>
      <c r="C9" s="3">
        <v>1</v>
      </c>
      <c r="D9" s="4" t="s">
        <v>497</v>
      </c>
      <c r="E9" t="s">
        <v>65</v>
      </c>
      <c r="F9" t="s">
        <v>65</v>
      </c>
      <c r="G9" t="s">
        <v>66</v>
      </c>
      <c r="H9" s="5" t="s">
        <v>496</v>
      </c>
      <c r="I9" s="5" t="s">
        <v>496</v>
      </c>
      <c r="J9">
        <v>140</v>
      </c>
      <c r="K9">
        <v>123.2</v>
      </c>
      <c r="L9">
        <v>104.7</v>
      </c>
      <c r="M9" s="5" t="s">
        <v>496</v>
      </c>
      <c r="N9">
        <v>0</v>
      </c>
      <c r="O9">
        <v>0</v>
      </c>
      <c r="P9">
        <v>0</v>
      </c>
      <c r="Q9" t="s">
        <v>38</v>
      </c>
      <c r="R9">
        <v>19</v>
      </c>
      <c r="S9" s="5">
        <v>1</v>
      </c>
      <c r="T9" s="3" t="s">
        <v>498</v>
      </c>
      <c r="U9" s="3" t="s">
        <v>499</v>
      </c>
      <c r="V9">
        <v>0</v>
      </c>
      <c r="W9" s="5" t="str">
        <f t="shared" si="0"/>
        <v>(1308,null,1,'2026-03-12 00:00:00','002405000030000-240500003','002405000030000-240500003','补偿物设计及制作',null,null,140,123.2,104.7,null,0,0,0,'次',19,1,'normal','main',0),</v>
      </c>
    </row>
    <row r="10" spans="1:23">
      <c r="A10">
        <v>1309</v>
      </c>
      <c r="B10" s="3" t="s">
        <v>496</v>
      </c>
      <c r="C10" s="3">
        <v>1</v>
      </c>
      <c r="D10" s="4" t="s">
        <v>497</v>
      </c>
      <c r="E10" t="s">
        <v>68</v>
      </c>
      <c r="F10" t="s">
        <v>68</v>
      </c>
      <c r="G10" t="s">
        <v>69</v>
      </c>
      <c r="H10" s="5" t="s">
        <v>496</v>
      </c>
      <c r="I10" s="5" t="s">
        <v>496</v>
      </c>
      <c r="J10">
        <v>80</v>
      </c>
      <c r="K10">
        <v>70.4</v>
      </c>
      <c r="L10">
        <v>59.8</v>
      </c>
      <c r="M10" s="5" t="s">
        <v>496</v>
      </c>
      <c r="N10">
        <v>0</v>
      </c>
      <c r="O10">
        <v>0</v>
      </c>
      <c r="P10">
        <v>0</v>
      </c>
      <c r="Q10" t="s">
        <v>38</v>
      </c>
      <c r="R10">
        <v>19</v>
      </c>
      <c r="S10" s="5">
        <v>1</v>
      </c>
      <c r="T10" s="3" t="s">
        <v>498</v>
      </c>
      <c r="U10" s="3" t="s">
        <v>499</v>
      </c>
      <c r="V10">
        <v>0</v>
      </c>
      <c r="W10" s="5" t="str">
        <f t="shared" si="0"/>
        <v>(1309,null,1,'2026-03-12 00:00:00','002405000020000-24050000201','002405000020000-24050000201','填充模具设计及制作（斗蓬野）',null,null,80,70.4,59.8,null,0,0,0,'次',19,1,'normal','main',0),</v>
      </c>
    </row>
    <row r="11" spans="1:23">
      <c r="A11">
        <v>1310</v>
      </c>
      <c r="B11" s="3" t="s">
        <v>496</v>
      </c>
      <c r="C11" s="3">
        <v>1</v>
      </c>
      <c r="D11" s="4" t="s">
        <v>497</v>
      </c>
      <c r="E11" t="s">
        <v>70</v>
      </c>
      <c r="F11" t="s">
        <v>70</v>
      </c>
      <c r="G11" t="s">
        <v>71</v>
      </c>
      <c r="H11" s="5" t="s">
        <v>496</v>
      </c>
      <c r="I11" s="5" t="s">
        <v>496</v>
      </c>
      <c r="J11">
        <v>300</v>
      </c>
      <c r="K11">
        <v>264</v>
      </c>
      <c r="L11">
        <v>224.4</v>
      </c>
      <c r="M11" s="5" t="s">
        <v>496</v>
      </c>
      <c r="N11">
        <v>0</v>
      </c>
      <c r="O11">
        <v>0</v>
      </c>
      <c r="P11">
        <v>0</v>
      </c>
      <c r="Q11" t="s">
        <v>38</v>
      </c>
      <c r="R11">
        <v>19</v>
      </c>
      <c r="S11" s="5">
        <v>1</v>
      </c>
      <c r="T11" s="3" t="s">
        <v>498</v>
      </c>
      <c r="U11" s="3" t="s">
        <v>499</v>
      </c>
      <c r="V11">
        <v>0</v>
      </c>
      <c r="W11" s="5" t="str">
        <f t="shared" si="0"/>
        <v>(1310,null,1,'2026-03-12 00:00:00','002405000040000-240500004','002405000040000-240500004','面模设计及制作',null,null,300,264,224.4,null,0,0,0,'次',19,1,'normal','main',0),</v>
      </c>
    </row>
    <row r="12" spans="1:23">
      <c r="A12">
        <v>1311</v>
      </c>
      <c r="B12" s="3" t="s">
        <v>496</v>
      </c>
      <c r="C12" s="3">
        <v>1</v>
      </c>
      <c r="D12" s="4" t="s">
        <v>497</v>
      </c>
      <c r="E12" t="s">
        <v>73</v>
      </c>
      <c r="F12" t="s">
        <v>73</v>
      </c>
      <c r="G12" t="s">
        <v>74</v>
      </c>
      <c r="H12" s="5" t="s">
        <v>496</v>
      </c>
      <c r="I12" s="5" t="s">
        <v>496</v>
      </c>
      <c r="J12">
        <v>80</v>
      </c>
      <c r="K12">
        <v>70.4</v>
      </c>
      <c r="L12">
        <v>59.8</v>
      </c>
      <c r="M12" s="5" t="s">
        <v>496</v>
      </c>
      <c r="N12">
        <v>0</v>
      </c>
      <c r="O12">
        <v>0</v>
      </c>
      <c r="P12">
        <v>0</v>
      </c>
      <c r="Q12" t="s">
        <v>38</v>
      </c>
      <c r="R12">
        <v>19</v>
      </c>
      <c r="S12" s="5">
        <v>1</v>
      </c>
      <c r="T12" s="3" t="s">
        <v>498</v>
      </c>
      <c r="U12" s="3" t="s">
        <v>499</v>
      </c>
      <c r="V12">
        <v>0</v>
      </c>
      <c r="W12" s="5" t="str">
        <f t="shared" si="0"/>
        <v>(1311,null,1,'2026-03-12 00:00:00','002405000020000-24050000202','002405000020000-24050000202','填充模具设计及制作（倒Y野）',null,null,80,70.4,59.8,null,0,0,0,'次',19,1,'normal','main',0),</v>
      </c>
    </row>
    <row r="13" spans="1:23">
      <c r="A13">
        <v>1312</v>
      </c>
      <c r="B13" s="3" t="s">
        <v>496</v>
      </c>
      <c r="C13" s="3">
        <v>1</v>
      </c>
      <c r="D13" s="4" t="s">
        <v>497</v>
      </c>
      <c r="E13" t="s">
        <v>75</v>
      </c>
      <c r="F13" t="s">
        <v>75</v>
      </c>
      <c r="G13" t="s">
        <v>76</v>
      </c>
      <c r="H13" s="5" t="s">
        <v>496</v>
      </c>
      <c r="I13" s="5" t="s">
        <v>496</v>
      </c>
      <c r="J13">
        <v>20</v>
      </c>
      <c r="K13">
        <v>17.6</v>
      </c>
      <c r="L13">
        <v>15</v>
      </c>
      <c r="M13" s="5" t="s">
        <v>496</v>
      </c>
      <c r="N13">
        <v>0</v>
      </c>
      <c r="O13">
        <v>0</v>
      </c>
      <c r="P13">
        <v>0</v>
      </c>
      <c r="Q13" t="s">
        <v>38</v>
      </c>
      <c r="R13">
        <v>19</v>
      </c>
      <c r="S13" s="5">
        <v>1</v>
      </c>
      <c r="T13" s="3" t="s">
        <v>498</v>
      </c>
      <c r="U13" s="3" t="s">
        <v>499</v>
      </c>
      <c r="V13">
        <v>0</v>
      </c>
      <c r="W13" s="5" t="str">
        <f t="shared" si="0"/>
        <v>(1312,null,1,'2026-03-12 00:00:00','002405000050000-240500005','002405000050000-240500005','体架',null,null,20,17.6,15,null,0,0,0,'次',19,1,'normal','main',0),</v>
      </c>
    </row>
    <row r="14" spans="1:23">
      <c r="A14">
        <v>1313</v>
      </c>
      <c r="B14" s="3" t="s">
        <v>496</v>
      </c>
      <c r="C14" s="3">
        <v>1</v>
      </c>
      <c r="D14" s="4" t="s">
        <v>497</v>
      </c>
      <c r="E14" t="s">
        <v>78</v>
      </c>
      <c r="F14" t="s">
        <v>78</v>
      </c>
      <c r="G14" t="s">
        <v>79</v>
      </c>
      <c r="H14" s="5" t="s">
        <v>496</v>
      </c>
      <c r="I14" s="5" t="s">
        <v>496</v>
      </c>
      <c r="J14">
        <v>20</v>
      </c>
      <c r="K14">
        <v>17.6</v>
      </c>
      <c r="L14">
        <v>15</v>
      </c>
      <c r="M14" s="5" t="s">
        <v>496</v>
      </c>
      <c r="N14">
        <v>0</v>
      </c>
      <c r="O14">
        <v>0</v>
      </c>
      <c r="P14">
        <v>0</v>
      </c>
      <c r="Q14" t="s">
        <v>38</v>
      </c>
      <c r="R14">
        <v>19</v>
      </c>
      <c r="S14" s="5">
        <v>1</v>
      </c>
      <c r="T14" s="3" t="s">
        <v>498</v>
      </c>
      <c r="U14" s="3" t="s">
        <v>499</v>
      </c>
      <c r="V14">
        <v>0</v>
      </c>
      <c r="W14" s="5" t="str">
        <f t="shared" si="0"/>
        <v>(1313,null,1,'2026-03-12 00:00:00','002405000050100-24050000501','002405000050100-24050000501','体架（头架）',null,null,20,17.6,15,null,0,0,0,'次',19,1,'normal','main',0),</v>
      </c>
    </row>
    <row r="15" spans="1:23">
      <c r="A15">
        <v>1314</v>
      </c>
      <c r="B15" s="3" t="s">
        <v>496</v>
      </c>
      <c r="C15" s="3">
        <v>1</v>
      </c>
      <c r="D15" s="4" t="s">
        <v>497</v>
      </c>
      <c r="E15" t="s">
        <v>89</v>
      </c>
      <c r="F15" t="s">
        <v>89</v>
      </c>
      <c r="G15" t="s">
        <v>90</v>
      </c>
      <c r="H15" s="5" t="s">
        <v>496</v>
      </c>
      <c r="I15" s="5" t="s">
        <v>496</v>
      </c>
      <c r="J15">
        <v>40</v>
      </c>
      <c r="K15">
        <v>35.2</v>
      </c>
      <c r="L15">
        <v>29.9</v>
      </c>
      <c r="M15" s="5" t="s">
        <v>496</v>
      </c>
      <c r="N15">
        <v>450</v>
      </c>
      <c r="O15">
        <v>405</v>
      </c>
      <c r="P15">
        <v>300</v>
      </c>
      <c r="Q15" t="s">
        <v>92</v>
      </c>
      <c r="R15">
        <v>19</v>
      </c>
      <c r="S15" s="5">
        <v>1</v>
      </c>
      <c r="T15" s="3" t="s">
        <v>498</v>
      </c>
      <c r="U15" s="3" t="s">
        <v>499</v>
      </c>
      <c r="V15">
        <v>0</v>
      </c>
      <c r="W15" s="5" t="str">
        <f t="shared" si="0"/>
        <v>(1314,null,1,'2026-03-12 00:00:00','002402000010000-240200001','002402000010000-240200001','简易定位',null,null,40,35.2,29.9,null,450,405,300,'疗程',19,1,'normal','main',0),</v>
      </c>
    </row>
    <row r="16" spans="1:23">
      <c r="A16">
        <v>1315</v>
      </c>
      <c r="B16" s="3" t="s">
        <v>496</v>
      </c>
      <c r="C16" s="3">
        <v>1</v>
      </c>
      <c r="D16" s="4" t="s">
        <v>497</v>
      </c>
      <c r="E16" t="s">
        <v>93</v>
      </c>
      <c r="F16" t="s">
        <v>93</v>
      </c>
      <c r="G16" t="s">
        <v>94</v>
      </c>
      <c r="H16" s="5" t="s">
        <v>496</v>
      </c>
      <c r="I16" s="5" t="s">
        <v>496</v>
      </c>
      <c r="J16">
        <v>40</v>
      </c>
      <c r="K16">
        <v>35.2</v>
      </c>
      <c r="L16">
        <v>29.9</v>
      </c>
      <c r="M16" s="5" t="s">
        <v>496</v>
      </c>
      <c r="N16">
        <v>450</v>
      </c>
      <c r="O16">
        <v>405</v>
      </c>
      <c r="P16">
        <v>300</v>
      </c>
      <c r="Q16" t="s">
        <v>92</v>
      </c>
      <c r="R16">
        <v>19</v>
      </c>
      <c r="S16" s="5">
        <v>1</v>
      </c>
      <c r="T16" s="3" t="s">
        <v>498</v>
      </c>
      <c r="U16" s="3" t="s">
        <v>499</v>
      </c>
      <c r="V16">
        <v>0</v>
      </c>
      <c r="W16" s="5" t="str">
        <f t="shared" si="0"/>
        <v>(1315,null,1,'2026-03-12 00:00:00','002402000010100-24020000101','002402000010100-24020000101','X线机定位',null,null,40,35.2,29.9,null,450,405,300,'疗程',19,1,'normal','main',0),</v>
      </c>
    </row>
    <row r="17" spans="1:23">
      <c r="A17">
        <v>1316</v>
      </c>
      <c r="B17" s="3" t="s">
        <v>496</v>
      </c>
      <c r="C17" s="3">
        <v>1</v>
      </c>
      <c r="D17" s="4" t="s">
        <v>497</v>
      </c>
      <c r="E17" t="s">
        <v>95</v>
      </c>
      <c r="F17" t="s">
        <v>95</v>
      </c>
      <c r="G17" t="s">
        <v>96</v>
      </c>
      <c r="H17" s="5" t="s">
        <v>496</v>
      </c>
      <c r="I17" s="5" t="s">
        <v>496</v>
      </c>
      <c r="J17">
        <v>40</v>
      </c>
      <c r="K17">
        <v>35.2</v>
      </c>
      <c r="L17">
        <v>29.9</v>
      </c>
      <c r="M17" s="5" t="s">
        <v>496</v>
      </c>
      <c r="N17">
        <v>450</v>
      </c>
      <c r="O17">
        <v>405</v>
      </c>
      <c r="P17">
        <v>300</v>
      </c>
      <c r="Q17" t="s">
        <v>92</v>
      </c>
      <c r="R17">
        <v>19</v>
      </c>
      <c r="S17" s="5">
        <v>1</v>
      </c>
      <c r="T17" s="3" t="s">
        <v>498</v>
      </c>
      <c r="U17" s="3" t="s">
        <v>499</v>
      </c>
      <c r="V17">
        <v>0</v>
      </c>
      <c r="W17" s="5" t="str">
        <f t="shared" si="0"/>
        <v>(1316,null,1,'2026-03-12 00:00:00','002402000010200-24020000102','002402000010200-24020000102','B超定位',null,null,40,35.2,29.9,null,450,405,300,'疗程',19,1,'normal','main',0),</v>
      </c>
    </row>
    <row r="18" spans="1:23">
      <c r="A18">
        <v>1317</v>
      </c>
      <c r="B18" s="3" t="s">
        <v>496</v>
      </c>
      <c r="C18" s="3">
        <v>1</v>
      </c>
      <c r="D18" s="4" t="s">
        <v>497</v>
      </c>
      <c r="E18" t="s">
        <v>97</v>
      </c>
      <c r="F18" t="s">
        <v>97</v>
      </c>
      <c r="G18" t="s">
        <v>98</v>
      </c>
      <c r="H18" s="5" t="s">
        <v>496</v>
      </c>
      <c r="I18" s="5" t="s">
        <v>496</v>
      </c>
      <c r="J18">
        <v>40</v>
      </c>
      <c r="K18">
        <v>35.2</v>
      </c>
      <c r="L18">
        <v>29.9</v>
      </c>
      <c r="M18" s="5" t="s">
        <v>496</v>
      </c>
      <c r="N18">
        <v>450</v>
      </c>
      <c r="O18">
        <v>405</v>
      </c>
      <c r="P18">
        <v>300</v>
      </c>
      <c r="Q18" t="s">
        <v>92</v>
      </c>
      <c r="R18">
        <v>19</v>
      </c>
      <c r="S18" s="5">
        <v>1</v>
      </c>
      <c r="T18" s="3" t="s">
        <v>498</v>
      </c>
      <c r="U18" s="3" t="s">
        <v>499</v>
      </c>
      <c r="V18">
        <v>0</v>
      </c>
      <c r="W18" s="5" t="str">
        <f t="shared" si="0"/>
        <v>(1317,null,1,'2026-03-12 00:00:00','002402000010300-24020000103','002402000010300-24020000103','CT定位',null,null,40,35.2,29.9,null,450,405,300,'疗程',19,1,'normal','main',0),</v>
      </c>
    </row>
    <row r="19" spans="1:23">
      <c r="A19">
        <v>1318</v>
      </c>
      <c r="B19" s="3" t="s">
        <v>496</v>
      </c>
      <c r="C19" s="3">
        <v>1</v>
      </c>
      <c r="D19" s="4" t="s">
        <v>497</v>
      </c>
      <c r="E19" t="s">
        <v>99</v>
      </c>
      <c r="F19" t="s">
        <v>99</v>
      </c>
      <c r="G19" t="s">
        <v>100</v>
      </c>
      <c r="H19" s="5" t="s">
        <v>496</v>
      </c>
      <c r="I19" s="5" t="s">
        <v>496</v>
      </c>
      <c r="J19">
        <v>100</v>
      </c>
      <c r="K19">
        <v>88</v>
      </c>
      <c r="L19">
        <v>74.8</v>
      </c>
      <c r="M19" s="5" t="s">
        <v>496</v>
      </c>
      <c r="N19">
        <v>450</v>
      </c>
      <c r="O19">
        <v>405</v>
      </c>
      <c r="P19">
        <v>300</v>
      </c>
      <c r="Q19" t="s">
        <v>101</v>
      </c>
      <c r="R19">
        <v>19</v>
      </c>
      <c r="S19" s="5">
        <v>1</v>
      </c>
      <c r="T19" s="3" t="s">
        <v>498</v>
      </c>
      <c r="U19" s="3" t="s">
        <v>499</v>
      </c>
      <c r="V19">
        <v>0</v>
      </c>
      <c r="W19" s="5" t="str">
        <f t="shared" si="0"/>
        <v>(1318,null,1,'2026-03-12 00:00:00','002402000020000-240200002','002402000020000-240200002','专用X线机模拟定位',null,null,100,88,74.8,null,450,405,300,'每照射野',19,1,'normal','main',0),</v>
      </c>
    </row>
    <row r="20" spans="1:23">
      <c r="A20">
        <v>1319</v>
      </c>
      <c r="B20" s="3" t="s">
        <v>496</v>
      </c>
      <c r="C20" s="3">
        <v>1</v>
      </c>
      <c r="D20" s="4" t="s">
        <v>497</v>
      </c>
      <c r="E20" t="s">
        <v>102</v>
      </c>
      <c r="F20" t="s">
        <v>102</v>
      </c>
      <c r="G20" t="s">
        <v>103</v>
      </c>
      <c r="H20" s="5" t="s">
        <v>496</v>
      </c>
      <c r="I20" s="5" t="s">
        <v>496</v>
      </c>
      <c r="J20">
        <v>350</v>
      </c>
      <c r="K20">
        <v>308</v>
      </c>
      <c r="L20">
        <v>261.8</v>
      </c>
      <c r="M20" s="5" t="s">
        <v>496</v>
      </c>
      <c r="N20">
        <v>450</v>
      </c>
      <c r="O20">
        <v>405</v>
      </c>
      <c r="P20">
        <v>300</v>
      </c>
      <c r="Q20" t="s">
        <v>92</v>
      </c>
      <c r="R20">
        <v>19</v>
      </c>
      <c r="S20" s="5">
        <v>1</v>
      </c>
      <c r="T20" s="3" t="s">
        <v>498</v>
      </c>
      <c r="U20" s="3" t="s">
        <v>499</v>
      </c>
      <c r="V20">
        <v>0</v>
      </c>
      <c r="W20" s="5" t="str">
        <f t="shared" si="0"/>
        <v>(1319,null,1,'2026-03-12 00:00:00','002402000030000-240200003','002402000030000-240200003','专用X线机复杂模拟定位',null,null,350,308,261.8,null,450,405,300,'疗程',19,1,'normal','main',0),</v>
      </c>
    </row>
    <row r="21" spans="1:23">
      <c r="A21">
        <v>1320</v>
      </c>
      <c r="B21" s="3" t="s">
        <v>496</v>
      </c>
      <c r="C21" s="3">
        <v>1</v>
      </c>
      <c r="D21" s="4" t="s">
        <v>497</v>
      </c>
      <c r="E21" t="s">
        <v>105</v>
      </c>
      <c r="F21" t="s">
        <v>105</v>
      </c>
      <c r="G21" t="s">
        <v>106</v>
      </c>
      <c r="H21" s="5" t="s">
        <v>496</v>
      </c>
      <c r="I21" s="5" t="s">
        <v>496</v>
      </c>
      <c r="J21">
        <v>350</v>
      </c>
      <c r="K21">
        <v>308</v>
      </c>
      <c r="L21">
        <v>261.8</v>
      </c>
      <c r="M21" s="5" t="s">
        <v>496</v>
      </c>
      <c r="N21">
        <v>450</v>
      </c>
      <c r="O21">
        <v>405</v>
      </c>
      <c r="P21">
        <v>300</v>
      </c>
      <c r="Q21" t="s">
        <v>92</v>
      </c>
      <c r="R21">
        <v>19</v>
      </c>
      <c r="S21" s="5">
        <v>1</v>
      </c>
      <c r="T21" s="3" t="s">
        <v>498</v>
      </c>
      <c r="U21" s="3" t="s">
        <v>499</v>
      </c>
      <c r="V21">
        <v>0</v>
      </c>
      <c r="W21" s="5" t="str">
        <f t="shared" si="0"/>
        <v>(1320,null,1,'2026-03-12 00:00:00','002402000030100-24020000301','002402000030100-24020000301','专用X线机复杂模拟定位（CT机模拟定位）',null,null,350,308,261.8,null,450,405,300,'疗程',19,1,'normal','main',0),</v>
      </c>
    </row>
    <row r="22" spans="1:23">
      <c r="A22">
        <v>1321</v>
      </c>
      <c r="B22" s="3" t="s">
        <v>496</v>
      </c>
      <c r="C22" s="3">
        <v>1</v>
      </c>
      <c r="D22" s="4" t="s">
        <v>497</v>
      </c>
      <c r="E22" t="s">
        <v>108</v>
      </c>
      <c r="F22" t="s">
        <v>108</v>
      </c>
      <c r="G22" t="s">
        <v>109</v>
      </c>
      <c r="H22" s="5" t="s">
        <v>496</v>
      </c>
      <c r="I22" s="5" t="s">
        <v>496</v>
      </c>
      <c r="J22">
        <v>16</v>
      </c>
      <c r="K22">
        <v>14.1</v>
      </c>
      <c r="L22">
        <v>12</v>
      </c>
      <c r="M22" s="5" t="s">
        <v>496</v>
      </c>
      <c r="N22">
        <v>0</v>
      </c>
      <c r="O22">
        <v>0</v>
      </c>
      <c r="P22">
        <v>0</v>
      </c>
      <c r="Q22" t="s">
        <v>92</v>
      </c>
      <c r="R22">
        <v>19</v>
      </c>
      <c r="S22" s="5">
        <v>1</v>
      </c>
      <c r="T22" s="3" t="s">
        <v>498</v>
      </c>
      <c r="U22" s="3" t="s">
        <v>499</v>
      </c>
      <c r="V22">
        <v>0</v>
      </c>
      <c r="W22" s="5" t="str">
        <f t="shared" si="0"/>
        <v>(1321,null,1,'2026-03-12 00:00:00','002402000010000-24020000104','002402000010000-24020000104','简易定位（疗程中修改定位加收）',null,null,16,14.1,12,null,0,0,0,'疗程',19,1,'normal','main',0),</v>
      </c>
    </row>
    <row r="23" spans="1:23">
      <c r="A23">
        <v>1322</v>
      </c>
      <c r="B23" s="3" t="s">
        <v>496</v>
      </c>
      <c r="C23" s="3">
        <v>1</v>
      </c>
      <c r="D23" s="4" t="s">
        <v>497</v>
      </c>
      <c r="E23" t="s">
        <v>111</v>
      </c>
      <c r="F23" t="s">
        <v>111</v>
      </c>
      <c r="G23" t="s">
        <v>112</v>
      </c>
      <c r="H23" s="5" t="s">
        <v>496</v>
      </c>
      <c r="I23" s="5" t="s">
        <v>496</v>
      </c>
      <c r="J23">
        <v>40</v>
      </c>
      <c r="K23">
        <v>35.2</v>
      </c>
      <c r="L23">
        <v>29.9</v>
      </c>
      <c r="M23" s="5" t="s">
        <v>496</v>
      </c>
      <c r="N23">
        <v>0</v>
      </c>
      <c r="O23">
        <v>0</v>
      </c>
      <c r="P23">
        <v>0</v>
      </c>
      <c r="Q23" t="s">
        <v>92</v>
      </c>
      <c r="R23">
        <v>19</v>
      </c>
      <c r="S23" s="5">
        <v>1</v>
      </c>
      <c r="T23" s="3" t="s">
        <v>498</v>
      </c>
      <c r="U23" s="3" t="s">
        <v>499</v>
      </c>
      <c r="V23">
        <v>0</v>
      </c>
      <c r="W23" s="5" t="str">
        <f t="shared" si="0"/>
        <v>(1322,null,1,'2026-03-12 00:00:00','002402000020000-24020000201','002402000020000-24020000201','专用X线机模拟定位（疗程中修改加收）',null,null,40,35.2,29.9,null,0,0,0,'疗程',19,1,'normal','main',0),</v>
      </c>
    </row>
    <row r="24" spans="1:23">
      <c r="A24">
        <v>1323</v>
      </c>
      <c r="B24" s="3" t="s">
        <v>496</v>
      </c>
      <c r="C24" s="3">
        <v>1</v>
      </c>
      <c r="D24" s="4" t="s">
        <v>497</v>
      </c>
      <c r="E24" t="s">
        <v>113</v>
      </c>
      <c r="F24" t="s">
        <v>113</v>
      </c>
      <c r="G24" t="s">
        <v>114</v>
      </c>
      <c r="H24" s="5" t="s">
        <v>496</v>
      </c>
      <c r="I24" s="5" t="s">
        <v>496</v>
      </c>
      <c r="J24">
        <v>140</v>
      </c>
      <c r="K24">
        <v>123.2</v>
      </c>
      <c r="L24">
        <v>104.7</v>
      </c>
      <c r="M24" s="5" t="s">
        <v>496</v>
      </c>
      <c r="N24">
        <v>0</v>
      </c>
      <c r="O24">
        <v>0</v>
      </c>
      <c r="P24">
        <v>0</v>
      </c>
      <c r="Q24" t="s">
        <v>92</v>
      </c>
      <c r="R24">
        <v>19</v>
      </c>
      <c r="S24" s="5">
        <v>1</v>
      </c>
      <c r="T24" s="3" t="s">
        <v>498</v>
      </c>
      <c r="U24" s="3" t="s">
        <v>499</v>
      </c>
      <c r="V24">
        <v>0</v>
      </c>
      <c r="W24" s="5" t="str">
        <f t="shared" si="0"/>
        <v>(1323,null,1,'2026-03-12 00:00:00','002402000030000-24020000302','002402000030000-24020000302','专用X线机复杂模拟定位（疗程中修改加收）',null,null,140,123.2,104.7,null,0,0,0,'疗程',19,1,'normal','main',0),</v>
      </c>
    </row>
    <row r="25" spans="1:23">
      <c r="A25">
        <v>1324</v>
      </c>
      <c r="B25" s="3" t="s">
        <v>496</v>
      </c>
      <c r="C25" s="3">
        <v>1</v>
      </c>
      <c r="D25" s="4" t="s">
        <v>497</v>
      </c>
      <c r="E25" t="s">
        <v>127</v>
      </c>
      <c r="F25" t="s">
        <v>127</v>
      </c>
      <c r="G25" t="s">
        <v>128</v>
      </c>
      <c r="H25" s="5" t="s">
        <v>496</v>
      </c>
      <c r="I25" s="5" t="s">
        <v>496</v>
      </c>
      <c r="J25">
        <v>50</v>
      </c>
      <c r="K25">
        <v>44</v>
      </c>
      <c r="L25">
        <v>37.4</v>
      </c>
      <c r="M25" s="5" t="s">
        <v>496</v>
      </c>
      <c r="N25">
        <v>900</v>
      </c>
      <c r="O25">
        <v>810</v>
      </c>
      <c r="P25">
        <v>690</v>
      </c>
      <c r="Q25" t="s">
        <v>92</v>
      </c>
      <c r="R25">
        <v>19</v>
      </c>
      <c r="S25" s="5">
        <v>1</v>
      </c>
      <c r="T25" s="3" t="s">
        <v>498</v>
      </c>
      <c r="U25" s="3" t="s">
        <v>499</v>
      </c>
      <c r="V25">
        <v>0</v>
      </c>
      <c r="W25" s="5" t="str">
        <f t="shared" si="0"/>
        <v>(1324,null,1,'2026-03-12 00:00:00','002401000010000-240100001','002401000010000-240100001','人工制定治疗计划（简单）',null,null,50,44,37.4,null,900,810,690,'疗程',19,1,'normal','main',0),</v>
      </c>
    </row>
    <row r="26" spans="1:23">
      <c r="A26">
        <v>1325</v>
      </c>
      <c r="B26" s="3" t="s">
        <v>496</v>
      </c>
      <c r="C26" s="3">
        <v>1</v>
      </c>
      <c r="D26" s="4" t="s">
        <v>497</v>
      </c>
      <c r="E26" t="s">
        <v>131</v>
      </c>
      <c r="F26" t="s">
        <v>131</v>
      </c>
      <c r="G26" t="s">
        <v>132</v>
      </c>
      <c r="H26" s="5" t="s">
        <v>496</v>
      </c>
      <c r="I26" s="5" t="s">
        <v>496</v>
      </c>
      <c r="J26">
        <v>80</v>
      </c>
      <c r="K26">
        <v>70.4</v>
      </c>
      <c r="L26">
        <v>59.8</v>
      </c>
      <c r="M26" s="5" t="s">
        <v>496</v>
      </c>
      <c r="N26">
        <v>900</v>
      </c>
      <c r="O26">
        <v>810</v>
      </c>
      <c r="P26">
        <v>690</v>
      </c>
      <c r="Q26" t="s">
        <v>92</v>
      </c>
      <c r="R26">
        <v>19</v>
      </c>
      <c r="S26" s="5">
        <v>1</v>
      </c>
      <c r="T26" s="3" t="s">
        <v>498</v>
      </c>
      <c r="U26" s="3" t="s">
        <v>499</v>
      </c>
      <c r="V26">
        <v>0</v>
      </c>
      <c r="W26" s="5" t="str">
        <f t="shared" si="0"/>
        <v>(1325,null,1,'2026-03-12 00:00:00','002401000020000-240100002','002401000020000-240100002','人工制定治疗计划（复杂）',null,null,80,70.4,59.8,null,900,810,690,'疗程',19,1,'normal','main',0),</v>
      </c>
    </row>
    <row r="27" spans="1:23">
      <c r="A27">
        <v>1326</v>
      </c>
      <c r="B27" s="3" t="s">
        <v>496</v>
      </c>
      <c r="C27" s="3">
        <v>1</v>
      </c>
      <c r="D27" s="4" t="s">
        <v>497</v>
      </c>
      <c r="E27" t="s">
        <v>134</v>
      </c>
      <c r="F27" t="s">
        <v>134</v>
      </c>
      <c r="G27" t="s">
        <v>135</v>
      </c>
      <c r="H27" s="5" t="s">
        <v>496</v>
      </c>
      <c r="I27" s="5" t="s">
        <v>496</v>
      </c>
      <c r="J27">
        <v>240</v>
      </c>
      <c r="K27">
        <v>211.2</v>
      </c>
      <c r="L27">
        <v>179.5</v>
      </c>
      <c r="M27" s="5" t="s">
        <v>496</v>
      </c>
      <c r="N27">
        <v>900</v>
      </c>
      <c r="O27">
        <v>810</v>
      </c>
      <c r="P27">
        <v>690</v>
      </c>
      <c r="Q27" t="s">
        <v>92</v>
      </c>
      <c r="R27">
        <v>19</v>
      </c>
      <c r="S27" s="5">
        <v>1</v>
      </c>
      <c r="T27" s="3" t="s">
        <v>498</v>
      </c>
      <c r="U27" s="3" t="s">
        <v>499</v>
      </c>
      <c r="V27">
        <v>0</v>
      </c>
      <c r="W27" s="5" t="str">
        <f t="shared" si="0"/>
        <v>(1326,null,1,'2026-03-12 00:00:00','002401000030000-240100003','002401000030000-240100003','计算机治疗计划系统（TPS）',null,null,240,211.2,179.5,null,900,810,690,'疗程',19,1,'normal','main',0),</v>
      </c>
    </row>
    <row r="28" spans="1:23">
      <c r="A28">
        <v>1327</v>
      </c>
      <c r="B28" s="3" t="s">
        <v>496</v>
      </c>
      <c r="C28" s="3">
        <v>1</v>
      </c>
      <c r="D28" s="4" t="s">
        <v>497</v>
      </c>
      <c r="E28" t="s">
        <v>137</v>
      </c>
      <c r="F28" t="s">
        <v>137</v>
      </c>
      <c r="G28" t="s">
        <v>138</v>
      </c>
      <c r="H28" s="5" t="s">
        <v>496</v>
      </c>
      <c r="I28" s="5" t="s">
        <v>496</v>
      </c>
      <c r="J28">
        <v>600</v>
      </c>
      <c r="K28">
        <v>550</v>
      </c>
      <c r="L28">
        <v>467.5</v>
      </c>
      <c r="M28" s="5" t="s">
        <v>496</v>
      </c>
      <c r="N28">
        <v>900</v>
      </c>
      <c r="O28">
        <v>810</v>
      </c>
      <c r="P28">
        <v>690</v>
      </c>
      <c r="Q28" t="s">
        <v>92</v>
      </c>
      <c r="R28">
        <v>19</v>
      </c>
      <c r="S28" s="5">
        <v>1</v>
      </c>
      <c r="T28" s="3" t="s">
        <v>498</v>
      </c>
      <c r="U28" s="3" t="s">
        <v>499</v>
      </c>
      <c r="V28">
        <v>0</v>
      </c>
      <c r="W28" s="5" t="str">
        <f t="shared" si="0"/>
        <v>(1327,null,1,'2026-03-12 00:00:00','002401000040000-240100004','002401000040000-240100004','特定计算机治疗计划系统',null,null,600,550,467.5,null,900,810,690,'疗程',19,1,'normal','main',0),</v>
      </c>
    </row>
    <row r="29" spans="1:23">
      <c r="A29">
        <v>1328</v>
      </c>
      <c r="B29" s="3" t="s">
        <v>496</v>
      </c>
      <c r="C29" s="3">
        <v>1</v>
      </c>
      <c r="D29" s="4" t="s">
        <v>497</v>
      </c>
      <c r="E29" t="s">
        <v>140</v>
      </c>
      <c r="F29" t="s">
        <v>140</v>
      </c>
      <c r="G29" t="s">
        <v>141</v>
      </c>
      <c r="H29" s="5" t="s">
        <v>496</v>
      </c>
      <c r="I29" s="5" t="s">
        <v>496</v>
      </c>
      <c r="J29">
        <v>600</v>
      </c>
      <c r="K29">
        <v>550</v>
      </c>
      <c r="L29">
        <v>467.5</v>
      </c>
      <c r="M29" s="5" t="s">
        <v>496</v>
      </c>
      <c r="N29">
        <v>900</v>
      </c>
      <c r="O29">
        <v>810</v>
      </c>
      <c r="P29">
        <v>690</v>
      </c>
      <c r="Q29" t="s">
        <v>92</v>
      </c>
      <c r="R29">
        <v>19</v>
      </c>
      <c r="S29" s="5">
        <v>1</v>
      </c>
      <c r="T29" s="3" t="s">
        <v>498</v>
      </c>
      <c r="U29" s="3" t="s">
        <v>499</v>
      </c>
      <c r="V29">
        <v>0</v>
      </c>
      <c r="W29" s="5" t="str">
        <f t="shared" si="0"/>
        <v>(1328,null,1,'2026-03-12 00:00:00','002401000040100-24010000401','002401000040100-24010000401','加速器适型之TPS计算机治疗计划系统',null,null,600,550,467.5,null,900,810,690,'疗程',19,1,'normal','main',0),</v>
      </c>
    </row>
    <row r="30" spans="1:23">
      <c r="A30">
        <v>1329</v>
      </c>
      <c r="B30" s="3" t="s">
        <v>496</v>
      </c>
      <c r="C30" s="3">
        <v>1</v>
      </c>
      <c r="D30" s="4" t="s">
        <v>497</v>
      </c>
      <c r="E30" t="s">
        <v>143</v>
      </c>
      <c r="F30" t="s">
        <v>143</v>
      </c>
      <c r="G30" t="s">
        <v>144</v>
      </c>
      <c r="H30" s="5" t="s">
        <v>496</v>
      </c>
      <c r="I30" s="5" t="s">
        <v>496</v>
      </c>
      <c r="J30">
        <v>20</v>
      </c>
      <c r="K30">
        <v>17.6</v>
      </c>
      <c r="L30">
        <v>15</v>
      </c>
      <c r="M30" s="5" t="s">
        <v>496</v>
      </c>
      <c r="N30">
        <v>0</v>
      </c>
      <c r="O30">
        <v>0</v>
      </c>
      <c r="P30">
        <v>0</v>
      </c>
      <c r="Q30" t="s">
        <v>92</v>
      </c>
      <c r="R30">
        <v>19</v>
      </c>
      <c r="S30" s="5">
        <v>1</v>
      </c>
      <c r="T30" s="3" t="s">
        <v>498</v>
      </c>
      <c r="U30" s="3" t="s">
        <v>499</v>
      </c>
      <c r="V30">
        <v>0</v>
      </c>
      <c r="W30" s="5" t="str">
        <f t="shared" si="0"/>
        <v>(1329,null,1,'2026-03-12 00:00:00','002401000010000-24010000101','002401000010000-24010000101','人工制定治疗计划（简单、修改计划加收）',null,null,20,17.6,15,null,0,0,0,'疗程',19,1,'normal','main',0),</v>
      </c>
    </row>
    <row r="31" spans="1:23">
      <c r="A31">
        <v>1330</v>
      </c>
      <c r="B31" s="3" t="s">
        <v>496</v>
      </c>
      <c r="C31" s="3">
        <v>1</v>
      </c>
      <c r="D31" s="4" t="s">
        <v>497</v>
      </c>
      <c r="E31" t="s">
        <v>146</v>
      </c>
      <c r="F31" t="s">
        <v>146</v>
      </c>
      <c r="G31" t="s">
        <v>147</v>
      </c>
      <c r="H31" s="5" t="s">
        <v>496</v>
      </c>
      <c r="I31" s="5" t="s">
        <v>496</v>
      </c>
      <c r="J31">
        <v>32</v>
      </c>
      <c r="K31">
        <v>28.16</v>
      </c>
      <c r="L31">
        <v>23.9</v>
      </c>
      <c r="M31" s="5" t="s">
        <v>496</v>
      </c>
      <c r="N31">
        <v>0</v>
      </c>
      <c r="O31">
        <v>0</v>
      </c>
      <c r="P31">
        <v>0</v>
      </c>
      <c r="Q31" t="s">
        <v>92</v>
      </c>
      <c r="R31">
        <v>19</v>
      </c>
      <c r="S31" s="5">
        <v>1</v>
      </c>
      <c r="T31" s="3" t="s">
        <v>498</v>
      </c>
      <c r="U31" s="3" t="s">
        <v>499</v>
      </c>
      <c r="V31">
        <v>0</v>
      </c>
      <c r="W31" s="5" t="str">
        <f t="shared" si="0"/>
        <v>(1330,null,1,'2026-03-12 00:00:00','002401000020000-24010000201','002401000020000-24010000201','人工制定治疗计划（复杂、修改计划加收）',null,null,32,28.16,23.9,null,0,0,0,'疗程',19,1,'normal','main',0),</v>
      </c>
    </row>
    <row r="32" spans="1:23">
      <c r="A32">
        <v>1331</v>
      </c>
      <c r="B32" s="3" t="s">
        <v>496</v>
      </c>
      <c r="C32" s="3">
        <v>1</v>
      </c>
      <c r="D32" s="4" t="s">
        <v>497</v>
      </c>
      <c r="E32" t="s">
        <v>148</v>
      </c>
      <c r="F32" t="s">
        <v>148</v>
      </c>
      <c r="G32" t="s">
        <v>149</v>
      </c>
      <c r="H32" s="5" t="s">
        <v>496</v>
      </c>
      <c r="I32" s="5" t="s">
        <v>496</v>
      </c>
      <c r="J32">
        <v>96</v>
      </c>
      <c r="K32">
        <v>84.48</v>
      </c>
      <c r="L32">
        <v>71.8</v>
      </c>
      <c r="M32" s="5" t="s">
        <v>496</v>
      </c>
      <c r="N32">
        <v>0</v>
      </c>
      <c r="O32">
        <v>0</v>
      </c>
      <c r="P32">
        <v>0</v>
      </c>
      <c r="Q32" t="s">
        <v>92</v>
      </c>
      <c r="R32">
        <v>19</v>
      </c>
      <c r="S32" s="5">
        <v>1</v>
      </c>
      <c r="T32" s="3" t="s">
        <v>498</v>
      </c>
      <c r="U32" s="3" t="s">
        <v>499</v>
      </c>
      <c r="V32">
        <v>0</v>
      </c>
      <c r="W32" s="5" t="str">
        <f t="shared" si="0"/>
        <v>(1331,null,1,'2026-03-12 00:00:00','002401000030000-24010000301','002401000030000-24010000301','计算机治疗计划系统（TPS、修改计划加收）',null,null,96,84.48,71.8,null,0,0,0,'疗程',19,1,'normal','main',0),</v>
      </c>
    </row>
    <row r="33" spans="1:23">
      <c r="A33">
        <v>1332</v>
      </c>
      <c r="B33" s="3" t="s">
        <v>496</v>
      </c>
      <c r="C33" s="3">
        <v>1</v>
      </c>
      <c r="D33" s="4" t="s">
        <v>497</v>
      </c>
      <c r="E33" t="s">
        <v>150</v>
      </c>
      <c r="F33" t="s">
        <v>150</v>
      </c>
      <c r="G33" t="s">
        <v>151</v>
      </c>
      <c r="H33" s="5" t="s">
        <v>496</v>
      </c>
      <c r="I33" s="5" t="s">
        <v>496</v>
      </c>
      <c r="J33">
        <v>240</v>
      </c>
      <c r="K33">
        <v>220</v>
      </c>
      <c r="L33">
        <v>187</v>
      </c>
      <c r="M33" s="5" t="s">
        <v>496</v>
      </c>
      <c r="N33">
        <v>0</v>
      </c>
      <c r="O33">
        <v>0</v>
      </c>
      <c r="P33">
        <v>0</v>
      </c>
      <c r="Q33" t="s">
        <v>92</v>
      </c>
      <c r="R33">
        <v>19</v>
      </c>
      <c r="S33" s="5">
        <v>1</v>
      </c>
      <c r="T33" s="3" t="s">
        <v>498</v>
      </c>
      <c r="U33" s="3" t="s">
        <v>499</v>
      </c>
      <c r="V33">
        <v>0</v>
      </c>
      <c r="W33" s="5" t="str">
        <f t="shared" si="0"/>
        <v>(1332,null,1,'2026-03-12 00:00:00','002401000040400-24010000404','002401000040400-24010000404','特定计算机治疗计划系统（疗程中修改计划加收）',null,null,240,220,187,null,0,0,0,'疗程',19,1,'normal','main',0),</v>
      </c>
    </row>
    <row r="34" spans="1:23">
      <c r="A34">
        <v>1333</v>
      </c>
      <c r="B34" s="3" t="s">
        <v>496</v>
      </c>
      <c r="C34" s="3">
        <v>1</v>
      </c>
      <c r="D34" s="4" t="s">
        <v>497</v>
      </c>
      <c r="E34" t="s">
        <v>155</v>
      </c>
      <c r="F34" t="s">
        <v>155</v>
      </c>
      <c r="G34" t="s">
        <v>156</v>
      </c>
      <c r="H34" s="5" t="s">
        <v>496</v>
      </c>
      <c r="I34" s="5" t="s">
        <v>496</v>
      </c>
      <c r="J34">
        <v>600</v>
      </c>
      <c r="K34">
        <v>550</v>
      </c>
      <c r="L34">
        <v>467.5</v>
      </c>
      <c r="M34" s="5" t="s">
        <v>496</v>
      </c>
      <c r="N34">
        <v>1500</v>
      </c>
      <c r="O34">
        <v>1350</v>
      </c>
      <c r="P34">
        <v>1150</v>
      </c>
      <c r="Q34" t="s">
        <v>92</v>
      </c>
      <c r="R34">
        <v>19</v>
      </c>
      <c r="S34" s="5">
        <v>1</v>
      </c>
      <c r="T34" s="3" t="s">
        <v>498</v>
      </c>
      <c r="U34" s="3" t="s">
        <v>499</v>
      </c>
      <c r="V34">
        <v>0</v>
      </c>
      <c r="W34" s="5" t="str">
        <f t="shared" si="0"/>
        <v>(1333,null,1,'2026-03-12 00:00:00','002401000040400-24010000405','002401000040400-24010000405','逆向调强TPS及优化计算机治疗计划系统',null,null,600,550,467.5,null,1500,1350,1150,'疗程',19,1,'normal','main',0),</v>
      </c>
    </row>
    <row r="35" spans="1:23">
      <c r="A35">
        <v>1334</v>
      </c>
      <c r="B35" s="3" t="s">
        <v>496</v>
      </c>
      <c r="C35" s="3">
        <v>1</v>
      </c>
      <c r="D35" s="4" t="s">
        <v>497</v>
      </c>
      <c r="E35" t="s">
        <v>158</v>
      </c>
      <c r="F35" t="s">
        <v>158</v>
      </c>
      <c r="G35" t="s">
        <v>159</v>
      </c>
      <c r="H35" s="5" t="s">
        <v>496</v>
      </c>
      <c r="I35" s="5" t="s">
        <v>496</v>
      </c>
      <c r="J35">
        <v>2000</v>
      </c>
      <c r="K35">
        <v>2000</v>
      </c>
      <c r="L35">
        <v>1700</v>
      </c>
      <c r="M35" s="5" t="s">
        <v>496</v>
      </c>
      <c r="N35">
        <v>1500</v>
      </c>
      <c r="O35">
        <v>1350</v>
      </c>
      <c r="P35">
        <v>1150</v>
      </c>
      <c r="Q35" t="s">
        <v>38</v>
      </c>
      <c r="R35">
        <v>19</v>
      </c>
      <c r="S35" s="5">
        <v>1</v>
      </c>
      <c r="T35" s="3" t="s">
        <v>498</v>
      </c>
      <c r="U35" s="3" t="s">
        <v>499</v>
      </c>
      <c r="V35">
        <v>0</v>
      </c>
      <c r="W35" s="5" t="str">
        <f t="shared" si="0"/>
        <v>(1334,null,1,'2026-03-12 00:00:00','352401000040000-240100006','352401000040000-240100006','调强放疗计划设计',null,null,2000,2000,1700,null,1500,1350,1150,'次',19,1,'normal','main',0),</v>
      </c>
    </row>
    <row r="36" spans="1:23">
      <c r="A36">
        <v>1335</v>
      </c>
      <c r="B36" s="3" t="s">
        <v>496</v>
      </c>
      <c r="C36" s="3">
        <v>1</v>
      </c>
      <c r="D36" s="4" t="s">
        <v>497</v>
      </c>
      <c r="E36" t="s">
        <v>164</v>
      </c>
      <c r="F36" t="s">
        <v>164</v>
      </c>
      <c r="G36" t="s">
        <v>165</v>
      </c>
      <c r="H36" s="5" t="s">
        <v>496</v>
      </c>
      <c r="I36" s="5" t="s">
        <v>496</v>
      </c>
      <c r="J36">
        <v>600</v>
      </c>
      <c r="K36">
        <v>550</v>
      </c>
      <c r="L36">
        <v>467.5</v>
      </c>
      <c r="M36" s="5" t="s">
        <v>496</v>
      </c>
      <c r="N36">
        <v>1650</v>
      </c>
      <c r="O36">
        <v>1490</v>
      </c>
      <c r="P36">
        <v>1270</v>
      </c>
      <c r="Q36" t="s">
        <v>92</v>
      </c>
      <c r="R36">
        <v>19</v>
      </c>
      <c r="S36" s="5">
        <v>1</v>
      </c>
      <c r="T36" s="3" t="s">
        <v>498</v>
      </c>
      <c r="U36" s="3" t="s">
        <v>499</v>
      </c>
      <c r="V36">
        <v>0</v>
      </c>
      <c r="W36" s="5" t="str">
        <f t="shared" si="0"/>
        <v>(1335,null,1,'2026-03-12 00:00:00','002401000040200-24010000402','002401000040200-24010000402','伽玛刀之TPS计算机治疗计划系统',null,null,600,550,467.5,null,1650,1490,1270,'疗程',19,1,'normal','main',0),</v>
      </c>
    </row>
    <row r="37" spans="1:23">
      <c r="A37">
        <v>1336</v>
      </c>
      <c r="B37" s="3" t="s">
        <v>496</v>
      </c>
      <c r="C37" s="3">
        <v>1</v>
      </c>
      <c r="D37" s="4" t="s">
        <v>497</v>
      </c>
      <c r="E37" t="s">
        <v>167</v>
      </c>
      <c r="F37" t="s">
        <v>167</v>
      </c>
      <c r="G37" t="s">
        <v>168</v>
      </c>
      <c r="H37" s="5" t="s">
        <v>496</v>
      </c>
      <c r="I37" s="5" t="s">
        <v>496</v>
      </c>
      <c r="J37">
        <v>600</v>
      </c>
      <c r="K37">
        <v>550</v>
      </c>
      <c r="L37">
        <v>467.5</v>
      </c>
      <c r="M37" s="5" t="s">
        <v>496</v>
      </c>
      <c r="N37">
        <v>1650</v>
      </c>
      <c r="O37">
        <v>1490</v>
      </c>
      <c r="P37">
        <v>1270</v>
      </c>
      <c r="Q37" t="s">
        <v>92</v>
      </c>
      <c r="R37">
        <v>19</v>
      </c>
      <c r="S37" s="5">
        <v>1</v>
      </c>
      <c r="T37" s="3" t="s">
        <v>498</v>
      </c>
      <c r="U37" s="3" t="s">
        <v>499</v>
      </c>
      <c r="V37">
        <v>0</v>
      </c>
      <c r="W37" s="5" t="str">
        <f t="shared" si="0"/>
        <v>(1336,null,1,'2026-03-12 00:00:00','002401000040300-24010000403','002401000040300-24010000403','X刀之TPS计算机治疗计划系统',null,null,600,550,467.5,null,1650,1490,1270,'疗程',19,1,'normal','main',0),</v>
      </c>
    </row>
    <row r="38" spans="1:23">
      <c r="A38">
        <v>1337</v>
      </c>
      <c r="B38" s="3" t="s">
        <v>496</v>
      </c>
      <c r="C38" s="3">
        <v>1</v>
      </c>
      <c r="D38" s="4" t="s">
        <v>497</v>
      </c>
      <c r="E38" t="s">
        <v>176</v>
      </c>
      <c r="F38" t="s">
        <v>176</v>
      </c>
      <c r="G38" t="s">
        <v>177</v>
      </c>
      <c r="H38" s="5" t="s">
        <v>496</v>
      </c>
      <c r="I38" s="5" t="s">
        <v>496</v>
      </c>
      <c r="J38">
        <v>1600</v>
      </c>
      <c r="K38">
        <v>1600</v>
      </c>
      <c r="L38">
        <v>1360</v>
      </c>
      <c r="M38" s="5" t="s">
        <v>496</v>
      </c>
      <c r="N38">
        <v>1150</v>
      </c>
      <c r="O38">
        <v>1035</v>
      </c>
      <c r="P38">
        <v>880</v>
      </c>
      <c r="Q38" t="s">
        <v>38</v>
      </c>
      <c r="R38">
        <v>19</v>
      </c>
      <c r="S38" s="5">
        <v>1</v>
      </c>
      <c r="T38" s="3" t="s">
        <v>498</v>
      </c>
      <c r="U38" s="3" t="s">
        <v>499</v>
      </c>
      <c r="V38">
        <v>0</v>
      </c>
      <c r="W38" s="5" t="str">
        <f t="shared" si="0"/>
        <v>(1337,null,1,'2026-03-12 00:00:00','002401000070000-240600002','002401000070000-240600002','二维剂量验证',null,null,1600,1600,1360,null,1150,1035,880,'次',19,1,'normal','main',0),</v>
      </c>
    </row>
    <row r="39" spans="1:23">
      <c r="A39">
        <v>1338</v>
      </c>
      <c r="B39" s="3" t="s">
        <v>496</v>
      </c>
      <c r="C39" s="3">
        <v>1</v>
      </c>
      <c r="D39" s="4" t="s">
        <v>497</v>
      </c>
      <c r="E39" t="s">
        <v>179</v>
      </c>
      <c r="F39" t="s">
        <v>179</v>
      </c>
      <c r="G39" t="s">
        <v>180</v>
      </c>
      <c r="H39" s="5" t="s">
        <v>496</v>
      </c>
      <c r="I39" s="5" t="s">
        <v>496</v>
      </c>
      <c r="J39">
        <v>320</v>
      </c>
      <c r="K39">
        <v>300</v>
      </c>
      <c r="L39">
        <v>280</v>
      </c>
      <c r="M39" s="5" t="s">
        <v>496</v>
      </c>
      <c r="N39">
        <v>1150</v>
      </c>
      <c r="O39">
        <v>1035</v>
      </c>
      <c r="P39">
        <v>880</v>
      </c>
      <c r="Q39" t="s">
        <v>38</v>
      </c>
      <c r="R39">
        <v>19</v>
      </c>
      <c r="S39" s="5">
        <v>1</v>
      </c>
      <c r="T39" s="3" t="s">
        <v>498</v>
      </c>
      <c r="U39" s="3" t="s">
        <v>499</v>
      </c>
      <c r="V39">
        <v>0</v>
      </c>
      <c r="W39" s="5" t="str">
        <f t="shared" si="0"/>
        <v>(1338,null,1,'2026-03-12 00:00:00','002402000030000-240200004','002402000030000-240200004','CT模拟机校位',null,null,320,300,280,null,1150,1035,880,'次',19,1,'normal','main',0),</v>
      </c>
    </row>
    <row r="40" spans="1:23">
      <c r="A40">
        <v>1339</v>
      </c>
      <c r="B40" s="3" t="s">
        <v>496</v>
      </c>
      <c r="C40" s="3">
        <v>1</v>
      </c>
      <c r="D40" s="4" t="s">
        <v>497</v>
      </c>
      <c r="E40" t="s">
        <v>188</v>
      </c>
      <c r="F40" t="s">
        <v>188</v>
      </c>
      <c r="G40" t="s">
        <v>189</v>
      </c>
      <c r="H40" s="5" t="s">
        <v>496</v>
      </c>
      <c r="I40" s="5" t="s">
        <v>496</v>
      </c>
      <c r="J40">
        <v>50</v>
      </c>
      <c r="K40">
        <v>44</v>
      </c>
      <c r="L40">
        <v>37.4</v>
      </c>
      <c r="M40" s="5" t="s">
        <v>496</v>
      </c>
      <c r="N40">
        <v>410</v>
      </c>
      <c r="O40">
        <v>370</v>
      </c>
      <c r="P40">
        <v>315</v>
      </c>
      <c r="Q40" t="s">
        <v>38</v>
      </c>
      <c r="R40">
        <v>19</v>
      </c>
      <c r="S40" s="5">
        <v>1</v>
      </c>
      <c r="T40" s="3" t="s">
        <v>498</v>
      </c>
      <c r="U40" s="3" t="s">
        <v>499</v>
      </c>
      <c r="V40">
        <v>0</v>
      </c>
      <c r="W40" s="5" t="str">
        <f t="shared" si="0"/>
        <v>(1339,null,1,'2026-03-12 00:00:00','002401000050000-240100005','002401000050000-240100005','放射治疗的适时监控',null,null,50,44,37.4,null,410,370,315,'次',19,1,'normal','main',0),</v>
      </c>
    </row>
    <row r="41" spans="1:23">
      <c r="A41">
        <v>1340</v>
      </c>
      <c r="B41" s="3" t="s">
        <v>496</v>
      </c>
      <c r="C41" s="3">
        <v>1</v>
      </c>
      <c r="D41" s="4" t="s">
        <v>497</v>
      </c>
      <c r="E41" t="s">
        <v>192</v>
      </c>
      <c r="F41" t="s">
        <v>192</v>
      </c>
      <c r="G41" t="s">
        <v>193</v>
      </c>
      <c r="H41" s="5" t="s">
        <v>496</v>
      </c>
      <c r="I41" s="5" t="s">
        <v>496</v>
      </c>
      <c r="J41">
        <v>20</v>
      </c>
      <c r="K41">
        <v>17.6</v>
      </c>
      <c r="L41">
        <v>15</v>
      </c>
      <c r="M41" s="5" t="s">
        <v>496</v>
      </c>
      <c r="N41">
        <v>0</v>
      </c>
      <c r="O41">
        <v>0</v>
      </c>
      <c r="P41">
        <v>0</v>
      </c>
      <c r="Q41" t="s">
        <v>92</v>
      </c>
      <c r="R41">
        <v>19</v>
      </c>
      <c r="S41" s="5">
        <v>1</v>
      </c>
      <c r="T41" s="3" t="s">
        <v>498</v>
      </c>
      <c r="U41" s="3" t="s">
        <v>499</v>
      </c>
      <c r="V41">
        <v>0</v>
      </c>
      <c r="W41" s="5" t="str">
        <f t="shared" si="0"/>
        <v>(1340,null,1,'2026-03-12 00:00:00','002401000050000-24010000501','002401000050000-24010000501','放射治疗的适时监控（疗程中修改计划加收）',null,null,20,17.6,15,null,0,0,0,'疗程',19,1,'normal','main',0),</v>
      </c>
    </row>
    <row r="42" spans="1:23">
      <c r="A42">
        <v>1341</v>
      </c>
      <c r="B42" s="3" t="s">
        <v>496</v>
      </c>
      <c r="C42" s="3">
        <v>1</v>
      </c>
      <c r="D42" s="4" t="s">
        <v>497</v>
      </c>
      <c r="E42" t="s">
        <v>194</v>
      </c>
      <c r="F42" t="s">
        <v>194</v>
      </c>
      <c r="G42" t="s">
        <v>195</v>
      </c>
      <c r="H42" s="5" t="s">
        <v>496</v>
      </c>
      <c r="I42" s="5" t="s">
        <v>496</v>
      </c>
      <c r="J42">
        <v>50</v>
      </c>
      <c r="K42">
        <v>45</v>
      </c>
      <c r="L42">
        <v>0</v>
      </c>
      <c r="M42" s="5" t="s">
        <v>496</v>
      </c>
      <c r="N42">
        <v>410</v>
      </c>
      <c r="O42">
        <v>370</v>
      </c>
      <c r="P42">
        <v>315</v>
      </c>
      <c r="Q42" t="s">
        <v>196</v>
      </c>
      <c r="R42">
        <v>19</v>
      </c>
      <c r="S42" s="5">
        <v>1</v>
      </c>
      <c r="T42" s="3" t="s">
        <v>498</v>
      </c>
      <c r="U42" s="3" t="s">
        <v>499</v>
      </c>
      <c r="V42">
        <v>0</v>
      </c>
      <c r="W42" s="5" t="str">
        <f t="shared" si="0"/>
        <v>(1341,null,1,'2026-03-12 00:00:00','002403000040000-240300004','002403000040000-240300004','直线加速器放疗（固定照射）',null,null,50,45,0,null,410,370,315,'Gy',19,1,'normal','main',0),</v>
      </c>
    </row>
    <row r="43" spans="1:23">
      <c r="A43">
        <v>1342</v>
      </c>
      <c r="B43" s="3" t="s">
        <v>496</v>
      </c>
      <c r="C43" s="3">
        <v>1</v>
      </c>
      <c r="D43" s="4" t="s">
        <v>497</v>
      </c>
      <c r="E43" t="s">
        <v>197</v>
      </c>
      <c r="F43" t="s">
        <v>197</v>
      </c>
      <c r="G43" t="s">
        <v>198</v>
      </c>
      <c r="H43" s="5" t="s">
        <v>496</v>
      </c>
      <c r="I43" s="5" t="s">
        <v>496</v>
      </c>
      <c r="J43">
        <v>100</v>
      </c>
      <c r="K43">
        <v>90</v>
      </c>
      <c r="L43">
        <v>0</v>
      </c>
      <c r="M43" s="5" t="s">
        <v>496</v>
      </c>
      <c r="N43">
        <v>410</v>
      </c>
      <c r="O43">
        <v>370</v>
      </c>
      <c r="P43">
        <v>315</v>
      </c>
      <c r="Q43" t="s">
        <v>196</v>
      </c>
      <c r="R43">
        <v>19</v>
      </c>
      <c r="S43" s="5">
        <v>1</v>
      </c>
      <c r="T43" s="3" t="s">
        <v>498</v>
      </c>
      <c r="U43" s="3" t="s">
        <v>499</v>
      </c>
      <c r="V43">
        <v>0</v>
      </c>
      <c r="W43" s="5" t="str">
        <f t="shared" si="0"/>
        <v>(1342,null,1,'2026-03-12 00:00:00','002403000050000-240300005','002403000050000-240300005','直线加速器放疗（特殊照射）',null,null,100,90,0,null,410,370,315,'Gy',19,1,'normal','main',0),</v>
      </c>
    </row>
    <row r="44" spans="1:23">
      <c r="A44">
        <v>1343</v>
      </c>
      <c r="B44" s="3" t="s">
        <v>496</v>
      </c>
      <c r="C44" s="3">
        <v>1</v>
      </c>
      <c r="D44" s="4" t="s">
        <v>497</v>
      </c>
      <c r="E44" t="s">
        <v>200</v>
      </c>
      <c r="F44" t="s">
        <v>200</v>
      </c>
      <c r="G44" t="s">
        <v>201</v>
      </c>
      <c r="H44" s="5" t="s">
        <v>496</v>
      </c>
      <c r="I44" s="5" t="s">
        <v>496</v>
      </c>
      <c r="J44">
        <v>100</v>
      </c>
      <c r="K44">
        <v>90</v>
      </c>
      <c r="L44">
        <v>0</v>
      </c>
      <c r="M44" s="5" t="s">
        <v>496</v>
      </c>
      <c r="N44">
        <v>410</v>
      </c>
      <c r="O44">
        <v>370</v>
      </c>
      <c r="P44">
        <v>315</v>
      </c>
      <c r="Q44" t="s">
        <v>196</v>
      </c>
      <c r="R44">
        <v>19</v>
      </c>
      <c r="S44" s="5">
        <v>1</v>
      </c>
      <c r="T44" s="3" t="s">
        <v>498</v>
      </c>
      <c r="U44" s="3" t="s">
        <v>499</v>
      </c>
      <c r="V44">
        <v>0</v>
      </c>
      <c r="W44" s="5" t="str">
        <f t="shared" si="0"/>
        <v>(1343,null,1,'2026-03-12 00:00:00','002403000050100-24030000501','002403000050100-24030000501','直线加速器放疗（特殊照射、旋转）',null,null,100,90,0,null,410,370,315,'Gy',19,1,'normal','main',0),</v>
      </c>
    </row>
    <row r="45" spans="1:23">
      <c r="A45">
        <v>1344</v>
      </c>
      <c r="B45" s="3" t="s">
        <v>496</v>
      </c>
      <c r="C45" s="3">
        <v>1</v>
      </c>
      <c r="D45" s="4" t="s">
        <v>497</v>
      </c>
      <c r="E45" t="s">
        <v>203</v>
      </c>
      <c r="F45" t="s">
        <v>203</v>
      </c>
      <c r="G45" t="s">
        <v>204</v>
      </c>
      <c r="H45" s="5" t="s">
        <v>496</v>
      </c>
      <c r="I45" s="5" t="s">
        <v>496</v>
      </c>
      <c r="J45">
        <v>100</v>
      </c>
      <c r="K45">
        <v>90</v>
      </c>
      <c r="L45">
        <v>0</v>
      </c>
      <c r="M45" s="5" t="s">
        <v>496</v>
      </c>
      <c r="N45">
        <v>410</v>
      </c>
      <c r="O45">
        <v>370</v>
      </c>
      <c r="P45">
        <v>315</v>
      </c>
      <c r="Q45" t="s">
        <v>196</v>
      </c>
      <c r="R45">
        <v>19</v>
      </c>
      <c r="S45" s="5">
        <v>1</v>
      </c>
      <c r="T45" s="3" t="s">
        <v>498</v>
      </c>
      <c r="U45" s="3" t="s">
        <v>499</v>
      </c>
      <c r="V45">
        <v>0</v>
      </c>
      <c r="W45" s="5" t="str">
        <f t="shared" si="0"/>
        <v>(1344,null,1,'2026-03-12 00:00:00','002403000050300-24030000502','002403000050300-24030000502','直线加速器放疗（特殊照射、弧形）',null,null,100,90,0,null,410,370,315,'Gy',19,1,'normal','main',0),</v>
      </c>
    </row>
    <row r="46" spans="1:23">
      <c r="A46">
        <v>1345</v>
      </c>
      <c r="B46" s="3" t="s">
        <v>496</v>
      </c>
      <c r="C46" s="3">
        <v>1</v>
      </c>
      <c r="D46" s="4" t="s">
        <v>497</v>
      </c>
      <c r="E46" t="s">
        <v>206</v>
      </c>
      <c r="F46" t="s">
        <v>206</v>
      </c>
      <c r="G46" t="s">
        <v>207</v>
      </c>
      <c r="H46" s="5" t="s">
        <v>496</v>
      </c>
      <c r="I46" s="5" t="s">
        <v>496</v>
      </c>
      <c r="J46">
        <v>100</v>
      </c>
      <c r="K46">
        <v>90</v>
      </c>
      <c r="L46">
        <v>0</v>
      </c>
      <c r="M46" s="5" t="s">
        <v>496</v>
      </c>
      <c r="N46">
        <v>410</v>
      </c>
      <c r="O46">
        <v>370</v>
      </c>
      <c r="P46">
        <v>315</v>
      </c>
      <c r="Q46" t="s">
        <v>196</v>
      </c>
      <c r="R46">
        <v>19</v>
      </c>
      <c r="S46" s="5">
        <v>1</v>
      </c>
      <c r="T46" s="3" t="s">
        <v>498</v>
      </c>
      <c r="U46" s="3" t="s">
        <v>499</v>
      </c>
      <c r="V46">
        <v>0</v>
      </c>
      <c r="W46" s="5" t="str">
        <f t="shared" si="0"/>
        <v>(1345,null,1,'2026-03-12 00:00:00','002403000050400-24030000503','002403000050400-24030000503','直线加速器放疗（特殊照射、楔形滤板）',null,null,100,90,0,null,410,370,315,'Gy',19,1,'normal','main',0),</v>
      </c>
    </row>
    <row r="47" spans="1:23">
      <c r="A47">
        <v>1346</v>
      </c>
      <c r="B47" s="3" t="s">
        <v>496</v>
      </c>
      <c r="C47" s="3">
        <v>1</v>
      </c>
      <c r="D47" s="4" t="s">
        <v>497</v>
      </c>
      <c r="E47" t="s">
        <v>209</v>
      </c>
      <c r="F47" t="s">
        <v>209</v>
      </c>
      <c r="G47" t="s">
        <v>210</v>
      </c>
      <c r="H47" s="5" t="s">
        <v>496</v>
      </c>
      <c r="I47" s="5" t="s">
        <v>496</v>
      </c>
      <c r="J47">
        <v>100</v>
      </c>
      <c r="K47">
        <v>90</v>
      </c>
      <c r="L47">
        <v>0</v>
      </c>
      <c r="M47" s="5" t="s">
        <v>496</v>
      </c>
      <c r="N47">
        <v>410</v>
      </c>
      <c r="O47">
        <v>370</v>
      </c>
      <c r="P47">
        <v>315</v>
      </c>
      <c r="Q47" t="s">
        <v>196</v>
      </c>
      <c r="R47">
        <v>19</v>
      </c>
      <c r="S47" s="5">
        <v>1</v>
      </c>
      <c r="T47" s="3" t="s">
        <v>498</v>
      </c>
      <c r="U47" s="3" t="s">
        <v>499</v>
      </c>
      <c r="V47">
        <v>0</v>
      </c>
      <c r="W47" s="5" t="str">
        <f t="shared" si="0"/>
        <v>(1346,null,1,'2026-03-12 00:00:00','002403000050200-24030000504','002403000050200-24030000504','直线加速器放疗（特殊照射、门控）',null,null,100,90,0,null,410,370,315,'Gy',19,1,'normal','main',0),</v>
      </c>
    </row>
    <row r="48" spans="1:23">
      <c r="A48">
        <v>1347</v>
      </c>
      <c r="B48" s="3" t="s">
        <v>496</v>
      </c>
      <c r="C48" s="3">
        <v>1</v>
      </c>
      <c r="D48" s="4" t="s">
        <v>497</v>
      </c>
      <c r="E48" t="s">
        <v>212</v>
      </c>
      <c r="F48" t="s">
        <v>212</v>
      </c>
      <c r="G48" t="s">
        <v>213</v>
      </c>
      <c r="H48" s="5" t="s">
        <v>496</v>
      </c>
      <c r="I48" s="5" t="s">
        <v>496</v>
      </c>
      <c r="J48">
        <v>0</v>
      </c>
      <c r="K48">
        <v>0</v>
      </c>
      <c r="L48">
        <v>0</v>
      </c>
      <c r="M48" s="5" t="s">
        <v>496</v>
      </c>
      <c r="N48">
        <v>410</v>
      </c>
      <c r="O48">
        <v>370</v>
      </c>
      <c r="P48">
        <v>315</v>
      </c>
      <c r="Q48" t="s">
        <v>38</v>
      </c>
      <c r="R48">
        <v>19</v>
      </c>
      <c r="S48" s="5">
        <v>1</v>
      </c>
      <c r="T48" s="3" t="s">
        <v>498</v>
      </c>
      <c r="U48" s="3" t="s">
        <v>499</v>
      </c>
      <c r="V48">
        <v>0</v>
      </c>
      <c r="W48" s="5" t="str">
        <f t="shared" si="0"/>
        <v>(1347,null,1,'2026-03-12 00:00:00','002406000010000-240600001','002406000010000-240600001','低氧放疗耐力测定',null,null,0,0,0,null,410,370,315,'次',19,1,'normal','main',0),</v>
      </c>
    </row>
    <row r="49" spans="1:23">
      <c r="A49">
        <v>1348</v>
      </c>
      <c r="B49" s="3" t="s">
        <v>496</v>
      </c>
      <c r="C49" s="3">
        <v>1</v>
      </c>
      <c r="D49" s="4" t="s">
        <v>497</v>
      </c>
      <c r="E49" t="s">
        <v>214</v>
      </c>
      <c r="F49" t="s">
        <v>214</v>
      </c>
      <c r="G49" t="s">
        <v>215</v>
      </c>
      <c r="H49" s="5" t="s">
        <v>496</v>
      </c>
      <c r="I49" s="5" t="s">
        <v>496</v>
      </c>
      <c r="J49">
        <v>1200</v>
      </c>
      <c r="K49">
        <v>1056</v>
      </c>
      <c r="L49">
        <v>897.6</v>
      </c>
      <c r="M49" s="5" t="s">
        <v>496</v>
      </c>
      <c r="N49">
        <v>410</v>
      </c>
      <c r="O49">
        <v>370</v>
      </c>
      <c r="P49">
        <v>315</v>
      </c>
      <c r="Q49" t="s">
        <v>101</v>
      </c>
      <c r="R49">
        <v>19</v>
      </c>
      <c r="S49" s="5">
        <v>1</v>
      </c>
      <c r="T49" s="3" t="s">
        <v>498</v>
      </c>
      <c r="U49" s="3" t="s">
        <v>499</v>
      </c>
      <c r="V49">
        <v>0</v>
      </c>
      <c r="W49" s="5" t="str">
        <f t="shared" si="0"/>
        <v>(1348,null,1,'2026-03-12 00:00:00','002403000130000-240300013','002403000130000-240300013','全身电子线照射',null,null,1200,1056,897.6,null,410,370,315,'每照射野',19,1,'normal','main',0),</v>
      </c>
    </row>
    <row r="50" spans="1:23">
      <c r="A50">
        <v>1349</v>
      </c>
      <c r="B50" s="3" t="s">
        <v>496</v>
      </c>
      <c r="C50" s="3">
        <v>1</v>
      </c>
      <c r="D50" s="4" t="s">
        <v>497</v>
      </c>
      <c r="E50" t="s">
        <v>220</v>
      </c>
      <c r="F50" t="s">
        <v>220</v>
      </c>
      <c r="G50" t="s">
        <v>221</v>
      </c>
      <c r="H50" s="5" t="s">
        <v>496</v>
      </c>
      <c r="I50" s="5" t="s">
        <v>496</v>
      </c>
      <c r="J50">
        <v>130</v>
      </c>
      <c r="K50">
        <v>114.4</v>
      </c>
      <c r="L50">
        <v>97.2</v>
      </c>
      <c r="M50" s="5" t="s">
        <v>496</v>
      </c>
      <c r="N50">
        <v>115</v>
      </c>
      <c r="O50">
        <v>100</v>
      </c>
      <c r="P50">
        <v>85</v>
      </c>
      <c r="Q50" t="s">
        <v>101</v>
      </c>
      <c r="R50">
        <v>19</v>
      </c>
      <c r="S50" s="5">
        <v>1</v>
      </c>
      <c r="T50" s="3" t="s">
        <v>498</v>
      </c>
      <c r="U50" s="3" t="s">
        <v>499</v>
      </c>
      <c r="V50">
        <v>0</v>
      </c>
      <c r="W50" s="5" t="str">
        <f t="shared" si="0"/>
        <v>(1349,null,1,'2026-03-12 00:00:00','002403000090000-240300009','002403000090000-240300009','不规则野大面积照射',null,null,130,114.4,97.2,null,115,100,85,'每照射野',19,1,'normal','main',0),</v>
      </c>
    </row>
    <row r="51" spans="1:23">
      <c r="A51">
        <v>1350</v>
      </c>
      <c r="B51" s="3" t="s">
        <v>496</v>
      </c>
      <c r="C51" s="3">
        <v>1</v>
      </c>
      <c r="D51" s="4" t="s">
        <v>497</v>
      </c>
      <c r="E51" t="s">
        <v>222</v>
      </c>
      <c r="F51" t="s">
        <v>222</v>
      </c>
      <c r="G51" t="s">
        <v>223</v>
      </c>
      <c r="H51" s="5" t="s">
        <v>496</v>
      </c>
      <c r="I51" s="5" t="s">
        <v>496</v>
      </c>
      <c r="J51">
        <v>1000</v>
      </c>
      <c r="K51">
        <v>880</v>
      </c>
      <c r="L51">
        <v>748</v>
      </c>
      <c r="M51" s="5" t="s">
        <v>496</v>
      </c>
      <c r="N51">
        <v>115</v>
      </c>
      <c r="O51">
        <v>100</v>
      </c>
      <c r="P51">
        <v>85</v>
      </c>
      <c r="Q51" t="s">
        <v>101</v>
      </c>
      <c r="R51">
        <v>19</v>
      </c>
      <c r="S51" s="5">
        <v>1</v>
      </c>
      <c r="T51" s="3" t="s">
        <v>498</v>
      </c>
      <c r="U51" s="3" t="s">
        <v>499</v>
      </c>
      <c r="V51">
        <v>0</v>
      </c>
      <c r="W51" s="5" t="str">
        <f t="shared" si="0"/>
        <v>(1350,null,1,'2026-03-12 00:00:00','002403000100000-240300010','002403000100000-240300010','半身照射',null,null,1000,880,748,null,115,100,85,'每照射野',19,1,'normal','main',0),</v>
      </c>
    </row>
    <row r="52" spans="1:23">
      <c r="A52">
        <v>1351</v>
      </c>
      <c r="B52" s="3" t="s">
        <v>496</v>
      </c>
      <c r="C52" s="3">
        <v>1</v>
      </c>
      <c r="D52" s="4" t="s">
        <v>497</v>
      </c>
      <c r="E52" t="s">
        <v>233</v>
      </c>
      <c r="F52" t="s">
        <v>233</v>
      </c>
      <c r="G52" t="s">
        <v>234</v>
      </c>
      <c r="H52" s="5" t="s">
        <v>496</v>
      </c>
      <c r="I52" s="5" t="s">
        <v>496</v>
      </c>
      <c r="J52">
        <v>15</v>
      </c>
      <c r="K52">
        <v>13.2</v>
      </c>
      <c r="L52">
        <v>11.2</v>
      </c>
      <c r="M52" s="5" t="s">
        <v>496</v>
      </c>
      <c r="N52">
        <v>1050</v>
      </c>
      <c r="O52">
        <v>945</v>
      </c>
      <c r="P52">
        <v>805</v>
      </c>
      <c r="Q52" t="s">
        <v>101</v>
      </c>
      <c r="R52">
        <v>19</v>
      </c>
      <c r="S52" s="5">
        <v>1</v>
      </c>
      <c r="T52" s="3" t="s">
        <v>498</v>
      </c>
      <c r="U52" s="3" t="s">
        <v>499</v>
      </c>
      <c r="V52">
        <v>0</v>
      </c>
      <c r="W52" s="5" t="str">
        <f t="shared" si="0"/>
        <v>(1351,null,1,'2026-03-12 00:00:00','002403000010000-240300001','002403000010000-240300001','深部X线照射',null,null,15,13.2,11.2,null,1050,945,805,'每照射野',19,1,'normal','main',0),</v>
      </c>
    </row>
    <row r="53" spans="1:23">
      <c r="A53">
        <v>1352</v>
      </c>
      <c r="B53" s="3" t="s">
        <v>496</v>
      </c>
      <c r="C53" s="3">
        <v>1</v>
      </c>
      <c r="D53" s="4" t="s">
        <v>497</v>
      </c>
      <c r="E53" t="s">
        <v>235</v>
      </c>
      <c r="F53" t="s">
        <v>235</v>
      </c>
      <c r="G53" t="s">
        <v>236</v>
      </c>
      <c r="H53" s="5" t="s">
        <v>496</v>
      </c>
      <c r="I53" s="5" t="s">
        <v>496</v>
      </c>
      <c r="J53">
        <v>30</v>
      </c>
      <c r="K53">
        <v>26.4</v>
      </c>
      <c r="L53">
        <v>22.4</v>
      </c>
      <c r="M53" s="5" t="s">
        <v>496</v>
      </c>
      <c r="N53">
        <v>1050</v>
      </c>
      <c r="O53">
        <v>945</v>
      </c>
      <c r="P53">
        <v>805</v>
      </c>
      <c r="Q53" t="s">
        <v>101</v>
      </c>
      <c r="R53">
        <v>19</v>
      </c>
      <c r="S53" s="5">
        <v>1</v>
      </c>
      <c r="T53" s="3" t="s">
        <v>498</v>
      </c>
      <c r="U53" s="3" t="s">
        <v>499</v>
      </c>
      <c r="V53">
        <v>0</v>
      </c>
      <c r="W53" s="5" t="str">
        <f t="shared" si="0"/>
        <v>(1352,null,1,'2026-03-12 00:00:00','002403000020000-240300002','002403000020000-240300002','60钴外照射（固定照射）',null,null,30,26.4,22.4,null,1050,945,805,'每照射野',19,1,'normal','main',0),</v>
      </c>
    </row>
    <row r="54" spans="1:23">
      <c r="A54">
        <v>1353</v>
      </c>
      <c r="B54" s="3" t="s">
        <v>496</v>
      </c>
      <c r="C54" s="3">
        <v>1</v>
      </c>
      <c r="D54" s="4" t="s">
        <v>497</v>
      </c>
      <c r="E54" t="s">
        <v>237</v>
      </c>
      <c r="F54" t="s">
        <v>237</v>
      </c>
      <c r="G54" t="s">
        <v>238</v>
      </c>
      <c r="H54" s="5" t="s">
        <v>496</v>
      </c>
      <c r="I54" s="5" t="s">
        <v>496</v>
      </c>
      <c r="J54">
        <v>60</v>
      </c>
      <c r="K54">
        <v>52.8</v>
      </c>
      <c r="L54">
        <v>44.9</v>
      </c>
      <c r="M54" s="5" t="s">
        <v>496</v>
      </c>
      <c r="N54">
        <v>1050</v>
      </c>
      <c r="O54">
        <v>945</v>
      </c>
      <c r="P54">
        <v>805</v>
      </c>
      <c r="Q54" t="s">
        <v>101</v>
      </c>
      <c r="R54">
        <v>19</v>
      </c>
      <c r="S54" s="5">
        <v>1</v>
      </c>
      <c r="T54" s="3" t="s">
        <v>498</v>
      </c>
      <c r="U54" s="3" t="s">
        <v>499</v>
      </c>
      <c r="V54">
        <v>0</v>
      </c>
      <c r="W54" s="5" t="str">
        <f t="shared" si="0"/>
        <v>(1353,null,1,'2026-03-12 00:00:00','002403000030000-240300003','002403000030000-240300003','60钴外照射（特殊照射）',null,null,60,52.8,44.9,null,1050,945,805,'每照射野',19,1,'normal','main',0),</v>
      </c>
    </row>
    <row r="55" spans="1:23">
      <c r="A55">
        <v>1354</v>
      </c>
      <c r="B55" s="3" t="s">
        <v>496</v>
      </c>
      <c r="C55" s="3">
        <v>1</v>
      </c>
      <c r="D55" s="4" t="s">
        <v>497</v>
      </c>
      <c r="E55" t="s">
        <v>240</v>
      </c>
      <c r="F55" t="s">
        <v>240</v>
      </c>
      <c r="G55" t="s">
        <v>241</v>
      </c>
      <c r="H55" s="5" t="s">
        <v>496</v>
      </c>
      <c r="I55" s="5" t="s">
        <v>496</v>
      </c>
      <c r="J55">
        <v>60</v>
      </c>
      <c r="K55">
        <v>52.8</v>
      </c>
      <c r="L55">
        <v>44.9</v>
      </c>
      <c r="M55" s="5" t="s">
        <v>496</v>
      </c>
      <c r="N55">
        <v>1050</v>
      </c>
      <c r="O55">
        <v>945</v>
      </c>
      <c r="P55">
        <v>805</v>
      </c>
      <c r="Q55" t="s">
        <v>101</v>
      </c>
      <c r="R55">
        <v>19</v>
      </c>
      <c r="S55" s="5">
        <v>1</v>
      </c>
      <c r="T55" s="3" t="s">
        <v>498</v>
      </c>
      <c r="U55" s="3" t="s">
        <v>499</v>
      </c>
      <c r="V55">
        <v>0</v>
      </c>
      <c r="W55" s="5" t="str">
        <f t="shared" si="0"/>
        <v>(1354,null,1,'2026-03-12 00:00:00','002403000030100-24030000301','002403000030100-24030000301','60钴外照射（特殊照射、旋转）',null,null,60,52.8,44.9,null,1050,945,805,'每照射野',19,1,'normal','main',0),</v>
      </c>
    </row>
    <row r="56" spans="1:23">
      <c r="A56">
        <v>1355</v>
      </c>
      <c r="B56" s="3" t="s">
        <v>496</v>
      </c>
      <c r="C56" s="3">
        <v>1</v>
      </c>
      <c r="D56" s="4" t="s">
        <v>497</v>
      </c>
      <c r="E56" t="s">
        <v>242</v>
      </c>
      <c r="F56" t="s">
        <v>242</v>
      </c>
      <c r="G56" t="s">
        <v>243</v>
      </c>
      <c r="H56" s="5" t="s">
        <v>496</v>
      </c>
      <c r="I56" s="5" t="s">
        <v>496</v>
      </c>
      <c r="J56">
        <v>60</v>
      </c>
      <c r="K56">
        <v>52.8</v>
      </c>
      <c r="L56">
        <v>44.9</v>
      </c>
      <c r="M56" s="5" t="s">
        <v>496</v>
      </c>
      <c r="N56">
        <v>1050</v>
      </c>
      <c r="O56">
        <v>945</v>
      </c>
      <c r="P56">
        <v>805</v>
      </c>
      <c r="Q56" t="s">
        <v>101</v>
      </c>
      <c r="R56">
        <v>19</v>
      </c>
      <c r="S56" s="5">
        <v>1</v>
      </c>
      <c r="T56" s="3" t="s">
        <v>498</v>
      </c>
      <c r="U56" s="3" t="s">
        <v>499</v>
      </c>
      <c r="V56">
        <v>0</v>
      </c>
      <c r="W56" s="5" t="str">
        <f t="shared" si="0"/>
        <v>(1355,null,1,'2026-03-12 00:00:00','002403000030200-24030000302','002403000030200-24030000302','60钴外照射（特殊照射、弧形）',null,null,60,52.8,44.9,null,1050,945,805,'每照射野',19,1,'normal','main',0),</v>
      </c>
    </row>
    <row r="57" spans="1:23">
      <c r="A57">
        <v>1356</v>
      </c>
      <c r="B57" s="3" t="s">
        <v>496</v>
      </c>
      <c r="C57" s="3">
        <v>1</v>
      </c>
      <c r="D57" s="4" t="s">
        <v>497</v>
      </c>
      <c r="E57" t="s">
        <v>244</v>
      </c>
      <c r="F57" t="s">
        <v>244</v>
      </c>
      <c r="G57" t="s">
        <v>245</v>
      </c>
      <c r="H57" s="5" t="s">
        <v>496</v>
      </c>
      <c r="I57" s="5" t="s">
        <v>496</v>
      </c>
      <c r="J57">
        <v>60</v>
      </c>
      <c r="K57">
        <v>52.8</v>
      </c>
      <c r="L57">
        <v>44.9</v>
      </c>
      <c r="M57" s="5" t="s">
        <v>496</v>
      </c>
      <c r="N57">
        <v>1050</v>
      </c>
      <c r="O57">
        <v>945</v>
      </c>
      <c r="P57">
        <v>805</v>
      </c>
      <c r="Q57" t="s">
        <v>101</v>
      </c>
      <c r="R57">
        <v>19</v>
      </c>
      <c r="S57" s="5">
        <v>1</v>
      </c>
      <c r="T57" s="3" t="s">
        <v>498</v>
      </c>
      <c r="U57" s="3" t="s">
        <v>499</v>
      </c>
      <c r="V57">
        <v>0</v>
      </c>
      <c r="W57" s="5" t="str">
        <f t="shared" si="0"/>
        <v>(1356,null,1,'2026-03-12 00:00:00','002403000030300-24030000303','002403000030300-24030000303','60钴外照射（特殊照射、楔形滤板）',null,null,60,52.8,44.9,null,1050,945,805,'每照射野',19,1,'normal','main',0),</v>
      </c>
    </row>
    <row r="58" spans="1:23">
      <c r="A58">
        <v>1357</v>
      </c>
      <c r="B58" s="3" t="s">
        <v>496</v>
      </c>
      <c r="C58" s="3">
        <v>1</v>
      </c>
      <c r="D58" s="4" t="s">
        <v>497</v>
      </c>
      <c r="E58" t="s">
        <v>246</v>
      </c>
      <c r="F58" t="s">
        <v>246</v>
      </c>
      <c r="G58" t="s">
        <v>247</v>
      </c>
      <c r="H58" s="5" t="s">
        <v>496</v>
      </c>
      <c r="I58" s="5" t="s">
        <v>496</v>
      </c>
      <c r="J58">
        <v>420</v>
      </c>
      <c r="K58">
        <v>378</v>
      </c>
      <c r="L58">
        <v>0</v>
      </c>
      <c r="M58" s="5" t="s">
        <v>496</v>
      </c>
      <c r="N58">
        <v>1050</v>
      </c>
      <c r="O58">
        <v>945</v>
      </c>
      <c r="P58">
        <v>805</v>
      </c>
      <c r="Q58" t="s">
        <v>196</v>
      </c>
      <c r="R58">
        <v>19</v>
      </c>
      <c r="S58" s="5">
        <v>1</v>
      </c>
      <c r="T58" s="3" t="s">
        <v>498</v>
      </c>
      <c r="U58" s="3" t="s">
        <v>499</v>
      </c>
      <c r="V58">
        <v>0</v>
      </c>
      <c r="W58" s="5" t="str">
        <f t="shared" si="0"/>
        <v>(1357,null,1,'2026-03-12 00:00:00','002403000060000-240300006','002403000060000-240300006','直线加速器适型治疗',null,null,420,378,0,null,1050,945,805,'Gy',19,1,'normal','main',0),</v>
      </c>
    </row>
    <row r="59" spans="1:23">
      <c r="A59">
        <v>1358</v>
      </c>
      <c r="B59" s="3" t="s">
        <v>496</v>
      </c>
      <c r="C59" s="3">
        <v>1</v>
      </c>
      <c r="D59" s="4" t="s">
        <v>497</v>
      </c>
      <c r="E59" t="s">
        <v>250</v>
      </c>
      <c r="F59" t="s">
        <v>250</v>
      </c>
      <c r="G59" t="s">
        <v>251</v>
      </c>
      <c r="H59" s="5" t="s">
        <v>496</v>
      </c>
      <c r="I59" s="5" t="s">
        <v>496</v>
      </c>
      <c r="J59">
        <v>1700</v>
      </c>
      <c r="K59">
        <v>1496</v>
      </c>
      <c r="L59">
        <v>1271.6</v>
      </c>
      <c r="M59" s="5" t="s">
        <v>496</v>
      </c>
      <c r="N59">
        <v>115</v>
      </c>
      <c r="O59">
        <v>100</v>
      </c>
      <c r="P59">
        <v>85</v>
      </c>
      <c r="Q59" t="s">
        <v>101</v>
      </c>
      <c r="R59">
        <v>19</v>
      </c>
      <c r="S59" s="5">
        <v>1</v>
      </c>
      <c r="T59" s="3" t="s">
        <v>498</v>
      </c>
      <c r="U59" s="3" t="s">
        <v>499</v>
      </c>
      <c r="V59">
        <v>0</v>
      </c>
      <c r="W59" s="5" t="str">
        <f t="shared" si="0"/>
        <v>(1358,null,1,'2026-03-12 00:00:00','002403000120000-240300012','002403000120000-240300012','全身X线照射',null,null,1700,1496,1271.6,null,115,100,85,'每照射野',19,1,'normal','main',0),</v>
      </c>
    </row>
    <row r="60" spans="1:23">
      <c r="A60">
        <v>1359</v>
      </c>
      <c r="B60" s="3" t="s">
        <v>496</v>
      </c>
      <c r="C60" s="3">
        <v>1</v>
      </c>
      <c r="D60" s="4" t="s">
        <v>497</v>
      </c>
      <c r="E60" t="s">
        <v>253</v>
      </c>
      <c r="F60" t="s">
        <v>253</v>
      </c>
      <c r="G60" t="s">
        <v>254</v>
      </c>
      <c r="H60" s="5" t="s">
        <v>496</v>
      </c>
      <c r="I60" s="5" t="s">
        <v>496</v>
      </c>
      <c r="J60">
        <v>1000</v>
      </c>
      <c r="K60">
        <v>880</v>
      </c>
      <c r="L60">
        <v>748</v>
      </c>
      <c r="M60" s="5" t="s">
        <v>496</v>
      </c>
      <c r="N60">
        <v>115</v>
      </c>
      <c r="O60">
        <v>100</v>
      </c>
      <c r="P60">
        <v>85</v>
      </c>
      <c r="Q60" t="s">
        <v>101</v>
      </c>
      <c r="R60">
        <v>19</v>
      </c>
      <c r="S60" s="5">
        <v>1</v>
      </c>
      <c r="T60" s="3" t="s">
        <v>498</v>
      </c>
      <c r="U60" s="3" t="s">
        <v>499</v>
      </c>
      <c r="V60">
        <v>0</v>
      </c>
      <c r="W60" s="5" t="str">
        <f t="shared" si="0"/>
        <v>(1359,null,1,'2026-03-12 00:00:00','002403000110000-240300011','002403000110000-240300011','全身60钴照射',null,null,1000,880,748,null,115,100,85,'每照射野',19,1,'normal','main',0),</v>
      </c>
    </row>
    <row r="61" spans="1:23">
      <c r="A61">
        <v>1360</v>
      </c>
      <c r="B61" s="3" t="s">
        <v>496</v>
      </c>
      <c r="C61" s="3">
        <v>1</v>
      </c>
      <c r="D61" s="4" t="s">
        <v>497</v>
      </c>
      <c r="E61" t="s">
        <v>260</v>
      </c>
      <c r="F61" t="s">
        <v>260</v>
      </c>
      <c r="G61" t="s">
        <v>261</v>
      </c>
      <c r="H61" s="5" t="s">
        <v>496</v>
      </c>
      <c r="I61" s="5" t="s">
        <v>496</v>
      </c>
      <c r="J61">
        <v>300</v>
      </c>
      <c r="K61">
        <v>300</v>
      </c>
      <c r="L61">
        <v>255</v>
      </c>
      <c r="M61" s="5" t="s">
        <v>496</v>
      </c>
      <c r="N61">
        <v>170</v>
      </c>
      <c r="O61">
        <v>155</v>
      </c>
      <c r="P61">
        <v>130</v>
      </c>
      <c r="Q61" t="s">
        <v>38</v>
      </c>
      <c r="R61">
        <v>19</v>
      </c>
      <c r="S61" s="5">
        <v>1</v>
      </c>
      <c r="T61" s="3" t="s">
        <v>498</v>
      </c>
      <c r="U61" s="3" t="s">
        <v>499</v>
      </c>
      <c r="V61">
        <v>0</v>
      </c>
      <c r="W61" s="5" t="str">
        <f t="shared" si="0"/>
        <v>(1360,null,1,'2026-03-12 00:00:00','002401000050000-240600003','002401000050000-240600003','三维实时显像监控',null,null,300,300,255,null,170,155,130,'次',19,1,'normal','main',0),</v>
      </c>
    </row>
    <row r="62" spans="1:23">
      <c r="A62">
        <v>1361</v>
      </c>
      <c r="B62" s="3" t="s">
        <v>496</v>
      </c>
      <c r="C62" s="3">
        <v>1</v>
      </c>
      <c r="D62" s="4" t="s">
        <v>497</v>
      </c>
      <c r="E62" t="s">
        <v>267</v>
      </c>
      <c r="F62" t="s">
        <v>267</v>
      </c>
      <c r="G62" t="s">
        <v>268</v>
      </c>
      <c r="H62" s="5" t="s">
        <v>496</v>
      </c>
      <c r="I62" s="5" t="s">
        <v>496</v>
      </c>
      <c r="J62">
        <v>610</v>
      </c>
      <c r="K62">
        <v>550</v>
      </c>
      <c r="L62">
        <v>0</v>
      </c>
      <c r="M62" s="5" t="s">
        <v>496</v>
      </c>
      <c r="N62">
        <f>1600/2.6</f>
        <v>615.384615384615</v>
      </c>
      <c r="O62">
        <f>1445/2.6</f>
        <v>555.769230769231</v>
      </c>
      <c r="P62">
        <f>1250/2.6</f>
        <v>480.769230769231</v>
      </c>
      <c r="Q62" t="s">
        <v>196</v>
      </c>
      <c r="R62">
        <v>19</v>
      </c>
      <c r="S62" s="5">
        <v>1</v>
      </c>
      <c r="T62" s="3" t="s">
        <v>498</v>
      </c>
      <c r="U62" s="3" t="s">
        <v>499</v>
      </c>
      <c r="V62">
        <v>0</v>
      </c>
      <c r="W62" s="5" t="str">
        <f t="shared" si="0"/>
        <v>(1361,null,1,'2026-03-12 00:00:00','002403000150000-240300015','002403000150000-240300015','适形调强放射治疗（IMRT）',null,null,610,550,0,null,615.384615384615,555.769230769231,480.769230769231,'Gy',19,1,'normal','main',0),</v>
      </c>
    </row>
    <row r="63" spans="1:23">
      <c r="A63">
        <v>1362</v>
      </c>
      <c r="B63" s="3" t="s">
        <v>496</v>
      </c>
      <c r="C63" s="3">
        <v>1</v>
      </c>
      <c r="D63" s="4" t="s">
        <v>497</v>
      </c>
      <c r="E63" t="s">
        <v>260</v>
      </c>
      <c r="F63" t="s">
        <v>260</v>
      </c>
      <c r="G63" t="s">
        <v>261</v>
      </c>
      <c r="H63" s="5" t="s">
        <v>496</v>
      </c>
      <c r="I63" s="5" t="s">
        <v>496</v>
      </c>
      <c r="J63">
        <v>300</v>
      </c>
      <c r="K63">
        <v>300</v>
      </c>
      <c r="L63">
        <v>255</v>
      </c>
      <c r="M63" s="5" t="s">
        <v>496</v>
      </c>
      <c r="N63">
        <v>170</v>
      </c>
      <c r="O63">
        <v>155</v>
      </c>
      <c r="P63">
        <v>130</v>
      </c>
      <c r="Q63" t="s">
        <v>38</v>
      </c>
      <c r="R63">
        <v>19</v>
      </c>
      <c r="S63" s="5">
        <v>1</v>
      </c>
      <c r="T63" s="3" t="s">
        <v>498</v>
      </c>
      <c r="U63" s="3" t="s">
        <v>499</v>
      </c>
      <c r="V63">
        <v>0</v>
      </c>
      <c r="W63" s="5" t="str">
        <f t="shared" si="0"/>
        <v>(1362,null,1,'2026-03-12 00:00:00','002401000050000-240600003','002401000050000-240600003','三维实时显像监控',null,null,300,300,255,null,170,155,130,'次',19,1,'normal','main',0),</v>
      </c>
    </row>
    <row r="64" spans="1:23">
      <c r="A64">
        <v>1363</v>
      </c>
      <c r="B64" s="3" t="s">
        <v>496</v>
      </c>
      <c r="C64" s="3">
        <v>1</v>
      </c>
      <c r="D64" s="4" t="s">
        <v>497</v>
      </c>
      <c r="E64" t="s">
        <v>284</v>
      </c>
      <c r="F64" t="s">
        <v>284</v>
      </c>
      <c r="G64" t="s">
        <v>285</v>
      </c>
      <c r="H64" s="5" t="s">
        <v>496</v>
      </c>
      <c r="I64" s="5" t="s">
        <v>496</v>
      </c>
      <c r="J64">
        <v>4950</v>
      </c>
      <c r="K64">
        <v>4455</v>
      </c>
      <c r="L64">
        <v>3786.8</v>
      </c>
      <c r="M64" s="5" t="s">
        <v>496</v>
      </c>
      <c r="N64">
        <v>2100</v>
      </c>
      <c r="O64">
        <v>1900</v>
      </c>
      <c r="P64">
        <v>1600</v>
      </c>
      <c r="Q64" t="s">
        <v>38</v>
      </c>
      <c r="R64">
        <v>19</v>
      </c>
      <c r="S64" s="5">
        <v>1</v>
      </c>
      <c r="T64" s="3" t="s">
        <v>498</v>
      </c>
      <c r="U64" s="3" t="s">
        <v>499</v>
      </c>
      <c r="V64">
        <v>0</v>
      </c>
      <c r="W64" s="5" t="str">
        <f t="shared" si="0"/>
        <v>(1363,null,1,'2026-03-12 00:00:00','352403000180000-240300017','352403000180000-240300017','局部断层调强放疗（TOMO）',null,null,4950,4455,3786.8,null,2100,1900,1600,'次',19,1,'normal','main',0),</v>
      </c>
    </row>
    <row r="65" spans="1:23">
      <c r="A65">
        <v>1364</v>
      </c>
      <c r="B65" s="3" t="s">
        <v>496</v>
      </c>
      <c r="C65" s="3">
        <v>1</v>
      </c>
      <c r="D65" s="4" t="s">
        <v>497</v>
      </c>
      <c r="E65" t="s">
        <v>288</v>
      </c>
      <c r="F65" t="s">
        <v>288</v>
      </c>
      <c r="G65" t="s">
        <v>289</v>
      </c>
      <c r="H65" s="5" t="s">
        <v>496</v>
      </c>
      <c r="I65" s="5" t="s">
        <v>496</v>
      </c>
      <c r="J65">
        <v>2700</v>
      </c>
      <c r="K65">
        <v>2430</v>
      </c>
      <c r="L65">
        <v>2065.5</v>
      </c>
      <c r="M65" s="5" t="s">
        <v>496</v>
      </c>
      <c r="N65">
        <v>2100</v>
      </c>
      <c r="O65">
        <v>1900</v>
      </c>
      <c r="P65">
        <v>1600</v>
      </c>
      <c r="Q65" t="s">
        <v>38</v>
      </c>
      <c r="R65">
        <v>19</v>
      </c>
      <c r="S65" s="5">
        <v>1</v>
      </c>
      <c r="T65" s="3" t="s">
        <v>498</v>
      </c>
      <c r="U65" s="3" t="s">
        <v>499</v>
      </c>
      <c r="V65">
        <v>0</v>
      </c>
      <c r="W65" s="5" t="str">
        <f t="shared" si="0"/>
        <v>(1364,null,1,'2026-03-12 00:00:00','352403000180000-240300018','352403000180000-240300018','局部断层调强放疗（TOMO、15次以上）',null,null,2700,2430,2065.5,null,2100,1900,1600,'次',19,1,'normal','main',0),</v>
      </c>
    </row>
    <row r="66" spans="1:23">
      <c r="A66">
        <v>1365</v>
      </c>
      <c r="B66" s="3" t="s">
        <v>496</v>
      </c>
      <c r="C66" s="3">
        <v>1</v>
      </c>
      <c r="D66" s="4" t="s">
        <v>497</v>
      </c>
      <c r="E66" t="s">
        <v>294</v>
      </c>
      <c r="F66" t="s">
        <v>294</v>
      </c>
      <c r="G66" t="s">
        <v>295</v>
      </c>
      <c r="H66" s="5" t="s">
        <v>496</v>
      </c>
      <c r="I66" s="5" t="s">
        <v>496</v>
      </c>
      <c r="J66">
        <v>650</v>
      </c>
      <c r="K66">
        <v>585</v>
      </c>
      <c r="L66">
        <v>0</v>
      </c>
      <c r="M66" s="5" t="s">
        <v>496</v>
      </c>
      <c r="N66">
        <v>330</v>
      </c>
      <c r="O66">
        <v>305</v>
      </c>
      <c r="P66">
        <v>260</v>
      </c>
      <c r="Q66" t="s">
        <v>196</v>
      </c>
      <c r="R66">
        <v>19</v>
      </c>
      <c r="S66" s="5">
        <v>1</v>
      </c>
      <c r="T66" s="3" t="s">
        <v>498</v>
      </c>
      <c r="U66" s="3" t="s">
        <v>499</v>
      </c>
      <c r="V66">
        <v>0</v>
      </c>
      <c r="W66" s="5" t="str">
        <f t="shared" ref="W66:W102" si="1">"("&amp;A66&amp;","&amp;B66&amp;","&amp;C66&amp;",'"&amp;D66&amp;"','"&amp;E66&amp;"','"&amp;F66&amp;"','"&amp;G66&amp;"',"&amp;H66&amp;","&amp;I66&amp;","&amp;J66&amp;","&amp;K66&amp;","&amp;L66&amp;","&amp;M66&amp;","&amp;N66&amp;","&amp;O66&amp;","&amp;P66&amp;",'"&amp;Q66&amp;"',"&amp;R66&amp;","&amp;S66&amp;",'"&amp;T66&amp;"','"&amp;U66&amp;"',"&amp;V66&amp;"),"</f>
        <v>(1365,null,1,'2026-03-12 00:00:00','002403000150000-240300021','002403000150000-240300021','旋转调强放疗',null,null,650,585,0,null,330,305,260,'Gy',19,1,'normal','main',0),</v>
      </c>
    </row>
    <row r="67" spans="1:23">
      <c r="A67">
        <v>1366</v>
      </c>
      <c r="B67" s="3" t="s">
        <v>496</v>
      </c>
      <c r="C67" s="3">
        <v>1</v>
      </c>
      <c r="D67" s="4" t="s">
        <v>497</v>
      </c>
      <c r="E67" t="s">
        <v>303</v>
      </c>
      <c r="F67" t="s">
        <v>303</v>
      </c>
      <c r="G67" t="s">
        <v>304</v>
      </c>
      <c r="H67" s="5" t="s">
        <v>496</v>
      </c>
      <c r="I67" s="5" t="s">
        <v>496</v>
      </c>
      <c r="J67">
        <v>16200</v>
      </c>
      <c r="K67">
        <v>14580</v>
      </c>
      <c r="L67">
        <v>12390</v>
      </c>
      <c r="M67" s="5" t="s">
        <v>496</v>
      </c>
      <c r="N67">
        <v>27000</v>
      </c>
      <c r="O67">
        <v>24300</v>
      </c>
      <c r="P67">
        <v>20650</v>
      </c>
      <c r="Q67" t="s">
        <v>38</v>
      </c>
      <c r="R67">
        <v>19</v>
      </c>
      <c r="S67" s="5">
        <v>1</v>
      </c>
      <c r="T67" s="3" t="s">
        <v>498</v>
      </c>
      <c r="U67" s="3" t="s">
        <v>499</v>
      </c>
      <c r="V67">
        <v>0</v>
      </c>
      <c r="W67" s="5" t="str">
        <f t="shared" si="1"/>
        <v>(1366,null,1,'2026-03-12 00:00:00','352403000170000-240300019','352403000170000-240300019','射波刀立体放疗系统（首次）',null,null,16200,14580,12390,null,27000,24300,20650,'次',19,1,'normal','main',0),</v>
      </c>
    </row>
    <row r="68" spans="1:23">
      <c r="A68">
        <v>1367</v>
      </c>
      <c r="B68" s="3" t="s">
        <v>496</v>
      </c>
      <c r="C68" s="3">
        <v>1</v>
      </c>
      <c r="D68" s="4" t="s">
        <v>497</v>
      </c>
      <c r="E68" t="s">
        <v>307</v>
      </c>
      <c r="F68" t="s">
        <v>307</v>
      </c>
      <c r="G68" t="s">
        <v>308</v>
      </c>
      <c r="H68" s="5" t="s">
        <v>496</v>
      </c>
      <c r="I68" s="5" t="s">
        <v>496</v>
      </c>
      <c r="J68">
        <v>7200</v>
      </c>
      <c r="K68">
        <v>6480</v>
      </c>
      <c r="L68">
        <v>5500</v>
      </c>
      <c r="M68" s="5" t="s">
        <v>496</v>
      </c>
      <c r="N68">
        <v>27000</v>
      </c>
      <c r="O68">
        <v>24300</v>
      </c>
      <c r="P68">
        <v>20650</v>
      </c>
      <c r="Q68" t="s">
        <v>38</v>
      </c>
      <c r="R68">
        <v>19</v>
      </c>
      <c r="S68" s="5">
        <v>1</v>
      </c>
      <c r="T68" s="3" t="s">
        <v>498</v>
      </c>
      <c r="U68" s="3" t="s">
        <v>499</v>
      </c>
      <c r="V68">
        <v>0</v>
      </c>
      <c r="W68" s="5" t="str">
        <f t="shared" si="1"/>
        <v>(1367,null,1,'2026-03-12 00:00:00','352403000170000-240300020','352403000170000-240300020','射波刀立体放疗系统（第二次起）',null,null,7200,6480,5500,null,27000,24300,20650,'次',19,1,'normal','main',0),</v>
      </c>
    </row>
    <row r="69" spans="1:23">
      <c r="A69">
        <v>1368</v>
      </c>
      <c r="B69" s="3" t="s">
        <v>496</v>
      </c>
      <c r="C69" s="3">
        <v>1</v>
      </c>
      <c r="D69" s="4" t="s">
        <v>497</v>
      </c>
      <c r="E69" t="s">
        <v>313</v>
      </c>
      <c r="F69" t="s">
        <v>313</v>
      </c>
      <c r="G69" t="s">
        <v>314</v>
      </c>
      <c r="H69" s="5" t="s">
        <v>496</v>
      </c>
      <c r="I69" s="5" t="s">
        <v>496</v>
      </c>
      <c r="J69">
        <v>5280</v>
      </c>
      <c r="K69">
        <v>4920</v>
      </c>
      <c r="L69">
        <v>4182</v>
      </c>
      <c r="M69" s="5" t="s">
        <v>496</v>
      </c>
      <c r="N69">
        <v>13500</v>
      </c>
      <c r="O69">
        <v>12150</v>
      </c>
      <c r="P69">
        <v>10350</v>
      </c>
      <c r="Q69" t="s">
        <v>315</v>
      </c>
      <c r="R69">
        <v>19</v>
      </c>
      <c r="S69" s="5">
        <v>1</v>
      </c>
      <c r="T69" s="3" t="s">
        <v>498</v>
      </c>
      <c r="U69" s="3" t="s">
        <v>499</v>
      </c>
      <c r="V69">
        <v>0</v>
      </c>
      <c r="W69" s="5" t="str">
        <f t="shared" si="1"/>
        <v>(1368,null,1,'2026-03-12 00:00:00','002403000070000-240300007','002403000070000-240300007','X刀治疗',null,null,5280,4920,4182,null,13500,12150,10350,'例',19,1,'normal','main',0),</v>
      </c>
    </row>
    <row r="70" spans="1:23">
      <c r="A70">
        <v>1369</v>
      </c>
      <c r="B70" s="3" t="s">
        <v>496</v>
      </c>
      <c r="C70" s="3">
        <v>1</v>
      </c>
      <c r="D70" s="4" t="s">
        <v>497</v>
      </c>
      <c r="E70" t="s">
        <v>316</v>
      </c>
      <c r="F70" t="s">
        <v>316</v>
      </c>
      <c r="G70" t="s">
        <v>317</v>
      </c>
      <c r="H70" s="5" t="s">
        <v>496</v>
      </c>
      <c r="I70" s="5" t="s">
        <v>496</v>
      </c>
      <c r="J70">
        <v>7480</v>
      </c>
      <c r="K70">
        <v>6970</v>
      </c>
      <c r="L70">
        <v>5924.5</v>
      </c>
      <c r="M70" s="5" t="s">
        <v>496</v>
      </c>
      <c r="N70">
        <v>13500</v>
      </c>
      <c r="O70">
        <v>12150</v>
      </c>
      <c r="P70">
        <v>10350</v>
      </c>
      <c r="Q70" t="s">
        <v>92</v>
      </c>
      <c r="R70">
        <v>19</v>
      </c>
      <c r="S70" s="5">
        <v>1</v>
      </c>
      <c r="T70" s="3" t="s">
        <v>498</v>
      </c>
      <c r="U70" s="3" t="s">
        <v>499</v>
      </c>
      <c r="V70">
        <v>0</v>
      </c>
      <c r="W70" s="5" t="str">
        <f t="shared" si="1"/>
        <v>(1369,null,1,'2026-03-12 00:00:00','002403000080000-240300008','002403000080000-240300008','伽玛刀治疗',null,null,7480,6970,5924.5,null,13500,12150,10350,'疗程',19,1,'normal','main',0),</v>
      </c>
    </row>
    <row r="71" spans="1:23">
      <c r="A71">
        <v>1370</v>
      </c>
      <c r="B71" s="3" t="s">
        <v>496</v>
      </c>
      <c r="C71" s="3">
        <v>1</v>
      </c>
      <c r="D71" s="4" t="s">
        <v>497</v>
      </c>
      <c r="E71" t="s">
        <v>320</v>
      </c>
      <c r="F71" t="s">
        <v>320</v>
      </c>
      <c r="G71" t="s">
        <v>321</v>
      </c>
      <c r="H71" s="5" t="s">
        <v>496</v>
      </c>
      <c r="I71" s="5" t="s">
        <v>496</v>
      </c>
      <c r="J71">
        <v>704</v>
      </c>
      <c r="K71">
        <v>656</v>
      </c>
      <c r="L71">
        <v>557.6</v>
      </c>
      <c r="M71" s="5" t="s">
        <v>496</v>
      </c>
      <c r="N71">
        <v>13500</v>
      </c>
      <c r="O71">
        <v>12150</v>
      </c>
      <c r="P71">
        <v>10350</v>
      </c>
      <c r="Q71" t="s">
        <v>38</v>
      </c>
      <c r="R71">
        <v>19</v>
      </c>
      <c r="S71" s="5">
        <v>1</v>
      </c>
      <c r="T71" s="3" t="s">
        <v>498</v>
      </c>
      <c r="U71" s="3" t="s">
        <v>499</v>
      </c>
      <c r="V71">
        <v>0</v>
      </c>
      <c r="W71" s="5" t="str">
        <f t="shared" si="1"/>
        <v>(1370,null,1,'2026-03-12 00:00:00','002403000080000-24030000801','002403000080000-24030000801','伽玛刀治疗（每增加一次加收）',null,null,704,656,557.6,null,13500,12150,10350,'次',19,1,'normal','main',0),</v>
      </c>
    </row>
    <row r="72" spans="1:23">
      <c r="A72">
        <v>1371</v>
      </c>
      <c r="B72" s="3" t="s">
        <v>496</v>
      </c>
      <c r="C72" s="3">
        <v>1</v>
      </c>
      <c r="D72" s="4" t="s">
        <v>497</v>
      </c>
      <c r="E72" t="s">
        <v>323</v>
      </c>
      <c r="F72" t="s">
        <v>323</v>
      </c>
      <c r="G72" t="s">
        <v>324</v>
      </c>
      <c r="H72" s="5" t="s">
        <v>496</v>
      </c>
      <c r="I72" s="5" t="s">
        <v>496</v>
      </c>
      <c r="J72">
        <v>1320</v>
      </c>
      <c r="K72">
        <v>1230</v>
      </c>
      <c r="L72">
        <v>1045.5</v>
      </c>
      <c r="M72" s="5" t="s">
        <v>496</v>
      </c>
      <c r="N72">
        <v>13500</v>
      </c>
      <c r="O72">
        <v>12150</v>
      </c>
      <c r="P72">
        <v>10350</v>
      </c>
      <c r="Q72" t="s">
        <v>325</v>
      </c>
      <c r="R72">
        <v>19</v>
      </c>
      <c r="S72" s="5">
        <v>1</v>
      </c>
      <c r="T72" s="3" t="s">
        <v>498</v>
      </c>
      <c r="U72" s="3" t="s">
        <v>499</v>
      </c>
      <c r="V72">
        <v>0</v>
      </c>
      <c r="W72" s="5" t="str">
        <f t="shared" si="1"/>
        <v>(1371,null,1,'2026-03-12 00:00:00','002403000080000-24030000802','002403000080000-24030000802','伽玛刀治疗（多发肿瘤加收）',null,null,1320,1230,1045.5,null,13500,12150,10350,'每个肿物',19,1,'normal','main',0),</v>
      </c>
    </row>
    <row r="73" spans="1:23">
      <c r="A73">
        <v>1372</v>
      </c>
      <c r="B73" s="3" t="s">
        <v>496</v>
      </c>
      <c r="C73" s="3">
        <v>1</v>
      </c>
      <c r="D73" s="4" t="s">
        <v>497</v>
      </c>
      <c r="E73" t="s">
        <v>365</v>
      </c>
      <c r="F73" t="s">
        <v>365</v>
      </c>
      <c r="G73" t="s">
        <v>366</v>
      </c>
      <c r="H73" s="5" t="s">
        <v>496</v>
      </c>
      <c r="I73" s="5" t="s">
        <v>496</v>
      </c>
      <c r="J73">
        <v>50</v>
      </c>
      <c r="K73">
        <v>45</v>
      </c>
      <c r="L73">
        <v>0</v>
      </c>
      <c r="M73" s="5" t="s">
        <v>496</v>
      </c>
      <c r="N73">
        <v>750</v>
      </c>
      <c r="O73">
        <v>675</v>
      </c>
      <c r="P73">
        <v>580</v>
      </c>
      <c r="Q73" t="s">
        <v>196</v>
      </c>
      <c r="R73">
        <v>19</v>
      </c>
      <c r="S73" s="5">
        <v>1</v>
      </c>
      <c r="T73" s="3" t="s">
        <v>498</v>
      </c>
      <c r="U73" s="3" t="s">
        <v>499</v>
      </c>
      <c r="V73">
        <v>0</v>
      </c>
      <c r="W73" s="5" t="str">
        <f t="shared" si="1"/>
        <v>(1372,null,1,'2026-03-12 00:00:00','002404000010000-240400001','002404000010000-240400001','浅表部位后装治疗',null,null,50,45,0,null,750,675,580,'Gy',19,1,'normal','main',0),</v>
      </c>
    </row>
    <row r="74" spans="1:23">
      <c r="A74">
        <v>1373</v>
      </c>
      <c r="B74" s="3" t="s">
        <v>496</v>
      </c>
      <c r="C74" s="3">
        <v>1</v>
      </c>
      <c r="D74" s="4" t="s">
        <v>497</v>
      </c>
      <c r="E74" t="s">
        <v>367</v>
      </c>
      <c r="F74" t="s">
        <v>367</v>
      </c>
      <c r="G74" t="s">
        <v>368</v>
      </c>
      <c r="H74" s="5" t="s">
        <v>496</v>
      </c>
      <c r="I74" s="5" t="s">
        <v>496</v>
      </c>
      <c r="J74">
        <v>100</v>
      </c>
      <c r="K74">
        <v>90</v>
      </c>
      <c r="L74">
        <v>0</v>
      </c>
      <c r="M74" s="5" t="s">
        <v>496</v>
      </c>
      <c r="N74">
        <v>750</v>
      </c>
      <c r="O74">
        <v>675</v>
      </c>
      <c r="P74">
        <v>580</v>
      </c>
      <c r="Q74" t="s">
        <v>196</v>
      </c>
      <c r="R74">
        <v>19</v>
      </c>
      <c r="S74" s="5">
        <v>1</v>
      </c>
      <c r="T74" s="3" t="s">
        <v>498</v>
      </c>
      <c r="U74" s="3" t="s">
        <v>499</v>
      </c>
      <c r="V74">
        <v>0</v>
      </c>
      <c r="W74" s="5" t="str">
        <f t="shared" si="1"/>
        <v>(1373,null,1,'2026-03-12 00:00:00','002404000020000-240400002','002404000020000-240400002','腔内后装放疗',null,null,100,90,0,null,750,675,580,'Gy',19,1,'normal','main',0),</v>
      </c>
    </row>
    <row r="75" spans="1:23">
      <c r="A75">
        <v>1374</v>
      </c>
      <c r="B75" s="3" t="s">
        <v>496</v>
      </c>
      <c r="C75" s="3">
        <v>1</v>
      </c>
      <c r="D75" s="4" t="s">
        <v>497</v>
      </c>
      <c r="E75" t="s">
        <v>369</v>
      </c>
      <c r="F75" t="s">
        <v>369</v>
      </c>
      <c r="G75" t="s">
        <v>370</v>
      </c>
      <c r="H75" s="5" t="s">
        <v>496</v>
      </c>
      <c r="I75" s="5" t="s">
        <v>496</v>
      </c>
      <c r="J75">
        <v>350</v>
      </c>
      <c r="K75">
        <v>308</v>
      </c>
      <c r="L75">
        <v>261.8</v>
      </c>
      <c r="M75" s="5" t="s">
        <v>496</v>
      </c>
      <c r="N75">
        <v>750</v>
      </c>
      <c r="O75">
        <v>675</v>
      </c>
      <c r="P75">
        <v>580</v>
      </c>
      <c r="Q75" t="s">
        <v>38</v>
      </c>
      <c r="R75">
        <v>19</v>
      </c>
      <c r="S75" s="5">
        <v>1</v>
      </c>
      <c r="T75" s="3" t="s">
        <v>498</v>
      </c>
      <c r="U75" s="3" t="s">
        <v>499</v>
      </c>
      <c r="V75">
        <v>0</v>
      </c>
      <c r="W75" s="5" t="str">
        <f t="shared" si="1"/>
        <v>(1374,null,1,'2026-03-12 00:00:00','002404000050000-240400005','002404000050000-240400005','皮肤贴敷后装放疗',null,null,350,308,261.8,null,750,675,580,'次',19,1,'normal','main',0),</v>
      </c>
    </row>
    <row r="76" spans="1:23">
      <c r="A76">
        <v>1375</v>
      </c>
      <c r="B76" s="3" t="s">
        <v>496</v>
      </c>
      <c r="C76" s="3">
        <v>1</v>
      </c>
      <c r="D76" s="4" t="s">
        <v>497</v>
      </c>
      <c r="E76" t="s">
        <v>371</v>
      </c>
      <c r="F76" t="s">
        <v>371</v>
      </c>
      <c r="G76" t="s">
        <v>372</v>
      </c>
      <c r="H76" s="5" t="s">
        <v>496</v>
      </c>
      <c r="I76" s="5" t="s">
        <v>496</v>
      </c>
      <c r="J76">
        <v>0</v>
      </c>
      <c r="K76">
        <v>0</v>
      </c>
      <c r="L76">
        <v>0</v>
      </c>
      <c r="M76" s="5" t="s">
        <v>496</v>
      </c>
      <c r="N76">
        <v>750</v>
      </c>
      <c r="O76">
        <v>675</v>
      </c>
      <c r="P76">
        <v>580</v>
      </c>
      <c r="Q76" t="s">
        <v>38</v>
      </c>
      <c r="R76">
        <v>19</v>
      </c>
      <c r="S76" s="5">
        <v>1</v>
      </c>
      <c r="T76" s="3" t="s">
        <v>498</v>
      </c>
      <c r="U76" s="3" t="s">
        <v>499</v>
      </c>
      <c r="V76">
        <v>0</v>
      </c>
      <c r="W76" s="5" t="str">
        <f t="shared" si="1"/>
        <v>(1375,null,1,'2026-03-12 00:00:00','002404000060000-240400006','002404000060000-240400006','血管内后装放疗',null,null,0,0,0,null,750,675,580,'次',19,1,'normal','main',0),</v>
      </c>
    </row>
    <row r="77" spans="1:23">
      <c r="A77">
        <v>1376</v>
      </c>
      <c r="B77" s="3" t="s">
        <v>496</v>
      </c>
      <c r="C77" s="3">
        <v>1</v>
      </c>
      <c r="D77" s="4" t="s">
        <v>497</v>
      </c>
      <c r="E77" t="s">
        <v>373</v>
      </c>
      <c r="F77" t="s">
        <v>373</v>
      </c>
      <c r="G77" t="s">
        <v>374</v>
      </c>
      <c r="H77" s="5" t="s">
        <v>496</v>
      </c>
      <c r="I77" s="5" t="s">
        <v>496</v>
      </c>
      <c r="J77">
        <v>350</v>
      </c>
      <c r="K77">
        <v>308</v>
      </c>
      <c r="L77">
        <v>261.8</v>
      </c>
      <c r="M77" s="5" t="s">
        <v>496</v>
      </c>
      <c r="N77">
        <v>750</v>
      </c>
      <c r="O77">
        <v>675</v>
      </c>
      <c r="P77">
        <v>580</v>
      </c>
      <c r="Q77" t="s">
        <v>38</v>
      </c>
      <c r="R77">
        <v>19</v>
      </c>
      <c r="S77" s="5">
        <v>1</v>
      </c>
      <c r="T77" s="3" t="s">
        <v>498</v>
      </c>
      <c r="U77" s="3" t="s">
        <v>499</v>
      </c>
      <c r="V77">
        <v>0</v>
      </c>
      <c r="W77" s="5" t="str">
        <f t="shared" si="1"/>
        <v>(1376,null,1,'2026-03-12 00:00:00','002404000040000-240400004','002404000040000-240400004','手术置管放疗',null,null,350,308,261.8,null,750,675,580,'次',19,1,'normal','main',0),</v>
      </c>
    </row>
    <row r="78" spans="1:23">
      <c r="A78">
        <v>1377</v>
      </c>
      <c r="B78" s="3" t="s">
        <v>496</v>
      </c>
      <c r="C78" s="3">
        <v>1</v>
      </c>
      <c r="D78" s="4" t="s">
        <v>497</v>
      </c>
      <c r="E78" t="s">
        <v>388</v>
      </c>
      <c r="F78" t="s">
        <v>388</v>
      </c>
      <c r="G78" t="s">
        <v>389</v>
      </c>
      <c r="H78" s="5" t="s">
        <v>496</v>
      </c>
      <c r="I78" s="5" t="s">
        <v>496</v>
      </c>
      <c r="J78">
        <v>130</v>
      </c>
      <c r="K78">
        <v>117</v>
      </c>
      <c r="L78">
        <v>0</v>
      </c>
      <c r="M78" s="5" t="s">
        <v>496</v>
      </c>
      <c r="N78">
        <v>950</v>
      </c>
      <c r="O78">
        <v>860</v>
      </c>
      <c r="P78">
        <v>730</v>
      </c>
      <c r="Q78" t="s">
        <v>196</v>
      </c>
      <c r="R78">
        <v>19</v>
      </c>
      <c r="S78" s="5">
        <v>1</v>
      </c>
      <c r="T78" s="3" t="s">
        <v>498</v>
      </c>
      <c r="U78" s="3" t="s">
        <v>499</v>
      </c>
      <c r="V78">
        <v>0</v>
      </c>
      <c r="W78" s="5" t="str">
        <f t="shared" si="1"/>
        <v>(1377,null,1,'2026-03-12 00:00:00','002404000030000-240400003','002404000030000-240400003','组织间插置放疗',null,null,130,117,0,null,950,860,730,'Gy',19,1,'normal','main',0),</v>
      </c>
    </row>
    <row r="79" spans="1:23">
      <c r="A79">
        <v>1378</v>
      </c>
      <c r="B79" s="3" t="s">
        <v>496</v>
      </c>
      <c r="C79" s="3">
        <v>1</v>
      </c>
      <c r="D79" s="4" t="s">
        <v>497</v>
      </c>
      <c r="E79" t="s">
        <v>390</v>
      </c>
      <c r="F79" t="s">
        <v>390</v>
      </c>
      <c r="G79" t="s">
        <v>391</v>
      </c>
      <c r="H79" s="5" t="s">
        <v>496</v>
      </c>
      <c r="I79" s="5" t="s">
        <v>496</v>
      </c>
      <c r="J79">
        <v>0</v>
      </c>
      <c r="K79">
        <v>0</v>
      </c>
      <c r="L79">
        <v>0</v>
      </c>
      <c r="M79" s="5" t="s">
        <v>496</v>
      </c>
      <c r="N79">
        <v>950</v>
      </c>
      <c r="O79">
        <v>860</v>
      </c>
      <c r="P79">
        <v>730</v>
      </c>
      <c r="Q79" t="s">
        <v>38</v>
      </c>
      <c r="R79">
        <v>19</v>
      </c>
      <c r="S79" s="5">
        <v>1</v>
      </c>
      <c r="T79" s="3" t="s">
        <v>498</v>
      </c>
      <c r="U79" s="3" t="s">
        <v>499</v>
      </c>
      <c r="V79">
        <v>0</v>
      </c>
      <c r="W79" s="5" t="str">
        <f t="shared" si="1"/>
        <v>(1378,null,1,'2026-03-12 00:00:00','002403000160000-240300016','002403000160000-240300016','快中子外照射',null,null,0,0,0,null,950,860,730,'次',19,1,'normal','main',0),</v>
      </c>
    </row>
    <row r="80" spans="1:23">
      <c r="A80">
        <v>1379</v>
      </c>
      <c r="B80" s="3" t="s">
        <v>496</v>
      </c>
      <c r="C80" s="3">
        <v>1</v>
      </c>
      <c r="D80" s="4" t="s">
        <v>497</v>
      </c>
      <c r="E80" t="s">
        <v>392</v>
      </c>
      <c r="F80" t="s">
        <v>392</v>
      </c>
      <c r="G80" t="s">
        <v>393</v>
      </c>
      <c r="H80" s="5" t="s">
        <v>496</v>
      </c>
      <c r="I80" s="5" t="s">
        <v>496</v>
      </c>
      <c r="J80">
        <v>0</v>
      </c>
      <c r="K80">
        <v>0</v>
      </c>
      <c r="L80">
        <v>0</v>
      </c>
      <c r="M80" s="5" t="s">
        <v>496</v>
      </c>
      <c r="N80">
        <v>950</v>
      </c>
      <c r="O80">
        <v>860</v>
      </c>
      <c r="P80">
        <v>730</v>
      </c>
      <c r="Q80" t="s">
        <v>38</v>
      </c>
      <c r="R80">
        <v>19</v>
      </c>
      <c r="S80" s="5">
        <v>1</v>
      </c>
      <c r="T80" s="3" t="s">
        <v>498</v>
      </c>
      <c r="U80" s="3" t="s">
        <v>499</v>
      </c>
      <c r="V80">
        <v>0</v>
      </c>
      <c r="W80" s="5" t="str">
        <f t="shared" si="1"/>
        <v>(1379,null,1,'2026-03-12 00:00:00','002404000070000-240400007','002404000070000-240400007','快中子后装治疗（中子刀）',null,null,0,0,0,null,950,860,730,'次',19,1,'normal','main',0),</v>
      </c>
    </row>
    <row r="81" spans="1:23">
      <c r="A81">
        <v>1380</v>
      </c>
      <c r="B81" s="3" t="s">
        <v>496</v>
      </c>
      <c r="C81" s="3">
        <v>1</v>
      </c>
      <c r="D81" s="4" t="s">
        <v>497</v>
      </c>
      <c r="E81" t="s">
        <v>401</v>
      </c>
      <c r="F81" t="s">
        <v>401</v>
      </c>
      <c r="G81" t="s">
        <v>402</v>
      </c>
      <c r="H81" s="5" t="s">
        <v>496</v>
      </c>
      <c r="I81" s="5" t="s">
        <v>496</v>
      </c>
      <c r="J81">
        <v>200</v>
      </c>
      <c r="K81">
        <v>190</v>
      </c>
      <c r="L81">
        <v>161.5</v>
      </c>
      <c r="M81" s="5" t="s">
        <v>496</v>
      </c>
      <c r="N81">
        <v>500</v>
      </c>
      <c r="O81">
        <v>450</v>
      </c>
      <c r="P81">
        <v>390</v>
      </c>
      <c r="Q81" t="s">
        <v>38</v>
      </c>
      <c r="R81">
        <v>19</v>
      </c>
      <c r="S81" s="5">
        <v>1</v>
      </c>
      <c r="T81" s="3" t="s">
        <v>498</v>
      </c>
      <c r="U81" s="3" t="s">
        <v>499</v>
      </c>
      <c r="V81">
        <v>0</v>
      </c>
      <c r="W81" s="5" t="str">
        <f t="shared" si="1"/>
        <v>(1380,null,1,'2026-03-12 00:00:00','002306000010000-230600001','002306000010000-230600001','131碘（甲亢治疗）',null,null,200,190,161.5,null,500,450,390,'次',19,1,'normal','main',0),</v>
      </c>
    </row>
    <row r="82" spans="1:23">
      <c r="A82">
        <v>1381</v>
      </c>
      <c r="B82" s="3" t="s">
        <v>496</v>
      </c>
      <c r="C82" s="3">
        <v>1</v>
      </c>
      <c r="D82" s="4" t="s">
        <v>497</v>
      </c>
      <c r="E82" t="s">
        <v>403</v>
      </c>
      <c r="F82" t="s">
        <v>403</v>
      </c>
      <c r="G82" t="s">
        <v>404</v>
      </c>
      <c r="H82" s="5" t="s">
        <v>496</v>
      </c>
      <c r="I82" s="5" t="s">
        <v>496</v>
      </c>
      <c r="J82">
        <v>200</v>
      </c>
      <c r="K82">
        <v>190</v>
      </c>
      <c r="L82">
        <v>161.5</v>
      </c>
      <c r="M82" s="5" t="s">
        <v>496</v>
      </c>
      <c r="N82">
        <v>500</v>
      </c>
      <c r="O82">
        <v>450</v>
      </c>
      <c r="P82">
        <v>390</v>
      </c>
      <c r="Q82" t="s">
        <v>38</v>
      </c>
      <c r="R82">
        <v>19</v>
      </c>
      <c r="S82" s="5">
        <v>1</v>
      </c>
      <c r="T82" s="3" t="s">
        <v>498</v>
      </c>
      <c r="U82" s="3" t="s">
        <v>499</v>
      </c>
      <c r="V82">
        <v>0</v>
      </c>
      <c r="W82" s="5" t="str">
        <f t="shared" si="1"/>
        <v>(1381,null,1,'2026-03-12 00:00:00','002306000020000-230600002','002306000020000-230600002','131碘（功能自主性甲状腺瘤治疗）',null,null,200,190,161.5,null,500,450,390,'次',19,1,'normal','main',0),</v>
      </c>
    </row>
    <row r="83" spans="1:23">
      <c r="A83">
        <v>1382</v>
      </c>
      <c r="B83" s="3" t="s">
        <v>496</v>
      </c>
      <c r="C83" s="3">
        <v>1</v>
      </c>
      <c r="D83" s="4" t="s">
        <v>497</v>
      </c>
      <c r="E83" t="s">
        <v>405</v>
      </c>
      <c r="F83" t="s">
        <v>405</v>
      </c>
      <c r="G83" t="s">
        <v>406</v>
      </c>
      <c r="H83" s="5" t="s">
        <v>496</v>
      </c>
      <c r="I83" s="5" t="s">
        <v>496</v>
      </c>
      <c r="J83">
        <v>400</v>
      </c>
      <c r="K83">
        <v>380</v>
      </c>
      <c r="L83">
        <v>323</v>
      </c>
      <c r="M83" s="5" t="s">
        <v>496</v>
      </c>
      <c r="N83">
        <v>500</v>
      </c>
      <c r="O83">
        <v>450</v>
      </c>
      <c r="P83">
        <v>390</v>
      </c>
      <c r="Q83" t="s">
        <v>38</v>
      </c>
      <c r="R83">
        <v>19</v>
      </c>
      <c r="S83" s="5">
        <v>1</v>
      </c>
      <c r="T83" s="3" t="s">
        <v>498</v>
      </c>
      <c r="U83" s="3" t="s">
        <v>499</v>
      </c>
      <c r="V83">
        <v>0</v>
      </c>
      <c r="W83" s="5" t="str">
        <f t="shared" si="1"/>
        <v>(1382,null,1,'2026-03-12 00:00:00','002306000030000-230600003','002306000030000-230600003','131碘（甲状腺癌转移灶治疗）',null,null,400,380,323,null,500,450,390,'次',19,1,'normal','main',0),</v>
      </c>
    </row>
    <row r="84" spans="1:23">
      <c r="A84">
        <v>1383</v>
      </c>
      <c r="B84" s="3" t="s">
        <v>496</v>
      </c>
      <c r="C84" s="3">
        <v>1</v>
      </c>
      <c r="D84" s="4" t="s">
        <v>497</v>
      </c>
      <c r="E84" t="s">
        <v>407</v>
      </c>
      <c r="F84" t="s">
        <v>407</v>
      </c>
      <c r="G84" t="s">
        <v>408</v>
      </c>
      <c r="H84" s="5" t="s">
        <v>496</v>
      </c>
      <c r="I84" s="5" t="s">
        <v>496</v>
      </c>
      <c r="J84">
        <v>400</v>
      </c>
      <c r="K84">
        <v>380</v>
      </c>
      <c r="L84">
        <v>323</v>
      </c>
      <c r="M84" s="5" t="s">
        <v>496</v>
      </c>
      <c r="N84">
        <v>500</v>
      </c>
      <c r="O84">
        <v>450</v>
      </c>
      <c r="P84">
        <v>390</v>
      </c>
      <c r="Q84" t="s">
        <v>38</v>
      </c>
      <c r="R84">
        <v>19</v>
      </c>
      <c r="S84" s="5">
        <v>1</v>
      </c>
      <c r="T84" s="3" t="s">
        <v>498</v>
      </c>
      <c r="U84" s="3" t="s">
        <v>499</v>
      </c>
      <c r="V84">
        <v>0</v>
      </c>
      <c r="W84" s="5" t="str">
        <f t="shared" si="1"/>
        <v>(1383,null,1,'2026-03-12 00:00:00','002306000040000-230600004','002306000040000-230600004','131碘（肿瘤抗体放免治疗）',null,null,400,380,323,null,500,450,390,'次',19,1,'normal','main',0),</v>
      </c>
    </row>
    <row r="85" spans="1:23">
      <c r="A85">
        <v>1384</v>
      </c>
      <c r="B85" s="3" t="s">
        <v>496</v>
      </c>
      <c r="C85" s="3">
        <v>1</v>
      </c>
      <c r="D85" s="4" t="s">
        <v>497</v>
      </c>
      <c r="E85" t="s">
        <v>409</v>
      </c>
      <c r="F85" t="s">
        <v>409</v>
      </c>
      <c r="G85" t="s">
        <v>410</v>
      </c>
      <c r="H85" s="5" t="s">
        <v>496</v>
      </c>
      <c r="I85" s="5" t="s">
        <v>496</v>
      </c>
      <c r="J85">
        <v>260</v>
      </c>
      <c r="K85">
        <v>247</v>
      </c>
      <c r="L85">
        <v>210</v>
      </c>
      <c r="M85" s="5" t="s">
        <v>496</v>
      </c>
      <c r="N85">
        <v>500</v>
      </c>
      <c r="O85">
        <v>450</v>
      </c>
      <c r="P85">
        <v>390</v>
      </c>
      <c r="Q85" t="s">
        <v>38</v>
      </c>
      <c r="R85">
        <v>19</v>
      </c>
      <c r="S85" s="5">
        <v>1</v>
      </c>
      <c r="T85" s="3" t="s">
        <v>498</v>
      </c>
      <c r="U85" s="3" t="s">
        <v>499</v>
      </c>
      <c r="V85">
        <v>0</v>
      </c>
      <c r="W85" s="5" t="str">
        <f t="shared" si="1"/>
        <v>(1384,null,1,'2026-03-12 00:00:00','002306000050000-230600005','002306000050000-230600005','32磷（胶体腔内治疗）',null,null,260,247,210,null,500,450,390,'次',19,1,'normal','main',0),</v>
      </c>
    </row>
    <row r="86" spans="1:23">
      <c r="A86">
        <v>1385</v>
      </c>
      <c r="B86" s="3" t="s">
        <v>496</v>
      </c>
      <c r="C86" s="3">
        <v>1</v>
      </c>
      <c r="D86" s="4" t="s">
        <v>497</v>
      </c>
      <c r="E86" t="s">
        <v>411</v>
      </c>
      <c r="F86" t="s">
        <v>411</v>
      </c>
      <c r="G86" t="s">
        <v>412</v>
      </c>
      <c r="H86" s="5" t="s">
        <v>496</v>
      </c>
      <c r="I86" s="5" t="s">
        <v>496</v>
      </c>
      <c r="J86">
        <v>165</v>
      </c>
      <c r="K86">
        <v>153</v>
      </c>
      <c r="L86">
        <v>130.1</v>
      </c>
      <c r="M86" s="5" t="s">
        <v>496</v>
      </c>
      <c r="N86">
        <v>500</v>
      </c>
      <c r="O86">
        <v>450</v>
      </c>
      <c r="P86">
        <v>390</v>
      </c>
      <c r="Q86" t="s">
        <v>38</v>
      </c>
      <c r="R86">
        <v>19</v>
      </c>
      <c r="S86" s="5">
        <v>1</v>
      </c>
      <c r="T86" s="3" t="s">
        <v>498</v>
      </c>
      <c r="U86" s="3" t="s">
        <v>499</v>
      </c>
      <c r="V86">
        <v>0</v>
      </c>
      <c r="W86" s="5" t="str">
        <f t="shared" si="1"/>
        <v>(1385,null,1,'2026-03-12 00:00:00','002306000060000-230600006','002306000060000-230600006','32磷（血液病治疗）',null,null,165,153,130.1,null,500,450,390,'次',19,1,'normal','main',0),</v>
      </c>
    </row>
    <row r="87" spans="1:23">
      <c r="A87">
        <v>1386</v>
      </c>
      <c r="B87" s="3" t="s">
        <v>496</v>
      </c>
      <c r="C87" s="3">
        <v>1</v>
      </c>
      <c r="D87" s="4" t="s">
        <v>497</v>
      </c>
      <c r="E87" t="s">
        <v>413</v>
      </c>
      <c r="F87" t="s">
        <v>413</v>
      </c>
      <c r="G87" t="s">
        <v>414</v>
      </c>
      <c r="H87" s="5" t="s">
        <v>496</v>
      </c>
      <c r="I87" s="5" t="s">
        <v>496</v>
      </c>
      <c r="J87">
        <v>235</v>
      </c>
      <c r="K87">
        <v>210</v>
      </c>
      <c r="L87">
        <v>178.5</v>
      </c>
      <c r="M87" s="5" t="s">
        <v>496</v>
      </c>
      <c r="N87">
        <v>500</v>
      </c>
      <c r="O87">
        <v>450</v>
      </c>
      <c r="P87">
        <v>390</v>
      </c>
      <c r="Q87" t="s">
        <v>38</v>
      </c>
      <c r="R87">
        <v>19</v>
      </c>
      <c r="S87" s="5">
        <v>1</v>
      </c>
      <c r="T87" s="3" t="s">
        <v>498</v>
      </c>
      <c r="U87" s="3" t="s">
        <v>499</v>
      </c>
      <c r="V87">
        <v>0</v>
      </c>
      <c r="W87" s="5" t="str">
        <f t="shared" si="1"/>
        <v>(1386,null,1,'2026-03-12 00:00:00','002306000090000-230600009','002306000090000-230600009','89锶（骨转移瘤治疗）',null,null,235,210,178.5,null,500,450,390,'次',19,1,'normal','main',0),</v>
      </c>
    </row>
    <row r="88" spans="1:23">
      <c r="A88">
        <v>1387</v>
      </c>
      <c r="B88" s="3" t="s">
        <v>496</v>
      </c>
      <c r="C88" s="3">
        <v>1</v>
      </c>
      <c r="D88" s="4" t="s">
        <v>497</v>
      </c>
      <c r="E88" t="s">
        <v>415</v>
      </c>
      <c r="F88" t="s">
        <v>415</v>
      </c>
      <c r="G88" t="s">
        <v>416</v>
      </c>
      <c r="H88" s="5" t="s">
        <v>496</v>
      </c>
      <c r="I88" s="5" t="s">
        <v>496</v>
      </c>
      <c r="J88">
        <v>300</v>
      </c>
      <c r="K88">
        <v>285</v>
      </c>
      <c r="L88">
        <v>242.3</v>
      </c>
      <c r="M88" s="5" t="s">
        <v>496</v>
      </c>
      <c r="N88">
        <v>500</v>
      </c>
      <c r="O88">
        <v>450</v>
      </c>
      <c r="P88">
        <v>390</v>
      </c>
      <c r="Q88" t="s">
        <v>38</v>
      </c>
      <c r="R88">
        <v>19</v>
      </c>
      <c r="S88" s="5">
        <v>1</v>
      </c>
      <c r="T88" s="3" t="s">
        <v>498</v>
      </c>
      <c r="U88" s="3" t="s">
        <v>499</v>
      </c>
      <c r="V88">
        <v>0</v>
      </c>
      <c r="W88" s="5" t="str">
        <f t="shared" si="1"/>
        <v>(1387,null,1,'2026-03-12 00:00:00','002306000100000-230600010','002306000100000-230600010','153钐-EDTMP骨转移瘤治疗',null,null,300,285,242.3,null,500,450,390,'次',19,1,'normal','main',0),</v>
      </c>
    </row>
    <row r="89" spans="1:23">
      <c r="A89">
        <v>1388</v>
      </c>
      <c r="B89" s="3" t="s">
        <v>496</v>
      </c>
      <c r="C89" s="3">
        <v>1</v>
      </c>
      <c r="D89" s="4" t="s">
        <v>497</v>
      </c>
      <c r="E89" t="s">
        <v>417</v>
      </c>
      <c r="F89" t="s">
        <v>417</v>
      </c>
      <c r="G89" t="s">
        <v>418</v>
      </c>
      <c r="H89" s="5" t="s">
        <v>496</v>
      </c>
      <c r="I89" s="5" t="s">
        <v>496</v>
      </c>
      <c r="J89">
        <v>300</v>
      </c>
      <c r="K89">
        <v>285</v>
      </c>
      <c r="L89">
        <v>242.3</v>
      </c>
      <c r="M89" s="5" t="s">
        <v>496</v>
      </c>
      <c r="N89">
        <v>500</v>
      </c>
      <c r="O89">
        <v>450</v>
      </c>
      <c r="P89">
        <v>390</v>
      </c>
      <c r="Q89" t="s">
        <v>38</v>
      </c>
      <c r="R89">
        <v>19</v>
      </c>
      <c r="S89" s="5">
        <v>1</v>
      </c>
      <c r="T89" s="3" t="s">
        <v>498</v>
      </c>
      <c r="U89" s="3" t="s">
        <v>499</v>
      </c>
      <c r="V89">
        <v>0</v>
      </c>
      <c r="W89" s="5" t="str">
        <f t="shared" si="1"/>
        <v>(1388,null,1,'2026-03-12 00:00:00','002306000110000-230600011','002306000110000-230600011','188铼-HEDP骨转移瘤治疗',null,null,300,285,242.3,null,500,450,390,'次',19,1,'normal','main',0),</v>
      </c>
    </row>
    <row r="90" spans="1:23">
      <c r="A90">
        <v>1389</v>
      </c>
      <c r="B90" s="3" t="s">
        <v>496</v>
      </c>
      <c r="C90" s="3">
        <v>1</v>
      </c>
      <c r="D90" s="4" t="s">
        <v>497</v>
      </c>
      <c r="E90" t="s">
        <v>419</v>
      </c>
      <c r="F90" t="s">
        <v>419</v>
      </c>
      <c r="G90" t="s">
        <v>420</v>
      </c>
      <c r="H90" s="5" t="s">
        <v>496</v>
      </c>
      <c r="I90" s="5" t="s">
        <v>496</v>
      </c>
      <c r="J90">
        <v>320</v>
      </c>
      <c r="K90">
        <v>304</v>
      </c>
      <c r="L90">
        <v>258.4</v>
      </c>
      <c r="M90" s="5" t="s">
        <v>496</v>
      </c>
      <c r="N90">
        <v>500</v>
      </c>
      <c r="O90">
        <v>450</v>
      </c>
      <c r="P90">
        <v>390</v>
      </c>
      <c r="Q90" t="s">
        <v>38</v>
      </c>
      <c r="R90">
        <v>19</v>
      </c>
      <c r="S90" s="5">
        <v>1</v>
      </c>
      <c r="T90" s="3" t="s">
        <v>498</v>
      </c>
      <c r="U90" s="3" t="s">
        <v>499</v>
      </c>
      <c r="V90">
        <v>0</v>
      </c>
      <c r="W90" s="5" t="str">
        <f t="shared" si="1"/>
        <v>(1389,null,1,'2026-03-12 00:00:00','002306000120000-230600012','002306000120000-230600012','131碘（MIBG恶性肿瘤治疗）',null,null,320,304,258.4,null,500,450,390,'次',19,1,'normal','main',0),</v>
      </c>
    </row>
    <row r="91" spans="1:23">
      <c r="A91">
        <v>1390</v>
      </c>
      <c r="B91" s="3" t="s">
        <v>496</v>
      </c>
      <c r="C91" s="3">
        <v>1</v>
      </c>
      <c r="D91" s="4" t="s">
        <v>497</v>
      </c>
      <c r="E91" t="s">
        <v>429</v>
      </c>
      <c r="F91" t="s">
        <v>429</v>
      </c>
      <c r="G91" t="s">
        <v>430</v>
      </c>
      <c r="H91" s="5" t="s">
        <v>496</v>
      </c>
      <c r="I91" s="5" t="s">
        <v>496</v>
      </c>
      <c r="J91">
        <v>100</v>
      </c>
      <c r="K91">
        <v>95</v>
      </c>
      <c r="L91">
        <v>80.8</v>
      </c>
      <c r="M91" s="5" t="s">
        <v>496</v>
      </c>
      <c r="N91">
        <v>110</v>
      </c>
      <c r="O91">
        <v>100</v>
      </c>
      <c r="P91">
        <v>85</v>
      </c>
      <c r="Q91" t="s">
        <v>38</v>
      </c>
      <c r="R91">
        <v>19</v>
      </c>
      <c r="S91" s="5">
        <v>1</v>
      </c>
      <c r="T91" s="3" t="s">
        <v>498</v>
      </c>
      <c r="U91" s="3" t="s">
        <v>499</v>
      </c>
      <c r="V91">
        <v>0</v>
      </c>
      <c r="W91" s="5" t="str">
        <f t="shared" si="1"/>
        <v>(1390,null,1,'2026-03-12 00:00:00','002306000150000-230600015','002306000150000-230600015','99锝（云克）治疗',null,null,100,95,80.8,null,110,100,85,'次',19,1,'normal','main',0),</v>
      </c>
    </row>
    <row r="92" spans="1:23">
      <c r="A92">
        <v>1391</v>
      </c>
      <c r="B92" s="3" t="s">
        <v>496</v>
      </c>
      <c r="C92" s="3">
        <v>1</v>
      </c>
      <c r="D92" s="4" t="s">
        <v>497</v>
      </c>
      <c r="E92" t="s">
        <v>436</v>
      </c>
      <c r="F92" t="s">
        <v>436</v>
      </c>
      <c r="G92" t="s">
        <v>437</v>
      </c>
      <c r="H92" s="5" t="s">
        <v>496</v>
      </c>
      <c r="I92" s="5" t="s">
        <v>496</v>
      </c>
      <c r="J92">
        <v>450</v>
      </c>
      <c r="K92">
        <v>428</v>
      </c>
      <c r="L92">
        <v>363.8</v>
      </c>
      <c r="M92" s="5" t="s">
        <v>496</v>
      </c>
      <c r="N92">
        <v>1450</v>
      </c>
      <c r="O92">
        <v>1300</v>
      </c>
      <c r="P92">
        <v>1100</v>
      </c>
      <c r="Q92" t="s">
        <v>38</v>
      </c>
      <c r="R92">
        <v>19</v>
      </c>
      <c r="S92" s="5">
        <v>1</v>
      </c>
      <c r="T92" s="3" t="s">
        <v>498</v>
      </c>
      <c r="U92" s="3" t="s">
        <v>499</v>
      </c>
      <c r="V92">
        <v>0</v>
      </c>
      <c r="W92" s="5" t="str">
        <f t="shared" si="1"/>
        <v>(1391,null,1,'2026-03-12 00:00:00','002306000070000-230600007','002306000070000-230600007','32磷（微球介入治疗）',null,null,450,428,363.8,null,1450,1300,1100,'次',19,1,'normal','main',0),</v>
      </c>
    </row>
    <row r="93" spans="1:23">
      <c r="A93">
        <v>1392</v>
      </c>
      <c r="B93" s="3" t="s">
        <v>496</v>
      </c>
      <c r="C93" s="3">
        <v>1</v>
      </c>
      <c r="D93" s="4" t="s">
        <v>497</v>
      </c>
      <c r="E93" t="s">
        <v>438</v>
      </c>
      <c r="F93" t="s">
        <v>438</v>
      </c>
      <c r="G93" t="s">
        <v>439</v>
      </c>
      <c r="H93" s="5" t="s">
        <v>496</v>
      </c>
      <c r="I93" s="5" t="s">
        <v>496</v>
      </c>
      <c r="J93">
        <v>450</v>
      </c>
      <c r="K93">
        <v>428</v>
      </c>
      <c r="L93">
        <v>363.8</v>
      </c>
      <c r="M93" s="5" t="s">
        <v>496</v>
      </c>
      <c r="N93">
        <v>1450</v>
      </c>
      <c r="O93">
        <v>1300</v>
      </c>
      <c r="P93">
        <v>1100</v>
      </c>
      <c r="Q93" t="s">
        <v>38</v>
      </c>
      <c r="R93">
        <v>19</v>
      </c>
      <c r="S93" s="5">
        <v>1</v>
      </c>
      <c r="T93" s="3" t="s">
        <v>498</v>
      </c>
      <c r="U93" s="3" t="s">
        <v>499</v>
      </c>
      <c r="V93">
        <v>0</v>
      </c>
      <c r="W93" s="5" t="str">
        <f t="shared" si="1"/>
        <v>(1392,null,1,'2026-03-12 00:00:00','002306000080000-230600008','002306000080000-230600008','90钇（微球介入治疗）',null,null,450,428,363.8,null,1450,1300,1100,'次',19,1,'normal','main',0),</v>
      </c>
    </row>
    <row r="94" spans="1:23">
      <c r="A94">
        <v>1393</v>
      </c>
      <c r="B94" s="3" t="s">
        <v>496</v>
      </c>
      <c r="C94" s="3">
        <v>1</v>
      </c>
      <c r="D94" s="4" t="s">
        <v>497</v>
      </c>
      <c r="E94" t="s">
        <v>440</v>
      </c>
      <c r="F94" t="s">
        <v>440</v>
      </c>
      <c r="G94" t="s">
        <v>441</v>
      </c>
      <c r="H94" s="5" t="s">
        <v>496</v>
      </c>
      <c r="I94" s="5" t="s">
        <v>496</v>
      </c>
      <c r="J94">
        <v>450</v>
      </c>
      <c r="K94">
        <v>428</v>
      </c>
      <c r="L94">
        <v>363.8</v>
      </c>
      <c r="M94" s="5" t="s">
        <v>496</v>
      </c>
      <c r="N94">
        <v>1450</v>
      </c>
      <c r="O94">
        <v>1300</v>
      </c>
      <c r="P94">
        <v>1100</v>
      </c>
      <c r="Q94" t="s">
        <v>38</v>
      </c>
      <c r="R94">
        <v>19</v>
      </c>
      <c r="S94" s="5">
        <v>1</v>
      </c>
      <c r="T94" s="3" t="s">
        <v>498</v>
      </c>
      <c r="U94" s="3" t="s">
        <v>499</v>
      </c>
      <c r="V94">
        <v>0</v>
      </c>
      <c r="W94" s="5" t="str">
        <f t="shared" si="1"/>
        <v>(1393,null,1,'2026-03-12 00:00:00','002306000130000-230600013','002306000130000-230600013','核素组织间介入治疗',null,null,450,428,363.8,null,1450,1300,1100,'次',19,1,'normal','main',0),</v>
      </c>
    </row>
    <row r="95" spans="1:23">
      <c r="A95">
        <v>1394</v>
      </c>
      <c r="B95" s="3" t="s">
        <v>496</v>
      </c>
      <c r="C95" s="3">
        <v>1</v>
      </c>
      <c r="D95" s="4" t="s">
        <v>497</v>
      </c>
      <c r="E95" t="s">
        <v>442</v>
      </c>
      <c r="F95" t="s">
        <v>442</v>
      </c>
      <c r="G95" t="s">
        <v>443</v>
      </c>
      <c r="H95" s="5" t="s">
        <v>496</v>
      </c>
      <c r="I95" s="5" t="s">
        <v>496</v>
      </c>
      <c r="J95">
        <v>300</v>
      </c>
      <c r="K95">
        <v>285</v>
      </c>
      <c r="L95">
        <v>242.3</v>
      </c>
      <c r="M95" s="5" t="s">
        <v>496</v>
      </c>
      <c r="N95">
        <v>1450</v>
      </c>
      <c r="O95">
        <v>1300</v>
      </c>
      <c r="P95">
        <v>1100</v>
      </c>
      <c r="Q95" t="s">
        <v>38</v>
      </c>
      <c r="R95">
        <v>19</v>
      </c>
      <c r="S95" s="5">
        <v>1</v>
      </c>
      <c r="T95" s="3" t="s">
        <v>498</v>
      </c>
      <c r="U95" s="3" t="s">
        <v>499</v>
      </c>
      <c r="V95">
        <v>0</v>
      </c>
      <c r="W95" s="5" t="str">
        <f t="shared" si="1"/>
        <v>(1394,null,1,'2026-03-12 00:00:00','002306000140000-230600014','002306000140000-230600014','核素血管内介入治疗',null,null,300,285,242.3,null,1450,1300,1100,'次',19,1,'normal','main',0),</v>
      </c>
    </row>
    <row r="96" spans="1:23">
      <c r="A96">
        <v>1395</v>
      </c>
      <c r="B96" s="3" t="s">
        <v>496</v>
      </c>
      <c r="C96" s="3">
        <v>1</v>
      </c>
      <c r="D96" s="4" t="s">
        <v>497</v>
      </c>
      <c r="E96" t="s">
        <v>444</v>
      </c>
      <c r="F96" t="s">
        <v>444</v>
      </c>
      <c r="G96" t="s">
        <v>445</v>
      </c>
      <c r="H96" s="5" t="s">
        <v>496</v>
      </c>
      <c r="I96" s="5" t="s">
        <v>496</v>
      </c>
      <c r="J96">
        <v>830</v>
      </c>
      <c r="K96">
        <v>750</v>
      </c>
      <c r="L96">
        <v>637.5</v>
      </c>
      <c r="M96" s="5" t="s">
        <v>496</v>
      </c>
      <c r="N96">
        <v>1450</v>
      </c>
      <c r="O96">
        <v>1300</v>
      </c>
      <c r="P96">
        <v>1100</v>
      </c>
      <c r="Q96" t="s">
        <v>38</v>
      </c>
      <c r="R96">
        <v>19</v>
      </c>
      <c r="S96" s="5">
        <v>1</v>
      </c>
      <c r="T96" s="3" t="s">
        <v>498</v>
      </c>
      <c r="U96" s="3" t="s">
        <v>499</v>
      </c>
      <c r="V96">
        <v>0</v>
      </c>
      <c r="W96" s="5" t="str">
        <f t="shared" si="1"/>
        <v>(1395,null,1,'2026-03-12 00:00:00','002306000170000-230600017','002306000170000-230600017','组织间粒子植入术',null,null,830,750,637.5,null,1450,1300,1100,'次',19,1,'normal','main',0),</v>
      </c>
    </row>
    <row r="97" spans="1:23">
      <c r="A97">
        <v>1396</v>
      </c>
      <c r="B97" s="3" t="s">
        <v>496</v>
      </c>
      <c r="C97" s="3">
        <v>1</v>
      </c>
      <c r="D97" s="4" t="s">
        <v>497</v>
      </c>
      <c r="E97" t="s">
        <v>448</v>
      </c>
      <c r="F97" t="s">
        <v>448</v>
      </c>
      <c r="G97" t="s">
        <v>449</v>
      </c>
      <c r="H97" s="5" t="s">
        <v>496</v>
      </c>
      <c r="I97" s="5" t="s">
        <v>496</v>
      </c>
      <c r="J97">
        <v>830</v>
      </c>
      <c r="K97">
        <v>750</v>
      </c>
      <c r="L97">
        <v>637.5</v>
      </c>
      <c r="M97" s="5" t="s">
        <v>496</v>
      </c>
      <c r="N97">
        <v>1450</v>
      </c>
      <c r="O97">
        <v>1300</v>
      </c>
      <c r="P97">
        <v>1100</v>
      </c>
      <c r="Q97" t="s">
        <v>38</v>
      </c>
      <c r="R97">
        <v>19</v>
      </c>
      <c r="S97" s="5">
        <v>1</v>
      </c>
      <c r="T97" s="3" t="s">
        <v>498</v>
      </c>
      <c r="U97" s="3" t="s">
        <v>499</v>
      </c>
      <c r="V97">
        <v>0</v>
      </c>
      <c r="W97" s="5" t="str">
        <f t="shared" si="1"/>
        <v>(1396,null,1,'2026-03-12 00:00:00','002306000170100-23060001701','002306000170100-23060001701','放射性粒子植入术',null,null,830,750,637.5,null,1450,1300,1100,'次',19,1,'normal','main',0),</v>
      </c>
    </row>
    <row r="98" spans="1:23">
      <c r="A98">
        <v>1397</v>
      </c>
      <c r="B98" s="3" t="s">
        <v>496</v>
      </c>
      <c r="C98" s="3">
        <v>1</v>
      </c>
      <c r="D98" s="4" t="s">
        <v>497</v>
      </c>
      <c r="E98" t="s">
        <v>450</v>
      </c>
      <c r="F98" t="s">
        <v>450</v>
      </c>
      <c r="G98" t="s">
        <v>451</v>
      </c>
      <c r="H98" s="5" t="s">
        <v>496</v>
      </c>
      <c r="I98" s="5" t="s">
        <v>496</v>
      </c>
      <c r="J98">
        <v>830</v>
      </c>
      <c r="K98">
        <v>750</v>
      </c>
      <c r="L98">
        <v>637.5</v>
      </c>
      <c r="M98" s="5" t="s">
        <v>496</v>
      </c>
      <c r="N98">
        <v>1450</v>
      </c>
      <c r="O98">
        <v>1300</v>
      </c>
      <c r="P98">
        <v>1100</v>
      </c>
      <c r="Q98" t="s">
        <v>38</v>
      </c>
      <c r="R98">
        <v>19</v>
      </c>
      <c r="S98" s="5">
        <v>1</v>
      </c>
      <c r="T98" s="3" t="s">
        <v>498</v>
      </c>
      <c r="U98" s="3" t="s">
        <v>499</v>
      </c>
      <c r="V98">
        <v>0</v>
      </c>
      <c r="W98" s="5" t="str">
        <f t="shared" si="1"/>
        <v>(1397,null,1,'2026-03-12 00:00:00','002306000170200-23060001702','002306000170200-23060001702','化疗药物粒子植入术',null,null,830,750,637.5,null,1450,1300,1100,'次',19,1,'normal','main',0),</v>
      </c>
    </row>
    <row r="99" spans="1:23">
      <c r="A99">
        <v>1398</v>
      </c>
      <c r="B99" s="3" t="s">
        <v>496</v>
      </c>
      <c r="C99" s="3">
        <v>1</v>
      </c>
      <c r="D99" s="4" t="s">
        <v>497</v>
      </c>
      <c r="E99" t="s">
        <v>458</v>
      </c>
      <c r="F99" t="s">
        <v>458</v>
      </c>
      <c r="G99" t="s">
        <v>459</v>
      </c>
      <c r="H99" s="5" t="s">
        <v>496</v>
      </c>
      <c r="I99" s="5" t="s">
        <v>496</v>
      </c>
      <c r="J99">
        <v>49</v>
      </c>
      <c r="K99">
        <v>44</v>
      </c>
      <c r="L99">
        <v>37.4</v>
      </c>
      <c r="M99" s="5" t="s">
        <v>496</v>
      </c>
      <c r="N99">
        <v>49</v>
      </c>
      <c r="O99">
        <v>44</v>
      </c>
      <c r="P99">
        <v>38</v>
      </c>
      <c r="Q99" t="s">
        <v>38</v>
      </c>
      <c r="R99">
        <v>19</v>
      </c>
      <c r="S99" s="5">
        <v>1</v>
      </c>
      <c r="T99" s="3" t="s">
        <v>498</v>
      </c>
      <c r="U99" s="3" t="s">
        <v>499</v>
      </c>
      <c r="V99">
        <v>0</v>
      </c>
      <c r="W99" s="5" t="str">
        <f t="shared" si="1"/>
        <v>(1398,null,1,'2026-03-12 00:00:00','002306000160000-230600016','002306000160000-230600016','放射性核素贴敷治疗',null,null,49,44,37.4,null,49,44,38,'次',19,1,'normal','main',0),</v>
      </c>
    </row>
    <row r="100" spans="1:23">
      <c r="A100">
        <v>1399</v>
      </c>
      <c r="B100" s="3" t="s">
        <v>496</v>
      </c>
      <c r="C100" s="3">
        <v>1</v>
      </c>
      <c r="D100" s="4" t="s">
        <v>497</v>
      </c>
      <c r="E100" t="s">
        <v>467</v>
      </c>
      <c r="F100" t="s">
        <v>467</v>
      </c>
      <c r="G100" t="s">
        <v>462</v>
      </c>
      <c r="H100" s="5" t="s">
        <v>496</v>
      </c>
      <c r="I100" s="5" t="s">
        <v>496</v>
      </c>
      <c r="J100">
        <v>1500</v>
      </c>
      <c r="K100">
        <v>1320</v>
      </c>
      <c r="L100">
        <v>1122</v>
      </c>
      <c r="M100" s="5" t="s">
        <v>496</v>
      </c>
      <c r="N100">
        <v>1400</v>
      </c>
      <c r="O100">
        <v>1250</v>
      </c>
      <c r="P100">
        <v>1050</v>
      </c>
      <c r="Q100" t="s">
        <v>38</v>
      </c>
      <c r="R100">
        <v>19</v>
      </c>
      <c r="S100" s="5">
        <v>1</v>
      </c>
      <c r="T100" s="3" t="s">
        <v>498</v>
      </c>
      <c r="U100" s="3" t="s">
        <v>499</v>
      </c>
      <c r="V100">
        <v>0</v>
      </c>
      <c r="W100" s="5" t="str">
        <f t="shared" si="1"/>
        <v>(1399,null,1,'2026-03-12 00:00:00','002403000140000-240300014','002403000140000-240300014','术中放疗',null,null,1500,1320,1122,null,1400,1250,1050,'次',19,1,'normal','main',0),</v>
      </c>
    </row>
    <row r="101" spans="1:23">
      <c r="A101">
        <v>1400</v>
      </c>
      <c r="B101" s="3" t="s">
        <v>496</v>
      </c>
      <c r="C101" s="3">
        <v>1</v>
      </c>
      <c r="D101" s="4" t="s">
        <v>497</v>
      </c>
      <c r="E101" t="s">
        <v>373</v>
      </c>
      <c r="F101" t="s">
        <v>373</v>
      </c>
      <c r="G101" t="s">
        <v>374</v>
      </c>
      <c r="H101" s="5" t="s">
        <v>496</v>
      </c>
      <c r="I101" s="5" t="s">
        <v>496</v>
      </c>
      <c r="J101">
        <v>350</v>
      </c>
      <c r="K101">
        <v>308</v>
      </c>
      <c r="L101">
        <v>261.8</v>
      </c>
      <c r="M101" s="5" t="s">
        <v>496</v>
      </c>
      <c r="N101">
        <v>1400</v>
      </c>
      <c r="O101">
        <v>1250</v>
      </c>
      <c r="P101">
        <v>1050</v>
      </c>
      <c r="Q101" t="s">
        <v>38</v>
      </c>
      <c r="R101">
        <v>19</v>
      </c>
      <c r="S101" s="5">
        <v>1</v>
      </c>
      <c r="T101" s="3" t="s">
        <v>498</v>
      </c>
      <c r="U101" s="3" t="s">
        <v>499</v>
      </c>
      <c r="V101">
        <v>0</v>
      </c>
      <c r="W101" s="5" t="str">
        <f t="shared" si="1"/>
        <v>(1400,null,1,'2026-03-12 00:00:00','002404000040000-240400004','002404000040000-240400004','手术置管放疗',null,null,350,308,261.8,null,1400,1250,1050,'次',19,1,'normal','main',0),</v>
      </c>
    </row>
    <row r="102" spans="1:23">
      <c r="A102">
        <v>1401</v>
      </c>
      <c r="B102" s="3" t="s">
        <v>496</v>
      </c>
      <c r="C102" s="3">
        <v>1</v>
      </c>
      <c r="D102" s="4" t="s">
        <v>497</v>
      </c>
      <c r="E102" t="s">
        <v>471</v>
      </c>
      <c r="F102" t="s">
        <v>471</v>
      </c>
      <c r="G102" t="s">
        <v>472</v>
      </c>
      <c r="H102" s="5" t="s">
        <v>496</v>
      </c>
      <c r="I102" s="5" t="s">
        <v>496</v>
      </c>
      <c r="J102">
        <v>6650</v>
      </c>
      <c r="K102">
        <v>5985</v>
      </c>
      <c r="L102">
        <v>5085</v>
      </c>
      <c r="M102" s="5" t="s">
        <v>496</v>
      </c>
      <c r="N102">
        <v>6650</v>
      </c>
      <c r="O102">
        <v>5985</v>
      </c>
      <c r="P102">
        <v>5085</v>
      </c>
      <c r="Q102" t="s">
        <v>38</v>
      </c>
      <c r="R102">
        <v>19</v>
      </c>
      <c r="S102" s="5">
        <v>1</v>
      </c>
      <c r="T102" s="3" t="s">
        <v>498</v>
      </c>
      <c r="U102" s="3" t="s">
        <v>499</v>
      </c>
      <c r="V102">
        <v>0</v>
      </c>
      <c r="W102" s="5" t="str">
        <f t="shared" si="1"/>
        <v>(1401,null,1,'2026-03-12 00:00:00','002403000140000-24030001401','002403000140000-24030001401','可移动光子立体定向术中放疗',null,null,6650,5985,5085,null,6650,5985,5085,'次',19,1,'normal','main',0),</v>
      </c>
    </row>
  </sheetData>
  <autoFilter ref="A1:W102">
    <extLst/>
  </autoFilter>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1"/>
  <sheetViews>
    <sheetView topLeftCell="C1" workbookViewId="0">
      <selection activeCell="O1" sqref="O1"/>
    </sheetView>
  </sheetViews>
  <sheetFormatPr defaultColWidth="9" defaultRowHeight="15.75"/>
  <cols>
    <col min="4" max="5" width="30.375" customWidth="1"/>
    <col min="6" max="6" width="30.75" customWidth="1"/>
  </cols>
  <sheetData>
    <row r="1" ht="25.5" spans="1:20">
      <c r="A1" s="1" t="s">
        <v>474</v>
      </c>
      <c r="B1" s="1" t="s">
        <v>502</v>
      </c>
      <c r="C1" s="1" t="s">
        <v>475</v>
      </c>
      <c r="D1" s="1" t="s">
        <v>478</v>
      </c>
      <c r="E1" s="2" t="s">
        <v>479</v>
      </c>
      <c r="F1" s="1" t="s">
        <v>480</v>
      </c>
      <c r="G1" s="1" t="s">
        <v>481</v>
      </c>
      <c r="H1" s="1" t="s">
        <v>482</v>
      </c>
      <c r="I1" s="1" t="s">
        <v>483</v>
      </c>
      <c r="J1" s="1" t="s">
        <v>484</v>
      </c>
      <c r="K1" s="1" t="s">
        <v>485</v>
      </c>
      <c r="L1" s="1" t="s">
        <v>486</v>
      </c>
      <c r="M1" s="1" t="s">
        <v>487</v>
      </c>
      <c r="N1" s="1" t="s">
        <v>488</v>
      </c>
      <c r="O1" s="1" t="s">
        <v>489</v>
      </c>
      <c r="P1" s="1" t="s">
        <v>490</v>
      </c>
      <c r="Q1" s="1" t="s">
        <v>492</v>
      </c>
      <c r="R1" s="1" t="s">
        <v>503</v>
      </c>
      <c r="S1" s="1" t="s">
        <v>504</v>
      </c>
      <c r="T1" s="3" t="str">
        <f>"insert into server_list_column_20250525 ("&amp;_xlfn.TEXTJOIN(",",TRUE,A1:S1)&amp;") values"</f>
        <v>insert into server_list_column_20250525 (id,server_list_id,code,old_hilist_code,new_hilist_code,hilist_name,selfpay_prop,old_price,old_price_city,old_price_town,old_price_village,new_price,new_price_city,new_price_town,new_price_village,unit,is_use_old,is_main,main_code) values</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Office</Application>
  <HeadingPairs>
    <vt:vector size="2" baseType="variant">
      <vt:variant>
        <vt:lpstr>工作表</vt:lpstr>
      </vt:variant>
      <vt:variant>
        <vt:i4>4</vt:i4>
      </vt:variant>
    </vt:vector>
  </HeadingPairs>
  <TitlesOfParts>
    <vt:vector size="4" baseType="lpstr">
      <vt:lpstr>规范放射治疗类医疗服务价格项目与福建省现行项目映射表</vt:lpstr>
      <vt:lpstr>Sheet1</vt:lpstr>
      <vt:lpstr>Sheet1 (fuben)</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wps</dc:creator>
  <cp:lastModifiedBy>QHTF</cp:lastModifiedBy>
  <dcterms:created xsi:type="dcterms:W3CDTF">2018-06-21T11:28:00Z</dcterms:created>
  <dcterms:modified xsi:type="dcterms:W3CDTF">2026-05-12T11:20:26Z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2052-11.8.2.12219</vt:lpwstr>
  </property>
  <property fmtid="{D5CDD505-2E9C-101B-9397-08002B2CF9AE}" pid="3" name="ICV">
    <vt:lpwstr>58D75CC781288173FCC5AF69F42F3580</vt:lpwstr>
  </property>
</Properties>
</file>