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35" activeTab="4"/>
  </bookViews>
  <sheets>
    <sheet name="映射表" sheetId="16" r:id="rId1"/>
    <sheet name="映射表 (2)" sheetId="18" r:id="rId2"/>
    <sheet name="Sheet1" sheetId="17" r:id="rId3"/>
    <sheet name="Sheet2" sheetId="19" r:id="rId4"/>
    <sheet name="Sheet3" sheetId="20" r:id="rId5"/>
  </sheets>
  <definedNames>
    <definedName name="_xlnm._FilterDatabase" localSheetId="0" hidden="1">映射表!$3:$290</definedName>
    <definedName name="_xlnm._FilterDatabase" localSheetId="1" hidden="1">'映射表 (2)'!$3:$266</definedName>
    <definedName name="_xlnm._FilterDatabase" localSheetId="3" hidden="1">Sheet2!$A$1:$W$245</definedName>
  </definedNames>
  <calcPr calcId="144525"/>
</workbook>
</file>

<file path=xl/sharedStrings.xml><?xml version="1.0" encoding="utf-8"?>
<sst xmlns="http://schemas.openxmlformats.org/spreadsheetml/2006/main" count="9600" uniqueCount="1137">
  <si>
    <t>呼吸系统类立项指南项目对应及拟定情况（征求意见稿）</t>
  </si>
  <si>
    <t>呼吸系统类立项指南项目</t>
  </si>
  <si>
    <t>现行项目</t>
  </si>
  <si>
    <t>序号</t>
  </si>
  <si>
    <t>项目代码</t>
  </si>
  <si>
    <t>项目名称</t>
  </si>
  <si>
    <t>归集口径</t>
  </si>
  <si>
    <t>服务产出</t>
  </si>
  <si>
    <t>价格构成</t>
  </si>
  <si>
    <t>计价单位</t>
  </si>
  <si>
    <t>计价说明</t>
  </si>
  <si>
    <t>省三甲价格</t>
  </si>
  <si>
    <t>省三甲以下价格</t>
  </si>
  <si>
    <t>平移价格
(市级)</t>
  </si>
  <si>
    <t>平移价格
(县级)</t>
  </si>
  <si>
    <t>平移价格
(基层)</t>
  </si>
  <si>
    <t>拟定价格
(市级)</t>
  </si>
  <si>
    <t>拟定价格
(县级)</t>
  </si>
  <si>
    <t>拟定价格
(基层)</t>
  </si>
  <si>
    <t>医保
属性</t>
  </si>
  <si>
    <t>医保限定支付范围</t>
  </si>
  <si>
    <t>个人先行自付比例</t>
  </si>
  <si>
    <t>调整情况</t>
  </si>
  <si>
    <t>备注</t>
  </si>
  <si>
    <t>国家结算编码</t>
  </si>
  <si>
    <t>项目编码</t>
  </si>
  <si>
    <t>项目内涵</t>
  </si>
  <si>
    <t>除外内容</t>
  </si>
  <si>
    <t>说明</t>
  </si>
  <si>
    <t>价格
(市级)</t>
  </si>
  <si>
    <t>价格
(县级)</t>
  </si>
  <si>
    <t>价格
(基层)</t>
  </si>
  <si>
    <t>医保属性</t>
  </si>
  <si>
    <t>012407000010000</t>
  </si>
  <si>
    <t>肺容积检查费</t>
  </si>
  <si>
    <t>检查费</t>
  </si>
  <si>
    <t>通过各种方式测量肺容纳的气体量。</t>
  </si>
  <si>
    <t>所定价格涵盖设备准备、仪器测定、撤除、处理用物、出具报告等步骤所需的人力资源和基本物质资源消耗。</t>
  </si>
  <si>
    <t>次</t>
  </si>
  <si>
    <t/>
  </si>
  <si>
    <t>医保</t>
  </si>
  <si>
    <t>理顺，调低</t>
  </si>
  <si>
    <t>平移后按不超过省级拟定；同质化检查类项目持平省级</t>
  </si>
  <si>
    <t>003106010050000-310601005</t>
  </si>
  <si>
    <t>残气容积测定</t>
  </si>
  <si>
    <t>包括体描法，氦气平衡法，氮气稀释法，重复呼吸法</t>
  </si>
  <si>
    <t>项</t>
  </si>
  <si>
    <t>012407000020000</t>
  </si>
  <si>
    <t>肺通气功能检查费</t>
  </si>
  <si>
    <t>通过各种方式测量肺与外界环境之间的气体交换情况。</t>
  </si>
  <si>
    <t>支气管舒张试验按两次肺通气功能检查费收取。</t>
  </si>
  <si>
    <t>003106010010000-310601001</t>
  </si>
  <si>
    <t>肺通气功能检查</t>
  </si>
  <si>
    <t>含潮气量、肺活量、每分通气量、补吸、呼气量、深吸气量、用力肺活量、一秒钟用力呼吸容积；不含最大通气量</t>
  </si>
  <si>
    <t>最大通气量基层加收29.8元，县级医院加收35元，市级医院加收40.3元</t>
  </si>
  <si>
    <t>003106010010000-31060100101</t>
  </si>
  <si>
    <t>肺通气功能检查（最大通气量加收）</t>
  </si>
  <si>
    <t>最大通气量加收</t>
  </si>
  <si>
    <t>纳入价格构成</t>
  </si>
  <si>
    <t>003106010080000-310601008</t>
  </si>
  <si>
    <t>流速容量曲线（V—V曲线）</t>
  </si>
  <si>
    <t>含最大吸气和呼气流量曲线</t>
  </si>
  <si>
    <t>003106010090000-310601009</t>
  </si>
  <si>
    <t>二氧化碳反应曲线</t>
  </si>
  <si>
    <t>肺通气功能检查费（支气管舒张试验）</t>
  </si>
  <si>
    <t>003106010120000-310601012</t>
  </si>
  <si>
    <t>支气管舒张试验</t>
  </si>
  <si>
    <t>含通气功能测定2次</t>
  </si>
  <si>
    <t>分项</t>
  </si>
  <si>
    <t>012407000020001</t>
  </si>
  <si>
    <t>肺通气功能检查费-儿童（加收）</t>
  </si>
  <si>
    <t>儿童加收30%</t>
  </si>
  <si>
    <t>012407000020011</t>
  </si>
  <si>
    <t>肺通气功能检查费-简易肺功能检查（减收）</t>
  </si>
  <si>
    <t>主项扣除原项目价格，得减收的平移价格，我市原项目价格倒挂省级，现减收后调整为不超过省级。</t>
  </si>
  <si>
    <t>003106020010000-310602001</t>
  </si>
  <si>
    <t>床边简易肺功能测定（肺通气功能测定）</t>
  </si>
  <si>
    <t>即肺通气功能测定</t>
  </si>
  <si>
    <t>012407000030000</t>
  </si>
  <si>
    <t>支气管激发试验检查费</t>
  </si>
  <si>
    <t>通过各种刺激方式评估气道反应性。</t>
  </si>
  <si>
    <t>003106010100000-310601010</t>
  </si>
  <si>
    <t>支气管激发试验</t>
  </si>
  <si>
    <t>003106010110000-310601011</t>
  </si>
  <si>
    <t>运动激发试验</t>
  </si>
  <si>
    <t>含通气功能测定7次；不含心电监测</t>
  </si>
  <si>
    <t>012407000040000</t>
  </si>
  <si>
    <t>肺弥散功能检查费</t>
  </si>
  <si>
    <t>通过各种方式测量肺泡与肺毛细血管血液之间的气体交换情况。</t>
  </si>
  <si>
    <t>003106010020000-310601002</t>
  </si>
  <si>
    <t>肺弥散功能检查</t>
  </si>
  <si>
    <t>包括一口气法，重复呼吸法</t>
  </si>
  <si>
    <t>012407000050000</t>
  </si>
  <si>
    <t>呼吸阻力检查费</t>
  </si>
  <si>
    <t>通过各种方式测量气道内单位流量所产生的压力差。</t>
  </si>
  <si>
    <t>平移取整</t>
  </si>
  <si>
    <t>003106010040000-310601004</t>
  </si>
  <si>
    <t>气道阻力测定</t>
  </si>
  <si>
    <t>包括阻断法；不含残气容积测定</t>
  </si>
  <si>
    <t>003106010060000-310601006</t>
  </si>
  <si>
    <t>强迫振荡肺功能检查</t>
  </si>
  <si>
    <t>003106010070000-310601007</t>
  </si>
  <si>
    <t>第一秒平静吸气口腔闭合压测定</t>
  </si>
  <si>
    <t>012407000060000</t>
  </si>
  <si>
    <t>运动心肺功能检查费</t>
  </si>
  <si>
    <t>通过在运动状态下监测心肺功能指标，判断心脏、肺脏和循环系统之间的相互作用与贮备能力。</t>
  </si>
  <si>
    <t>003106010030000-310601003</t>
  </si>
  <si>
    <t>运动心肺功能检查</t>
  </si>
  <si>
    <t>不含心电监测</t>
  </si>
  <si>
    <t>因病情变化未能完成本试验者，亦按本标准计价</t>
  </si>
  <si>
    <t>012407000070000</t>
  </si>
  <si>
    <t>肺阻抗血流图检查费</t>
  </si>
  <si>
    <t>通过测量肺部血流的物理性质和速度，检查肺部是否存在阻力增加。</t>
  </si>
  <si>
    <t>平移</t>
  </si>
  <si>
    <t>003106020020000-310602002</t>
  </si>
  <si>
    <t>肺阻抗血流图</t>
  </si>
  <si>
    <t>012407000080000</t>
  </si>
  <si>
    <t>肺电阻抗成像检查费</t>
  </si>
  <si>
    <t>通过检查呼吸周期中胸部电阻抗变化，检查肺部通气、血流等指标的变化。</t>
  </si>
  <si>
    <t>非医保</t>
  </si>
  <si>
    <t>新增</t>
  </si>
  <si>
    <t>新增项目，同质化检查类项目暂按不超过省级95%拟定</t>
  </si>
  <si>
    <t>012407000090000</t>
  </si>
  <si>
    <t>呼吸肌功能检查费</t>
  </si>
  <si>
    <t>通过测量气道压力和流量变化等指标评估患者呼吸肌力量。</t>
  </si>
  <si>
    <t>003106020030000-310602003</t>
  </si>
  <si>
    <t>呼吸肌功能测定</t>
  </si>
  <si>
    <t>含最大吸气、呼气压、膈肌功能测定</t>
  </si>
  <si>
    <t>012407000100000</t>
  </si>
  <si>
    <t>膈肌功能检查费</t>
  </si>
  <si>
    <t>通过电活动或压力测定，评估患者膈肌功能。</t>
  </si>
  <si>
    <t>012407000110000</t>
  </si>
  <si>
    <t>睡眠呼吸监测费</t>
  </si>
  <si>
    <t>对睡眠状态下患者呼吸行为状、呼吸功能进行监测，同步观察患者必要的生命体征及电生理指标。</t>
  </si>
  <si>
    <t>不得同时收取心电、脑电、肌电、眼动、呼吸监测和血氧饱和度测定费用。</t>
  </si>
  <si>
    <t>计价单位由小时改为次，一次按11-12小时计算。</t>
  </si>
  <si>
    <t>003106040010000-310604001</t>
  </si>
  <si>
    <t>睡眠呼吸监测</t>
  </si>
  <si>
    <t>含心电、脑电、肌电、眼动、呼吸监测和血氧饱和度测定</t>
  </si>
  <si>
    <t>小时</t>
  </si>
  <si>
    <t>012407000110001</t>
  </si>
  <si>
    <t>睡眠呼吸监测费-便携睡眠呼吸监测（减收）</t>
  </si>
  <si>
    <t>主项扣除原项目价格，得出减收的平移价格，我市原项目价格倒挂省级，现减收后调整为不超过省级。</t>
  </si>
  <si>
    <t>003106020040000-310602004</t>
  </si>
  <si>
    <t>动态呼吸监测（呼吸Holter）</t>
  </si>
  <si>
    <t>003106040020000-310604002</t>
  </si>
  <si>
    <t>睡眠呼吸监测过筛试验</t>
  </si>
  <si>
    <t>含口鼻呼吸、胸腹呼吸、血氧饱和度测定</t>
  </si>
  <si>
    <t>012407000120000</t>
  </si>
  <si>
    <t>经皮氧分压/二氧化碳监测费</t>
  </si>
  <si>
    <t>通过经皮测定方法，持续测定氧分压和/或二氧化碳。</t>
  </si>
  <si>
    <t>所定价格涵盖设备准备、仪器测定、撤除、处理用物等步骤所需的人力资源和基本物质资源消耗。</t>
  </si>
  <si>
    <t>超过3小时按3小时收费。</t>
  </si>
  <si>
    <t>按比价拟定，同质化检查类项目暂按不超过省级95%拟定</t>
  </si>
  <si>
    <t>患者仰卧，连接氧分压测定仪于肢体不同部位，开启氧分压测定仪，分别检测肢体不同部位的氧分压，记录并报告。</t>
  </si>
  <si>
    <t>012407000130000</t>
  </si>
  <si>
    <t>支气管镜检查费（常规内镜）</t>
  </si>
  <si>
    <t>通过支气管镜观察和诊断支气管、气管、气管壁或肺部等部位的疾病。</t>
  </si>
  <si>
    <t>所定价格涵盖设备准备、体位摆放、入镜、观察、图像采集、撤镜、处理用物、出具报告等步骤所需的人力资源和基本物质资源消耗。</t>
  </si>
  <si>
    <t>本项目中的“特殊光源”指：荧光、窄谱光源。</t>
  </si>
  <si>
    <t>003106050020000-310605002</t>
  </si>
  <si>
    <t>纤维支气管镜检查</t>
  </si>
  <si>
    <t>包括针吸活检、支气管刷片</t>
  </si>
  <si>
    <t>特殊穿刺针</t>
  </si>
  <si>
    <t>003106050010000-310605001</t>
  </si>
  <si>
    <t>硬质气管镜检查</t>
  </si>
  <si>
    <t>003106050000001-31060500002</t>
  </si>
  <si>
    <t>呼吸系统窥镜诊疗（使用电子支气管镜加收）</t>
  </si>
  <si>
    <t>使用电子支气管镜加收</t>
  </si>
  <si>
    <t>003106050000001-31060500001</t>
  </si>
  <si>
    <t>呼吸系统窥镜诊疗（使用电子纤维内镜加收）</t>
  </si>
  <si>
    <t>使用电子纤维内镜加收</t>
  </si>
  <si>
    <t>012407000130001</t>
  </si>
  <si>
    <t>支气管镜检查费（常规内镜）-特殊光源检查（加收）</t>
  </si>
  <si>
    <t>新增加项，为主项的34%</t>
  </si>
  <si>
    <t>012407000140000</t>
  </si>
  <si>
    <t>支气管镜检查费（超声内镜）</t>
  </si>
  <si>
    <t>通过超声支气管镜观察和诊断支气管、气管、气管壁、气管腔外或肺部等部位的疾病。</t>
  </si>
  <si>
    <t>003106050020000-310605015</t>
  </si>
  <si>
    <t>超声支气管镜检查</t>
  </si>
  <si>
    <t>咽部麻醉、润滑，插入超声支气管镜，观察气道变化，将超声水囊充满，观察支气管壁及壁外结构，定位后进行经支气管淋巴结针吸活检。标本送细胞学和组织学等检查。不含病理学检查、活检。</t>
  </si>
  <si>
    <t>穿刺针</t>
  </si>
  <si>
    <t>012407000150000</t>
  </si>
  <si>
    <t>支气管镜检查费（共聚焦激光显微内镜）</t>
  </si>
  <si>
    <t>通过共聚焦激光显微支气管镜观察和诊断支气管、气管、气管壁或肺部等部位的疾病。</t>
  </si>
  <si>
    <t>新增项目，按比价拟定</t>
  </si>
  <si>
    <t>012407000160000</t>
  </si>
  <si>
    <t>肺叶通气功能检查费</t>
  </si>
  <si>
    <t>通过无创方式置入球囊导管，评估支气管通气情况。</t>
  </si>
  <si>
    <t>所定价格涵盖设备准备、体位摆放、导管置入、球囊充气、数据采集、设备撤除、处理用物人力资源、设备运转成本与基本物质资源消耗。</t>
  </si>
  <si>
    <t>012407000170000</t>
  </si>
  <si>
    <t>纵隔镜探查费</t>
  </si>
  <si>
    <t>通过纵隔镜观察和诊断纵隔、支气管、气管、胸腺、食管、淋巴结或肺部等部位的疾病。</t>
  </si>
  <si>
    <t>所定价格涵盖设备准备、体位摆放、切开、入镜、观察、撤镜、缝合、关闭、处理用物等手术步骤所需的人力资源和基本物质资源消耗。</t>
  </si>
  <si>
    <t>平移后按不超过省级拟定</t>
  </si>
  <si>
    <t>003106050140000-310605014</t>
  </si>
  <si>
    <t>纵隔镜检查</t>
  </si>
  <si>
    <t>含纵隔淋巴结活检</t>
  </si>
  <si>
    <t>013106000010000</t>
  </si>
  <si>
    <t>体外膈肌起搏治疗费</t>
  </si>
  <si>
    <t>治疗费</t>
  </si>
  <si>
    <t>通过电刺激，诱导膈肌主动收缩。</t>
  </si>
  <si>
    <t>所定价格涵盖设备准备、连接电极、起搏治疗、撤除、处理用物等步骤所需的人力资源和基本物质资源消耗。</t>
  </si>
  <si>
    <t>003106030030000-310603003</t>
  </si>
  <si>
    <t>体外膈肌起搏治疗</t>
  </si>
  <si>
    <t>013106000020000</t>
  </si>
  <si>
    <t>一氧化氮吸入治疗费</t>
  </si>
  <si>
    <t>通过吸入一氧化氮进行治疗。</t>
  </si>
  <si>
    <t>所定价格涵盖设备准备、气体调节、吸入治疗、调节、监测、处理用物等步骤所需的人力资源、设备运转成本消耗与基本物质资源消耗。</t>
  </si>
  <si>
    <t>提高</t>
  </si>
  <si>
    <t>省级通过区域间比价提高价格（我省价格过低），我市按比价提高，市县持平，基层拉开比价。</t>
  </si>
  <si>
    <t>353106040090000-12030000140</t>
  </si>
  <si>
    <t>一氧化氮吸入</t>
  </si>
  <si>
    <t>机械通气的同时，连接一氧化氮装置，监测一氧化氮及二氧化氮浓度，根据患者病情调节浓度，观察使用效果。</t>
  </si>
  <si>
    <t>每日不超过90元</t>
  </si>
  <si>
    <t>013106000030000</t>
  </si>
  <si>
    <t>雾化吸入治疗费</t>
  </si>
  <si>
    <t>通过各种方式吸入气雾或气溶胶颗粒进行治疗。</t>
  </si>
  <si>
    <t>所定价格涵盖设备准备、成分制备、连接、调节、吸入、观察、记录、处理用物等所需的人力资源和基本物质资源消耗。</t>
  </si>
  <si>
    <t>多种药物确需分开雾化吸入的可分别计价收费。</t>
  </si>
  <si>
    <r>
      <rPr>
        <sz val="10"/>
        <rFont val="仿宋"/>
        <charset val="134"/>
      </rPr>
      <t>一次性雾化吸入器纳入价格构成，我市医疗机构采购均价约7.2元。叠加项目价格购平移。
省级通过区域间比价提高价格</t>
    </r>
    <r>
      <rPr>
        <sz val="10"/>
        <color rgb="FFC00000"/>
        <rFont val="仿宋"/>
        <charset val="134"/>
      </rPr>
      <t>（我省价格过低）</t>
    </r>
    <r>
      <rPr>
        <sz val="10"/>
        <rFont val="仿宋"/>
        <charset val="134"/>
      </rPr>
      <t>，我市按比价提高，同质化项目缩小价差</t>
    </r>
  </si>
  <si>
    <t>001207000010000-120700001</t>
  </si>
  <si>
    <t>雾化吸入</t>
  </si>
  <si>
    <t>包括超声、高压泵、氧化雾化、蒸气雾化吸入及机械通气经呼吸机管道雾化给药</t>
  </si>
  <si>
    <t>药物、一次性雾化器</t>
  </si>
  <si>
    <t>001207000010100-12070000101</t>
  </si>
  <si>
    <t>超声雾化吸入</t>
  </si>
  <si>
    <t>001207000010200-12070000102</t>
  </si>
  <si>
    <t>高压泵雾化吸入</t>
  </si>
  <si>
    <t>001207000010300-12070000103</t>
  </si>
  <si>
    <t>氧化雾化</t>
  </si>
  <si>
    <t>001207000010400-12070000104</t>
  </si>
  <si>
    <t>蒸气雾化吸入</t>
  </si>
  <si>
    <t>001207000010500-12070000105</t>
  </si>
  <si>
    <t>机械通气经呼吸机管道雾化给药</t>
  </si>
  <si>
    <t>001207000010000-12070000106</t>
  </si>
  <si>
    <t>新生儿雾化吸入</t>
  </si>
  <si>
    <t>013106000040000</t>
  </si>
  <si>
    <t>全肺灌洗治疗费</t>
  </si>
  <si>
    <t>通过对单侧肺部进行全肺灌洗，清除大面积肺泡中的异物、分泌物和其他沉积物，不含气管插管费、内镜检查费。</t>
  </si>
  <si>
    <t>所定价格涵盖患者评估准备、灌洗、观察监测、撤除、处理用物等步骤所需的人力资源、设备运转成本消耗与基本物质资源消耗。</t>
  </si>
  <si>
    <t>单侧</t>
  </si>
  <si>
    <t>新增项目，按同比价拟定</t>
  </si>
  <si>
    <t>013106000050000</t>
  </si>
  <si>
    <t>支气管肺泡灌洗费</t>
  </si>
  <si>
    <t>通过无创方式清除特定肺段肺泡内异物、分泌物和其他沉积物或采集样本，不含内镜检查费。</t>
  </si>
  <si>
    <t>所定价格涵盖设备准备、镜下治疗、处理用物等步骤所需的人力资源、设备运转成本消耗与基本物质资源消耗。</t>
  </si>
  <si>
    <t>“次”指每个肺段。</t>
  </si>
  <si>
    <t>003106050060000-310605006</t>
  </si>
  <si>
    <t>经纤支镜肺泡灌洗诊疗术</t>
  </si>
  <si>
    <t>含生理盐水</t>
  </si>
  <si>
    <t>每个肺段</t>
  </si>
  <si>
    <t>013106000060000</t>
  </si>
  <si>
    <t>支气管镜治疗费（常规）</t>
  </si>
  <si>
    <t>通过支气管镜进行滴药、冲洗、吸痰等常规治疗，不含内镜检查费。</t>
  </si>
  <si>
    <t>平移后结合日常医院反馈提价意见，按比价关系提高</t>
  </si>
  <si>
    <t>003106050030000-310605003</t>
  </si>
  <si>
    <t>经纤支镜治疗</t>
  </si>
  <si>
    <t>含经纤支镜痰吸引和滴药、止血、化疗</t>
  </si>
  <si>
    <t>药物</t>
  </si>
  <si>
    <t>取异物加收100%</t>
  </si>
  <si>
    <t>013106000070000</t>
  </si>
  <si>
    <t>支气管镜治疗费（特殊）</t>
  </si>
  <si>
    <t>通过支气管镜进行封堵、套圈、注药、球囊扩张，以及射频、微波、激光、凝固、冷冻、电凝、脉冲、光动力等各种特殊治疗，不含内镜检查费。</t>
  </si>
  <si>
    <t>理顺</t>
  </si>
  <si>
    <t>平移取整，县级按不超过省级调整，基层按比价调整</t>
  </si>
  <si>
    <t>003106050080000-310605008</t>
  </si>
  <si>
    <t>经纤支镜特殊治疗</t>
  </si>
  <si>
    <t>指微波治疗法。</t>
  </si>
  <si>
    <t>激光法、高频电法、氩离子凝固法、冷冻法分别按照市级488元/次、县级435元/次、基层375元/次收取。</t>
  </si>
  <si>
    <t>003106050080000-31060500801</t>
  </si>
  <si>
    <t>经纤支镜特殊治疗（激光法）</t>
  </si>
  <si>
    <t>激光法</t>
  </si>
  <si>
    <t>003106050080000-31060500802</t>
  </si>
  <si>
    <t>经纤支镜特殊治疗（高频电法）</t>
  </si>
  <si>
    <t>高频电法</t>
  </si>
  <si>
    <t>003106050080000-31060500803</t>
  </si>
  <si>
    <t>经纤支镜特殊治疗（冷冻法）</t>
  </si>
  <si>
    <t>冷冻法</t>
  </si>
  <si>
    <t>003106050080000-31060500804</t>
  </si>
  <si>
    <t>经纤支镜特殊治疗（氩离子凝固法）</t>
  </si>
  <si>
    <t>氩离子凝固法</t>
  </si>
  <si>
    <t>003106060010100-31060600101</t>
  </si>
  <si>
    <t>经内镜胸部肿瘤特殊治疗（激光法）</t>
  </si>
  <si>
    <t>003106060010200-31060600102</t>
  </si>
  <si>
    <t>经内镜胸部肿瘤特殊治疗（电凝法）</t>
  </si>
  <si>
    <t>电凝法</t>
  </si>
  <si>
    <t>003106060010000-310606001</t>
  </si>
  <si>
    <t>经内镜胸部肿瘤特殊治疗</t>
  </si>
  <si>
    <t>包括食管、气管、支气管、肺良性肿瘤或狭窄的治疗。指局部注药法</t>
  </si>
  <si>
    <t>吻合器、生物蛋白胶</t>
  </si>
  <si>
    <t>激光法、电凝法分别加收50%</t>
  </si>
  <si>
    <t>003106050090000-310605009</t>
  </si>
  <si>
    <t>经内镜气管扩张术</t>
  </si>
  <si>
    <t>球囊、导管</t>
  </si>
  <si>
    <t>013307000010000</t>
  </si>
  <si>
    <t>气道支架置入费</t>
  </si>
  <si>
    <t>手术费</t>
  </si>
  <si>
    <t>通过无创方式置入气道支架，不含内镜检查费。</t>
  </si>
  <si>
    <t>所定价格涵盖患者评估准备、导丝引导、支架置入、必要时球囊扩张、处理用物等步骤所需的人力资源、设备运转成本消耗与基本物质资源消耗。</t>
  </si>
  <si>
    <r>
      <rPr>
        <sz val="10"/>
        <rFont val="仿宋"/>
        <charset val="134"/>
      </rPr>
      <t>省级通过区域间比价提高价格</t>
    </r>
    <r>
      <rPr>
        <sz val="10"/>
        <color rgb="FFC00000"/>
        <rFont val="仿宋"/>
        <charset val="134"/>
      </rPr>
      <t>（我省价格过低）</t>
    </r>
    <r>
      <rPr>
        <sz val="10"/>
        <rFont val="仿宋"/>
        <charset val="134"/>
      </rPr>
      <t>，我市按比价提高</t>
    </r>
  </si>
  <si>
    <t>003106050100000-310605010</t>
  </si>
  <si>
    <t>经纤支镜支架置入术</t>
  </si>
  <si>
    <t>包括经纤支镜支架取出术</t>
  </si>
  <si>
    <t>支架</t>
  </si>
  <si>
    <t>013307000010001</t>
  </si>
  <si>
    <t>气道支架置入费-儿童（加收）</t>
  </si>
  <si>
    <t>013307000020000</t>
  </si>
  <si>
    <t>气道支架取出费</t>
  </si>
  <si>
    <t>通过无创方式取出气道支架，不含内镜检查费。</t>
  </si>
  <si>
    <t>所定价格涵盖患者评估准备、支架取出、处理用物等步骤所需的人力资源、设备运转成本消耗与基本物质资源消耗。</t>
  </si>
  <si>
    <t>003106050100000-31060501001</t>
  </si>
  <si>
    <t>经纤支镜支架取出术</t>
  </si>
  <si>
    <t>013307000020001</t>
  </si>
  <si>
    <t>气道支架取出费-儿童（加收）</t>
  </si>
  <si>
    <t>013307000030000</t>
  </si>
  <si>
    <t>无创气管食管瘘修补费</t>
  </si>
  <si>
    <t>通过无创方式对气管和食管之间的异常连接进行修补，不含内镜检查费。</t>
  </si>
  <si>
    <t>所定价格涵盖设备准备、体位摆放、观察、气管食管瘘修补、撤镜、处理用物等步骤所需的人力资源、设备运转成本消耗与基本物质资源消耗。</t>
  </si>
  <si>
    <t>经纤支镜支气管胸膜瘘堵塞术参照收费。</t>
  </si>
  <si>
    <t>003307030240000-330703024</t>
  </si>
  <si>
    <t>经纤支镜支气管胸膜瘘堵塞术</t>
  </si>
  <si>
    <t>013307000030001</t>
  </si>
  <si>
    <t>无创气管食管瘘修补费-儿童（加收）</t>
  </si>
  <si>
    <t>003307030240000-33070302401</t>
  </si>
  <si>
    <t>小儿经纤支镜支气管胸膜瘘堵塞术</t>
  </si>
  <si>
    <t>013307000040000</t>
  </si>
  <si>
    <t>无创气管病变切除费</t>
  </si>
  <si>
    <t>通过无创方式对气管病变切除，不含内镜检查费。</t>
  </si>
  <si>
    <t>所定价格涵盖设备准备、体位摆放、观察、肿物切除、撤镜、处理用物等步骤所需的人力资源、设备运转成本消耗与基本物质资源消耗。</t>
  </si>
  <si>
    <t>003106050120000-310605012</t>
  </si>
  <si>
    <t>经内镜气管内肿瘤切除术</t>
  </si>
  <si>
    <t>013307000040001</t>
  </si>
  <si>
    <t>无创气管病变切除费-儿童（加收）</t>
  </si>
  <si>
    <t>013307000050000</t>
  </si>
  <si>
    <t>无创肺减容费</t>
  </si>
  <si>
    <t>通过无创方式减少肺容积，包括但不限于置入活瓣、热蒸汽消融等方式，不含内镜检查费。</t>
  </si>
  <si>
    <t>所定价格涵盖设备准备、患者准备、镜下置入活瓣或热蒸汽消融、处理用物等步骤所需的人力资源、设备运转成本消耗与基本物质资源消耗。</t>
  </si>
  <si>
    <t>013307000050001</t>
  </si>
  <si>
    <t>无创肺减容费-儿童（加收）</t>
  </si>
  <si>
    <t>013307000060000</t>
  </si>
  <si>
    <t>无创气管异物取出费</t>
  </si>
  <si>
    <t>通过无创方式取出气管异物，不含内镜检查费。</t>
  </si>
  <si>
    <t>所定价格涵盖设备准备、体位摆放、观察、异物取出、撤镜、处理用物等步骤所需的人力资源、设备运转成本消耗与基本物质资源消耗。</t>
  </si>
  <si>
    <t>理顺，提高</t>
  </si>
  <si>
    <t>平移后，按与“支气管镜治疗费（常规）”2倍的比价关系拟定</t>
  </si>
  <si>
    <t>003106050030100-31060500301</t>
  </si>
  <si>
    <t>经纤支镜治疗（取异物加收）</t>
  </si>
  <si>
    <t>取异物加收</t>
  </si>
  <si>
    <t>013307000060001</t>
  </si>
  <si>
    <t>无创气管异物取出费-儿童（加收）</t>
  </si>
  <si>
    <t>013307000070000</t>
  </si>
  <si>
    <t>气管成形费</t>
  </si>
  <si>
    <t>通过手术切除部分气管，并行气管重建或修复。</t>
  </si>
  <si>
    <t>所定价格涵盖手术计划、术区准备、消毒、切除、重建、缝合、处理用物等步骤所需的人力资源和基本物质资源消耗。</t>
  </si>
  <si>
    <t>开展量少，平移后结合日常医院反馈提价意见（我市原价仅省级77%），按比价关系提高</t>
  </si>
  <si>
    <t>003307010420000-330701042</t>
  </si>
  <si>
    <t>气管成形术</t>
  </si>
  <si>
    <t>包括气管隆凸成形术</t>
  </si>
  <si>
    <t>单纯人工气管移植术市级收1150元，县级收1040元，基层收885元</t>
  </si>
  <si>
    <t>003307010390000-33070104202</t>
  </si>
  <si>
    <t>单纯人工气管移植术</t>
  </si>
  <si>
    <t>003307010390000-330701039</t>
  </si>
  <si>
    <t>气管支气管损伤修补术</t>
  </si>
  <si>
    <t>013307000070001</t>
  </si>
  <si>
    <t>气管成形费-儿童（加收）</t>
  </si>
  <si>
    <t>003307010420000-33070104201</t>
  </si>
  <si>
    <t>小儿气管成形术</t>
  </si>
  <si>
    <t>003307010390000-33070104203</t>
  </si>
  <si>
    <t>小儿单纯人工气管移植术</t>
  </si>
  <si>
    <t>003307010390000-33070103901</t>
  </si>
  <si>
    <t>小儿气管支气管损伤修补术</t>
  </si>
  <si>
    <t>013307000080000</t>
  </si>
  <si>
    <t>气管隆突成形费</t>
  </si>
  <si>
    <t>通过手术切除部分气管隆突，并行气管隆突重建。</t>
  </si>
  <si>
    <t>同气管成形费持平定价</t>
  </si>
  <si>
    <t>013307000080001</t>
  </si>
  <si>
    <t>气管隆突成形费-儿童（加收）</t>
  </si>
  <si>
    <t>013307000090000</t>
  </si>
  <si>
    <t>气管食管瘘修补费（常规）</t>
  </si>
  <si>
    <t>通过手术修补气管食管瘘口。</t>
  </si>
  <si>
    <t>所定价格涵盖手术计划、术区准备、消毒、修补、缝合、处理用物等步骤所需的人力资源和基本物质资源消耗。</t>
  </si>
  <si>
    <t>与“气管食管瘘修补费（复杂）”形成比价拟定价格。</t>
  </si>
  <si>
    <t>013307000090001</t>
  </si>
  <si>
    <t>气管食管瘘修补费（常规）-儿童（加收）</t>
  </si>
  <si>
    <t>013307000100000</t>
  </si>
  <si>
    <t>气管食管瘘修补费（复杂）</t>
  </si>
  <si>
    <t>通过手术修补复杂情况的气管食管瘘口。</t>
  </si>
  <si>
    <t>本项目中的“复杂”指：术中进行大网膜填充、皮瓣填充的情况。</t>
  </si>
  <si>
    <t>003307010430000-330701043</t>
  </si>
  <si>
    <t>颈段气管食管瘘修补术</t>
  </si>
  <si>
    <t>013307000100001</t>
  </si>
  <si>
    <t>气管食管瘘修补费（复杂）-儿童（加收）</t>
  </si>
  <si>
    <t>003307010430000-33070104301</t>
  </si>
  <si>
    <t>小儿颈段气管食管瘘修补术</t>
  </si>
  <si>
    <t>013307000110000</t>
  </si>
  <si>
    <t>气管病变切除费</t>
  </si>
  <si>
    <t>通过手术切除气管病变。</t>
  </si>
  <si>
    <t>所定价格涵盖手术计划、术区准备、消毒、切开、切除、缝合、处理用物等步骤所需的人力资源和基本物质资源消耗。</t>
  </si>
  <si>
    <t>无开展量，按比价关系拟定</t>
  </si>
  <si>
    <t>003307010410000-330701041</t>
  </si>
  <si>
    <t>气管内肿瘤切除术</t>
  </si>
  <si>
    <t>包括开胸气管部分切除成形，气管环状袖状切除再吻合术</t>
  </si>
  <si>
    <t>激光市级医院加收290元，县级医院加收260元，基层加收220元</t>
  </si>
  <si>
    <t>003307010410002-33070104101</t>
  </si>
  <si>
    <t>气管内肿瘤切除术（激光）</t>
  </si>
  <si>
    <t>激光</t>
  </si>
  <si>
    <t>003307010440000-330701044</t>
  </si>
  <si>
    <t>颈部囊状水瘤切除术</t>
  </si>
  <si>
    <t>013307000110001</t>
  </si>
  <si>
    <t>气管病变切除费-儿童（加收）</t>
  </si>
  <si>
    <t>003307010410000-33070104102</t>
  </si>
  <si>
    <t>小儿气管内肿瘤切除术</t>
  </si>
  <si>
    <t>003307010410002-33070104103</t>
  </si>
  <si>
    <t>小儿气管内肿瘤切除术（激光）</t>
  </si>
  <si>
    <t>003307010440000-33070104401</t>
  </si>
  <si>
    <t>小儿颈部囊状水瘤切除术</t>
  </si>
  <si>
    <t>013307000120000</t>
  </si>
  <si>
    <t>气管隆突病变切除费</t>
  </si>
  <si>
    <t>通过手术切除气管隆凸病变。</t>
  </si>
  <si>
    <t>013307000120001</t>
  </si>
  <si>
    <t>气管隆突病变切除费-儿童（加收）</t>
  </si>
  <si>
    <t>013307000130000</t>
  </si>
  <si>
    <t>胸腔探查费</t>
  </si>
  <si>
    <t>通过手术探查胸腔，含止血。</t>
  </si>
  <si>
    <t>所定价格涵盖手术计划、术区准备、消毒、切开、探查、缝合、处理用物，必要时止血等手术步骤的人力资源和基本物质资源消耗。</t>
  </si>
  <si>
    <t>不与同部位其他手术同时收取。</t>
  </si>
  <si>
    <t>003307030030000-330703003</t>
  </si>
  <si>
    <t>开胸探查术</t>
  </si>
  <si>
    <t>003307030030001-33070300302</t>
  </si>
  <si>
    <t>经胸腔镜开胸探查术</t>
  </si>
  <si>
    <t>003307030040000-330703004</t>
  </si>
  <si>
    <t>开胸止血术</t>
  </si>
  <si>
    <t>003307030040001-33070300402</t>
  </si>
  <si>
    <t>经胸腔镜开胸止血术</t>
  </si>
  <si>
    <t>013307000130001</t>
  </si>
  <si>
    <t>胸腔探查费-儿童（加收）</t>
  </si>
  <si>
    <t>003307030030000-33070300301</t>
  </si>
  <si>
    <t>小儿开胸探查术</t>
  </si>
  <si>
    <t>003307030030001-33070300303</t>
  </si>
  <si>
    <t>小儿经胸腔镜开胸探查术</t>
  </si>
  <si>
    <t>003307030040000-33070300401</t>
  </si>
  <si>
    <t>小儿开胸止血术</t>
  </si>
  <si>
    <t>003307030040001-33070300403</t>
  </si>
  <si>
    <t>小儿经胸腔镜开胸止血术</t>
  </si>
  <si>
    <t>013307000140000</t>
  </si>
  <si>
    <t>胸腔病变切除费</t>
  </si>
  <si>
    <t>通过手术切除胸腔病变。</t>
  </si>
  <si>
    <t>所定价格涵盖手术计划、术区准备、消毒、切除、缝合、处理用物等手术步骤的人力资源和基本物质资源消耗。</t>
  </si>
  <si>
    <t>本项目中的“胸腔”指：膈肌、胸膜。</t>
  </si>
  <si>
    <t>开展量仅市级1例。暂按比价关系拟定</t>
  </si>
  <si>
    <t>003307030300000-330703030</t>
  </si>
  <si>
    <t>膈肌肿瘤切除术</t>
  </si>
  <si>
    <t>膈肌缺损修补材料</t>
  </si>
  <si>
    <t>003307030300000-33070303002</t>
  </si>
  <si>
    <t>经胸腔镜膈肌肿瘤切除术</t>
  </si>
  <si>
    <t>013307000140001</t>
  </si>
  <si>
    <t>胸腔病变切除费-儿童（加收）</t>
  </si>
  <si>
    <t>003307030300000-33070303001</t>
  </si>
  <si>
    <t>小儿膈肌肿瘤切除术</t>
  </si>
  <si>
    <t>003307030300000-33070303003</t>
  </si>
  <si>
    <t>小儿经胸腔镜膈肌肿瘤切除术</t>
  </si>
  <si>
    <t>013307000150000</t>
  </si>
  <si>
    <t>非解剖性肺部分切除费</t>
  </si>
  <si>
    <t>不按照肺叶或肺段的解剖结构，通过手术切除单侧局部肺组织。</t>
  </si>
  <si>
    <t>肺癌根治术根据病变部位，按比例均摊到对应的各个项目中测算。</t>
  </si>
  <si>
    <t>003307020050000-330702005</t>
  </si>
  <si>
    <t>肺楔形切除术</t>
  </si>
  <si>
    <t>双侧手术市级医院3275元，县级医院2945元，基层2355元</t>
  </si>
  <si>
    <t>003307020050001-33070200504</t>
  </si>
  <si>
    <t>经胸腔镜肺楔形切除术</t>
  </si>
  <si>
    <t>003307020040000-330702004</t>
  </si>
  <si>
    <t>肺减容手术</t>
  </si>
  <si>
    <t>包括一侧或两侧肺手术(经侧胸切口或正中胸骨切口)</t>
  </si>
  <si>
    <t>双侧手术市级医院4320元，县级医院3890元，基层3310元</t>
  </si>
  <si>
    <t>003307020040001-33070200404</t>
  </si>
  <si>
    <t>经胸腔镜肺减容手术</t>
  </si>
  <si>
    <t>003307020090000-330702009</t>
  </si>
  <si>
    <t>肺大泡切除修补术</t>
  </si>
  <si>
    <t>包括结扎、固化</t>
  </si>
  <si>
    <t>双侧手术加收50%</t>
  </si>
  <si>
    <t>003307020090001-33070200904</t>
  </si>
  <si>
    <t>经胸腔镜肺大泡切除修补术</t>
  </si>
  <si>
    <t>003307020150000-330702015</t>
  </si>
  <si>
    <t>肺包虫病内囊摘除术</t>
  </si>
  <si>
    <t>含一侧肺内单个或多个内囊摘除</t>
  </si>
  <si>
    <t>双侧手术市级医院3890元，县级医院3500元，基层2980元</t>
  </si>
  <si>
    <t>003307020150001-33070201504</t>
  </si>
  <si>
    <t>经胸腔镜肺包虫病内囊摘除术</t>
  </si>
  <si>
    <t>003307020020000-330702002</t>
  </si>
  <si>
    <t>肺癌根治术</t>
  </si>
  <si>
    <t>含淋巴结清扫</t>
  </si>
  <si>
    <t>双侧手术市级医院11970元，县级医院10770元，基层9155元</t>
  </si>
  <si>
    <t>003307020020001-33070200204</t>
  </si>
  <si>
    <t>经胸腔镜肺癌根治术</t>
  </si>
  <si>
    <t>013307000150001</t>
  </si>
  <si>
    <t>非解剖性肺部分切除费-儿童（加收）</t>
  </si>
  <si>
    <t>003307020050000-33070200502</t>
  </si>
  <si>
    <t>小儿肺楔形切除术</t>
  </si>
  <si>
    <t>003307020040000-33070200402</t>
  </si>
  <si>
    <t>小儿肺减容手术</t>
  </si>
  <si>
    <t>003307020090000-33070200902</t>
  </si>
  <si>
    <t>小儿肺大泡切除修补术</t>
  </si>
  <si>
    <t>003307020150000-33070201502</t>
  </si>
  <si>
    <t>小儿肺包虫病内囊摘除术</t>
  </si>
  <si>
    <t>003307020040001-33070200406</t>
  </si>
  <si>
    <t>小儿经胸腔镜肺减容手术</t>
  </si>
  <si>
    <t>003307020050001-33070200506</t>
  </si>
  <si>
    <t>小儿经胸腔镜肺楔形切除术</t>
  </si>
  <si>
    <t>003307020090001-33070200906</t>
  </si>
  <si>
    <t>小儿经胸腔镜肺大泡切除修补术</t>
  </si>
  <si>
    <t>003307020150001-33070201505</t>
  </si>
  <si>
    <t>小儿经胸腔镜肺包虫病内囊摘除术</t>
  </si>
  <si>
    <t>003307020020000-33070200202</t>
  </si>
  <si>
    <t>小儿肺癌根治术</t>
  </si>
  <si>
    <t>003307020020001-33070200206</t>
  </si>
  <si>
    <t>小儿经胸腔镜肺癌根治术</t>
  </si>
  <si>
    <t>013307000160000</t>
  </si>
  <si>
    <t>肺叶切除费（常规）</t>
  </si>
  <si>
    <t>通过手术切除单侧肺叶。</t>
  </si>
  <si>
    <t>003307020060000-330702006</t>
  </si>
  <si>
    <t>肺叶切除术</t>
  </si>
  <si>
    <t>包括同侧肺两叶切除术</t>
  </si>
  <si>
    <t>双侧手术市级医院4665元，县级医院4200元，基层3570元。</t>
  </si>
  <si>
    <t>003307020060001-33070200604</t>
  </si>
  <si>
    <t>经胸腔镜肺叶切除术</t>
  </si>
  <si>
    <t>013307000160001</t>
  </si>
  <si>
    <t>肺叶切除费（常规）-儿童（加收）</t>
  </si>
  <si>
    <t>003307020060000-33070200602</t>
  </si>
  <si>
    <t>小儿肺叶切除术</t>
  </si>
  <si>
    <t>003307020060001-33070200606</t>
  </si>
  <si>
    <t>小儿经胸腔镜肺叶切除术</t>
  </si>
  <si>
    <t>013307000170000</t>
  </si>
  <si>
    <t>肺叶切除费（复杂）</t>
  </si>
  <si>
    <t>通过手术切除复杂情况单侧肺叶。</t>
  </si>
  <si>
    <t>本项目中的“复杂”指：袖状肺叶切除、复合肺叶切除、术中进行血管成形的情况。</t>
  </si>
  <si>
    <t>无开展量，同“肺段切除费（复杂）”持平定价</t>
  </si>
  <si>
    <t>003307020070000-330702007</t>
  </si>
  <si>
    <t>袖状肺叶切除术</t>
  </si>
  <si>
    <t>含肺动脉袖状切除成形术</t>
  </si>
  <si>
    <t>双侧手术市级收8700元，县级收7800元，基层收7050元</t>
  </si>
  <si>
    <t>003307020070000-33070200704</t>
  </si>
  <si>
    <t>经胸腔镜袖状肺叶切除术</t>
  </si>
  <si>
    <t>013307000170001</t>
  </si>
  <si>
    <t>肺叶切除费（复杂）-儿童（加收）</t>
  </si>
  <si>
    <t>003307020070000-33070200702</t>
  </si>
  <si>
    <t>小儿袖状肺叶切除术</t>
  </si>
  <si>
    <t>003307020070000-33070200706</t>
  </si>
  <si>
    <t>小儿经胸腔镜袖状肺叶切除术</t>
  </si>
  <si>
    <t>013307000180000</t>
  </si>
  <si>
    <t>肺段切除费（常规）</t>
  </si>
  <si>
    <t>通过手术切除单侧肺段。</t>
  </si>
  <si>
    <t>按与“肺段切除费（复杂）”比价关系拟定</t>
  </si>
  <si>
    <t>003307020030000-330702003</t>
  </si>
  <si>
    <t>肺段切除术</t>
  </si>
  <si>
    <t>双侧手术市级医院4860元，县级医院4370元，基层3710元</t>
  </si>
  <si>
    <t>003307020030001-33070200304</t>
  </si>
  <si>
    <t>经胸腔镜肺段切除术</t>
  </si>
  <si>
    <t>013307000180001</t>
  </si>
  <si>
    <t>肺段切除费（常规）-儿童（加收）</t>
  </si>
  <si>
    <t>003307020030000-33070200302</t>
  </si>
  <si>
    <t>小儿肺段切除术</t>
  </si>
  <si>
    <t>003307020030001-33070200306</t>
  </si>
  <si>
    <t>小儿经胸腔镜肺段切除术</t>
  </si>
  <si>
    <t>013307000190000</t>
  </si>
  <si>
    <t>肺段切除费（复杂）</t>
  </si>
  <si>
    <t>通过手术切除复杂情况单侧肺段。</t>
  </si>
  <si>
    <t>本项目中的“复杂”指：上叶前段切除、下叶基底段切除、联合肺段切除、亚段支气管切除的情况。</t>
  </si>
  <si>
    <t>013307000190001</t>
  </si>
  <si>
    <t>肺段切除费（复杂）-儿童（加收）</t>
  </si>
  <si>
    <t>013307000200000</t>
  </si>
  <si>
    <t>全肺切除费（常规）</t>
  </si>
  <si>
    <t>通过手术切除全肺。</t>
  </si>
  <si>
    <t>无开展量，按区域与项目间比价关系拟定</t>
  </si>
  <si>
    <t>003307020080000-330702008</t>
  </si>
  <si>
    <t>全肺切除术</t>
  </si>
  <si>
    <t>双侧手术市级医院5670元，县级医院5100元，基层4340元；经心包内全肺切除及部分心房切除市级医院加收540元，县级医院加收485元，基层加收415元</t>
  </si>
  <si>
    <t>003307020080002-33070200806</t>
  </si>
  <si>
    <t>经胸腔镜全肺切除术</t>
  </si>
  <si>
    <t>013307000200001</t>
  </si>
  <si>
    <t>全肺切除费（常规）-儿童（加收）</t>
  </si>
  <si>
    <t>003307020080000-33070200803</t>
  </si>
  <si>
    <t>小儿全肺切除术</t>
  </si>
  <si>
    <t>003307020080002-33070200809</t>
  </si>
  <si>
    <t>小儿经胸腔镜全肺切除术</t>
  </si>
  <si>
    <t>013307000210000</t>
  </si>
  <si>
    <t>全肺切除费（复杂）</t>
  </si>
  <si>
    <t>通过手术切除复杂情况全肺。</t>
  </si>
  <si>
    <t>本项目中的“复杂”指：心包内切除、部分心房切除、胸膜外全肺切除的情况。</t>
  </si>
  <si>
    <t>003307020080001-33070200802</t>
  </si>
  <si>
    <t>全肺切除术--经心包内全肺切除及部分心房切除术</t>
  </si>
  <si>
    <t>经心包内全肺切除及部分心房切除</t>
  </si>
  <si>
    <t>003307020080002-33070200808</t>
  </si>
  <si>
    <t>经胸腔镜全肺切除术-经心包内全肺切除及部分心房切除</t>
  </si>
  <si>
    <t>003307020100000-330702010</t>
  </si>
  <si>
    <t>胸膜肺全切除术</t>
  </si>
  <si>
    <t>双侧手术市级医院5400元，县级医院4860元，基层4130元</t>
  </si>
  <si>
    <t>003307020100000-33070201004</t>
  </si>
  <si>
    <t>经胸腔镜胸膜肺全切除术</t>
  </si>
  <si>
    <t>013307000210001</t>
  </si>
  <si>
    <t>全肺切除费（复杂）-儿童（加收）</t>
  </si>
  <si>
    <t>003307020080001-33070200805</t>
  </si>
  <si>
    <t>小儿全肺切除术-经心包内全肺切除及部分心房切除术</t>
  </si>
  <si>
    <t>003307020080002-33070200811</t>
  </si>
  <si>
    <t>小儿经胸腔镜全肺切除术-经心包内全肺切除及部分心房切除</t>
  </si>
  <si>
    <t>003307020100000-33070201002</t>
  </si>
  <si>
    <t>小儿胸膜肺全切除术</t>
  </si>
  <si>
    <t>003307020100000-33070201006</t>
  </si>
  <si>
    <t>小儿经胸腔镜胸膜肺全切除术</t>
  </si>
  <si>
    <t>013307000220000</t>
  </si>
  <si>
    <t>肺修补费</t>
  </si>
  <si>
    <t>通过手术修补肺组织缺损。</t>
  </si>
  <si>
    <t>所定价格涵盖手术计划、术区准备、消毒、切开、修补、缝合、处理用物等步骤所需的人力资源和基本物质资源消耗。</t>
  </si>
  <si>
    <t>省级通过区域间比价提高价格（我省价格过低），我市按比价提高</t>
  </si>
  <si>
    <t>003307020110000-330702011</t>
  </si>
  <si>
    <t>肺修补术</t>
  </si>
  <si>
    <t>003307020110100-33070201104</t>
  </si>
  <si>
    <t>经胸腔镜肺修补术</t>
  </si>
  <si>
    <t>013307000220001</t>
  </si>
  <si>
    <t>肺修补费-儿童（加收）</t>
  </si>
  <si>
    <t>003307020110000-33070201102</t>
  </si>
  <si>
    <t>小儿肺修补术</t>
  </si>
  <si>
    <t>003307020110100-33070201106</t>
  </si>
  <si>
    <t>小儿经胸腔镜肺修补术</t>
  </si>
  <si>
    <t>013307000230000</t>
  </si>
  <si>
    <t>胸腺病变切除费</t>
  </si>
  <si>
    <t>通过手术切除胸腺病变。</t>
  </si>
  <si>
    <t>平移后取整，县级理顺比价</t>
  </si>
  <si>
    <t>003303000180000-330300018</t>
  </si>
  <si>
    <t>胸腺切除术</t>
  </si>
  <si>
    <t>包括胸腺肿瘤切除、胸腺扩大切除；包括经胸骨正中切口径路、经颈部横切口手术</t>
  </si>
  <si>
    <t>003303000180001-33030001802</t>
  </si>
  <si>
    <t>经胸腔镜胸腺切除术</t>
  </si>
  <si>
    <t>013307000230001</t>
  </si>
  <si>
    <t>胸腺病变切除费-儿童（加收）</t>
  </si>
  <si>
    <t>003303000180000-33030001801</t>
  </si>
  <si>
    <t>小儿胸腺切除术</t>
  </si>
  <si>
    <t>003303000180001-33030001803</t>
  </si>
  <si>
    <t>小儿经胸腔镜胸腺切除术</t>
  </si>
  <si>
    <t>013307000240000</t>
  </si>
  <si>
    <t>胸壁病变切除费</t>
  </si>
  <si>
    <t>通过手术切除胸壁结核、术后瘘、胸壁肿瘤等病变。</t>
  </si>
  <si>
    <t>所定价格涵盖手术计划、术区准备、消毒、切开、切除、缝合、处理用物，必要时修复等步骤所需的人力资源和基本物质资源消耗。</t>
  </si>
  <si>
    <t>平移微调取整</t>
  </si>
  <si>
    <t>003307030120000-330703012</t>
  </si>
  <si>
    <t>胸壁肿瘤切除术</t>
  </si>
  <si>
    <t>包括胸壁软组织、肋骨、胸骨的肿瘤切除</t>
  </si>
  <si>
    <t>003307030120000-33070301202</t>
  </si>
  <si>
    <t>经胸腔镜胸壁肿瘤切除术</t>
  </si>
  <si>
    <t>003307030080000-330703008</t>
  </si>
  <si>
    <t>胸壁结核病灶清除术</t>
  </si>
  <si>
    <t>含病灶窦道、死骨、肋骨切除、肌肉瓣充填</t>
  </si>
  <si>
    <t>003307030080000-33070300802</t>
  </si>
  <si>
    <t>经胸腔镜胸壁结核病灶清除术</t>
  </si>
  <si>
    <t>013307000240001</t>
  </si>
  <si>
    <t>胸壁病变切除费-儿童（加收）</t>
  </si>
  <si>
    <t>003307030120000-33070301201</t>
  </si>
  <si>
    <t>小儿胸壁肿瘤切除术</t>
  </si>
  <si>
    <t>003307030120000-33070301203</t>
  </si>
  <si>
    <t>小儿经胸腔镜胸壁肿瘤切除术</t>
  </si>
  <si>
    <t>003307030080000-33070300801</t>
  </si>
  <si>
    <t>小儿胸壁结核病灶清除术</t>
  </si>
  <si>
    <t>003307030080000-33070300803</t>
  </si>
  <si>
    <t>小儿经胸腔镜胸壁结核病灶清除术</t>
  </si>
  <si>
    <t>013307000250000</t>
  </si>
  <si>
    <t>胸壁缺损修复费（常规）</t>
  </si>
  <si>
    <t>通过手术修复胸壁缺损。</t>
  </si>
  <si>
    <t>所定价格涵盖手术计划、术区准备、消毒、切开、修复、缝合、处理用物，必要时固定等步骤所需的人力资源和基本物质资源消耗。</t>
  </si>
  <si>
    <t>003307030130000-330703013</t>
  </si>
  <si>
    <t>胸壁缺损修复术</t>
  </si>
  <si>
    <t>含胸大肌缺损</t>
  </si>
  <si>
    <t>缺损修补材料</t>
  </si>
  <si>
    <t>003307030130000-33070301302</t>
  </si>
  <si>
    <t>经胸腔镜胸壁缺损修复术</t>
  </si>
  <si>
    <t>003307030110000-330703011</t>
  </si>
  <si>
    <t>胸壁外伤扩创术</t>
  </si>
  <si>
    <t>包括胸壁穿透伤、异物、肋骨骨折固定术</t>
  </si>
  <si>
    <t>003307030110000-33070301102</t>
  </si>
  <si>
    <t>经胸腔镜胸壁外伤扩创术</t>
  </si>
  <si>
    <t>013307000250001</t>
  </si>
  <si>
    <t>胸壁缺损修复费（常规）-儿童（加收）</t>
  </si>
  <si>
    <t>003307030130000-33070301301</t>
  </si>
  <si>
    <t>小儿胸壁缺损修复术</t>
  </si>
  <si>
    <t>003307030130000-33070301303</t>
  </si>
  <si>
    <t>小儿经胸腔镜胸壁缺损修复术</t>
  </si>
  <si>
    <t>003307030110000-33070301101</t>
  </si>
  <si>
    <t>小儿胸壁外伤扩创术</t>
  </si>
  <si>
    <t>003307030110000-33070301103</t>
  </si>
  <si>
    <t>小儿经胸腔镜胸壁外伤扩创术</t>
  </si>
  <si>
    <t>013307000260000</t>
  </si>
  <si>
    <t>胸壁缺损修复费（复杂）</t>
  </si>
  <si>
    <t>通过手术修复复杂胸壁缺损。</t>
  </si>
  <si>
    <t>本项目中的“复杂”指：胸壁穿透伤修复、术中进行肌皮瓣填充的情况。</t>
  </si>
  <si>
    <t>根据项目间比价关系拟定</t>
  </si>
  <si>
    <t>013307000260001</t>
  </si>
  <si>
    <t>胸壁缺损修复费（复杂）-儿童（加收）</t>
  </si>
  <si>
    <t>013307000270000</t>
  </si>
  <si>
    <t>胸廓成形费（常规）</t>
  </si>
  <si>
    <t>通过手术重建胸廓。</t>
  </si>
  <si>
    <t>所定价格涵盖手术计划、术区准备、消毒、切开、成形、缝合、处理用物等步骤所需的人力资源和基本物质资源消耗。</t>
  </si>
  <si>
    <t>不与“胸壁缺损修复费”同时收取。</t>
  </si>
  <si>
    <t>平移后，县级微调理顺比价关系</t>
  </si>
  <si>
    <t>003307030090000-330703009</t>
  </si>
  <si>
    <t>胸廓成形术</t>
  </si>
  <si>
    <t>不含分期手术</t>
  </si>
  <si>
    <t>003307030090000-33070300902</t>
  </si>
  <si>
    <t>经胸腔镜胸廓成形术</t>
  </si>
  <si>
    <t>013307000270001</t>
  </si>
  <si>
    <t>胸廓成形费（常规）-儿童（加收）</t>
  </si>
  <si>
    <t>003307030090000-33070300901</t>
  </si>
  <si>
    <t>小儿胸廓成形术</t>
  </si>
  <si>
    <t>003307030090000-33070300903</t>
  </si>
  <si>
    <t>小儿经胸腔镜胸廓成形术</t>
  </si>
  <si>
    <t>013307000280000</t>
  </si>
  <si>
    <t>胸廓成形费（复杂）</t>
  </si>
  <si>
    <t>通过手术重建复杂情况胸廓。</t>
  </si>
  <si>
    <t>1、本项目中的“复杂”指：先天性或后天性胸廓畸形矫正的情况。
2、不与“胸壁缺损修复费”同时收取。</t>
  </si>
  <si>
    <t>开展量仅市级3例
省级通过区域间比价提高价格（我省价格过低），我市按比价提高</t>
  </si>
  <si>
    <t>003307030140000-330703014</t>
  </si>
  <si>
    <t>胸廓畸形矫正术</t>
  </si>
  <si>
    <t>不含鸡胸、漏斗胸</t>
  </si>
  <si>
    <t>003307030140000-33070301402</t>
  </si>
  <si>
    <t>经胸腔镜胸廓畸形矫正术</t>
  </si>
  <si>
    <t>003307030150000-330703015</t>
  </si>
  <si>
    <t>小儿鸡胸矫正术</t>
  </si>
  <si>
    <t>包括胸骨抬举固定或胸骨翻转缝合松解粘连带，小儿漏斗胸矫正术</t>
  </si>
  <si>
    <t>固定合金钉</t>
  </si>
  <si>
    <t>成人参照收取</t>
  </si>
  <si>
    <t>003307030150000-33070301501</t>
  </si>
  <si>
    <t>经胸腔镜小儿鸡胸矫正术</t>
  </si>
  <si>
    <t>013307000280001</t>
  </si>
  <si>
    <t>胸廓成形费（复杂）-儿童（加收）</t>
  </si>
  <si>
    <t>003307030140000-33070301401</t>
  </si>
  <si>
    <t>小儿胸廓畸形矫正术</t>
  </si>
  <si>
    <t>003307030140000-33070301403</t>
  </si>
  <si>
    <t>小儿经胸腔镜胸廓畸形矫正术</t>
  </si>
  <si>
    <t>013307000290000</t>
  </si>
  <si>
    <t>脓胸廓清费（常规）</t>
  </si>
  <si>
    <t>通过手术清除脓胸并引流。</t>
  </si>
  <si>
    <t>所定价格涵盖手术计划、术区准备、消毒、切开、清除引流、缝合、处理用物等步骤所需的人力资源和基本物质资源消耗。</t>
  </si>
  <si>
    <t>003307030200000-330703020</t>
  </si>
  <si>
    <t>脓胸引流清除术</t>
  </si>
  <si>
    <t>包括早期脓胸及晚期脓胸的引流清除、脓性纤维膜剥脱胸腔冲洗引流</t>
  </si>
  <si>
    <t>013307000290001</t>
  </si>
  <si>
    <t>脓胸廓清费（常规）-儿童（加收）</t>
  </si>
  <si>
    <t>003307030200000-33070302001</t>
  </si>
  <si>
    <t>小儿脓胸引流清除术</t>
  </si>
  <si>
    <t>013307000300000</t>
  </si>
  <si>
    <t>脓胸廓清费（复杂）</t>
  </si>
  <si>
    <t>通过手术清除复杂情况脓胸并引流。</t>
  </si>
  <si>
    <t>所定价格涵盖手术计划、术区准备、消毒、切开、脓胸清除引流、缝合、处理用物等步骤所需的人力资源和基本物质资源消耗。</t>
  </si>
  <si>
    <t>003307030180000-330703018</t>
  </si>
  <si>
    <t>脓胸大网膜填充术</t>
  </si>
  <si>
    <t>含脓胸清除及开腹大网膜游离</t>
  </si>
  <si>
    <t>003307030180001-33070301802</t>
  </si>
  <si>
    <t>经胸腔镜脓胸大网膜填充术</t>
  </si>
  <si>
    <t>013307000300001</t>
  </si>
  <si>
    <t>脓胸廓清费（复杂）-儿童（加收）</t>
  </si>
  <si>
    <t>003307030180000-33070301801</t>
  </si>
  <si>
    <t>小儿脓胸大网膜填充术</t>
  </si>
  <si>
    <t>003307030180001-33070301803</t>
  </si>
  <si>
    <t>小儿经胸腔镜脓胸大网膜填充术</t>
  </si>
  <si>
    <t>013307000310000</t>
  </si>
  <si>
    <t>胸膜剥脱费</t>
  </si>
  <si>
    <t>通过手术剥脱胸膜。</t>
  </si>
  <si>
    <t>所定价格涵盖手术计划、术区准备、消毒、切开、剥脱、缝合、处理用物等步骤所需的人力资源和基本物质资源消耗。</t>
  </si>
  <si>
    <t>003307030190000-330703019</t>
  </si>
  <si>
    <t>胸膜剥脱术</t>
  </si>
  <si>
    <t>包括部分胸膜剥脱及全胸膜剥脱术</t>
  </si>
  <si>
    <t>003307030190001-33070301902</t>
  </si>
  <si>
    <t>经胸腔镜胸膜剥脱术</t>
  </si>
  <si>
    <t>013307000310001</t>
  </si>
  <si>
    <t>胸膜剥脱费-儿童（加收）</t>
  </si>
  <si>
    <t>003307030190000-33070301901</t>
  </si>
  <si>
    <t>小儿胸膜剥脱术</t>
  </si>
  <si>
    <t>003307030190001-33070301903</t>
  </si>
  <si>
    <t>小儿经胸腔镜胸膜剥脱术</t>
  </si>
  <si>
    <t>013307000320000</t>
  </si>
  <si>
    <t>胸膜固定费</t>
  </si>
  <si>
    <t>通过手术固定脏层胸膜与壁层胸膜。</t>
  </si>
  <si>
    <t>所定价格涵盖手术计划、术区准备、消毒、切开，固定、缝合、处理用物等步骤所需的人力资源和基本物质资源消耗。</t>
  </si>
  <si>
    <t>003307030230000-330703023</t>
  </si>
  <si>
    <t>胸膜固定术</t>
  </si>
  <si>
    <t>包括不同的固定方法</t>
  </si>
  <si>
    <t>003307030230001-33070302302</t>
  </si>
  <si>
    <t>经胸腔镜胸膜固定术</t>
  </si>
  <si>
    <t>013307000320001</t>
  </si>
  <si>
    <t>胸膜固定费-儿童（加收）</t>
  </si>
  <si>
    <t>003307030230000-33070302301</t>
  </si>
  <si>
    <t>小儿胸膜固定术</t>
  </si>
  <si>
    <t>003307030230001-33070302303</t>
  </si>
  <si>
    <t>小儿经胸腔镜胸膜固定术</t>
  </si>
  <si>
    <t>013307000330000</t>
  </si>
  <si>
    <t>胸内异物清除费</t>
  </si>
  <si>
    <t>通过手术清除胸内异物。</t>
  </si>
  <si>
    <t>所定价格涵盖手术计划、术区准备、消毒、切开、异物清除、缝合、处理用物等步骤所需的人力资源和基本物质资源消耗。</t>
  </si>
  <si>
    <t>003307030160000-330703016</t>
  </si>
  <si>
    <t>胸内异物清除术</t>
  </si>
  <si>
    <t>003307020010000-330702001</t>
  </si>
  <si>
    <t>肺内异物摘除术</t>
  </si>
  <si>
    <t>双侧手术市级医院3460元，县级医院3110元，基层2640元</t>
  </si>
  <si>
    <t>003307020010000-33070200101</t>
  </si>
  <si>
    <t>肺内异物摘除术（双侧）</t>
  </si>
  <si>
    <t>双侧</t>
  </si>
  <si>
    <t>003307030160001-33070301602</t>
  </si>
  <si>
    <t>经胸腔镜胸内异物清除术</t>
  </si>
  <si>
    <t>003307020010001-33070200104</t>
  </si>
  <si>
    <t>经胸腔镜肺内异物摘除术</t>
  </si>
  <si>
    <t>003307020010001-33070200105</t>
  </si>
  <si>
    <t>经胸腔镜肺内异物摘除术（双侧）</t>
  </si>
  <si>
    <t>013307000330001</t>
  </si>
  <si>
    <t>胸内异物清除费-儿童（加收）</t>
  </si>
  <si>
    <t>003307030160000-33070301601</t>
  </si>
  <si>
    <t>小儿胸内异物清除术</t>
  </si>
  <si>
    <t>003307020010000-33070200102</t>
  </si>
  <si>
    <t>小儿肺内异物摘除术</t>
  </si>
  <si>
    <t>003307020010000-33070200103</t>
  </si>
  <si>
    <t>小儿肺内异物摘除术（双侧）</t>
  </si>
  <si>
    <t>003307030160001-33070301603</t>
  </si>
  <si>
    <t>小儿经胸腔镜胸内异物清除术</t>
  </si>
  <si>
    <t>003307020010001-33070200106</t>
  </si>
  <si>
    <t>小儿经胸腔镜肺内异物摘除术</t>
  </si>
  <si>
    <t>003307020010001-33070200107</t>
  </si>
  <si>
    <t>小儿经胸腔镜肺内异物摘除术（双侧）</t>
  </si>
  <si>
    <t>013307000340000</t>
  </si>
  <si>
    <t>纵隔病变切除费（常规）</t>
  </si>
  <si>
    <t>通过手术切除纵隔病变。</t>
  </si>
  <si>
    <t>003307030260000-330703026</t>
  </si>
  <si>
    <t>纵隔肿物切除术</t>
  </si>
  <si>
    <t>包括经胸后外切口及正中胸骨劈开切口、胸骨后甲状腺和胸腺切除、血管成形及心包切除</t>
  </si>
  <si>
    <t>人工血管</t>
  </si>
  <si>
    <t>003307030260001-33070302602</t>
  </si>
  <si>
    <t>经胸腔镜纵隔肿物切除术</t>
  </si>
  <si>
    <t>013307000340001</t>
  </si>
  <si>
    <t>纵隔病变切除费（常规）-儿童（加收）</t>
  </si>
  <si>
    <t>003307030260000-33070302601</t>
  </si>
  <si>
    <t>小儿纵隔肿物切除术</t>
  </si>
  <si>
    <t>003307030260001-33070302603</t>
  </si>
  <si>
    <t>小儿经胸腔镜纵隔肿物切除术</t>
  </si>
  <si>
    <t>59</t>
  </si>
  <si>
    <t>013307000350000</t>
  </si>
  <si>
    <t>纵隔病变切除费（复杂）</t>
  </si>
  <si>
    <t>通过手术切除复杂情况纵隔病变。</t>
  </si>
  <si>
    <t>本项目中的“复杂”指：含颈部入路手术、术中进行血管成形的情况。</t>
  </si>
  <si>
    <t>013307000350001</t>
  </si>
  <si>
    <t>纵隔病变切除费（复杂）-儿童（加收）</t>
  </si>
  <si>
    <t>013307000360000</t>
  </si>
  <si>
    <t>纵隔气肿切开减压费</t>
  </si>
  <si>
    <t>通过手术切开纵隔气肿进行减压。</t>
  </si>
  <si>
    <t>所定价格涵盖手术计划、术区准备、消毒、切开、缝合、处理用物等步骤所需的人力资源和基本物质资源消耗。</t>
  </si>
  <si>
    <t>003307030270000-330703027</t>
  </si>
  <si>
    <t>纵隔气肿切开减压术</t>
  </si>
  <si>
    <t>包括皮下气肿切开减压术</t>
  </si>
  <si>
    <t>003307030270000-33070302702</t>
  </si>
  <si>
    <t>经胸腔镜纵隔气肿切开减压术</t>
  </si>
  <si>
    <t>013307000360001</t>
  </si>
  <si>
    <t>纵隔气肿切开减压费-儿童（加收）</t>
  </si>
  <si>
    <t>003307030270000-33070302701</t>
  </si>
  <si>
    <t>小儿纵隔气肿切开减压术</t>
  </si>
  <si>
    <t>003307030270000-33070302703</t>
  </si>
  <si>
    <t>小儿经胸腔镜纵隔气肿切开减压术</t>
  </si>
  <si>
    <t>013307000370000</t>
  </si>
  <si>
    <t>纵隔感染清创引流费</t>
  </si>
  <si>
    <t>通过手术清除纵隔内感染或坏死组织并进行引流。</t>
  </si>
  <si>
    <t>所定价格涵盖手术计划、术区准备、消毒、切开、清创、引流、缝合、处理用物等步骤所需的人力资源和基本物质资源消耗。</t>
  </si>
  <si>
    <t>不与“胸腔粘连松解费”同时收取。</t>
  </si>
  <si>
    <t>加权平移后按不超过省级拟定</t>
  </si>
  <si>
    <t>003307030250000-330703025</t>
  </si>
  <si>
    <t>纵隔感染清创引流术</t>
  </si>
  <si>
    <t>包括各类手术入路(经胸、经脊柱旁、经颈部)</t>
  </si>
  <si>
    <t>003307030250000-33070302502</t>
  </si>
  <si>
    <t>经胸腔镜纵隔感染清创引流术</t>
  </si>
  <si>
    <t>013307000370001</t>
  </si>
  <si>
    <t>纵隔感染清创引流费-儿童（加收）</t>
  </si>
  <si>
    <t>003307030250000-33070302501</t>
  </si>
  <si>
    <t>小儿纵隔感染清创引流术</t>
  </si>
  <si>
    <t>003307030250000-33070302503</t>
  </si>
  <si>
    <t>小儿经胸腔镜纵隔感染清创引流术</t>
  </si>
  <si>
    <t>013307000380000</t>
  </si>
  <si>
    <t>膈肌修补费</t>
  </si>
  <si>
    <t>通过手术修补膈肌。</t>
  </si>
  <si>
    <t>加权平移后取整</t>
  </si>
  <si>
    <t>003307030280000-330703028</t>
  </si>
  <si>
    <t>膈肌修补术</t>
  </si>
  <si>
    <t>包括急性、慢性膈疝修补术</t>
  </si>
  <si>
    <t>特殊修补材料</t>
  </si>
  <si>
    <t>003307030280001-33070302802</t>
  </si>
  <si>
    <t>经胸腔镜膈肌修补术</t>
  </si>
  <si>
    <t>003307030320000-330703032</t>
  </si>
  <si>
    <t>先天性膈疝修补术</t>
  </si>
  <si>
    <t>包括膈膨升折叠修补术</t>
  </si>
  <si>
    <t>嵌顿或巨大疝加收20%</t>
  </si>
  <si>
    <t>003307030320001-33070303201</t>
  </si>
  <si>
    <t>先天性膈疝修补术（嵌顿或巨大疝）</t>
  </si>
  <si>
    <t>嵌顿或巨大疝</t>
  </si>
  <si>
    <t>003307030320000-33070303204</t>
  </si>
  <si>
    <t>经胸腔镜先天性膈疝修补术</t>
  </si>
  <si>
    <t>003307030320001-33070303205</t>
  </si>
  <si>
    <t>经胸腔镜先天性膈疝修补术（嵌顿或巨大疝）</t>
  </si>
  <si>
    <t>013307000380001</t>
  </si>
  <si>
    <t>膈肌修补费-儿童（加收）</t>
  </si>
  <si>
    <t>003307030280000-33070302801</t>
  </si>
  <si>
    <t>小儿膈肌修补术</t>
  </si>
  <si>
    <t>003307030280001-33070302803</t>
  </si>
  <si>
    <t>小儿经胸腔镜膈肌修补术</t>
  </si>
  <si>
    <t>003307030320000-33070303202</t>
  </si>
  <si>
    <t>小儿先天性膈疝修补术</t>
  </si>
  <si>
    <t>003307030320001-33070303203</t>
  </si>
  <si>
    <t>小儿先天性膈疝修补术（嵌顿或巨大疝）</t>
  </si>
  <si>
    <t>003307030320000-33070303206</t>
  </si>
  <si>
    <t>小儿经胸腔镜先天性膈疝修补术</t>
  </si>
  <si>
    <t>003307030320001-33070303207</t>
  </si>
  <si>
    <t>小儿经胸腔镜先天性膈疝修补术（嵌顿或巨大疝）</t>
  </si>
  <si>
    <t>013307000390000</t>
  </si>
  <si>
    <t>膈肌折叠费</t>
  </si>
  <si>
    <t>通过手术折叠膈肌。</t>
  </si>
  <si>
    <t>所定价格涵盖手术计划、术区准备、消毒、切开、膈肌折叠、缝合、处理用物等步骤所需的人力资源和基本物质资源消耗。</t>
  </si>
  <si>
    <t>003307030290000-330703029</t>
  </si>
  <si>
    <t>膈肌折叠术</t>
  </si>
  <si>
    <t>包括膈肌膨出修补术</t>
  </si>
  <si>
    <t>003307030290000-33070302902</t>
  </si>
  <si>
    <t>经胸腔镜膈肌折叠术</t>
  </si>
  <si>
    <t>013307000390001</t>
  </si>
  <si>
    <t>膈肌折叠费-儿童（加收）</t>
  </si>
  <si>
    <t>003307030290000-33070302901</t>
  </si>
  <si>
    <t>小儿膈肌折叠术</t>
  </si>
  <si>
    <t>003307030290000-33070302903</t>
  </si>
  <si>
    <t>小儿经胸腔镜膈肌折叠术</t>
  </si>
  <si>
    <t>013307000400000</t>
  </si>
  <si>
    <t>气管异物取出费</t>
  </si>
  <si>
    <t>通过手术取出气管异物。</t>
  </si>
  <si>
    <t>所定价格涵盖手术计划、术区准备、消毒、切开、异物取出、缝合、处理用物等步骤所需的人力资源和基本物质资源消耗。</t>
  </si>
  <si>
    <t>013307000400001</t>
  </si>
  <si>
    <t>气管异物取出费-儿童（加收）</t>
  </si>
  <si>
    <t>013307000410000</t>
  </si>
  <si>
    <t>肺空洞药物填充费</t>
  </si>
  <si>
    <t>通过手术对肺空洞填充药物。</t>
  </si>
  <si>
    <t>所定价格涵盖手术计划、术区准备、消毒、切开、药物填充、缝合、处理用物等步骤所需的人力资源和基本物质资源消耗。</t>
  </si>
  <si>
    <t>013307000410001</t>
  </si>
  <si>
    <t>肺空洞药物填充费-儿童（加收）</t>
  </si>
  <si>
    <t>013307000420000</t>
  </si>
  <si>
    <t>胸腔淋巴清扫费</t>
  </si>
  <si>
    <t>通过手术清扫胸腔淋巴结。</t>
  </si>
  <si>
    <t>所定价格涵盖手术计划、术区准备、消毒、切开、分离、切除、处理用物等步骤所需的人力资源和基本物质资源消耗。</t>
  </si>
  <si>
    <t>本项目中的“胸腔淋巴结”指：纵隔、肺门、肺内淋巴结。</t>
  </si>
  <si>
    <t>无开展量，平移后按比例下调</t>
  </si>
  <si>
    <t>003309000100000-330900010</t>
  </si>
  <si>
    <t>经胸腔镜内乳淋巴链清除术</t>
  </si>
  <si>
    <t>013307000420001</t>
  </si>
  <si>
    <t>胸腔淋巴清扫费-儿童（加收）</t>
  </si>
  <si>
    <t>003309000100000-33090001001</t>
  </si>
  <si>
    <t>小儿经胸腔镜内乳淋巴链清除术</t>
  </si>
  <si>
    <t>013307000420100</t>
  </si>
  <si>
    <t>胸腔淋巴清扫费-胸腔淋巴结采样（扩展）</t>
  </si>
  <si>
    <t>扩展项按主项价格执行</t>
  </si>
  <si>
    <t>013307000430000</t>
  </si>
  <si>
    <t>胸腔粘连松解费</t>
  </si>
  <si>
    <t>通过手术分离胸腔粘连组织。</t>
  </si>
  <si>
    <t>所定价格涵盖手术计划、术区准备、消毒、探查、分离松解、缝合、处理用物等步骤所需的人力资源和基本物质资源消耗。</t>
  </si>
  <si>
    <t>003307030220000-330703022</t>
  </si>
  <si>
    <t>胸膜粘连烙断术</t>
  </si>
  <si>
    <t>013307000430001</t>
  </si>
  <si>
    <t>胸腔粘连松解费-儿童（加收）</t>
  </si>
  <si>
    <t>003307030220000-33070302201</t>
  </si>
  <si>
    <t>小儿胸膜粘连烙断术</t>
  </si>
  <si>
    <t>013307000440000</t>
  </si>
  <si>
    <t>胸交感神经链切除费</t>
  </si>
  <si>
    <t>通过手术切断胸交感神经链。</t>
  </si>
  <si>
    <t>平移后结合日常医院反馈提价意见（我市原价仅省级76%），按比价关系提高</t>
  </si>
  <si>
    <t>003302040160000-330204016</t>
  </si>
  <si>
    <t>经胸腔镜交感神经链切除术</t>
  </si>
  <si>
    <t>同时行双侧手术加收50%</t>
  </si>
  <si>
    <t>003302040160000-33020401602</t>
  </si>
  <si>
    <t>013307000440001</t>
  </si>
  <si>
    <t>胸交感神经链切除费-儿童（加收）</t>
  </si>
  <si>
    <t>003302040160000-33020401601</t>
  </si>
  <si>
    <t>小儿经胸腔镜交感神经链切除术</t>
  </si>
  <si>
    <t>003302040160000-33020401603</t>
  </si>
  <si>
    <t>省属三甲价格（元）</t>
  </si>
  <si>
    <t>省属三甲以下价格（元）</t>
  </si>
  <si>
    <t>003307020050000-33070200501</t>
  </si>
  <si>
    <t>肺楔形切除术（双侧）</t>
  </si>
  <si>
    <t>003307020040000-33070200401</t>
  </si>
  <si>
    <t>肺减容手术（双侧）</t>
  </si>
  <si>
    <t>003307020090000-33070200901</t>
  </si>
  <si>
    <t>肺大泡切除修补术（双侧）</t>
  </si>
  <si>
    <t>003307020150000-33070201501</t>
  </si>
  <si>
    <t>肺包虫病内囊摘除术（双侧）</t>
  </si>
  <si>
    <t>003307020040001-33070200405</t>
  </si>
  <si>
    <t>经胸腔镜肺减容手术（双侧）</t>
  </si>
  <si>
    <t>003307020050001-33070200505</t>
  </si>
  <si>
    <t>经胸腔镜肺楔形切除术（双侧）</t>
  </si>
  <si>
    <t>003307020090001-33070200905</t>
  </si>
  <si>
    <t>经胸腔镜肺大泡切除修补术（双侧）</t>
  </si>
  <si>
    <t>003307020150001-33070201506</t>
  </si>
  <si>
    <t>经胸腔镜肺包虫病内囊摘除术（双侧）</t>
  </si>
  <si>
    <t>003307020020000-33070200201</t>
  </si>
  <si>
    <t>肺癌根治术（双侧）</t>
  </si>
  <si>
    <t>003307020020001-33070200205</t>
  </si>
  <si>
    <t>经胸腔镜肺癌根治术（双侧）</t>
  </si>
  <si>
    <t>003307020050000-33070200503</t>
  </si>
  <si>
    <t>小儿肺楔形切除术（双侧）</t>
  </si>
  <si>
    <t>003307020040000-33070200403</t>
  </si>
  <si>
    <t>小儿肺减容手术（双侧）</t>
  </si>
  <si>
    <t>003307020090000-33070200903</t>
  </si>
  <si>
    <t>小儿肺大泡切除修补术（双侧）</t>
  </si>
  <si>
    <t>003307020150000-33070201503</t>
  </si>
  <si>
    <t>小儿肺包虫病内囊摘除术（双侧）</t>
  </si>
  <si>
    <t>003307020040001-33070200407</t>
  </si>
  <si>
    <t>小儿经胸腔镜肺减容手术（双侧）</t>
  </si>
  <si>
    <t>003307020050001-33070200507</t>
  </si>
  <si>
    <t>小儿经胸腔镜肺楔形切除术（双侧）</t>
  </si>
  <si>
    <t>003307020090001-33070200907</t>
  </si>
  <si>
    <t>小儿经胸腔镜肺大泡切除修补术（双侧）</t>
  </si>
  <si>
    <t>003307020150001-33070201507</t>
  </si>
  <si>
    <t>小儿经胸腔镜肺包虫病内囊摘除术（双侧）</t>
  </si>
  <si>
    <t>003307020020000-33070200203</t>
  </si>
  <si>
    <t>小儿肺癌根治术（双侧）</t>
  </si>
  <si>
    <t>003307020020001-33070200207</t>
  </si>
  <si>
    <t>小儿经胸腔镜肺癌根治术（双侧）</t>
  </si>
  <si>
    <t>003307020060000-33070200601</t>
  </si>
  <si>
    <t>肺叶切除术（双侧）</t>
  </si>
  <si>
    <t>003307020060001-33070200605</t>
  </si>
  <si>
    <t>经胸腔镜肺叶切除术（双侧）</t>
  </si>
  <si>
    <t>003307020060000-33070200603</t>
  </si>
  <si>
    <t>小儿肺叶切除术（双侧）</t>
  </si>
  <si>
    <t>003307020060001-33070200607</t>
  </si>
  <si>
    <t>小儿经胸腔镜肺叶切除术（双侧）</t>
  </si>
  <si>
    <t>003307020070000-33070200701</t>
  </si>
  <si>
    <t>袖状肺叶切除术（双侧）</t>
  </si>
  <si>
    <t>003307020070000-33070200705</t>
  </si>
  <si>
    <t>经胸腔镜袖状肺叶切除术（双侧）</t>
  </si>
  <si>
    <t>003307020070000-33070200703</t>
  </si>
  <si>
    <t>小儿袖状肺叶切除术（双侧）</t>
  </si>
  <si>
    <t>003307020070000-33070200707</t>
  </si>
  <si>
    <t>小儿经胸腔镜袖状肺叶切除术（双侧）</t>
  </si>
  <si>
    <t>003307020030000-33070200301</t>
  </si>
  <si>
    <t>肺段切除术（双侧）</t>
  </si>
  <si>
    <t>003307020030001-33070200305</t>
  </si>
  <si>
    <t>经胸腔镜肺段切除术（双侧）</t>
  </si>
  <si>
    <t>003307020030000-33070200303</t>
  </si>
  <si>
    <t>小儿肺段切除术（双侧）</t>
  </si>
  <si>
    <t>003307020030001-33070200307</t>
  </si>
  <si>
    <t>小儿经胸腔镜肺段切除术（双侧）</t>
  </si>
  <si>
    <t>003307020080000-33070200801</t>
  </si>
  <si>
    <t>全肺切除术（双侧）</t>
  </si>
  <si>
    <t>003307020080002-33070200807</t>
  </si>
  <si>
    <t>经胸腔镜全肺切除术（双侧）</t>
  </si>
  <si>
    <t>003307020080000-33070200804</t>
  </si>
  <si>
    <t>小儿全肺切除术（双侧）</t>
  </si>
  <si>
    <t>003307020080002-33070200810</t>
  </si>
  <si>
    <t>小儿经胸腔镜全肺切除术（双侧）</t>
  </si>
  <si>
    <t>003307020100000-33070201001</t>
  </si>
  <si>
    <t>胸膜肺全切除术（双侧）</t>
  </si>
  <si>
    <t>003307020100000-33070201005</t>
  </si>
  <si>
    <t>经胸腔镜胸膜肺全切除术（双侧）</t>
  </si>
  <si>
    <t>003307020100000-33070201003</t>
  </si>
  <si>
    <t>小儿胸膜肺全切除术（双侧）</t>
  </si>
  <si>
    <t>003307020100000-33070201007</t>
  </si>
  <si>
    <t>小儿经胸腔镜胸膜肺全切除术（双侧）</t>
  </si>
  <si>
    <t>003307020110000-33070201101</t>
  </si>
  <si>
    <t>肺修补术（双侧）</t>
  </si>
  <si>
    <t>003307020110100-33070201105</t>
  </si>
  <si>
    <t>经胸腔镜肺修补术（双侧）</t>
  </si>
  <si>
    <t>003307020110000-33070201103</t>
  </si>
  <si>
    <t>小儿肺修补术（双侧）</t>
  </si>
  <si>
    <t>003307020110100-33070201107</t>
  </si>
  <si>
    <t>小儿经胸腔镜肺修补术（双侧）</t>
  </si>
  <si>
    <t>id</t>
  </si>
  <si>
    <t>code</t>
  </si>
  <si>
    <t>sever_type</t>
  </si>
  <si>
    <t>change_time</t>
  </si>
  <si>
    <t>old_hilist_code</t>
  </si>
  <si>
    <t>new_hilist_code</t>
  </si>
  <si>
    <t>hilist_name</t>
  </si>
  <si>
    <t>selfpay_prop</t>
  </si>
  <si>
    <t>old_price</t>
  </si>
  <si>
    <t>old_price_city</t>
  </si>
  <si>
    <t>old_price_town</t>
  </si>
  <si>
    <t>old_price_village</t>
  </si>
  <si>
    <t>new_price</t>
  </si>
  <si>
    <t>new_price_city</t>
  </si>
  <si>
    <t>new_price_town</t>
  </si>
  <si>
    <t>new_price_village</t>
  </si>
  <si>
    <t>unit</t>
  </si>
  <si>
    <t>batch</t>
  </si>
  <si>
    <t>is_use_old</t>
  </si>
  <si>
    <t>merge_type</t>
  </si>
  <si>
    <t>cnt_change_model</t>
  </si>
  <si>
    <t>cnt_change_value</t>
  </si>
  <si>
    <t>null</t>
  </si>
  <si>
    <t>2026-03-24 00:00:00</t>
  </si>
  <si>
    <t>normal</t>
  </si>
  <si>
    <t>main</t>
  </si>
  <si>
    <t>C140201182000000</t>
  </si>
  <si>
    <t>雾化器</t>
  </si>
  <si>
    <t>个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</si>
  <si>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</si>
  <si>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</si>
  <si>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</si>
  <si>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</si>
  <si>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</si>
  <si>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</si>
  <si>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</si>
  <si>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</si>
  <si>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</si>
  <si>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</si>
  <si>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</si>
  <si>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</si>
  <si>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</si>
  <si>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</si>
  <si>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</si>
  <si>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</si>
  <si>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</si>
  <si>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</si>
  <si>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</si>
  <si>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</si>
  <si>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</si>
  <si>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</si>
  <si>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</si>
  <si>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</si>
  <si>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</si>
  <si>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list_type</t>
  </si>
  <si>
    <t>list_type_name</t>
  </si>
  <si>
    <t>is_main</t>
  </si>
  <si>
    <t>数量3</t>
  </si>
  <si>
    <t>数量2</t>
  </si>
  <si>
    <t>数量1</t>
  </si>
  <si>
    <t>预计差额3</t>
  </si>
  <si>
    <t>预计差额2</t>
  </si>
  <si>
    <t>预计差额1</t>
  </si>
  <si>
    <t>实际差额3</t>
  </si>
  <si>
    <t>实际差额2</t>
  </si>
  <si>
    <t>实际差额1</t>
  </si>
  <si>
    <t>服务项目</t>
  </si>
  <si>
    <t>耗材</t>
  </si>
  <si>
    <t>C14020118200000</t>
  </si>
</sst>
</file>

<file path=xl/styles.xml><?xml version="1.0" encoding="utf-8"?>
<styleSheet xmlns="http://schemas.openxmlformats.org/spreadsheetml/2006/main">
  <numFmts count="5">
    <numFmt numFmtId="176" formatCode="0.00_);[Red]\(0.00\)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sz val="6.75"/>
      <color theme="1"/>
      <name val="Arial Unicode MS"/>
      <charset val="134"/>
    </font>
    <font>
      <sz val="6.75"/>
      <color theme="1"/>
      <name val="宋体"/>
      <charset val="134"/>
      <scheme val="minor"/>
    </font>
    <font>
      <b/>
      <sz val="10"/>
      <name val="仿宋"/>
      <charset val="134"/>
    </font>
    <font>
      <sz val="10"/>
      <name val="仿宋"/>
      <charset val="134"/>
    </font>
    <font>
      <sz val="18"/>
      <color theme="1"/>
      <name val="楷体"/>
      <charset val="134"/>
    </font>
    <font>
      <b/>
      <sz val="12"/>
      <name val="宋体"/>
      <charset val="134"/>
      <scheme val="major"/>
    </font>
    <font>
      <sz val="12"/>
      <name val="黑体"/>
      <charset val="134"/>
    </font>
    <font>
      <sz val="20"/>
      <name val="方正小标宋简体"/>
      <charset val="134"/>
    </font>
    <font>
      <sz val="18"/>
      <name val="楷体"/>
      <charset val="134"/>
    </font>
    <font>
      <sz val="10"/>
      <color rgb="FFC00000"/>
      <name val="仿宋"/>
      <charset val="134"/>
    </font>
    <font>
      <sz val="10"/>
      <color rgb="FFFF0000"/>
      <name val="仿宋"/>
      <charset val="134"/>
    </font>
    <font>
      <sz val="14"/>
      <color theme="1"/>
      <name val="宋体"/>
      <charset val="134"/>
      <scheme val="minor"/>
    </font>
    <font>
      <sz val="10"/>
      <color theme="1"/>
      <name val="仿宋"/>
      <charset val="134"/>
    </font>
    <font>
      <b/>
      <sz val="12"/>
      <name val="黑体"/>
      <charset val="134"/>
    </font>
    <font>
      <sz val="12"/>
      <color rgb="FFC00000"/>
      <name val="黑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0"/>
      <name val="Arial"/>
      <charset val="134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2"/>
      <name val="宋体"/>
      <charset val="134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0000"/>
      <name val="宋体"/>
      <charset val="134"/>
    </font>
    <font>
      <b/>
      <sz val="15"/>
      <color theme="3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3">
    <xf numFmtId="0" fontId="0" fillId="0" borderId="0">
      <alignment vertical="center"/>
    </xf>
    <xf numFmtId="0" fontId="29" fillId="0" borderId="0"/>
    <xf numFmtId="0" fontId="37" fillId="0" borderId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36" fillId="28" borderId="12" applyNumberFormat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3" fillId="18" borderId="12" applyNumberForma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2" fillId="24" borderId="11" applyNumberFormat="0" applyAlignment="0" applyProtection="0">
      <alignment vertical="center"/>
    </xf>
    <xf numFmtId="0" fontId="28" fillId="18" borderId="9" applyNumberFormat="0" applyAlignment="0" applyProtection="0">
      <alignment vertical="center"/>
    </xf>
    <xf numFmtId="0" fontId="38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0"/>
    <xf numFmtId="42" fontId="0" fillId="0" borderId="0" applyFont="0" applyFill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19" borderId="10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0" borderId="8" applyNumberFormat="0" applyFill="0" applyAlignment="0" applyProtection="0">
      <alignment vertical="center"/>
    </xf>
  </cellStyleXfs>
  <cellXfs count="9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4" fillId="0" borderId="1" xfId="31" applyFont="1" applyFill="1" applyBorder="1" applyAlignment="1" applyProtection="1">
      <alignment horizontal="center" vertical="center" wrapText="1"/>
      <protection locked="0"/>
    </xf>
    <xf numFmtId="43" fontId="4" fillId="0" borderId="1" xfId="34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NumberFormat="1" applyFont="1" applyFill="1" applyAlignment="1">
      <alignment vertical="center" wrapText="1"/>
    </xf>
    <xf numFmtId="0" fontId="8" fillId="0" borderId="0" xfId="0" applyNumberFormat="1" applyFont="1" applyFill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 wrapText="1"/>
    </xf>
    <xf numFmtId="0" fontId="9" fillId="0" borderId="0" xfId="0" applyFont="1" applyFill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49" fontId="5" fillId="0" borderId="6" xfId="0" applyNumberFormat="1" applyFont="1" applyFill="1" applyBorder="1" applyAlignment="1">
      <alignment horizontal="center" vertical="center" wrapText="1"/>
    </xf>
    <xf numFmtId="0" fontId="5" fillId="0" borderId="6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vertical="center" wrapText="1"/>
    </xf>
    <xf numFmtId="0" fontId="5" fillId="0" borderId="1" xfId="0" applyNumberFormat="1" applyFont="1" applyFill="1" applyBorder="1" applyAlignment="1">
      <alignment vertical="center" wrapText="1"/>
    </xf>
    <xf numFmtId="0" fontId="9" fillId="0" borderId="0" xfId="0" applyFont="1" applyFill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left" vertical="center" wrapText="1"/>
    </xf>
    <xf numFmtId="0" fontId="9" fillId="0" borderId="0" xfId="0" applyNumberFormat="1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NumberFormat="1" applyFont="1" applyFill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horizontal="center" vertical="center" wrapText="1"/>
    </xf>
    <xf numFmtId="176" fontId="5" fillId="5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5" borderId="4" xfId="0" applyNumberFormat="1" applyFont="1" applyFill="1" applyBorder="1" applyAlignment="1">
      <alignment horizontal="center" vertical="center" wrapText="1"/>
    </xf>
    <xf numFmtId="0" fontId="5" fillId="5" borderId="6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NumberFormat="1" applyFont="1" applyFill="1" applyBorder="1" applyAlignment="1">
      <alignment vertical="center" wrapText="1"/>
    </xf>
    <xf numFmtId="0" fontId="12" fillId="3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9" fontId="11" fillId="0" borderId="1" xfId="0" applyNumberFormat="1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center" wrapText="1"/>
    </xf>
    <xf numFmtId="0" fontId="13" fillId="0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NumberFormat="1" applyFont="1" applyFill="1" applyBorder="1" applyAlignment="1">
      <alignment horizontal="center" vertical="center" wrapText="1"/>
    </xf>
    <xf numFmtId="0" fontId="11" fillId="5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14" fillId="3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left" vertical="center" wrapText="1"/>
    </xf>
    <xf numFmtId="49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 wrapText="1"/>
    </xf>
    <xf numFmtId="0" fontId="15" fillId="0" borderId="0" xfId="0" applyFont="1" applyFill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vertical="center" wrapText="1"/>
    </xf>
    <xf numFmtId="0" fontId="8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vertical="center" wrapText="1"/>
    </xf>
  </cellXfs>
  <cellStyles count="53">
    <cellStyle name="常规" xfId="0" builtinId="0"/>
    <cellStyle name="汇总 2 7 23" xfId="1"/>
    <cellStyle name="常规 28" xfId="2"/>
    <cellStyle name="60% - 强调文字颜色 6" xfId="3" builtinId="52"/>
    <cellStyle name="20% - 强调文字颜色 4" xfId="4" builtinId="42"/>
    <cellStyle name="强调文字颜色 4" xfId="5" builtinId="41"/>
    <cellStyle name="输入" xfId="6" builtinId="20"/>
    <cellStyle name="40% - 强调文字颜色 3" xfId="7" builtinId="39"/>
    <cellStyle name="20% - 强调文字颜色 3" xfId="8" builtinId="38"/>
    <cellStyle name="货币" xfId="9" builtinId="4"/>
    <cellStyle name="强调文字颜色 3" xfId="10" builtinId="37"/>
    <cellStyle name="百分比" xfId="11" builtinId="5"/>
    <cellStyle name="60% - 强调文字颜色 2" xfId="12" builtinId="36"/>
    <cellStyle name="60% - 强调文字颜色 5" xfId="13" builtinId="48"/>
    <cellStyle name="强调文字颜色 2" xfId="14" builtinId="33"/>
    <cellStyle name="60% - 强调文字颜色 1" xfId="15" builtinId="32"/>
    <cellStyle name="60% - 强调文字颜色 4" xfId="16" builtinId="44"/>
    <cellStyle name="计算" xfId="17" builtinId="22"/>
    <cellStyle name="强调文字颜色 1" xfId="18" builtinId="29"/>
    <cellStyle name="适中" xfId="19" builtinId="28"/>
    <cellStyle name="20% - 强调文字颜色 5" xfId="20" builtinId="46"/>
    <cellStyle name="好" xfId="21" builtinId="26"/>
    <cellStyle name="20% - 强调文字颜色 1" xfId="22" builtinId="30"/>
    <cellStyle name="汇总" xfId="23" builtinId="25"/>
    <cellStyle name="差" xfId="24" builtinId="27"/>
    <cellStyle name="检查单元格" xfId="25" builtinId="23"/>
    <cellStyle name="输出" xfId="26" builtinId="21"/>
    <cellStyle name="标题 1" xfId="27" builtinId="16"/>
    <cellStyle name="解释性文本" xfId="28" builtinId="53"/>
    <cellStyle name="20% - 强调文字颜色 2" xfId="29" builtinId="34"/>
    <cellStyle name="标题 4" xfId="30" builtinId="19"/>
    <cellStyle name="常规 10" xfId="31"/>
    <cellStyle name="货币[0]" xfId="32" builtinId="7"/>
    <cellStyle name="40% - 强调文字颜色 4" xfId="33" builtinId="43"/>
    <cellStyle name="千位分隔" xfId="34" builtinId="3"/>
    <cellStyle name="已访问的超链接" xfId="35" builtinId="9"/>
    <cellStyle name="标题" xfId="36" builtinId="15"/>
    <cellStyle name="40% - 强调文字颜色 2" xfId="37" builtinId="35"/>
    <cellStyle name="警告文本" xfId="38" builtinId="11"/>
    <cellStyle name="60% - 强调文字颜色 3" xfId="39" builtinId="40"/>
    <cellStyle name="注释" xfId="40" builtinId="10"/>
    <cellStyle name="20% - 强调文字颜色 6" xfId="41" builtinId="50"/>
    <cellStyle name="强调文字颜色 5" xfId="42" builtinId="45"/>
    <cellStyle name="40% - 强调文字颜色 6" xfId="43" builtinId="51"/>
    <cellStyle name="超链接" xfId="44" builtinId="8"/>
    <cellStyle name="千位分隔[0]" xfId="45" builtinId="6"/>
    <cellStyle name="标题 2" xfId="46" builtinId="17"/>
    <cellStyle name="40% - 强调文字颜色 5" xfId="47" builtinId="47"/>
    <cellStyle name="标题 3" xfId="48" builtinId="18"/>
    <cellStyle name="强调文字颜色 6" xfId="49" builtinId="49"/>
    <cellStyle name="40% - 强调文字颜色 1" xfId="50" builtinId="31"/>
    <cellStyle name="常规 3" xfId="51"/>
    <cellStyle name="链接单元格" xfId="52" builtinId="24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  <color rgb="00FF0000"/>
      <color rgb="00C0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290"/>
  <sheetViews>
    <sheetView topLeftCell="F1" workbookViewId="0">
      <pane ySplit="3" topLeftCell="A280" activePane="bottomLeft" state="frozen"/>
      <selection/>
      <selection pane="bottomLeft" activeCell="U287" sqref="U287:U288"/>
    </sheetView>
  </sheetViews>
  <sheetFormatPr defaultColWidth="11.6833333333333" defaultRowHeight="15.75"/>
  <cols>
    <col min="1" max="1" width="5.44166666666667" style="23" customWidth="1"/>
    <col min="2" max="2" width="16.4666666666667" style="26" customWidth="1"/>
    <col min="3" max="3" width="21" style="23" customWidth="1"/>
    <col min="4" max="4" width="5" style="27" customWidth="1"/>
    <col min="5" max="5" width="18.75" style="28" customWidth="1"/>
    <col min="6" max="6" width="25.5" style="28" customWidth="1"/>
    <col min="7" max="7" width="6.125" style="27" customWidth="1"/>
    <col min="8" max="8" width="18.5" style="27" customWidth="1"/>
    <col min="9" max="16" width="8.125" style="27" customWidth="1"/>
    <col min="17" max="17" width="6.625" style="27" hidden="1" customWidth="1"/>
    <col min="18" max="19" width="8" style="27" hidden="1" customWidth="1"/>
    <col min="20" max="20" width="8" style="27" customWidth="1"/>
    <col min="21" max="21" width="20.25" style="28" customWidth="1"/>
    <col min="22" max="22" width="17.25" style="22" customWidth="1"/>
    <col min="23" max="23" width="11.75" style="22" customWidth="1"/>
    <col min="24" max="24" width="25" style="23" customWidth="1"/>
    <col min="25" max="25" width="31.3166666666667" style="22" hidden="1" customWidth="1"/>
    <col min="26" max="26" width="11.6833333333333" style="22" hidden="1" customWidth="1"/>
    <col min="27" max="27" width="5.625" style="23" customWidth="1"/>
    <col min="28" max="28" width="20.5" style="22" hidden="1" customWidth="1"/>
    <col min="29" max="31" width="8.25" style="23" customWidth="1"/>
    <col min="32" max="32" width="6.125" style="23" customWidth="1"/>
    <col min="33" max="33" width="30.5" style="22" customWidth="1"/>
    <col min="34" max="35" width="11.6833333333333" style="22" customWidth="1"/>
    <col min="36" max="16177" width="11.6833333333333" style="22" hidden="1" customWidth="1"/>
    <col min="16178" max="16368" width="11.6833333333333" style="25" hidden="1" customWidth="1"/>
    <col min="16369" max="16384" width="11.6833333333333" style="25"/>
  </cols>
  <sheetData>
    <row r="1" customFormat="1" ht="51" customHeight="1" spans="1:32">
      <c r="A1" s="29" t="s">
        <v>0</v>
      </c>
      <c r="B1" s="29"/>
      <c r="C1" s="29"/>
      <c r="D1" s="29"/>
      <c r="E1" s="47"/>
      <c r="F1" s="47"/>
      <c r="G1" s="29"/>
      <c r="H1" s="29"/>
      <c r="I1" s="29"/>
      <c r="J1" s="29"/>
      <c r="K1" s="49"/>
      <c r="L1" s="49"/>
      <c r="M1" s="49"/>
      <c r="N1" s="49"/>
      <c r="O1" s="49"/>
      <c r="P1" s="49"/>
      <c r="Q1" s="29"/>
      <c r="R1" s="29"/>
      <c r="S1" s="29"/>
      <c r="T1" s="29"/>
      <c r="U1" s="47"/>
      <c r="V1" s="29"/>
      <c r="W1" s="29"/>
      <c r="X1" s="29"/>
      <c r="AA1" s="69"/>
      <c r="AC1" s="69"/>
      <c r="AD1" s="69"/>
      <c r="AE1" s="69"/>
      <c r="AF1" s="69"/>
    </row>
    <row r="2" s="20" customFormat="1" ht="39" customHeight="1" spans="1:16384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66" t="s">
        <v>2</v>
      </c>
      <c r="W2" s="66"/>
      <c r="X2" s="66"/>
      <c r="Y2" s="66"/>
      <c r="Z2" s="66"/>
      <c r="AA2" s="66"/>
      <c r="AB2" s="66"/>
      <c r="AC2" s="66"/>
      <c r="AD2" s="66"/>
      <c r="AE2" s="66"/>
      <c r="AF2" s="66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88"/>
      <c r="CL2" s="88"/>
      <c r="CM2" s="88"/>
      <c r="CN2" s="88"/>
      <c r="CO2" s="88"/>
      <c r="CP2" s="88"/>
      <c r="CQ2" s="88"/>
      <c r="CR2" s="88"/>
      <c r="CS2" s="88"/>
      <c r="CT2" s="88"/>
      <c r="CU2" s="88"/>
      <c r="CV2" s="88"/>
      <c r="CW2" s="88"/>
      <c r="CX2" s="88"/>
      <c r="CY2" s="88"/>
      <c r="CZ2" s="88"/>
      <c r="DA2" s="88"/>
      <c r="DB2" s="88"/>
      <c r="DC2" s="88"/>
      <c r="DD2" s="88"/>
      <c r="DE2" s="88"/>
      <c r="DF2" s="88"/>
      <c r="DG2" s="88"/>
      <c r="DH2" s="88"/>
      <c r="DI2" s="88"/>
      <c r="DJ2" s="88"/>
      <c r="DK2" s="88"/>
      <c r="DL2" s="88"/>
      <c r="DM2" s="88"/>
      <c r="DN2" s="88"/>
      <c r="DO2" s="88"/>
      <c r="DP2" s="88"/>
      <c r="DQ2" s="88"/>
      <c r="DR2" s="88"/>
      <c r="DS2" s="88"/>
      <c r="DT2" s="88"/>
      <c r="DU2" s="88"/>
      <c r="DV2" s="88"/>
      <c r="DW2" s="88"/>
      <c r="DX2" s="88"/>
      <c r="DY2" s="88"/>
      <c r="DZ2" s="88"/>
      <c r="EA2" s="88"/>
      <c r="EB2" s="88"/>
      <c r="EC2" s="88"/>
      <c r="ED2" s="88"/>
      <c r="EE2" s="88"/>
      <c r="EF2" s="88"/>
      <c r="EG2" s="88"/>
      <c r="EH2" s="88"/>
      <c r="EI2" s="88"/>
      <c r="EJ2" s="88"/>
      <c r="EK2" s="88"/>
      <c r="EL2" s="88"/>
      <c r="EM2" s="88"/>
      <c r="EN2" s="88"/>
      <c r="EO2" s="88"/>
      <c r="EP2" s="88"/>
      <c r="EQ2" s="88"/>
      <c r="ER2" s="88"/>
      <c r="ES2" s="88"/>
      <c r="ET2" s="88"/>
      <c r="EU2" s="88"/>
      <c r="EV2" s="88"/>
      <c r="EW2" s="88"/>
      <c r="EX2" s="88"/>
      <c r="EY2" s="88"/>
      <c r="EZ2" s="88"/>
      <c r="FA2" s="88"/>
      <c r="FB2" s="88"/>
      <c r="FC2" s="88"/>
      <c r="FD2" s="88"/>
      <c r="FE2" s="88"/>
      <c r="FF2" s="88"/>
      <c r="FG2" s="88"/>
      <c r="FH2" s="88"/>
      <c r="FI2" s="88"/>
      <c r="FJ2" s="88"/>
      <c r="FK2" s="88"/>
      <c r="FL2" s="88"/>
      <c r="FM2" s="88"/>
      <c r="FN2" s="88"/>
      <c r="FO2" s="88"/>
      <c r="FP2" s="88"/>
      <c r="FQ2" s="88"/>
      <c r="FR2" s="88"/>
      <c r="FS2" s="88"/>
      <c r="FT2" s="88"/>
      <c r="FU2" s="88"/>
      <c r="FV2" s="88"/>
      <c r="FW2" s="88"/>
      <c r="FX2" s="88"/>
      <c r="FY2" s="88"/>
      <c r="FZ2" s="88"/>
      <c r="GA2" s="88"/>
      <c r="GB2" s="88"/>
      <c r="GC2" s="88"/>
      <c r="GD2" s="88"/>
      <c r="GE2" s="88"/>
      <c r="GF2" s="88"/>
      <c r="GG2" s="88"/>
      <c r="GH2" s="88"/>
      <c r="GI2" s="88"/>
      <c r="GJ2" s="88"/>
      <c r="GK2" s="88"/>
      <c r="GL2" s="88"/>
      <c r="GM2" s="88"/>
      <c r="GN2" s="88"/>
      <c r="GO2" s="88"/>
      <c r="GP2" s="88"/>
      <c r="GQ2" s="88"/>
      <c r="GR2" s="88"/>
      <c r="GS2" s="88"/>
      <c r="GT2" s="88"/>
      <c r="GU2" s="88"/>
      <c r="GV2" s="88"/>
      <c r="GW2" s="88"/>
      <c r="GX2" s="88"/>
      <c r="GY2" s="88"/>
      <c r="GZ2" s="88"/>
      <c r="HA2" s="88"/>
      <c r="HB2" s="88"/>
      <c r="HC2" s="88"/>
      <c r="HD2" s="88"/>
      <c r="HE2" s="88"/>
      <c r="HF2" s="88"/>
      <c r="HG2" s="88"/>
      <c r="HH2" s="88"/>
      <c r="HI2" s="88"/>
      <c r="HJ2" s="88"/>
      <c r="HK2" s="88"/>
      <c r="HL2" s="88"/>
      <c r="HM2" s="88"/>
      <c r="HN2" s="88"/>
      <c r="HO2" s="88"/>
      <c r="HP2" s="88"/>
      <c r="HQ2" s="88"/>
      <c r="HR2" s="88"/>
      <c r="HS2" s="88"/>
      <c r="HT2" s="88"/>
      <c r="HU2" s="88"/>
      <c r="HV2" s="88"/>
      <c r="HW2" s="88"/>
      <c r="HX2" s="88"/>
      <c r="HY2" s="88"/>
      <c r="HZ2" s="88"/>
      <c r="IA2" s="88"/>
      <c r="IB2" s="88"/>
      <c r="IC2" s="88"/>
      <c r="ID2" s="88"/>
      <c r="IE2" s="88"/>
      <c r="IF2" s="88"/>
      <c r="IG2" s="88"/>
      <c r="IH2" s="88"/>
      <c r="II2" s="88"/>
      <c r="IJ2" s="88"/>
      <c r="IK2" s="88"/>
      <c r="IL2" s="88"/>
      <c r="IM2" s="88"/>
      <c r="IN2" s="88"/>
      <c r="IO2" s="88"/>
      <c r="IP2" s="88"/>
      <c r="IQ2" s="88"/>
      <c r="IR2" s="88"/>
      <c r="IS2" s="88"/>
      <c r="IT2" s="88"/>
      <c r="IU2" s="88"/>
      <c r="IV2" s="88"/>
      <c r="IW2" s="88"/>
      <c r="IX2" s="88"/>
      <c r="IY2" s="88"/>
      <c r="IZ2" s="88"/>
      <c r="JA2" s="88"/>
      <c r="JB2" s="88"/>
      <c r="JC2" s="88"/>
      <c r="JD2" s="88"/>
      <c r="JE2" s="88"/>
      <c r="JF2" s="88"/>
      <c r="JG2" s="88"/>
      <c r="JH2" s="88"/>
      <c r="JI2" s="88"/>
      <c r="JJ2" s="88"/>
      <c r="JK2" s="88"/>
      <c r="JL2" s="88"/>
      <c r="JM2" s="88"/>
      <c r="JN2" s="88"/>
      <c r="JO2" s="88"/>
      <c r="JP2" s="88"/>
      <c r="JQ2" s="88"/>
      <c r="JR2" s="88"/>
      <c r="JS2" s="88"/>
      <c r="JT2" s="88"/>
      <c r="JU2" s="88"/>
      <c r="JV2" s="88"/>
      <c r="JW2" s="88"/>
      <c r="JX2" s="88"/>
      <c r="JY2" s="88"/>
      <c r="JZ2" s="88"/>
      <c r="KA2" s="88"/>
      <c r="KB2" s="88"/>
      <c r="KC2" s="88"/>
      <c r="KD2" s="88"/>
      <c r="KE2" s="88"/>
      <c r="KF2" s="88"/>
      <c r="KG2" s="88"/>
      <c r="KH2" s="88"/>
      <c r="KI2" s="88"/>
      <c r="KJ2" s="88"/>
      <c r="KK2" s="88"/>
      <c r="KL2" s="88"/>
      <c r="KM2" s="88"/>
      <c r="KN2" s="88"/>
      <c r="KO2" s="88"/>
      <c r="KP2" s="88"/>
      <c r="KQ2" s="88"/>
      <c r="KR2" s="88"/>
      <c r="KS2" s="88"/>
      <c r="KT2" s="88"/>
      <c r="KU2" s="88"/>
      <c r="KV2" s="88"/>
      <c r="KW2" s="88"/>
      <c r="KX2" s="88"/>
      <c r="KY2" s="88"/>
      <c r="KZ2" s="88"/>
      <c r="LA2" s="88"/>
      <c r="LB2" s="88"/>
      <c r="LC2" s="88"/>
      <c r="LD2" s="88"/>
      <c r="LE2" s="88"/>
      <c r="LF2" s="88"/>
      <c r="LG2" s="88"/>
      <c r="LH2" s="88"/>
      <c r="LI2" s="88"/>
      <c r="LJ2" s="88"/>
      <c r="LK2" s="88"/>
      <c r="LL2" s="88"/>
      <c r="LM2" s="88"/>
      <c r="LN2" s="88"/>
      <c r="LO2" s="88"/>
      <c r="LP2" s="88"/>
      <c r="LQ2" s="88"/>
      <c r="LR2" s="88"/>
      <c r="LS2" s="88"/>
      <c r="LT2" s="88"/>
      <c r="LU2" s="88"/>
      <c r="LV2" s="88"/>
      <c r="LW2" s="88"/>
      <c r="LX2" s="88"/>
      <c r="LY2" s="88"/>
      <c r="LZ2" s="88"/>
      <c r="MA2" s="88"/>
      <c r="MB2" s="88"/>
      <c r="MC2" s="88"/>
      <c r="MD2" s="88"/>
      <c r="ME2" s="88"/>
      <c r="MF2" s="88"/>
      <c r="MG2" s="88"/>
      <c r="MH2" s="88"/>
      <c r="MI2" s="88"/>
      <c r="MJ2" s="88"/>
      <c r="MK2" s="88"/>
      <c r="ML2" s="88"/>
      <c r="MM2" s="88"/>
      <c r="MN2" s="88"/>
      <c r="MO2" s="88"/>
      <c r="MP2" s="88"/>
      <c r="MQ2" s="88"/>
      <c r="MR2" s="88"/>
      <c r="MS2" s="88"/>
      <c r="MT2" s="88"/>
      <c r="MU2" s="88"/>
      <c r="MV2" s="88"/>
      <c r="MW2" s="88"/>
      <c r="MX2" s="88"/>
      <c r="MY2" s="88"/>
      <c r="MZ2" s="88"/>
      <c r="NA2" s="88"/>
      <c r="NB2" s="88"/>
      <c r="NC2" s="88"/>
      <c r="ND2" s="88"/>
      <c r="NE2" s="88"/>
      <c r="NF2" s="88"/>
      <c r="NG2" s="88"/>
      <c r="NH2" s="88"/>
      <c r="NI2" s="88"/>
      <c r="NJ2" s="88"/>
      <c r="NK2" s="88"/>
      <c r="NL2" s="88"/>
      <c r="NM2" s="88"/>
      <c r="NN2" s="88"/>
      <c r="NO2" s="88"/>
      <c r="NP2" s="88"/>
      <c r="NQ2" s="88"/>
      <c r="NR2" s="88"/>
      <c r="NS2" s="88"/>
      <c r="NT2" s="88"/>
      <c r="NU2" s="88"/>
      <c r="NV2" s="88"/>
      <c r="NW2" s="88"/>
      <c r="NX2" s="88"/>
      <c r="NY2" s="88"/>
      <c r="NZ2" s="88"/>
      <c r="OA2" s="88"/>
      <c r="OB2" s="88"/>
      <c r="OC2" s="88"/>
      <c r="OD2" s="88"/>
      <c r="OE2" s="88"/>
      <c r="OF2" s="88"/>
      <c r="OG2" s="88"/>
      <c r="OH2" s="88"/>
      <c r="OI2" s="88"/>
      <c r="OJ2" s="88"/>
      <c r="OK2" s="88"/>
      <c r="OL2" s="88"/>
      <c r="OM2" s="88"/>
      <c r="ON2" s="88"/>
      <c r="OO2" s="88"/>
      <c r="OP2" s="88"/>
      <c r="OQ2" s="88"/>
      <c r="OR2" s="88"/>
      <c r="OS2" s="88"/>
      <c r="OT2" s="88"/>
      <c r="OU2" s="88"/>
      <c r="OV2" s="88"/>
      <c r="OW2" s="88"/>
      <c r="OX2" s="88"/>
      <c r="OY2" s="88"/>
      <c r="OZ2" s="88"/>
      <c r="PA2" s="88"/>
      <c r="PB2" s="88"/>
      <c r="PC2" s="88"/>
      <c r="PD2" s="88"/>
      <c r="PE2" s="88"/>
      <c r="PF2" s="88"/>
      <c r="PG2" s="88"/>
      <c r="PH2" s="88"/>
      <c r="PI2" s="88"/>
      <c r="PJ2" s="88"/>
      <c r="PK2" s="88"/>
      <c r="PL2" s="88"/>
      <c r="PM2" s="88"/>
      <c r="PN2" s="88"/>
      <c r="PO2" s="88"/>
      <c r="PP2" s="88"/>
      <c r="PQ2" s="88"/>
      <c r="PR2" s="88"/>
      <c r="PS2" s="88"/>
      <c r="PT2" s="88"/>
      <c r="PU2" s="88"/>
      <c r="PV2" s="88"/>
      <c r="PW2" s="88"/>
      <c r="PX2" s="88"/>
      <c r="PY2" s="88"/>
      <c r="PZ2" s="88"/>
      <c r="QA2" s="88"/>
      <c r="QB2" s="88"/>
      <c r="QC2" s="88"/>
      <c r="QD2" s="88"/>
      <c r="QE2" s="88"/>
      <c r="QF2" s="88"/>
      <c r="QG2" s="88"/>
      <c r="QH2" s="88"/>
      <c r="QI2" s="88"/>
      <c r="QJ2" s="88"/>
      <c r="QK2" s="88"/>
      <c r="QL2" s="88"/>
      <c r="QM2" s="88"/>
      <c r="QN2" s="88"/>
      <c r="QO2" s="88"/>
      <c r="QP2" s="88"/>
      <c r="QQ2" s="88"/>
      <c r="QR2" s="88"/>
      <c r="QS2" s="88"/>
      <c r="QT2" s="88"/>
      <c r="QU2" s="88"/>
      <c r="QV2" s="88"/>
      <c r="QW2" s="88"/>
      <c r="QX2" s="88"/>
      <c r="QY2" s="88"/>
      <c r="QZ2" s="88"/>
      <c r="RA2" s="88"/>
      <c r="RB2" s="88"/>
      <c r="RC2" s="88"/>
      <c r="RD2" s="88"/>
      <c r="RE2" s="88"/>
      <c r="RF2" s="88"/>
      <c r="RG2" s="88"/>
      <c r="RH2" s="88"/>
      <c r="RI2" s="88"/>
      <c r="RJ2" s="88"/>
      <c r="RK2" s="88"/>
      <c r="RL2" s="88"/>
      <c r="RM2" s="88"/>
      <c r="RN2" s="88"/>
      <c r="RO2" s="88"/>
      <c r="RP2" s="88"/>
      <c r="RQ2" s="88"/>
      <c r="RR2" s="88"/>
      <c r="RS2" s="88"/>
      <c r="RT2" s="88"/>
      <c r="RU2" s="88"/>
      <c r="RV2" s="88"/>
      <c r="RW2" s="88"/>
      <c r="RX2" s="88"/>
      <c r="RY2" s="88"/>
      <c r="RZ2" s="88"/>
      <c r="SA2" s="88"/>
      <c r="SB2" s="88"/>
      <c r="SC2" s="88"/>
      <c r="SD2" s="88"/>
      <c r="SE2" s="88"/>
      <c r="SF2" s="88"/>
      <c r="SG2" s="88"/>
      <c r="SH2" s="88"/>
      <c r="SI2" s="88"/>
      <c r="SJ2" s="88"/>
      <c r="SK2" s="88"/>
      <c r="SL2" s="88"/>
      <c r="SM2" s="88"/>
      <c r="SN2" s="88"/>
      <c r="SO2" s="88"/>
      <c r="SP2" s="88"/>
      <c r="SQ2" s="88"/>
      <c r="SR2" s="88"/>
      <c r="SS2" s="88"/>
      <c r="ST2" s="88"/>
      <c r="SU2" s="88"/>
      <c r="SV2" s="88"/>
      <c r="SW2" s="88"/>
      <c r="SX2" s="88"/>
      <c r="SY2" s="88"/>
      <c r="SZ2" s="88"/>
      <c r="TA2" s="88"/>
      <c r="TB2" s="88"/>
      <c r="TC2" s="88"/>
      <c r="TD2" s="88"/>
      <c r="TE2" s="88"/>
      <c r="TF2" s="88"/>
      <c r="TG2" s="88"/>
      <c r="TH2" s="88"/>
      <c r="TI2" s="88"/>
      <c r="TJ2" s="88"/>
      <c r="TK2" s="88"/>
      <c r="TL2" s="88"/>
      <c r="TM2" s="88"/>
      <c r="TN2" s="88"/>
      <c r="TO2" s="88"/>
      <c r="TP2" s="88"/>
      <c r="TQ2" s="88"/>
      <c r="TR2" s="88"/>
      <c r="TS2" s="88"/>
      <c r="TT2" s="88"/>
      <c r="TU2" s="88"/>
      <c r="TV2" s="88"/>
      <c r="TW2" s="88"/>
      <c r="TX2" s="88"/>
      <c r="TY2" s="88"/>
      <c r="TZ2" s="88"/>
      <c r="UA2" s="88"/>
      <c r="UB2" s="88"/>
      <c r="UC2" s="88"/>
      <c r="UD2" s="88"/>
      <c r="UE2" s="88"/>
      <c r="UF2" s="88"/>
      <c r="UG2" s="88"/>
      <c r="UH2" s="88"/>
      <c r="UI2" s="88"/>
      <c r="UJ2" s="88"/>
      <c r="UK2" s="88"/>
      <c r="UL2" s="88"/>
      <c r="UM2" s="88"/>
      <c r="UN2" s="88"/>
      <c r="UO2" s="88"/>
      <c r="UP2" s="88"/>
      <c r="UQ2" s="88"/>
      <c r="UR2" s="88"/>
      <c r="US2" s="88"/>
      <c r="UT2" s="88"/>
      <c r="UU2" s="88"/>
      <c r="UV2" s="88"/>
      <c r="UW2" s="88"/>
      <c r="UX2" s="88"/>
      <c r="UY2" s="88"/>
      <c r="UZ2" s="88"/>
      <c r="VA2" s="88"/>
      <c r="VB2" s="88"/>
      <c r="VC2" s="88"/>
      <c r="VD2" s="88"/>
      <c r="VE2" s="88"/>
      <c r="VF2" s="88"/>
      <c r="VG2" s="88"/>
      <c r="VH2" s="88"/>
      <c r="VI2" s="88"/>
      <c r="VJ2" s="88"/>
      <c r="VK2" s="88"/>
      <c r="VL2" s="88"/>
      <c r="VM2" s="88"/>
      <c r="VN2" s="88"/>
      <c r="VO2" s="88"/>
      <c r="VP2" s="88"/>
      <c r="VQ2" s="88"/>
      <c r="VR2" s="88"/>
      <c r="VS2" s="88"/>
      <c r="VT2" s="88"/>
      <c r="VU2" s="88"/>
      <c r="VV2" s="88"/>
      <c r="VW2" s="88"/>
      <c r="VX2" s="88"/>
      <c r="VY2" s="88"/>
      <c r="VZ2" s="88"/>
      <c r="WA2" s="88"/>
      <c r="WB2" s="88"/>
      <c r="WC2" s="88"/>
      <c r="WD2" s="88"/>
      <c r="WE2" s="88"/>
      <c r="WF2" s="88"/>
      <c r="WG2" s="88"/>
      <c r="WH2" s="88"/>
      <c r="WI2" s="88"/>
      <c r="WJ2" s="88"/>
      <c r="WK2" s="88"/>
      <c r="WL2" s="88"/>
      <c r="WM2" s="88"/>
      <c r="WN2" s="88"/>
      <c r="WO2" s="88"/>
      <c r="WP2" s="88"/>
      <c r="WQ2" s="88"/>
      <c r="WR2" s="88"/>
      <c r="WS2" s="88"/>
      <c r="WT2" s="88"/>
      <c r="WU2" s="88"/>
      <c r="WV2" s="88"/>
      <c r="WW2" s="88"/>
      <c r="WX2" s="88"/>
      <c r="WY2" s="88"/>
      <c r="WZ2" s="88"/>
      <c r="XA2" s="88"/>
      <c r="XB2" s="88"/>
      <c r="XC2" s="88"/>
      <c r="XD2" s="88"/>
      <c r="XE2" s="88"/>
      <c r="XF2" s="88"/>
      <c r="XG2" s="88"/>
      <c r="XH2" s="88"/>
      <c r="XI2" s="88"/>
      <c r="XJ2" s="88"/>
      <c r="XK2" s="88"/>
      <c r="XL2" s="88"/>
      <c r="XM2" s="88"/>
      <c r="XN2" s="88"/>
      <c r="XO2" s="88"/>
      <c r="XP2" s="88"/>
      <c r="XQ2" s="88"/>
      <c r="XR2" s="88"/>
      <c r="XS2" s="88"/>
      <c r="XT2" s="88"/>
      <c r="XU2" s="88"/>
      <c r="XV2" s="88"/>
      <c r="XW2" s="88"/>
      <c r="XX2" s="88"/>
      <c r="XY2" s="88"/>
      <c r="XZ2" s="88"/>
      <c r="YA2" s="88"/>
      <c r="YB2" s="88"/>
      <c r="YC2" s="88"/>
      <c r="YD2" s="88"/>
      <c r="YE2" s="88"/>
      <c r="YF2" s="88"/>
      <c r="YG2" s="88"/>
      <c r="YH2" s="88"/>
      <c r="YI2" s="88"/>
      <c r="YJ2" s="88"/>
      <c r="YK2" s="88"/>
      <c r="YL2" s="88"/>
      <c r="YM2" s="88"/>
      <c r="YN2" s="88"/>
      <c r="YO2" s="88"/>
      <c r="YP2" s="88"/>
      <c r="YQ2" s="88"/>
      <c r="YR2" s="88"/>
      <c r="YS2" s="88"/>
      <c r="YT2" s="88"/>
      <c r="YU2" s="88"/>
      <c r="YV2" s="88"/>
      <c r="YW2" s="88"/>
      <c r="YX2" s="88"/>
      <c r="YY2" s="88"/>
      <c r="YZ2" s="88"/>
      <c r="ZA2" s="88"/>
      <c r="ZB2" s="88"/>
      <c r="ZC2" s="88"/>
      <c r="ZD2" s="88"/>
      <c r="ZE2" s="88"/>
      <c r="ZF2" s="88"/>
      <c r="ZG2" s="88"/>
      <c r="ZH2" s="88"/>
      <c r="ZI2" s="88"/>
      <c r="ZJ2" s="88"/>
      <c r="ZK2" s="88"/>
      <c r="ZL2" s="88"/>
      <c r="ZM2" s="88"/>
      <c r="ZN2" s="88"/>
      <c r="ZO2" s="88"/>
      <c r="ZP2" s="88"/>
      <c r="ZQ2" s="88"/>
      <c r="ZR2" s="88"/>
      <c r="ZS2" s="88"/>
      <c r="ZT2" s="88"/>
      <c r="ZU2" s="88"/>
      <c r="ZV2" s="88"/>
      <c r="ZW2" s="88"/>
      <c r="ZX2" s="88"/>
      <c r="ZY2" s="88"/>
      <c r="ZZ2" s="88"/>
      <c r="AAA2" s="88"/>
      <c r="AAB2" s="88"/>
      <c r="AAC2" s="88"/>
      <c r="AAD2" s="88"/>
      <c r="AAE2" s="88"/>
      <c r="AAF2" s="88"/>
      <c r="AAG2" s="88"/>
      <c r="AAH2" s="88"/>
      <c r="AAI2" s="88"/>
      <c r="AAJ2" s="88"/>
      <c r="AAK2" s="88"/>
      <c r="AAL2" s="88"/>
      <c r="AAM2" s="88"/>
      <c r="AAN2" s="88"/>
      <c r="AAO2" s="88"/>
      <c r="AAP2" s="88"/>
      <c r="AAQ2" s="88"/>
      <c r="AAR2" s="88"/>
      <c r="AAS2" s="88"/>
      <c r="AAT2" s="88"/>
      <c r="AAU2" s="88"/>
      <c r="AAV2" s="88"/>
      <c r="AAW2" s="88"/>
      <c r="AAX2" s="88"/>
      <c r="AAY2" s="88"/>
      <c r="AAZ2" s="88"/>
      <c r="ABA2" s="88"/>
      <c r="ABB2" s="88"/>
      <c r="ABC2" s="88"/>
      <c r="ABD2" s="88"/>
      <c r="ABE2" s="88"/>
      <c r="ABF2" s="88"/>
      <c r="ABG2" s="88"/>
      <c r="ABH2" s="88"/>
      <c r="ABI2" s="88"/>
      <c r="ABJ2" s="88"/>
      <c r="ABK2" s="88"/>
      <c r="ABL2" s="88"/>
      <c r="ABM2" s="88"/>
      <c r="ABN2" s="88"/>
      <c r="ABO2" s="88"/>
      <c r="ABP2" s="88"/>
      <c r="ABQ2" s="88"/>
      <c r="ABR2" s="88"/>
      <c r="ABS2" s="88"/>
      <c r="ABT2" s="88"/>
      <c r="ABU2" s="88"/>
      <c r="ABV2" s="88"/>
      <c r="ABW2" s="88"/>
      <c r="ABX2" s="88"/>
      <c r="ABY2" s="88"/>
      <c r="ABZ2" s="88"/>
      <c r="ACA2" s="88"/>
      <c r="ACB2" s="88"/>
      <c r="ACC2" s="88"/>
      <c r="ACD2" s="88"/>
      <c r="ACE2" s="88"/>
      <c r="ACF2" s="88"/>
      <c r="ACG2" s="88"/>
      <c r="ACH2" s="88"/>
      <c r="ACI2" s="88"/>
      <c r="ACJ2" s="88"/>
      <c r="ACK2" s="88"/>
      <c r="ACL2" s="88"/>
      <c r="ACM2" s="88"/>
      <c r="ACN2" s="88"/>
      <c r="ACO2" s="88"/>
      <c r="ACP2" s="88"/>
      <c r="ACQ2" s="88"/>
      <c r="ACR2" s="88"/>
      <c r="ACS2" s="88"/>
      <c r="ACT2" s="88"/>
      <c r="ACU2" s="88"/>
      <c r="ACV2" s="88"/>
      <c r="ACW2" s="88"/>
      <c r="ACX2" s="88"/>
      <c r="ACY2" s="88"/>
      <c r="ACZ2" s="88"/>
      <c r="ADA2" s="88"/>
      <c r="ADB2" s="88"/>
      <c r="ADC2" s="88"/>
      <c r="ADD2" s="88"/>
      <c r="ADE2" s="88"/>
      <c r="ADF2" s="88"/>
      <c r="ADG2" s="88"/>
      <c r="ADH2" s="88"/>
      <c r="ADI2" s="88"/>
      <c r="ADJ2" s="88"/>
      <c r="ADK2" s="88"/>
      <c r="ADL2" s="88"/>
      <c r="ADM2" s="88"/>
      <c r="ADN2" s="88"/>
      <c r="ADO2" s="88"/>
      <c r="ADP2" s="88"/>
      <c r="ADQ2" s="88"/>
      <c r="ADR2" s="88"/>
      <c r="ADS2" s="88"/>
      <c r="ADT2" s="88"/>
      <c r="ADU2" s="88"/>
      <c r="ADV2" s="88"/>
      <c r="ADW2" s="88"/>
      <c r="ADX2" s="88"/>
      <c r="ADY2" s="88"/>
      <c r="ADZ2" s="88"/>
      <c r="AEA2" s="88"/>
      <c r="AEB2" s="88"/>
      <c r="AEC2" s="88"/>
      <c r="AED2" s="88"/>
      <c r="AEE2" s="88"/>
      <c r="AEF2" s="88"/>
      <c r="AEG2" s="88"/>
      <c r="AEH2" s="88"/>
      <c r="AEI2" s="88"/>
      <c r="AEJ2" s="88"/>
      <c r="AEK2" s="88"/>
      <c r="AEL2" s="88"/>
      <c r="AEM2" s="88"/>
      <c r="AEN2" s="88"/>
      <c r="AEO2" s="88"/>
      <c r="AEP2" s="88"/>
      <c r="AEQ2" s="88"/>
      <c r="AER2" s="88"/>
      <c r="AES2" s="88"/>
      <c r="AET2" s="88"/>
      <c r="AEU2" s="88"/>
      <c r="AEV2" s="88"/>
      <c r="AEW2" s="88"/>
      <c r="AEX2" s="88"/>
      <c r="AEY2" s="88"/>
      <c r="AEZ2" s="88"/>
      <c r="AFA2" s="88"/>
      <c r="AFB2" s="88"/>
      <c r="AFC2" s="88"/>
      <c r="AFD2" s="88"/>
      <c r="AFE2" s="88"/>
      <c r="AFF2" s="88"/>
      <c r="AFG2" s="88"/>
      <c r="AFH2" s="88"/>
      <c r="AFI2" s="88"/>
      <c r="AFJ2" s="88"/>
      <c r="AFK2" s="88"/>
      <c r="AFL2" s="88"/>
      <c r="AFM2" s="88"/>
      <c r="AFN2" s="88"/>
      <c r="AFO2" s="88"/>
      <c r="AFP2" s="88"/>
      <c r="AFQ2" s="88"/>
      <c r="AFR2" s="88"/>
      <c r="AFS2" s="88"/>
      <c r="AFT2" s="88"/>
      <c r="AFU2" s="88"/>
      <c r="AFV2" s="88"/>
      <c r="AFW2" s="88"/>
      <c r="AFX2" s="88"/>
      <c r="AFY2" s="88"/>
      <c r="AFZ2" s="88"/>
      <c r="AGA2" s="88"/>
      <c r="AGB2" s="88"/>
      <c r="AGC2" s="88"/>
      <c r="AGD2" s="88"/>
      <c r="AGE2" s="88"/>
      <c r="AGF2" s="88"/>
      <c r="AGG2" s="88"/>
      <c r="AGH2" s="88"/>
      <c r="AGI2" s="88"/>
      <c r="AGJ2" s="88"/>
      <c r="AGK2" s="88"/>
      <c r="AGL2" s="88"/>
      <c r="AGM2" s="88"/>
      <c r="AGN2" s="88"/>
      <c r="AGO2" s="88"/>
      <c r="AGP2" s="88"/>
      <c r="AGQ2" s="88"/>
      <c r="AGR2" s="88"/>
      <c r="AGS2" s="88"/>
      <c r="AGT2" s="88"/>
      <c r="AGU2" s="88"/>
      <c r="AGV2" s="88"/>
      <c r="AGW2" s="88"/>
      <c r="AGX2" s="88"/>
      <c r="AGY2" s="88"/>
      <c r="AGZ2" s="88"/>
      <c r="AHA2" s="88"/>
      <c r="AHB2" s="88"/>
      <c r="AHC2" s="88"/>
      <c r="AHD2" s="88"/>
      <c r="AHE2" s="88"/>
      <c r="AHF2" s="88"/>
      <c r="AHG2" s="88"/>
      <c r="AHH2" s="88"/>
      <c r="AHI2" s="88"/>
      <c r="AHJ2" s="88"/>
      <c r="AHK2" s="88"/>
      <c r="AHL2" s="88"/>
      <c r="AHM2" s="88"/>
      <c r="AHN2" s="88"/>
      <c r="AHO2" s="88"/>
      <c r="AHP2" s="88"/>
      <c r="AHQ2" s="88"/>
      <c r="AHR2" s="88"/>
      <c r="AHS2" s="88"/>
      <c r="AHT2" s="88"/>
      <c r="AHU2" s="88"/>
      <c r="AHV2" s="88"/>
      <c r="AHW2" s="88"/>
      <c r="AHX2" s="88"/>
      <c r="AHY2" s="88"/>
      <c r="AHZ2" s="88"/>
      <c r="AIA2" s="88"/>
      <c r="AIB2" s="88"/>
      <c r="AIC2" s="88"/>
      <c r="AID2" s="88"/>
      <c r="AIE2" s="88"/>
      <c r="AIF2" s="88"/>
      <c r="AIG2" s="88"/>
      <c r="AIH2" s="88"/>
      <c r="AII2" s="88"/>
      <c r="AIJ2" s="88"/>
      <c r="AIK2" s="88"/>
      <c r="AIL2" s="88"/>
      <c r="AIM2" s="88"/>
      <c r="AIN2" s="88"/>
      <c r="AIO2" s="88"/>
      <c r="AIP2" s="88"/>
      <c r="AIQ2" s="88"/>
      <c r="AIR2" s="88"/>
      <c r="AIS2" s="88"/>
      <c r="AIT2" s="88"/>
      <c r="AIU2" s="88"/>
      <c r="AIV2" s="88"/>
      <c r="AIW2" s="88"/>
      <c r="AIX2" s="88"/>
      <c r="AIY2" s="88"/>
      <c r="AIZ2" s="88"/>
      <c r="AJA2" s="88"/>
      <c r="AJB2" s="88"/>
      <c r="AJC2" s="88"/>
      <c r="AJD2" s="88"/>
      <c r="AJE2" s="88"/>
      <c r="AJF2" s="88"/>
      <c r="AJG2" s="88"/>
      <c r="AJH2" s="88"/>
      <c r="AJI2" s="88"/>
      <c r="AJJ2" s="88"/>
      <c r="AJK2" s="88"/>
      <c r="AJL2" s="88"/>
      <c r="AJM2" s="88"/>
      <c r="AJN2" s="88"/>
      <c r="AJO2" s="88"/>
      <c r="AJP2" s="88"/>
      <c r="AJQ2" s="88"/>
      <c r="AJR2" s="88"/>
      <c r="AJS2" s="88"/>
      <c r="AJT2" s="88"/>
      <c r="AJU2" s="88"/>
      <c r="AJV2" s="88"/>
      <c r="AJW2" s="88"/>
      <c r="AJX2" s="88"/>
      <c r="AJY2" s="88"/>
      <c r="AJZ2" s="88"/>
      <c r="AKA2" s="88"/>
      <c r="AKB2" s="88"/>
      <c r="AKC2" s="88"/>
      <c r="AKD2" s="88"/>
      <c r="AKE2" s="88"/>
      <c r="AKF2" s="88"/>
      <c r="AKG2" s="88"/>
      <c r="AKH2" s="88"/>
      <c r="AKI2" s="88"/>
      <c r="AKJ2" s="88"/>
      <c r="AKK2" s="88"/>
      <c r="AKL2" s="88"/>
      <c r="AKM2" s="88"/>
      <c r="AKN2" s="88"/>
      <c r="AKO2" s="88"/>
      <c r="AKP2" s="88"/>
      <c r="AKQ2" s="88"/>
      <c r="AKR2" s="88"/>
      <c r="AKS2" s="88"/>
      <c r="AKT2" s="88"/>
      <c r="AKU2" s="88"/>
      <c r="AKV2" s="88"/>
      <c r="AKW2" s="88"/>
      <c r="AKX2" s="88"/>
      <c r="AKY2" s="88"/>
      <c r="AKZ2" s="88"/>
      <c r="ALA2" s="88"/>
      <c r="ALB2" s="88"/>
      <c r="ALC2" s="88"/>
      <c r="ALD2" s="88"/>
      <c r="ALE2" s="88"/>
      <c r="ALF2" s="88"/>
      <c r="ALG2" s="88"/>
      <c r="ALH2" s="88"/>
      <c r="ALI2" s="88"/>
      <c r="ALJ2" s="88"/>
      <c r="ALK2" s="88"/>
      <c r="ALL2" s="88"/>
      <c r="ALM2" s="88"/>
      <c r="ALN2" s="88"/>
      <c r="ALO2" s="88"/>
      <c r="ALP2" s="88"/>
      <c r="ALQ2" s="88"/>
      <c r="ALR2" s="88"/>
      <c r="ALS2" s="88"/>
      <c r="ALT2" s="88"/>
      <c r="ALU2" s="88"/>
      <c r="ALV2" s="88"/>
      <c r="ALW2" s="88"/>
      <c r="ALX2" s="88"/>
      <c r="ALY2" s="88"/>
      <c r="ALZ2" s="88"/>
      <c r="AMA2" s="88"/>
      <c r="AMB2" s="88"/>
      <c r="AMC2" s="88"/>
      <c r="AMD2" s="88"/>
      <c r="AME2" s="88"/>
      <c r="AMF2" s="88"/>
      <c r="AMG2" s="88"/>
      <c r="AMH2" s="88"/>
      <c r="AMI2" s="88"/>
      <c r="AMJ2" s="88"/>
      <c r="AMK2" s="88"/>
      <c r="AML2" s="88"/>
      <c r="AMM2" s="88"/>
      <c r="AMN2" s="88"/>
      <c r="AMO2" s="88"/>
      <c r="AMP2" s="88"/>
      <c r="AMQ2" s="88"/>
      <c r="AMR2" s="88"/>
      <c r="AMS2" s="88"/>
      <c r="AMT2" s="88"/>
      <c r="AMU2" s="88"/>
      <c r="AMV2" s="88"/>
      <c r="AMW2" s="88"/>
      <c r="AMX2" s="88"/>
      <c r="AMY2" s="88"/>
      <c r="AMZ2" s="88"/>
      <c r="ANA2" s="88"/>
      <c r="ANB2" s="88"/>
      <c r="ANC2" s="88"/>
      <c r="AND2" s="88"/>
      <c r="ANE2" s="88"/>
      <c r="ANF2" s="88"/>
      <c r="ANG2" s="88"/>
      <c r="ANH2" s="88"/>
      <c r="ANI2" s="88"/>
      <c r="ANJ2" s="88"/>
      <c r="ANK2" s="88"/>
      <c r="ANL2" s="88"/>
      <c r="ANM2" s="88"/>
      <c r="ANN2" s="88"/>
      <c r="ANO2" s="88"/>
      <c r="ANP2" s="88"/>
      <c r="ANQ2" s="88"/>
      <c r="ANR2" s="88"/>
      <c r="ANS2" s="88"/>
      <c r="ANT2" s="88"/>
      <c r="ANU2" s="88"/>
      <c r="ANV2" s="88"/>
      <c r="ANW2" s="88"/>
      <c r="ANX2" s="88"/>
      <c r="ANY2" s="88"/>
      <c r="ANZ2" s="88"/>
      <c r="AOA2" s="88"/>
      <c r="AOB2" s="88"/>
      <c r="AOC2" s="88"/>
      <c r="AOD2" s="88"/>
      <c r="AOE2" s="88"/>
      <c r="AOF2" s="88"/>
      <c r="AOG2" s="88"/>
      <c r="AOH2" s="88"/>
      <c r="AOI2" s="88"/>
      <c r="AOJ2" s="88"/>
      <c r="AOK2" s="88"/>
      <c r="AOL2" s="88"/>
      <c r="AOM2" s="88"/>
      <c r="AON2" s="88"/>
      <c r="AOO2" s="88"/>
      <c r="AOP2" s="88"/>
      <c r="AOQ2" s="88"/>
      <c r="AOR2" s="88"/>
      <c r="AOS2" s="88"/>
      <c r="AOT2" s="88"/>
      <c r="AOU2" s="88"/>
      <c r="AOV2" s="88"/>
      <c r="AOW2" s="88"/>
      <c r="AOX2" s="88"/>
      <c r="AOY2" s="88"/>
      <c r="AOZ2" s="88"/>
      <c r="APA2" s="88"/>
      <c r="APB2" s="88"/>
      <c r="APC2" s="88"/>
      <c r="APD2" s="88"/>
      <c r="APE2" s="88"/>
      <c r="APF2" s="88"/>
      <c r="APG2" s="88"/>
      <c r="APH2" s="88"/>
      <c r="API2" s="88"/>
      <c r="APJ2" s="88"/>
      <c r="APK2" s="88"/>
      <c r="APL2" s="88"/>
      <c r="APM2" s="88"/>
      <c r="APN2" s="88"/>
      <c r="APO2" s="88"/>
      <c r="APP2" s="88"/>
      <c r="APQ2" s="88"/>
      <c r="APR2" s="88"/>
      <c r="APS2" s="88"/>
      <c r="APT2" s="88"/>
      <c r="APU2" s="88"/>
      <c r="APV2" s="88"/>
      <c r="APW2" s="88"/>
      <c r="APX2" s="88"/>
      <c r="APY2" s="88"/>
      <c r="APZ2" s="88"/>
      <c r="AQA2" s="88"/>
      <c r="AQB2" s="88"/>
      <c r="AQC2" s="88"/>
      <c r="AQD2" s="88"/>
      <c r="AQE2" s="88"/>
      <c r="AQF2" s="88"/>
      <c r="AQG2" s="88"/>
      <c r="AQH2" s="88"/>
      <c r="AQI2" s="88"/>
      <c r="AQJ2" s="88"/>
      <c r="AQK2" s="88"/>
      <c r="AQL2" s="88"/>
      <c r="AQM2" s="88"/>
      <c r="AQN2" s="88"/>
      <c r="AQO2" s="88"/>
      <c r="AQP2" s="88"/>
      <c r="AQQ2" s="88"/>
      <c r="AQR2" s="88"/>
      <c r="AQS2" s="88"/>
      <c r="AQT2" s="88"/>
      <c r="AQU2" s="88"/>
      <c r="AQV2" s="88"/>
      <c r="AQW2" s="88"/>
      <c r="AQX2" s="88"/>
      <c r="AQY2" s="88"/>
      <c r="AQZ2" s="88"/>
      <c r="ARA2" s="88"/>
      <c r="ARB2" s="88"/>
      <c r="ARC2" s="88"/>
      <c r="ARD2" s="88"/>
      <c r="ARE2" s="88"/>
      <c r="ARF2" s="88"/>
      <c r="ARG2" s="88"/>
      <c r="ARH2" s="88"/>
      <c r="ARI2" s="88"/>
      <c r="ARJ2" s="88"/>
      <c r="ARK2" s="88"/>
      <c r="ARL2" s="88"/>
      <c r="ARM2" s="88"/>
      <c r="ARN2" s="88"/>
      <c r="ARO2" s="88"/>
      <c r="ARP2" s="88"/>
      <c r="ARQ2" s="88"/>
      <c r="ARR2" s="88"/>
      <c r="ARS2" s="88"/>
      <c r="ART2" s="88"/>
      <c r="ARU2" s="88"/>
      <c r="ARV2" s="88"/>
      <c r="ARW2" s="88"/>
      <c r="ARX2" s="88"/>
      <c r="ARY2" s="88"/>
      <c r="ARZ2" s="88"/>
      <c r="ASA2" s="88"/>
      <c r="ASB2" s="88"/>
      <c r="ASC2" s="88"/>
      <c r="ASD2" s="88"/>
      <c r="ASE2" s="88"/>
      <c r="ASF2" s="88"/>
      <c r="ASG2" s="88"/>
      <c r="ASH2" s="88"/>
      <c r="ASI2" s="88"/>
      <c r="ASJ2" s="88"/>
      <c r="ASK2" s="88"/>
      <c r="ASL2" s="88"/>
      <c r="ASM2" s="88"/>
      <c r="ASN2" s="88"/>
      <c r="ASO2" s="88"/>
      <c r="ASP2" s="88"/>
      <c r="ASQ2" s="88"/>
      <c r="ASR2" s="88"/>
      <c r="ASS2" s="88"/>
      <c r="AST2" s="88"/>
      <c r="ASU2" s="88"/>
      <c r="ASV2" s="88"/>
      <c r="ASW2" s="88"/>
      <c r="ASX2" s="88"/>
      <c r="ASY2" s="88"/>
      <c r="ASZ2" s="88"/>
      <c r="ATA2" s="88"/>
      <c r="ATB2" s="88"/>
      <c r="ATC2" s="88"/>
      <c r="ATD2" s="88"/>
      <c r="ATE2" s="88"/>
      <c r="ATF2" s="88"/>
      <c r="ATG2" s="88"/>
      <c r="ATH2" s="88"/>
      <c r="ATI2" s="88"/>
      <c r="ATJ2" s="88"/>
      <c r="ATK2" s="88"/>
      <c r="ATL2" s="88"/>
      <c r="ATM2" s="88"/>
      <c r="ATN2" s="88"/>
      <c r="ATO2" s="88"/>
      <c r="ATP2" s="88"/>
      <c r="ATQ2" s="88"/>
      <c r="ATR2" s="88"/>
      <c r="ATS2" s="88"/>
      <c r="ATT2" s="88"/>
      <c r="ATU2" s="88"/>
      <c r="ATV2" s="88"/>
      <c r="ATW2" s="88"/>
      <c r="ATX2" s="88"/>
      <c r="ATY2" s="88"/>
      <c r="ATZ2" s="88"/>
      <c r="AUA2" s="88"/>
      <c r="AUB2" s="88"/>
      <c r="AUC2" s="88"/>
      <c r="AUD2" s="88"/>
      <c r="AUE2" s="88"/>
      <c r="AUF2" s="88"/>
      <c r="AUG2" s="88"/>
      <c r="AUH2" s="88"/>
      <c r="AUI2" s="88"/>
      <c r="AUJ2" s="88"/>
      <c r="AUK2" s="88"/>
      <c r="AUL2" s="88"/>
      <c r="AUM2" s="88"/>
      <c r="AUN2" s="88"/>
      <c r="AUO2" s="88"/>
      <c r="AUP2" s="88"/>
      <c r="AUQ2" s="88"/>
      <c r="AUR2" s="88"/>
      <c r="AUS2" s="88"/>
      <c r="AUT2" s="88"/>
      <c r="AUU2" s="88"/>
      <c r="AUV2" s="88"/>
      <c r="AUW2" s="88"/>
      <c r="AUX2" s="88"/>
      <c r="AUY2" s="88"/>
      <c r="AUZ2" s="88"/>
      <c r="AVA2" s="88"/>
      <c r="AVB2" s="88"/>
      <c r="AVC2" s="88"/>
      <c r="AVD2" s="88"/>
      <c r="AVE2" s="88"/>
      <c r="AVF2" s="88"/>
      <c r="AVG2" s="88"/>
      <c r="AVH2" s="88"/>
      <c r="AVI2" s="88"/>
      <c r="AVJ2" s="88"/>
      <c r="AVK2" s="88"/>
      <c r="AVL2" s="88"/>
      <c r="AVM2" s="88"/>
      <c r="AVN2" s="88"/>
      <c r="AVO2" s="88"/>
      <c r="AVP2" s="88"/>
      <c r="AVQ2" s="88"/>
      <c r="AVR2" s="88"/>
      <c r="AVS2" s="88"/>
      <c r="AVT2" s="88"/>
      <c r="AVU2" s="88"/>
      <c r="AVV2" s="88"/>
      <c r="AVW2" s="88"/>
      <c r="AVX2" s="88"/>
      <c r="AVY2" s="88"/>
      <c r="AVZ2" s="88"/>
      <c r="AWA2" s="88"/>
      <c r="AWB2" s="88"/>
      <c r="AWC2" s="88"/>
      <c r="AWD2" s="88"/>
      <c r="AWE2" s="88"/>
      <c r="AWF2" s="88"/>
      <c r="AWG2" s="88"/>
      <c r="AWH2" s="88"/>
      <c r="AWI2" s="88"/>
      <c r="AWJ2" s="88"/>
      <c r="AWK2" s="88"/>
      <c r="AWL2" s="88"/>
      <c r="AWM2" s="88"/>
      <c r="AWN2" s="88"/>
      <c r="AWO2" s="88"/>
      <c r="AWP2" s="88"/>
      <c r="AWQ2" s="88"/>
      <c r="AWR2" s="88"/>
      <c r="AWS2" s="88"/>
      <c r="AWT2" s="88"/>
      <c r="AWU2" s="88"/>
      <c r="AWV2" s="88"/>
      <c r="AWW2" s="88"/>
      <c r="AWX2" s="88"/>
      <c r="AWY2" s="88"/>
      <c r="AWZ2" s="88"/>
      <c r="AXA2" s="88"/>
      <c r="AXB2" s="88"/>
      <c r="AXC2" s="88"/>
      <c r="AXD2" s="88"/>
      <c r="AXE2" s="88"/>
      <c r="AXF2" s="88"/>
      <c r="AXG2" s="88"/>
      <c r="AXH2" s="88"/>
      <c r="AXI2" s="88"/>
      <c r="AXJ2" s="88"/>
      <c r="AXK2" s="88"/>
      <c r="AXL2" s="88"/>
      <c r="AXM2" s="88"/>
      <c r="AXN2" s="88"/>
      <c r="AXO2" s="88"/>
      <c r="AXP2" s="88"/>
      <c r="AXQ2" s="88"/>
      <c r="AXR2" s="88"/>
      <c r="AXS2" s="88"/>
      <c r="AXT2" s="88"/>
      <c r="AXU2" s="88"/>
      <c r="AXV2" s="88"/>
      <c r="AXW2" s="88"/>
      <c r="AXX2" s="88"/>
      <c r="AXY2" s="88"/>
      <c r="AXZ2" s="88"/>
      <c r="AYA2" s="88"/>
      <c r="AYB2" s="88"/>
      <c r="AYC2" s="88"/>
      <c r="AYD2" s="88"/>
      <c r="AYE2" s="88"/>
      <c r="AYF2" s="88"/>
      <c r="AYG2" s="88"/>
      <c r="AYH2" s="88"/>
      <c r="AYI2" s="88"/>
      <c r="AYJ2" s="88"/>
      <c r="AYK2" s="88"/>
      <c r="AYL2" s="88"/>
      <c r="AYM2" s="88"/>
      <c r="AYN2" s="88"/>
      <c r="AYO2" s="88"/>
      <c r="AYP2" s="88"/>
      <c r="AYQ2" s="88"/>
      <c r="AYR2" s="88"/>
      <c r="AYS2" s="88"/>
      <c r="AYT2" s="88"/>
      <c r="AYU2" s="88"/>
      <c r="AYV2" s="88"/>
      <c r="AYW2" s="88"/>
      <c r="AYX2" s="88"/>
      <c r="AYY2" s="88"/>
      <c r="AYZ2" s="88"/>
      <c r="AZA2" s="88"/>
      <c r="AZB2" s="88"/>
      <c r="AZC2" s="88"/>
      <c r="AZD2" s="88"/>
      <c r="AZE2" s="88"/>
      <c r="AZF2" s="88"/>
      <c r="AZG2" s="88"/>
      <c r="AZH2" s="88"/>
      <c r="AZI2" s="88"/>
      <c r="AZJ2" s="88"/>
      <c r="AZK2" s="88"/>
      <c r="AZL2" s="88"/>
      <c r="AZM2" s="88"/>
      <c r="AZN2" s="88"/>
      <c r="AZO2" s="88"/>
      <c r="AZP2" s="88"/>
      <c r="AZQ2" s="88"/>
      <c r="AZR2" s="88"/>
      <c r="AZS2" s="88"/>
      <c r="AZT2" s="88"/>
      <c r="AZU2" s="88"/>
      <c r="AZV2" s="88"/>
      <c r="AZW2" s="88"/>
      <c r="AZX2" s="88"/>
      <c r="AZY2" s="88"/>
      <c r="AZZ2" s="88"/>
      <c r="BAA2" s="88"/>
      <c r="BAB2" s="88"/>
      <c r="BAC2" s="88"/>
      <c r="BAD2" s="88"/>
      <c r="BAE2" s="88"/>
      <c r="BAF2" s="88"/>
      <c r="BAG2" s="88"/>
      <c r="BAH2" s="88"/>
      <c r="BAI2" s="88"/>
      <c r="BAJ2" s="88"/>
      <c r="BAK2" s="88"/>
      <c r="BAL2" s="88"/>
      <c r="BAM2" s="88"/>
      <c r="BAN2" s="88"/>
      <c r="BAO2" s="88"/>
      <c r="BAP2" s="88"/>
      <c r="BAQ2" s="88"/>
      <c r="BAR2" s="88"/>
      <c r="BAS2" s="88"/>
      <c r="BAT2" s="88"/>
      <c r="BAU2" s="88"/>
      <c r="BAV2" s="88"/>
      <c r="BAW2" s="88"/>
      <c r="BAX2" s="88"/>
      <c r="BAY2" s="88"/>
      <c r="BAZ2" s="88"/>
      <c r="BBA2" s="88"/>
      <c r="BBB2" s="88"/>
      <c r="BBC2" s="88"/>
      <c r="BBD2" s="88"/>
      <c r="BBE2" s="88"/>
      <c r="BBF2" s="88"/>
      <c r="BBG2" s="88"/>
      <c r="BBH2" s="88"/>
      <c r="BBI2" s="88"/>
      <c r="BBJ2" s="88"/>
      <c r="BBK2" s="88"/>
      <c r="BBL2" s="88"/>
      <c r="BBM2" s="88"/>
      <c r="BBN2" s="88"/>
      <c r="BBO2" s="88"/>
      <c r="BBP2" s="88"/>
      <c r="BBQ2" s="88"/>
      <c r="BBR2" s="88"/>
      <c r="BBS2" s="88"/>
      <c r="BBT2" s="88"/>
      <c r="BBU2" s="88"/>
      <c r="BBV2" s="88"/>
      <c r="BBW2" s="88"/>
      <c r="BBX2" s="88"/>
      <c r="BBY2" s="88"/>
      <c r="BBZ2" s="88"/>
      <c r="BCA2" s="88"/>
      <c r="BCB2" s="88"/>
      <c r="BCC2" s="88"/>
      <c r="BCD2" s="88"/>
      <c r="BCE2" s="88"/>
      <c r="BCF2" s="88"/>
      <c r="BCG2" s="88"/>
      <c r="BCH2" s="88"/>
      <c r="BCI2" s="88"/>
      <c r="BCJ2" s="88"/>
      <c r="BCK2" s="88"/>
      <c r="BCL2" s="88"/>
      <c r="BCM2" s="88"/>
      <c r="BCN2" s="88"/>
      <c r="BCO2" s="88"/>
      <c r="BCP2" s="88"/>
      <c r="BCQ2" s="88"/>
      <c r="BCR2" s="88"/>
      <c r="BCS2" s="88"/>
      <c r="BCT2" s="88"/>
      <c r="BCU2" s="88"/>
      <c r="BCV2" s="88"/>
      <c r="BCW2" s="88"/>
      <c r="BCX2" s="88"/>
      <c r="BCY2" s="88"/>
      <c r="BCZ2" s="88"/>
      <c r="BDA2" s="88"/>
      <c r="BDB2" s="88"/>
      <c r="BDC2" s="88"/>
      <c r="BDD2" s="88"/>
      <c r="BDE2" s="88"/>
      <c r="BDF2" s="88"/>
      <c r="BDG2" s="88"/>
      <c r="BDH2" s="88"/>
      <c r="BDI2" s="88"/>
      <c r="BDJ2" s="88"/>
      <c r="BDK2" s="88"/>
      <c r="BDL2" s="88"/>
      <c r="BDM2" s="88"/>
      <c r="BDN2" s="88"/>
      <c r="BDO2" s="88"/>
      <c r="BDP2" s="88"/>
      <c r="BDQ2" s="88"/>
      <c r="BDR2" s="88"/>
      <c r="BDS2" s="88"/>
      <c r="BDT2" s="88"/>
      <c r="BDU2" s="88"/>
      <c r="BDV2" s="88"/>
      <c r="BDW2" s="88"/>
      <c r="BDX2" s="88"/>
      <c r="BDY2" s="88"/>
      <c r="BDZ2" s="88"/>
      <c r="BEA2" s="88"/>
      <c r="BEB2" s="88"/>
      <c r="BEC2" s="88"/>
      <c r="BED2" s="88"/>
      <c r="BEE2" s="88"/>
      <c r="BEF2" s="88"/>
      <c r="BEG2" s="88"/>
      <c r="BEH2" s="88"/>
      <c r="BEI2" s="88"/>
      <c r="BEJ2" s="88"/>
      <c r="BEK2" s="88"/>
      <c r="BEL2" s="88"/>
      <c r="BEM2" s="88"/>
      <c r="BEN2" s="88"/>
      <c r="BEO2" s="88"/>
      <c r="BEP2" s="88"/>
      <c r="BEQ2" s="88"/>
      <c r="BER2" s="88"/>
      <c r="BES2" s="88"/>
      <c r="BET2" s="88"/>
      <c r="BEU2" s="88"/>
      <c r="BEV2" s="88"/>
      <c r="BEW2" s="88"/>
      <c r="BEX2" s="88"/>
      <c r="BEY2" s="88"/>
      <c r="BEZ2" s="88"/>
      <c r="BFA2" s="88"/>
      <c r="BFB2" s="88"/>
      <c r="BFC2" s="88"/>
      <c r="BFD2" s="88"/>
      <c r="BFE2" s="88"/>
      <c r="BFF2" s="88"/>
      <c r="BFG2" s="88"/>
      <c r="BFH2" s="88"/>
      <c r="BFI2" s="88"/>
      <c r="BFJ2" s="88"/>
      <c r="BFK2" s="88"/>
      <c r="BFL2" s="88"/>
      <c r="BFM2" s="88"/>
      <c r="BFN2" s="88"/>
      <c r="BFO2" s="88"/>
      <c r="BFP2" s="88"/>
      <c r="BFQ2" s="88"/>
      <c r="BFR2" s="88"/>
      <c r="BFS2" s="88"/>
      <c r="BFT2" s="88"/>
      <c r="BFU2" s="88"/>
      <c r="BFV2" s="88"/>
      <c r="BFW2" s="88"/>
      <c r="BFX2" s="88"/>
      <c r="BFY2" s="88"/>
      <c r="BFZ2" s="88"/>
      <c r="BGA2" s="88"/>
      <c r="BGB2" s="88"/>
      <c r="BGC2" s="88"/>
      <c r="BGD2" s="88"/>
      <c r="BGE2" s="88"/>
      <c r="BGF2" s="88"/>
      <c r="BGG2" s="88"/>
      <c r="BGH2" s="88"/>
      <c r="BGI2" s="88"/>
      <c r="BGJ2" s="88"/>
      <c r="BGK2" s="88"/>
      <c r="BGL2" s="88"/>
      <c r="BGM2" s="88"/>
      <c r="BGN2" s="88"/>
      <c r="BGO2" s="88"/>
      <c r="BGP2" s="88"/>
      <c r="BGQ2" s="88"/>
      <c r="BGR2" s="88"/>
      <c r="BGS2" s="88"/>
      <c r="BGT2" s="88"/>
      <c r="BGU2" s="88"/>
      <c r="BGV2" s="88"/>
      <c r="BGW2" s="88"/>
      <c r="BGX2" s="88"/>
      <c r="BGY2" s="88"/>
      <c r="BGZ2" s="88"/>
      <c r="BHA2" s="88"/>
      <c r="BHB2" s="88"/>
      <c r="BHC2" s="88"/>
      <c r="BHD2" s="88"/>
      <c r="BHE2" s="88"/>
      <c r="BHF2" s="88"/>
      <c r="BHG2" s="88"/>
      <c r="BHH2" s="88"/>
      <c r="BHI2" s="88"/>
      <c r="BHJ2" s="88"/>
      <c r="BHK2" s="88"/>
      <c r="BHL2" s="88"/>
      <c r="BHM2" s="88"/>
      <c r="BHN2" s="88"/>
      <c r="BHO2" s="88"/>
      <c r="BHP2" s="88"/>
      <c r="BHQ2" s="88"/>
      <c r="BHR2" s="88"/>
      <c r="BHS2" s="88"/>
      <c r="BHT2" s="88"/>
      <c r="BHU2" s="88"/>
      <c r="BHV2" s="88"/>
      <c r="BHW2" s="88"/>
      <c r="BHX2" s="88"/>
      <c r="BHY2" s="88"/>
      <c r="BHZ2" s="88"/>
      <c r="BIA2" s="88"/>
      <c r="BIB2" s="88"/>
      <c r="BIC2" s="88"/>
      <c r="BID2" s="88"/>
      <c r="BIE2" s="88"/>
      <c r="BIF2" s="88"/>
      <c r="BIG2" s="88"/>
      <c r="BIH2" s="88"/>
      <c r="BII2" s="88"/>
      <c r="BIJ2" s="88"/>
      <c r="BIK2" s="88"/>
      <c r="BIL2" s="88"/>
      <c r="BIM2" s="88"/>
      <c r="BIN2" s="88"/>
      <c r="BIO2" s="88"/>
      <c r="BIP2" s="88"/>
      <c r="BIQ2" s="88"/>
      <c r="BIR2" s="88"/>
      <c r="BIS2" s="88"/>
      <c r="BIT2" s="88"/>
      <c r="BIU2" s="88"/>
      <c r="BIV2" s="88"/>
      <c r="BIW2" s="88"/>
      <c r="BIX2" s="88"/>
      <c r="BIY2" s="88"/>
      <c r="BIZ2" s="88"/>
      <c r="BJA2" s="88"/>
      <c r="BJB2" s="88"/>
      <c r="BJC2" s="88"/>
      <c r="BJD2" s="88"/>
      <c r="BJE2" s="88"/>
      <c r="BJF2" s="88"/>
      <c r="BJG2" s="88"/>
      <c r="BJH2" s="88"/>
      <c r="BJI2" s="88"/>
      <c r="BJJ2" s="88"/>
      <c r="BJK2" s="88"/>
      <c r="BJL2" s="88"/>
      <c r="BJM2" s="88"/>
      <c r="BJN2" s="88"/>
      <c r="BJO2" s="88"/>
      <c r="BJP2" s="88"/>
      <c r="BJQ2" s="88"/>
      <c r="BJR2" s="88"/>
      <c r="BJS2" s="88"/>
      <c r="BJT2" s="88"/>
      <c r="BJU2" s="88"/>
      <c r="BJV2" s="88"/>
      <c r="BJW2" s="88"/>
      <c r="BJX2" s="88"/>
      <c r="BJY2" s="88"/>
      <c r="BJZ2" s="88"/>
      <c r="BKA2" s="88"/>
      <c r="BKB2" s="88"/>
      <c r="BKC2" s="88"/>
      <c r="BKD2" s="88"/>
      <c r="BKE2" s="88"/>
      <c r="BKF2" s="88"/>
      <c r="BKG2" s="88"/>
      <c r="BKH2" s="88"/>
      <c r="BKI2" s="88"/>
      <c r="BKJ2" s="88"/>
      <c r="BKK2" s="88"/>
      <c r="BKL2" s="88"/>
      <c r="BKM2" s="88"/>
      <c r="BKN2" s="88"/>
      <c r="BKO2" s="88"/>
      <c r="BKP2" s="88"/>
      <c r="BKQ2" s="88"/>
      <c r="BKR2" s="88"/>
      <c r="BKS2" s="88"/>
      <c r="BKT2" s="88"/>
      <c r="BKU2" s="88"/>
      <c r="BKV2" s="88"/>
      <c r="BKW2" s="88"/>
      <c r="BKX2" s="88"/>
      <c r="BKY2" s="88"/>
      <c r="BKZ2" s="88"/>
      <c r="BLA2" s="88"/>
      <c r="BLB2" s="88"/>
      <c r="BLC2" s="88"/>
      <c r="BLD2" s="88"/>
      <c r="BLE2" s="88"/>
      <c r="BLF2" s="88"/>
      <c r="BLG2" s="88"/>
      <c r="BLH2" s="88"/>
      <c r="BLI2" s="88"/>
      <c r="BLJ2" s="88"/>
      <c r="BLK2" s="88"/>
      <c r="BLL2" s="88"/>
      <c r="BLM2" s="88"/>
      <c r="BLN2" s="88"/>
      <c r="BLO2" s="88"/>
      <c r="BLP2" s="88"/>
      <c r="BLQ2" s="88"/>
      <c r="BLR2" s="88"/>
      <c r="BLS2" s="88"/>
      <c r="BLT2" s="88"/>
      <c r="BLU2" s="88"/>
      <c r="BLV2" s="88"/>
      <c r="BLW2" s="88"/>
      <c r="BLX2" s="88"/>
      <c r="BLY2" s="88"/>
      <c r="BLZ2" s="88"/>
      <c r="BMA2" s="88"/>
      <c r="BMB2" s="88"/>
      <c r="BMC2" s="88"/>
      <c r="BMD2" s="88"/>
      <c r="BME2" s="88"/>
      <c r="BMF2" s="88"/>
      <c r="BMG2" s="88"/>
      <c r="BMH2" s="88"/>
      <c r="BMI2" s="88"/>
      <c r="BMJ2" s="88"/>
      <c r="BMK2" s="88"/>
      <c r="BML2" s="88"/>
      <c r="BMM2" s="88"/>
      <c r="BMN2" s="88"/>
      <c r="BMO2" s="88"/>
      <c r="BMP2" s="88"/>
      <c r="BMQ2" s="88"/>
      <c r="BMR2" s="88"/>
      <c r="BMS2" s="88"/>
      <c r="BMT2" s="88"/>
      <c r="BMU2" s="88"/>
      <c r="BMV2" s="88"/>
      <c r="BMW2" s="88"/>
      <c r="BMX2" s="88"/>
      <c r="BMY2" s="88"/>
      <c r="BMZ2" s="88"/>
      <c r="BNA2" s="88"/>
      <c r="BNB2" s="88"/>
      <c r="BNC2" s="88"/>
      <c r="BND2" s="88"/>
      <c r="BNE2" s="88"/>
      <c r="BNF2" s="88"/>
      <c r="BNG2" s="88"/>
      <c r="BNH2" s="88"/>
      <c r="BNI2" s="88"/>
      <c r="BNJ2" s="88"/>
      <c r="BNK2" s="88"/>
      <c r="BNL2" s="88"/>
      <c r="BNM2" s="88"/>
      <c r="BNN2" s="88"/>
      <c r="BNO2" s="88"/>
      <c r="BNP2" s="88"/>
      <c r="BNQ2" s="88"/>
      <c r="BNR2" s="88"/>
      <c r="BNS2" s="88"/>
      <c r="BNT2" s="88"/>
      <c r="BNU2" s="88"/>
      <c r="BNV2" s="88"/>
      <c r="BNW2" s="88"/>
      <c r="BNX2" s="88"/>
      <c r="BNY2" s="88"/>
      <c r="BNZ2" s="88"/>
      <c r="BOA2" s="88"/>
      <c r="BOB2" s="88"/>
      <c r="BOC2" s="88"/>
      <c r="BOD2" s="88"/>
      <c r="BOE2" s="88"/>
      <c r="BOF2" s="88"/>
      <c r="BOG2" s="88"/>
      <c r="BOH2" s="88"/>
      <c r="BOI2" s="88"/>
      <c r="BOJ2" s="88"/>
      <c r="BOK2" s="88"/>
      <c r="BOL2" s="88"/>
      <c r="BOM2" s="88"/>
      <c r="BON2" s="88"/>
      <c r="BOO2" s="88"/>
      <c r="BOP2" s="88"/>
      <c r="BOQ2" s="88"/>
      <c r="BOR2" s="88"/>
      <c r="BOS2" s="88"/>
      <c r="BOT2" s="88"/>
      <c r="BOU2" s="88"/>
      <c r="BOV2" s="88"/>
      <c r="BOW2" s="88"/>
      <c r="BOX2" s="88"/>
      <c r="BOY2" s="88"/>
      <c r="BOZ2" s="88"/>
      <c r="BPA2" s="88"/>
      <c r="BPB2" s="88"/>
      <c r="BPC2" s="88"/>
      <c r="BPD2" s="88"/>
      <c r="BPE2" s="88"/>
      <c r="BPF2" s="88"/>
      <c r="BPG2" s="88"/>
      <c r="BPH2" s="88"/>
      <c r="BPI2" s="88"/>
      <c r="BPJ2" s="88"/>
      <c r="BPK2" s="88"/>
      <c r="BPL2" s="88"/>
      <c r="BPM2" s="88"/>
      <c r="BPN2" s="88"/>
      <c r="BPO2" s="88"/>
      <c r="BPP2" s="88"/>
      <c r="BPQ2" s="88"/>
      <c r="BPR2" s="88"/>
      <c r="BPS2" s="88"/>
      <c r="BPT2" s="88"/>
      <c r="BPU2" s="88"/>
      <c r="BPV2" s="88"/>
      <c r="BPW2" s="88"/>
      <c r="BPX2" s="88"/>
      <c r="BPY2" s="88"/>
      <c r="BPZ2" s="88"/>
      <c r="BQA2" s="88"/>
      <c r="BQB2" s="88"/>
      <c r="BQC2" s="88"/>
      <c r="BQD2" s="88"/>
      <c r="BQE2" s="88"/>
      <c r="BQF2" s="88"/>
      <c r="BQG2" s="88"/>
      <c r="BQH2" s="88"/>
      <c r="BQI2" s="88"/>
      <c r="BQJ2" s="88"/>
      <c r="BQK2" s="88"/>
      <c r="BQL2" s="88"/>
      <c r="BQM2" s="88"/>
      <c r="BQN2" s="88"/>
      <c r="BQO2" s="88"/>
      <c r="BQP2" s="88"/>
      <c r="BQQ2" s="88"/>
      <c r="BQR2" s="88"/>
      <c r="BQS2" s="88"/>
      <c r="BQT2" s="88"/>
      <c r="BQU2" s="88"/>
      <c r="BQV2" s="88"/>
      <c r="BQW2" s="88"/>
      <c r="BQX2" s="88"/>
      <c r="BQY2" s="88"/>
      <c r="BQZ2" s="88"/>
      <c r="BRA2" s="88"/>
      <c r="BRB2" s="88"/>
      <c r="BRC2" s="88"/>
      <c r="BRD2" s="88"/>
      <c r="BRE2" s="88"/>
      <c r="BRF2" s="88"/>
      <c r="BRG2" s="88"/>
      <c r="BRH2" s="88"/>
      <c r="BRI2" s="88"/>
      <c r="BRJ2" s="88"/>
      <c r="BRK2" s="88"/>
      <c r="BRL2" s="88"/>
      <c r="BRM2" s="88"/>
      <c r="BRN2" s="88"/>
      <c r="BRO2" s="88"/>
      <c r="BRP2" s="88"/>
      <c r="BRQ2" s="88"/>
      <c r="BRR2" s="88"/>
      <c r="BRS2" s="88"/>
      <c r="BRT2" s="88"/>
      <c r="BRU2" s="88"/>
      <c r="BRV2" s="88"/>
      <c r="BRW2" s="88"/>
      <c r="BRX2" s="88"/>
      <c r="BRY2" s="88"/>
      <c r="BRZ2" s="88"/>
      <c r="BSA2" s="88"/>
      <c r="BSB2" s="88"/>
      <c r="BSC2" s="88"/>
      <c r="BSD2" s="88"/>
      <c r="BSE2" s="88"/>
      <c r="BSF2" s="88"/>
      <c r="BSG2" s="88"/>
      <c r="BSH2" s="88"/>
      <c r="BSI2" s="88"/>
      <c r="BSJ2" s="88"/>
      <c r="BSK2" s="88"/>
      <c r="BSL2" s="88"/>
      <c r="BSM2" s="88"/>
      <c r="BSN2" s="88"/>
      <c r="BSO2" s="88"/>
      <c r="BSP2" s="88"/>
      <c r="BSQ2" s="88"/>
      <c r="BSR2" s="88"/>
      <c r="BSS2" s="88"/>
      <c r="BST2" s="88"/>
      <c r="BSU2" s="88"/>
      <c r="BSV2" s="88"/>
      <c r="BSW2" s="88"/>
      <c r="BSX2" s="88"/>
      <c r="BSY2" s="88"/>
      <c r="BSZ2" s="88"/>
      <c r="BTA2" s="88"/>
      <c r="BTB2" s="88"/>
      <c r="BTC2" s="88"/>
      <c r="BTD2" s="88"/>
      <c r="BTE2" s="88"/>
      <c r="BTF2" s="88"/>
      <c r="BTG2" s="88"/>
      <c r="BTH2" s="88"/>
      <c r="BTI2" s="88"/>
      <c r="BTJ2" s="88"/>
      <c r="BTK2" s="88"/>
      <c r="BTL2" s="88"/>
      <c r="BTM2" s="88"/>
      <c r="BTN2" s="88"/>
      <c r="BTO2" s="88"/>
      <c r="BTP2" s="88"/>
      <c r="BTQ2" s="88"/>
      <c r="BTR2" s="88"/>
      <c r="BTS2" s="88"/>
      <c r="BTT2" s="88"/>
      <c r="BTU2" s="88"/>
      <c r="BTV2" s="88"/>
      <c r="BTW2" s="88"/>
      <c r="BTX2" s="88"/>
      <c r="BTY2" s="88"/>
      <c r="BTZ2" s="88"/>
      <c r="BUA2" s="88"/>
      <c r="BUB2" s="88"/>
      <c r="BUC2" s="88"/>
      <c r="BUD2" s="88"/>
      <c r="BUE2" s="88"/>
      <c r="BUF2" s="88"/>
      <c r="BUG2" s="88"/>
      <c r="BUH2" s="88"/>
      <c r="BUI2" s="88"/>
      <c r="BUJ2" s="88"/>
      <c r="BUK2" s="88"/>
      <c r="BUL2" s="88"/>
      <c r="BUM2" s="88"/>
      <c r="BUN2" s="88"/>
      <c r="BUO2" s="88"/>
      <c r="BUP2" s="88"/>
      <c r="BUQ2" s="88"/>
      <c r="BUR2" s="88"/>
      <c r="BUS2" s="88"/>
      <c r="BUT2" s="88"/>
      <c r="BUU2" s="88"/>
      <c r="BUV2" s="88"/>
      <c r="BUW2" s="88"/>
      <c r="BUX2" s="88"/>
      <c r="BUY2" s="88"/>
      <c r="BUZ2" s="88"/>
      <c r="BVA2" s="88"/>
      <c r="BVB2" s="88"/>
      <c r="BVC2" s="88"/>
      <c r="BVD2" s="88"/>
      <c r="BVE2" s="88"/>
      <c r="BVF2" s="88"/>
      <c r="BVG2" s="88"/>
      <c r="BVH2" s="88"/>
      <c r="BVI2" s="88"/>
      <c r="BVJ2" s="88"/>
      <c r="BVK2" s="88"/>
      <c r="BVL2" s="88"/>
      <c r="BVM2" s="88"/>
      <c r="BVN2" s="88"/>
      <c r="BVO2" s="88"/>
      <c r="BVP2" s="88"/>
      <c r="BVQ2" s="88"/>
      <c r="BVR2" s="88"/>
      <c r="BVS2" s="88"/>
      <c r="BVT2" s="88"/>
      <c r="BVU2" s="88"/>
      <c r="BVV2" s="88"/>
      <c r="BVW2" s="88"/>
      <c r="BVX2" s="88"/>
      <c r="BVY2" s="88"/>
      <c r="BVZ2" s="88"/>
      <c r="BWA2" s="88"/>
      <c r="BWB2" s="88"/>
      <c r="BWC2" s="88"/>
      <c r="BWD2" s="88"/>
      <c r="BWE2" s="88"/>
      <c r="BWF2" s="88"/>
      <c r="BWG2" s="88"/>
      <c r="BWH2" s="88"/>
      <c r="BWI2" s="88"/>
      <c r="BWJ2" s="88"/>
      <c r="BWK2" s="88"/>
      <c r="BWL2" s="88"/>
      <c r="BWM2" s="88"/>
      <c r="BWN2" s="88"/>
      <c r="BWO2" s="88"/>
      <c r="BWP2" s="88"/>
      <c r="BWQ2" s="88"/>
      <c r="BWR2" s="88"/>
      <c r="BWS2" s="88"/>
      <c r="BWT2" s="88"/>
      <c r="BWU2" s="88"/>
      <c r="BWV2" s="88"/>
      <c r="BWW2" s="88"/>
      <c r="BWX2" s="88"/>
      <c r="BWY2" s="88"/>
      <c r="BWZ2" s="88"/>
      <c r="BXA2" s="88"/>
      <c r="BXB2" s="88"/>
      <c r="BXC2" s="88"/>
      <c r="BXD2" s="88"/>
      <c r="BXE2" s="88"/>
      <c r="BXF2" s="88"/>
      <c r="BXG2" s="88"/>
      <c r="BXH2" s="88"/>
      <c r="BXI2" s="88"/>
      <c r="BXJ2" s="88"/>
      <c r="BXK2" s="88"/>
      <c r="BXL2" s="88"/>
      <c r="BXM2" s="88"/>
      <c r="BXN2" s="88"/>
      <c r="BXO2" s="88"/>
      <c r="BXP2" s="88"/>
      <c r="BXQ2" s="88"/>
      <c r="BXR2" s="88"/>
      <c r="BXS2" s="88"/>
      <c r="BXT2" s="88"/>
      <c r="BXU2" s="88"/>
      <c r="BXV2" s="88"/>
      <c r="BXW2" s="88"/>
      <c r="BXX2" s="88"/>
      <c r="BXY2" s="88"/>
      <c r="BXZ2" s="88"/>
      <c r="BYA2" s="88"/>
      <c r="BYB2" s="88"/>
      <c r="BYC2" s="88"/>
      <c r="BYD2" s="88"/>
      <c r="BYE2" s="88"/>
      <c r="BYF2" s="88"/>
      <c r="BYG2" s="88"/>
      <c r="BYH2" s="88"/>
      <c r="BYI2" s="88"/>
      <c r="BYJ2" s="88"/>
      <c r="BYK2" s="88"/>
      <c r="BYL2" s="88"/>
      <c r="BYM2" s="88"/>
      <c r="BYN2" s="88"/>
      <c r="BYO2" s="88"/>
      <c r="BYP2" s="88"/>
      <c r="BYQ2" s="88"/>
      <c r="BYR2" s="88"/>
      <c r="BYS2" s="88"/>
      <c r="BYT2" s="88"/>
      <c r="BYU2" s="88"/>
      <c r="BYV2" s="88"/>
      <c r="BYW2" s="88"/>
      <c r="BYX2" s="88"/>
      <c r="BYY2" s="88"/>
      <c r="BYZ2" s="88"/>
      <c r="BZA2" s="88"/>
      <c r="BZB2" s="88"/>
      <c r="BZC2" s="88"/>
      <c r="BZD2" s="88"/>
      <c r="BZE2" s="88"/>
      <c r="BZF2" s="88"/>
      <c r="BZG2" s="88"/>
      <c r="BZH2" s="88"/>
      <c r="BZI2" s="88"/>
      <c r="BZJ2" s="88"/>
      <c r="BZK2" s="88"/>
      <c r="BZL2" s="88"/>
      <c r="BZM2" s="88"/>
      <c r="BZN2" s="88"/>
      <c r="BZO2" s="88"/>
      <c r="BZP2" s="88"/>
      <c r="BZQ2" s="88"/>
      <c r="BZR2" s="88"/>
      <c r="BZS2" s="88"/>
      <c r="BZT2" s="88"/>
      <c r="BZU2" s="88"/>
      <c r="BZV2" s="88"/>
      <c r="BZW2" s="88"/>
      <c r="BZX2" s="88"/>
      <c r="BZY2" s="88"/>
      <c r="BZZ2" s="88"/>
      <c r="CAA2" s="88"/>
      <c r="CAB2" s="88"/>
      <c r="CAC2" s="88"/>
      <c r="CAD2" s="88"/>
      <c r="CAE2" s="88"/>
      <c r="CAF2" s="88"/>
      <c r="CAG2" s="88"/>
      <c r="CAH2" s="88"/>
      <c r="CAI2" s="88"/>
      <c r="CAJ2" s="88"/>
      <c r="CAK2" s="88"/>
      <c r="CAL2" s="88"/>
      <c r="CAM2" s="88"/>
      <c r="CAN2" s="88"/>
      <c r="CAO2" s="88"/>
      <c r="CAP2" s="88"/>
      <c r="CAQ2" s="88"/>
      <c r="CAR2" s="88"/>
      <c r="CAS2" s="88"/>
      <c r="CAT2" s="88"/>
      <c r="CAU2" s="88"/>
      <c r="CAV2" s="88"/>
      <c r="CAW2" s="88"/>
      <c r="CAX2" s="88"/>
      <c r="CAY2" s="88"/>
      <c r="CAZ2" s="88"/>
      <c r="CBA2" s="88"/>
      <c r="CBB2" s="88"/>
      <c r="CBC2" s="88"/>
      <c r="CBD2" s="88"/>
      <c r="CBE2" s="88"/>
      <c r="CBF2" s="88"/>
      <c r="CBG2" s="88"/>
      <c r="CBH2" s="88"/>
      <c r="CBI2" s="88"/>
      <c r="CBJ2" s="88"/>
      <c r="CBK2" s="88"/>
      <c r="CBL2" s="88"/>
      <c r="CBM2" s="88"/>
      <c r="CBN2" s="88"/>
      <c r="CBO2" s="88"/>
      <c r="CBP2" s="88"/>
      <c r="CBQ2" s="88"/>
      <c r="CBR2" s="88"/>
      <c r="CBS2" s="88"/>
      <c r="CBT2" s="88"/>
      <c r="CBU2" s="88"/>
      <c r="CBV2" s="88"/>
      <c r="CBW2" s="88"/>
      <c r="CBX2" s="88"/>
      <c r="CBY2" s="88"/>
      <c r="CBZ2" s="88"/>
      <c r="CCA2" s="88"/>
      <c r="CCB2" s="88"/>
      <c r="CCC2" s="88"/>
      <c r="CCD2" s="88"/>
      <c r="CCE2" s="88"/>
      <c r="CCF2" s="88"/>
      <c r="CCG2" s="88"/>
      <c r="CCH2" s="88"/>
      <c r="CCI2" s="88"/>
      <c r="CCJ2" s="88"/>
      <c r="CCK2" s="88"/>
      <c r="CCL2" s="88"/>
      <c r="CCM2" s="88"/>
      <c r="CCN2" s="88"/>
      <c r="CCO2" s="88"/>
      <c r="CCP2" s="88"/>
      <c r="CCQ2" s="88"/>
      <c r="CCR2" s="88"/>
      <c r="CCS2" s="88"/>
      <c r="CCT2" s="88"/>
      <c r="CCU2" s="88"/>
      <c r="CCV2" s="88"/>
      <c r="CCW2" s="88"/>
      <c r="CCX2" s="88"/>
      <c r="CCY2" s="88"/>
      <c r="CCZ2" s="88"/>
      <c r="CDA2" s="88"/>
      <c r="CDB2" s="88"/>
      <c r="CDC2" s="88"/>
      <c r="CDD2" s="88"/>
      <c r="CDE2" s="88"/>
      <c r="CDF2" s="88"/>
      <c r="CDG2" s="88"/>
      <c r="CDH2" s="88"/>
      <c r="CDI2" s="88"/>
      <c r="CDJ2" s="88"/>
      <c r="CDK2" s="88"/>
      <c r="CDL2" s="88"/>
      <c r="CDM2" s="88"/>
      <c r="CDN2" s="88"/>
      <c r="CDO2" s="88"/>
      <c r="CDP2" s="88"/>
      <c r="CDQ2" s="88"/>
      <c r="CDR2" s="88"/>
      <c r="CDS2" s="88"/>
      <c r="CDT2" s="88"/>
      <c r="CDU2" s="88"/>
      <c r="CDV2" s="88"/>
      <c r="CDW2" s="88"/>
      <c r="CDX2" s="88"/>
      <c r="CDY2" s="88"/>
      <c r="CDZ2" s="88"/>
      <c r="CEA2" s="88"/>
      <c r="CEB2" s="88"/>
      <c r="CEC2" s="88"/>
      <c r="CED2" s="88"/>
      <c r="CEE2" s="88"/>
      <c r="CEF2" s="88"/>
      <c r="CEG2" s="88"/>
      <c r="CEH2" s="88"/>
      <c r="CEI2" s="88"/>
      <c r="CEJ2" s="88"/>
      <c r="CEK2" s="88"/>
      <c r="CEL2" s="88"/>
      <c r="CEM2" s="88"/>
      <c r="CEN2" s="88"/>
      <c r="CEO2" s="88"/>
      <c r="CEP2" s="88"/>
      <c r="CEQ2" s="88"/>
      <c r="CER2" s="88"/>
      <c r="CES2" s="88"/>
      <c r="CET2" s="88"/>
      <c r="CEU2" s="88"/>
      <c r="CEV2" s="88"/>
      <c r="CEW2" s="88"/>
      <c r="CEX2" s="88"/>
      <c r="CEY2" s="88"/>
      <c r="CEZ2" s="88"/>
      <c r="CFA2" s="88"/>
      <c r="CFB2" s="88"/>
      <c r="CFC2" s="88"/>
      <c r="CFD2" s="88"/>
      <c r="CFE2" s="88"/>
      <c r="CFF2" s="88"/>
      <c r="CFG2" s="88"/>
      <c r="CFH2" s="88"/>
      <c r="CFI2" s="88"/>
      <c r="CFJ2" s="88"/>
      <c r="CFK2" s="88"/>
      <c r="CFL2" s="88"/>
      <c r="CFM2" s="88"/>
      <c r="CFN2" s="88"/>
      <c r="CFO2" s="88"/>
      <c r="CFP2" s="88"/>
      <c r="CFQ2" s="88"/>
      <c r="CFR2" s="88"/>
      <c r="CFS2" s="88"/>
      <c r="CFT2" s="88"/>
      <c r="CFU2" s="88"/>
      <c r="CFV2" s="88"/>
      <c r="CFW2" s="88"/>
      <c r="CFX2" s="88"/>
      <c r="CFY2" s="88"/>
      <c r="CFZ2" s="88"/>
      <c r="CGA2" s="88"/>
      <c r="CGB2" s="88"/>
      <c r="CGC2" s="88"/>
      <c r="CGD2" s="88"/>
      <c r="CGE2" s="88"/>
      <c r="CGF2" s="88"/>
      <c r="CGG2" s="88"/>
      <c r="CGH2" s="88"/>
      <c r="CGI2" s="88"/>
      <c r="CGJ2" s="88"/>
      <c r="CGK2" s="88"/>
      <c r="CGL2" s="88"/>
      <c r="CGM2" s="88"/>
      <c r="CGN2" s="88"/>
      <c r="CGO2" s="88"/>
      <c r="CGP2" s="88"/>
      <c r="CGQ2" s="88"/>
      <c r="CGR2" s="88"/>
      <c r="CGS2" s="88"/>
      <c r="CGT2" s="88"/>
      <c r="CGU2" s="88"/>
      <c r="CGV2" s="88"/>
      <c r="CGW2" s="88"/>
      <c r="CGX2" s="88"/>
      <c r="CGY2" s="88"/>
      <c r="CGZ2" s="88"/>
      <c r="CHA2" s="88"/>
      <c r="CHB2" s="88"/>
      <c r="CHC2" s="88"/>
      <c r="CHD2" s="88"/>
      <c r="CHE2" s="88"/>
      <c r="CHF2" s="88"/>
      <c r="CHG2" s="88"/>
      <c r="CHH2" s="88"/>
      <c r="CHI2" s="88"/>
      <c r="CHJ2" s="88"/>
      <c r="CHK2" s="88"/>
      <c r="CHL2" s="88"/>
      <c r="CHM2" s="88"/>
      <c r="CHN2" s="88"/>
      <c r="CHO2" s="88"/>
      <c r="CHP2" s="88"/>
      <c r="CHQ2" s="88"/>
      <c r="CHR2" s="88"/>
      <c r="CHS2" s="88"/>
      <c r="CHT2" s="88"/>
      <c r="CHU2" s="88"/>
      <c r="CHV2" s="88"/>
      <c r="CHW2" s="88"/>
      <c r="CHX2" s="88"/>
      <c r="CHY2" s="88"/>
      <c r="CHZ2" s="88"/>
      <c r="CIA2" s="88"/>
      <c r="CIB2" s="88"/>
      <c r="CIC2" s="88"/>
      <c r="CID2" s="88"/>
      <c r="CIE2" s="88"/>
      <c r="CIF2" s="88"/>
      <c r="CIG2" s="88"/>
      <c r="CIH2" s="88"/>
      <c r="CII2" s="88"/>
      <c r="CIJ2" s="88"/>
      <c r="CIK2" s="88"/>
      <c r="CIL2" s="88"/>
      <c r="CIM2" s="88"/>
      <c r="CIN2" s="88"/>
      <c r="CIO2" s="88"/>
      <c r="CIP2" s="88"/>
      <c r="CIQ2" s="88"/>
      <c r="CIR2" s="88"/>
      <c r="CIS2" s="88"/>
      <c r="CIT2" s="88"/>
      <c r="CIU2" s="88"/>
      <c r="CIV2" s="88"/>
      <c r="CIW2" s="88"/>
      <c r="CIX2" s="88"/>
      <c r="CIY2" s="88"/>
      <c r="CIZ2" s="88"/>
      <c r="CJA2" s="88"/>
      <c r="CJB2" s="88"/>
      <c r="CJC2" s="88"/>
      <c r="CJD2" s="88"/>
      <c r="CJE2" s="88"/>
      <c r="CJF2" s="88"/>
      <c r="CJG2" s="88"/>
      <c r="CJH2" s="88"/>
      <c r="CJI2" s="88"/>
      <c r="CJJ2" s="88"/>
      <c r="CJK2" s="88"/>
      <c r="CJL2" s="88"/>
      <c r="CJM2" s="88"/>
      <c r="CJN2" s="88"/>
      <c r="CJO2" s="88"/>
      <c r="CJP2" s="88"/>
      <c r="CJQ2" s="88"/>
      <c r="CJR2" s="88"/>
      <c r="CJS2" s="88"/>
      <c r="CJT2" s="88"/>
      <c r="CJU2" s="88"/>
      <c r="CJV2" s="88"/>
      <c r="CJW2" s="88"/>
      <c r="CJX2" s="88"/>
      <c r="CJY2" s="88"/>
      <c r="CJZ2" s="88"/>
      <c r="CKA2" s="88"/>
      <c r="CKB2" s="88"/>
      <c r="CKC2" s="88"/>
      <c r="CKD2" s="88"/>
      <c r="CKE2" s="88"/>
      <c r="CKF2" s="88"/>
      <c r="CKG2" s="88"/>
      <c r="CKH2" s="88"/>
      <c r="CKI2" s="88"/>
      <c r="CKJ2" s="88"/>
      <c r="CKK2" s="88"/>
      <c r="CKL2" s="88"/>
      <c r="CKM2" s="88"/>
      <c r="CKN2" s="88"/>
      <c r="CKO2" s="88"/>
      <c r="CKP2" s="88"/>
      <c r="CKQ2" s="88"/>
      <c r="CKR2" s="88"/>
      <c r="CKS2" s="88"/>
      <c r="CKT2" s="88"/>
      <c r="CKU2" s="88"/>
      <c r="CKV2" s="88"/>
      <c r="CKW2" s="88"/>
      <c r="CKX2" s="88"/>
      <c r="CKY2" s="88"/>
      <c r="CKZ2" s="88"/>
      <c r="CLA2" s="88"/>
      <c r="CLB2" s="88"/>
      <c r="CLC2" s="88"/>
      <c r="CLD2" s="88"/>
      <c r="CLE2" s="88"/>
      <c r="CLF2" s="88"/>
      <c r="CLG2" s="88"/>
      <c r="CLH2" s="88"/>
      <c r="CLI2" s="88"/>
      <c r="CLJ2" s="88"/>
      <c r="CLK2" s="88"/>
      <c r="CLL2" s="88"/>
      <c r="CLM2" s="88"/>
      <c r="CLN2" s="88"/>
      <c r="CLO2" s="88"/>
      <c r="CLP2" s="88"/>
      <c r="CLQ2" s="88"/>
      <c r="CLR2" s="88"/>
      <c r="CLS2" s="88"/>
      <c r="CLT2" s="88"/>
      <c r="CLU2" s="88"/>
      <c r="CLV2" s="88"/>
      <c r="CLW2" s="88"/>
      <c r="CLX2" s="88"/>
      <c r="CLY2" s="88"/>
      <c r="CLZ2" s="88"/>
      <c r="CMA2" s="88"/>
      <c r="CMB2" s="88"/>
      <c r="CMC2" s="88"/>
      <c r="CMD2" s="88"/>
      <c r="CME2" s="88"/>
      <c r="CMF2" s="88"/>
      <c r="CMG2" s="88"/>
      <c r="CMH2" s="88"/>
      <c r="CMI2" s="88"/>
      <c r="CMJ2" s="88"/>
      <c r="CMK2" s="88"/>
      <c r="CML2" s="88"/>
      <c r="CMM2" s="88"/>
      <c r="CMN2" s="88"/>
      <c r="CMO2" s="88"/>
      <c r="CMP2" s="88"/>
      <c r="CMQ2" s="88"/>
      <c r="CMR2" s="88"/>
      <c r="CMS2" s="88"/>
      <c r="CMT2" s="88"/>
      <c r="CMU2" s="88"/>
      <c r="CMV2" s="88"/>
      <c r="CMW2" s="88"/>
      <c r="CMX2" s="88"/>
      <c r="CMY2" s="88"/>
      <c r="CMZ2" s="88"/>
      <c r="CNA2" s="88"/>
      <c r="CNB2" s="88"/>
      <c r="CNC2" s="88"/>
      <c r="CND2" s="88"/>
      <c r="CNE2" s="88"/>
      <c r="CNF2" s="88"/>
      <c r="CNG2" s="88"/>
      <c r="CNH2" s="88"/>
      <c r="CNI2" s="88"/>
      <c r="CNJ2" s="88"/>
      <c r="CNK2" s="88"/>
      <c r="CNL2" s="88"/>
      <c r="CNM2" s="88"/>
      <c r="CNN2" s="88"/>
      <c r="CNO2" s="88"/>
      <c r="CNP2" s="88"/>
      <c r="CNQ2" s="88"/>
      <c r="CNR2" s="88"/>
      <c r="CNS2" s="88"/>
      <c r="CNT2" s="88"/>
      <c r="CNU2" s="88"/>
      <c r="CNV2" s="88"/>
      <c r="CNW2" s="88"/>
      <c r="CNX2" s="88"/>
      <c r="CNY2" s="88"/>
      <c r="CNZ2" s="88"/>
      <c r="COA2" s="88"/>
      <c r="COB2" s="88"/>
      <c r="COC2" s="88"/>
      <c r="COD2" s="88"/>
      <c r="COE2" s="88"/>
      <c r="COF2" s="88"/>
      <c r="COG2" s="88"/>
      <c r="COH2" s="88"/>
      <c r="COI2" s="88"/>
      <c r="COJ2" s="88"/>
      <c r="COK2" s="88"/>
      <c r="COL2" s="88"/>
      <c r="COM2" s="88"/>
      <c r="CON2" s="88"/>
      <c r="COO2" s="88"/>
      <c r="COP2" s="88"/>
      <c r="COQ2" s="88"/>
      <c r="COR2" s="88"/>
      <c r="COS2" s="88"/>
      <c r="COT2" s="88"/>
      <c r="COU2" s="88"/>
      <c r="COV2" s="88"/>
      <c r="COW2" s="88"/>
      <c r="COX2" s="88"/>
      <c r="COY2" s="88"/>
      <c r="COZ2" s="88"/>
      <c r="CPA2" s="88"/>
      <c r="CPB2" s="88"/>
      <c r="CPC2" s="88"/>
      <c r="CPD2" s="88"/>
      <c r="CPE2" s="88"/>
      <c r="CPF2" s="88"/>
      <c r="CPG2" s="88"/>
      <c r="CPH2" s="88"/>
      <c r="CPI2" s="88"/>
      <c r="CPJ2" s="88"/>
      <c r="CPK2" s="88"/>
      <c r="CPL2" s="88"/>
      <c r="CPM2" s="88"/>
      <c r="CPN2" s="88"/>
      <c r="CPO2" s="88"/>
      <c r="CPP2" s="88"/>
      <c r="CPQ2" s="88"/>
      <c r="CPR2" s="88"/>
      <c r="CPS2" s="88"/>
      <c r="CPT2" s="88"/>
      <c r="CPU2" s="88"/>
      <c r="CPV2" s="88"/>
      <c r="CPW2" s="88"/>
      <c r="CPX2" s="88"/>
      <c r="CPY2" s="88"/>
      <c r="CPZ2" s="88"/>
      <c r="CQA2" s="88"/>
      <c r="CQB2" s="88"/>
      <c r="CQC2" s="88"/>
      <c r="CQD2" s="88"/>
      <c r="CQE2" s="88"/>
      <c r="CQF2" s="88"/>
      <c r="CQG2" s="88"/>
      <c r="CQH2" s="88"/>
      <c r="CQI2" s="88"/>
      <c r="CQJ2" s="88"/>
      <c r="CQK2" s="88"/>
      <c r="CQL2" s="88"/>
      <c r="CQM2" s="88"/>
      <c r="CQN2" s="88"/>
      <c r="CQO2" s="88"/>
      <c r="CQP2" s="88"/>
      <c r="CQQ2" s="88"/>
      <c r="CQR2" s="88"/>
      <c r="CQS2" s="88"/>
      <c r="CQT2" s="88"/>
      <c r="CQU2" s="88"/>
      <c r="CQV2" s="88"/>
      <c r="CQW2" s="88"/>
      <c r="CQX2" s="88"/>
      <c r="CQY2" s="88"/>
      <c r="CQZ2" s="88"/>
      <c r="CRA2" s="88"/>
      <c r="CRB2" s="88"/>
      <c r="CRC2" s="88"/>
      <c r="CRD2" s="88"/>
      <c r="CRE2" s="88"/>
      <c r="CRF2" s="88"/>
      <c r="CRG2" s="88"/>
      <c r="CRH2" s="88"/>
      <c r="CRI2" s="88"/>
      <c r="CRJ2" s="88"/>
      <c r="CRK2" s="88"/>
      <c r="CRL2" s="88"/>
      <c r="CRM2" s="88"/>
      <c r="CRN2" s="88"/>
      <c r="CRO2" s="88"/>
      <c r="CRP2" s="88"/>
      <c r="CRQ2" s="88"/>
      <c r="CRR2" s="88"/>
      <c r="CRS2" s="88"/>
      <c r="CRT2" s="88"/>
      <c r="CRU2" s="88"/>
      <c r="CRV2" s="88"/>
      <c r="CRW2" s="88"/>
      <c r="CRX2" s="88"/>
      <c r="CRY2" s="88"/>
      <c r="CRZ2" s="88"/>
      <c r="CSA2" s="88"/>
      <c r="CSB2" s="88"/>
      <c r="CSC2" s="88"/>
      <c r="CSD2" s="88"/>
      <c r="CSE2" s="88"/>
      <c r="CSF2" s="88"/>
      <c r="CSG2" s="88"/>
      <c r="CSH2" s="88"/>
      <c r="CSI2" s="88"/>
      <c r="CSJ2" s="88"/>
      <c r="CSK2" s="88"/>
      <c r="CSL2" s="88"/>
      <c r="CSM2" s="88"/>
      <c r="CSN2" s="88"/>
      <c r="CSO2" s="88"/>
      <c r="CSP2" s="88"/>
      <c r="CSQ2" s="88"/>
      <c r="CSR2" s="88"/>
      <c r="CSS2" s="88"/>
      <c r="CST2" s="88"/>
      <c r="CSU2" s="88"/>
      <c r="CSV2" s="88"/>
      <c r="CSW2" s="88"/>
      <c r="CSX2" s="88"/>
      <c r="CSY2" s="88"/>
      <c r="CSZ2" s="88"/>
      <c r="CTA2" s="88"/>
      <c r="CTB2" s="88"/>
      <c r="CTC2" s="88"/>
      <c r="CTD2" s="88"/>
      <c r="CTE2" s="88"/>
      <c r="CTF2" s="88"/>
      <c r="CTG2" s="88"/>
      <c r="CTH2" s="88"/>
      <c r="CTI2" s="88"/>
      <c r="CTJ2" s="88"/>
      <c r="CTK2" s="88"/>
      <c r="CTL2" s="88"/>
      <c r="CTM2" s="88"/>
      <c r="CTN2" s="88"/>
      <c r="CTO2" s="88"/>
      <c r="CTP2" s="88"/>
      <c r="CTQ2" s="88"/>
      <c r="CTR2" s="88"/>
      <c r="CTS2" s="88"/>
      <c r="CTT2" s="88"/>
      <c r="CTU2" s="88"/>
      <c r="CTV2" s="88"/>
      <c r="CTW2" s="88"/>
      <c r="CTX2" s="88"/>
      <c r="CTY2" s="88"/>
      <c r="CTZ2" s="88"/>
      <c r="CUA2" s="88"/>
      <c r="CUB2" s="88"/>
      <c r="CUC2" s="88"/>
      <c r="CUD2" s="88"/>
      <c r="CUE2" s="88"/>
      <c r="CUF2" s="88"/>
      <c r="CUG2" s="88"/>
      <c r="CUH2" s="88"/>
      <c r="CUI2" s="88"/>
      <c r="CUJ2" s="88"/>
      <c r="CUK2" s="88"/>
      <c r="CUL2" s="88"/>
      <c r="CUM2" s="88"/>
      <c r="CUN2" s="88"/>
      <c r="CUO2" s="88"/>
      <c r="CUP2" s="88"/>
      <c r="CUQ2" s="88"/>
      <c r="CUR2" s="88"/>
      <c r="CUS2" s="88"/>
      <c r="CUT2" s="88"/>
      <c r="CUU2" s="88"/>
      <c r="CUV2" s="88"/>
      <c r="CUW2" s="88"/>
      <c r="CUX2" s="88"/>
      <c r="CUY2" s="88"/>
      <c r="CUZ2" s="88"/>
      <c r="CVA2" s="88"/>
      <c r="CVB2" s="88"/>
      <c r="CVC2" s="88"/>
      <c r="CVD2" s="88"/>
      <c r="CVE2" s="88"/>
      <c r="CVF2" s="88"/>
      <c r="CVG2" s="88"/>
      <c r="CVH2" s="88"/>
      <c r="CVI2" s="88"/>
      <c r="CVJ2" s="88"/>
      <c r="CVK2" s="88"/>
      <c r="CVL2" s="88"/>
      <c r="CVM2" s="88"/>
      <c r="CVN2" s="88"/>
      <c r="CVO2" s="88"/>
      <c r="CVP2" s="88"/>
      <c r="CVQ2" s="88"/>
      <c r="CVR2" s="88"/>
      <c r="CVS2" s="88"/>
      <c r="CVT2" s="88"/>
      <c r="CVU2" s="88"/>
      <c r="CVV2" s="88"/>
      <c r="CVW2" s="88"/>
      <c r="CVX2" s="88"/>
      <c r="CVY2" s="88"/>
      <c r="CVZ2" s="88"/>
      <c r="CWA2" s="88"/>
      <c r="CWB2" s="88"/>
      <c r="CWC2" s="88"/>
      <c r="CWD2" s="88"/>
      <c r="CWE2" s="88"/>
      <c r="CWF2" s="88"/>
      <c r="CWG2" s="88"/>
      <c r="CWH2" s="88"/>
      <c r="CWI2" s="88"/>
      <c r="CWJ2" s="88"/>
      <c r="CWK2" s="88"/>
      <c r="CWL2" s="88"/>
      <c r="CWM2" s="88"/>
      <c r="CWN2" s="88"/>
      <c r="CWO2" s="88"/>
      <c r="CWP2" s="88"/>
      <c r="CWQ2" s="88"/>
      <c r="CWR2" s="88"/>
      <c r="CWS2" s="88"/>
      <c r="CWT2" s="88"/>
      <c r="CWU2" s="88"/>
      <c r="CWV2" s="88"/>
      <c r="CWW2" s="88"/>
      <c r="CWX2" s="88"/>
      <c r="CWY2" s="88"/>
      <c r="CWZ2" s="88"/>
      <c r="CXA2" s="88"/>
      <c r="CXB2" s="88"/>
      <c r="CXC2" s="88"/>
      <c r="CXD2" s="88"/>
      <c r="CXE2" s="88"/>
      <c r="CXF2" s="88"/>
      <c r="CXG2" s="88"/>
      <c r="CXH2" s="88"/>
      <c r="CXI2" s="88"/>
      <c r="CXJ2" s="88"/>
      <c r="CXK2" s="88"/>
      <c r="CXL2" s="88"/>
      <c r="CXM2" s="88"/>
      <c r="CXN2" s="88"/>
      <c r="CXO2" s="88"/>
      <c r="CXP2" s="88"/>
      <c r="CXQ2" s="88"/>
      <c r="CXR2" s="88"/>
      <c r="CXS2" s="88"/>
      <c r="CXT2" s="88"/>
      <c r="CXU2" s="88"/>
      <c r="CXV2" s="88"/>
      <c r="CXW2" s="88"/>
      <c r="CXX2" s="88"/>
      <c r="CXY2" s="88"/>
      <c r="CXZ2" s="88"/>
      <c r="CYA2" s="88"/>
      <c r="CYB2" s="88"/>
      <c r="CYC2" s="88"/>
      <c r="CYD2" s="88"/>
      <c r="CYE2" s="88"/>
      <c r="CYF2" s="88"/>
      <c r="CYG2" s="88"/>
      <c r="CYH2" s="88"/>
      <c r="CYI2" s="88"/>
      <c r="CYJ2" s="88"/>
      <c r="CYK2" s="88"/>
      <c r="CYL2" s="88"/>
      <c r="CYM2" s="88"/>
      <c r="CYN2" s="88"/>
      <c r="CYO2" s="88"/>
      <c r="CYP2" s="88"/>
      <c r="CYQ2" s="88"/>
      <c r="CYR2" s="88"/>
      <c r="CYS2" s="88"/>
      <c r="CYT2" s="88"/>
      <c r="CYU2" s="88"/>
      <c r="CYV2" s="88"/>
      <c r="CYW2" s="88"/>
      <c r="CYX2" s="88"/>
      <c r="CYY2" s="88"/>
      <c r="CYZ2" s="88"/>
      <c r="CZA2" s="88"/>
      <c r="CZB2" s="88"/>
      <c r="CZC2" s="88"/>
      <c r="CZD2" s="88"/>
      <c r="CZE2" s="88"/>
      <c r="CZF2" s="88"/>
      <c r="CZG2" s="88"/>
      <c r="CZH2" s="88"/>
      <c r="CZI2" s="88"/>
      <c r="CZJ2" s="88"/>
      <c r="CZK2" s="88"/>
      <c r="CZL2" s="88"/>
      <c r="CZM2" s="88"/>
      <c r="CZN2" s="88"/>
      <c r="CZO2" s="88"/>
      <c r="CZP2" s="88"/>
      <c r="CZQ2" s="88"/>
      <c r="CZR2" s="88"/>
      <c r="CZS2" s="88"/>
      <c r="CZT2" s="88"/>
      <c r="CZU2" s="88"/>
      <c r="CZV2" s="88"/>
      <c r="CZW2" s="88"/>
      <c r="CZX2" s="88"/>
      <c r="CZY2" s="88"/>
      <c r="CZZ2" s="88"/>
      <c r="DAA2" s="88"/>
      <c r="DAB2" s="88"/>
      <c r="DAC2" s="88"/>
      <c r="DAD2" s="88"/>
      <c r="DAE2" s="88"/>
      <c r="DAF2" s="88"/>
      <c r="DAG2" s="88"/>
      <c r="DAH2" s="88"/>
      <c r="DAI2" s="88"/>
      <c r="DAJ2" s="88"/>
      <c r="DAK2" s="88"/>
      <c r="DAL2" s="88"/>
      <c r="DAM2" s="88"/>
      <c r="DAN2" s="88"/>
      <c r="DAO2" s="88"/>
      <c r="DAP2" s="88"/>
      <c r="DAQ2" s="88"/>
      <c r="DAR2" s="88"/>
      <c r="DAS2" s="88"/>
      <c r="DAT2" s="88"/>
      <c r="DAU2" s="88"/>
      <c r="DAV2" s="88"/>
      <c r="DAW2" s="88"/>
      <c r="DAX2" s="88"/>
      <c r="DAY2" s="88"/>
      <c r="DAZ2" s="88"/>
      <c r="DBA2" s="88"/>
      <c r="DBB2" s="88"/>
      <c r="DBC2" s="88"/>
      <c r="DBD2" s="88"/>
      <c r="DBE2" s="88"/>
      <c r="DBF2" s="88"/>
      <c r="DBG2" s="88"/>
      <c r="DBH2" s="88"/>
      <c r="DBI2" s="88"/>
      <c r="DBJ2" s="88"/>
      <c r="DBK2" s="88"/>
      <c r="DBL2" s="88"/>
      <c r="DBM2" s="88"/>
      <c r="DBN2" s="88"/>
      <c r="DBO2" s="88"/>
      <c r="DBP2" s="88"/>
      <c r="DBQ2" s="88"/>
      <c r="DBR2" s="88"/>
      <c r="DBS2" s="88"/>
      <c r="DBT2" s="88"/>
      <c r="DBU2" s="88"/>
      <c r="DBV2" s="88"/>
      <c r="DBW2" s="88"/>
      <c r="DBX2" s="88"/>
      <c r="DBY2" s="88"/>
      <c r="DBZ2" s="88"/>
      <c r="DCA2" s="88"/>
      <c r="DCB2" s="88"/>
      <c r="DCC2" s="88"/>
      <c r="DCD2" s="88"/>
      <c r="DCE2" s="88"/>
      <c r="DCF2" s="88"/>
      <c r="DCG2" s="88"/>
      <c r="DCH2" s="88"/>
      <c r="DCI2" s="88"/>
      <c r="DCJ2" s="88"/>
      <c r="DCK2" s="88"/>
      <c r="DCL2" s="88"/>
      <c r="DCM2" s="88"/>
      <c r="DCN2" s="88"/>
      <c r="DCO2" s="88"/>
      <c r="DCP2" s="88"/>
      <c r="DCQ2" s="88"/>
      <c r="DCR2" s="88"/>
      <c r="DCS2" s="88"/>
      <c r="DCT2" s="88"/>
      <c r="DCU2" s="88"/>
      <c r="DCV2" s="88"/>
      <c r="DCW2" s="88"/>
      <c r="DCX2" s="88"/>
      <c r="DCY2" s="88"/>
      <c r="DCZ2" s="88"/>
      <c r="DDA2" s="88"/>
      <c r="DDB2" s="88"/>
      <c r="DDC2" s="88"/>
      <c r="DDD2" s="88"/>
      <c r="DDE2" s="88"/>
      <c r="DDF2" s="88"/>
      <c r="DDG2" s="88"/>
      <c r="DDH2" s="88"/>
      <c r="DDI2" s="88"/>
      <c r="DDJ2" s="88"/>
      <c r="DDK2" s="88"/>
      <c r="DDL2" s="88"/>
      <c r="DDM2" s="88"/>
      <c r="DDN2" s="88"/>
      <c r="DDO2" s="88"/>
      <c r="DDP2" s="88"/>
      <c r="DDQ2" s="88"/>
      <c r="DDR2" s="88"/>
      <c r="DDS2" s="88"/>
      <c r="DDT2" s="88"/>
      <c r="DDU2" s="88"/>
      <c r="DDV2" s="88"/>
      <c r="DDW2" s="88"/>
      <c r="DDX2" s="88"/>
      <c r="DDY2" s="88"/>
      <c r="DDZ2" s="88"/>
      <c r="DEA2" s="88"/>
      <c r="DEB2" s="88"/>
      <c r="DEC2" s="88"/>
      <c r="DED2" s="88"/>
      <c r="DEE2" s="88"/>
      <c r="DEF2" s="88"/>
      <c r="DEG2" s="88"/>
      <c r="DEH2" s="88"/>
      <c r="DEI2" s="88"/>
      <c r="DEJ2" s="88"/>
      <c r="DEK2" s="88"/>
      <c r="DEL2" s="88"/>
      <c r="DEM2" s="88"/>
      <c r="DEN2" s="88"/>
      <c r="DEO2" s="88"/>
      <c r="DEP2" s="88"/>
      <c r="DEQ2" s="88"/>
      <c r="DER2" s="88"/>
      <c r="DES2" s="88"/>
      <c r="DET2" s="88"/>
      <c r="DEU2" s="88"/>
      <c r="DEV2" s="88"/>
      <c r="DEW2" s="88"/>
      <c r="DEX2" s="88"/>
      <c r="DEY2" s="88"/>
      <c r="DEZ2" s="88"/>
      <c r="DFA2" s="88"/>
      <c r="DFB2" s="88"/>
      <c r="DFC2" s="88"/>
      <c r="DFD2" s="88"/>
      <c r="DFE2" s="88"/>
      <c r="DFF2" s="88"/>
      <c r="DFG2" s="88"/>
      <c r="DFH2" s="88"/>
      <c r="DFI2" s="88"/>
      <c r="DFJ2" s="88"/>
      <c r="DFK2" s="88"/>
      <c r="DFL2" s="88"/>
      <c r="DFM2" s="88"/>
      <c r="DFN2" s="88"/>
      <c r="DFO2" s="88"/>
      <c r="DFP2" s="88"/>
      <c r="DFQ2" s="88"/>
      <c r="DFR2" s="88"/>
      <c r="DFS2" s="88"/>
      <c r="DFT2" s="88"/>
      <c r="DFU2" s="88"/>
      <c r="DFV2" s="88"/>
      <c r="DFW2" s="88"/>
      <c r="DFX2" s="88"/>
      <c r="DFY2" s="88"/>
      <c r="DFZ2" s="88"/>
      <c r="DGA2" s="88"/>
      <c r="DGB2" s="88"/>
      <c r="DGC2" s="88"/>
      <c r="DGD2" s="88"/>
      <c r="DGE2" s="88"/>
      <c r="DGF2" s="88"/>
      <c r="DGG2" s="88"/>
      <c r="DGH2" s="88"/>
      <c r="DGI2" s="88"/>
      <c r="DGJ2" s="88"/>
      <c r="DGK2" s="88"/>
      <c r="DGL2" s="88"/>
      <c r="DGM2" s="88"/>
      <c r="DGN2" s="88"/>
      <c r="DGO2" s="88"/>
      <c r="DGP2" s="88"/>
      <c r="DGQ2" s="88"/>
      <c r="DGR2" s="88"/>
      <c r="DGS2" s="88"/>
      <c r="DGT2" s="88"/>
      <c r="DGU2" s="88"/>
      <c r="DGV2" s="88"/>
      <c r="DGW2" s="88"/>
      <c r="DGX2" s="88"/>
      <c r="DGY2" s="88"/>
      <c r="DGZ2" s="88"/>
      <c r="DHA2" s="88"/>
      <c r="DHB2" s="88"/>
      <c r="DHC2" s="88"/>
      <c r="DHD2" s="88"/>
      <c r="DHE2" s="88"/>
      <c r="DHF2" s="88"/>
      <c r="DHG2" s="88"/>
      <c r="DHH2" s="88"/>
      <c r="DHI2" s="88"/>
      <c r="DHJ2" s="88"/>
      <c r="DHK2" s="88"/>
      <c r="DHL2" s="88"/>
      <c r="DHM2" s="88"/>
      <c r="DHN2" s="88"/>
      <c r="DHO2" s="88"/>
      <c r="DHP2" s="88"/>
      <c r="DHQ2" s="88"/>
      <c r="DHR2" s="88"/>
      <c r="DHS2" s="88"/>
      <c r="DHT2" s="88"/>
      <c r="DHU2" s="88"/>
      <c r="DHV2" s="88"/>
      <c r="DHW2" s="88"/>
      <c r="DHX2" s="88"/>
      <c r="DHY2" s="88"/>
      <c r="DHZ2" s="88"/>
      <c r="DIA2" s="88"/>
      <c r="DIB2" s="88"/>
      <c r="DIC2" s="88"/>
      <c r="DID2" s="88"/>
      <c r="DIE2" s="88"/>
      <c r="DIF2" s="88"/>
      <c r="DIG2" s="88"/>
      <c r="DIH2" s="88"/>
      <c r="DII2" s="88"/>
      <c r="DIJ2" s="88"/>
      <c r="DIK2" s="88"/>
      <c r="DIL2" s="88"/>
      <c r="DIM2" s="88"/>
      <c r="DIN2" s="88"/>
      <c r="DIO2" s="88"/>
      <c r="DIP2" s="88"/>
      <c r="DIQ2" s="88"/>
      <c r="DIR2" s="88"/>
      <c r="DIS2" s="88"/>
      <c r="DIT2" s="88"/>
      <c r="DIU2" s="88"/>
      <c r="DIV2" s="88"/>
      <c r="DIW2" s="88"/>
      <c r="DIX2" s="88"/>
      <c r="DIY2" s="88"/>
      <c r="DIZ2" s="88"/>
      <c r="DJA2" s="88"/>
      <c r="DJB2" s="88"/>
      <c r="DJC2" s="88"/>
      <c r="DJD2" s="88"/>
      <c r="DJE2" s="88"/>
      <c r="DJF2" s="88"/>
      <c r="DJG2" s="88"/>
      <c r="DJH2" s="88"/>
      <c r="DJI2" s="88"/>
      <c r="DJJ2" s="88"/>
      <c r="DJK2" s="88"/>
      <c r="DJL2" s="88"/>
      <c r="DJM2" s="88"/>
      <c r="DJN2" s="88"/>
      <c r="DJO2" s="88"/>
      <c r="DJP2" s="88"/>
      <c r="DJQ2" s="88"/>
      <c r="DJR2" s="88"/>
      <c r="DJS2" s="88"/>
      <c r="DJT2" s="88"/>
      <c r="DJU2" s="88"/>
      <c r="DJV2" s="88"/>
      <c r="DJW2" s="88"/>
      <c r="DJX2" s="88"/>
      <c r="DJY2" s="88"/>
      <c r="DJZ2" s="88"/>
      <c r="DKA2" s="88"/>
      <c r="DKB2" s="88"/>
      <c r="DKC2" s="88"/>
      <c r="DKD2" s="88"/>
      <c r="DKE2" s="88"/>
      <c r="DKF2" s="88"/>
      <c r="DKG2" s="88"/>
      <c r="DKH2" s="88"/>
      <c r="DKI2" s="88"/>
      <c r="DKJ2" s="88"/>
      <c r="DKK2" s="88"/>
      <c r="DKL2" s="88"/>
      <c r="DKM2" s="88"/>
      <c r="DKN2" s="88"/>
      <c r="DKO2" s="88"/>
      <c r="DKP2" s="88"/>
      <c r="DKQ2" s="88"/>
      <c r="DKR2" s="88"/>
      <c r="DKS2" s="88"/>
      <c r="DKT2" s="88"/>
      <c r="DKU2" s="88"/>
      <c r="DKV2" s="88"/>
      <c r="DKW2" s="88"/>
      <c r="DKX2" s="88"/>
      <c r="DKY2" s="88"/>
      <c r="DKZ2" s="88"/>
      <c r="DLA2" s="88"/>
      <c r="DLB2" s="88"/>
      <c r="DLC2" s="88"/>
      <c r="DLD2" s="88"/>
      <c r="DLE2" s="88"/>
      <c r="DLF2" s="88"/>
      <c r="DLG2" s="88"/>
      <c r="DLH2" s="88"/>
      <c r="DLI2" s="88"/>
      <c r="DLJ2" s="88"/>
      <c r="DLK2" s="88"/>
      <c r="DLL2" s="88"/>
      <c r="DLM2" s="88"/>
      <c r="DLN2" s="88"/>
      <c r="DLO2" s="88"/>
      <c r="DLP2" s="88"/>
      <c r="DLQ2" s="88"/>
      <c r="DLR2" s="88"/>
      <c r="DLS2" s="88"/>
      <c r="DLT2" s="88"/>
      <c r="DLU2" s="88"/>
      <c r="DLV2" s="88"/>
      <c r="DLW2" s="88"/>
      <c r="DLX2" s="88"/>
      <c r="DLY2" s="88"/>
      <c r="DLZ2" s="88"/>
      <c r="DMA2" s="88"/>
      <c r="DMB2" s="88"/>
      <c r="DMC2" s="88"/>
      <c r="DMD2" s="88"/>
      <c r="DME2" s="88"/>
      <c r="DMF2" s="88"/>
      <c r="DMG2" s="88"/>
      <c r="DMH2" s="88"/>
      <c r="DMI2" s="88"/>
      <c r="DMJ2" s="88"/>
      <c r="DMK2" s="88"/>
      <c r="DML2" s="88"/>
      <c r="DMM2" s="88"/>
      <c r="DMN2" s="88"/>
      <c r="DMO2" s="88"/>
      <c r="DMP2" s="88"/>
      <c r="DMQ2" s="88"/>
      <c r="DMR2" s="88"/>
      <c r="DMS2" s="88"/>
      <c r="DMT2" s="88"/>
      <c r="DMU2" s="88"/>
      <c r="DMV2" s="88"/>
      <c r="DMW2" s="88"/>
      <c r="DMX2" s="88"/>
      <c r="DMY2" s="88"/>
      <c r="DMZ2" s="88"/>
      <c r="DNA2" s="88"/>
      <c r="DNB2" s="88"/>
      <c r="DNC2" s="88"/>
      <c r="DND2" s="88"/>
      <c r="DNE2" s="88"/>
      <c r="DNF2" s="88"/>
      <c r="DNG2" s="88"/>
      <c r="DNH2" s="88"/>
      <c r="DNI2" s="88"/>
      <c r="DNJ2" s="88"/>
      <c r="DNK2" s="88"/>
      <c r="DNL2" s="88"/>
      <c r="DNM2" s="88"/>
      <c r="DNN2" s="88"/>
      <c r="DNO2" s="88"/>
      <c r="DNP2" s="88"/>
      <c r="DNQ2" s="88"/>
      <c r="DNR2" s="88"/>
      <c r="DNS2" s="88"/>
      <c r="DNT2" s="88"/>
      <c r="DNU2" s="88"/>
      <c r="DNV2" s="88"/>
      <c r="DNW2" s="88"/>
      <c r="DNX2" s="88"/>
      <c r="DNY2" s="88"/>
      <c r="DNZ2" s="88"/>
      <c r="DOA2" s="88"/>
      <c r="DOB2" s="88"/>
      <c r="DOC2" s="88"/>
      <c r="DOD2" s="88"/>
      <c r="DOE2" s="88"/>
      <c r="DOF2" s="88"/>
      <c r="DOG2" s="88"/>
      <c r="DOH2" s="88"/>
      <c r="DOI2" s="88"/>
      <c r="DOJ2" s="88"/>
      <c r="DOK2" s="88"/>
      <c r="DOL2" s="88"/>
      <c r="DOM2" s="88"/>
      <c r="DON2" s="88"/>
      <c r="DOO2" s="88"/>
      <c r="DOP2" s="88"/>
      <c r="DOQ2" s="88"/>
      <c r="DOR2" s="88"/>
      <c r="DOS2" s="88"/>
      <c r="DOT2" s="88"/>
      <c r="DOU2" s="88"/>
      <c r="DOV2" s="88"/>
      <c r="DOW2" s="88"/>
      <c r="DOX2" s="88"/>
      <c r="DOY2" s="88"/>
      <c r="DOZ2" s="88"/>
      <c r="DPA2" s="88"/>
      <c r="DPB2" s="88"/>
      <c r="DPC2" s="88"/>
      <c r="DPD2" s="88"/>
      <c r="DPE2" s="88"/>
      <c r="DPF2" s="88"/>
      <c r="DPG2" s="88"/>
      <c r="DPH2" s="88"/>
      <c r="DPI2" s="88"/>
      <c r="DPJ2" s="88"/>
      <c r="DPK2" s="88"/>
      <c r="DPL2" s="88"/>
      <c r="DPM2" s="88"/>
      <c r="DPN2" s="88"/>
      <c r="DPO2" s="88"/>
      <c r="DPP2" s="88"/>
      <c r="DPQ2" s="88"/>
      <c r="DPR2" s="88"/>
      <c r="DPS2" s="88"/>
      <c r="DPT2" s="88"/>
      <c r="DPU2" s="88"/>
      <c r="DPV2" s="88"/>
      <c r="DPW2" s="88"/>
      <c r="DPX2" s="88"/>
      <c r="DPY2" s="88"/>
      <c r="DPZ2" s="88"/>
      <c r="DQA2" s="88"/>
      <c r="DQB2" s="88"/>
      <c r="DQC2" s="88"/>
      <c r="DQD2" s="88"/>
      <c r="DQE2" s="88"/>
      <c r="DQF2" s="88"/>
      <c r="DQG2" s="88"/>
      <c r="DQH2" s="88"/>
      <c r="DQI2" s="88"/>
      <c r="DQJ2" s="88"/>
      <c r="DQK2" s="88"/>
      <c r="DQL2" s="88"/>
      <c r="DQM2" s="88"/>
      <c r="DQN2" s="88"/>
      <c r="DQO2" s="88"/>
      <c r="DQP2" s="88"/>
      <c r="DQQ2" s="88"/>
      <c r="DQR2" s="88"/>
      <c r="DQS2" s="88"/>
      <c r="DQT2" s="88"/>
      <c r="DQU2" s="88"/>
      <c r="DQV2" s="88"/>
      <c r="DQW2" s="88"/>
      <c r="DQX2" s="88"/>
      <c r="DQY2" s="88"/>
      <c r="DQZ2" s="88"/>
      <c r="DRA2" s="88"/>
      <c r="DRB2" s="88"/>
      <c r="DRC2" s="88"/>
      <c r="DRD2" s="88"/>
      <c r="DRE2" s="88"/>
      <c r="DRF2" s="88"/>
      <c r="DRG2" s="88"/>
      <c r="DRH2" s="88"/>
      <c r="DRI2" s="88"/>
      <c r="DRJ2" s="88"/>
      <c r="DRK2" s="88"/>
      <c r="DRL2" s="88"/>
      <c r="DRM2" s="88"/>
      <c r="DRN2" s="88"/>
      <c r="DRO2" s="88"/>
      <c r="DRP2" s="88"/>
      <c r="DRQ2" s="88"/>
      <c r="DRR2" s="88"/>
      <c r="DRS2" s="88"/>
      <c r="DRT2" s="88"/>
      <c r="DRU2" s="88"/>
      <c r="DRV2" s="88"/>
      <c r="DRW2" s="88"/>
      <c r="DRX2" s="88"/>
      <c r="DRY2" s="88"/>
      <c r="DRZ2" s="88"/>
      <c r="DSA2" s="88"/>
      <c r="DSB2" s="88"/>
      <c r="DSC2" s="88"/>
      <c r="DSD2" s="88"/>
      <c r="DSE2" s="88"/>
      <c r="DSF2" s="88"/>
      <c r="DSG2" s="88"/>
      <c r="DSH2" s="88"/>
      <c r="DSI2" s="88"/>
      <c r="DSJ2" s="88"/>
      <c r="DSK2" s="88"/>
      <c r="DSL2" s="88"/>
      <c r="DSM2" s="88"/>
      <c r="DSN2" s="88"/>
      <c r="DSO2" s="88"/>
      <c r="DSP2" s="88"/>
      <c r="DSQ2" s="88"/>
      <c r="DSR2" s="88"/>
      <c r="DSS2" s="88"/>
      <c r="DST2" s="88"/>
      <c r="DSU2" s="88"/>
      <c r="DSV2" s="88"/>
      <c r="DSW2" s="88"/>
      <c r="DSX2" s="88"/>
      <c r="DSY2" s="88"/>
      <c r="DSZ2" s="88"/>
      <c r="DTA2" s="88"/>
      <c r="DTB2" s="88"/>
      <c r="DTC2" s="88"/>
      <c r="DTD2" s="88"/>
      <c r="DTE2" s="88"/>
      <c r="DTF2" s="88"/>
      <c r="DTG2" s="88"/>
      <c r="DTH2" s="88"/>
      <c r="DTI2" s="88"/>
      <c r="DTJ2" s="88"/>
      <c r="DTK2" s="88"/>
      <c r="DTL2" s="88"/>
      <c r="DTM2" s="88"/>
      <c r="DTN2" s="88"/>
      <c r="DTO2" s="88"/>
      <c r="DTP2" s="88"/>
      <c r="DTQ2" s="88"/>
      <c r="DTR2" s="88"/>
      <c r="DTS2" s="88"/>
      <c r="DTT2" s="88"/>
      <c r="DTU2" s="88"/>
      <c r="DTV2" s="88"/>
      <c r="DTW2" s="88"/>
      <c r="DTX2" s="88"/>
      <c r="DTY2" s="88"/>
      <c r="DTZ2" s="88"/>
      <c r="DUA2" s="88"/>
      <c r="DUB2" s="88"/>
      <c r="DUC2" s="88"/>
      <c r="DUD2" s="88"/>
      <c r="DUE2" s="88"/>
      <c r="DUF2" s="88"/>
      <c r="DUG2" s="88"/>
      <c r="DUH2" s="88"/>
      <c r="DUI2" s="88"/>
      <c r="DUJ2" s="88"/>
      <c r="DUK2" s="88"/>
      <c r="DUL2" s="88"/>
      <c r="DUM2" s="88"/>
      <c r="DUN2" s="88"/>
      <c r="DUO2" s="88"/>
      <c r="DUP2" s="88"/>
      <c r="DUQ2" s="88"/>
      <c r="DUR2" s="88"/>
      <c r="DUS2" s="88"/>
      <c r="DUT2" s="88"/>
      <c r="DUU2" s="88"/>
      <c r="DUV2" s="88"/>
      <c r="DUW2" s="88"/>
      <c r="DUX2" s="88"/>
      <c r="DUY2" s="88"/>
      <c r="DUZ2" s="88"/>
      <c r="DVA2" s="88"/>
      <c r="DVB2" s="88"/>
      <c r="DVC2" s="88"/>
      <c r="DVD2" s="88"/>
      <c r="DVE2" s="88"/>
      <c r="DVF2" s="88"/>
      <c r="DVG2" s="88"/>
      <c r="DVH2" s="88"/>
      <c r="DVI2" s="88"/>
      <c r="DVJ2" s="88"/>
      <c r="DVK2" s="88"/>
      <c r="DVL2" s="88"/>
      <c r="DVM2" s="88"/>
      <c r="DVN2" s="88"/>
      <c r="DVO2" s="88"/>
      <c r="DVP2" s="88"/>
      <c r="DVQ2" s="88"/>
      <c r="DVR2" s="88"/>
      <c r="DVS2" s="88"/>
      <c r="DVT2" s="88"/>
      <c r="DVU2" s="88"/>
      <c r="DVV2" s="88"/>
      <c r="DVW2" s="88"/>
      <c r="DVX2" s="88"/>
      <c r="DVY2" s="88"/>
      <c r="DVZ2" s="88"/>
      <c r="DWA2" s="88"/>
      <c r="DWB2" s="88"/>
      <c r="DWC2" s="88"/>
      <c r="DWD2" s="88"/>
      <c r="DWE2" s="88"/>
      <c r="DWF2" s="88"/>
      <c r="DWG2" s="88"/>
      <c r="DWH2" s="88"/>
      <c r="DWI2" s="88"/>
      <c r="DWJ2" s="88"/>
      <c r="DWK2" s="88"/>
      <c r="DWL2" s="88"/>
      <c r="DWM2" s="88"/>
      <c r="DWN2" s="88"/>
      <c r="DWO2" s="88"/>
      <c r="DWP2" s="88"/>
      <c r="DWQ2" s="88"/>
      <c r="DWR2" s="88"/>
      <c r="DWS2" s="88"/>
      <c r="DWT2" s="88"/>
      <c r="DWU2" s="88"/>
      <c r="DWV2" s="88"/>
      <c r="DWW2" s="88"/>
      <c r="DWX2" s="88"/>
      <c r="DWY2" s="88"/>
      <c r="DWZ2" s="88"/>
      <c r="DXA2" s="88"/>
      <c r="DXB2" s="88"/>
      <c r="DXC2" s="88"/>
      <c r="DXD2" s="88"/>
      <c r="DXE2" s="88"/>
      <c r="DXF2" s="88"/>
      <c r="DXG2" s="88"/>
      <c r="DXH2" s="88"/>
      <c r="DXI2" s="88"/>
      <c r="DXJ2" s="88"/>
      <c r="DXK2" s="88"/>
      <c r="DXL2" s="88"/>
      <c r="DXM2" s="88"/>
      <c r="DXN2" s="88"/>
      <c r="DXO2" s="88"/>
      <c r="DXP2" s="88"/>
      <c r="DXQ2" s="88"/>
      <c r="DXR2" s="88"/>
      <c r="DXS2" s="88"/>
      <c r="DXT2" s="88"/>
      <c r="DXU2" s="88"/>
      <c r="DXV2" s="88"/>
      <c r="DXW2" s="88"/>
      <c r="DXX2" s="88"/>
      <c r="DXY2" s="88"/>
      <c r="DXZ2" s="88"/>
      <c r="DYA2" s="88"/>
      <c r="DYB2" s="88"/>
      <c r="DYC2" s="88"/>
      <c r="DYD2" s="88"/>
      <c r="DYE2" s="88"/>
      <c r="DYF2" s="88"/>
      <c r="DYG2" s="88"/>
      <c r="DYH2" s="88"/>
      <c r="DYI2" s="88"/>
      <c r="DYJ2" s="88"/>
      <c r="DYK2" s="88"/>
      <c r="DYL2" s="88"/>
      <c r="DYM2" s="88"/>
      <c r="DYN2" s="88"/>
      <c r="DYO2" s="88"/>
      <c r="DYP2" s="88"/>
      <c r="DYQ2" s="88"/>
      <c r="DYR2" s="88"/>
      <c r="DYS2" s="88"/>
      <c r="DYT2" s="88"/>
      <c r="DYU2" s="88"/>
      <c r="DYV2" s="88"/>
      <c r="DYW2" s="88"/>
      <c r="DYX2" s="88"/>
      <c r="DYY2" s="88"/>
      <c r="DYZ2" s="88"/>
      <c r="DZA2" s="88"/>
      <c r="DZB2" s="88"/>
      <c r="DZC2" s="88"/>
      <c r="DZD2" s="88"/>
      <c r="DZE2" s="88"/>
      <c r="DZF2" s="88"/>
      <c r="DZG2" s="88"/>
      <c r="DZH2" s="88"/>
      <c r="DZI2" s="88"/>
      <c r="DZJ2" s="88"/>
      <c r="DZK2" s="88"/>
      <c r="DZL2" s="88"/>
      <c r="DZM2" s="88"/>
      <c r="DZN2" s="88"/>
      <c r="DZO2" s="88"/>
      <c r="DZP2" s="88"/>
      <c r="DZQ2" s="88"/>
      <c r="DZR2" s="88"/>
      <c r="DZS2" s="88"/>
      <c r="DZT2" s="88"/>
      <c r="DZU2" s="88"/>
      <c r="DZV2" s="88"/>
      <c r="DZW2" s="88"/>
      <c r="DZX2" s="88"/>
      <c r="DZY2" s="88"/>
      <c r="DZZ2" s="88"/>
      <c r="EAA2" s="88"/>
      <c r="EAB2" s="88"/>
      <c r="EAC2" s="88"/>
      <c r="EAD2" s="88"/>
      <c r="EAE2" s="88"/>
      <c r="EAF2" s="88"/>
      <c r="EAG2" s="88"/>
      <c r="EAH2" s="88"/>
      <c r="EAI2" s="88"/>
      <c r="EAJ2" s="88"/>
      <c r="EAK2" s="88"/>
      <c r="EAL2" s="88"/>
      <c r="EAM2" s="88"/>
      <c r="EAN2" s="88"/>
      <c r="EAO2" s="88"/>
      <c r="EAP2" s="88"/>
      <c r="EAQ2" s="88"/>
      <c r="EAR2" s="88"/>
      <c r="EAS2" s="88"/>
      <c r="EAT2" s="88"/>
      <c r="EAU2" s="88"/>
      <c r="EAV2" s="88"/>
      <c r="EAW2" s="88"/>
      <c r="EAX2" s="88"/>
      <c r="EAY2" s="88"/>
      <c r="EAZ2" s="88"/>
      <c r="EBA2" s="88"/>
      <c r="EBB2" s="88"/>
      <c r="EBC2" s="88"/>
      <c r="EBD2" s="88"/>
      <c r="EBE2" s="88"/>
      <c r="EBF2" s="88"/>
      <c r="EBG2" s="88"/>
      <c r="EBH2" s="88"/>
      <c r="EBI2" s="88"/>
      <c r="EBJ2" s="88"/>
      <c r="EBK2" s="88"/>
      <c r="EBL2" s="88"/>
      <c r="EBM2" s="88"/>
      <c r="EBN2" s="88"/>
      <c r="EBO2" s="88"/>
      <c r="EBP2" s="88"/>
      <c r="EBQ2" s="88"/>
      <c r="EBR2" s="88"/>
      <c r="EBS2" s="88"/>
      <c r="EBT2" s="88"/>
      <c r="EBU2" s="88"/>
      <c r="EBV2" s="88"/>
      <c r="EBW2" s="88"/>
      <c r="EBX2" s="88"/>
      <c r="EBY2" s="88"/>
      <c r="EBZ2" s="88"/>
      <c r="ECA2" s="88"/>
      <c r="ECB2" s="88"/>
      <c r="ECC2" s="88"/>
      <c r="ECD2" s="88"/>
      <c r="ECE2" s="88"/>
      <c r="ECF2" s="88"/>
      <c r="ECG2" s="88"/>
      <c r="ECH2" s="88"/>
      <c r="ECI2" s="88"/>
      <c r="ECJ2" s="88"/>
      <c r="ECK2" s="88"/>
      <c r="ECL2" s="88"/>
      <c r="ECM2" s="88"/>
      <c r="ECN2" s="88"/>
      <c r="ECO2" s="88"/>
      <c r="ECP2" s="88"/>
      <c r="ECQ2" s="88"/>
      <c r="ECR2" s="88"/>
      <c r="ECS2" s="88"/>
      <c r="ECT2" s="88"/>
      <c r="ECU2" s="88"/>
      <c r="ECV2" s="88"/>
      <c r="ECW2" s="88"/>
      <c r="ECX2" s="88"/>
      <c r="ECY2" s="88"/>
      <c r="ECZ2" s="88"/>
      <c r="EDA2" s="88"/>
      <c r="EDB2" s="88"/>
      <c r="EDC2" s="88"/>
      <c r="EDD2" s="88"/>
      <c r="EDE2" s="88"/>
      <c r="EDF2" s="88"/>
      <c r="EDG2" s="88"/>
      <c r="EDH2" s="88"/>
      <c r="EDI2" s="88"/>
      <c r="EDJ2" s="88"/>
      <c r="EDK2" s="88"/>
      <c r="EDL2" s="88"/>
      <c r="EDM2" s="88"/>
      <c r="EDN2" s="88"/>
      <c r="EDO2" s="88"/>
      <c r="EDP2" s="88"/>
      <c r="EDQ2" s="88"/>
      <c r="EDR2" s="88"/>
      <c r="EDS2" s="88"/>
      <c r="EDT2" s="88"/>
      <c r="EDU2" s="88"/>
      <c r="EDV2" s="88"/>
      <c r="EDW2" s="88"/>
      <c r="EDX2" s="88"/>
      <c r="EDY2" s="88"/>
      <c r="EDZ2" s="88"/>
      <c r="EEA2" s="88"/>
      <c r="EEB2" s="88"/>
      <c r="EEC2" s="88"/>
      <c r="EED2" s="88"/>
      <c r="EEE2" s="88"/>
      <c r="EEF2" s="88"/>
      <c r="EEG2" s="88"/>
      <c r="EEH2" s="88"/>
      <c r="EEI2" s="88"/>
      <c r="EEJ2" s="88"/>
      <c r="EEK2" s="88"/>
      <c r="EEL2" s="88"/>
      <c r="EEM2" s="88"/>
      <c r="EEN2" s="88"/>
      <c r="EEO2" s="88"/>
      <c r="EEP2" s="88"/>
      <c r="EEQ2" s="88"/>
      <c r="EER2" s="88"/>
      <c r="EES2" s="88"/>
      <c r="EET2" s="88"/>
      <c r="EEU2" s="88"/>
      <c r="EEV2" s="88"/>
      <c r="EEW2" s="88"/>
      <c r="EEX2" s="88"/>
      <c r="EEY2" s="88"/>
      <c r="EEZ2" s="88"/>
      <c r="EFA2" s="88"/>
      <c r="EFB2" s="88"/>
      <c r="EFC2" s="88"/>
      <c r="EFD2" s="88"/>
      <c r="EFE2" s="88"/>
      <c r="EFF2" s="88"/>
      <c r="EFG2" s="88"/>
      <c r="EFH2" s="88"/>
      <c r="EFI2" s="88"/>
      <c r="EFJ2" s="88"/>
      <c r="EFK2" s="88"/>
      <c r="EFL2" s="88"/>
      <c r="EFM2" s="88"/>
      <c r="EFN2" s="88"/>
      <c r="EFO2" s="88"/>
      <c r="EFP2" s="88"/>
      <c r="EFQ2" s="88"/>
      <c r="EFR2" s="88"/>
      <c r="EFS2" s="88"/>
      <c r="EFT2" s="88"/>
      <c r="EFU2" s="88"/>
      <c r="EFV2" s="88"/>
      <c r="EFW2" s="88"/>
      <c r="EFX2" s="88"/>
      <c r="EFY2" s="88"/>
      <c r="EFZ2" s="88"/>
      <c r="EGA2" s="88"/>
      <c r="EGB2" s="88"/>
      <c r="EGC2" s="88"/>
      <c r="EGD2" s="88"/>
      <c r="EGE2" s="88"/>
      <c r="EGF2" s="88"/>
      <c r="EGG2" s="88"/>
      <c r="EGH2" s="88"/>
      <c r="EGI2" s="88"/>
      <c r="EGJ2" s="88"/>
      <c r="EGK2" s="88"/>
      <c r="EGL2" s="88"/>
      <c r="EGM2" s="88"/>
      <c r="EGN2" s="88"/>
      <c r="EGO2" s="88"/>
      <c r="EGP2" s="88"/>
      <c r="EGQ2" s="88"/>
      <c r="EGR2" s="88"/>
      <c r="EGS2" s="88"/>
      <c r="EGT2" s="88"/>
      <c r="EGU2" s="88"/>
      <c r="EGV2" s="88"/>
      <c r="EGW2" s="88"/>
      <c r="EGX2" s="88"/>
      <c r="EGY2" s="88"/>
      <c r="EGZ2" s="88"/>
      <c r="EHA2" s="88"/>
      <c r="EHB2" s="88"/>
      <c r="EHC2" s="88"/>
      <c r="EHD2" s="88"/>
      <c r="EHE2" s="88"/>
      <c r="EHF2" s="88"/>
      <c r="EHG2" s="88"/>
      <c r="EHH2" s="88"/>
      <c r="EHI2" s="88"/>
      <c r="EHJ2" s="88"/>
      <c r="EHK2" s="88"/>
      <c r="EHL2" s="88"/>
      <c r="EHM2" s="88"/>
      <c r="EHN2" s="88"/>
      <c r="EHO2" s="88"/>
      <c r="EHP2" s="88"/>
      <c r="EHQ2" s="88"/>
      <c r="EHR2" s="88"/>
      <c r="EHS2" s="88"/>
      <c r="EHT2" s="88"/>
      <c r="EHU2" s="88"/>
      <c r="EHV2" s="88"/>
      <c r="EHW2" s="88"/>
      <c r="EHX2" s="88"/>
      <c r="EHY2" s="88"/>
      <c r="EHZ2" s="88"/>
      <c r="EIA2" s="88"/>
      <c r="EIB2" s="88"/>
      <c r="EIC2" s="88"/>
      <c r="EID2" s="88"/>
      <c r="EIE2" s="88"/>
      <c r="EIF2" s="88"/>
      <c r="EIG2" s="88"/>
      <c r="EIH2" s="88"/>
      <c r="EII2" s="88"/>
      <c r="EIJ2" s="88"/>
      <c r="EIK2" s="88"/>
      <c r="EIL2" s="88"/>
      <c r="EIM2" s="88"/>
      <c r="EIN2" s="88"/>
      <c r="EIO2" s="88"/>
      <c r="EIP2" s="88"/>
      <c r="EIQ2" s="88"/>
      <c r="EIR2" s="88"/>
      <c r="EIS2" s="88"/>
      <c r="EIT2" s="88"/>
      <c r="EIU2" s="88"/>
      <c r="EIV2" s="88"/>
      <c r="EIW2" s="88"/>
      <c r="EIX2" s="88"/>
      <c r="EIY2" s="88"/>
      <c r="EIZ2" s="88"/>
      <c r="EJA2" s="88"/>
      <c r="EJB2" s="88"/>
      <c r="EJC2" s="88"/>
      <c r="EJD2" s="88"/>
      <c r="EJE2" s="88"/>
      <c r="EJF2" s="88"/>
      <c r="EJG2" s="88"/>
      <c r="EJH2" s="88"/>
      <c r="EJI2" s="88"/>
      <c r="EJJ2" s="88"/>
      <c r="EJK2" s="88"/>
      <c r="EJL2" s="88"/>
      <c r="EJM2" s="88"/>
      <c r="EJN2" s="88"/>
      <c r="EJO2" s="88"/>
      <c r="EJP2" s="88"/>
      <c r="EJQ2" s="88"/>
      <c r="EJR2" s="88"/>
      <c r="EJS2" s="88"/>
      <c r="EJT2" s="88"/>
      <c r="EJU2" s="88"/>
      <c r="EJV2" s="88"/>
      <c r="EJW2" s="88"/>
      <c r="EJX2" s="88"/>
      <c r="EJY2" s="88"/>
      <c r="EJZ2" s="88"/>
      <c r="EKA2" s="88"/>
      <c r="EKB2" s="88"/>
      <c r="EKC2" s="88"/>
      <c r="EKD2" s="88"/>
      <c r="EKE2" s="88"/>
      <c r="EKF2" s="88"/>
      <c r="EKG2" s="88"/>
      <c r="EKH2" s="88"/>
      <c r="EKI2" s="88"/>
      <c r="EKJ2" s="88"/>
      <c r="EKK2" s="88"/>
      <c r="EKL2" s="88"/>
      <c r="EKM2" s="88"/>
      <c r="EKN2" s="88"/>
      <c r="EKO2" s="88"/>
      <c r="EKP2" s="88"/>
      <c r="EKQ2" s="88"/>
      <c r="EKR2" s="88"/>
      <c r="EKS2" s="88"/>
      <c r="EKT2" s="88"/>
      <c r="EKU2" s="88"/>
      <c r="EKV2" s="88"/>
      <c r="EKW2" s="88"/>
      <c r="EKX2" s="88"/>
      <c r="EKY2" s="88"/>
      <c r="EKZ2" s="88"/>
      <c r="ELA2" s="88"/>
      <c r="ELB2" s="88"/>
      <c r="ELC2" s="88"/>
      <c r="ELD2" s="88"/>
      <c r="ELE2" s="88"/>
      <c r="ELF2" s="88"/>
      <c r="ELG2" s="88"/>
      <c r="ELH2" s="88"/>
      <c r="ELI2" s="88"/>
      <c r="ELJ2" s="88"/>
      <c r="ELK2" s="88"/>
      <c r="ELL2" s="88"/>
      <c r="ELM2" s="88"/>
      <c r="ELN2" s="88"/>
      <c r="ELO2" s="88"/>
      <c r="ELP2" s="88"/>
      <c r="ELQ2" s="88"/>
      <c r="ELR2" s="88"/>
      <c r="ELS2" s="88"/>
      <c r="ELT2" s="88"/>
      <c r="ELU2" s="88"/>
      <c r="ELV2" s="88"/>
      <c r="ELW2" s="88"/>
      <c r="ELX2" s="88"/>
      <c r="ELY2" s="88"/>
      <c r="ELZ2" s="88"/>
      <c r="EMA2" s="88"/>
      <c r="EMB2" s="88"/>
      <c r="EMC2" s="88"/>
      <c r="EMD2" s="88"/>
      <c r="EME2" s="88"/>
      <c r="EMF2" s="88"/>
      <c r="EMG2" s="88"/>
      <c r="EMH2" s="88"/>
      <c r="EMI2" s="88"/>
      <c r="EMJ2" s="88"/>
      <c r="EMK2" s="88"/>
      <c r="EML2" s="88"/>
      <c r="EMM2" s="88"/>
      <c r="EMN2" s="88"/>
      <c r="EMO2" s="88"/>
      <c r="EMP2" s="88"/>
      <c r="EMQ2" s="88"/>
      <c r="EMR2" s="88"/>
      <c r="EMS2" s="88"/>
      <c r="EMT2" s="88"/>
      <c r="EMU2" s="88"/>
      <c r="EMV2" s="88"/>
      <c r="EMW2" s="88"/>
      <c r="EMX2" s="88"/>
      <c r="EMY2" s="88"/>
      <c r="EMZ2" s="88"/>
      <c r="ENA2" s="88"/>
      <c r="ENB2" s="88"/>
      <c r="ENC2" s="88"/>
      <c r="END2" s="88"/>
      <c r="ENE2" s="88"/>
      <c r="ENF2" s="88"/>
      <c r="ENG2" s="88"/>
      <c r="ENH2" s="88"/>
      <c r="ENI2" s="88"/>
      <c r="ENJ2" s="88"/>
      <c r="ENK2" s="88"/>
      <c r="ENL2" s="88"/>
      <c r="ENM2" s="88"/>
      <c r="ENN2" s="88"/>
      <c r="ENO2" s="88"/>
      <c r="ENP2" s="88"/>
      <c r="ENQ2" s="88"/>
      <c r="ENR2" s="88"/>
      <c r="ENS2" s="88"/>
      <c r="ENT2" s="88"/>
      <c r="ENU2" s="88"/>
      <c r="ENV2" s="88"/>
      <c r="ENW2" s="88"/>
      <c r="ENX2" s="88"/>
      <c r="ENY2" s="88"/>
      <c r="ENZ2" s="88"/>
      <c r="EOA2" s="88"/>
      <c r="EOB2" s="88"/>
      <c r="EOC2" s="88"/>
      <c r="EOD2" s="88"/>
      <c r="EOE2" s="88"/>
      <c r="EOF2" s="88"/>
      <c r="EOG2" s="88"/>
      <c r="EOH2" s="88"/>
      <c r="EOI2" s="88"/>
      <c r="EOJ2" s="88"/>
      <c r="EOK2" s="88"/>
      <c r="EOL2" s="88"/>
      <c r="EOM2" s="88"/>
      <c r="EON2" s="88"/>
      <c r="EOO2" s="88"/>
      <c r="EOP2" s="88"/>
      <c r="EOQ2" s="88"/>
      <c r="EOR2" s="88"/>
      <c r="EOS2" s="88"/>
      <c r="EOT2" s="88"/>
      <c r="EOU2" s="88"/>
      <c r="EOV2" s="88"/>
      <c r="EOW2" s="88"/>
      <c r="EOX2" s="88"/>
      <c r="EOY2" s="88"/>
      <c r="EOZ2" s="88"/>
      <c r="EPA2" s="88"/>
      <c r="EPB2" s="88"/>
      <c r="EPC2" s="88"/>
      <c r="EPD2" s="88"/>
      <c r="EPE2" s="88"/>
      <c r="EPF2" s="88"/>
      <c r="EPG2" s="88"/>
      <c r="EPH2" s="88"/>
      <c r="EPI2" s="88"/>
      <c r="EPJ2" s="88"/>
      <c r="EPK2" s="88"/>
      <c r="EPL2" s="88"/>
      <c r="EPM2" s="88"/>
      <c r="EPN2" s="88"/>
      <c r="EPO2" s="88"/>
      <c r="EPP2" s="88"/>
      <c r="EPQ2" s="88"/>
      <c r="EPR2" s="88"/>
      <c r="EPS2" s="88"/>
      <c r="EPT2" s="88"/>
      <c r="EPU2" s="88"/>
      <c r="EPV2" s="88"/>
      <c r="EPW2" s="88"/>
      <c r="EPX2" s="88"/>
      <c r="EPY2" s="88"/>
      <c r="EPZ2" s="88"/>
      <c r="EQA2" s="88"/>
      <c r="EQB2" s="88"/>
      <c r="EQC2" s="88"/>
      <c r="EQD2" s="88"/>
      <c r="EQE2" s="88"/>
      <c r="EQF2" s="88"/>
      <c r="EQG2" s="88"/>
      <c r="EQH2" s="88"/>
      <c r="EQI2" s="88"/>
      <c r="EQJ2" s="88"/>
      <c r="EQK2" s="88"/>
      <c r="EQL2" s="88"/>
      <c r="EQM2" s="88"/>
      <c r="EQN2" s="88"/>
      <c r="EQO2" s="88"/>
      <c r="EQP2" s="88"/>
      <c r="EQQ2" s="88"/>
      <c r="EQR2" s="88"/>
      <c r="EQS2" s="88"/>
      <c r="EQT2" s="88"/>
      <c r="EQU2" s="88"/>
      <c r="EQV2" s="88"/>
      <c r="EQW2" s="88"/>
      <c r="EQX2" s="88"/>
      <c r="EQY2" s="88"/>
      <c r="EQZ2" s="88"/>
      <c r="ERA2" s="88"/>
      <c r="ERB2" s="88"/>
      <c r="ERC2" s="88"/>
      <c r="ERD2" s="88"/>
      <c r="ERE2" s="88"/>
      <c r="ERF2" s="88"/>
      <c r="ERG2" s="88"/>
      <c r="ERH2" s="88"/>
      <c r="ERI2" s="88"/>
      <c r="ERJ2" s="88"/>
      <c r="ERK2" s="88"/>
      <c r="ERL2" s="88"/>
      <c r="ERM2" s="88"/>
      <c r="ERN2" s="88"/>
      <c r="ERO2" s="88"/>
      <c r="ERP2" s="88"/>
      <c r="ERQ2" s="88"/>
      <c r="ERR2" s="88"/>
      <c r="ERS2" s="88"/>
      <c r="ERT2" s="88"/>
      <c r="ERU2" s="88"/>
      <c r="ERV2" s="88"/>
      <c r="ERW2" s="88"/>
      <c r="ERX2" s="88"/>
      <c r="ERY2" s="88"/>
      <c r="ERZ2" s="88"/>
      <c r="ESA2" s="88"/>
      <c r="ESB2" s="88"/>
      <c r="ESC2" s="88"/>
      <c r="ESD2" s="88"/>
      <c r="ESE2" s="88"/>
      <c r="ESF2" s="88"/>
      <c r="ESG2" s="88"/>
      <c r="ESH2" s="88"/>
      <c r="ESI2" s="88"/>
      <c r="ESJ2" s="88"/>
      <c r="ESK2" s="88"/>
      <c r="ESL2" s="88"/>
      <c r="ESM2" s="88"/>
      <c r="ESN2" s="88"/>
      <c r="ESO2" s="88"/>
      <c r="ESP2" s="88"/>
      <c r="ESQ2" s="88"/>
      <c r="ESR2" s="88"/>
      <c r="ESS2" s="88"/>
      <c r="EST2" s="88"/>
      <c r="ESU2" s="88"/>
      <c r="ESV2" s="88"/>
      <c r="ESW2" s="88"/>
      <c r="ESX2" s="88"/>
      <c r="ESY2" s="88"/>
      <c r="ESZ2" s="88"/>
      <c r="ETA2" s="88"/>
      <c r="ETB2" s="88"/>
      <c r="ETC2" s="88"/>
      <c r="ETD2" s="88"/>
      <c r="ETE2" s="88"/>
      <c r="ETF2" s="88"/>
      <c r="ETG2" s="88"/>
      <c r="ETH2" s="88"/>
      <c r="ETI2" s="88"/>
      <c r="ETJ2" s="88"/>
      <c r="ETK2" s="88"/>
      <c r="ETL2" s="88"/>
      <c r="ETM2" s="88"/>
      <c r="ETN2" s="88"/>
      <c r="ETO2" s="88"/>
      <c r="ETP2" s="88"/>
      <c r="ETQ2" s="88"/>
      <c r="ETR2" s="88"/>
      <c r="ETS2" s="88"/>
      <c r="ETT2" s="88"/>
      <c r="ETU2" s="88"/>
      <c r="ETV2" s="88"/>
      <c r="ETW2" s="88"/>
      <c r="ETX2" s="88"/>
      <c r="ETY2" s="88"/>
      <c r="ETZ2" s="88"/>
      <c r="EUA2" s="88"/>
      <c r="EUB2" s="88"/>
      <c r="EUC2" s="88"/>
      <c r="EUD2" s="88"/>
      <c r="EUE2" s="88"/>
      <c r="EUF2" s="88"/>
      <c r="EUG2" s="88"/>
      <c r="EUH2" s="88"/>
      <c r="EUI2" s="88"/>
      <c r="EUJ2" s="88"/>
      <c r="EUK2" s="88"/>
      <c r="EUL2" s="88"/>
      <c r="EUM2" s="88"/>
      <c r="EUN2" s="88"/>
      <c r="EUO2" s="88"/>
      <c r="EUP2" s="88"/>
      <c r="EUQ2" s="88"/>
      <c r="EUR2" s="88"/>
      <c r="EUS2" s="88"/>
      <c r="EUT2" s="88"/>
      <c r="EUU2" s="88"/>
      <c r="EUV2" s="88"/>
      <c r="EUW2" s="88"/>
      <c r="EUX2" s="88"/>
      <c r="EUY2" s="88"/>
      <c r="EUZ2" s="88"/>
      <c r="EVA2" s="88"/>
      <c r="EVB2" s="88"/>
      <c r="EVC2" s="88"/>
      <c r="EVD2" s="88"/>
      <c r="EVE2" s="88"/>
      <c r="EVF2" s="88"/>
      <c r="EVG2" s="88"/>
      <c r="EVH2" s="88"/>
      <c r="EVI2" s="88"/>
      <c r="EVJ2" s="88"/>
      <c r="EVK2" s="88"/>
      <c r="EVL2" s="88"/>
      <c r="EVM2" s="88"/>
      <c r="EVN2" s="88"/>
      <c r="EVO2" s="88"/>
      <c r="EVP2" s="88"/>
      <c r="EVQ2" s="88"/>
      <c r="EVR2" s="88"/>
      <c r="EVS2" s="88"/>
      <c r="EVT2" s="88"/>
      <c r="EVU2" s="88"/>
      <c r="EVV2" s="88"/>
      <c r="EVW2" s="88"/>
      <c r="EVX2" s="88"/>
      <c r="EVY2" s="88"/>
      <c r="EVZ2" s="88"/>
      <c r="EWA2" s="88"/>
      <c r="EWB2" s="88"/>
      <c r="EWC2" s="88"/>
      <c r="EWD2" s="88"/>
      <c r="EWE2" s="88"/>
      <c r="EWF2" s="88"/>
      <c r="EWG2" s="88"/>
      <c r="EWH2" s="88"/>
      <c r="EWI2" s="88"/>
      <c r="EWJ2" s="88"/>
      <c r="EWK2" s="88"/>
      <c r="EWL2" s="88"/>
      <c r="EWM2" s="88"/>
      <c r="EWN2" s="88"/>
      <c r="EWO2" s="88"/>
      <c r="EWP2" s="88"/>
      <c r="EWQ2" s="88"/>
      <c r="EWR2" s="88"/>
      <c r="EWS2" s="88"/>
      <c r="EWT2" s="88"/>
      <c r="EWU2" s="88"/>
      <c r="EWV2" s="88"/>
      <c r="EWW2" s="88"/>
      <c r="EWX2" s="88"/>
      <c r="EWY2" s="88"/>
      <c r="EWZ2" s="88"/>
      <c r="EXA2" s="88"/>
      <c r="EXB2" s="88"/>
      <c r="EXC2" s="88"/>
      <c r="EXD2" s="88"/>
      <c r="EXE2" s="88"/>
      <c r="EXF2" s="88"/>
      <c r="EXG2" s="88"/>
      <c r="EXH2" s="88"/>
      <c r="EXI2" s="88"/>
      <c r="EXJ2" s="88"/>
      <c r="EXK2" s="88"/>
      <c r="EXL2" s="88"/>
      <c r="EXM2" s="88"/>
      <c r="EXN2" s="88"/>
      <c r="EXO2" s="88"/>
      <c r="EXP2" s="88"/>
      <c r="EXQ2" s="88"/>
      <c r="EXR2" s="88"/>
      <c r="EXS2" s="88"/>
      <c r="EXT2" s="88"/>
      <c r="EXU2" s="88"/>
      <c r="EXV2" s="88"/>
      <c r="EXW2" s="88"/>
      <c r="EXX2" s="88"/>
      <c r="EXY2" s="88"/>
      <c r="EXZ2" s="88"/>
      <c r="EYA2" s="88"/>
      <c r="EYB2" s="88"/>
      <c r="EYC2" s="88"/>
      <c r="EYD2" s="88"/>
      <c r="EYE2" s="88"/>
      <c r="EYF2" s="88"/>
      <c r="EYG2" s="88"/>
      <c r="EYH2" s="88"/>
      <c r="EYI2" s="88"/>
      <c r="EYJ2" s="88"/>
      <c r="EYK2" s="88"/>
      <c r="EYL2" s="88"/>
      <c r="EYM2" s="88"/>
      <c r="EYN2" s="88"/>
      <c r="EYO2" s="88"/>
      <c r="EYP2" s="88"/>
      <c r="EYQ2" s="88"/>
      <c r="EYR2" s="88"/>
      <c r="EYS2" s="88"/>
      <c r="EYT2" s="88"/>
      <c r="EYU2" s="88"/>
      <c r="EYV2" s="88"/>
      <c r="EYW2" s="88"/>
      <c r="EYX2" s="88"/>
      <c r="EYY2" s="88"/>
      <c r="EYZ2" s="88"/>
      <c r="EZA2" s="88"/>
      <c r="EZB2" s="88"/>
      <c r="EZC2" s="88"/>
      <c r="EZD2" s="88"/>
      <c r="EZE2" s="88"/>
      <c r="EZF2" s="88"/>
      <c r="EZG2" s="88"/>
      <c r="EZH2" s="88"/>
      <c r="EZI2" s="88"/>
      <c r="EZJ2" s="88"/>
      <c r="EZK2" s="88"/>
      <c r="EZL2" s="88"/>
      <c r="EZM2" s="88"/>
      <c r="EZN2" s="88"/>
      <c r="EZO2" s="88"/>
      <c r="EZP2" s="88"/>
      <c r="EZQ2" s="88"/>
      <c r="EZR2" s="88"/>
      <c r="EZS2" s="88"/>
      <c r="EZT2" s="88"/>
      <c r="EZU2" s="88"/>
      <c r="EZV2" s="88"/>
      <c r="EZW2" s="88"/>
      <c r="EZX2" s="88"/>
      <c r="EZY2" s="88"/>
      <c r="EZZ2" s="88"/>
      <c r="FAA2" s="88"/>
      <c r="FAB2" s="88"/>
      <c r="FAC2" s="88"/>
      <c r="FAD2" s="88"/>
      <c r="FAE2" s="88"/>
      <c r="FAF2" s="88"/>
      <c r="FAG2" s="88"/>
      <c r="FAH2" s="88"/>
      <c r="FAI2" s="88"/>
      <c r="FAJ2" s="88"/>
      <c r="FAK2" s="88"/>
      <c r="FAL2" s="88"/>
      <c r="FAM2" s="88"/>
      <c r="FAN2" s="88"/>
      <c r="FAO2" s="88"/>
      <c r="FAP2" s="88"/>
      <c r="FAQ2" s="88"/>
      <c r="FAR2" s="88"/>
      <c r="FAS2" s="88"/>
      <c r="FAT2" s="88"/>
      <c r="FAU2" s="88"/>
      <c r="FAV2" s="88"/>
      <c r="FAW2" s="88"/>
      <c r="FAX2" s="88"/>
      <c r="FAY2" s="88"/>
      <c r="FAZ2" s="88"/>
      <c r="FBA2" s="88"/>
      <c r="FBB2" s="88"/>
      <c r="FBC2" s="88"/>
      <c r="FBD2" s="88"/>
      <c r="FBE2" s="88"/>
      <c r="FBF2" s="88"/>
      <c r="FBG2" s="88"/>
      <c r="FBH2" s="88"/>
      <c r="FBI2" s="88"/>
      <c r="FBJ2" s="88"/>
      <c r="FBK2" s="88"/>
      <c r="FBL2" s="88"/>
      <c r="FBM2" s="88"/>
      <c r="FBN2" s="88"/>
      <c r="FBO2" s="88"/>
      <c r="FBP2" s="88"/>
      <c r="FBQ2" s="88"/>
      <c r="FBR2" s="88"/>
      <c r="FBS2" s="88"/>
      <c r="FBT2" s="88"/>
      <c r="FBU2" s="88"/>
      <c r="FBV2" s="88"/>
      <c r="FBW2" s="88"/>
      <c r="FBX2" s="88"/>
      <c r="FBY2" s="88"/>
      <c r="FBZ2" s="88"/>
      <c r="FCA2" s="88"/>
      <c r="FCB2" s="88"/>
      <c r="FCC2" s="88"/>
      <c r="FCD2" s="88"/>
      <c r="FCE2" s="88"/>
      <c r="FCF2" s="88"/>
      <c r="FCG2" s="88"/>
      <c r="FCH2" s="88"/>
      <c r="FCI2" s="88"/>
      <c r="FCJ2" s="88"/>
      <c r="FCK2" s="88"/>
      <c r="FCL2" s="88"/>
      <c r="FCM2" s="88"/>
      <c r="FCN2" s="88"/>
      <c r="FCO2" s="88"/>
      <c r="FCP2" s="88"/>
      <c r="FCQ2" s="88"/>
      <c r="FCR2" s="88"/>
      <c r="FCS2" s="88"/>
      <c r="FCT2" s="88"/>
      <c r="FCU2" s="88"/>
      <c r="FCV2" s="88"/>
      <c r="FCW2" s="88"/>
      <c r="FCX2" s="88"/>
      <c r="FCY2" s="88"/>
      <c r="FCZ2" s="88"/>
      <c r="FDA2" s="88"/>
      <c r="FDB2" s="88"/>
      <c r="FDC2" s="88"/>
      <c r="FDD2" s="88"/>
      <c r="FDE2" s="88"/>
      <c r="FDF2" s="88"/>
      <c r="FDG2" s="88"/>
      <c r="FDH2" s="88"/>
      <c r="FDI2" s="88"/>
      <c r="FDJ2" s="88"/>
      <c r="FDK2" s="88"/>
      <c r="FDL2" s="88"/>
      <c r="FDM2" s="88"/>
      <c r="FDN2" s="88"/>
      <c r="FDO2" s="88"/>
      <c r="FDP2" s="88"/>
      <c r="FDQ2" s="88"/>
      <c r="FDR2" s="88"/>
      <c r="FDS2" s="88"/>
      <c r="FDT2" s="88"/>
      <c r="FDU2" s="88"/>
      <c r="FDV2" s="88"/>
      <c r="FDW2" s="88"/>
      <c r="FDX2" s="88"/>
      <c r="FDY2" s="88"/>
      <c r="FDZ2" s="88"/>
      <c r="FEA2" s="88"/>
      <c r="FEB2" s="88"/>
      <c r="FEC2" s="88"/>
      <c r="FED2" s="88"/>
      <c r="FEE2" s="88"/>
      <c r="FEF2" s="88"/>
      <c r="FEG2" s="88"/>
      <c r="FEH2" s="88"/>
      <c r="FEI2" s="88"/>
      <c r="FEJ2" s="88"/>
      <c r="FEK2" s="88"/>
      <c r="FEL2" s="88"/>
      <c r="FEM2" s="88"/>
      <c r="FEN2" s="88"/>
      <c r="FEO2" s="88"/>
      <c r="FEP2" s="88"/>
      <c r="FEQ2" s="88"/>
      <c r="FER2" s="88"/>
      <c r="FES2" s="88"/>
      <c r="FET2" s="88"/>
      <c r="FEU2" s="88"/>
      <c r="FEV2" s="88"/>
      <c r="FEW2" s="88"/>
      <c r="FEX2" s="88"/>
      <c r="FEY2" s="88"/>
      <c r="FEZ2" s="88"/>
      <c r="FFA2" s="88"/>
      <c r="FFB2" s="88"/>
      <c r="FFC2" s="88"/>
      <c r="FFD2" s="88"/>
      <c r="FFE2" s="88"/>
      <c r="FFF2" s="88"/>
      <c r="FFG2" s="88"/>
      <c r="FFH2" s="88"/>
      <c r="FFI2" s="88"/>
      <c r="FFJ2" s="88"/>
      <c r="FFK2" s="88"/>
      <c r="FFL2" s="88"/>
      <c r="FFM2" s="88"/>
      <c r="FFN2" s="88"/>
      <c r="FFO2" s="88"/>
      <c r="FFP2" s="88"/>
      <c r="FFQ2" s="88"/>
      <c r="FFR2" s="88"/>
      <c r="FFS2" s="88"/>
      <c r="FFT2" s="88"/>
      <c r="FFU2" s="88"/>
      <c r="FFV2" s="88"/>
      <c r="FFW2" s="88"/>
      <c r="FFX2" s="88"/>
      <c r="FFY2" s="88"/>
      <c r="FFZ2" s="88"/>
      <c r="FGA2" s="88"/>
      <c r="FGB2" s="88"/>
      <c r="FGC2" s="88"/>
      <c r="FGD2" s="88"/>
      <c r="FGE2" s="88"/>
      <c r="FGF2" s="88"/>
      <c r="FGG2" s="88"/>
      <c r="FGH2" s="88"/>
      <c r="FGI2" s="88"/>
      <c r="FGJ2" s="88"/>
      <c r="FGK2" s="88"/>
      <c r="FGL2" s="88"/>
      <c r="FGM2" s="88"/>
      <c r="FGN2" s="88"/>
      <c r="FGO2" s="88"/>
      <c r="FGP2" s="88"/>
      <c r="FGQ2" s="88"/>
      <c r="FGR2" s="88"/>
      <c r="FGS2" s="88"/>
      <c r="FGT2" s="88"/>
      <c r="FGU2" s="88"/>
      <c r="FGV2" s="88"/>
      <c r="FGW2" s="88"/>
      <c r="FGX2" s="88"/>
      <c r="FGY2" s="88"/>
      <c r="FGZ2" s="88"/>
      <c r="FHA2" s="88"/>
      <c r="FHB2" s="88"/>
      <c r="FHC2" s="88"/>
      <c r="FHD2" s="88"/>
      <c r="FHE2" s="88"/>
      <c r="FHF2" s="88"/>
      <c r="FHG2" s="88"/>
      <c r="FHH2" s="88"/>
      <c r="FHI2" s="88"/>
      <c r="FHJ2" s="88"/>
      <c r="FHK2" s="88"/>
      <c r="FHL2" s="88"/>
      <c r="FHM2" s="88"/>
      <c r="FHN2" s="88"/>
      <c r="FHO2" s="88"/>
      <c r="FHP2" s="88"/>
      <c r="FHQ2" s="88"/>
      <c r="FHR2" s="88"/>
      <c r="FHS2" s="88"/>
      <c r="FHT2" s="88"/>
      <c r="FHU2" s="88"/>
      <c r="FHV2" s="88"/>
      <c r="FHW2" s="88"/>
      <c r="FHX2" s="88"/>
      <c r="FHY2" s="88"/>
      <c r="FHZ2" s="88"/>
      <c r="FIA2" s="88"/>
      <c r="FIB2" s="88"/>
      <c r="FIC2" s="88"/>
      <c r="FID2" s="88"/>
      <c r="FIE2" s="88"/>
      <c r="FIF2" s="88"/>
      <c r="FIG2" s="88"/>
      <c r="FIH2" s="88"/>
      <c r="FII2" s="88"/>
      <c r="FIJ2" s="88"/>
      <c r="FIK2" s="88"/>
      <c r="FIL2" s="88"/>
      <c r="FIM2" s="88"/>
      <c r="FIN2" s="88"/>
      <c r="FIO2" s="88"/>
      <c r="FIP2" s="88"/>
      <c r="FIQ2" s="88"/>
      <c r="FIR2" s="88"/>
      <c r="FIS2" s="88"/>
      <c r="FIT2" s="88"/>
      <c r="FIU2" s="88"/>
      <c r="FIV2" s="88"/>
      <c r="FIW2" s="88"/>
      <c r="FIX2" s="88"/>
      <c r="FIY2" s="88"/>
      <c r="FIZ2" s="88"/>
      <c r="FJA2" s="88"/>
      <c r="FJB2" s="88"/>
      <c r="FJC2" s="88"/>
      <c r="FJD2" s="88"/>
      <c r="FJE2" s="88"/>
      <c r="FJF2" s="88"/>
      <c r="FJG2" s="88"/>
      <c r="FJH2" s="88"/>
      <c r="FJI2" s="88"/>
      <c r="FJJ2" s="88"/>
      <c r="FJK2" s="88"/>
      <c r="FJL2" s="88"/>
      <c r="FJM2" s="88"/>
      <c r="FJN2" s="88"/>
      <c r="FJO2" s="88"/>
      <c r="FJP2" s="88"/>
      <c r="FJQ2" s="88"/>
      <c r="FJR2" s="88"/>
      <c r="FJS2" s="88"/>
      <c r="FJT2" s="88"/>
      <c r="FJU2" s="88"/>
      <c r="FJV2" s="88"/>
      <c r="FJW2" s="88"/>
      <c r="FJX2" s="88"/>
      <c r="FJY2" s="88"/>
      <c r="FJZ2" s="88"/>
      <c r="FKA2" s="88"/>
      <c r="FKB2" s="88"/>
      <c r="FKC2" s="88"/>
      <c r="FKD2" s="88"/>
      <c r="FKE2" s="88"/>
      <c r="FKF2" s="88"/>
      <c r="FKG2" s="88"/>
      <c r="FKH2" s="88"/>
      <c r="FKI2" s="88"/>
      <c r="FKJ2" s="88"/>
      <c r="FKK2" s="88"/>
      <c r="FKL2" s="88"/>
      <c r="FKM2" s="88"/>
      <c r="FKN2" s="88"/>
      <c r="FKO2" s="88"/>
      <c r="FKP2" s="88"/>
      <c r="FKQ2" s="88"/>
      <c r="FKR2" s="88"/>
      <c r="FKS2" s="88"/>
      <c r="FKT2" s="88"/>
      <c r="FKU2" s="88"/>
      <c r="FKV2" s="88"/>
      <c r="FKW2" s="88"/>
      <c r="FKX2" s="88"/>
      <c r="FKY2" s="88"/>
      <c r="FKZ2" s="88"/>
      <c r="FLA2" s="88"/>
      <c r="FLB2" s="88"/>
      <c r="FLC2" s="88"/>
      <c r="FLD2" s="88"/>
      <c r="FLE2" s="88"/>
      <c r="FLF2" s="88"/>
      <c r="FLG2" s="88"/>
      <c r="FLH2" s="88"/>
      <c r="FLI2" s="88"/>
      <c r="FLJ2" s="88"/>
      <c r="FLK2" s="88"/>
      <c r="FLL2" s="88"/>
      <c r="FLM2" s="88"/>
      <c r="FLN2" s="88"/>
      <c r="FLO2" s="88"/>
      <c r="FLP2" s="88"/>
      <c r="FLQ2" s="88"/>
      <c r="FLR2" s="88"/>
      <c r="FLS2" s="88"/>
      <c r="FLT2" s="88"/>
      <c r="FLU2" s="88"/>
      <c r="FLV2" s="88"/>
      <c r="FLW2" s="88"/>
      <c r="FLX2" s="88"/>
      <c r="FLY2" s="88"/>
      <c r="FLZ2" s="88"/>
      <c r="FMA2" s="88"/>
      <c r="FMB2" s="88"/>
      <c r="FMC2" s="88"/>
      <c r="FMD2" s="88"/>
      <c r="FME2" s="88"/>
      <c r="FMF2" s="88"/>
      <c r="FMG2" s="88"/>
      <c r="FMH2" s="88"/>
      <c r="FMI2" s="88"/>
      <c r="FMJ2" s="88"/>
      <c r="FMK2" s="88"/>
      <c r="FML2" s="88"/>
      <c r="FMM2" s="88"/>
      <c r="FMN2" s="88"/>
      <c r="FMO2" s="88"/>
      <c r="FMP2" s="88"/>
      <c r="FMQ2" s="88"/>
      <c r="FMR2" s="88"/>
      <c r="FMS2" s="88"/>
      <c r="FMT2" s="88"/>
      <c r="FMU2" s="88"/>
      <c r="FMV2" s="88"/>
      <c r="FMW2" s="88"/>
      <c r="FMX2" s="88"/>
      <c r="FMY2" s="88"/>
      <c r="FMZ2" s="88"/>
      <c r="FNA2" s="88"/>
      <c r="FNB2" s="88"/>
      <c r="FNC2" s="88"/>
      <c r="FND2" s="88"/>
      <c r="FNE2" s="88"/>
      <c r="FNF2" s="88"/>
      <c r="FNG2" s="88"/>
      <c r="FNH2" s="88"/>
      <c r="FNI2" s="88"/>
      <c r="FNJ2" s="88"/>
      <c r="FNK2" s="88"/>
      <c r="FNL2" s="88"/>
      <c r="FNM2" s="88"/>
      <c r="FNN2" s="88"/>
      <c r="FNO2" s="88"/>
      <c r="FNP2" s="88"/>
      <c r="FNQ2" s="88"/>
      <c r="FNR2" s="88"/>
      <c r="FNS2" s="88"/>
      <c r="FNT2" s="88"/>
      <c r="FNU2" s="88"/>
      <c r="FNV2" s="88"/>
      <c r="FNW2" s="88"/>
      <c r="FNX2" s="88"/>
      <c r="FNY2" s="88"/>
      <c r="FNZ2" s="88"/>
      <c r="FOA2" s="88"/>
      <c r="FOB2" s="88"/>
      <c r="FOC2" s="88"/>
      <c r="FOD2" s="88"/>
      <c r="FOE2" s="88"/>
      <c r="FOF2" s="88"/>
      <c r="FOG2" s="88"/>
      <c r="FOH2" s="88"/>
      <c r="FOI2" s="88"/>
      <c r="FOJ2" s="88"/>
      <c r="FOK2" s="88"/>
      <c r="FOL2" s="88"/>
      <c r="FOM2" s="88"/>
      <c r="FON2" s="88"/>
      <c r="FOO2" s="88"/>
      <c r="FOP2" s="88"/>
      <c r="FOQ2" s="88"/>
      <c r="FOR2" s="88"/>
      <c r="FOS2" s="88"/>
      <c r="FOT2" s="88"/>
      <c r="FOU2" s="88"/>
      <c r="FOV2" s="88"/>
      <c r="FOW2" s="88"/>
      <c r="FOX2" s="88"/>
      <c r="FOY2" s="88"/>
      <c r="FOZ2" s="88"/>
      <c r="FPA2" s="88"/>
      <c r="FPB2" s="88"/>
      <c r="FPC2" s="88"/>
      <c r="FPD2" s="88"/>
      <c r="FPE2" s="88"/>
      <c r="FPF2" s="88"/>
      <c r="FPG2" s="88"/>
      <c r="FPH2" s="88"/>
      <c r="FPI2" s="88"/>
      <c r="FPJ2" s="88"/>
      <c r="FPK2" s="88"/>
      <c r="FPL2" s="88"/>
      <c r="FPM2" s="88"/>
      <c r="FPN2" s="88"/>
      <c r="FPO2" s="88"/>
      <c r="FPP2" s="88"/>
      <c r="FPQ2" s="88"/>
      <c r="FPR2" s="88"/>
      <c r="FPS2" s="88"/>
      <c r="FPT2" s="88"/>
      <c r="FPU2" s="88"/>
      <c r="FPV2" s="88"/>
      <c r="FPW2" s="88"/>
      <c r="FPX2" s="88"/>
      <c r="FPY2" s="88"/>
      <c r="FPZ2" s="88"/>
      <c r="FQA2" s="88"/>
      <c r="FQB2" s="88"/>
      <c r="FQC2" s="88"/>
      <c r="FQD2" s="88"/>
      <c r="FQE2" s="88"/>
      <c r="FQF2" s="88"/>
      <c r="FQG2" s="88"/>
      <c r="FQH2" s="88"/>
      <c r="FQI2" s="88"/>
      <c r="FQJ2" s="88"/>
      <c r="FQK2" s="88"/>
      <c r="FQL2" s="88"/>
      <c r="FQM2" s="88"/>
      <c r="FQN2" s="88"/>
      <c r="FQO2" s="88"/>
      <c r="FQP2" s="88"/>
      <c r="FQQ2" s="88"/>
      <c r="FQR2" s="88"/>
      <c r="FQS2" s="88"/>
      <c r="FQT2" s="88"/>
      <c r="FQU2" s="88"/>
      <c r="FQV2" s="88"/>
      <c r="FQW2" s="88"/>
      <c r="FQX2" s="88"/>
      <c r="FQY2" s="88"/>
      <c r="FQZ2" s="88"/>
      <c r="FRA2" s="88"/>
      <c r="FRB2" s="88"/>
      <c r="FRC2" s="88"/>
      <c r="FRD2" s="88"/>
      <c r="FRE2" s="88"/>
      <c r="FRF2" s="88"/>
      <c r="FRG2" s="88"/>
      <c r="FRH2" s="88"/>
      <c r="FRI2" s="88"/>
      <c r="FRJ2" s="88"/>
      <c r="FRK2" s="88"/>
      <c r="FRL2" s="88"/>
      <c r="FRM2" s="88"/>
      <c r="FRN2" s="88"/>
      <c r="FRO2" s="88"/>
      <c r="FRP2" s="88"/>
      <c r="FRQ2" s="88"/>
      <c r="FRR2" s="88"/>
      <c r="FRS2" s="88"/>
      <c r="FRT2" s="88"/>
      <c r="FRU2" s="88"/>
      <c r="FRV2" s="88"/>
      <c r="FRW2" s="88"/>
      <c r="FRX2" s="88"/>
      <c r="FRY2" s="88"/>
      <c r="FRZ2" s="88"/>
      <c r="FSA2" s="88"/>
      <c r="FSB2" s="88"/>
      <c r="FSC2" s="88"/>
      <c r="FSD2" s="88"/>
      <c r="FSE2" s="88"/>
      <c r="FSF2" s="88"/>
      <c r="FSG2" s="88"/>
      <c r="FSH2" s="88"/>
      <c r="FSI2" s="88"/>
      <c r="FSJ2" s="88"/>
      <c r="FSK2" s="88"/>
      <c r="FSL2" s="88"/>
      <c r="FSM2" s="88"/>
      <c r="FSN2" s="88"/>
      <c r="FSO2" s="88"/>
      <c r="FSP2" s="88"/>
      <c r="FSQ2" s="88"/>
      <c r="FSR2" s="88"/>
      <c r="FSS2" s="88"/>
      <c r="FST2" s="88"/>
      <c r="FSU2" s="88"/>
      <c r="FSV2" s="88"/>
      <c r="FSW2" s="88"/>
      <c r="FSX2" s="88"/>
      <c r="FSY2" s="88"/>
      <c r="FSZ2" s="88"/>
      <c r="FTA2" s="88"/>
      <c r="FTB2" s="88"/>
      <c r="FTC2" s="88"/>
      <c r="FTD2" s="88"/>
      <c r="FTE2" s="88"/>
      <c r="FTF2" s="88"/>
      <c r="FTG2" s="88"/>
      <c r="FTH2" s="88"/>
      <c r="FTI2" s="88"/>
      <c r="FTJ2" s="88"/>
      <c r="FTK2" s="88"/>
      <c r="FTL2" s="88"/>
      <c r="FTM2" s="88"/>
      <c r="FTN2" s="88"/>
      <c r="FTO2" s="88"/>
      <c r="FTP2" s="88"/>
      <c r="FTQ2" s="88"/>
      <c r="FTR2" s="88"/>
      <c r="FTS2" s="88"/>
      <c r="FTT2" s="88"/>
      <c r="FTU2" s="88"/>
      <c r="FTV2" s="88"/>
      <c r="FTW2" s="88"/>
      <c r="FTX2" s="88"/>
      <c r="FTY2" s="88"/>
      <c r="FTZ2" s="88"/>
      <c r="FUA2" s="88"/>
      <c r="FUB2" s="88"/>
      <c r="FUC2" s="88"/>
      <c r="FUD2" s="88"/>
      <c r="FUE2" s="88"/>
      <c r="FUF2" s="88"/>
      <c r="FUG2" s="88"/>
      <c r="FUH2" s="88"/>
      <c r="FUI2" s="88"/>
      <c r="FUJ2" s="88"/>
      <c r="FUK2" s="88"/>
      <c r="FUL2" s="88"/>
      <c r="FUM2" s="88"/>
      <c r="FUN2" s="88"/>
      <c r="FUO2" s="88"/>
      <c r="FUP2" s="88"/>
      <c r="FUQ2" s="88"/>
      <c r="FUR2" s="88"/>
      <c r="FUS2" s="88"/>
      <c r="FUT2" s="88"/>
      <c r="FUU2" s="88"/>
      <c r="FUV2" s="88"/>
      <c r="FUW2" s="88"/>
      <c r="FUX2" s="88"/>
      <c r="FUY2" s="88"/>
      <c r="FUZ2" s="88"/>
      <c r="FVA2" s="88"/>
      <c r="FVB2" s="88"/>
      <c r="FVC2" s="88"/>
      <c r="FVD2" s="88"/>
      <c r="FVE2" s="88"/>
      <c r="FVF2" s="88"/>
      <c r="FVG2" s="88"/>
      <c r="FVH2" s="88"/>
      <c r="FVI2" s="88"/>
      <c r="FVJ2" s="88"/>
      <c r="FVK2" s="88"/>
      <c r="FVL2" s="88"/>
      <c r="FVM2" s="88"/>
      <c r="FVN2" s="88"/>
      <c r="FVO2" s="88"/>
      <c r="FVP2" s="88"/>
      <c r="FVQ2" s="88"/>
      <c r="FVR2" s="88"/>
      <c r="FVS2" s="88"/>
      <c r="FVT2" s="88"/>
      <c r="FVU2" s="88"/>
      <c r="FVV2" s="88"/>
      <c r="FVW2" s="88"/>
      <c r="FVX2" s="88"/>
      <c r="FVY2" s="88"/>
      <c r="FVZ2" s="88"/>
      <c r="FWA2" s="88"/>
      <c r="FWB2" s="88"/>
      <c r="FWC2" s="88"/>
      <c r="FWD2" s="88"/>
      <c r="FWE2" s="88"/>
      <c r="FWF2" s="88"/>
      <c r="FWG2" s="88"/>
      <c r="FWH2" s="88"/>
      <c r="FWI2" s="88"/>
      <c r="FWJ2" s="88"/>
      <c r="FWK2" s="88"/>
      <c r="FWL2" s="88"/>
      <c r="FWM2" s="88"/>
      <c r="FWN2" s="88"/>
      <c r="FWO2" s="88"/>
      <c r="FWP2" s="88"/>
      <c r="FWQ2" s="88"/>
      <c r="FWR2" s="88"/>
      <c r="FWS2" s="88"/>
      <c r="FWT2" s="88"/>
      <c r="FWU2" s="88"/>
      <c r="FWV2" s="88"/>
      <c r="FWW2" s="88"/>
      <c r="FWX2" s="88"/>
      <c r="FWY2" s="88"/>
      <c r="FWZ2" s="88"/>
      <c r="FXA2" s="88"/>
      <c r="FXB2" s="88"/>
      <c r="FXC2" s="88"/>
      <c r="FXD2" s="88"/>
      <c r="FXE2" s="88"/>
      <c r="FXF2" s="88"/>
      <c r="FXG2" s="88"/>
      <c r="FXH2" s="88"/>
      <c r="FXI2" s="88"/>
      <c r="FXJ2" s="88"/>
      <c r="FXK2" s="88"/>
      <c r="FXL2" s="88"/>
      <c r="FXM2" s="88"/>
      <c r="FXN2" s="88"/>
      <c r="FXO2" s="88"/>
      <c r="FXP2" s="88"/>
      <c r="FXQ2" s="88"/>
      <c r="FXR2" s="88"/>
      <c r="FXS2" s="88"/>
      <c r="FXT2" s="88"/>
      <c r="FXU2" s="88"/>
      <c r="FXV2" s="88"/>
      <c r="FXW2" s="88"/>
      <c r="FXX2" s="88"/>
      <c r="FXY2" s="88"/>
      <c r="FXZ2" s="88"/>
      <c r="FYA2" s="88"/>
      <c r="FYB2" s="88"/>
      <c r="FYC2" s="88"/>
      <c r="FYD2" s="88"/>
      <c r="FYE2" s="88"/>
      <c r="FYF2" s="88"/>
      <c r="FYG2" s="88"/>
      <c r="FYH2" s="88"/>
      <c r="FYI2" s="88"/>
      <c r="FYJ2" s="88"/>
      <c r="FYK2" s="88"/>
      <c r="FYL2" s="88"/>
      <c r="FYM2" s="88"/>
      <c r="FYN2" s="88"/>
      <c r="FYO2" s="88"/>
      <c r="FYP2" s="88"/>
      <c r="FYQ2" s="88"/>
      <c r="FYR2" s="88"/>
      <c r="FYS2" s="88"/>
      <c r="FYT2" s="88"/>
      <c r="FYU2" s="88"/>
      <c r="FYV2" s="88"/>
      <c r="FYW2" s="88"/>
      <c r="FYX2" s="88"/>
      <c r="FYY2" s="88"/>
      <c r="FYZ2" s="88"/>
      <c r="FZA2" s="88"/>
      <c r="FZB2" s="88"/>
      <c r="FZC2" s="88"/>
      <c r="FZD2" s="88"/>
      <c r="FZE2" s="88"/>
      <c r="FZF2" s="88"/>
      <c r="FZG2" s="88"/>
      <c r="FZH2" s="88"/>
      <c r="FZI2" s="88"/>
      <c r="FZJ2" s="88"/>
      <c r="FZK2" s="88"/>
      <c r="FZL2" s="88"/>
      <c r="FZM2" s="88"/>
      <c r="FZN2" s="88"/>
      <c r="FZO2" s="88"/>
      <c r="FZP2" s="88"/>
      <c r="FZQ2" s="88"/>
      <c r="FZR2" s="88"/>
      <c r="FZS2" s="88"/>
      <c r="FZT2" s="88"/>
      <c r="FZU2" s="88"/>
      <c r="FZV2" s="88"/>
      <c r="FZW2" s="88"/>
      <c r="FZX2" s="88"/>
      <c r="FZY2" s="88"/>
      <c r="FZZ2" s="88"/>
      <c r="GAA2" s="88"/>
      <c r="GAB2" s="88"/>
      <c r="GAC2" s="88"/>
      <c r="GAD2" s="88"/>
      <c r="GAE2" s="88"/>
      <c r="GAF2" s="88"/>
      <c r="GAG2" s="88"/>
      <c r="GAH2" s="88"/>
      <c r="GAI2" s="88"/>
      <c r="GAJ2" s="88"/>
      <c r="GAK2" s="88"/>
      <c r="GAL2" s="88"/>
      <c r="GAM2" s="88"/>
      <c r="GAN2" s="88"/>
      <c r="GAO2" s="88"/>
      <c r="GAP2" s="88"/>
      <c r="GAQ2" s="88"/>
      <c r="GAR2" s="88"/>
      <c r="GAS2" s="88"/>
      <c r="GAT2" s="88"/>
      <c r="GAU2" s="88"/>
      <c r="GAV2" s="88"/>
      <c r="GAW2" s="88"/>
      <c r="GAX2" s="88"/>
      <c r="GAY2" s="88"/>
      <c r="GAZ2" s="88"/>
      <c r="GBA2" s="88"/>
      <c r="GBB2" s="88"/>
      <c r="GBC2" s="88"/>
      <c r="GBD2" s="88"/>
      <c r="GBE2" s="88"/>
      <c r="GBF2" s="88"/>
      <c r="GBG2" s="88"/>
      <c r="GBH2" s="88"/>
      <c r="GBI2" s="88"/>
      <c r="GBJ2" s="88"/>
      <c r="GBK2" s="88"/>
      <c r="GBL2" s="88"/>
      <c r="GBM2" s="88"/>
      <c r="GBN2" s="88"/>
      <c r="GBO2" s="88"/>
      <c r="GBP2" s="88"/>
      <c r="GBQ2" s="88"/>
      <c r="GBR2" s="88"/>
      <c r="GBS2" s="88"/>
      <c r="GBT2" s="88"/>
      <c r="GBU2" s="88"/>
      <c r="GBV2" s="88"/>
      <c r="GBW2" s="88"/>
      <c r="GBX2" s="88"/>
      <c r="GBY2" s="88"/>
      <c r="GBZ2" s="88"/>
      <c r="GCA2" s="88"/>
      <c r="GCB2" s="88"/>
      <c r="GCC2" s="88"/>
      <c r="GCD2" s="88"/>
      <c r="GCE2" s="88"/>
      <c r="GCF2" s="88"/>
      <c r="GCG2" s="88"/>
      <c r="GCH2" s="88"/>
      <c r="GCI2" s="88"/>
      <c r="GCJ2" s="88"/>
      <c r="GCK2" s="88"/>
      <c r="GCL2" s="88"/>
      <c r="GCM2" s="88"/>
      <c r="GCN2" s="88"/>
      <c r="GCO2" s="88"/>
      <c r="GCP2" s="88"/>
      <c r="GCQ2" s="88"/>
      <c r="GCR2" s="88"/>
      <c r="GCS2" s="88"/>
      <c r="GCT2" s="88"/>
      <c r="GCU2" s="88"/>
      <c r="GCV2" s="88"/>
      <c r="GCW2" s="88"/>
      <c r="GCX2" s="88"/>
      <c r="GCY2" s="88"/>
      <c r="GCZ2" s="88"/>
      <c r="GDA2" s="88"/>
      <c r="GDB2" s="88"/>
      <c r="GDC2" s="88"/>
      <c r="GDD2" s="88"/>
      <c r="GDE2" s="88"/>
      <c r="GDF2" s="88"/>
      <c r="GDG2" s="88"/>
      <c r="GDH2" s="88"/>
      <c r="GDI2" s="88"/>
      <c r="GDJ2" s="88"/>
      <c r="GDK2" s="88"/>
      <c r="GDL2" s="88"/>
      <c r="GDM2" s="88"/>
      <c r="GDN2" s="88"/>
      <c r="GDO2" s="88"/>
      <c r="GDP2" s="88"/>
      <c r="GDQ2" s="88"/>
      <c r="GDR2" s="88"/>
      <c r="GDS2" s="88"/>
      <c r="GDT2" s="88"/>
      <c r="GDU2" s="88"/>
      <c r="GDV2" s="88"/>
      <c r="GDW2" s="88"/>
      <c r="GDX2" s="88"/>
      <c r="GDY2" s="88"/>
      <c r="GDZ2" s="88"/>
      <c r="GEA2" s="88"/>
      <c r="GEB2" s="88"/>
      <c r="GEC2" s="88"/>
      <c r="GED2" s="88"/>
      <c r="GEE2" s="88"/>
      <c r="GEF2" s="88"/>
      <c r="GEG2" s="88"/>
      <c r="GEH2" s="88"/>
      <c r="GEI2" s="88"/>
      <c r="GEJ2" s="88"/>
      <c r="GEK2" s="88"/>
      <c r="GEL2" s="88"/>
      <c r="GEM2" s="88"/>
      <c r="GEN2" s="88"/>
      <c r="GEO2" s="88"/>
      <c r="GEP2" s="88"/>
      <c r="GEQ2" s="88"/>
      <c r="GER2" s="88"/>
      <c r="GES2" s="88"/>
      <c r="GET2" s="88"/>
      <c r="GEU2" s="88"/>
      <c r="GEV2" s="88"/>
      <c r="GEW2" s="88"/>
      <c r="GEX2" s="88"/>
      <c r="GEY2" s="88"/>
      <c r="GEZ2" s="88"/>
      <c r="GFA2" s="88"/>
      <c r="GFB2" s="88"/>
      <c r="GFC2" s="88"/>
      <c r="GFD2" s="88"/>
      <c r="GFE2" s="88"/>
      <c r="GFF2" s="88"/>
      <c r="GFG2" s="88"/>
      <c r="GFH2" s="88"/>
      <c r="GFI2" s="88"/>
      <c r="GFJ2" s="88"/>
      <c r="GFK2" s="88"/>
      <c r="GFL2" s="88"/>
      <c r="GFM2" s="88"/>
      <c r="GFN2" s="88"/>
      <c r="GFO2" s="88"/>
      <c r="GFP2" s="88"/>
      <c r="GFQ2" s="88"/>
      <c r="GFR2" s="88"/>
      <c r="GFS2" s="88"/>
      <c r="GFT2" s="88"/>
      <c r="GFU2" s="88"/>
      <c r="GFV2" s="88"/>
      <c r="GFW2" s="88"/>
      <c r="GFX2" s="88"/>
      <c r="GFY2" s="88"/>
      <c r="GFZ2" s="88"/>
      <c r="GGA2" s="88"/>
      <c r="GGB2" s="88"/>
      <c r="GGC2" s="88"/>
      <c r="GGD2" s="88"/>
      <c r="GGE2" s="88"/>
      <c r="GGF2" s="88"/>
      <c r="GGG2" s="88"/>
      <c r="GGH2" s="88"/>
      <c r="GGI2" s="88"/>
      <c r="GGJ2" s="88"/>
      <c r="GGK2" s="88"/>
      <c r="GGL2" s="88"/>
      <c r="GGM2" s="88"/>
      <c r="GGN2" s="88"/>
      <c r="GGO2" s="88"/>
      <c r="GGP2" s="88"/>
      <c r="GGQ2" s="88"/>
      <c r="GGR2" s="88"/>
      <c r="GGS2" s="88"/>
      <c r="GGT2" s="88"/>
      <c r="GGU2" s="88"/>
      <c r="GGV2" s="88"/>
      <c r="GGW2" s="88"/>
      <c r="GGX2" s="88"/>
      <c r="GGY2" s="88"/>
      <c r="GGZ2" s="88"/>
      <c r="GHA2" s="88"/>
      <c r="GHB2" s="88"/>
      <c r="GHC2" s="88"/>
      <c r="GHD2" s="88"/>
      <c r="GHE2" s="88"/>
      <c r="GHF2" s="88"/>
      <c r="GHG2" s="88"/>
      <c r="GHH2" s="88"/>
      <c r="GHI2" s="88"/>
      <c r="GHJ2" s="88"/>
      <c r="GHK2" s="88"/>
      <c r="GHL2" s="88"/>
      <c r="GHM2" s="88"/>
      <c r="GHN2" s="88"/>
      <c r="GHO2" s="88"/>
      <c r="GHP2" s="88"/>
      <c r="GHQ2" s="88"/>
      <c r="GHR2" s="88"/>
      <c r="GHS2" s="88"/>
      <c r="GHT2" s="88"/>
      <c r="GHU2" s="88"/>
      <c r="GHV2" s="88"/>
      <c r="GHW2" s="88"/>
      <c r="GHX2" s="88"/>
      <c r="GHY2" s="88"/>
      <c r="GHZ2" s="88"/>
      <c r="GIA2" s="88"/>
      <c r="GIB2" s="88"/>
      <c r="GIC2" s="88"/>
      <c r="GID2" s="88"/>
      <c r="GIE2" s="88"/>
      <c r="GIF2" s="88"/>
      <c r="GIG2" s="88"/>
      <c r="GIH2" s="88"/>
      <c r="GII2" s="88"/>
      <c r="GIJ2" s="88"/>
      <c r="GIK2" s="88"/>
      <c r="GIL2" s="88"/>
      <c r="GIM2" s="88"/>
      <c r="GIN2" s="88"/>
      <c r="GIO2" s="88"/>
      <c r="GIP2" s="88"/>
      <c r="GIQ2" s="88"/>
      <c r="GIR2" s="88"/>
      <c r="GIS2" s="88"/>
      <c r="GIT2" s="88"/>
      <c r="GIU2" s="88"/>
      <c r="GIV2" s="88"/>
      <c r="GIW2" s="88"/>
      <c r="GIX2" s="88"/>
      <c r="GIY2" s="88"/>
      <c r="GIZ2" s="88"/>
      <c r="GJA2" s="88"/>
      <c r="GJB2" s="88"/>
      <c r="GJC2" s="88"/>
      <c r="GJD2" s="88"/>
      <c r="GJE2" s="88"/>
      <c r="GJF2" s="88"/>
      <c r="GJG2" s="88"/>
      <c r="GJH2" s="88"/>
      <c r="GJI2" s="88"/>
      <c r="GJJ2" s="88"/>
      <c r="GJK2" s="88"/>
      <c r="GJL2" s="88"/>
      <c r="GJM2" s="88"/>
      <c r="GJN2" s="88"/>
      <c r="GJO2" s="88"/>
      <c r="GJP2" s="88"/>
      <c r="GJQ2" s="88"/>
      <c r="GJR2" s="88"/>
      <c r="GJS2" s="88"/>
      <c r="GJT2" s="88"/>
      <c r="GJU2" s="88"/>
      <c r="GJV2" s="88"/>
      <c r="GJW2" s="88"/>
      <c r="GJX2" s="88"/>
      <c r="GJY2" s="88"/>
      <c r="GJZ2" s="88"/>
      <c r="GKA2" s="88"/>
      <c r="GKB2" s="88"/>
      <c r="GKC2" s="88"/>
      <c r="GKD2" s="88"/>
      <c r="GKE2" s="88"/>
      <c r="GKF2" s="88"/>
      <c r="GKG2" s="88"/>
      <c r="GKH2" s="88"/>
      <c r="GKI2" s="88"/>
      <c r="GKJ2" s="88"/>
      <c r="GKK2" s="88"/>
      <c r="GKL2" s="88"/>
      <c r="GKM2" s="88"/>
      <c r="GKN2" s="88"/>
      <c r="GKO2" s="88"/>
      <c r="GKP2" s="88"/>
      <c r="GKQ2" s="88"/>
      <c r="GKR2" s="88"/>
      <c r="GKS2" s="88"/>
      <c r="GKT2" s="88"/>
      <c r="GKU2" s="88"/>
      <c r="GKV2" s="88"/>
      <c r="GKW2" s="88"/>
      <c r="GKX2" s="88"/>
      <c r="GKY2" s="88"/>
      <c r="GKZ2" s="88"/>
      <c r="GLA2" s="88"/>
      <c r="GLB2" s="88"/>
      <c r="GLC2" s="88"/>
      <c r="GLD2" s="88"/>
      <c r="GLE2" s="88"/>
      <c r="GLF2" s="88"/>
      <c r="GLG2" s="88"/>
      <c r="GLH2" s="88"/>
      <c r="GLI2" s="88"/>
      <c r="GLJ2" s="88"/>
      <c r="GLK2" s="88"/>
      <c r="GLL2" s="88"/>
      <c r="GLM2" s="88"/>
      <c r="GLN2" s="88"/>
      <c r="GLO2" s="88"/>
      <c r="GLP2" s="88"/>
      <c r="GLQ2" s="88"/>
      <c r="GLR2" s="88"/>
      <c r="GLS2" s="88"/>
      <c r="GLT2" s="88"/>
      <c r="GLU2" s="88"/>
      <c r="GLV2" s="88"/>
      <c r="GLW2" s="88"/>
      <c r="GLX2" s="88"/>
      <c r="GLY2" s="88"/>
      <c r="GLZ2" s="88"/>
      <c r="GMA2" s="88"/>
      <c r="GMB2" s="88"/>
      <c r="GMC2" s="88"/>
      <c r="GMD2" s="88"/>
      <c r="GME2" s="88"/>
      <c r="GMF2" s="88"/>
      <c r="GMG2" s="88"/>
      <c r="GMH2" s="88"/>
      <c r="GMI2" s="88"/>
      <c r="GMJ2" s="88"/>
      <c r="GMK2" s="88"/>
      <c r="GML2" s="88"/>
      <c r="GMM2" s="88"/>
      <c r="GMN2" s="88"/>
      <c r="GMO2" s="88"/>
      <c r="GMP2" s="88"/>
      <c r="GMQ2" s="88"/>
      <c r="GMR2" s="88"/>
      <c r="GMS2" s="88"/>
      <c r="GMT2" s="88"/>
      <c r="GMU2" s="88"/>
      <c r="GMV2" s="88"/>
      <c r="GMW2" s="88"/>
      <c r="GMX2" s="88"/>
      <c r="GMY2" s="88"/>
      <c r="GMZ2" s="88"/>
      <c r="GNA2" s="88"/>
      <c r="GNB2" s="88"/>
      <c r="GNC2" s="88"/>
      <c r="GND2" s="88"/>
      <c r="GNE2" s="88"/>
      <c r="GNF2" s="88"/>
      <c r="GNG2" s="88"/>
      <c r="GNH2" s="88"/>
      <c r="GNI2" s="88"/>
      <c r="GNJ2" s="88"/>
      <c r="GNK2" s="88"/>
      <c r="GNL2" s="88"/>
      <c r="GNM2" s="88"/>
      <c r="GNN2" s="88"/>
      <c r="GNO2" s="88"/>
      <c r="GNP2" s="88"/>
      <c r="GNQ2" s="88"/>
      <c r="GNR2" s="88"/>
      <c r="GNS2" s="88"/>
      <c r="GNT2" s="88"/>
      <c r="GNU2" s="88"/>
      <c r="GNV2" s="88"/>
      <c r="GNW2" s="88"/>
      <c r="GNX2" s="88"/>
      <c r="GNY2" s="88"/>
      <c r="GNZ2" s="88"/>
      <c r="GOA2" s="88"/>
      <c r="GOB2" s="88"/>
      <c r="GOC2" s="88"/>
      <c r="GOD2" s="88"/>
      <c r="GOE2" s="88"/>
      <c r="GOF2" s="88"/>
      <c r="GOG2" s="88"/>
      <c r="GOH2" s="88"/>
      <c r="GOI2" s="88"/>
      <c r="GOJ2" s="88"/>
      <c r="GOK2" s="88"/>
      <c r="GOL2" s="88"/>
      <c r="GOM2" s="88"/>
      <c r="GON2" s="88"/>
      <c r="GOO2" s="88"/>
      <c r="GOP2" s="88"/>
      <c r="GOQ2" s="88"/>
      <c r="GOR2" s="88"/>
      <c r="GOS2" s="88"/>
      <c r="GOT2" s="88"/>
      <c r="GOU2" s="88"/>
      <c r="GOV2" s="88"/>
      <c r="GOW2" s="88"/>
      <c r="GOX2" s="88"/>
      <c r="GOY2" s="88"/>
      <c r="GOZ2" s="88"/>
      <c r="GPA2" s="88"/>
      <c r="GPB2" s="88"/>
      <c r="GPC2" s="88"/>
      <c r="GPD2" s="88"/>
      <c r="GPE2" s="88"/>
      <c r="GPF2" s="88"/>
      <c r="GPG2" s="88"/>
      <c r="GPH2" s="88"/>
      <c r="GPI2" s="88"/>
      <c r="GPJ2" s="88"/>
      <c r="GPK2" s="88"/>
      <c r="GPL2" s="88"/>
      <c r="GPM2" s="88"/>
      <c r="GPN2" s="88"/>
      <c r="GPO2" s="88"/>
      <c r="GPP2" s="88"/>
      <c r="GPQ2" s="88"/>
      <c r="GPR2" s="88"/>
      <c r="GPS2" s="88"/>
      <c r="GPT2" s="88"/>
      <c r="GPU2" s="88"/>
      <c r="GPV2" s="88"/>
      <c r="GPW2" s="88"/>
      <c r="GPX2" s="88"/>
      <c r="GPY2" s="88"/>
      <c r="GPZ2" s="88"/>
      <c r="GQA2" s="88"/>
      <c r="GQB2" s="88"/>
      <c r="GQC2" s="88"/>
      <c r="GQD2" s="88"/>
      <c r="GQE2" s="88"/>
      <c r="GQF2" s="88"/>
      <c r="GQG2" s="88"/>
      <c r="GQH2" s="88"/>
      <c r="GQI2" s="88"/>
      <c r="GQJ2" s="88"/>
      <c r="GQK2" s="88"/>
      <c r="GQL2" s="88"/>
      <c r="GQM2" s="88"/>
      <c r="GQN2" s="88"/>
      <c r="GQO2" s="88"/>
      <c r="GQP2" s="88"/>
      <c r="GQQ2" s="88"/>
      <c r="GQR2" s="88"/>
      <c r="GQS2" s="88"/>
      <c r="GQT2" s="88"/>
      <c r="GQU2" s="88"/>
      <c r="GQV2" s="88"/>
      <c r="GQW2" s="88"/>
      <c r="GQX2" s="88"/>
      <c r="GQY2" s="88"/>
      <c r="GQZ2" s="88"/>
      <c r="GRA2" s="88"/>
      <c r="GRB2" s="88"/>
      <c r="GRC2" s="88"/>
      <c r="GRD2" s="88"/>
      <c r="GRE2" s="88"/>
      <c r="GRF2" s="88"/>
      <c r="GRG2" s="88"/>
      <c r="GRH2" s="88"/>
      <c r="GRI2" s="88"/>
      <c r="GRJ2" s="88"/>
      <c r="GRK2" s="88"/>
      <c r="GRL2" s="88"/>
      <c r="GRM2" s="88"/>
      <c r="GRN2" s="88"/>
      <c r="GRO2" s="88"/>
      <c r="GRP2" s="88"/>
      <c r="GRQ2" s="88"/>
      <c r="GRR2" s="88"/>
      <c r="GRS2" s="88"/>
      <c r="GRT2" s="88"/>
      <c r="GRU2" s="88"/>
      <c r="GRV2" s="88"/>
      <c r="GRW2" s="88"/>
      <c r="GRX2" s="88"/>
      <c r="GRY2" s="88"/>
      <c r="GRZ2" s="88"/>
      <c r="GSA2" s="88"/>
      <c r="GSB2" s="88"/>
      <c r="GSC2" s="88"/>
      <c r="GSD2" s="88"/>
      <c r="GSE2" s="88"/>
      <c r="GSF2" s="88"/>
      <c r="GSG2" s="88"/>
      <c r="GSH2" s="88"/>
      <c r="GSI2" s="88"/>
      <c r="GSJ2" s="88"/>
      <c r="GSK2" s="88"/>
      <c r="GSL2" s="88"/>
      <c r="GSM2" s="88"/>
      <c r="GSN2" s="88"/>
      <c r="GSO2" s="88"/>
      <c r="GSP2" s="88"/>
      <c r="GSQ2" s="88"/>
      <c r="GSR2" s="88"/>
      <c r="GSS2" s="88"/>
      <c r="GST2" s="88"/>
      <c r="GSU2" s="88"/>
      <c r="GSV2" s="88"/>
      <c r="GSW2" s="88"/>
      <c r="GSX2" s="88"/>
      <c r="GSY2" s="88"/>
      <c r="GSZ2" s="88"/>
      <c r="GTA2" s="88"/>
      <c r="GTB2" s="88"/>
      <c r="GTC2" s="88"/>
      <c r="GTD2" s="88"/>
      <c r="GTE2" s="88"/>
      <c r="GTF2" s="88"/>
      <c r="GTG2" s="88"/>
      <c r="GTH2" s="88"/>
      <c r="GTI2" s="88"/>
      <c r="GTJ2" s="88"/>
      <c r="GTK2" s="88"/>
      <c r="GTL2" s="88"/>
      <c r="GTM2" s="88"/>
      <c r="GTN2" s="88"/>
      <c r="GTO2" s="88"/>
      <c r="GTP2" s="88"/>
      <c r="GTQ2" s="88"/>
      <c r="GTR2" s="88"/>
      <c r="GTS2" s="88"/>
      <c r="GTT2" s="88"/>
      <c r="GTU2" s="88"/>
      <c r="GTV2" s="88"/>
      <c r="GTW2" s="88"/>
      <c r="GTX2" s="88"/>
      <c r="GTY2" s="88"/>
      <c r="GTZ2" s="88"/>
      <c r="GUA2" s="88"/>
      <c r="GUB2" s="88"/>
      <c r="GUC2" s="88"/>
      <c r="GUD2" s="88"/>
      <c r="GUE2" s="88"/>
      <c r="GUF2" s="88"/>
      <c r="GUG2" s="88"/>
      <c r="GUH2" s="88"/>
      <c r="GUI2" s="88"/>
      <c r="GUJ2" s="88"/>
      <c r="GUK2" s="88"/>
      <c r="GUL2" s="88"/>
      <c r="GUM2" s="88"/>
      <c r="GUN2" s="88"/>
      <c r="GUO2" s="88"/>
      <c r="GUP2" s="88"/>
      <c r="GUQ2" s="88"/>
      <c r="GUR2" s="88"/>
      <c r="GUS2" s="88"/>
      <c r="GUT2" s="88"/>
      <c r="GUU2" s="88"/>
      <c r="GUV2" s="88"/>
      <c r="GUW2" s="88"/>
      <c r="GUX2" s="88"/>
      <c r="GUY2" s="88"/>
      <c r="GUZ2" s="88"/>
      <c r="GVA2" s="88"/>
      <c r="GVB2" s="88"/>
      <c r="GVC2" s="88"/>
      <c r="GVD2" s="88"/>
      <c r="GVE2" s="88"/>
      <c r="GVF2" s="88"/>
      <c r="GVG2" s="88"/>
      <c r="GVH2" s="88"/>
      <c r="GVI2" s="88"/>
      <c r="GVJ2" s="88"/>
      <c r="GVK2" s="88"/>
      <c r="GVL2" s="88"/>
      <c r="GVM2" s="88"/>
      <c r="GVN2" s="88"/>
      <c r="GVO2" s="88"/>
      <c r="GVP2" s="88"/>
      <c r="GVQ2" s="88"/>
      <c r="GVR2" s="88"/>
      <c r="GVS2" s="88"/>
      <c r="GVT2" s="88"/>
      <c r="GVU2" s="88"/>
      <c r="GVV2" s="88"/>
      <c r="GVW2" s="88"/>
      <c r="GVX2" s="88"/>
      <c r="GVY2" s="88"/>
      <c r="GVZ2" s="88"/>
      <c r="GWA2" s="88"/>
      <c r="GWB2" s="88"/>
      <c r="GWC2" s="88"/>
      <c r="GWD2" s="88"/>
      <c r="GWE2" s="88"/>
      <c r="GWF2" s="88"/>
      <c r="GWG2" s="88"/>
      <c r="GWH2" s="88"/>
      <c r="GWI2" s="88"/>
      <c r="GWJ2" s="88"/>
      <c r="GWK2" s="88"/>
      <c r="GWL2" s="88"/>
      <c r="GWM2" s="88"/>
      <c r="GWN2" s="88"/>
      <c r="GWO2" s="88"/>
      <c r="GWP2" s="88"/>
      <c r="GWQ2" s="88"/>
      <c r="GWR2" s="88"/>
      <c r="GWS2" s="88"/>
      <c r="GWT2" s="88"/>
      <c r="GWU2" s="88"/>
      <c r="GWV2" s="88"/>
      <c r="GWW2" s="88"/>
      <c r="GWX2" s="88"/>
      <c r="GWY2" s="88"/>
      <c r="GWZ2" s="88"/>
      <c r="GXA2" s="88"/>
      <c r="GXB2" s="88"/>
      <c r="GXC2" s="88"/>
      <c r="GXD2" s="88"/>
      <c r="GXE2" s="88"/>
      <c r="GXF2" s="88"/>
      <c r="GXG2" s="88"/>
      <c r="GXH2" s="88"/>
      <c r="GXI2" s="88"/>
      <c r="GXJ2" s="88"/>
      <c r="GXK2" s="88"/>
      <c r="GXL2" s="88"/>
      <c r="GXM2" s="88"/>
      <c r="GXN2" s="88"/>
      <c r="GXO2" s="88"/>
      <c r="GXP2" s="88"/>
      <c r="GXQ2" s="88"/>
      <c r="GXR2" s="88"/>
      <c r="GXS2" s="88"/>
      <c r="GXT2" s="88"/>
      <c r="GXU2" s="88"/>
      <c r="GXV2" s="88"/>
      <c r="GXW2" s="88"/>
      <c r="GXX2" s="88"/>
      <c r="GXY2" s="88"/>
      <c r="GXZ2" s="88"/>
      <c r="GYA2" s="88"/>
      <c r="GYB2" s="88"/>
      <c r="GYC2" s="88"/>
      <c r="GYD2" s="88"/>
      <c r="GYE2" s="88"/>
      <c r="GYF2" s="88"/>
      <c r="GYG2" s="88"/>
      <c r="GYH2" s="88"/>
      <c r="GYI2" s="88"/>
      <c r="GYJ2" s="88"/>
      <c r="GYK2" s="88"/>
      <c r="GYL2" s="88"/>
      <c r="GYM2" s="88"/>
      <c r="GYN2" s="88"/>
      <c r="GYO2" s="88"/>
      <c r="GYP2" s="88"/>
      <c r="GYQ2" s="88"/>
      <c r="GYR2" s="88"/>
      <c r="GYS2" s="88"/>
      <c r="GYT2" s="88"/>
      <c r="GYU2" s="88"/>
      <c r="GYV2" s="88"/>
      <c r="GYW2" s="88"/>
      <c r="GYX2" s="88"/>
      <c r="GYY2" s="88"/>
      <c r="GYZ2" s="88"/>
      <c r="GZA2" s="88"/>
      <c r="GZB2" s="88"/>
      <c r="GZC2" s="88"/>
      <c r="GZD2" s="88"/>
      <c r="GZE2" s="88"/>
      <c r="GZF2" s="88"/>
      <c r="GZG2" s="88"/>
      <c r="GZH2" s="88"/>
      <c r="GZI2" s="88"/>
      <c r="GZJ2" s="88"/>
      <c r="GZK2" s="88"/>
      <c r="GZL2" s="88"/>
      <c r="GZM2" s="88"/>
      <c r="GZN2" s="88"/>
      <c r="GZO2" s="88"/>
      <c r="GZP2" s="88"/>
      <c r="GZQ2" s="88"/>
      <c r="GZR2" s="88"/>
      <c r="GZS2" s="88"/>
      <c r="GZT2" s="88"/>
      <c r="GZU2" s="88"/>
      <c r="GZV2" s="88"/>
      <c r="GZW2" s="88"/>
      <c r="GZX2" s="88"/>
      <c r="GZY2" s="88"/>
      <c r="GZZ2" s="88"/>
      <c r="HAA2" s="88"/>
      <c r="HAB2" s="88"/>
      <c r="HAC2" s="88"/>
      <c r="HAD2" s="88"/>
      <c r="HAE2" s="88"/>
      <c r="HAF2" s="88"/>
      <c r="HAG2" s="88"/>
      <c r="HAH2" s="88"/>
      <c r="HAI2" s="88"/>
      <c r="HAJ2" s="88"/>
      <c r="HAK2" s="88"/>
      <c r="HAL2" s="88"/>
      <c r="HAM2" s="88"/>
      <c r="HAN2" s="88"/>
      <c r="HAO2" s="88"/>
      <c r="HAP2" s="88"/>
      <c r="HAQ2" s="88"/>
      <c r="HAR2" s="88"/>
      <c r="HAS2" s="88"/>
      <c r="HAT2" s="88"/>
      <c r="HAU2" s="88"/>
      <c r="HAV2" s="88"/>
      <c r="HAW2" s="88"/>
      <c r="HAX2" s="88"/>
      <c r="HAY2" s="88"/>
      <c r="HAZ2" s="88"/>
      <c r="HBA2" s="88"/>
      <c r="HBB2" s="88"/>
      <c r="HBC2" s="88"/>
      <c r="HBD2" s="88"/>
      <c r="HBE2" s="88"/>
      <c r="HBF2" s="88"/>
      <c r="HBG2" s="88"/>
      <c r="HBH2" s="88"/>
      <c r="HBI2" s="88"/>
      <c r="HBJ2" s="88"/>
      <c r="HBK2" s="88"/>
      <c r="HBL2" s="88"/>
      <c r="HBM2" s="88"/>
      <c r="HBN2" s="88"/>
      <c r="HBO2" s="88"/>
      <c r="HBP2" s="88"/>
      <c r="HBQ2" s="88"/>
      <c r="HBR2" s="88"/>
      <c r="HBS2" s="88"/>
      <c r="HBT2" s="88"/>
      <c r="HBU2" s="88"/>
      <c r="HBV2" s="88"/>
      <c r="HBW2" s="88"/>
      <c r="HBX2" s="88"/>
      <c r="HBY2" s="88"/>
      <c r="HBZ2" s="88"/>
      <c r="HCA2" s="88"/>
      <c r="HCB2" s="88"/>
      <c r="HCC2" s="88"/>
      <c r="HCD2" s="88"/>
      <c r="HCE2" s="88"/>
      <c r="HCF2" s="88"/>
      <c r="HCG2" s="88"/>
      <c r="HCH2" s="88"/>
      <c r="HCI2" s="88"/>
      <c r="HCJ2" s="88"/>
      <c r="HCK2" s="88"/>
      <c r="HCL2" s="88"/>
      <c r="HCM2" s="88"/>
      <c r="HCN2" s="88"/>
      <c r="HCO2" s="88"/>
      <c r="HCP2" s="88"/>
      <c r="HCQ2" s="88"/>
      <c r="HCR2" s="88"/>
      <c r="HCS2" s="88"/>
      <c r="HCT2" s="88"/>
      <c r="HCU2" s="88"/>
      <c r="HCV2" s="88"/>
      <c r="HCW2" s="88"/>
      <c r="HCX2" s="88"/>
      <c r="HCY2" s="88"/>
      <c r="HCZ2" s="88"/>
      <c r="HDA2" s="88"/>
      <c r="HDB2" s="88"/>
      <c r="HDC2" s="88"/>
      <c r="HDD2" s="88"/>
      <c r="HDE2" s="88"/>
      <c r="HDF2" s="88"/>
      <c r="HDG2" s="88"/>
      <c r="HDH2" s="88"/>
      <c r="HDI2" s="88"/>
      <c r="HDJ2" s="88"/>
      <c r="HDK2" s="88"/>
      <c r="HDL2" s="88"/>
      <c r="HDM2" s="88"/>
      <c r="HDN2" s="88"/>
      <c r="HDO2" s="88"/>
      <c r="HDP2" s="88"/>
      <c r="HDQ2" s="88"/>
      <c r="HDR2" s="88"/>
      <c r="HDS2" s="88"/>
      <c r="HDT2" s="88"/>
      <c r="HDU2" s="88"/>
      <c r="HDV2" s="88"/>
      <c r="HDW2" s="88"/>
      <c r="HDX2" s="88"/>
      <c r="HDY2" s="88"/>
      <c r="HDZ2" s="88"/>
      <c r="HEA2" s="88"/>
      <c r="HEB2" s="88"/>
      <c r="HEC2" s="88"/>
      <c r="HED2" s="88"/>
      <c r="HEE2" s="88"/>
      <c r="HEF2" s="88"/>
      <c r="HEG2" s="88"/>
      <c r="HEH2" s="88"/>
      <c r="HEI2" s="88"/>
      <c r="HEJ2" s="88"/>
      <c r="HEK2" s="88"/>
      <c r="HEL2" s="88"/>
      <c r="HEM2" s="88"/>
      <c r="HEN2" s="88"/>
      <c r="HEO2" s="88"/>
      <c r="HEP2" s="88"/>
      <c r="HEQ2" s="88"/>
      <c r="HER2" s="88"/>
      <c r="HES2" s="88"/>
      <c r="HET2" s="88"/>
      <c r="HEU2" s="88"/>
      <c r="HEV2" s="88"/>
      <c r="HEW2" s="88"/>
      <c r="HEX2" s="88"/>
      <c r="HEY2" s="88"/>
      <c r="HEZ2" s="88"/>
      <c r="HFA2" s="88"/>
      <c r="HFB2" s="88"/>
      <c r="HFC2" s="88"/>
      <c r="HFD2" s="88"/>
      <c r="HFE2" s="88"/>
      <c r="HFF2" s="88"/>
      <c r="HFG2" s="88"/>
      <c r="HFH2" s="88"/>
      <c r="HFI2" s="88"/>
      <c r="HFJ2" s="88"/>
      <c r="HFK2" s="88"/>
      <c r="HFL2" s="88"/>
      <c r="HFM2" s="88"/>
      <c r="HFN2" s="88"/>
      <c r="HFO2" s="88"/>
      <c r="HFP2" s="88"/>
      <c r="HFQ2" s="88"/>
      <c r="HFR2" s="88"/>
      <c r="HFS2" s="88"/>
      <c r="HFT2" s="88"/>
      <c r="HFU2" s="88"/>
      <c r="HFV2" s="88"/>
      <c r="HFW2" s="88"/>
      <c r="HFX2" s="88"/>
      <c r="HFY2" s="88"/>
      <c r="HFZ2" s="88"/>
      <c r="HGA2" s="88"/>
      <c r="HGB2" s="88"/>
      <c r="HGC2" s="88"/>
      <c r="HGD2" s="88"/>
      <c r="HGE2" s="88"/>
      <c r="HGF2" s="88"/>
      <c r="HGG2" s="88"/>
      <c r="HGH2" s="88"/>
      <c r="HGI2" s="88"/>
      <c r="HGJ2" s="88"/>
      <c r="HGK2" s="88"/>
      <c r="HGL2" s="88"/>
      <c r="HGM2" s="88"/>
      <c r="HGN2" s="88"/>
      <c r="HGO2" s="88"/>
      <c r="HGP2" s="88"/>
      <c r="HGQ2" s="88"/>
      <c r="HGR2" s="88"/>
      <c r="HGS2" s="88"/>
      <c r="HGT2" s="88"/>
      <c r="HGU2" s="88"/>
      <c r="HGV2" s="88"/>
      <c r="HGW2" s="88"/>
      <c r="HGX2" s="88"/>
      <c r="HGY2" s="88"/>
      <c r="HGZ2" s="88"/>
      <c r="HHA2" s="88"/>
      <c r="HHB2" s="88"/>
      <c r="HHC2" s="88"/>
      <c r="HHD2" s="88"/>
      <c r="HHE2" s="88"/>
      <c r="HHF2" s="88"/>
      <c r="HHG2" s="88"/>
      <c r="HHH2" s="88"/>
      <c r="HHI2" s="88"/>
      <c r="HHJ2" s="88"/>
      <c r="HHK2" s="88"/>
      <c r="HHL2" s="88"/>
      <c r="HHM2" s="88"/>
      <c r="HHN2" s="88"/>
      <c r="HHO2" s="88"/>
      <c r="HHP2" s="88"/>
      <c r="HHQ2" s="88"/>
      <c r="HHR2" s="88"/>
      <c r="HHS2" s="88"/>
      <c r="HHT2" s="88"/>
      <c r="HHU2" s="88"/>
      <c r="HHV2" s="88"/>
      <c r="HHW2" s="88"/>
      <c r="HHX2" s="88"/>
      <c r="HHY2" s="88"/>
      <c r="HHZ2" s="88"/>
      <c r="HIA2" s="88"/>
      <c r="HIB2" s="88"/>
      <c r="HIC2" s="88"/>
      <c r="HID2" s="88"/>
      <c r="HIE2" s="88"/>
      <c r="HIF2" s="88"/>
      <c r="HIG2" s="88"/>
      <c r="HIH2" s="88"/>
      <c r="HII2" s="88"/>
      <c r="HIJ2" s="88"/>
      <c r="HIK2" s="88"/>
      <c r="HIL2" s="88"/>
      <c r="HIM2" s="88"/>
      <c r="HIN2" s="88"/>
      <c r="HIO2" s="88"/>
      <c r="HIP2" s="88"/>
      <c r="HIQ2" s="88"/>
      <c r="HIR2" s="88"/>
      <c r="HIS2" s="88"/>
      <c r="HIT2" s="88"/>
      <c r="HIU2" s="88"/>
      <c r="HIV2" s="88"/>
      <c r="HIW2" s="88"/>
      <c r="HIX2" s="88"/>
      <c r="HIY2" s="88"/>
      <c r="HIZ2" s="88"/>
      <c r="HJA2" s="88"/>
      <c r="HJB2" s="88"/>
      <c r="HJC2" s="88"/>
      <c r="HJD2" s="88"/>
      <c r="HJE2" s="88"/>
      <c r="HJF2" s="88"/>
      <c r="HJG2" s="88"/>
      <c r="HJH2" s="88"/>
      <c r="HJI2" s="88"/>
      <c r="HJJ2" s="88"/>
      <c r="HJK2" s="88"/>
      <c r="HJL2" s="88"/>
      <c r="HJM2" s="88"/>
      <c r="HJN2" s="88"/>
      <c r="HJO2" s="88"/>
      <c r="HJP2" s="88"/>
      <c r="HJQ2" s="88"/>
      <c r="HJR2" s="88"/>
      <c r="HJS2" s="88"/>
      <c r="HJT2" s="88"/>
      <c r="HJU2" s="88"/>
      <c r="HJV2" s="88"/>
      <c r="HJW2" s="88"/>
      <c r="HJX2" s="88"/>
      <c r="HJY2" s="88"/>
      <c r="HJZ2" s="88"/>
      <c r="HKA2" s="88"/>
      <c r="HKB2" s="88"/>
      <c r="HKC2" s="88"/>
      <c r="HKD2" s="88"/>
      <c r="HKE2" s="88"/>
      <c r="HKF2" s="88"/>
      <c r="HKG2" s="88"/>
      <c r="HKH2" s="88"/>
      <c r="HKI2" s="88"/>
      <c r="HKJ2" s="88"/>
      <c r="HKK2" s="88"/>
      <c r="HKL2" s="88"/>
      <c r="HKM2" s="88"/>
      <c r="HKN2" s="88"/>
      <c r="HKO2" s="88"/>
      <c r="HKP2" s="88"/>
      <c r="HKQ2" s="88"/>
      <c r="HKR2" s="88"/>
      <c r="HKS2" s="88"/>
      <c r="HKT2" s="88"/>
      <c r="HKU2" s="88"/>
      <c r="HKV2" s="88"/>
      <c r="HKW2" s="88"/>
      <c r="HKX2" s="88"/>
      <c r="HKY2" s="88"/>
      <c r="HKZ2" s="88"/>
      <c r="HLA2" s="88"/>
      <c r="HLB2" s="88"/>
      <c r="HLC2" s="88"/>
      <c r="HLD2" s="88"/>
      <c r="HLE2" s="88"/>
      <c r="HLF2" s="88"/>
      <c r="HLG2" s="88"/>
      <c r="HLH2" s="88"/>
      <c r="HLI2" s="88"/>
      <c r="HLJ2" s="88"/>
      <c r="HLK2" s="88"/>
      <c r="HLL2" s="88"/>
      <c r="HLM2" s="88"/>
      <c r="HLN2" s="88"/>
      <c r="HLO2" s="88"/>
      <c r="HLP2" s="88"/>
      <c r="HLQ2" s="88"/>
      <c r="HLR2" s="88"/>
      <c r="HLS2" s="88"/>
      <c r="HLT2" s="88"/>
      <c r="HLU2" s="88"/>
      <c r="HLV2" s="88"/>
      <c r="HLW2" s="88"/>
      <c r="HLX2" s="88"/>
      <c r="HLY2" s="88"/>
      <c r="HLZ2" s="88"/>
      <c r="HMA2" s="88"/>
      <c r="HMB2" s="88"/>
      <c r="HMC2" s="88"/>
      <c r="HMD2" s="88"/>
      <c r="HME2" s="88"/>
      <c r="HMF2" s="88"/>
      <c r="HMG2" s="88"/>
      <c r="HMH2" s="88"/>
      <c r="HMI2" s="88"/>
      <c r="HMJ2" s="88"/>
      <c r="HMK2" s="88"/>
      <c r="HML2" s="88"/>
      <c r="HMM2" s="88"/>
      <c r="HMN2" s="88"/>
      <c r="HMO2" s="88"/>
      <c r="HMP2" s="88"/>
      <c r="HMQ2" s="88"/>
      <c r="HMR2" s="88"/>
      <c r="HMS2" s="88"/>
      <c r="HMT2" s="88"/>
      <c r="HMU2" s="88"/>
      <c r="HMV2" s="88"/>
      <c r="HMW2" s="88"/>
      <c r="HMX2" s="88"/>
      <c r="HMY2" s="88"/>
      <c r="HMZ2" s="88"/>
      <c r="HNA2" s="88"/>
      <c r="HNB2" s="88"/>
      <c r="HNC2" s="88"/>
      <c r="HND2" s="88"/>
      <c r="HNE2" s="88"/>
      <c r="HNF2" s="88"/>
      <c r="HNG2" s="88"/>
      <c r="HNH2" s="88"/>
      <c r="HNI2" s="88"/>
      <c r="HNJ2" s="88"/>
      <c r="HNK2" s="88"/>
      <c r="HNL2" s="88"/>
      <c r="HNM2" s="88"/>
      <c r="HNN2" s="88"/>
      <c r="HNO2" s="88"/>
      <c r="HNP2" s="88"/>
      <c r="HNQ2" s="88"/>
      <c r="HNR2" s="88"/>
      <c r="HNS2" s="88"/>
      <c r="HNT2" s="88"/>
      <c r="HNU2" s="88"/>
      <c r="HNV2" s="88"/>
      <c r="HNW2" s="88"/>
      <c r="HNX2" s="88"/>
      <c r="HNY2" s="88"/>
      <c r="HNZ2" s="88"/>
      <c r="HOA2" s="88"/>
      <c r="HOB2" s="88"/>
      <c r="HOC2" s="88"/>
      <c r="HOD2" s="88"/>
      <c r="HOE2" s="88"/>
      <c r="HOF2" s="88"/>
      <c r="HOG2" s="88"/>
      <c r="HOH2" s="88"/>
      <c r="HOI2" s="88"/>
      <c r="HOJ2" s="88"/>
      <c r="HOK2" s="88"/>
      <c r="HOL2" s="88"/>
      <c r="HOM2" s="88"/>
      <c r="HON2" s="88"/>
      <c r="HOO2" s="88"/>
      <c r="HOP2" s="88"/>
      <c r="HOQ2" s="88"/>
      <c r="HOR2" s="88"/>
      <c r="HOS2" s="88"/>
      <c r="HOT2" s="88"/>
      <c r="HOU2" s="88"/>
      <c r="HOV2" s="88"/>
      <c r="HOW2" s="88"/>
      <c r="HOX2" s="88"/>
      <c r="HOY2" s="88"/>
      <c r="HOZ2" s="88"/>
      <c r="HPA2" s="88"/>
      <c r="HPB2" s="88"/>
      <c r="HPC2" s="88"/>
      <c r="HPD2" s="88"/>
      <c r="HPE2" s="88"/>
      <c r="HPF2" s="88"/>
      <c r="HPG2" s="88"/>
      <c r="HPH2" s="88"/>
      <c r="HPI2" s="88"/>
      <c r="HPJ2" s="88"/>
      <c r="HPK2" s="88"/>
      <c r="HPL2" s="88"/>
      <c r="HPM2" s="88"/>
      <c r="HPN2" s="88"/>
      <c r="HPO2" s="88"/>
      <c r="HPP2" s="88"/>
      <c r="HPQ2" s="88"/>
      <c r="HPR2" s="88"/>
      <c r="HPS2" s="88"/>
      <c r="HPT2" s="88"/>
      <c r="HPU2" s="88"/>
      <c r="HPV2" s="88"/>
      <c r="HPW2" s="88"/>
      <c r="HPX2" s="88"/>
      <c r="HPY2" s="88"/>
      <c r="HPZ2" s="88"/>
      <c r="HQA2" s="88"/>
      <c r="HQB2" s="88"/>
      <c r="HQC2" s="88"/>
      <c r="HQD2" s="88"/>
      <c r="HQE2" s="88"/>
      <c r="HQF2" s="88"/>
      <c r="HQG2" s="88"/>
      <c r="HQH2" s="88"/>
      <c r="HQI2" s="88"/>
      <c r="HQJ2" s="88"/>
      <c r="HQK2" s="88"/>
      <c r="HQL2" s="88"/>
      <c r="HQM2" s="88"/>
      <c r="HQN2" s="88"/>
      <c r="HQO2" s="88"/>
      <c r="HQP2" s="88"/>
      <c r="HQQ2" s="88"/>
      <c r="HQR2" s="88"/>
      <c r="HQS2" s="88"/>
      <c r="HQT2" s="88"/>
      <c r="HQU2" s="88"/>
      <c r="HQV2" s="88"/>
      <c r="HQW2" s="88"/>
      <c r="HQX2" s="88"/>
      <c r="HQY2" s="88"/>
      <c r="HQZ2" s="88"/>
      <c r="HRA2" s="88"/>
      <c r="HRB2" s="88"/>
      <c r="HRC2" s="88"/>
      <c r="HRD2" s="88"/>
      <c r="HRE2" s="88"/>
      <c r="HRF2" s="88"/>
      <c r="HRG2" s="88"/>
      <c r="HRH2" s="88"/>
      <c r="HRI2" s="88"/>
      <c r="HRJ2" s="88"/>
      <c r="HRK2" s="88"/>
      <c r="HRL2" s="88"/>
      <c r="HRM2" s="88"/>
      <c r="HRN2" s="88"/>
      <c r="HRO2" s="88"/>
      <c r="HRP2" s="88"/>
      <c r="HRQ2" s="88"/>
      <c r="HRR2" s="88"/>
      <c r="HRS2" s="88"/>
      <c r="HRT2" s="88"/>
      <c r="HRU2" s="88"/>
      <c r="HRV2" s="88"/>
      <c r="HRW2" s="88"/>
      <c r="HRX2" s="88"/>
      <c r="HRY2" s="88"/>
      <c r="HRZ2" s="88"/>
      <c r="HSA2" s="88"/>
      <c r="HSB2" s="88"/>
      <c r="HSC2" s="88"/>
      <c r="HSD2" s="88"/>
      <c r="HSE2" s="88"/>
      <c r="HSF2" s="88"/>
      <c r="HSG2" s="88"/>
      <c r="HSH2" s="88"/>
      <c r="HSI2" s="88"/>
      <c r="HSJ2" s="88"/>
      <c r="HSK2" s="88"/>
      <c r="HSL2" s="88"/>
      <c r="HSM2" s="88"/>
      <c r="HSN2" s="88"/>
      <c r="HSO2" s="88"/>
      <c r="HSP2" s="88"/>
      <c r="HSQ2" s="88"/>
      <c r="HSR2" s="88"/>
      <c r="HSS2" s="88"/>
      <c r="HST2" s="88"/>
      <c r="HSU2" s="88"/>
      <c r="HSV2" s="88"/>
      <c r="HSW2" s="88"/>
      <c r="HSX2" s="88"/>
      <c r="HSY2" s="88"/>
      <c r="HSZ2" s="88"/>
      <c r="HTA2" s="88"/>
      <c r="HTB2" s="88"/>
      <c r="HTC2" s="88"/>
      <c r="HTD2" s="88"/>
      <c r="HTE2" s="88"/>
      <c r="HTF2" s="88"/>
      <c r="HTG2" s="88"/>
      <c r="HTH2" s="88"/>
      <c r="HTI2" s="88"/>
      <c r="HTJ2" s="88"/>
      <c r="HTK2" s="88"/>
      <c r="HTL2" s="88"/>
      <c r="HTM2" s="88"/>
      <c r="HTN2" s="88"/>
      <c r="HTO2" s="88"/>
      <c r="HTP2" s="88"/>
      <c r="HTQ2" s="88"/>
      <c r="HTR2" s="88"/>
      <c r="HTS2" s="88"/>
      <c r="HTT2" s="88"/>
      <c r="HTU2" s="88"/>
      <c r="HTV2" s="88"/>
      <c r="HTW2" s="88"/>
      <c r="HTX2" s="88"/>
      <c r="HTY2" s="88"/>
      <c r="HTZ2" s="88"/>
      <c r="HUA2" s="88"/>
      <c r="HUB2" s="88"/>
      <c r="HUC2" s="88"/>
      <c r="HUD2" s="88"/>
      <c r="HUE2" s="88"/>
      <c r="HUF2" s="88"/>
      <c r="HUG2" s="88"/>
      <c r="HUH2" s="88"/>
      <c r="HUI2" s="88"/>
      <c r="HUJ2" s="88"/>
      <c r="HUK2" s="88"/>
      <c r="HUL2" s="88"/>
      <c r="HUM2" s="88"/>
      <c r="HUN2" s="88"/>
      <c r="HUO2" s="88"/>
      <c r="HUP2" s="88"/>
      <c r="HUQ2" s="88"/>
      <c r="HUR2" s="88"/>
      <c r="HUS2" s="88"/>
      <c r="HUT2" s="88"/>
      <c r="HUU2" s="88"/>
      <c r="HUV2" s="88"/>
      <c r="HUW2" s="88"/>
      <c r="HUX2" s="88"/>
      <c r="HUY2" s="88"/>
      <c r="HUZ2" s="88"/>
      <c r="HVA2" s="88"/>
      <c r="HVB2" s="88"/>
      <c r="HVC2" s="88"/>
      <c r="HVD2" s="88"/>
      <c r="HVE2" s="88"/>
      <c r="HVF2" s="88"/>
      <c r="HVG2" s="88"/>
      <c r="HVH2" s="88"/>
      <c r="HVI2" s="88"/>
      <c r="HVJ2" s="88"/>
      <c r="HVK2" s="88"/>
      <c r="HVL2" s="88"/>
      <c r="HVM2" s="88"/>
      <c r="HVN2" s="88"/>
      <c r="HVO2" s="88"/>
      <c r="HVP2" s="88"/>
      <c r="HVQ2" s="88"/>
      <c r="HVR2" s="88"/>
      <c r="HVS2" s="88"/>
      <c r="HVT2" s="88"/>
      <c r="HVU2" s="88"/>
      <c r="HVV2" s="88"/>
      <c r="HVW2" s="88"/>
      <c r="HVX2" s="88"/>
      <c r="HVY2" s="88"/>
      <c r="HVZ2" s="88"/>
      <c r="HWA2" s="88"/>
      <c r="HWB2" s="88"/>
      <c r="HWC2" s="88"/>
      <c r="HWD2" s="88"/>
      <c r="HWE2" s="88"/>
      <c r="HWF2" s="88"/>
      <c r="HWG2" s="88"/>
      <c r="HWH2" s="88"/>
      <c r="HWI2" s="88"/>
      <c r="HWJ2" s="88"/>
      <c r="HWK2" s="88"/>
      <c r="HWL2" s="88"/>
      <c r="HWM2" s="88"/>
      <c r="HWN2" s="88"/>
      <c r="HWO2" s="88"/>
      <c r="HWP2" s="88"/>
      <c r="HWQ2" s="88"/>
      <c r="HWR2" s="88"/>
      <c r="HWS2" s="88"/>
      <c r="HWT2" s="88"/>
      <c r="HWU2" s="88"/>
      <c r="HWV2" s="88"/>
      <c r="HWW2" s="88"/>
      <c r="HWX2" s="88"/>
      <c r="HWY2" s="88"/>
      <c r="HWZ2" s="88"/>
      <c r="HXA2" s="88"/>
      <c r="HXB2" s="88"/>
      <c r="HXC2" s="88"/>
      <c r="HXD2" s="88"/>
      <c r="HXE2" s="88"/>
      <c r="HXF2" s="88"/>
      <c r="HXG2" s="88"/>
      <c r="HXH2" s="88"/>
      <c r="HXI2" s="88"/>
      <c r="HXJ2" s="88"/>
      <c r="HXK2" s="88"/>
      <c r="HXL2" s="88"/>
      <c r="HXM2" s="88"/>
      <c r="HXN2" s="88"/>
      <c r="HXO2" s="88"/>
      <c r="HXP2" s="88"/>
      <c r="HXQ2" s="88"/>
      <c r="HXR2" s="88"/>
      <c r="HXS2" s="88"/>
      <c r="HXT2" s="88"/>
      <c r="HXU2" s="88"/>
      <c r="HXV2" s="88"/>
      <c r="HXW2" s="88"/>
      <c r="HXX2" s="88"/>
      <c r="HXY2" s="88"/>
      <c r="HXZ2" s="88"/>
      <c r="HYA2" s="88"/>
      <c r="HYB2" s="88"/>
      <c r="HYC2" s="88"/>
      <c r="HYD2" s="88"/>
      <c r="HYE2" s="88"/>
      <c r="HYF2" s="88"/>
      <c r="HYG2" s="88"/>
      <c r="HYH2" s="88"/>
      <c r="HYI2" s="88"/>
      <c r="HYJ2" s="88"/>
      <c r="HYK2" s="88"/>
      <c r="HYL2" s="88"/>
      <c r="HYM2" s="88"/>
      <c r="HYN2" s="88"/>
      <c r="HYO2" s="88"/>
      <c r="HYP2" s="88"/>
      <c r="HYQ2" s="88"/>
      <c r="HYR2" s="88"/>
      <c r="HYS2" s="88"/>
      <c r="HYT2" s="88"/>
      <c r="HYU2" s="88"/>
      <c r="HYV2" s="88"/>
      <c r="HYW2" s="88"/>
      <c r="HYX2" s="88"/>
      <c r="HYY2" s="88"/>
      <c r="HYZ2" s="88"/>
      <c r="HZA2" s="88"/>
      <c r="HZB2" s="88"/>
      <c r="HZC2" s="88"/>
      <c r="HZD2" s="88"/>
      <c r="HZE2" s="88"/>
      <c r="HZF2" s="88"/>
      <c r="HZG2" s="88"/>
      <c r="HZH2" s="88"/>
      <c r="HZI2" s="88"/>
      <c r="HZJ2" s="88"/>
      <c r="HZK2" s="88"/>
      <c r="HZL2" s="88"/>
      <c r="HZM2" s="88"/>
      <c r="HZN2" s="88"/>
      <c r="HZO2" s="88"/>
      <c r="HZP2" s="88"/>
      <c r="HZQ2" s="88"/>
      <c r="HZR2" s="88"/>
      <c r="HZS2" s="88"/>
      <c r="HZT2" s="88"/>
      <c r="HZU2" s="88"/>
      <c r="HZV2" s="88"/>
      <c r="HZW2" s="88"/>
      <c r="HZX2" s="88"/>
      <c r="HZY2" s="88"/>
      <c r="HZZ2" s="88"/>
      <c r="IAA2" s="88"/>
      <c r="IAB2" s="88"/>
      <c r="IAC2" s="88"/>
      <c r="IAD2" s="88"/>
      <c r="IAE2" s="88"/>
      <c r="IAF2" s="88"/>
      <c r="IAG2" s="88"/>
      <c r="IAH2" s="88"/>
      <c r="IAI2" s="88"/>
      <c r="IAJ2" s="88"/>
      <c r="IAK2" s="88"/>
      <c r="IAL2" s="88"/>
      <c r="IAM2" s="88"/>
      <c r="IAN2" s="88"/>
      <c r="IAO2" s="88"/>
      <c r="IAP2" s="88"/>
      <c r="IAQ2" s="88"/>
      <c r="IAR2" s="88"/>
      <c r="IAS2" s="88"/>
      <c r="IAT2" s="88"/>
      <c r="IAU2" s="88"/>
      <c r="IAV2" s="88"/>
      <c r="IAW2" s="88"/>
      <c r="IAX2" s="88"/>
      <c r="IAY2" s="88"/>
      <c r="IAZ2" s="88"/>
      <c r="IBA2" s="88"/>
      <c r="IBB2" s="88"/>
      <c r="IBC2" s="88"/>
      <c r="IBD2" s="88"/>
      <c r="IBE2" s="88"/>
      <c r="IBF2" s="88"/>
      <c r="IBG2" s="88"/>
      <c r="IBH2" s="88"/>
      <c r="IBI2" s="88"/>
      <c r="IBJ2" s="88"/>
      <c r="IBK2" s="88"/>
      <c r="IBL2" s="88"/>
      <c r="IBM2" s="88"/>
      <c r="IBN2" s="88"/>
      <c r="IBO2" s="88"/>
      <c r="IBP2" s="88"/>
      <c r="IBQ2" s="88"/>
      <c r="IBR2" s="88"/>
      <c r="IBS2" s="88"/>
      <c r="IBT2" s="88"/>
      <c r="IBU2" s="88"/>
      <c r="IBV2" s="88"/>
      <c r="IBW2" s="88"/>
      <c r="IBX2" s="88"/>
      <c r="IBY2" s="88"/>
      <c r="IBZ2" s="88"/>
      <c r="ICA2" s="88"/>
      <c r="ICB2" s="88"/>
      <c r="ICC2" s="88"/>
      <c r="ICD2" s="88"/>
      <c r="ICE2" s="88"/>
      <c r="ICF2" s="88"/>
      <c r="ICG2" s="88"/>
      <c r="ICH2" s="88"/>
      <c r="ICI2" s="88"/>
      <c r="ICJ2" s="88"/>
      <c r="ICK2" s="88"/>
      <c r="ICL2" s="88"/>
      <c r="ICM2" s="88"/>
      <c r="ICN2" s="88"/>
      <c r="ICO2" s="88"/>
      <c r="ICP2" s="88"/>
      <c r="ICQ2" s="88"/>
      <c r="ICR2" s="88"/>
      <c r="ICS2" s="88"/>
      <c r="ICT2" s="88"/>
      <c r="ICU2" s="88"/>
      <c r="ICV2" s="88"/>
      <c r="ICW2" s="88"/>
      <c r="ICX2" s="88"/>
      <c r="ICY2" s="88"/>
      <c r="ICZ2" s="88"/>
      <c r="IDA2" s="88"/>
      <c r="IDB2" s="88"/>
      <c r="IDC2" s="88"/>
      <c r="IDD2" s="88"/>
      <c r="IDE2" s="88"/>
      <c r="IDF2" s="88"/>
      <c r="IDG2" s="88"/>
      <c r="IDH2" s="88"/>
      <c r="IDI2" s="88"/>
      <c r="IDJ2" s="88"/>
      <c r="IDK2" s="88"/>
      <c r="IDL2" s="88"/>
      <c r="IDM2" s="88"/>
      <c r="IDN2" s="88"/>
      <c r="IDO2" s="88"/>
      <c r="IDP2" s="88"/>
      <c r="IDQ2" s="88"/>
      <c r="IDR2" s="88"/>
      <c r="IDS2" s="88"/>
      <c r="IDT2" s="88"/>
      <c r="IDU2" s="88"/>
      <c r="IDV2" s="88"/>
      <c r="IDW2" s="88"/>
      <c r="IDX2" s="88"/>
      <c r="IDY2" s="88"/>
      <c r="IDZ2" s="88"/>
      <c r="IEA2" s="88"/>
      <c r="IEB2" s="88"/>
      <c r="IEC2" s="88"/>
      <c r="IED2" s="88"/>
      <c r="IEE2" s="88"/>
      <c r="IEF2" s="88"/>
      <c r="IEG2" s="88"/>
      <c r="IEH2" s="88"/>
      <c r="IEI2" s="88"/>
      <c r="IEJ2" s="88"/>
      <c r="IEK2" s="88"/>
      <c r="IEL2" s="88"/>
      <c r="IEM2" s="88"/>
      <c r="IEN2" s="88"/>
      <c r="IEO2" s="88"/>
      <c r="IEP2" s="88"/>
      <c r="IEQ2" s="88"/>
      <c r="IER2" s="88"/>
      <c r="IES2" s="88"/>
      <c r="IET2" s="88"/>
      <c r="IEU2" s="88"/>
      <c r="IEV2" s="88"/>
      <c r="IEW2" s="88"/>
      <c r="IEX2" s="88"/>
      <c r="IEY2" s="88"/>
      <c r="IEZ2" s="88"/>
      <c r="IFA2" s="88"/>
      <c r="IFB2" s="88"/>
      <c r="IFC2" s="88"/>
      <c r="IFD2" s="88"/>
      <c r="IFE2" s="88"/>
      <c r="IFF2" s="88"/>
      <c r="IFG2" s="88"/>
      <c r="IFH2" s="88"/>
      <c r="IFI2" s="88"/>
      <c r="IFJ2" s="88"/>
      <c r="IFK2" s="88"/>
      <c r="IFL2" s="88"/>
      <c r="IFM2" s="88"/>
      <c r="IFN2" s="88"/>
      <c r="IFO2" s="88"/>
      <c r="IFP2" s="88"/>
      <c r="IFQ2" s="88"/>
      <c r="IFR2" s="88"/>
      <c r="IFS2" s="88"/>
      <c r="IFT2" s="88"/>
      <c r="IFU2" s="88"/>
      <c r="IFV2" s="88"/>
      <c r="IFW2" s="88"/>
      <c r="IFX2" s="88"/>
      <c r="IFY2" s="88"/>
      <c r="IFZ2" s="88"/>
      <c r="IGA2" s="88"/>
      <c r="IGB2" s="88"/>
      <c r="IGC2" s="88"/>
      <c r="IGD2" s="88"/>
      <c r="IGE2" s="88"/>
      <c r="IGF2" s="88"/>
      <c r="IGG2" s="88"/>
      <c r="IGH2" s="88"/>
      <c r="IGI2" s="88"/>
      <c r="IGJ2" s="88"/>
      <c r="IGK2" s="88"/>
      <c r="IGL2" s="88"/>
      <c r="IGM2" s="88"/>
      <c r="IGN2" s="88"/>
      <c r="IGO2" s="88"/>
      <c r="IGP2" s="88"/>
      <c r="IGQ2" s="88"/>
      <c r="IGR2" s="88"/>
      <c r="IGS2" s="88"/>
      <c r="IGT2" s="88"/>
      <c r="IGU2" s="88"/>
      <c r="IGV2" s="88"/>
      <c r="IGW2" s="88"/>
      <c r="IGX2" s="88"/>
      <c r="IGY2" s="88"/>
      <c r="IGZ2" s="88"/>
      <c r="IHA2" s="88"/>
      <c r="IHB2" s="88"/>
      <c r="IHC2" s="88"/>
      <c r="IHD2" s="88"/>
      <c r="IHE2" s="88"/>
      <c r="IHF2" s="88"/>
      <c r="IHG2" s="88"/>
      <c r="IHH2" s="88"/>
      <c r="IHI2" s="88"/>
      <c r="IHJ2" s="88"/>
      <c r="IHK2" s="88"/>
      <c r="IHL2" s="88"/>
      <c r="IHM2" s="88"/>
      <c r="IHN2" s="88"/>
      <c r="IHO2" s="88"/>
      <c r="IHP2" s="88"/>
      <c r="IHQ2" s="88"/>
      <c r="IHR2" s="88"/>
      <c r="IHS2" s="88"/>
      <c r="IHT2" s="88"/>
      <c r="IHU2" s="88"/>
      <c r="IHV2" s="88"/>
      <c r="IHW2" s="88"/>
      <c r="IHX2" s="88"/>
      <c r="IHY2" s="88"/>
      <c r="IHZ2" s="88"/>
      <c r="IIA2" s="88"/>
      <c r="IIB2" s="88"/>
      <c r="IIC2" s="88"/>
      <c r="IID2" s="88"/>
      <c r="IIE2" s="88"/>
      <c r="IIF2" s="88"/>
      <c r="IIG2" s="88"/>
      <c r="IIH2" s="88"/>
      <c r="III2" s="88"/>
      <c r="IIJ2" s="88"/>
      <c r="IIK2" s="88"/>
      <c r="IIL2" s="88"/>
      <c r="IIM2" s="88"/>
      <c r="IIN2" s="88"/>
      <c r="IIO2" s="88"/>
      <c r="IIP2" s="88"/>
      <c r="IIQ2" s="88"/>
      <c r="IIR2" s="88"/>
      <c r="IIS2" s="88"/>
      <c r="IIT2" s="88"/>
      <c r="IIU2" s="88"/>
      <c r="IIV2" s="88"/>
      <c r="IIW2" s="88"/>
      <c r="IIX2" s="88"/>
      <c r="IIY2" s="88"/>
      <c r="IIZ2" s="88"/>
      <c r="IJA2" s="88"/>
      <c r="IJB2" s="88"/>
      <c r="IJC2" s="88"/>
      <c r="IJD2" s="88"/>
      <c r="IJE2" s="88"/>
      <c r="IJF2" s="88"/>
      <c r="IJG2" s="88"/>
      <c r="IJH2" s="88"/>
      <c r="IJI2" s="88"/>
      <c r="IJJ2" s="88"/>
      <c r="IJK2" s="88"/>
      <c r="IJL2" s="88"/>
      <c r="IJM2" s="88"/>
      <c r="IJN2" s="88"/>
      <c r="IJO2" s="88"/>
      <c r="IJP2" s="88"/>
      <c r="IJQ2" s="88"/>
      <c r="IJR2" s="88"/>
      <c r="IJS2" s="88"/>
      <c r="IJT2" s="88"/>
      <c r="IJU2" s="88"/>
      <c r="IJV2" s="88"/>
      <c r="IJW2" s="88"/>
      <c r="IJX2" s="88"/>
      <c r="IJY2" s="88"/>
      <c r="IJZ2" s="88"/>
      <c r="IKA2" s="88"/>
      <c r="IKB2" s="88"/>
      <c r="IKC2" s="88"/>
      <c r="IKD2" s="88"/>
      <c r="IKE2" s="88"/>
      <c r="IKF2" s="88"/>
      <c r="IKG2" s="88"/>
      <c r="IKH2" s="88"/>
      <c r="IKI2" s="88"/>
      <c r="IKJ2" s="88"/>
      <c r="IKK2" s="88"/>
      <c r="IKL2" s="88"/>
      <c r="IKM2" s="88"/>
      <c r="IKN2" s="88"/>
      <c r="IKO2" s="88"/>
      <c r="IKP2" s="88"/>
      <c r="IKQ2" s="88"/>
      <c r="IKR2" s="88"/>
      <c r="IKS2" s="88"/>
      <c r="IKT2" s="88"/>
      <c r="IKU2" s="88"/>
      <c r="IKV2" s="88"/>
      <c r="IKW2" s="88"/>
      <c r="IKX2" s="88"/>
      <c r="IKY2" s="88"/>
      <c r="IKZ2" s="88"/>
      <c r="ILA2" s="88"/>
      <c r="ILB2" s="88"/>
      <c r="ILC2" s="88"/>
      <c r="ILD2" s="88"/>
      <c r="ILE2" s="88"/>
      <c r="ILF2" s="88"/>
      <c r="ILG2" s="88"/>
      <c r="ILH2" s="88"/>
      <c r="ILI2" s="88"/>
      <c r="ILJ2" s="88"/>
      <c r="ILK2" s="88"/>
      <c r="ILL2" s="88"/>
      <c r="ILM2" s="88"/>
      <c r="ILN2" s="88"/>
      <c r="ILO2" s="88"/>
      <c r="ILP2" s="88"/>
      <c r="ILQ2" s="88"/>
      <c r="ILR2" s="88"/>
      <c r="ILS2" s="88"/>
      <c r="ILT2" s="88"/>
      <c r="ILU2" s="88"/>
      <c r="ILV2" s="88"/>
      <c r="ILW2" s="88"/>
      <c r="ILX2" s="88"/>
      <c r="ILY2" s="88"/>
      <c r="ILZ2" s="88"/>
      <c r="IMA2" s="88"/>
      <c r="IMB2" s="88"/>
      <c r="IMC2" s="88"/>
      <c r="IMD2" s="88"/>
      <c r="IME2" s="88"/>
      <c r="IMF2" s="88"/>
      <c r="IMG2" s="88"/>
      <c r="IMH2" s="88"/>
      <c r="IMI2" s="88"/>
      <c r="IMJ2" s="88"/>
      <c r="IMK2" s="88"/>
      <c r="IML2" s="88"/>
      <c r="IMM2" s="88"/>
      <c r="IMN2" s="88"/>
      <c r="IMO2" s="88"/>
      <c r="IMP2" s="88"/>
      <c r="IMQ2" s="88"/>
      <c r="IMR2" s="88"/>
      <c r="IMS2" s="88"/>
      <c r="IMT2" s="88"/>
      <c r="IMU2" s="88"/>
      <c r="IMV2" s="88"/>
      <c r="IMW2" s="88"/>
      <c r="IMX2" s="88"/>
      <c r="IMY2" s="88"/>
      <c r="IMZ2" s="88"/>
      <c r="INA2" s="88"/>
      <c r="INB2" s="88"/>
      <c r="INC2" s="88"/>
      <c r="IND2" s="88"/>
      <c r="INE2" s="88"/>
      <c r="INF2" s="88"/>
      <c r="ING2" s="88"/>
      <c r="INH2" s="88"/>
      <c r="INI2" s="88"/>
      <c r="INJ2" s="88"/>
      <c r="INK2" s="88"/>
      <c r="INL2" s="88"/>
      <c r="INM2" s="88"/>
      <c r="INN2" s="88"/>
      <c r="INO2" s="88"/>
      <c r="INP2" s="88"/>
      <c r="INQ2" s="88"/>
      <c r="INR2" s="88"/>
      <c r="INS2" s="88"/>
      <c r="INT2" s="88"/>
      <c r="INU2" s="88"/>
      <c r="INV2" s="88"/>
      <c r="INW2" s="88"/>
      <c r="INX2" s="88"/>
      <c r="INY2" s="88"/>
      <c r="INZ2" s="88"/>
      <c r="IOA2" s="88"/>
      <c r="IOB2" s="88"/>
      <c r="IOC2" s="88"/>
      <c r="IOD2" s="88"/>
      <c r="IOE2" s="88"/>
      <c r="IOF2" s="88"/>
      <c r="IOG2" s="88"/>
      <c r="IOH2" s="88"/>
      <c r="IOI2" s="88"/>
      <c r="IOJ2" s="88"/>
      <c r="IOK2" s="88"/>
      <c r="IOL2" s="88"/>
      <c r="IOM2" s="88"/>
      <c r="ION2" s="88"/>
      <c r="IOO2" s="88"/>
      <c r="IOP2" s="88"/>
      <c r="IOQ2" s="88"/>
      <c r="IOR2" s="88"/>
      <c r="IOS2" s="88"/>
      <c r="IOT2" s="88"/>
      <c r="IOU2" s="88"/>
      <c r="IOV2" s="88"/>
      <c r="IOW2" s="88"/>
      <c r="IOX2" s="88"/>
      <c r="IOY2" s="88"/>
      <c r="IOZ2" s="88"/>
      <c r="IPA2" s="88"/>
      <c r="IPB2" s="88"/>
      <c r="IPC2" s="88"/>
      <c r="IPD2" s="88"/>
      <c r="IPE2" s="88"/>
      <c r="IPF2" s="88"/>
      <c r="IPG2" s="88"/>
      <c r="IPH2" s="88"/>
      <c r="IPI2" s="88"/>
      <c r="IPJ2" s="88"/>
      <c r="IPK2" s="88"/>
      <c r="IPL2" s="88"/>
      <c r="IPM2" s="88"/>
      <c r="IPN2" s="88"/>
      <c r="IPO2" s="88"/>
      <c r="IPP2" s="88"/>
      <c r="IPQ2" s="88"/>
      <c r="IPR2" s="88"/>
      <c r="IPS2" s="88"/>
      <c r="IPT2" s="88"/>
      <c r="IPU2" s="88"/>
      <c r="IPV2" s="88"/>
      <c r="IPW2" s="88"/>
      <c r="IPX2" s="88"/>
      <c r="IPY2" s="88"/>
      <c r="IPZ2" s="88"/>
      <c r="IQA2" s="88"/>
      <c r="IQB2" s="88"/>
      <c r="IQC2" s="88"/>
      <c r="IQD2" s="88"/>
      <c r="IQE2" s="88"/>
      <c r="IQF2" s="88"/>
      <c r="IQG2" s="88"/>
      <c r="IQH2" s="88"/>
      <c r="IQI2" s="88"/>
      <c r="IQJ2" s="88"/>
      <c r="IQK2" s="88"/>
      <c r="IQL2" s="88"/>
      <c r="IQM2" s="88"/>
      <c r="IQN2" s="88"/>
      <c r="IQO2" s="88"/>
      <c r="IQP2" s="88"/>
      <c r="IQQ2" s="88"/>
      <c r="IQR2" s="88"/>
      <c r="IQS2" s="88"/>
      <c r="IQT2" s="88"/>
      <c r="IQU2" s="88"/>
      <c r="IQV2" s="88"/>
      <c r="IQW2" s="88"/>
      <c r="IQX2" s="88"/>
      <c r="IQY2" s="88"/>
      <c r="IQZ2" s="88"/>
      <c r="IRA2" s="88"/>
      <c r="IRB2" s="88"/>
      <c r="IRC2" s="88"/>
      <c r="IRD2" s="88"/>
      <c r="IRE2" s="88"/>
      <c r="IRF2" s="88"/>
      <c r="IRG2" s="88"/>
      <c r="IRH2" s="88"/>
      <c r="IRI2" s="88"/>
      <c r="IRJ2" s="88"/>
      <c r="IRK2" s="88"/>
      <c r="IRL2" s="88"/>
      <c r="IRM2" s="88"/>
      <c r="IRN2" s="88"/>
      <c r="IRO2" s="88"/>
      <c r="IRP2" s="88"/>
      <c r="IRQ2" s="88"/>
      <c r="IRR2" s="88"/>
      <c r="IRS2" s="88"/>
      <c r="IRT2" s="88"/>
      <c r="IRU2" s="88"/>
      <c r="IRV2" s="88"/>
      <c r="IRW2" s="88"/>
      <c r="IRX2" s="88"/>
      <c r="IRY2" s="88"/>
      <c r="IRZ2" s="88"/>
      <c r="ISA2" s="88"/>
      <c r="ISB2" s="88"/>
      <c r="ISC2" s="88"/>
      <c r="ISD2" s="88"/>
      <c r="ISE2" s="88"/>
      <c r="ISF2" s="88"/>
      <c r="ISG2" s="88"/>
      <c r="ISH2" s="88"/>
      <c r="ISI2" s="88"/>
      <c r="ISJ2" s="88"/>
      <c r="ISK2" s="88"/>
      <c r="ISL2" s="88"/>
      <c r="ISM2" s="88"/>
      <c r="ISN2" s="88"/>
      <c r="ISO2" s="88"/>
      <c r="ISP2" s="88"/>
      <c r="ISQ2" s="88"/>
      <c r="ISR2" s="88"/>
      <c r="ISS2" s="88"/>
      <c r="IST2" s="88"/>
      <c r="ISU2" s="88"/>
      <c r="ISV2" s="88"/>
      <c r="ISW2" s="88"/>
      <c r="ISX2" s="88"/>
      <c r="ISY2" s="88"/>
      <c r="ISZ2" s="88"/>
      <c r="ITA2" s="88"/>
      <c r="ITB2" s="88"/>
      <c r="ITC2" s="88"/>
      <c r="ITD2" s="88"/>
      <c r="ITE2" s="88"/>
      <c r="ITF2" s="88"/>
      <c r="ITG2" s="88"/>
      <c r="ITH2" s="88"/>
      <c r="ITI2" s="88"/>
      <c r="ITJ2" s="88"/>
      <c r="ITK2" s="88"/>
      <c r="ITL2" s="88"/>
      <c r="ITM2" s="88"/>
      <c r="ITN2" s="88"/>
      <c r="ITO2" s="88"/>
      <c r="ITP2" s="88"/>
      <c r="ITQ2" s="88"/>
      <c r="ITR2" s="88"/>
      <c r="ITS2" s="88"/>
      <c r="ITT2" s="88"/>
      <c r="ITU2" s="88"/>
      <c r="ITV2" s="88"/>
      <c r="ITW2" s="88"/>
      <c r="ITX2" s="88"/>
      <c r="ITY2" s="88"/>
      <c r="ITZ2" s="88"/>
      <c r="IUA2" s="88"/>
      <c r="IUB2" s="88"/>
      <c r="IUC2" s="88"/>
      <c r="IUD2" s="88"/>
      <c r="IUE2" s="88"/>
      <c r="IUF2" s="88"/>
      <c r="IUG2" s="88"/>
      <c r="IUH2" s="88"/>
      <c r="IUI2" s="88"/>
      <c r="IUJ2" s="88"/>
      <c r="IUK2" s="88"/>
      <c r="IUL2" s="88"/>
      <c r="IUM2" s="88"/>
      <c r="IUN2" s="88"/>
      <c r="IUO2" s="88"/>
      <c r="IUP2" s="88"/>
      <c r="IUQ2" s="88"/>
      <c r="IUR2" s="88"/>
      <c r="IUS2" s="88"/>
      <c r="IUT2" s="88"/>
      <c r="IUU2" s="88"/>
      <c r="IUV2" s="88"/>
      <c r="IUW2" s="88"/>
      <c r="IUX2" s="88"/>
      <c r="IUY2" s="88"/>
      <c r="IUZ2" s="88"/>
      <c r="IVA2" s="88"/>
      <c r="IVB2" s="88"/>
      <c r="IVC2" s="88"/>
      <c r="IVD2" s="88"/>
      <c r="IVE2" s="88"/>
      <c r="IVF2" s="88"/>
      <c r="IVG2" s="88"/>
      <c r="IVH2" s="88"/>
      <c r="IVI2" s="88"/>
      <c r="IVJ2" s="88"/>
      <c r="IVK2" s="88"/>
      <c r="IVL2" s="88"/>
      <c r="IVM2" s="88"/>
      <c r="IVN2" s="88"/>
      <c r="IVO2" s="88"/>
      <c r="IVP2" s="88"/>
      <c r="IVQ2" s="88"/>
      <c r="IVR2" s="88"/>
      <c r="IVS2" s="88"/>
      <c r="IVT2" s="88"/>
      <c r="IVU2" s="88"/>
      <c r="IVV2" s="88"/>
      <c r="IVW2" s="88"/>
      <c r="IVX2" s="88"/>
      <c r="IVY2" s="88"/>
      <c r="IVZ2" s="88"/>
      <c r="IWA2" s="88"/>
      <c r="IWB2" s="88"/>
      <c r="IWC2" s="88"/>
      <c r="IWD2" s="88"/>
      <c r="IWE2" s="88"/>
      <c r="IWF2" s="88"/>
      <c r="IWG2" s="88"/>
      <c r="IWH2" s="88"/>
      <c r="IWI2" s="88"/>
      <c r="IWJ2" s="88"/>
      <c r="IWK2" s="88"/>
      <c r="IWL2" s="88"/>
      <c r="IWM2" s="88"/>
      <c r="IWN2" s="88"/>
      <c r="IWO2" s="88"/>
      <c r="IWP2" s="88"/>
      <c r="IWQ2" s="88"/>
      <c r="IWR2" s="88"/>
      <c r="IWS2" s="88"/>
      <c r="IWT2" s="88"/>
      <c r="IWU2" s="88"/>
      <c r="IWV2" s="88"/>
      <c r="IWW2" s="88"/>
      <c r="IWX2" s="88"/>
      <c r="IWY2" s="88"/>
      <c r="IWZ2" s="88"/>
      <c r="IXA2" s="88"/>
      <c r="IXB2" s="88"/>
      <c r="IXC2" s="88"/>
      <c r="IXD2" s="88"/>
      <c r="IXE2" s="88"/>
      <c r="IXF2" s="88"/>
      <c r="IXG2" s="88"/>
      <c r="IXH2" s="88"/>
      <c r="IXI2" s="88"/>
      <c r="IXJ2" s="88"/>
      <c r="IXK2" s="88"/>
      <c r="IXL2" s="88"/>
      <c r="IXM2" s="88"/>
      <c r="IXN2" s="88"/>
      <c r="IXO2" s="88"/>
      <c r="IXP2" s="88"/>
      <c r="IXQ2" s="88"/>
      <c r="IXR2" s="88"/>
      <c r="IXS2" s="88"/>
      <c r="IXT2" s="88"/>
      <c r="IXU2" s="88"/>
      <c r="IXV2" s="88"/>
      <c r="IXW2" s="88"/>
      <c r="IXX2" s="88"/>
      <c r="IXY2" s="88"/>
      <c r="IXZ2" s="88"/>
      <c r="IYA2" s="88"/>
      <c r="IYB2" s="88"/>
      <c r="IYC2" s="88"/>
      <c r="IYD2" s="88"/>
      <c r="IYE2" s="88"/>
      <c r="IYF2" s="88"/>
      <c r="IYG2" s="88"/>
      <c r="IYH2" s="88"/>
      <c r="IYI2" s="88"/>
      <c r="IYJ2" s="88"/>
      <c r="IYK2" s="88"/>
      <c r="IYL2" s="88"/>
      <c r="IYM2" s="88"/>
      <c r="IYN2" s="88"/>
      <c r="IYO2" s="88"/>
      <c r="IYP2" s="88"/>
      <c r="IYQ2" s="88"/>
      <c r="IYR2" s="88"/>
      <c r="IYS2" s="88"/>
      <c r="IYT2" s="88"/>
      <c r="IYU2" s="88"/>
      <c r="IYV2" s="88"/>
      <c r="IYW2" s="88"/>
      <c r="IYX2" s="88"/>
      <c r="IYY2" s="88"/>
      <c r="IYZ2" s="88"/>
      <c r="IZA2" s="88"/>
      <c r="IZB2" s="88"/>
      <c r="IZC2" s="88"/>
      <c r="IZD2" s="88"/>
      <c r="IZE2" s="88"/>
      <c r="IZF2" s="88"/>
      <c r="IZG2" s="88"/>
      <c r="IZH2" s="88"/>
      <c r="IZI2" s="88"/>
      <c r="IZJ2" s="88"/>
      <c r="IZK2" s="88"/>
      <c r="IZL2" s="88"/>
      <c r="IZM2" s="88"/>
      <c r="IZN2" s="88"/>
      <c r="IZO2" s="88"/>
      <c r="IZP2" s="88"/>
      <c r="IZQ2" s="88"/>
      <c r="IZR2" s="88"/>
      <c r="IZS2" s="88"/>
      <c r="IZT2" s="88"/>
      <c r="IZU2" s="88"/>
      <c r="IZV2" s="88"/>
      <c r="IZW2" s="88"/>
      <c r="IZX2" s="88"/>
      <c r="IZY2" s="88"/>
      <c r="IZZ2" s="88"/>
      <c r="JAA2" s="88"/>
      <c r="JAB2" s="88"/>
      <c r="JAC2" s="88"/>
      <c r="JAD2" s="88"/>
      <c r="JAE2" s="88"/>
      <c r="JAF2" s="88"/>
      <c r="JAG2" s="88"/>
      <c r="JAH2" s="88"/>
      <c r="JAI2" s="88"/>
      <c r="JAJ2" s="88"/>
      <c r="JAK2" s="88"/>
      <c r="JAL2" s="88"/>
      <c r="JAM2" s="88"/>
      <c r="JAN2" s="88"/>
      <c r="JAO2" s="88"/>
      <c r="JAP2" s="88"/>
      <c r="JAQ2" s="88"/>
      <c r="JAR2" s="88"/>
      <c r="JAS2" s="88"/>
      <c r="JAT2" s="88"/>
      <c r="JAU2" s="88"/>
      <c r="JAV2" s="88"/>
      <c r="JAW2" s="88"/>
      <c r="JAX2" s="88"/>
      <c r="JAY2" s="88"/>
      <c r="JAZ2" s="88"/>
      <c r="JBA2" s="88"/>
      <c r="JBB2" s="88"/>
      <c r="JBC2" s="88"/>
      <c r="JBD2" s="88"/>
      <c r="JBE2" s="88"/>
      <c r="JBF2" s="88"/>
      <c r="JBG2" s="88"/>
      <c r="JBH2" s="88"/>
      <c r="JBI2" s="88"/>
      <c r="JBJ2" s="88"/>
      <c r="JBK2" s="88"/>
      <c r="JBL2" s="88"/>
      <c r="JBM2" s="88"/>
      <c r="JBN2" s="88"/>
      <c r="JBO2" s="88"/>
      <c r="JBP2" s="88"/>
      <c r="JBQ2" s="88"/>
      <c r="JBR2" s="88"/>
      <c r="JBS2" s="88"/>
      <c r="JBT2" s="88"/>
      <c r="JBU2" s="88"/>
      <c r="JBV2" s="88"/>
      <c r="JBW2" s="88"/>
      <c r="JBX2" s="88"/>
      <c r="JBY2" s="88"/>
      <c r="JBZ2" s="88"/>
      <c r="JCA2" s="88"/>
      <c r="JCB2" s="88"/>
      <c r="JCC2" s="88"/>
      <c r="JCD2" s="88"/>
      <c r="JCE2" s="88"/>
      <c r="JCF2" s="88"/>
      <c r="JCG2" s="88"/>
      <c r="JCH2" s="88"/>
      <c r="JCI2" s="88"/>
      <c r="JCJ2" s="88"/>
      <c r="JCK2" s="88"/>
      <c r="JCL2" s="88"/>
      <c r="JCM2" s="88"/>
      <c r="JCN2" s="88"/>
      <c r="JCO2" s="88"/>
      <c r="JCP2" s="88"/>
      <c r="JCQ2" s="88"/>
      <c r="JCR2" s="88"/>
      <c r="JCS2" s="88"/>
      <c r="JCT2" s="88"/>
      <c r="JCU2" s="88"/>
      <c r="JCV2" s="88"/>
      <c r="JCW2" s="88"/>
      <c r="JCX2" s="88"/>
      <c r="JCY2" s="88"/>
      <c r="JCZ2" s="88"/>
      <c r="JDA2" s="88"/>
      <c r="JDB2" s="88"/>
      <c r="JDC2" s="88"/>
      <c r="JDD2" s="88"/>
      <c r="JDE2" s="88"/>
      <c r="JDF2" s="88"/>
      <c r="JDG2" s="88"/>
      <c r="JDH2" s="88"/>
      <c r="JDI2" s="88"/>
      <c r="JDJ2" s="88"/>
      <c r="JDK2" s="88"/>
      <c r="JDL2" s="88"/>
      <c r="JDM2" s="88"/>
      <c r="JDN2" s="88"/>
      <c r="JDO2" s="88"/>
      <c r="JDP2" s="88"/>
      <c r="JDQ2" s="88"/>
      <c r="JDR2" s="88"/>
      <c r="JDS2" s="88"/>
      <c r="JDT2" s="88"/>
      <c r="JDU2" s="88"/>
      <c r="JDV2" s="88"/>
      <c r="JDW2" s="88"/>
      <c r="JDX2" s="88"/>
      <c r="JDY2" s="88"/>
      <c r="JDZ2" s="88"/>
      <c r="JEA2" s="88"/>
      <c r="JEB2" s="88"/>
      <c r="JEC2" s="88"/>
      <c r="JED2" s="88"/>
      <c r="JEE2" s="88"/>
      <c r="JEF2" s="88"/>
      <c r="JEG2" s="88"/>
      <c r="JEH2" s="88"/>
      <c r="JEI2" s="88"/>
      <c r="JEJ2" s="88"/>
      <c r="JEK2" s="88"/>
      <c r="JEL2" s="88"/>
      <c r="JEM2" s="88"/>
      <c r="JEN2" s="88"/>
      <c r="JEO2" s="88"/>
      <c r="JEP2" s="88"/>
      <c r="JEQ2" s="88"/>
      <c r="JER2" s="88"/>
      <c r="JES2" s="88"/>
      <c r="JET2" s="88"/>
      <c r="JEU2" s="88"/>
      <c r="JEV2" s="88"/>
      <c r="JEW2" s="88"/>
      <c r="JEX2" s="88"/>
      <c r="JEY2" s="88"/>
      <c r="JEZ2" s="88"/>
      <c r="JFA2" s="88"/>
      <c r="JFB2" s="88"/>
      <c r="JFC2" s="88"/>
      <c r="JFD2" s="88"/>
      <c r="JFE2" s="88"/>
      <c r="JFF2" s="88"/>
      <c r="JFG2" s="88"/>
      <c r="JFH2" s="88"/>
      <c r="JFI2" s="88"/>
      <c r="JFJ2" s="88"/>
      <c r="JFK2" s="88"/>
      <c r="JFL2" s="88"/>
      <c r="JFM2" s="88"/>
      <c r="JFN2" s="88"/>
      <c r="JFO2" s="88"/>
      <c r="JFP2" s="88"/>
      <c r="JFQ2" s="88"/>
      <c r="JFR2" s="88"/>
      <c r="JFS2" s="88"/>
      <c r="JFT2" s="88"/>
      <c r="JFU2" s="88"/>
      <c r="JFV2" s="88"/>
      <c r="JFW2" s="88"/>
      <c r="JFX2" s="88"/>
      <c r="JFY2" s="88"/>
      <c r="JFZ2" s="88"/>
      <c r="JGA2" s="88"/>
      <c r="JGB2" s="88"/>
      <c r="JGC2" s="88"/>
      <c r="JGD2" s="88"/>
      <c r="JGE2" s="88"/>
      <c r="JGF2" s="88"/>
      <c r="JGG2" s="88"/>
      <c r="JGH2" s="88"/>
      <c r="JGI2" s="88"/>
      <c r="JGJ2" s="88"/>
      <c r="JGK2" s="88"/>
      <c r="JGL2" s="88"/>
      <c r="JGM2" s="88"/>
      <c r="JGN2" s="88"/>
      <c r="JGO2" s="88"/>
      <c r="JGP2" s="88"/>
      <c r="JGQ2" s="88"/>
      <c r="JGR2" s="88"/>
      <c r="JGS2" s="88"/>
      <c r="JGT2" s="88"/>
      <c r="JGU2" s="88"/>
      <c r="JGV2" s="88"/>
      <c r="JGW2" s="88"/>
      <c r="JGX2" s="88"/>
      <c r="JGY2" s="88"/>
      <c r="JGZ2" s="88"/>
      <c r="JHA2" s="88"/>
      <c r="JHB2" s="88"/>
      <c r="JHC2" s="88"/>
      <c r="JHD2" s="88"/>
      <c r="JHE2" s="88"/>
      <c r="JHF2" s="88"/>
      <c r="JHG2" s="88"/>
      <c r="JHH2" s="88"/>
      <c r="JHI2" s="88"/>
      <c r="JHJ2" s="88"/>
      <c r="JHK2" s="88"/>
      <c r="JHL2" s="88"/>
      <c r="JHM2" s="88"/>
      <c r="JHN2" s="88"/>
      <c r="JHO2" s="88"/>
      <c r="JHP2" s="88"/>
      <c r="JHQ2" s="88"/>
      <c r="JHR2" s="88"/>
      <c r="JHS2" s="88"/>
      <c r="JHT2" s="88"/>
      <c r="JHU2" s="88"/>
      <c r="JHV2" s="88"/>
      <c r="JHW2" s="88"/>
      <c r="JHX2" s="88"/>
      <c r="JHY2" s="88"/>
      <c r="JHZ2" s="88"/>
      <c r="JIA2" s="88"/>
      <c r="JIB2" s="88"/>
      <c r="JIC2" s="88"/>
      <c r="JID2" s="88"/>
      <c r="JIE2" s="88"/>
      <c r="JIF2" s="88"/>
      <c r="JIG2" s="88"/>
      <c r="JIH2" s="88"/>
      <c r="JII2" s="88"/>
      <c r="JIJ2" s="88"/>
      <c r="JIK2" s="88"/>
      <c r="JIL2" s="88"/>
      <c r="JIM2" s="88"/>
      <c r="JIN2" s="88"/>
      <c r="JIO2" s="88"/>
      <c r="JIP2" s="88"/>
      <c r="JIQ2" s="88"/>
      <c r="JIR2" s="88"/>
      <c r="JIS2" s="88"/>
      <c r="JIT2" s="88"/>
      <c r="JIU2" s="88"/>
      <c r="JIV2" s="88"/>
      <c r="JIW2" s="88"/>
      <c r="JIX2" s="88"/>
      <c r="JIY2" s="88"/>
      <c r="JIZ2" s="88"/>
      <c r="JJA2" s="88"/>
      <c r="JJB2" s="88"/>
      <c r="JJC2" s="88"/>
      <c r="JJD2" s="88"/>
      <c r="JJE2" s="88"/>
      <c r="JJF2" s="88"/>
      <c r="JJG2" s="88"/>
      <c r="JJH2" s="88"/>
      <c r="JJI2" s="88"/>
      <c r="JJJ2" s="88"/>
      <c r="JJK2" s="88"/>
      <c r="JJL2" s="88"/>
      <c r="JJM2" s="88"/>
      <c r="JJN2" s="88"/>
      <c r="JJO2" s="88"/>
      <c r="JJP2" s="88"/>
      <c r="JJQ2" s="88"/>
      <c r="JJR2" s="88"/>
      <c r="JJS2" s="88"/>
      <c r="JJT2" s="88"/>
      <c r="JJU2" s="88"/>
      <c r="JJV2" s="88"/>
      <c r="JJW2" s="88"/>
      <c r="JJX2" s="88"/>
      <c r="JJY2" s="88"/>
      <c r="JJZ2" s="88"/>
      <c r="JKA2" s="88"/>
      <c r="JKB2" s="88"/>
      <c r="JKC2" s="88"/>
      <c r="JKD2" s="88"/>
      <c r="JKE2" s="88"/>
      <c r="JKF2" s="88"/>
      <c r="JKG2" s="88"/>
      <c r="JKH2" s="88"/>
      <c r="JKI2" s="88"/>
      <c r="JKJ2" s="88"/>
      <c r="JKK2" s="88"/>
      <c r="JKL2" s="88"/>
      <c r="JKM2" s="88"/>
      <c r="JKN2" s="88"/>
      <c r="JKO2" s="88"/>
      <c r="JKP2" s="88"/>
      <c r="JKQ2" s="88"/>
      <c r="JKR2" s="88"/>
      <c r="JKS2" s="88"/>
      <c r="JKT2" s="88"/>
      <c r="JKU2" s="88"/>
      <c r="JKV2" s="88"/>
      <c r="JKW2" s="88"/>
      <c r="JKX2" s="88"/>
      <c r="JKY2" s="88"/>
      <c r="JKZ2" s="88"/>
      <c r="JLA2" s="88"/>
      <c r="JLB2" s="88"/>
      <c r="JLC2" s="88"/>
      <c r="JLD2" s="88"/>
      <c r="JLE2" s="88"/>
      <c r="JLF2" s="88"/>
      <c r="JLG2" s="88"/>
      <c r="JLH2" s="88"/>
      <c r="JLI2" s="88"/>
      <c r="JLJ2" s="88"/>
      <c r="JLK2" s="88"/>
      <c r="JLL2" s="88"/>
      <c r="JLM2" s="88"/>
      <c r="JLN2" s="88"/>
      <c r="JLO2" s="88"/>
      <c r="JLP2" s="88"/>
      <c r="JLQ2" s="88"/>
      <c r="JLR2" s="88"/>
      <c r="JLS2" s="88"/>
      <c r="JLT2" s="88"/>
      <c r="JLU2" s="88"/>
      <c r="JLV2" s="88"/>
      <c r="JLW2" s="88"/>
      <c r="JLX2" s="88"/>
      <c r="JLY2" s="88"/>
      <c r="JLZ2" s="88"/>
      <c r="JMA2" s="88"/>
      <c r="JMB2" s="88"/>
      <c r="JMC2" s="88"/>
      <c r="JMD2" s="88"/>
      <c r="JME2" s="88"/>
      <c r="JMF2" s="88"/>
      <c r="JMG2" s="88"/>
      <c r="JMH2" s="88"/>
      <c r="JMI2" s="88"/>
      <c r="JMJ2" s="88"/>
      <c r="JMK2" s="88"/>
      <c r="JML2" s="88"/>
      <c r="JMM2" s="88"/>
      <c r="JMN2" s="88"/>
      <c r="JMO2" s="88"/>
      <c r="JMP2" s="88"/>
      <c r="JMQ2" s="88"/>
      <c r="JMR2" s="88"/>
      <c r="JMS2" s="88"/>
      <c r="JMT2" s="88"/>
      <c r="JMU2" s="88"/>
      <c r="JMV2" s="88"/>
      <c r="JMW2" s="88"/>
      <c r="JMX2" s="88"/>
      <c r="JMY2" s="88"/>
      <c r="JMZ2" s="88"/>
      <c r="JNA2" s="88"/>
      <c r="JNB2" s="88"/>
      <c r="JNC2" s="88"/>
      <c r="JND2" s="88"/>
      <c r="JNE2" s="88"/>
      <c r="JNF2" s="88"/>
      <c r="JNG2" s="88"/>
      <c r="JNH2" s="88"/>
      <c r="JNI2" s="88"/>
      <c r="JNJ2" s="88"/>
      <c r="JNK2" s="88"/>
      <c r="JNL2" s="88"/>
      <c r="JNM2" s="88"/>
      <c r="JNN2" s="88"/>
      <c r="JNO2" s="88"/>
      <c r="JNP2" s="88"/>
      <c r="JNQ2" s="88"/>
      <c r="JNR2" s="88"/>
      <c r="JNS2" s="88"/>
      <c r="JNT2" s="88"/>
      <c r="JNU2" s="88"/>
      <c r="JNV2" s="88"/>
      <c r="JNW2" s="88"/>
      <c r="JNX2" s="88"/>
      <c r="JNY2" s="88"/>
      <c r="JNZ2" s="88"/>
      <c r="JOA2" s="88"/>
      <c r="JOB2" s="88"/>
      <c r="JOC2" s="88"/>
      <c r="JOD2" s="88"/>
      <c r="JOE2" s="88"/>
      <c r="JOF2" s="88"/>
      <c r="JOG2" s="88"/>
      <c r="JOH2" s="88"/>
      <c r="JOI2" s="88"/>
      <c r="JOJ2" s="88"/>
      <c r="JOK2" s="88"/>
      <c r="JOL2" s="88"/>
      <c r="JOM2" s="88"/>
      <c r="JON2" s="88"/>
      <c r="JOO2" s="88"/>
      <c r="JOP2" s="88"/>
      <c r="JOQ2" s="88"/>
      <c r="JOR2" s="88"/>
      <c r="JOS2" s="88"/>
      <c r="JOT2" s="88"/>
      <c r="JOU2" s="88"/>
      <c r="JOV2" s="88"/>
      <c r="JOW2" s="88"/>
      <c r="JOX2" s="88"/>
      <c r="JOY2" s="88"/>
      <c r="JOZ2" s="88"/>
      <c r="JPA2" s="88"/>
      <c r="JPB2" s="88"/>
      <c r="JPC2" s="88"/>
      <c r="JPD2" s="88"/>
      <c r="JPE2" s="88"/>
      <c r="JPF2" s="88"/>
      <c r="JPG2" s="88"/>
      <c r="JPH2" s="88"/>
      <c r="JPI2" s="88"/>
      <c r="JPJ2" s="88"/>
      <c r="JPK2" s="88"/>
      <c r="JPL2" s="88"/>
      <c r="JPM2" s="88"/>
      <c r="JPN2" s="88"/>
      <c r="JPO2" s="88"/>
      <c r="JPP2" s="88"/>
      <c r="JPQ2" s="88"/>
      <c r="JPR2" s="88"/>
      <c r="JPS2" s="88"/>
      <c r="JPT2" s="88"/>
      <c r="JPU2" s="88"/>
      <c r="JPV2" s="88"/>
      <c r="JPW2" s="88"/>
      <c r="JPX2" s="88"/>
      <c r="JPY2" s="88"/>
      <c r="JPZ2" s="88"/>
      <c r="JQA2" s="88"/>
      <c r="JQB2" s="88"/>
      <c r="JQC2" s="88"/>
      <c r="JQD2" s="88"/>
      <c r="JQE2" s="88"/>
      <c r="JQF2" s="88"/>
      <c r="JQG2" s="88"/>
      <c r="JQH2" s="88"/>
      <c r="JQI2" s="88"/>
      <c r="JQJ2" s="88"/>
      <c r="JQK2" s="88"/>
      <c r="JQL2" s="88"/>
      <c r="JQM2" s="88"/>
      <c r="JQN2" s="88"/>
      <c r="JQO2" s="88"/>
      <c r="JQP2" s="88"/>
      <c r="JQQ2" s="88"/>
      <c r="JQR2" s="88"/>
      <c r="JQS2" s="88"/>
      <c r="JQT2" s="88"/>
      <c r="JQU2" s="88"/>
      <c r="JQV2" s="88"/>
      <c r="JQW2" s="88"/>
      <c r="JQX2" s="88"/>
      <c r="JQY2" s="88"/>
      <c r="JQZ2" s="88"/>
      <c r="JRA2" s="88"/>
      <c r="JRB2" s="88"/>
      <c r="JRC2" s="88"/>
      <c r="JRD2" s="88"/>
      <c r="JRE2" s="88"/>
      <c r="JRF2" s="88"/>
      <c r="JRG2" s="88"/>
      <c r="JRH2" s="88"/>
      <c r="JRI2" s="88"/>
      <c r="JRJ2" s="88"/>
      <c r="JRK2" s="88"/>
      <c r="JRL2" s="88"/>
      <c r="JRM2" s="88"/>
      <c r="JRN2" s="88"/>
      <c r="JRO2" s="88"/>
      <c r="JRP2" s="88"/>
      <c r="JRQ2" s="88"/>
      <c r="JRR2" s="88"/>
      <c r="JRS2" s="88"/>
      <c r="JRT2" s="88"/>
      <c r="JRU2" s="88"/>
      <c r="JRV2" s="88"/>
      <c r="JRW2" s="88"/>
      <c r="JRX2" s="88"/>
      <c r="JRY2" s="88"/>
      <c r="JRZ2" s="88"/>
      <c r="JSA2" s="88"/>
      <c r="JSB2" s="88"/>
      <c r="JSC2" s="88"/>
      <c r="JSD2" s="88"/>
      <c r="JSE2" s="88"/>
      <c r="JSF2" s="88"/>
      <c r="JSG2" s="88"/>
      <c r="JSH2" s="88"/>
      <c r="JSI2" s="88"/>
      <c r="JSJ2" s="88"/>
      <c r="JSK2" s="88"/>
      <c r="JSL2" s="88"/>
      <c r="JSM2" s="88"/>
      <c r="JSN2" s="88"/>
      <c r="JSO2" s="88"/>
      <c r="JSP2" s="88"/>
      <c r="JSQ2" s="88"/>
      <c r="JSR2" s="88"/>
      <c r="JSS2" s="88"/>
      <c r="JST2" s="88"/>
      <c r="JSU2" s="88"/>
      <c r="JSV2" s="88"/>
      <c r="JSW2" s="88"/>
      <c r="JSX2" s="88"/>
      <c r="JSY2" s="88"/>
      <c r="JSZ2" s="88"/>
      <c r="JTA2" s="88"/>
      <c r="JTB2" s="88"/>
      <c r="JTC2" s="88"/>
      <c r="JTD2" s="88"/>
      <c r="JTE2" s="88"/>
      <c r="JTF2" s="88"/>
      <c r="JTG2" s="88"/>
      <c r="JTH2" s="88"/>
      <c r="JTI2" s="88"/>
      <c r="JTJ2" s="88"/>
      <c r="JTK2" s="88"/>
      <c r="JTL2" s="88"/>
      <c r="JTM2" s="88"/>
      <c r="JTN2" s="88"/>
      <c r="JTO2" s="88"/>
      <c r="JTP2" s="88"/>
      <c r="JTQ2" s="88"/>
      <c r="JTR2" s="88"/>
      <c r="JTS2" s="88"/>
      <c r="JTT2" s="88"/>
      <c r="JTU2" s="88"/>
      <c r="JTV2" s="88"/>
      <c r="JTW2" s="88"/>
      <c r="JTX2" s="88"/>
      <c r="JTY2" s="88"/>
      <c r="JTZ2" s="88"/>
      <c r="JUA2" s="88"/>
      <c r="JUB2" s="88"/>
      <c r="JUC2" s="88"/>
      <c r="JUD2" s="88"/>
      <c r="JUE2" s="88"/>
      <c r="JUF2" s="88"/>
      <c r="JUG2" s="88"/>
      <c r="JUH2" s="88"/>
      <c r="JUI2" s="88"/>
      <c r="JUJ2" s="88"/>
      <c r="JUK2" s="88"/>
      <c r="JUL2" s="88"/>
      <c r="JUM2" s="88"/>
      <c r="JUN2" s="88"/>
      <c r="JUO2" s="88"/>
      <c r="JUP2" s="88"/>
      <c r="JUQ2" s="88"/>
      <c r="JUR2" s="88"/>
      <c r="JUS2" s="88"/>
      <c r="JUT2" s="88"/>
      <c r="JUU2" s="88"/>
      <c r="JUV2" s="88"/>
      <c r="JUW2" s="88"/>
      <c r="JUX2" s="88"/>
      <c r="JUY2" s="88"/>
      <c r="JUZ2" s="88"/>
      <c r="JVA2" s="88"/>
      <c r="JVB2" s="88"/>
      <c r="JVC2" s="88"/>
      <c r="JVD2" s="88"/>
      <c r="JVE2" s="88"/>
      <c r="JVF2" s="88"/>
      <c r="JVG2" s="88"/>
      <c r="JVH2" s="88"/>
      <c r="JVI2" s="88"/>
      <c r="JVJ2" s="88"/>
      <c r="JVK2" s="88"/>
      <c r="JVL2" s="88"/>
      <c r="JVM2" s="88"/>
      <c r="JVN2" s="88"/>
      <c r="JVO2" s="88"/>
      <c r="JVP2" s="88"/>
      <c r="JVQ2" s="88"/>
      <c r="JVR2" s="88"/>
      <c r="JVS2" s="88"/>
      <c r="JVT2" s="88"/>
      <c r="JVU2" s="88"/>
      <c r="JVV2" s="88"/>
      <c r="JVW2" s="88"/>
      <c r="JVX2" s="88"/>
      <c r="JVY2" s="88"/>
      <c r="JVZ2" s="88"/>
      <c r="JWA2" s="88"/>
      <c r="JWB2" s="88"/>
      <c r="JWC2" s="88"/>
      <c r="JWD2" s="88"/>
      <c r="JWE2" s="88"/>
      <c r="JWF2" s="88"/>
      <c r="JWG2" s="88"/>
      <c r="JWH2" s="88"/>
      <c r="JWI2" s="88"/>
      <c r="JWJ2" s="88"/>
      <c r="JWK2" s="88"/>
      <c r="JWL2" s="88"/>
      <c r="JWM2" s="88"/>
      <c r="JWN2" s="88"/>
      <c r="JWO2" s="88"/>
      <c r="JWP2" s="88"/>
      <c r="JWQ2" s="88"/>
      <c r="JWR2" s="88"/>
      <c r="JWS2" s="88"/>
      <c r="JWT2" s="88"/>
      <c r="JWU2" s="88"/>
      <c r="JWV2" s="88"/>
      <c r="JWW2" s="88"/>
      <c r="JWX2" s="88"/>
      <c r="JWY2" s="88"/>
      <c r="JWZ2" s="88"/>
      <c r="JXA2" s="88"/>
      <c r="JXB2" s="88"/>
      <c r="JXC2" s="88"/>
      <c r="JXD2" s="88"/>
      <c r="JXE2" s="88"/>
      <c r="JXF2" s="88"/>
      <c r="JXG2" s="88"/>
      <c r="JXH2" s="88"/>
      <c r="JXI2" s="88"/>
      <c r="JXJ2" s="88"/>
      <c r="JXK2" s="88"/>
      <c r="JXL2" s="88"/>
      <c r="JXM2" s="88"/>
      <c r="JXN2" s="88"/>
      <c r="JXO2" s="88"/>
      <c r="JXP2" s="88"/>
      <c r="JXQ2" s="88"/>
      <c r="JXR2" s="88"/>
      <c r="JXS2" s="88"/>
      <c r="JXT2" s="88"/>
      <c r="JXU2" s="88"/>
      <c r="JXV2" s="88"/>
      <c r="JXW2" s="88"/>
      <c r="JXX2" s="88"/>
      <c r="JXY2" s="88"/>
      <c r="JXZ2" s="88"/>
      <c r="JYA2" s="88"/>
      <c r="JYB2" s="88"/>
      <c r="JYC2" s="88"/>
      <c r="JYD2" s="88"/>
      <c r="JYE2" s="88"/>
      <c r="JYF2" s="88"/>
      <c r="JYG2" s="88"/>
      <c r="JYH2" s="88"/>
      <c r="JYI2" s="88"/>
      <c r="JYJ2" s="88"/>
      <c r="JYK2" s="88"/>
      <c r="JYL2" s="88"/>
      <c r="JYM2" s="88"/>
      <c r="JYN2" s="88"/>
      <c r="JYO2" s="88"/>
      <c r="JYP2" s="88"/>
      <c r="JYQ2" s="88"/>
      <c r="JYR2" s="88"/>
      <c r="JYS2" s="88"/>
      <c r="JYT2" s="88"/>
      <c r="JYU2" s="88"/>
      <c r="JYV2" s="88"/>
      <c r="JYW2" s="88"/>
      <c r="JYX2" s="88"/>
      <c r="JYY2" s="88"/>
      <c r="JYZ2" s="88"/>
      <c r="JZA2" s="88"/>
      <c r="JZB2" s="88"/>
      <c r="JZC2" s="88"/>
      <c r="JZD2" s="88"/>
      <c r="JZE2" s="88"/>
      <c r="JZF2" s="88"/>
      <c r="JZG2" s="88"/>
      <c r="JZH2" s="88"/>
      <c r="JZI2" s="88"/>
      <c r="JZJ2" s="88"/>
      <c r="JZK2" s="88"/>
      <c r="JZL2" s="88"/>
      <c r="JZM2" s="88"/>
      <c r="JZN2" s="88"/>
      <c r="JZO2" s="88"/>
      <c r="JZP2" s="88"/>
      <c r="JZQ2" s="88"/>
      <c r="JZR2" s="88"/>
      <c r="JZS2" s="88"/>
      <c r="JZT2" s="88"/>
      <c r="JZU2" s="88"/>
      <c r="JZV2" s="88"/>
      <c r="JZW2" s="88"/>
      <c r="JZX2" s="88"/>
      <c r="JZY2" s="88"/>
      <c r="JZZ2" s="88"/>
      <c r="KAA2" s="88"/>
      <c r="KAB2" s="88"/>
      <c r="KAC2" s="88"/>
      <c r="KAD2" s="88"/>
      <c r="KAE2" s="88"/>
      <c r="KAF2" s="88"/>
      <c r="KAG2" s="88"/>
      <c r="KAH2" s="88"/>
      <c r="KAI2" s="88"/>
      <c r="KAJ2" s="88"/>
      <c r="KAK2" s="88"/>
      <c r="KAL2" s="88"/>
      <c r="KAM2" s="88"/>
      <c r="KAN2" s="88"/>
      <c r="KAO2" s="88"/>
      <c r="KAP2" s="88"/>
      <c r="KAQ2" s="88"/>
      <c r="KAR2" s="88"/>
      <c r="KAS2" s="88"/>
      <c r="KAT2" s="88"/>
      <c r="KAU2" s="88"/>
      <c r="KAV2" s="88"/>
      <c r="KAW2" s="88"/>
      <c r="KAX2" s="88"/>
      <c r="KAY2" s="88"/>
      <c r="KAZ2" s="88"/>
      <c r="KBA2" s="88"/>
      <c r="KBB2" s="88"/>
      <c r="KBC2" s="88"/>
      <c r="KBD2" s="88"/>
      <c r="KBE2" s="88"/>
      <c r="KBF2" s="88"/>
      <c r="KBG2" s="88"/>
      <c r="KBH2" s="88"/>
      <c r="KBI2" s="88"/>
      <c r="KBJ2" s="88"/>
      <c r="KBK2" s="88"/>
      <c r="KBL2" s="88"/>
      <c r="KBM2" s="88"/>
      <c r="KBN2" s="88"/>
      <c r="KBO2" s="88"/>
      <c r="KBP2" s="88"/>
      <c r="KBQ2" s="88"/>
      <c r="KBR2" s="88"/>
      <c r="KBS2" s="88"/>
      <c r="KBT2" s="88"/>
      <c r="KBU2" s="88"/>
      <c r="KBV2" s="88"/>
      <c r="KBW2" s="88"/>
      <c r="KBX2" s="88"/>
      <c r="KBY2" s="88"/>
      <c r="KBZ2" s="88"/>
      <c r="KCA2" s="88"/>
      <c r="KCB2" s="88"/>
      <c r="KCC2" s="88"/>
      <c r="KCD2" s="88"/>
      <c r="KCE2" s="88"/>
      <c r="KCF2" s="88"/>
      <c r="KCG2" s="88"/>
      <c r="KCH2" s="88"/>
      <c r="KCI2" s="88"/>
      <c r="KCJ2" s="88"/>
      <c r="KCK2" s="88"/>
      <c r="KCL2" s="88"/>
      <c r="KCM2" s="88"/>
      <c r="KCN2" s="88"/>
      <c r="KCO2" s="88"/>
      <c r="KCP2" s="88"/>
      <c r="KCQ2" s="88"/>
      <c r="KCR2" s="88"/>
      <c r="KCS2" s="88"/>
      <c r="KCT2" s="88"/>
      <c r="KCU2" s="88"/>
      <c r="KCV2" s="88"/>
      <c r="KCW2" s="88"/>
      <c r="KCX2" s="88"/>
      <c r="KCY2" s="88"/>
      <c r="KCZ2" s="88"/>
      <c r="KDA2" s="88"/>
      <c r="KDB2" s="88"/>
      <c r="KDC2" s="88"/>
      <c r="KDD2" s="88"/>
      <c r="KDE2" s="88"/>
      <c r="KDF2" s="88"/>
      <c r="KDG2" s="88"/>
      <c r="KDH2" s="88"/>
      <c r="KDI2" s="88"/>
      <c r="KDJ2" s="88"/>
      <c r="KDK2" s="88"/>
      <c r="KDL2" s="88"/>
      <c r="KDM2" s="88"/>
      <c r="KDN2" s="88"/>
      <c r="KDO2" s="88"/>
      <c r="KDP2" s="88"/>
      <c r="KDQ2" s="88"/>
      <c r="KDR2" s="88"/>
      <c r="KDS2" s="88"/>
      <c r="KDT2" s="88"/>
      <c r="KDU2" s="88"/>
      <c r="KDV2" s="88"/>
      <c r="KDW2" s="88"/>
      <c r="KDX2" s="88"/>
      <c r="KDY2" s="88"/>
      <c r="KDZ2" s="88"/>
      <c r="KEA2" s="88"/>
      <c r="KEB2" s="88"/>
      <c r="KEC2" s="88"/>
      <c r="KED2" s="88"/>
      <c r="KEE2" s="88"/>
      <c r="KEF2" s="88"/>
      <c r="KEG2" s="88"/>
      <c r="KEH2" s="88"/>
      <c r="KEI2" s="88"/>
      <c r="KEJ2" s="88"/>
      <c r="KEK2" s="88"/>
      <c r="KEL2" s="88"/>
      <c r="KEM2" s="88"/>
      <c r="KEN2" s="88"/>
      <c r="KEO2" s="88"/>
      <c r="KEP2" s="88"/>
      <c r="KEQ2" s="88"/>
      <c r="KER2" s="88"/>
      <c r="KES2" s="88"/>
      <c r="KET2" s="88"/>
      <c r="KEU2" s="88"/>
      <c r="KEV2" s="88"/>
      <c r="KEW2" s="88"/>
      <c r="KEX2" s="88"/>
      <c r="KEY2" s="88"/>
      <c r="KEZ2" s="88"/>
      <c r="KFA2" s="88"/>
      <c r="KFB2" s="88"/>
      <c r="KFC2" s="88"/>
      <c r="KFD2" s="88"/>
      <c r="KFE2" s="88"/>
      <c r="KFF2" s="88"/>
      <c r="KFG2" s="88"/>
      <c r="KFH2" s="88"/>
      <c r="KFI2" s="88"/>
      <c r="KFJ2" s="88"/>
      <c r="KFK2" s="88"/>
      <c r="KFL2" s="88"/>
      <c r="KFM2" s="88"/>
      <c r="KFN2" s="88"/>
      <c r="KFO2" s="88"/>
      <c r="KFP2" s="88"/>
      <c r="KFQ2" s="88"/>
      <c r="KFR2" s="88"/>
      <c r="KFS2" s="88"/>
      <c r="KFT2" s="88"/>
      <c r="KFU2" s="88"/>
      <c r="KFV2" s="88"/>
      <c r="KFW2" s="88"/>
      <c r="KFX2" s="88"/>
      <c r="KFY2" s="88"/>
      <c r="KFZ2" s="88"/>
      <c r="KGA2" s="88"/>
      <c r="KGB2" s="88"/>
      <c r="KGC2" s="88"/>
      <c r="KGD2" s="88"/>
      <c r="KGE2" s="88"/>
      <c r="KGF2" s="88"/>
      <c r="KGG2" s="88"/>
      <c r="KGH2" s="88"/>
      <c r="KGI2" s="88"/>
      <c r="KGJ2" s="88"/>
      <c r="KGK2" s="88"/>
      <c r="KGL2" s="88"/>
      <c r="KGM2" s="88"/>
      <c r="KGN2" s="88"/>
      <c r="KGO2" s="88"/>
      <c r="KGP2" s="88"/>
      <c r="KGQ2" s="88"/>
      <c r="KGR2" s="88"/>
      <c r="KGS2" s="88"/>
      <c r="KGT2" s="88"/>
      <c r="KGU2" s="88"/>
      <c r="KGV2" s="88"/>
      <c r="KGW2" s="88"/>
      <c r="KGX2" s="88"/>
      <c r="KGY2" s="88"/>
      <c r="KGZ2" s="88"/>
      <c r="KHA2" s="88"/>
      <c r="KHB2" s="88"/>
      <c r="KHC2" s="88"/>
      <c r="KHD2" s="88"/>
      <c r="KHE2" s="88"/>
      <c r="KHF2" s="88"/>
      <c r="KHG2" s="88"/>
      <c r="KHH2" s="88"/>
      <c r="KHI2" s="88"/>
      <c r="KHJ2" s="88"/>
      <c r="KHK2" s="88"/>
      <c r="KHL2" s="88"/>
      <c r="KHM2" s="88"/>
      <c r="KHN2" s="88"/>
      <c r="KHO2" s="88"/>
      <c r="KHP2" s="88"/>
      <c r="KHQ2" s="88"/>
      <c r="KHR2" s="88"/>
      <c r="KHS2" s="88"/>
      <c r="KHT2" s="88"/>
      <c r="KHU2" s="88"/>
      <c r="KHV2" s="88"/>
      <c r="KHW2" s="88"/>
      <c r="KHX2" s="88"/>
      <c r="KHY2" s="88"/>
      <c r="KHZ2" s="88"/>
      <c r="KIA2" s="88"/>
      <c r="KIB2" s="88"/>
      <c r="KIC2" s="88"/>
      <c r="KID2" s="88"/>
      <c r="KIE2" s="88"/>
      <c r="KIF2" s="88"/>
      <c r="KIG2" s="88"/>
      <c r="KIH2" s="88"/>
      <c r="KII2" s="88"/>
      <c r="KIJ2" s="88"/>
      <c r="KIK2" s="88"/>
      <c r="KIL2" s="88"/>
      <c r="KIM2" s="88"/>
      <c r="KIN2" s="88"/>
      <c r="KIO2" s="88"/>
      <c r="KIP2" s="88"/>
      <c r="KIQ2" s="88"/>
      <c r="KIR2" s="88"/>
      <c r="KIS2" s="88"/>
      <c r="KIT2" s="88"/>
      <c r="KIU2" s="88"/>
      <c r="KIV2" s="88"/>
      <c r="KIW2" s="88"/>
      <c r="KIX2" s="88"/>
      <c r="KIY2" s="88"/>
      <c r="KIZ2" s="88"/>
      <c r="KJA2" s="88"/>
      <c r="KJB2" s="88"/>
      <c r="KJC2" s="88"/>
      <c r="KJD2" s="88"/>
      <c r="KJE2" s="88"/>
      <c r="KJF2" s="88"/>
      <c r="KJG2" s="88"/>
      <c r="KJH2" s="88"/>
      <c r="KJI2" s="88"/>
      <c r="KJJ2" s="88"/>
      <c r="KJK2" s="88"/>
      <c r="KJL2" s="88"/>
      <c r="KJM2" s="88"/>
      <c r="KJN2" s="88"/>
      <c r="KJO2" s="88"/>
      <c r="KJP2" s="88"/>
      <c r="KJQ2" s="88"/>
      <c r="KJR2" s="88"/>
      <c r="KJS2" s="88"/>
      <c r="KJT2" s="88"/>
      <c r="KJU2" s="88"/>
      <c r="KJV2" s="88"/>
      <c r="KJW2" s="88"/>
      <c r="KJX2" s="88"/>
      <c r="KJY2" s="88"/>
      <c r="KJZ2" s="88"/>
      <c r="KKA2" s="88"/>
      <c r="KKB2" s="88"/>
      <c r="KKC2" s="88"/>
      <c r="KKD2" s="88"/>
      <c r="KKE2" s="88"/>
      <c r="KKF2" s="88"/>
      <c r="KKG2" s="88"/>
      <c r="KKH2" s="88"/>
      <c r="KKI2" s="88"/>
      <c r="KKJ2" s="88"/>
      <c r="KKK2" s="88"/>
      <c r="KKL2" s="88"/>
      <c r="KKM2" s="88"/>
      <c r="KKN2" s="88"/>
      <c r="KKO2" s="88"/>
      <c r="KKP2" s="88"/>
      <c r="KKQ2" s="88"/>
      <c r="KKR2" s="88"/>
      <c r="KKS2" s="88"/>
      <c r="KKT2" s="88"/>
      <c r="KKU2" s="88"/>
      <c r="KKV2" s="88"/>
      <c r="KKW2" s="88"/>
      <c r="KKX2" s="88"/>
      <c r="KKY2" s="88"/>
      <c r="KKZ2" s="88"/>
      <c r="KLA2" s="88"/>
      <c r="KLB2" s="88"/>
      <c r="KLC2" s="88"/>
      <c r="KLD2" s="88"/>
      <c r="KLE2" s="88"/>
      <c r="KLF2" s="88"/>
      <c r="KLG2" s="88"/>
      <c r="KLH2" s="88"/>
      <c r="KLI2" s="88"/>
      <c r="KLJ2" s="88"/>
      <c r="KLK2" s="88"/>
      <c r="KLL2" s="88"/>
      <c r="KLM2" s="88"/>
      <c r="KLN2" s="88"/>
      <c r="KLO2" s="88"/>
      <c r="KLP2" s="88"/>
      <c r="KLQ2" s="88"/>
      <c r="KLR2" s="88"/>
      <c r="KLS2" s="88"/>
      <c r="KLT2" s="88"/>
      <c r="KLU2" s="88"/>
      <c r="KLV2" s="88"/>
      <c r="KLW2" s="88"/>
      <c r="KLX2" s="88"/>
      <c r="KLY2" s="88"/>
      <c r="KLZ2" s="88"/>
      <c r="KMA2" s="88"/>
      <c r="KMB2" s="88"/>
      <c r="KMC2" s="88"/>
      <c r="KMD2" s="88"/>
      <c r="KME2" s="88"/>
      <c r="KMF2" s="88"/>
      <c r="KMG2" s="88"/>
      <c r="KMH2" s="88"/>
      <c r="KMI2" s="88"/>
      <c r="KMJ2" s="88"/>
      <c r="KMK2" s="88"/>
      <c r="KML2" s="88"/>
      <c r="KMM2" s="88"/>
      <c r="KMN2" s="88"/>
      <c r="KMO2" s="88"/>
      <c r="KMP2" s="88"/>
      <c r="KMQ2" s="88"/>
      <c r="KMR2" s="88"/>
      <c r="KMS2" s="88"/>
      <c r="KMT2" s="88"/>
      <c r="KMU2" s="88"/>
      <c r="KMV2" s="88"/>
      <c r="KMW2" s="88"/>
      <c r="KMX2" s="88"/>
      <c r="KMY2" s="88"/>
      <c r="KMZ2" s="88"/>
      <c r="KNA2" s="88"/>
      <c r="KNB2" s="88"/>
      <c r="KNC2" s="88"/>
      <c r="KND2" s="88"/>
      <c r="KNE2" s="88"/>
      <c r="KNF2" s="88"/>
      <c r="KNG2" s="88"/>
      <c r="KNH2" s="88"/>
      <c r="KNI2" s="88"/>
      <c r="KNJ2" s="88"/>
      <c r="KNK2" s="88"/>
      <c r="KNL2" s="88"/>
      <c r="KNM2" s="88"/>
      <c r="KNN2" s="88"/>
      <c r="KNO2" s="88"/>
      <c r="KNP2" s="88"/>
      <c r="KNQ2" s="88"/>
      <c r="KNR2" s="88"/>
      <c r="KNS2" s="88"/>
      <c r="KNT2" s="88"/>
      <c r="KNU2" s="88"/>
      <c r="KNV2" s="88"/>
      <c r="KNW2" s="88"/>
      <c r="KNX2" s="88"/>
      <c r="KNY2" s="88"/>
      <c r="KNZ2" s="88"/>
      <c r="KOA2" s="88"/>
      <c r="KOB2" s="88"/>
      <c r="KOC2" s="88"/>
      <c r="KOD2" s="88"/>
      <c r="KOE2" s="88"/>
      <c r="KOF2" s="88"/>
      <c r="KOG2" s="88"/>
      <c r="KOH2" s="88"/>
      <c r="KOI2" s="88"/>
      <c r="KOJ2" s="88"/>
      <c r="KOK2" s="88"/>
      <c r="KOL2" s="88"/>
      <c r="KOM2" s="88"/>
      <c r="KON2" s="88"/>
      <c r="KOO2" s="88"/>
      <c r="KOP2" s="88"/>
      <c r="KOQ2" s="88"/>
      <c r="KOR2" s="88"/>
      <c r="KOS2" s="88"/>
      <c r="KOT2" s="88"/>
      <c r="KOU2" s="88"/>
      <c r="KOV2" s="88"/>
      <c r="KOW2" s="88"/>
      <c r="KOX2" s="88"/>
      <c r="KOY2" s="88"/>
      <c r="KOZ2" s="88"/>
      <c r="KPA2" s="88"/>
      <c r="KPB2" s="88"/>
      <c r="KPC2" s="88"/>
      <c r="KPD2" s="88"/>
      <c r="KPE2" s="88"/>
      <c r="KPF2" s="88"/>
      <c r="KPG2" s="88"/>
      <c r="KPH2" s="88"/>
      <c r="KPI2" s="88"/>
      <c r="KPJ2" s="88"/>
      <c r="KPK2" s="88"/>
      <c r="KPL2" s="88"/>
      <c r="KPM2" s="88"/>
      <c r="KPN2" s="88"/>
      <c r="KPO2" s="88"/>
      <c r="KPP2" s="88"/>
      <c r="KPQ2" s="88"/>
      <c r="KPR2" s="88"/>
      <c r="KPS2" s="88"/>
      <c r="KPT2" s="88"/>
      <c r="KPU2" s="88"/>
      <c r="KPV2" s="88"/>
      <c r="KPW2" s="88"/>
      <c r="KPX2" s="88"/>
      <c r="KPY2" s="88"/>
      <c r="KPZ2" s="88"/>
      <c r="KQA2" s="88"/>
      <c r="KQB2" s="88"/>
      <c r="KQC2" s="88"/>
      <c r="KQD2" s="88"/>
      <c r="KQE2" s="88"/>
      <c r="KQF2" s="88"/>
      <c r="KQG2" s="88"/>
      <c r="KQH2" s="88"/>
      <c r="KQI2" s="88"/>
      <c r="KQJ2" s="88"/>
      <c r="KQK2" s="88"/>
      <c r="KQL2" s="88"/>
      <c r="KQM2" s="88"/>
      <c r="KQN2" s="88"/>
      <c r="KQO2" s="88"/>
      <c r="KQP2" s="88"/>
      <c r="KQQ2" s="88"/>
      <c r="KQR2" s="88"/>
      <c r="KQS2" s="88"/>
      <c r="KQT2" s="88"/>
      <c r="KQU2" s="88"/>
      <c r="KQV2" s="88"/>
      <c r="KQW2" s="88"/>
      <c r="KQX2" s="88"/>
      <c r="KQY2" s="88"/>
      <c r="KQZ2" s="88"/>
      <c r="KRA2" s="88"/>
      <c r="KRB2" s="88"/>
      <c r="KRC2" s="88"/>
      <c r="KRD2" s="88"/>
      <c r="KRE2" s="88"/>
      <c r="KRF2" s="88"/>
      <c r="KRG2" s="88"/>
      <c r="KRH2" s="88"/>
      <c r="KRI2" s="88"/>
      <c r="KRJ2" s="88"/>
      <c r="KRK2" s="88"/>
      <c r="KRL2" s="88"/>
      <c r="KRM2" s="88"/>
      <c r="KRN2" s="88"/>
      <c r="KRO2" s="88"/>
      <c r="KRP2" s="88"/>
      <c r="KRQ2" s="88"/>
      <c r="KRR2" s="88"/>
      <c r="KRS2" s="88"/>
      <c r="KRT2" s="88"/>
      <c r="KRU2" s="88"/>
      <c r="KRV2" s="88"/>
      <c r="KRW2" s="88"/>
      <c r="KRX2" s="88"/>
      <c r="KRY2" s="88"/>
      <c r="KRZ2" s="88"/>
      <c r="KSA2" s="88"/>
      <c r="KSB2" s="88"/>
      <c r="KSC2" s="88"/>
      <c r="KSD2" s="88"/>
      <c r="KSE2" s="88"/>
      <c r="KSF2" s="88"/>
      <c r="KSG2" s="88"/>
      <c r="KSH2" s="88"/>
      <c r="KSI2" s="88"/>
      <c r="KSJ2" s="88"/>
      <c r="KSK2" s="88"/>
      <c r="KSL2" s="88"/>
      <c r="KSM2" s="88"/>
      <c r="KSN2" s="88"/>
      <c r="KSO2" s="88"/>
      <c r="KSP2" s="88"/>
      <c r="KSQ2" s="88"/>
      <c r="KSR2" s="88"/>
      <c r="KSS2" s="88"/>
      <c r="KST2" s="88"/>
      <c r="KSU2" s="88"/>
      <c r="KSV2" s="88"/>
      <c r="KSW2" s="88"/>
      <c r="KSX2" s="88"/>
      <c r="KSY2" s="88"/>
      <c r="KSZ2" s="88"/>
      <c r="KTA2" s="88"/>
      <c r="KTB2" s="88"/>
      <c r="KTC2" s="88"/>
      <c r="KTD2" s="88"/>
      <c r="KTE2" s="88"/>
      <c r="KTF2" s="88"/>
      <c r="KTG2" s="88"/>
      <c r="KTH2" s="88"/>
      <c r="KTI2" s="88"/>
      <c r="KTJ2" s="88"/>
      <c r="KTK2" s="88"/>
      <c r="KTL2" s="88"/>
      <c r="KTM2" s="88"/>
      <c r="KTN2" s="88"/>
      <c r="KTO2" s="88"/>
      <c r="KTP2" s="88"/>
      <c r="KTQ2" s="88"/>
      <c r="KTR2" s="88"/>
      <c r="KTS2" s="88"/>
      <c r="KTT2" s="88"/>
      <c r="KTU2" s="88"/>
      <c r="KTV2" s="88"/>
      <c r="KTW2" s="88"/>
      <c r="KTX2" s="88"/>
      <c r="KTY2" s="88"/>
      <c r="KTZ2" s="88"/>
      <c r="KUA2" s="88"/>
      <c r="KUB2" s="88"/>
      <c r="KUC2" s="88"/>
      <c r="KUD2" s="88"/>
      <c r="KUE2" s="88"/>
      <c r="KUF2" s="88"/>
      <c r="KUG2" s="88"/>
      <c r="KUH2" s="88"/>
      <c r="KUI2" s="88"/>
      <c r="KUJ2" s="88"/>
      <c r="KUK2" s="88"/>
      <c r="KUL2" s="88"/>
      <c r="KUM2" s="88"/>
      <c r="KUN2" s="88"/>
      <c r="KUO2" s="88"/>
      <c r="KUP2" s="88"/>
      <c r="KUQ2" s="88"/>
      <c r="KUR2" s="88"/>
      <c r="KUS2" s="88"/>
      <c r="KUT2" s="88"/>
      <c r="KUU2" s="88"/>
      <c r="KUV2" s="88"/>
      <c r="KUW2" s="88"/>
      <c r="KUX2" s="88"/>
      <c r="KUY2" s="88"/>
      <c r="KUZ2" s="88"/>
      <c r="KVA2" s="88"/>
      <c r="KVB2" s="88"/>
      <c r="KVC2" s="88"/>
      <c r="KVD2" s="88"/>
      <c r="KVE2" s="88"/>
      <c r="KVF2" s="88"/>
      <c r="KVG2" s="88"/>
      <c r="KVH2" s="88"/>
      <c r="KVI2" s="88"/>
      <c r="KVJ2" s="88"/>
      <c r="KVK2" s="88"/>
      <c r="KVL2" s="88"/>
      <c r="KVM2" s="88"/>
      <c r="KVN2" s="88"/>
      <c r="KVO2" s="88"/>
      <c r="KVP2" s="88"/>
      <c r="KVQ2" s="88"/>
      <c r="KVR2" s="88"/>
      <c r="KVS2" s="88"/>
      <c r="KVT2" s="88"/>
      <c r="KVU2" s="88"/>
      <c r="KVV2" s="88"/>
      <c r="KVW2" s="88"/>
      <c r="KVX2" s="88"/>
      <c r="KVY2" s="88"/>
      <c r="KVZ2" s="88"/>
      <c r="KWA2" s="88"/>
      <c r="KWB2" s="88"/>
      <c r="KWC2" s="88"/>
      <c r="KWD2" s="88"/>
      <c r="KWE2" s="88"/>
      <c r="KWF2" s="88"/>
      <c r="KWG2" s="88"/>
      <c r="KWH2" s="88"/>
      <c r="KWI2" s="88"/>
      <c r="KWJ2" s="88"/>
      <c r="KWK2" s="88"/>
      <c r="KWL2" s="88"/>
      <c r="KWM2" s="88"/>
      <c r="KWN2" s="88"/>
      <c r="KWO2" s="88"/>
      <c r="KWP2" s="88"/>
      <c r="KWQ2" s="88"/>
      <c r="KWR2" s="88"/>
      <c r="KWS2" s="88"/>
      <c r="KWT2" s="88"/>
      <c r="KWU2" s="88"/>
      <c r="KWV2" s="88"/>
      <c r="KWW2" s="88"/>
      <c r="KWX2" s="88"/>
      <c r="KWY2" s="88"/>
      <c r="KWZ2" s="88"/>
      <c r="KXA2" s="88"/>
      <c r="KXB2" s="88"/>
      <c r="KXC2" s="88"/>
      <c r="KXD2" s="88"/>
      <c r="KXE2" s="88"/>
      <c r="KXF2" s="88"/>
      <c r="KXG2" s="88"/>
      <c r="KXH2" s="88"/>
      <c r="KXI2" s="88"/>
      <c r="KXJ2" s="88"/>
      <c r="KXK2" s="88"/>
      <c r="KXL2" s="88"/>
      <c r="KXM2" s="88"/>
      <c r="KXN2" s="88"/>
      <c r="KXO2" s="88"/>
      <c r="KXP2" s="88"/>
      <c r="KXQ2" s="88"/>
      <c r="KXR2" s="88"/>
      <c r="KXS2" s="88"/>
      <c r="KXT2" s="88"/>
      <c r="KXU2" s="88"/>
      <c r="KXV2" s="88"/>
      <c r="KXW2" s="88"/>
      <c r="KXX2" s="88"/>
      <c r="KXY2" s="88"/>
      <c r="KXZ2" s="88"/>
      <c r="KYA2" s="88"/>
      <c r="KYB2" s="88"/>
      <c r="KYC2" s="88"/>
      <c r="KYD2" s="88"/>
      <c r="KYE2" s="88"/>
      <c r="KYF2" s="88"/>
      <c r="KYG2" s="88"/>
      <c r="KYH2" s="88"/>
      <c r="KYI2" s="88"/>
      <c r="KYJ2" s="88"/>
      <c r="KYK2" s="88"/>
      <c r="KYL2" s="88"/>
      <c r="KYM2" s="88"/>
      <c r="KYN2" s="88"/>
      <c r="KYO2" s="88"/>
      <c r="KYP2" s="88"/>
      <c r="KYQ2" s="88"/>
      <c r="KYR2" s="88"/>
      <c r="KYS2" s="88"/>
      <c r="KYT2" s="88"/>
      <c r="KYU2" s="88"/>
      <c r="KYV2" s="88"/>
      <c r="KYW2" s="88"/>
      <c r="KYX2" s="88"/>
      <c r="KYY2" s="88"/>
      <c r="KYZ2" s="88"/>
      <c r="KZA2" s="88"/>
      <c r="KZB2" s="88"/>
      <c r="KZC2" s="88"/>
      <c r="KZD2" s="88"/>
      <c r="KZE2" s="88"/>
      <c r="KZF2" s="88"/>
      <c r="KZG2" s="88"/>
      <c r="KZH2" s="88"/>
      <c r="KZI2" s="88"/>
      <c r="KZJ2" s="88"/>
      <c r="KZK2" s="88"/>
      <c r="KZL2" s="88"/>
      <c r="KZM2" s="88"/>
      <c r="KZN2" s="88"/>
      <c r="KZO2" s="88"/>
      <c r="KZP2" s="88"/>
      <c r="KZQ2" s="88"/>
      <c r="KZR2" s="88"/>
      <c r="KZS2" s="88"/>
      <c r="KZT2" s="88"/>
      <c r="KZU2" s="88"/>
      <c r="KZV2" s="88"/>
      <c r="KZW2" s="88"/>
      <c r="KZX2" s="88"/>
      <c r="KZY2" s="88"/>
      <c r="KZZ2" s="88"/>
      <c r="LAA2" s="88"/>
      <c r="LAB2" s="88"/>
      <c r="LAC2" s="88"/>
      <c r="LAD2" s="88"/>
      <c r="LAE2" s="88"/>
      <c r="LAF2" s="88"/>
      <c r="LAG2" s="88"/>
      <c r="LAH2" s="88"/>
      <c r="LAI2" s="88"/>
      <c r="LAJ2" s="88"/>
      <c r="LAK2" s="88"/>
      <c r="LAL2" s="88"/>
      <c r="LAM2" s="88"/>
      <c r="LAN2" s="88"/>
      <c r="LAO2" s="88"/>
      <c r="LAP2" s="88"/>
      <c r="LAQ2" s="88"/>
      <c r="LAR2" s="88"/>
      <c r="LAS2" s="88"/>
      <c r="LAT2" s="88"/>
      <c r="LAU2" s="88"/>
      <c r="LAV2" s="88"/>
      <c r="LAW2" s="88"/>
      <c r="LAX2" s="88"/>
      <c r="LAY2" s="88"/>
      <c r="LAZ2" s="88"/>
      <c r="LBA2" s="88"/>
      <c r="LBB2" s="88"/>
      <c r="LBC2" s="88"/>
      <c r="LBD2" s="88"/>
      <c r="LBE2" s="88"/>
      <c r="LBF2" s="88"/>
      <c r="LBG2" s="88"/>
      <c r="LBH2" s="88"/>
      <c r="LBI2" s="88"/>
      <c r="LBJ2" s="88"/>
      <c r="LBK2" s="88"/>
      <c r="LBL2" s="88"/>
      <c r="LBM2" s="88"/>
      <c r="LBN2" s="88"/>
      <c r="LBO2" s="88"/>
      <c r="LBP2" s="88"/>
      <c r="LBQ2" s="88"/>
      <c r="LBR2" s="88"/>
      <c r="LBS2" s="88"/>
      <c r="LBT2" s="88"/>
      <c r="LBU2" s="88"/>
      <c r="LBV2" s="88"/>
      <c r="LBW2" s="88"/>
      <c r="LBX2" s="88"/>
      <c r="LBY2" s="88"/>
      <c r="LBZ2" s="88"/>
      <c r="LCA2" s="88"/>
      <c r="LCB2" s="88"/>
      <c r="LCC2" s="88"/>
      <c r="LCD2" s="88"/>
      <c r="LCE2" s="88"/>
      <c r="LCF2" s="88"/>
      <c r="LCG2" s="88"/>
      <c r="LCH2" s="88"/>
      <c r="LCI2" s="88"/>
      <c r="LCJ2" s="88"/>
      <c r="LCK2" s="88"/>
      <c r="LCL2" s="88"/>
      <c r="LCM2" s="88"/>
      <c r="LCN2" s="88"/>
      <c r="LCO2" s="88"/>
      <c r="LCP2" s="88"/>
      <c r="LCQ2" s="88"/>
      <c r="LCR2" s="88"/>
      <c r="LCS2" s="88"/>
      <c r="LCT2" s="88"/>
      <c r="LCU2" s="88"/>
      <c r="LCV2" s="88"/>
      <c r="LCW2" s="88"/>
      <c r="LCX2" s="88"/>
      <c r="LCY2" s="88"/>
      <c r="LCZ2" s="88"/>
      <c r="LDA2" s="88"/>
      <c r="LDB2" s="88"/>
      <c r="LDC2" s="88"/>
      <c r="LDD2" s="88"/>
      <c r="LDE2" s="88"/>
      <c r="LDF2" s="88"/>
      <c r="LDG2" s="88"/>
      <c r="LDH2" s="88"/>
      <c r="LDI2" s="88"/>
      <c r="LDJ2" s="88"/>
      <c r="LDK2" s="88"/>
      <c r="LDL2" s="88"/>
      <c r="LDM2" s="88"/>
      <c r="LDN2" s="88"/>
      <c r="LDO2" s="88"/>
      <c r="LDP2" s="88"/>
      <c r="LDQ2" s="88"/>
      <c r="LDR2" s="88"/>
      <c r="LDS2" s="88"/>
      <c r="LDT2" s="88"/>
      <c r="LDU2" s="88"/>
      <c r="LDV2" s="88"/>
      <c r="LDW2" s="88"/>
      <c r="LDX2" s="88"/>
      <c r="LDY2" s="88"/>
      <c r="LDZ2" s="88"/>
      <c r="LEA2" s="88"/>
      <c r="LEB2" s="88"/>
      <c r="LEC2" s="88"/>
      <c r="LED2" s="88"/>
      <c r="LEE2" s="88"/>
      <c r="LEF2" s="88"/>
      <c r="LEG2" s="88"/>
      <c r="LEH2" s="88"/>
      <c r="LEI2" s="88"/>
      <c r="LEJ2" s="88"/>
      <c r="LEK2" s="88"/>
      <c r="LEL2" s="88"/>
      <c r="LEM2" s="88"/>
      <c r="LEN2" s="88"/>
      <c r="LEO2" s="88"/>
      <c r="LEP2" s="88"/>
      <c r="LEQ2" s="88"/>
      <c r="LER2" s="88"/>
      <c r="LES2" s="88"/>
      <c r="LET2" s="88"/>
      <c r="LEU2" s="88"/>
      <c r="LEV2" s="88"/>
      <c r="LEW2" s="88"/>
      <c r="LEX2" s="88"/>
      <c r="LEY2" s="88"/>
      <c r="LEZ2" s="88"/>
      <c r="LFA2" s="88"/>
      <c r="LFB2" s="88"/>
      <c r="LFC2" s="88"/>
      <c r="LFD2" s="88"/>
      <c r="LFE2" s="88"/>
      <c r="LFF2" s="88"/>
      <c r="LFG2" s="88"/>
      <c r="LFH2" s="88"/>
      <c r="LFI2" s="88"/>
      <c r="LFJ2" s="88"/>
      <c r="LFK2" s="88"/>
      <c r="LFL2" s="88"/>
      <c r="LFM2" s="88"/>
      <c r="LFN2" s="88"/>
      <c r="LFO2" s="88"/>
      <c r="LFP2" s="88"/>
      <c r="LFQ2" s="88"/>
      <c r="LFR2" s="88"/>
      <c r="LFS2" s="88"/>
      <c r="LFT2" s="88"/>
      <c r="LFU2" s="88"/>
      <c r="LFV2" s="88"/>
      <c r="LFW2" s="88"/>
      <c r="LFX2" s="88"/>
      <c r="LFY2" s="88"/>
      <c r="LFZ2" s="88"/>
      <c r="LGA2" s="88"/>
      <c r="LGB2" s="88"/>
      <c r="LGC2" s="88"/>
      <c r="LGD2" s="88"/>
      <c r="LGE2" s="88"/>
      <c r="LGF2" s="88"/>
      <c r="LGG2" s="88"/>
      <c r="LGH2" s="88"/>
      <c r="LGI2" s="88"/>
      <c r="LGJ2" s="88"/>
      <c r="LGK2" s="88"/>
      <c r="LGL2" s="88"/>
      <c r="LGM2" s="88"/>
      <c r="LGN2" s="88"/>
      <c r="LGO2" s="88"/>
      <c r="LGP2" s="88"/>
      <c r="LGQ2" s="88"/>
      <c r="LGR2" s="88"/>
      <c r="LGS2" s="88"/>
      <c r="LGT2" s="88"/>
      <c r="LGU2" s="88"/>
      <c r="LGV2" s="88"/>
      <c r="LGW2" s="88"/>
      <c r="LGX2" s="88"/>
      <c r="LGY2" s="88"/>
      <c r="LGZ2" s="88"/>
      <c r="LHA2" s="88"/>
      <c r="LHB2" s="88"/>
      <c r="LHC2" s="88"/>
      <c r="LHD2" s="88"/>
      <c r="LHE2" s="88"/>
      <c r="LHF2" s="88"/>
      <c r="LHG2" s="88"/>
      <c r="LHH2" s="88"/>
      <c r="LHI2" s="88"/>
      <c r="LHJ2" s="88"/>
      <c r="LHK2" s="88"/>
      <c r="LHL2" s="88"/>
      <c r="LHM2" s="88"/>
      <c r="LHN2" s="88"/>
      <c r="LHO2" s="88"/>
      <c r="LHP2" s="88"/>
      <c r="LHQ2" s="88"/>
      <c r="LHR2" s="88"/>
      <c r="LHS2" s="88"/>
      <c r="LHT2" s="88"/>
      <c r="LHU2" s="88"/>
      <c r="LHV2" s="88"/>
      <c r="LHW2" s="88"/>
      <c r="LHX2" s="88"/>
      <c r="LHY2" s="88"/>
      <c r="LHZ2" s="88"/>
      <c r="LIA2" s="88"/>
      <c r="LIB2" s="88"/>
      <c r="LIC2" s="88"/>
      <c r="LID2" s="88"/>
      <c r="LIE2" s="88"/>
      <c r="LIF2" s="88"/>
      <c r="LIG2" s="88"/>
      <c r="LIH2" s="88"/>
      <c r="LII2" s="88"/>
      <c r="LIJ2" s="88"/>
      <c r="LIK2" s="88"/>
      <c r="LIL2" s="88"/>
      <c r="LIM2" s="88"/>
      <c r="LIN2" s="88"/>
      <c r="LIO2" s="88"/>
      <c r="LIP2" s="88"/>
      <c r="LIQ2" s="88"/>
      <c r="LIR2" s="88"/>
      <c r="LIS2" s="88"/>
      <c r="LIT2" s="88"/>
      <c r="LIU2" s="88"/>
      <c r="LIV2" s="88"/>
      <c r="LIW2" s="88"/>
      <c r="LIX2" s="88"/>
      <c r="LIY2" s="88"/>
      <c r="LIZ2" s="88"/>
      <c r="LJA2" s="88"/>
      <c r="LJB2" s="88"/>
      <c r="LJC2" s="88"/>
      <c r="LJD2" s="88"/>
      <c r="LJE2" s="88"/>
      <c r="LJF2" s="88"/>
      <c r="LJG2" s="88"/>
      <c r="LJH2" s="88"/>
      <c r="LJI2" s="88"/>
      <c r="LJJ2" s="88"/>
      <c r="LJK2" s="88"/>
      <c r="LJL2" s="88"/>
      <c r="LJM2" s="88"/>
      <c r="LJN2" s="88"/>
      <c r="LJO2" s="88"/>
      <c r="LJP2" s="88"/>
      <c r="LJQ2" s="88"/>
      <c r="LJR2" s="88"/>
      <c r="LJS2" s="88"/>
      <c r="LJT2" s="88"/>
      <c r="LJU2" s="88"/>
      <c r="LJV2" s="88"/>
      <c r="LJW2" s="88"/>
      <c r="LJX2" s="88"/>
      <c r="LJY2" s="88"/>
      <c r="LJZ2" s="88"/>
      <c r="LKA2" s="88"/>
      <c r="LKB2" s="88"/>
      <c r="LKC2" s="88"/>
      <c r="LKD2" s="88"/>
      <c r="LKE2" s="88"/>
      <c r="LKF2" s="88"/>
      <c r="LKG2" s="88"/>
      <c r="LKH2" s="88"/>
      <c r="LKI2" s="88"/>
      <c r="LKJ2" s="88"/>
      <c r="LKK2" s="88"/>
      <c r="LKL2" s="88"/>
      <c r="LKM2" s="88"/>
      <c r="LKN2" s="88"/>
      <c r="LKO2" s="88"/>
      <c r="LKP2" s="88"/>
      <c r="LKQ2" s="88"/>
      <c r="LKR2" s="88"/>
      <c r="LKS2" s="88"/>
      <c r="LKT2" s="88"/>
      <c r="LKU2" s="88"/>
      <c r="LKV2" s="88"/>
      <c r="LKW2" s="88"/>
      <c r="LKX2" s="88"/>
      <c r="LKY2" s="88"/>
      <c r="LKZ2" s="88"/>
      <c r="LLA2" s="88"/>
      <c r="LLB2" s="88"/>
      <c r="LLC2" s="88"/>
      <c r="LLD2" s="88"/>
      <c r="LLE2" s="88"/>
      <c r="LLF2" s="88"/>
      <c r="LLG2" s="88"/>
      <c r="LLH2" s="88"/>
      <c r="LLI2" s="88"/>
      <c r="LLJ2" s="88"/>
      <c r="LLK2" s="88"/>
      <c r="LLL2" s="88"/>
      <c r="LLM2" s="88"/>
      <c r="LLN2" s="88"/>
      <c r="LLO2" s="88"/>
      <c r="LLP2" s="88"/>
      <c r="LLQ2" s="88"/>
      <c r="LLR2" s="88"/>
      <c r="LLS2" s="88"/>
      <c r="LLT2" s="88"/>
      <c r="LLU2" s="88"/>
      <c r="LLV2" s="88"/>
      <c r="LLW2" s="88"/>
      <c r="LLX2" s="88"/>
      <c r="LLY2" s="88"/>
      <c r="LLZ2" s="88"/>
      <c r="LMA2" s="88"/>
      <c r="LMB2" s="88"/>
      <c r="LMC2" s="88"/>
      <c r="LMD2" s="88"/>
      <c r="LME2" s="88"/>
      <c r="LMF2" s="88"/>
      <c r="LMG2" s="88"/>
      <c r="LMH2" s="88"/>
      <c r="LMI2" s="88"/>
      <c r="LMJ2" s="88"/>
      <c r="LMK2" s="88"/>
      <c r="LML2" s="88"/>
      <c r="LMM2" s="88"/>
      <c r="LMN2" s="88"/>
      <c r="LMO2" s="88"/>
      <c r="LMP2" s="88"/>
      <c r="LMQ2" s="88"/>
      <c r="LMR2" s="88"/>
      <c r="LMS2" s="88"/>
      <c r="LMT2" s="88"/>
      <c r="LMU2" s="88"/>
      <c r="LMV2" s="88"/>
      <c r="LMW2" s="88"/>
      <c r="LMX2" s="88"/>
      <c r="LMY2" s="88"/>
      <c r="LMZ2" s="88"/>
      <c r="LNA2" s="88"/>
      <c r="LNB2" s="88"/>
      <c r="LNC2" s="88"/>
      <c r="LND2" s="88"/>
      <c r="LNE2" s="88"/>
      <c r="LNF2" s="88"/>
      <c r="LNG2" s="88"/>
      <c r="LNH2" s="88"/>
      <c r="LNI2" s="88"/>
      <c r="LNJ2" s="88"/>
      <c r="LNK2" s="88"/>
      <c r="LNL2" s="88"/>
      <c r="LNM2" s="88"/>
      <c r="LNN2" s="88"/>
      <c r="LNO2" s="88"/>
      <c r="LNP2" s="88"/>
      <c r="LNQ2" s="88"/>
      <c r="LNR2" s="88"/>
      <c r="LNS2" s="88"/>
      <c r="LNT2" s="88"/>
      <c r="LNU2" s="88"/>
      <c r="LNV2" s="88"/>
      <c r="LNW2" s="88"/>
      <c r="LNX2" s="88"/>
      <c r="LNY2" s="88"/>
      <c r="LNZ2" s="88"/>
      <c r="LOA2" s="88"/>
      <c r="LOB2" s="88"/>
      <c r="LOC2" s="88"/>
      <c r="LOD2" s="88"/>
      <c r="LOE2" s="88"/>
      <c r="LOF2" s="88"/>
      <c r="LOG2" s="88"/>
      <c r="LOH2" s="88"/>
      <c r="LOI2" s="88"/>
      <c r="LOJ2" s="88"/>
      <c r="LOK2" s="88"/>
      <c r="LOL2" s="88"/>
      <c r="LOM2" s="88"/>
      <c r="LON2" s="88"/>
      <c r="LOO2" s="88"/>
      <c r="LOP2" s="88"/>
      <c r="LOQ2" s="88"/>
      <c r="LOR2" s="88"/>
      <c r="LOS2" s="88"/>
      <c r="LOT2" s="88"/>
      <c r="LOU2" s="88"/>
      <c r="LOV2" s="88"/>
      <c r="LOW2" s="88"/>
      <c r="LOX2" s="88"/>
      <c r="LOY2" s="88"/>
      <c r="LOZ2" s="88"/>
      <c r="LPA2" s="88"/>
      <c r="LPB2" s="88"/>
      <c r="LPC2" s="88"/>
      <c r="LPD2" s="88"/>
      <c r="LPE2" s="88"/>
      <c r="LPF2" s="88"/>
      <c r="LPG2" s="88"/>
      <c r="LPH2" s="88"/>
      <c r="LPI2" s="88"/>
      <c r="LPJ2" s="88"/>
      <c r="LPK2" s="88"/>
      <c r="LPL2" s="88"/>
      <c r="LPM2" s="88"/>
      <c r="LPN2" s="88"/>
      <c r="LPO2" s="88"/>
      <c r="LPP2" s="88"/>
      <c r="LPQ2" s="88"/>
      <c r="LPR2" s="88"/>
      <c r="LPS2" s="88"/>
      <c r="LPT2" s="88"/>
      <c r="LPU2" s="88"/>
      <c r="LPV2" s="88"/>
      <c r="LPW2" s="88"/>
      <c r="LPX2" s="88"/>
      <c r="LPY2" s="88"/>
      <c r="LPZ2" s="88"/>
      <c r="LQA2" s="88"/>
      <c r="LQB2" s="88"/>
      <c r="LQC2" s="88"/>
      <c r="LQD2" s="88"/>
      <c r="LQE2" s="88"/>
      <c r="LQF2" s="88"/>
      <c r="LQG2" s="88"/>
      <c r="LQH2" s="88"/>
      <c r="LQI2" s="88"/>
      <c r="LQJ2" s="88"/>
      <c r="LQK2" s="88"/>
      <c r="LQL2" s="88"/>
      <c r="LQM2" s="88"/>
      <c r="LQN2" s="88"/>
      <c r="LQO2" s="88"/>
      <c r="LQP2" s="88"/>
      <c r="LQQ2" s="88"/>
      <c r="LQR2" s="88"/>
      <c r="LQS2" s="88"/>
      <c r="LQT2" s="88"/>
      <c r="LQU2" s="88"/>
      <c r="LQV2" s="88"/>
      <c r="LQW2" s="88"/>
      <c r="LQX2" s="88"/>
      <c r="LQY2" s="88"/>
      <c r="LQZ2" s="88"/>
      <c r="LRA2" s="88"/>
      <c r="LRB2" s="88"/>
      <c r="LRC2" s="88"/>
      <c r="LRD2" s="88"/>
      <c r="LRE2" s="88"/>
      <c r="LRF2" s="88"/>
      <c r="LRG2" s="88"/>
      <c r="LRH2" s="88"/>
      <c r="LRI2" s="88"/>
      <c r="LRJ2" s="88"/>
      <c r="LRK2" s="88"/>
      <c r="LRL2" s="88"/>
      <c r="LRM2" s="88"/>
      <c r="LRN2" s="88"/>
      <c r="LRO2" s="88"/>
      <c r="LRP2" s="88"/>
      <c r="LRQ2" s="88"/>
      <c r="LRR2" s="88"/>
      <c r="LRS2" s="88"/>
      <c r="LRT2" s="88"/>
      <c r="LRU2" s="88"/>
      <c r="LRV2" s="88"/>
      <c r="LRW2" s="88"/>
      <c r="LRX2" s="88"/>
      <c r="LRY2" s="88"/>
      <c r="LRZ2" s="88"/>
      <c r="LSA2" s="88"/>
      <c r="LSB2" s="88"/>
      <c r="LSC2" s="88"/>
      <c r="LSD2" s="88"/>
      <c r="LSE2" s="88"/>
      <c r="LSF2" s="88"/>
      <c r="LSG2" s="88"/>
      <c r="LSH2" s="88"/>
      <c r="LSI2" s="88"/>
      <c r="LSJ2" s="88"/>
      <c r="LSK2" s="88"/>
      <c r="LSL2" s="88"/>
      <c r="LSM2" s="88"/>
      <c r="LSN2" s="88"/>
      <c r="LSO2" s="88"/>
      <c r="LSP2" s="88"/>
      <c r="LSQ2" s="88"/>
      <c r="LSR2" s="88"/>
      <c r="LSS2" s="88"/>
      <c r="LST2" s="88"/>
      <c r="LSU2" s="88"/>
      <c r="LSV2" s="88"/>
      <c r="LSW2" s="88"/>
      <c r="LSX2" s="88"/>
      <c r="LSY2" s="88"/>
      <c r="LSZ2" s="88"/>
      <c r="LTA2" s="88"/>
      <c r="LTB2" s="88"/>
      <c r="LTC2" s="88"/>
      <c r="LTD2" s="88"/>
      <c r="LTE2" s="88"/>
      <c r="LTF2" s="88"/>
      <c r="LTG2" s="88"/>
      <c r="LTH2" s="88"/>
      <c r="LTI2" s="88"/>
      <c r="LTJ2" s="88"/>
      <c r="LTK2" s="88"/>
      <c r="LTL2" s="88"/>
      <c r="LTM2" s="88"/>
      <c r="LTN2" s="88"/>
      <c r="LTO2" s="88"/>
      <c r="LTP2" s="88"/>
      <c r="LTQ2" s="88"/>
      <c r="LTR2" s="88"/>
      <c r="LTS2" s="88"/>
      <c r="LTT2" s="88"/>
      <c r="LTU2" s="88"/>
      <c r="LTV2" s="88"/>
      <c r="LTW2" s="88"/>
      <c r="LTX2" s="88"/>
      <c r="LTY2" s="88"/>
      <c r="LTZ2" s="88"/>
      <c r="LUA2" s="88"/>
      <c r="LUB2" s="88"/>
      <c r="LUC2" s="88"/>
      <c r="LUD2" s="88"/>
      <c r="LUE2" s="88"/>
      <c r="LUF2" s="88"/>
      <c r="LUG2" s="88"/>
      <c r="LUH2" s="88"/>
      <c r="LUI2" s="88"/>
      <c r="LUJ2" s="88"/>
      <c r="LUK2" s="88"/>
      <c r="LUL2" s="88"/>
      <c r="LUM2" s="88"/>
      <c r="LUN2" s="88"/>
      <c r="LUO2" s="88"/>
      <c r="LUP2" s="88"/>
      <c r="LUQ2" s="88"/>
      <c r="LUR2" s="88"/>
      <c r="LUS2" s="88"/>
      <c r="LUT2" s="88"/>
      <c r="LUU2" s="88"/>
      <c r="LUV2" s="88"/>
      <c r="LUW2" s="88"/>
      <c r="LUX2" s="88"/>
      <c r="LUY2" s="88"/>
      <c r="LUZ2" s="88"/>
      <c r="LVA2" s="88"/>
      <c r="LVB2" s="88"/>
      <c r="LVC2" s="88"/>
      <c r="LVD2" s="88"/>
      <c r="LVE2" s="88"/>
      <c r="LVF2" s="88"/>
      <c r="LVG2" s="88"/>
      <c r="LVH2" s="88"/>
      <c r="LVI2" s="88"/>
      <c r="LVJ2" s="88"/>
      <c r="LVK2" s="88"/>
      <c r="LVL2" s="88"/>
      <c r="LVM2" s="88"/>
      <c r="LVN2" s="88"/>
      <c r="LVO2" s="88"/>
      <c r="LVP2" s="88"/>
      <c r="LVQ2" s="88"/>
      <c r="LVR2" s="88"/>
      <c r="LVS2" s="88"/>
      <c r="LVT2" s="88"/>
      <c r="LVU2" s="88"/>
      <c r="LVV2" s="88"/>
      <c r="LVW2" s="88"/>
      <c r="LVX2" s="88"/>
      <c r="LVY2" s="88"/>
      <c r="LVZ2" s="88"/>
      <c r="LWA2" s="88"/>
      <c r="LWB2" s="88"/>
      <c r="LWC2" s="88"/>
      <c r="LWD2" s="88"/>
      <c r="LWE2" s="88"/>
      <c r="LWF2" s="88"/>
      <c r="LWG2" s="88"/>
      <c r="LWH2" s="88"/>
      <c r="LWI2" s="88"/>
      <c r="LWJ2" s="88"/>
      <c r="LWK2" s="88"/>
      <c r="LWL2" s="88"/>
      <c r="LWM2" s="88"/>
      <c r="LWN2" s="88"/>
      <c r="LWO2" s="88"/>
      <c r="LWP2" s="88"/>
      <c r="LWQ2" s="88"/>
      <c r="LWR2" s="88"/>
      <c r="LWS2" s="88"/>
      <c r="LWT2" s="88"/>
      <c r="LWU2" s="88"/>
      <c r="LWV2" s="88"/>
      <c r="LWW2" s="88"/>
      <c r="LWX2" s="88"/>
      <c r="LWY2" s="88"/>
      <c r="LWZ2" s="88"/>
      <c r="LXA2" s="88"/>
      <c r="LXB2" s="88"/>
      <c r="LXC2" s="88"/>
      <c r="LXD2" s="88"/>
      <c r="LXE2" s="88"/>
      <c r="LXF2" s="88"/>
      <c r="LXG2" s="88"/>
      <c r="LXH2" s="88"/>
      <c r="LXI2" s="88"/>
      <c r="LXJ2" s="88"/>
      <c r="LXK2" s="88"/>
      <c r="LXL2" s="88"/>
      <c r="LXM2" s="88"/>
      <c r="LXN2" s="88"/>
      <c r="LXO2" s="88"/>
      <c r="LXP2" s="88"/>
      <c r="LXQ2" s="88"/>
      <c r="LXR2" s="88"/>
      <c r="LXS2" s="88"/>
      <c r="LXT2" s="88"/>
      <c r="LXU2" s="88"/>
      <c r="LXV2" s="88"/>
      <c r="LXW2" s="88"/>
      <c r="LXX2" s="88"/>
      <c r="LXY2" s="88"/>
      <c r="LXZ2" s="88"/>
      <c r="LYA2" s="88"/>
      <c r="LYB2" s="88"/>
      <c r="LYC2" s="88"/>
      <c r="LYD2" s="88"/>
      <c r="LYE2" s="88"/>
      <c r="LYF2" s="88"/>
      <c r="LYG2" s="88"/>
      <c r="LYH2" s="88"/>
      <c r="LYI2" s="88"/>
      <c r="LYJ2" s="88"/>
      <c r="LYK2" s="88"/>
      <c r="LYL2" s="88"/>
      <c r="LYM2" s="88"/>
      <c r="LYN2" s="88"/>
      <c r="LYO2" s="88"/>
      <c r="LYP2" s="88"/>
      <c r="LYQ2" s="88"/>
      <c r="LYR2" s="88"/>
      <c r="LYS2" s="88"/>
      <c r="LYT2" s="88"/>
      <c r="LYU2" s="88"/>
      <c r="LYV2" s="88"/>
      <c r="LYW2" s="88"/>
      <c r="LYX2" s="88"/>
      <c r="LYY2" s="88"/>
      <c r="LYZ2" s="88"/>
      <c r="LZA2" s="88"/>
      <c r="LZB2" s="88"/>
      <c r="LZC2" s="88"/>
      <c r="LZD2" s="88"/>
      <c r="LZE2" s="88"/>
      <c r="LZF2" s="88"/>
      <c r="LZG2" s="88"/>
      <c r="LZH2" s="88"/>
      <c r="LZI2" s="88"/>
      <c r="LZJ2" s="88"/>
      <c r="LZK2" s="88"/>
      <c r="LZL2" s="88"/>
      <c r="LZM2" s="88"/>
      <c r="LZN2" s="88"/>
      <c r="LZO2" s="88"/>
      <c r="LZP2" s="88"/>
      <c r="LZQ2" s="88"/>
      <c r="LZR2" s="88"/>
      <c r="LZS2" s="88"/>
      <c r="LZT2" s="88"/>
      <c r="LZU2" s="88"/>
      <c r="LZV2" s="88"/>
      <c r="LZW2" s="88"/>
      <c r="LZX2" s="88"/>
      <c r="LZY2" s="88"/>
      <c r="LZZ2" s="88"/>
      <c r="MAA2" s="88"/>
      <c r="MAB2" s="88"/>
      <c r="MAC2" s="88"/>
      <c r="MAD2" s="88"/>
      <c r="MAE2" s="88"/>
      <c r="MAF2" s="88"/>
      <c r="MAG2" s="88"/>
      <c r="MAH2" s="88"/>
      <c r="MAI2" s="88"/>
      <c r="MAJ2" s="88"/>
      <c r="MAK2" s="88"/>
      <c r="MAL2" s="88"/>
      <c r="MAM2" s="88"/>
      <c r="MAN2" s="88"/>
      <c r="MAO2" s="88"/>
      <c r="MAP2" s="88"/>
      <c r="MAQ2" s="88"/>
      <c r="MAR2" s="88"/>
      <c r="MAS2" s="88"/>
      <c r="MAT2" s="88"/>
      <c r="MAU2" s="88"/>
      <c r="MAV2" s="88"/>
      <c r="MAW2" s="88"/>
      <c r="MAX2" s="88"/>
      <c r="MAY2" s="88"/>
      <c r="MAZ2" s="88"/>
      <c r="MBA2" s="88"/>
      <c r="MBB2" s="88"/>
      <c r="MBC2" s="88"/>
      <c r="MBD2" s="88"/>
      <c r="MBE2" s="88"/>
      <c r="MBF2" s="88"/>
      <c r="MBG2" s="88"/>
      <c r="MBH2" s="88"/>
      <c r="MBI2" s="88"/>
      <c r="MBJ2" s="88"/>
      <c r="MBK2" s="88"/>
      <c r="MBL2" s="88"/>
      <c r="MBM2" s="88"/>
      <c r="MBN2" s="88"/>
      <c r="MBO2" s="88"/>
      <c r="MBP2" s="88"/>
      <c r="MBQ2" s="88"/>
      <c r="MBR2" s="88"/>
      <c r="MBS2" s="88"/>
      <c r="MBT2" s="88"/>
      <c r="MBU2" s="88"/>
      <c r="MBV2" s="88"/>
      <c r="MBW2" s="88"/>
      <c r="MBX2" s="88"/>
      <c r="MBY2" s="88"/>
      <c r="MBZ2" s="88"/>
      <c r="MCA2" s="88"/>
      <c r="MCB2" s="88"/>
      <c r="MCC2" s="88"/>
      <c r="MCD2" s="88"/>
      <c r="MCE2" s="88"/>
      <c r="MCF2" s="88"/>
      <c r="MCG2" s="88"/>
      <c r="MCH2" s="88"/>
      <c r="MCI2" s="88"/>
      <c r="MCJ2" s="88"/>
      <c r="MCK2" s="88"/>
      <c r="MCL2" s="88"/>
      <c r="MCM2" s="88"/>
      <c r="MCN2" s="88"/>
      <c r="MCO2" s="88"/>
      <c r="MCP2" s="88"/>
      <c r="MCQ2" s="88"/>
      <c r="MCR2" s="88"/>
      <c r="MCS2" s="88"/>
      <c r="MCT2" s="88"/>
      <c r="MCU2" s="88"/>
      <c r="MCV2" s="88"/>
      <c r="MCW2" s="88"/>
      <c r="MCX2" s="88"/>
      <c r="MCY2" s="88"/>
      <c r="MCZ2" s="88"/>
      <c r="MDA2" s="88"/>
      <c r="MDB2" s="88"/>
      <c r="MDC2" s="88"/>
      <c r="MDD2" s="88"/>
      <c r="MDE2" s="88"/>
      <c r="MDF2" s="88"/>
      <c r="MDG2" s="88"/>
      <c r="MDH2" s="88"/>
      <c r="MDI2" s="88"/>
      <c r="MDJ2" s="88"/>
      <c r="MDK2" s="88"/>
      <c r="MDL2" s="88"/>
      <c r="MDM2" s="88"/>
      <c r="MDN2" s="88"/>
      <c r="MDO2" s="88"/>
      <c r="MDP2" s="88"/>
      <c r="MDQ2" s="88"/>
      <c r="MDR2" s="88"/>
      <c r="MDS2" s="88"/>
      <c r="MDT2" s="88"/>
      <c r="MDU2" s="88"/>
      <c r="MDV2" s="88"/>
      <c r="MDW2" s="88"/>
      <c r="MDX2" s="88"/>
      <c r="MDY2" s="88"/>
      <c r="MDZ2" s="88"/>
      <c r="MEA2" s="88"/>
      <c r="MEB2" s="88"/>
      <c r="MEC2" s="88"/>
      <c r="MED2" s="88"/>
      <c r="MEE2" s="88"/>
      <c r="MEF2" s="88"/>
      <c r="MEG2" s="88"/>
      <c r="MEH2" s="88"/>
      <c r="MEI2" s="88"/>
      <c r="MEJ2" s="88"/>
      <c r="MEK2" s="88"/>
      <c r="MEL2" s="88"/>
      <c r="MEM2" s="88"/>
      <c r="MEN2" s="88"/>
      <c r="MEO2" s="88"/>
      <c r="MEP2" s="88"/>
      <c r="MEQ2" s="88"/>
      <c r="MER2" s="88"/>
      <c r="MES2" s="88"/>
      <c r="MET2" s="88"/>
      <c r="MEU2" s="88"/>
      <c r="MEV2" s="88"/>
      <c r="MEW2" s="88"/>
      <c r="MEX2" s="88"/>
      <c r="MEY2" s="88"/>
      <c r="MEZ2" s="88"/>
      <c r="MFA2" s="88"/>
      <c r="MFB2" s="88"/>
      <c r="MFC2" s="88"/>
      <c r="MFD2" s="88"/>
      <c r="MFE2" s="88"/>
      <c r="MFF2" s="88"/>
      <c r="MFG2" s="88"/>
      <c r="MFH2" s="88"/>
      <c r="MFI2" s="88"/>
      <c r="MFJ2" s="88"/>
      <c r="MFK2" s="88"/>
      <c r="MFL2" s="88"/>
      <c r="MFM2" s="88"/>
      <c r="MFN2" s="88"/>
      <c r="MFO2" s="88"/>
      <c r="MFP2" s="88"/>
      <c r="MFQ2" s="88"/>
      <c r="MFR2" s="88"/>
      <c r="MFS2" s="88"/>
      <c r="MFT2" s="88"/>
      <c r="MFU2" s="88"/>
      <c r="MFV2" s="88"/>
      <c r="MFW2" s="88"/>
      <c r="MFX2" s="88"/>
      <c r="MFY2" s="88"/>
      <c r="MFZ2" s="88"/>
      <c r="MGA2" s="88"/>
      <c r="MGB2" s="88"/>
      <c r="MGC2" s="88"/>
      <c r="MGD2" s="88"/>
      <c r="MGE2" s="88"/>
      <c r="MGF2" s="88"/>
      <c r="MGG2" s="88"/>
      <c r="MGH2" s="88"/>
      <c r="MGI2" s="88"/>
      <c r="MGJ2" s="88"/>
      <c r="MGK2" s="88"/>
      <c r="MGL2" s="88"/>
      <c r="MGM2" s="88"/>
      <c r="MGN2" s="88"/>
      <c r="MGO2" s="88"/>
      <c r="MGP2" s="88"/>
      <c r="MGQ2" s="88"/>
      <c r="MGR2" s="88"/>
      <c r="MGS2" s="88"/>
      <c r="MGT2" s="88"/>
      <c r="MGU2" s="88"/>
      <c r="MGV2" s="88"/>
      <c r="MGW2" s="88"/>
      <c r="MGX2" s="88"/>
      <c r="MGY2" s="88"/>
      <c r="MGZ2" s="88"/>
      <c r="MHA2" s="88"/>
      <c r="MHB2" s="88"/>
      <c r="MHC2" s="88"/>
      <c r="MHD2" s="88"/>
      <c r="MHE2" s="88"/>
      <c r="MHF2" s="88"/>
      <c r="MHG2" s="88"/>
      <c r="MHH2" s="88"/>
      <c r="MHI2" s="88"/>
      <c r="MHJ2" s="88"/>
      <c r="MHK2" s="88"/>
      <c r="MHL2" s="88"/>
      <c r="MHM2" s="88"/>
      <c r="MHN2" s="88"/>
      <c r="MHO2" s="88"/>
      <c r="MHP2" s="88"/>
      <c r="MHQ2" s="88"/>
      <c r="MHR2" s="88"/>
      <c r="MHS2" s="88"/>
      <c r="MHT2" s="88"/>
      <c r="MHU2" s="88"/>
      <c r="MHV2" s="88"/>
      <c r="MHW2" s="88"/>
      <c r="MHX2" s="88"/>
      <c r="MHY2" s="88"/>
      <c r="MHZ2" s="88"/>
      <c r="MIA2" s="88"/>
      <c r="MIB2" s="88"/>
      <c r="MIC2" s="88"/>
      <c r="MID2" s="88"/>
      <c r="MIE2" s="88"/>
      <c r="MIF2" s="88"/>
      <c r="MIG2" s="88"/>
      <c r="MIH2" s="88"/>
      <c r="MII2" s="88"/>
      <c r="MIJ2" s="88"/>
      <c r="MIK2" s="88"/>
      <c r="MIL2" s="88"/>
      <c r="MIM2" s="88"/>
      <c r="MIN2" s="88"/>
      <c r="MIO2" s="88"/>
      <c r="MIP2" s="88"/>
      <c r="MIQ2" s="88"/>
      <c r="MIR2" s="88"/>
      <c r="MIS2" s="88"/>
      <c r="MIT2" s="88"/>
      <c r="MIU2" s="88"/>
      <c r="MIV2" s="88"/>
      <c r="MIW2" s="88"/>
      <c r="MIX2" s="88"/>
      <c r="MIY2" s="88"/>
      <c r="MIZ2" s="88"/>
      <c r="MJA2" s="88"/>
      <c r="MJB2" s="88"/>
      <c r="MJC2" s="88"/>
      <c r="MJD2" s="88"/>
      <c r="MJE2" s="88"/>
      <c r="MJF2" s="88"/>
      <c r="MJG2" s="88"/>
      <c r="MJH2" s="88"/>
      <c r="MJI2" s="88"/>
      <c r="MJJ2" s="88"/>
      <c r="MJK2" s="88"/>
      <c r="MJL2" s="88"/>
      <c r="MJM2" s="88"/>
      <c r="MJN2" s="88"/>
      <c r="MJO2" s="88"/>
      <c r="MJP2" s="88"/>
      <c r="MJQ2" s="88"/>
      <c r="MJR2" s="88"/>
      <c r="MJS2" s="88"/>
      <c r="MJT2" s="88"/>
      <c r="MJU2" s="88"/>
      <c r="MJV2" s="88"/>
      <c r="MJW2" s="88"/>
      <c r="MJX2" s="88"/>
      <c r="MJY2" s="88"/>
      <c r="MJZ2" s="88"/>
      <c r="MKA2" s="88"/>
      <c r="MKB2" s="88"/>
      <c r="MKC2" s="88"/>
      <c r="MKD2" s="88"/>
      <c r="MKE2" s="88"/>
      <c r="MKF2" s="88"/>
      <c r="MKG2" s="88"/>
      <c r="MKH2" s="88"/>
      <c r="MKI2" s="88"/>
      <c r="MKJ2" s="88"/>
      <c r="MKK2" s="88"/>
      <c r="MKL2" s="88"/>
      <c r="MKM2" s="88"/>
      <c r="MKN2" s="88"/>
      <c r="MKO2" s="88"/>
      <c r="MKP2" s="88"/>
      <c r="MKQ2" s="88"/>
      <c r="MKR2" s="88"/>
      <c r="MKS2" s="88"/>
      <c r="MKT2" s="88"/>
      <c r="MKU2" s="88"/>
      <c r="MKV2" s="88"/>
      <c r="MKW2" s="88"/>
      <c r="MKX2" s="88"/>
      <c r="MKY2" s="88"/>
      <c r="MKZ2" s="88"/>
      <c r="MLA2" s="88"/>
      <c r="MLB2" s="88"/>
      <c r="MLC2" s="88"/>
      <c r="MLD2" s="88"/>
      <c r="MLE2" s="88"/>
      <c r="MLF2" s="88"/>
      <c r="MLG2" s="88"/>
      <c r="MLH2" s="88"/>
      <c r="MLI2" s="88"/>
      <c r="MLJ2" s="88"/>
      <c r="MLK2" s="88"/>
      <c r="MLL2" s="88"/>
      <c r="MLM2" s="88"/>
      <c r="MLN2" s="88"/>
      <c r="MLO2" s="88"/>
      <c r="MLP2" s="88"/>
      <c r="MLQ2" s="88"/>
      <c r="MLR2" s="88"/>
      <c r="MLS2" s="88"/>
      <c r="MLT2" s="88"/>
      <c r="MLU2" s="88"/>
      <c r="MLV2" s="88"/>
      <c r="MLW2" s="88"/>
      <c r="MLX2" s="88"/>
      <c r="MLY2" s="88"/>
      <c r="MLZ2" s="88"/>
      <c r="MMA2" s="88"/>
      <c r="MMB2" s="88"/>
      <c r="MMC2" s="88"/>
      <c r="MMD2" s="88"/>
      <c r="MME2" s="88"/>
      <c r="MMF2" s="88"/>
      <c r="MMG2" s="88"/>
      <c r="MMH2" s="88"/>
      <c r="MMI2" s="88"/>
      <c r="MMJ2" s="88"/>
      <c r="MMK2" s="88"/>
      <c r="MML2" s="88"/>
      <c r="MMM2" s="88"/>
      <c r="MMN2" s="88"/>
      <c r="MMO2" s="88"/>
      <c r="MMP2" s="88"/>
      <c r="MMQ2" s="88"/>
      <c r="MMR2" s="88"/>
      <c r="MMS2" s="88"/>
      <c r="MMT2" s="88"/>
      <c r="MMU2" s="88"/>
      <c r="MMV2" s="88"/>
      <c r="MMW2" s="88"/>
      <c r="MMX2" s="88"/>
      <c r="MMY2" s="88"/>
      <c r="MMZ2" s="88"/>
      <c r="MNA2" s="88"/>
      <c r="MNB2" s="88"/>
      <c r="MNC2" s="88"/>
      <c r="MND2" s="88"/>
      <c r="MNE2" s="88"/>
      <c r="MNF2" s="88"/>
      <c r="MNG2" s="88"/>
      <c r="MNH2" s="88"/>
      <c r="MNI2" s="88"/>
      <c r="MNJ2" s="88"/>
      <c r="MNK2" s="88"/>
      <c r="MNL2" s="88"/>
      <c r="MNM2" s="88"/>
      <c r="MNN2" s="88"/>
      <c r="MNO2" s="88"/>
      <c r="MNP2" s="88"/>
      <c r="MNQ2" s="88"/>
      <c r="MNR2" s="88"/>
      <c r="MNS2" s="88"/>
      <c r="MNT2" s="88"/>
      <c r="MNU2" s="88"/>
      <c r="MNV2" s="88"/>
      <c r="MNW2" s="88"/>
      <c r="MNX2" s="88"/>
      <c r="MNY2" s="88"/>
      <c r="MNZ2" s="88"/>
      <c r="MOA2" s="88"/>
      <c r="MOB2" s="88"/>
      <c r="MOC2" s="88"/>
      <c r="MOD2" s="88"/>
      <c r="MOE2" s="88"/>
      <c r="MOF2" s="88"/>
      <c r="MOG2" s="88"/>
      <c r="MOH2" s="88"/>
      <c r="MOI2" s="88"/>
      <c r="MOJ2" s="88"/>
      <c r="MOK2" s="88"/>
      <c r="MOL2" s="88"/>
      <c r="MOM2" s="88"/>
      <c r="MON2" s="88"/>
      <c r="MOO2" s="88"/>
      <c r="MOP2" s="88"/>
      <c r="MOQ2" s="88"/>
      <c r="MOR2" s="88"/>
      <c r="MOS2" s="88"/>
      <c r="MOT2" s="88"/>
      <c r="MOU2" s="88"/>
      <c r="MOV2" s="88"/>
      <c r="MOW2" s="88"/>
      <c r="MOX2" s="88"/>
      <c r="MOY2" s="88"/>
      <c r="MOZ2" s="88"/>
      <c r="MPA2" s="88"/>
      <c r="MPB2" s="88"/>
      <c r="MPC2" s="88"/>
      <c r="MPD2" s="88"/>
      <c r="MPE2" s="88"/>
      <c r="MPF2" s="88"/>
      <c r="MPG2" s="88"/>
      <c r="MPH2" s="88"/>
      <c r="MPI2" s="88"/>
      <c r="MPJ2" s="88"/>
      <c r="MPK2" s="88"/>
      <c r="MPL2" s="88"/>
      <c r="MPM2" s="88"/>
      <c r="MPN2" s="88"/>
      <c r="MPO2" s="88"/>
      <c r="MPP2" s="88"/>
      <c r="MPQ2" s="88"/>
      <c r="MPR2" s="88"/>
      <c r="MPS2" s="88"/>
      <c r="MPT2" s="88"/>
      <c r="MPU2" s="88"/>
      <c r="MPV2" s="88"/>
      <c r="MPW2" s="88"/>
      <c r="MPX2" s="88"/>
      <c r="MPY2" s="88"/>
      <c r="MPZ2" s="88"/>
      <c r="MQA2" s="88"/>
      <c r="MQB2" s="88"/>
      <c r="MQC2" s="88"/>
      <c r="MQD2" s="88"/>
      <c r="MQE2" s="88"/>
      <c r="MQF2" s="88"/>
      <c r="MQG2" s="88"/>
      <c r="MQH2" s="88"/>
      <c r="MQI2" s="88"/>
      <c r="MQJ2" s="88"/>
      <c r="MQK2" s="88"/>
      <c r="MQL2" s="88"/>
      <c r="MQM2" s="88"/>
      <c r="MQN2" s="88"/>
      <c r="MQO2" s="88"/>
      <c r="MQP2" s="88"/>
      <c r="MQQ2" s="88"/>
      <c r="MQR2" s="88"/>
      <c r="MQS2" s="88"/>
      <c r="MQT2" s="88"/>
      <c r="MQU2" s="88"/>
      <c r="MQV2" s="88"/>
      <c r="MQW2" s="88"/>
      <c r="MQX2" s="88"/>
      <c r="MQY2" s="88"/>
      <c r="MQZ2" s="88"/>
      <c r="MRA2" s="88"/>
      <c r="MRB2" s="88"/>
      <c r="MRC2" s="88"/>
      <c r="MRD2" s="88"/>
      <c r="MRE2" s="88"/>
      <c r="MRF2" s="88"/>
      <c r="MRG2" s="88"/>
      <c r="MRH2" s="88"/>
      <c r="MRI2" s="88"/>
      <c r="MRJ2" s="88"/>
      <c r="MRK2" s="88"/>
      <c r="MRL2" s="88"/>
      <c r="MRM2" s="88"/>
      <c r="MRN2" s="88"/>
      <c r="MRO2" s="88"/>
      <c r="MRP2" s="88"/>
      <c r="MRQ2" s="88"/>
      <c r="MRR2" s="88"/>
      <c r="MRS2" s="88"/>
      <c r="MRT2" s="88"/>
      <c r="MRU2" s="88"/>
      <c r="MRV2" s="88"/>
      <c r="MRW2" s="88"/>
      <c r="MRX2" s="88"/>
      <c r="MRY2" s="88"/>
      <c r="MRZ2" s="88"/>
      <c r="MSA2" s="88"/>
      <c r="MSB2" s="88"/>
      <c r="MSC2" s="88"/>
      <c r="MSD2" s="88"/>
      <c r="MSE2" s="88"/>
      <c r="MSF2" s="88"/>
      <c r="MSG2" s="88"/>
      <c r="MSH2" s="88"/>
      <c r="MSI2" s="88"/>
      <c r="MSJ2" s="88"/>
      <c r="MSK2" s="88"/>
      <c r="MSL2" s="88"/>
      <c r="MSM2" s="88"/>
      <c r="MSN2" s="88"/>
      <c r="MSO2" s="88"/>
      <c r="MSP2" s="88"/>
      <c r="MSQ2" s="88"/>
      <c r="MSR2" s="88"/>
      <c r="MSS2" s="88"/>
      <c r="MST2" s="88"/>
      <c r="MSU2" s="88"/>
      <c r="MSV2" s="88"/>
      <c r="MSW2" s="88"/>
      <c r="MSX2" s="88"/>
      <c r="MSY2" s="88"/>
      <c r="MSZ2" s="88"/>
      <c r="MTA2" s="88"/>
      <c r="MTB2" s="88"/>
      <c r="MTC2" s="88"/>
      <c r="MTD2" s="88"/>
      <c r="MTE2" s="88"/>
      <c r="MTF2" s="88"/>
      <c r="MTG2" s="88"/>
      <c r="MTH2" s="88"/>
      <c r="MTI2" s="88"/>
      <c r="MTJ2" s="88"/>
      <c r="MTK2" s="88"/>
      <c r="MTL2" s="88"/>
      <c r="MTM2" s="88"/>
      <c r="MTN2" s="88"/>
      <c r="MTO2" s="88"/>
      <c r="MTP2" s="88"/>
      <c r="MTQ2" s="88"/>
      <c r="MTR2" s="88"/>
      <c r="MTS2" s="88"/>
      <c r="MTT2" s="88"/>
      <c r="MTU2" s="88"/>
      <c r="MTV2" s="88"/>
      <c r="MTW2" s="88"/>
      <c r="MTX2" s="88"/>
      <c r="MTY2" s="88"/>
      <c r="MTZ2" s="88"/>
      <c r="MUA2" s="88"/>
      <c r="MUB2" s="88"/>
      <c r="MUC2" s="88"/>
      <c r="MUD2" s="88"/>
      <c r="MUE2" s="88"/>
      <c r="MUF2" s="88"/>
      <c r="MUG2" s="88"/>
      <c r="MUH2" s="88"/>
      <c r="MUI2" s="88"/>
      <c r="MUJ2" s="88"/>
      <c r="MUK2" s="88"/>
      <c r="MUL2" s="88"/>
      <c r="MUM2" s="88"/>
      <c r="MUN2" s="88"/>
      <c r="MUO2" s="88"/>
      <c r="MUP2" s="88"/>
      <c r="MUQ2" s="88"/>
      <c r="MUR2" s="88"/>
      <c r="MUS2" s="88"/>
      <c r="MUT2" s="88"/>
      <c r="MUU2" s="88"/>
      <c r="MUV2" s="88"/>
      <c r="MUW2" s="88"/>
      <c r="MUX2" s="88"/>
      <c r="MUY2" s="88"/>
      <c r="MUZ2" s="88"/>
      <c r="MVA2" s="88"/>
      <c r="MVB2" s="88"/>
      <c r="MVC2" s="88"/>
      <c r="MVD2" s="88"/>
      <c r="MVE2" s="88"/>
      <c r="MVF2" s="88"/>
      <c r="MVG2" s="88"/>
      <c r="MVH2" s="88"/>
      <c r="MVI2" s="88"/>
      <c r="MVJ2" s="88"/>
      <c r="MVK2" s="88"/>
      <c r="MVL2" s="88"/>
      <c r="MVM2" s="88"/>
      <c r="MVN2" s="88"/>
      <c r="MVO2" s="88"/>
      <c r="MVP2" s="88"/>
      <c r="MVQ2" s="88"/>
      <c r="MVR2" s="88"/>
      <c r="MVS2" s="88"/>
      <c r="MVT2" s="88"/>
      <c r="MVU2" s="88"/>
      <c r="MVV2" s="88"/>
      <c r="MVW2" s="88"/>
      <c r="MVX2" s="88"/>
      <c r="MVY2" s="88"/>
      <c r="MVZ2" s="88"/>
      <c r="MWA2" s="88"/>
      <c r="MWB2" s="88"/>
      <c r="MWC2" s="88"/>
      <c r="MWD2" s="88"/>
      <c r="MWE2" s="88"/>
      <c r="MWF2" s="88"/>
      <c r="MWG2" s="88"/>
      <c r="MWH2" s="88"/>
      <c r="MWI2" s="88"/>
      <c r="MWJ2" s="88"/>
      <c r="MWK2" s="88"/>
      <c r="MWL2" s="88"/>
      <c r="MWM2" s="88"/>
      <c r="MWN2" s="88"/>
      <c r="MWO2" s="88"/>
      <c r="MWP2" s="88"/>
      <c r="MWQ2" s="88"/>
      <c r="MWR2" s="88"/>
      <c r="MWS2" s="88"/>
      <c r="MWT2" s="88"/>
      <c r="MWU2" s="88"/>
      <c r="MWV2" s="88"/>
      <c r="MWW2" s="88"/>
      <c r="MWX2" s="88"/>
      <c r="MWY2" s="88"/>
      <c r="MWZ2" s="88"/>
      <c r="MXA2" s="88"/>
      <c r="MXB2" s="88"/>
      <c r="MXC2" s="88"/>
      <c r="MXD2" s="88"/>
      <c r="MXE2" s="88"/>
      <c r="MXF2" s="88"/>
      <c r="MXG2" s="88"/>
      <c r="MXH2" s="88"/>
      <c r="MXI2" s="88"/>
      <c r="MXJ2" s="88"/>
      <c r="MXK2" s="88"/>
      <c r="MXL2" s="88"/>
      <c r="MXM2" s="88"/>
      <c r="MXN2" s="88"/>
      <c r="MXO2" s="88"/>
      <c r="MXP2" s="88"/>
      <c r="MXQ2" s="88"/>
      <c r="MXR2" s="88"/>
      <c r="MXS2" s="88"/>
      <c r="MXT2" s="88"/>
      <c r="MXU2" s="88"/>
      <c r="MXV2" s="88"/>
      <c r="MXW2" s="88"/>
      <c r="MXX2" s="88"/>
      <c r="MXY2" s="88"/>
      <c r="MXZ2" s="88"/>
      <c r="MYA2" s="88"/>
      <c r="MYB2" s="88"/>
      <c r="MYC2" s="88"/>
      <c r="MYD2" s="88"/>
      <c r="MYE2" s="88"/>
      <c r="MYF2" s="88"/>
      <c r="MYG2" s="88"/>
      <c r="MYH2" s="88"/>
      <c r="MYI2" s="88"/>
      <c r="MYJ2" s="88"/>
      <c r="MYK2" s="88"/>
      <c r="MYL2" s="88"/>
      <c r="MYM2" s="88"/>
      <c r="MYN2" s="88"/>
      <c r="MYO2" s="88"/>
      <c r="MYP2" s="88"/>
      <c r="MYQ2" s="88"/>
      <c r="MYR2" s="88"/>
      <c r="MYS2" s="88"/>
      <c r="MYT2" s="88"/>
      <c r="MYU2" s="88"/>
      <c r="MYV2" s="88"/>
      <c r="MYW2" s="88"/>
      <c r="MYX2" s="88"/>
      <c r="MYY2" s="88"/>
      <c r="MYZ2" s="88"/>
      <c r="MZA2" s="88"/>
      <c r="MZB2" s="88"/>
      <c r="MZC2" s="88"/>
      <c r="MZD2" s="88"/>
      <c r="MZE2" s="88"/>
      <c r="MZF2" s="88"/>
      <c r="MZG2" s="88"/>
      <c r="MZH2" s="88"/>
      <c r="MZI2" s="88"/>
      <c r="MZJ2" s="88"/>
      <c r="MZK2" s="88"/>
      <c r="MZL2" s="88"/>
      <c r="MZM2" s="88"/>
      <c r="MZN2" s="88"/>
      <c r="MZO2" s="88"/>
      <c r="MZP2" s="88"/>
      <c r="MZQ2" s="88"/>
      <c r="MZR2" s="88"/>
      <c r="MZS2" s="88"/>
      <c r="MZT2" s="88"/>
      <c r="MZU2" s="88"/>
      <c r="MZV2" s="88"/>
      <c r="MZW2" s="88"/>
      <c r="MZX2" s="88"/>
      <c r="MZY2" s="88"/>
      <c r="MZZ2" s="88"/>
      <c r="NAA2" s="88"/>
      <c r="NAB2" s="88"/>
      <c r="NAC2" s="88"/>
      <c r="NAD2" s="88"/>
      <c r="NAE2" s="88"/>
      <c r="NAF2" s="88"/>
      <c r="NAG2" s="88"/>
      <c r="NAH2" s="88"/>
      <c r="NAI2" s="88"/>
      <c r="NAJ2" s="88"/>
      <c r="NAK2" s="88"/>
      <c r="NAL2" s="88"/>
      <c r="NAM2" s="88"/>
      <c r="NAN2" s="88"/>
      <c r="NAO2" s="88"/>
      <c r="NAP2" s="88"/>
      <c r="NAQ2" s="88"/>
      <c r="NAR2" s="88"/>
      <c r="NAS2" s="88"/>
      <c r="NAT2" s="88"/>
      <c r="NAU2" s="88"/>
      <c r="NAV2" s="88"/>
      <c r="NAW2" s="88"/>
      <c r="NAX2" s="88"/>
      <c r="NAY2" s="88"/>
      <c r="NAZ2" s="88"/>
      <c r="NBA2" s="88"/>
      <c r="NBB2" s="88"/>
      <c r="NBC2" s="88"/>
      <c r="NBD2" s="88"/>
      <c r="NBE2" s="88"/>
      <c r="NBF2" s="88"/>
      <c r="NBG2" s="88"/>
      <c r="NBH2" s="88"/>
      <c r="NBI2" s="88"/>
      <c r="NBJ2" s="88"/>
      <c r="NBK2" s="88"/>
      <c r="NBL2" s="88"/>
      <c r="NBM2" s="88"/>
      <c r="NBN2" s="88"/>
      <c r="NBO2" s="88"/>
      <c r="NBP2" s="88"/>
      <c r="NBQ2" s="88"/>
      <c r="NBR2" s="88"/>
      <c r="NBS2" s="88"/>
      <c r="NBT2" s="88"/>
      <c r="NBU2" s="88"/>
      <c r="NBV2" s="88"/>
      <c r="NBW2" s="88"/>
      <c r="NBX2" s="88"/>
      <c r="NBY2" s="88"/>
      <c r="NBZ2" s="88"/>
      <c r="NCA2" s="88"/>
      <c r="NCB2" s="88"/>
      <c r="NCC2" s="88"/>
      <c r="NCD2" s="88"/>
      <c r="NCE2" s="88"/>
      <c r="NCF2" s="88"/>
      <c r="NCG2" s="88"/>
      <c r="NCH2" s="88"/>
      <c r="NCI2" s="88"/>
      <c r="NCJ2" s="88"/>
      <c r="NCK2" s="88"/>
      <c r="NCL2" s="88"/>
      <c r="NCM2" s="88"/>
      <c r="NCN2" s="88"/>
      <c r="NCO2" s="88"/>
      <c r="NCP2" s="88"/>
      <c r="NCQ2" s="88"/>
      <c r="NCR2" s="88"/>
      <c r="NCS2" s="88"/>
      <c r="NCT2" s="88"/>
      <c r="NCU2" s="88"/>
      <c r="NCV2" s="88"/>
      <c r="NCW2" s="88"/>
      <c r="NCX2" s="88"/>
      <c r="NCY2" s="88"/>
      <c r="NCZ2" s="88"/>
      <c r="NDA2" s="88"/>
      <c r="NDB2" s="88"/>
      <c r="NDC2" s="88"/>
      <c r="NDD2" s="88"/>
      <c r="NDE2" s="88"/>
      <c r="NDF2" s="88"/>
      <c r="NDG2" s="88"/>
      <c r="NDH2" s="88"/>
      <c r="NDI2" s="88"/>
      <c r="NDJ2" s="88"/>
      <c r="NDK2" s="88"/>
      <c r="NDL2" s="88"/>
      <c r="NDM2" s="88"/>
      <c r="NDN2" s="88"/>
      <c r="NDO2" s="88"/>
      <c r="NDP2" s="88"/>
      <c r="NDQ2" s="88"/>
      <c r="NDR2" s="88"/>
      <c r="NDS2" s="88"/>
      <c r="NDT2" s="88"/>
      <c r="NDU2" s="88"/>
      <c r="NDV2" s="88"/>
      <c r="NDW2" s="88"/>
      <c r="NDX2" s="88"/>
      <c r="NDY2" s="88"/>
      <c r="NDZ2" s="88"/>
      <c r="NEA2" s="88"/>
      <c r="NEB2" s="88"/>
      <c r="NEC2" s="88"/>
      <c r="NED2" s="88"/>
      <c r="NEE2" s="88"/>
      <c r="NEF2" s="88"/>
      <c r="NEG2" s="88"/>
      <c r="NEH2" s="88"/>
      <c r="NEI2" s="88"/>
      <c r="NEJ2" s="88"/>
      <c r="NEK2" s="88"/>
      <c r="NEL2" s="88"/>
      <c r="NEM2" s="88"/>
      <c r="NEN2" s="88"/>
      <c r="NEO2" s="88"/>
      <c r="NEP2" s="88"/>
      <c r="NEQ2" s="88"/>
      <c r="NER2" s="88"/>
      <c r="NES2" s="88"/>
      <c r="NET2" s="88"/>
      <c r="NEU2" s="88"/>
      <c r="NEV2" s="88"/>
      <c r="NEW2" s="88"/>
      <c r="NEX2" s="88"/>
      <c r="NEY2" s="88"/>
      <c r="NEZ2" s="88"/>
      <c r="NFA2" s="88"/>
      <c r="NFB2" s="88"/>
      <c r="NFC2" s="88"/>
      <c r="NFD2" s="88"/>
      <c r="NFE2" s="88"/>
      <c r="NFF2" s="88"/>
      <c r="NFG2" s="88"/>
      <c r="NFH2" s="88"/>
      <c r="NFI2" s="88"/>
      <c r="NFJ2" s="88"/>
      <c r="NFK2" s="88"/>
      <c r="NFL2" s="88"/>
      <c r="NFM2" s="88"/>
      <c r="NFN2" s="88"/>
      <c r="NFO2" s="88"/>
      <c r="NFP2" s="88"/>
      <c r="NFQ2" s="88"/>
      <c r="NFR2" s="88"/>
      <c r="NFS2" s="88"/>
      <c r="NFT2" s="88"/>
      <c r="NFU2" s="88"/>
      <c r="NFV2" s="88"/>
      <c r="NFW2" s="88"/>
      <c r="NFX2" s="88"/>
      <c r="NFY2" s="88"/>
      <c r="NFZ2" s="88"/>
      <c r="NGA2" s="88"/>
      <c r="NGB2" s="88"/>
      <c r="NGC2" s="88"/>
      <c r="NGD2" s="88"/>
      <c r="NGE2" s="88"/>
      <c r="NGF2" s="88"/>
      <c r="NGG2" s="88"/>
      <c r="NGH2" s="88"/>
      <c r="NGI2" s="88"/>
      <c r="NGJ2" s="88"/>
      <c r="NGK2" s="88"/>
      <c r="NGL2" s="88"/>
      <c r="NGM2" s="88"/>
      <c r="NGN2" s="88"/>
      <c r="NGO2" s="88"/>
      <c r="NGP2" s="88"/>
      <c r="NGQ2" s="88"/>
      <c r="NGR2" s="88"/>
      <c r="NGS2" s="88"/>
      <c r="NGT2" s="88"/>
      <c r="NGU2" s="88"/>
      <c r="NGV2" s="88"/>
      <c r="NGW2" s="88"/>
      <c r="NGX2" s="88"/>
      <c r="NGY2" s="88"/>
      <c r="NGZ2" s="88"/>
      <c r="NHA2" s="88"/>
      <c r="NHB2" s="88"/>
      <c r="NHC2" s="88"/>
      <c r="NHD2" s="88"/>
      <c r="NHE2" s="88"/>
      <c r="NHF2" s="88"/>
      <c r="NHG2" s="88"/>
      <c r="NHH2" s="88"/>
      <c r="NHI2" s="88"/>
      <c r="NHJ2" s="88"/>
      <c r="NHK2" s="88"/>
      <c r="NHL2" s="88"/>
      <c r="NHM2" s="88"/>
      <c r="NHN2" s="88"/>
      <c r="NHO2" s="88"/>
      <c r="NHP2" s="88"/>
      <c r="NHQ2" s="88"/>
      <c r="NHR2" s="88"/>
      <c r="NHS2" s="88"/>
      <c r="NHT2" s="88"/>
      <c r="NHU2" s="88"/>
      <c r="NHV2" s="88"/>
      <c r="NHW2" s="88"/>
      <c r="NHX2" s="88"/>
      <c r="NHY2" s="88"/>
      <c r="NHZ2" s="88"/>
      <c r="NIA2" s="88"/>
      <c r="NIB2" s="88"/>
      <c r="NIC2" s="88"/>
      <c r="NID2" s="88"/>
      <c r="NIE2" s="88"/>
      <c r="NIF2" s="88"/>
      <c r="NIG2" s="88"/>
      <c r="NIH2" s="88"/>
      <c r="NII2" s="88"/>
      <c r="NIJ2" s="88"/>
      <c r="NIK2" s="88"/>
      <c r="NIL2" s="88"/>
      <c r="NIM2" s="88"/>
      <c r="NIN2" s="88"/>
      <c r="NIO2" s="88"/>
      <c r="NIP2" s="88"/>
      <c r="NIQ2" s="88"/>
      <c r="NIR2" s="88"/>
      <c r="NIS2" s="88"/>
      <c r="NIT2" s="88"/>
      <c r="NIU2" s="88"/>
      <c r="NIV2" s="88"/>
      <c r="NIW2" s="88"/>
      <c r="NIX2" s="88"/>
      <c r="NIY2" s="88"/>
      <c r="NIZ2" s="88"/>
      <c r="NJA2" s="88"/>
      <c r="NJB2" s="88"/>
      <c r="NJC2" s="88"/>
      <c r="NJD2" s="88"/>
      <c r="NJE2" s="88"/>
      <c r="NJF2" s="88"/>
      <c r="NJG2" s="88"/>
      <c r="NJH2" s="88"/>
      <c r="NJI2" s="88"/>
      <c r="NJJ2" s="88"/>
      <c r="NJK2" s="88"/>
      <c r="NJL2" s="88"/>
      <c r="NJM2" s="88"/>
      <c r="NJN2" s="88"/>
      <c r="NJO2" s="88"/>
      <c r="NJP2" s="88"/>
      <c r="NJQ2" s="88"/>
      <c r="NJR2" s="88"/>
      <c r="NJS2" s="88"/>
      <c r="NJT2" s="88"/>
      <c r="NJU2" s="88"/>
      <c r="NJV2" s="88"/>
      <c r="NJW2" s="88"/>
      <c r="NJX2" s="88"/>
      <c r="NJY2" s="88"/>
      <c r="NJZ2" s="88"/>
      <c r="NKA2" s="88"/>
      <c r="NKB2" s="88"/>
      <c r="NKC2" s="88"/>
      <c r="NKD2" s="88"/>
      <c r="NKE2" s="88"/>
      <c r="NKF2" s="88"/>
      <c r="NKG2" s="88"/>
      <c r="NKH2" s="88"/>
      <c r="NKI2" s="88"/>
      <c r="NKJ2" s="88"/>
      <c r="NKK2" s="88"/>
      <c r="NKL2" s="88"/>
      <c r="NKM2" s="88"/>
      <c r="NKN2" s="88"/>
      <c r="NKO2" s="88"/>
      <c r="NKP2" s="88"/>
      <c r="NKQ2" s="88"/>
      <c r="NKR2" s="88"/>
      <c r="NKS2" s="88"/>
      <c r="NKT2" s="88"/>
      <c r="NKU2" s="88"/>
      <c r="NKV2" s="88"/>
      <c r="NKW2" s="88"/>
      <c r="NKX2" s="88"/>
      <c r="NKY2" s="88"/>
      <c r="NKZ2" s="88"/>
      <c r="NLA2" s="88"/>
      <c r="NLB2" s="88"/>
      <c r="NLC2" s="88"/>
      <c r="NLD2" s="88"/>
      <c r="NLE2" s="88"/>
      <c r="NLF2" s="88"/>
      <c r="NLG2" s="88"/>
      <c r="NLH2" s="88"/>
      <c r="NLI2" s="88"/>
      <c r="NLJ2" s="88"/>
      <c r="NLK2" s="88"/>
      <c r="NLL2" s="88"/>
      <c r="NLM2" s="88"/>
      <c r="NLN2" s="88"/>
      <c r="NLO2" s="88"/>
      <c r="NLP2" s="88"/>
      <c r="NLQ2" s="88"/>
      <c r="NLR2" s="88"/>
      <c r="NLS2" s="88"/>
      <c r="NLT2" s="88"/>
      <c r="NLU2" s="88"/>
      <c r="NLV2" s="88"/>
      <c r="NLW2" s="88"/>
      <c r="NLX2" s="88"/>
      <c r="NLY2" s="88"/>
      <c r="NLZ2" s="88"/>
      <c r="NMA2" s="88"/>
      <c r="NMB2" s="88"/>
      <c r="NMC2" s="88"/>
      <c r="NMD2" s="88"/>
      <c r="NME2" s="88"/>
      <c r="NMF2" s="88"/>
      <c r="NMG2" s="88"/>
      <c r="NMH2" s="88"/>
      <c r="NMI2" s="88"/>
      <c r="NMJ2" s="88"/>
      <c r="NMK2" s="88"/>
      <c r="NML2" s="88"/>
      <c r="NMM2" s="88"/>
      <c r="NMN2" s="88"/>
      <c r="NMO2" s="88"/>
      <c r="NMP2" s="88"/>
      <c r="NMQ2" s="88"/>
      <c r="NMR2" s="88"/>
      <c r="NMS2" s="88"/>
      <c r="NMT2" s="88"/>
      <c r="NMU2" s="88"/>
      <c r="NMV2" s="88"/>
      <c r="NMW2" s="88"/>
      <c r="NMX2" s="88"/>
      <c r="NMY2" s="88"/>
      <c r="NMZ2" s="88"/>
      <c r="NNA2" s="88"/>
      <c r="NNB2" s="88"/>
      <c r="NNC2" s="88"/>
      <c r="NND2" s="88"/>
      <c r="NNE2" s="88"/>
      <c r="NNF2" s="88"/>
      <c r="NNG2" s="88"/>
      <c r="NNH2" s="88"/>
      <c r="NNI2" s="88"/>
      <c r="NNJ2" s="88"/>
      <c r="NNK2" s="88"/>
      <c r="NNL2" s="88"/>
      <c r="NNM2" s="88"/>
      <c r="NNN2" s="88"/>
      <c r="NNO2" s="88"/>
      <c r="NNP2" s="88"/>
      <c r="NNQ2" s="88"/>
      <c r="NNR2" s="88"/>
      <c r="NNS2" s="88"/>
      <c r="NNT2" s="88"/>
      <c r="NNU2" s="88"/>
      <c r="NNV2" s="88"/>
      <c r="NNW2" s="88"/>
      <c r="NNX2" s="88"/>
      <c r="NNY2" s="88"/>
      <c r="NNZ2" s="88"/>
      <c r="NOA2" s="88"/>
      <c r="NOB2" s="88"/>
      <c r="NOC2" s="88"/>
      <c r="NOD2" s="88"/>
      <c r="NOE2" s="88"/>
      <c r="NOF2" s="88"/>
      <c r="NOG2" s="88"/>
      <c r="NOH2" s="88"/>
      <c r="NOI2" s="88"/>
      <c r="NOJ2" s="88"/>
      <c r="NOK2" s="88"/>
      <c r="NOL2" s="88"/>
      <c r="NOM2" s="88"/>
      <c r="NON2" s="88"/>
      <c r="NOO2" s="88"/>
      <c r="NOP2" s="88"/>
      <c r="NOQ2" s="88"/>
      <c r="NOR2" s="88"/>
      <c r="NOS2" s="88"/>
      <c r="NOT2" s="88"/>
      <c r="NOU2" s="88"/>
      <c r="NOV2" s="88"/>
      <c r="NOW2" s="88"/>
      <c r="NOX2" s="88"/>
      <c r="NOY2" s="88"/>
      <c r="NOZ2" s="88"/>
      <c r="NPA2" s="88"/>
      <c r="NPB2" s="88"/>
      <c r="NPC2" s="88"/>
      <c r="NPD2" s="88"/>
      <c r="NPE2" s="88"/>
      <c r="NPF2" s="88"/>
      <c r="NPG2" s="88"/>
      <c r="NPH2" s="88"/>
      <c r="NPI2" s="88"/>
      <c r="NPJ2" s="88"/>
      <c r="NPK2" s="88"/>
      <c r="NPL2" s="88"/>
      <c r="NPM2" s="88"/>
      <c r="NPN2" s="88"/>
      <c r="NPO2" s="88"/>
      <c r="NPP2" s="88"/>
      <c r="NPQ2" s="88"/>
      <c r="NPR2" s="88"/>
      <c r="NPS2" s="88"/>
      <c r="NPT2" s="88"/>
      <c r="NPU2" s="88"/>
      <c r="NPV2" s="88"/>
      <c r="NPW2" s="88"/>
      <c r="NPX2" s="88"/>
      <c r="NPY2" s="88"/>
      <c r="NPZ2" s="88"/>
      <c r="NQA2" s="88"/>
      <c r="NQB2" s="88"/>
      <c r="NQC2" s="88"/>
      <c r="NQD2" s="88"/>
      <c r="NQE2" s="88"/>
      <c r="NQF2" s="88"/>
      <c r="NQG2" s="88"/>
      <c r="NQH2" s="88"/>
      <c r="NQI2" s="88"/>
      <c r="NQJ2" s="88"/>
      <c r="NQK2" s="88"/>
      <c r="NQL2" s="88"/>
      <c r="NQM2" s="88"/>
      <c r="NQN2" s="88"/>
      <c r="NQO2" s="88"/>
      <c r="NQP2" s="88"/>
      <c r="NQQ2" s="88"/>
      <c r="NQR2" s="88"/>
      <c r="NQS2" s="88"/>
      <c r="NQT2" s="88"/>
      <c r="NQU2" s="88"/>
      <c r="NQV2" s="88"/>
      <c r="NQW2" s="88"/>
      <c r="NQX2" s="88"/>
      <c r="NQY2" s="88"/>
      <c r="NQZ2" s="88"/>
      <c r="NRA2" s="88"/>
      <c r="NRB2" s="88"/>
      <c r="NRC2" s="88"/>
      <c r="NRD2" s="88"/>
      <c r="NRE2" s="88"/>
      <c r="NRF2" s="88"/>
      <c r="NRG2" s="88"/>
      <c r="NRH2" s="88"/>
      <c r="NRI2" s="88"/>
      <c r="NRJ2" s="88"/>
      <c r="NRK2" s="88"/>
      <c r="NRL2" s="88"/>
      <c r="NRM2" s="88"/>
      <c r="NRN2" s="88"/>
      <c r="NRO2" s="88"/>
      <c r="NRP2" s="88"/>
      <c r="NRQ2" s="88"/>
      <c r="NRR2" s="88"/>
      <c r="NRS2" s="88"/>
      <c r="NRT2" s="88"/>
      <c r="NRU2" s="88"/>
      <c r="NRV2" s="88"/>
      <c r="NRW2" s="88"/>
      <c r="NRX2" s="88"/>
      <c r="NRY2" s="88"/>
      <c r="NRZ2" s="88"/>
      <c r="NSA2" s="88"/>
      <c r="NSB2" s="88"/>
      <c r="NSC2" s="88"/>
      <c r="NSD2" s="88"/>
      <c r="NSE2" s="88"/>
      <c r="NSF2" s="88"/>
      <c r="NSG2" s="88"/>
      <c r="NSH2" s="88"/>
      <c r="NSI2" s="88"/>
      <c r="NSJ2" s="88"/>
      <c r="NSK2" s="88"/>
      <c r="NSL2" s="88"/>
      <c r="NSM2" s="88"/>
      <c r="NSN2" s="88"/>
      <c r="NSO2" s="88"/>
      <c r="NSP2" s="88"/>
      <c r="NSQ2" s="88"/>
      <c r="NSR2" s="88"/>
      <c r="NSS2" s="88"/>
      <c r="NST2" s="88"/>
      <c r="NSU2" s="88"/>
      <c r="NSV2" s="88"/>
      <c r="NSW2" s="88"/>
      <c r="NSX2" s="88"/>
      <c r="NSY2" s="88"/>
      <c r="NSZ2" s="88"/>
      <c r="NTA2" s="88"/>
      <c r="NTB2" s="88"/>
      <c r="NTC2" s="88"/>
      <c r="NTD2" s="88"/>
      <c r="NTE2" s="88"/>
      <c r="NTF2" s="88"/>
      <c r="NTG2" s="88"/>
      <c r="NTH2" s="88"/>
      <c r="NTI2" s="88"/>
      <c r="NTJ2" s="88"/>
      <c r="NTK2" s="88"/>
      <c r="NTL2" s="88"/>
      <c r="NTM2" s="88"/>
      <c r="NTN2" s="88"/>
      <c r="NTO2" s="88"/>
      <c r="NTP2" s="88"/>
      <c r="NTQ2" s="88"/>
      <c r="NTR2" s="88"/>
      <c r="NTS2" s="88"/>
      <c r="NTT2" s="88"/>
      <c r="NTU2" s="88"/>
      <c r="NTV2" s="88"/>
      <c r="NTW2" s="88"/>
      <c r="NTX2" s="88"/>
      <c r="NTY2" s="88"/>
      <c r="NTZ2" s="88"/>
      <c r="NUA2" s="88"/>
      <c r="NUB2" s="88"/>
      <c r="NUC2" s="88"/>
      <c r="NUD2" s="88"/>
      <c r="NUE2" s="88"/>
      <c r="NUF2" s="88"/>
      <c r="NUG2" s="88"/>
      <c r="NUH2" s="88"/>
      <c r="NUI2" s="88"/>
      <c r="NUJ2" s="88"/>
      <c r="NUK2" s="88"/>
      <c r="NUL2" s="88"/>
      <c r="NUM2" s="88"/>
      <c r="NUN2" s="88"/>
      <c r="NUO2" s="88"/>
      <c r="NUP2" s="88"/>
      <c r="NUQ2" s="88"/>
      <c r="NUR2" s="88"/>
      <c r="NUS2" s="88"/>
      <c r="NUT2" s="88"/>
      <c r="NUU2" s="88"/>
      <c r="NUV2" s="88"/>
      <c r="NUW2" s="88"/>
      <c r="NUX2" s="88"/>
      <c r="NUY2" s="88"/>
      <c r="NUZ2" s="88"/>
      <c r="NVA2" s="88"/>
      <c r="NVB2" s="88"/>
      <c r="NVC2" s="88"/>
      <c r="NVD2" s="88"/>
      <c r="NVE2" s="88"/>
      <c r="NVF2" s="88"/>
      <c r="NVG2" s="88"/>
      <c r="NVH2" s="88"/>
      <c r="NVI2" s="88"/>
      <c r="NVJ2" s="88"/>
      <c r="NVK2" s="88"/>
      <c r="NVL2" s="88"/>
      <c r="NVM2" s="88"/>
      <c r="NVN2" s="88"/>
      <c r="NVO2" s="88"/>
      <c r="NVP2" s="88"/>
      <c r="NVQ2" s="88"/>
      <c r="NVR2" s="88"/>
      <c r="NVS2" s="88"/>
      <c r="NVT2" s="88"/>
      <c r="NVU2" s="88"/>
      <c r="NVV2" s="88"/>
      <c r="NVW2" s="88"/>
      <c r="NVX2" s="88"/>
      <c r="NVY2" s="88"/>
      <c r="NVZ2" s="88"/>
      <c r="NWA2" s="88"/>
      <c r="NWB2" s="88"/>
      <c r="NWC2" s="88"/>
      <c r="NWD2" s="88"/>
      <c r="NWE2" s="88"/>
      <c r="NWF2" s="88"/>
      <c r="NWG2" s="88"/>
      <c r="NWH2" s="88"/>
      <c r="NWI2" s="88"/>
      <c r="NWJ2" s="88"/>
      <c r="NWK2" s="88"/>
      <c r="NWL2" s="88"/>
      <c r="NWM2" s="88"/>
      <c r="NWN2" s="88"/>
      <c r="NWO2" s="88"/>
      <c r="NWP2" s="88"/>
      <c r="NWQ2" s="88"/>
      <c r="NWR2" s="88"/>
      <c r="NWS2" s="88"/>
      <c r="NWT2" s="88"/>
      <c r="NWU2" s="88"/>
      <c r="NWV2" s="88"/>
      <c r="NWW2" s="88"/>
      <c r="NWX2" s="88"/>
      <c r="NWY2" s="88"/>
      <c r="NWZ2" s="88"/>
      <c r="NXA2" s="88"/>
      <c r="NXB2" s="88"/>
      <c r="NXC2" s="88"/>
      <c r="NXD2" s="88"/>
      <c r="NXE2" s="88"/>
      <c r="NXF2" s="88"/>
      <c r="NXG2" s="88"/>
      <c r="NXH2" s="88"/>
      <c r="NXI2" s="88"/>
      <c r="NXJ2" s="88"/>
      <c r="NXK2" s="88"/>
      <c r="NXL2" s="88"/>
      <c r="NXM2" s="88"/>
      <c r="NXN2" s="88"/>
      <c r="NXO2" s="88"/>
      <c r="NXP2" s="88"/>
      <c r="NXQ2" s="88"/>
      <c r="NXR2" s="88"/>
      <c r="NXS2" s="88"/>
      <c r="NXT2" s="88"/>
      <c r="NXU2" s="88"/>
      <c r="NXV2" s="88"/>
      <c r="NXW2" s="88"/>
      <c r="NXX2" s="88"/>
      <c r="NXY2" s="88"/>
      <c r="NXZ2" s="88"/>
      <c r="NYA2" s="88"/>
      <c r="NYB2" s="88"/>
      <c r="NYC2" s="88"/>
      <c r="NYD2" s="88"/>
      <c r="NYE2" s="88"/>
      <c r="NYF2" s="88"/>
      <c r="NYG2" s="88"/>
      <c r="NYH2" s="88"/>
      <c r="NYI2" s="88"/>
      <c r="NYJ2" s="88"/>
      <c r="NYK2" s="88"/>
      <c r="NYL2" s="88"/>
      <c r="NYM2" s="88"/>
      <c r="NYN2" s="88"/>
      <c r="NYO2" s="88"/>
      <c r="NYP2" s="88"/>
      <c r="NYQ2" s="88"/>
      <c r="NYR2" s="88"/>
      <c r="NYS2" s="88"/>
      <c r="NYT2" s="88"/>
      <c r="NYU2" s="88"/>
      <c r="NYV2" s="88"/>
      <c r="NYW2" s="88"/>
      <c r="NYX2" s="88"/>
      <c r="NYY2" s="88"/>
      <c r="NYZ2" s="88"/>
      <c r="NZA2" s="88"/>
      <c r="NZB2" s="88"/>
      <c r="NZC2" s="88"/>
      <c r="NZD2" s="88"/>
      <c r="NZE2" s="88"/>
      <c r="NZF2" s="88"/>
      <c r="NZG2" s="88"/>
      <c r="NZH2" s="88"/>
      <c r="NZI2" s="88"/>
      <c r="NZJ2" s="88"/>
      <c r="NZK2" s="88"/>
      <c r="NZL2" s="88"/>
      <c r="NZM2" s="88"/>
      <c r="NZN2" s="88"/>
      <c r="NZO2" s="88"/>
      <c r="NZP2" s="88"/>
      <c r="NZQ2" s="88"/>
      <c r="NZR2" s="88"/>
      <c r="NZS2" s="88"/>
      <c r="NZT2" s="88"/>
      <c r="NZU2" s="88"/>
      <c r="NZV2" s="88"/>
      <c r="NZW2" s="88"/>
      <c r="NZX2" s="88"/>
      <c r="NZY2" s="88"/>
      <c r="NZZ2" s="88"/>
      <c r="OAA2" s="88"/>
      <c r="OAB2" s="88"/>
      <c r="OAC2" s="88"/>
      <c r="OAD2" s="88"/>
      <c r="OAE2" s="88"/>
      <c r="OAF2" s="88"/>
      <c r="OAG2" s="88"/>
      <c r="OAH2" s="88"/>
      <c r="OAI2" s="88"/>
      <c r="OAJ2" s="88"/>
      <c r="OAK2" s="88"/>
      <c r="OAL2" s="88"/>
      <c r="OAM2" s="88"/>
      <c r="OAN2" s="88"/>
      <c r="OAO2" s="88"/>
      <c r="OAP2" s="88"/>
      <c r="OAQ2" s="88"/>
      <c r="OAR2" s="88"/>
      <c r="OAS2" s="88"/>
      <c r="OAT2" s="88"/>
      <c r="OAU2" s="88"/>
      <c r="OAV2" s="88"/>
      <c r="OAW2" s="88"/>
      <c r="OAX2" s="88"/>
      <c r="OAY2" s="88"/>
      <c r="OAZ2" s="88"/>
      <c r="OBA2" s="88"/>
      <c r="OBB2" s="88"/>
      <c r="OBC2" s="88"/>
      <c r="OBD2" s="88"/>
      <c r="OBE2" s="88"/>
      <c r="OBF2" s="88"/>
      <c r="OBG2" s="88"/>
      <c r="OBH2" s="88"/>
      <c r="OBI2" s="88"/>
      <c r="OBJ2" s="88"/>
      <c r="OBK2" s="88"/>
      <c r="OBL2" s="88"/>
      <c r="OBM2" s="88"/>
      <c r="OBN2" s="88"/>
      <c r="OBO2" s="88"/>
      <c r="OBP2" s="88"/>
      <c r="OBQ2" s="88"/>
      <c r="OBR2" s="88"/>
      <c r="OBS2" s="88"/>
      <c r="OBT2" s="88"/>
      <c r="OBU2" s="88"/>
      <c r="OBV2" s="88"/>
      <c r="OBW2" s="88"/>
      <c r="OBX2" s="88"/>
      <c r="OBY2" s="88"/>
      <c r="OBZ2" s="88"/>
      <c r="OCA2" s="88"/>
      <c r="OCB2" s="88"/>
      <c r="OCC2" s="88"/>
      <c r="OCD2" s="88"/>
      <c r="OCE2" s="88"/>
      <c r="OCF2" s="88"/>
      <c r="OCG2" s="88"/>
      <c r="OCH2" s="88"/>
      <c r="OCI2" s="88"/>
      <c r="OCJ2" s="88"/>
      <c r="OCK2" s="88"/>
      <c r="OCL2" s="88"/>
      <c r="OCM2" s="88"/>
      <c r="OCN2" s="88"/>
      <c r="OCO2" s="88"/>
      <c r="OCP2" s="88"/>
      <c r="OCQ2" s="88"/>
      <c r="OCR2" s="88"/>
      <c r="OCS2" s="88"/>
      <c r="OCT2" s="88"/>
      <c r="OCU2" s="88"/>
      <c r="OCV2" s="88"/>
      <c r="OCW2" s="88"/>
      <c r="OCX2" s="88"/>
      <c r="OCY2" s="88"/>
      <c r="OCZ2" s="88"/>
      <c r="ODA2" s="88"/>
      <c r="ODB2" s="88"/>
      <c r="ODC2" s="88"/>
      <c r="ODD2" s="88"/>
      <c r="ODE2" s="88"/>
      <c r="ODF2" s="88"/>
      <c r="ODG2" s="88"/>
      <c r="ODH2" s="88"/>
      <c r="ODI2" s="88"/>
      <c r="ODJ2" s="88"/>
      <c r="ODK2" s="88"/>
      <c r="ODL2" s="88"/>
      <c r="ODM2" s="88"/>
      <c r="ODN2" s="88"/>
      <c r="ODO2" s="88"/>
      <c r="ODP2" s="88"/>
      <c r="ODQ2" s="88"/>
      <c r="ODR2" s="88"/>
      <c r="ODS2" s="88"/>
      <c r="ODT2" s="88"/>
      <c r="ODU2" s="88"/>
      <c r="ODV2" s="88"/>
      <c r="ODW2" s="88"/>
      <c r="ODX2" s="88"/>
      <c r="ODY2" s="88"/>
      <c r="ODZ2" s="88"/>
      <c r="OEA2" s="88"/>
      <c r="OEB2" s="88"/>
      <c r="OEC2" s="88"/>
      <c r="OED2" s="88"/>
      <c r="OEE2" s="88"/>
      <c r="OEF2" s="88"/>
      <c r="OEG2" s="88"/>
      <c r="OEH2" s="88"/>
      <c r="OEI2" s="88"/>
      <c r="OEJ2" s="88"/>
      <c r="OEK2" s="88"/>
      <c r="OEL2" s="88"/>
      <c r="OEM2" s="88"/>
      <c r="OEN2" s="88"/>
      <c r="OEO2" s="88"/>
      <c r="OEP2" s="88"/>
      <c r="OEQ2" s="88"/>
      <c r="OER2" s="88"/>
      <c r="OES2" s="88"/>
      <c r="OET2" s="88"/>
      <c r="OEU2" s="88"/>
      <c r="OEV2" s="88"/>
      <c r="OEW2" s="88"/>
      <c r="OEX2" s="88"/>
      <c r="OEY2" s="88"/>
      <c r="OEZ2" s="88"/>
      <c r="OFA2" s="88"/>
      <c r="OFB2" s="88"/>
      <c r="OFC2" s="88"/>
      <c r="OFD2" s="88"/>
      <c r="OFE2" s="88"/>
      <c r="OFF2" s="88"/>
      <c r="OFG2" s="88"/>
      <c r="OFH2" s="88"/>
      <c r="OFI2" s="88"/>
      <c r="OFJ2" s="88"/>
      <c r="OFK2" s="88"/>
      <c r="OFL2" s="88"/>
      <c r="OFM2" s="88"/>
      <c r="OFN2" s="88"/>
      <c r="OFO2" s="88"/>
      <c r="OFP2" s="88"/>
      <c r="OFQ2" s="88"/>
      <c r="OFR2" s="88"/>
      <c r="OFS2" s="88"/>
      <c r="OFT2" s="88"/>
      <c r="OFU2" s="88"/>
      <c r="OFV2" s="88"/>
      <c r="OFW2" s="88"/>
      <c r="OFX2" s="88"/>
      <c r="OFY2" s="88"/>
      <c r="OFZ2" s="88"/>
      <c r="OGA2" s="88"/>
      <c r="OGB2" s="88"/>
      <c r="OGC2" s="88"/>
      <c r="OGD2" s="88"/>
      <c r="OGE2" s="88"/>
      <c r="OGF2" s="88"/>
      <c r="OGG2" s="88"/>
      <c r="OGH2" s="88"/>
      <c r="OGI2" s="88"/>
      <c r="OGJ2" s="88"/>
      <c r="OGK2" s="88"/>
      <c r="OGL2" s="88"/>
      <c r="OGM2" s="88"/>
      <c r="OGN2" s="88"/>
      <c r="OGO2" s="88"/>
      <c r="OGP2" s="88"/>
      <c r="OGQ2" s="88"/>
      <c r="OGR2" s="88"/>
      <c r="OGS2" s="88"/>
      <c r="OGT2" s="88"/>
      <c r="OGU2" s="88"/>
      <c r="OGV2" s="88"/>
      <c r="OGW2" s="88"/>
      <c r="OGX2" s="88"/>
      <c r="OGY2" s="88"/>
      <c r="OGZ2" s="88"/>
      <c r="OHA2" s="88"/>
      <c r="OHB2" s="88"/>
      <c r="OHC2" s="88"/>
      <c r="OHD2" s="88"/>
      <c r="OHE2" s="88"/>
      <c r="OHF2" s="88"/>
      <c r="OHG2" s="88"/>
      <c r="OHH2" s="88"/>
      <c r="OHI2" s="88"/>
      <c r="OHJ2" s="88"/>
      <c r="OHK2" s="88"/>
      <c r="OHL2" s="88"/>
      <c r="OHM2" s="88"/>
      <c r="OHN2" s="88"/>
      <c r="OHO2" s="88"/>
      <c r="OHP2" s="88"/>
      <c r="OHQ2" s="88"/>
      <c r="OHR2" s="88"/>
      <c r="OHS2" s="88"/>
      <c r="OHT2" s="88"/>
      <c r="OHU2" s="88"/>
      <c r="OHV2" s="88"/>
      <c r="OHW2" s="88"/>
      <c r="OHX2" s="88"/>
      <c r="OHY2" s="88"/>
      <c r="OHZ2" s="88"/>
      <c r="OIA2" s="88"/>
      <c r="OIB2" s="88"/>
      <c r="OIC2" s="88"/>
      <c r="OID2" s="88"/>
      <c r="OIE2" s="88"/>
      <c r="OIF2" s="88"/>
      <c r="OIG2" s="88"/>
      <c r="OIH2" s="88"/>
      <c r="OII2" s="88"/>
      <c r="OIJ2" s="88"/>
      <c r="OIK2" s="88"/>
      <c r="OIL2" s="88"/>
      <c r="OIM2" s="88"/>
      <c r="OIN2" s="88"/>
      <c r="OIO2" s="88"/>
      <c r="OIP2" s="88"/>
      <c r="OIQ2" s="88"/>
      <c r="OIR2" s="88"/>
      <c r="OIS2" s="88"/>
      <c r="OIT2" s="88"/>
      <c r="OIU2" s="88"/>
      <c r="OIV2" s="88"/>
      <c r="OIW2" s="88"/>
      <c r="OIX2" s="88"/>
      <c r="OIY2" s="88"/>
      <c r="OIZ2" s="88"/>
      <c r="OJA2" s="88"/>
      <c r="OJB2" s="88"/>
      <c r="OJC2" s="88"/>
      <c r="OJD2" s="88"/>
      <c r="OJE2" s="88"/>
      <c r="OJF2" s="88"/>
      <c r="OJG2" s="88"/>
      <c r="OJH2" s="88"/>
      <c r="OJI2" s="88"/>
      <c r="OJJ2" s="88"/>
      <c r="OJK2" s="88"/>
      <c r="OJL2" s="88"/>
      <c r="OJM2" s="88"/>
      <c r="OJN2" s="88"/>
      <c r="OJO2" s="88"/>
      <c r="OJP2" s="88"/>
      <c r="OJQ2" s="88"/>
      <c r="OJR2" s="88"/>
      <c r="OJS2" s="88"/>
      <c r="OJT2" s="88"/>
      <c r="OJU2" s="88"/>
      <c r="OJV2" s="88"/>
      <c r="OJW2" s="88"/>
      <c r="OJX2" s="88"/>
      <c r="OJY2" s="88"/>
      <c r="OJZ2" s="88"/>
      <c r="OKA2" s="88"/>
      <c r="OKB2" s="88"/>
      <c r="OKC2" s="88"/>
      <c r="OKD2" s="88"/>
      <c r="OKE2" s="88"/>
      <c r="OKF2" s="88"/>
      <c r="OKG2" s="88"/>
      <c r="OKH2" s="88"/>
      <c r="OKI2" s="88"/>
      <c r="OKJ2" s="88"/>
      <c r="OKK2" s="88"/>
      <c r="OKL2" s="88"/>
      <c r="OKM2" s="88"/>
      <c r="OKN2" s="88"/>
      <c r="OKO2" s="88"/>
      <c r="OKP2" s="88"/>
      <c r="OKQ2" s="88"/>
      <c r="OKR2" s="88"/>
      <c r="OKS2" s="88"/>
      <c r="OKT2" s="88"/>
      <c r="OKU2" s="88"/>
      <c r="OKV2" s="88"/>
      <c r="OKW2" s="88"/>
      <c r="OKX2" s="88"/>
      <c r="OKY2" s="88"/>
      <c r="OKZ2" s="88"/>
      <c r="OLA2" s="88"/>
      <c r="OLB2" s="88"/>
      <c r="OLC2" s="88"/>
      <c r="OLD2" s="88"/>
      <c r="OLE2" s="88"/>
      <c r="OLF2" s="88"/>
      <c r="OLG2" s="88"/>
      <c r="OLH2" s="88"/>
      <c r="OLI2" s="88"/>
      <c r="OLJ2" s="88"/>
      <c r="OLK2" s="88"/>
      <c r="OLL2" s="88"/>
      <c r="OLM2" s="88"/>
      <c r="OLN2" s="88"/>
      <c r="OLO2" s="88"/>
      <c r="OLP2" s="88"/>
      <c r="OLQ2" s="88"/>
      <c r="OLR2" s="88"/>
      <c r="OLS2" s="88"/>
      <c r="OLT2" s="88"/>
      <c r="OLU2" s="88"/>
      <c r="OLV2" s="88"/>
      <c r="OLW2" s="88"/>
      <c r="OLX2" s="88"/>
      <c r="OLY2" s="88"/>
      <c r="OLZ2" s="88"/>
      <c r="OMA2" s="88"/>
      <c r="OMB2" s="88"/>
      <c r="OMC2" s="88"/>
      <c r="OMD2" s="88"/>
      <c r="OME2" s="88"/>
      <c r="OMF2" s="88"/>
      <c r="OMG2" s="88"/>
      <c r="OMH2" s="88"/>
      <c r="OMI2" s="88"/>
      <c r="OMJ2" s="88"/>
      <c r="OMK2" s="88"/>
      <c r="OML2" s="88"/>
      <c r="OMM2" s="88"/>
      <c r="OMN2" s="88"/>
      <c r="OMO2" s="88"/>
      <c r="OMP2" s="88"/>
      <c r="OMQ2" s="88"/>
      <c r="OMR2" s="88"/>
      <c r="OMS2" s="88"/>
      <c r="OMT2" s="88"/>
      <c r="OMU2" s="88"/>
      <c r="OMV2" s="88"/>
      <c r="OMW2" s="88"/>
      <c r="OMX2" s="88"/>
      <c r="OMY2" s="88"/>
      <c r="OMZ2" s="88"/>
      <c r="ONA2" s="88"/>
      <c r="ONB2" s="88"/>
      <c r="ONC2" s="88"/>
      <c r="OND2" s="88"/>
      <c r="ONE2" s="88"/>
      <c r="ONF2" s="88"/>
      <c r="ONG2" s="88"/>
      <c r="ONH2" s="88"/>
      <c r="ONI2" s="88"/>
      <c r="ONJ2" s="88"/>
      <c r="ONK2" s="88"/>
      <c r="ONL2" s="88"/>
      <c r="ONM2" s="88"/>
      <c r="ONN2" s="88"/>
      <c r="ONO2" s="88"/>
      <c r="ONP2" s="88"/>
      <c r="ONQ2" s="88"/>
      <c r="ONR2" s="88"/>
      <c r="ONS2" s="88"/>
      <c r="ONT2" s="88"/>
      <c r="ONU2" s="88"/>
      <c r="ONV2" s="88"/>
      <c r="ONW2" s="88"/>
      <c r="ONX2" s="88"/>
      <c r="ONY2" s="88"/>
      <c r="ONZ2" s="88"/>
      <c r="OOA2" s="88"/>
      <c r="OOB2" s="88"/>
      <c r="OOC2" s="88"/>
      <c r="OOD2" s="88"/>
      <c r="OOE2" s="88"/>
      <c r="OOF2" s="88"/>
      <c r="OOG2" s="88"/>
      <c r="OOH2" s="88"/>
      <c r="OOI2" s="88"/>
      <c r="OOJ2" s="88"/>
      <c r="OOK2" s="88"/>
      <c r="OOL2" s="88"/>
      <c r="OOM2" s="88"/>
      <c r="OON2" s="88"/>
      <c r="OOO2" s="88"/>
      <c r="OOP2" s="88"/>
      <c r="OOQ2" s="88"/>
      <c r="OOR2" s="88"/>
      <c r="OOS2" s="88"/>
      <c r="OOT2" s="88"/>
      <c r="OOU2" s="88"/>
      <c r="OOV2" s="88"/>
      <c r="OOW2" s="88"/>
      <c r="OOX2" s="88"/>
      <c r="OOY2" s="88"/>
      <c r="OOZ2" s="88"/>
      <c r="OPA2" s="88"/>
      <c r="OPB2" s="88"/>
      <c r="OPC2" s="88"/>
      <c r="OPD2" s="88"/>
      <c r="OPE2" s="88"/>
      <c r="OPF2" s="88"/>
      <c r="OPG2" s="88"/>
      <c r="OPH2" s="88"/>
      <c r="OPI2" s="88"/>
      <c r="OPJ2" s="88"/>
      <c r="OPK2" s="88"/>
      <c r="OPL2" s="88"/>
      <c r="OPM2" s="88"/>
      <c r="OPN2" s="88"/>
      <c r="OPO2" s="88"/>
      <c r="OPP2" s="88"/>
      <c r="OPQ2" s="88"/>
      <c r="OPR2" s="88"/>
      <c r="OPS2" s="88"/>
      <c r="OPT2" s="88"/>
      <c r="OPU2" s="88"/>
      <c r="OPV2" s="88"/>
      <c r="OPW2" s="88"/>
      <c r="OPX2" s="88"/>
      <c r="OPY2" s="88"/>
      <c r="OPZ2" s="88"/>
      <c r="OQA2" s="88"/>
      <c r="OQB2" s="88"/>
      <c r="OQC2" s="88"/>
      <c r="OQD2" s="88"/>
      <c r="OQE2" s="88"/>
      <c r="OQF2" s="88"/>
      <c r="OQG2" s="88"/>
      <c r="OQH2" s="88"/>
      <c r="OQI2" s="88"/>
      <c r="OQJ2" s="88"/>
      <c r="OQK2" s="88"/>
      <c r="OQL2" s="88"/>
      <c r="OQM2" s="88"/>
      <c r="OQN2" s="88"/>
      <c r="OQO2" s="88"/>
      <c r="OQP2" s="88"/>
      <c r="OQQ2" s="88"/>
      <c r="OQR2" s="88"/>
      <c r="OQS2" s="88"/>
      <c r="OQT2" s="88"/>
      <c r="OQU2" s="88"/>
      <c r="OQV2" s="88"/>
      <c r="OQW2" s="88"/>
      <c r="OQX2" s="88"/>
      <c r="OQY2" s="88"/>
      <c r="OQZ2" s="88"/>
      <c r="ORA2" s="88"/>
      <c r="ORB2" s="88"/>
      <c r="ORC2" s="88"/>
      <c r="ORD2" s="88"/>
      <c r="ORE2" s="88"/>
      <c r="ORF2" s="88"/>
      <c r="ORG2" s="88"/>
      <c r="ORH2" s="88"/>
      <c r="ORI2" s="88"/>
      <c r="ORJ2" s="88"/>
      <c r="ORK2" s="88"/>
      <c r="ORL2" s="88"/>
      <c r="ORM2" s="88"/>
      <c r="ORN2" s="88"/>
      <c r="ORO2" s="88"/>
      <c r="ORP2" s="88"/>
      <c r="ORQ2" s="88"/>
      <c r="ORR2" s="88"/>
      <c r="ORS2" s="88"/>
      <c r="ORT2" s="88"/>
      <c r="ORU2" s="88"/>
      <c r="ORV2" s="88"/>
      <c r="ORW2" s="88"/>
      <c r="ORX2" s="88"/>
      <c r="ORY2" s="88"/>
      <c r="ORZ2" s="88"/>
      <c r="OSA2" s="88"/>
      <c r="OSB2" s="88"/>
      <c r="OSC2" s="88"/>
      <c r="OSD2" s="88"/>
      <c r="OSE2" s="88"/>
      <c r="OSF2" s="88"/>
      <c r="OSG2" s="88"/>
      <c r="OSH2" s="88"/>
      <c r="OSI2" s="88"/>
      <c r="OSJ2" s="88"/>
      <c r="OSK2" s="88"/>
      <c r="OSL2" s="88"/>
      <c r="OSM2" s="88"/>
      <c r="OSN2" s="88"/>
      <c r="OSO2" s="88"/>
      <c r="OSP2" s="88"/>
      <c r="OSQ2" s="88"/>
      <c r="OSR2" s="88"/>
      <c r="OSS2" s="88"/>
      <c r="OST2" s="88"/>
      <c r="OSU2" s="88"/>
      <c r="OSV2" s="88"/>
      <c r="OSW2" s="88"/>
      <c r="OSX2" s="88"/>
      <c r="OSY2" s="88"/>
      <c r="OSZ2" s="88"/>
      <c r="OTA2" s="88"/>
      <c r="OTB2" s="88"/>
      <c r="OTC2" s="88"/>
      <c r="OTD2" s="88"/>
      <c r="OTE2" s="88"/>
      <c r="OTF2" s="88"/>
      <c r="OTG2" s="88"/>
      <c r="OTH2" s="88"/>
      <c r="OTI2" s="88"/>
      <c r="OTJ2" s="88"/>
      <c r="OTK2" s="88"/>
      <c r="OTL2" s="88"/>
      <c r="OTM2" s="88"/>
      <c r="OTN2" s="88"/>
      <c r="OTO2" s="88"/>
      <c r="OTP2" s="88"/>
      <c r="OTQ2" s="88"/>
      <c r="OTR2" s="88"/>
      <c r="OTS2" s="88"/>
      <c r="OTT2" s="88"/>
      <c r="OTU2" s="88"/>
      <c r="OTV2" s="88"/>
      <c r="OTW2" s="88"/>
      <c r="OTX2" s="88"/>
      <c r="OTY2" s="88"/>
      <c r="OTZ2" s="88"/>
      <c r="OUA2" s="88"/>
      <c r="OUB2" s="88"/>
      <c r="OUC2" s="88"/>
      <c r="OUD2" s="88"/>
      <c r="OUE2" s="88"/>
      <c r="OUF2" s="88"/>
      <c r="OUG2" s="88"/>
      <c r="OUH2" s="88"/>
      <c r="OUI2" s="88"/>
      <c r="OUJ2" s="88"/>
      <c r="OUK2" s="88"/>
      <c r="OUL2" s="88"/>
      <c r="OUM2" s="88"/>
      <c r="OUN2" s="88"/>
      <c r="OUO2" s="88"/>
      <c r="OUP2" s="88"/>
      <c r="OUQ2" s="88"/>
      <c r="OUR2" s="88"/>
      <c r="OUS2" s="88"/>
      <c r="OUT2" s="88"/>
      <c r="OUU2" s="88"/>
      <c r="OUV2" s="88"/>
      <c r="OUW2" s="88"/>
      <c r="OUX2" s="88"/>
      <c r="OUY2" s="88"/>
      <c r="OUZ2" s="88"/>
      <c r="OVA2" s="88"/>
      <c r="OVB2" s="88"/>
      <c r="OVC2" s="88"/>
      <c r="OVD2" s="88"/>
      <c r="OVE2" s="88"/>
      <c r="OVF2" s="88"/>
      <c r="OVG2" s="88"/>
      <c r="OVH2" s="88"/>
      <c r="OVI2" s="88"/>
      <c r="OVJ2" s="88"/>
      <c r="OVK2" s="88"/>
      <c r="OVL2" s="88"/>
      <c r="OVM2" s="88"/>
      <c r="OVN2" s="88"/>
      <c r="OVO2" s="88"/>
      <c r="OVP2" s="88"/>
      <c r="OVQ2" s="88"/>
      <c r="OVR2" s="88"/>
      <c r="OVS2" s="88"/>
      <c r="OVT2" s="88"/>
      <c r="OVU2" s="88"/>
      <c r="OVV2" s="88"/>
      <c r="OVW2" s="88"/>
      <c r="OVX2" s="88"/>
      <c r="OVY2" s="88"/>
      <c r="OVZ2" s="88"/>
      <c r="OWA2" s="88"/>
      <c r="OWB2" s="88"/>
      <c r="OWC2" s="88"/>
      <c r="OWD2" s="88"/>
      <c r="OWE2" s="88"/>
      <c r="OWF2" s="88"/>
      <c r="OWG2" s="88"/>
      <c r="OWH2" s="88"/>
      <c r="OWI2" s="88"/>
      <c r="OWJ2" s="88"/>
      <c r="OWK2" s="88"/>
      <c r="OWL2" s="88"/>
      <c r="OWM2" s="88"/>
      <c r="OWN2" s="88"/>
      <c r="OWO2" s="88"/>
      <c r="OWP2" s="88"/>
      <c r="OWQ2" s="88"/>
      <c r="OWR2" s="88"/>
      <c r="OWS2" s="88"/>
      <c r="OWT2" s="88"/>
      <c r="OWU2" s="88"/>
      <c r="OWV2" s="88"/>
      <c r="OWW2" s="88"/>
      <c r="OWX2" s="88"/>
      <c r="OWY2" s="88"/>
      <c r="OWZ2" s="88"/>
      <c r="OXA2" s="88"/>
      <c r="OXB2" s="88"/>
      <c r="OXC2" s="88"/>
      <c r="OXD2" s="88"/>
      <c r="OXE2" s="88"/>
      <c r="OXF2" s="88"/>
      <c r="OXG2" s="88"/>
      <c r="OXH2" s="88"/>
      <c r="OXI2" s="88"/>
      <c r="OXJ2" s="88"/>
      <c r="OXK2" s="88"/>
      <c r="OXL2" s="88"/>
      <c r="OXM2" s="88"/>
      <c r="OXN2" s="88"/>
      <c r="OXO2" s="88"/>
      <c r="OXP2" s="88"/>
      <c r="OXQ2" s="88"/>
      <c r="OXR2" s="88"/>
      <c r="OXS2" s="88"/>
      <c r="OXT2" s="88"/>
      <c r="OXU2" s="88"/>
      <c r="OXV2" s="88"/>
      <c r="OXW2" s="88"/>
      <c r="OXX2" s="88"/>
      <c r="OXY2" s="88"/>
      <c r="OXZ2" s="88"/>
      <c r="OYA2" s="88"/>
      <c r="OYB2" s="88"/>
      <c r="OYC2" s="88"/>
      <c r="OYD2" s="88"/>
      <c r="OYE2" s="88"/>
      <c r="OYF2" s="88"/>
      <c r="OYG2" s="88"/>
      <c r="OYH2" s="88"/>
      <c r="OYI2" s="88"/>
      <c r="OYJ2" s="88"/>
      <c r="OYK2" s="88"/>
      <c r="OYL2" s="88"/>
      <c r="OYM2" s="88"/>
      <c r="OYN2" s="88"/>
      <c r="OYO2" s="88"/>
      <c r="OYP2" s="88"/>
      <c r="OYQ2" s="88"/>
      <c r="OYR2" s="88"/>
      <c r="OYS2" s="88"/>
      <c r="OYT2" s="88"/>
      <c r="OYU2" s="88"/>
      <c r="OYV2" s="88"/>
      <c r="OYW2" s="88"/>
      <c r="OYX2" s="88"/>
      <c r="OYY2" s="88"/>
      <c r="OYZ2" s="88"/>
      <c r="OZA2" s="88"/>
      <c r="OZB2" s="88"/>
      <c r="OZC2" s="88"/>
      <c r="OZD2" s="88"/>
      <c r="OZE2" s="88"/>
      <c r="OZF2" s="88"/>
      <c r="OZG2" s="88"/>
      <c r="OZH2" s="88"/>
      <c r="OZI2" s="88"/>
      <c r="OZJ2" s="88"/>
      <c r="OZK2" s="88"/>
      <c r="OZL2" s="88"/>
      <c r="OZM2" s="88"/>
      <c r="OZN2" s="88"/>
      <c r="OZO2" s="88"/>
      <c r="OZP2" s="88"/>
      <c r="OZQ2" s="88"/>
      <c r="OZR2" s="88"/>
      <c r="OZS2" s="88"/>
      <c r="OZT2" s="88"/>
      <c r="OZU2" s="88"/>
      <c r="OZV2" s="88"/>
      <c r="OZW2" s="88"/>
      <c r="OZX2" s="88"/>
      <c r="OZY2" s="88"/>
      <c r="OZZ2" s="88"/>
      <c r="PAA2" s="88"/>
      <c r="PAB2" s="88"/>
      <c r="PAC2" s="88"/>
      <c r="PAD2" s="88"/>
      <c r="PAE2" s="88"/>
      <c r="PAF2" s="88"/>
      <c r="PAG2" s="88"/>
      <c r="PAH2" s="88"/>
      <c r="PAI2" s="88"/>
      <c r="PAJ2" s="88"/>
      <c r="PAK2" s="88"/>
      <c r="PAL2" s="88"/>
      <c r="PAM2" s="88"/>
      <c r="PAN2" s="88"/>
      <c r="PAO2" s="88"/>
      <c r="PAP2" s="88"/>
      <c r="PAQ2" s="88"/>
      <c r="PAR2" s="88"/>
      <c r="PAS2" s="88"/>
      <c r="PAT2" s="88"/>
      <c r="PAU2" s="88"/>
      <c r="PAV2" s="88"/>
      <c r="PAW2" s="88"/>
      <c r="PAX2" s="88"/>
      <c r="PAY2" s="88"/>
      <c r="PAZ2" s="88"/>
      <c r="PBA2" s="88"/>
      <c r="PBB2" s="88"/>
      <c r="PBC2" s="88"/>
      <c r="PBD2" s="88"/>
      <c r="PBE2" s="88"/>
      <c r="PBF2" s="88"/>
      <c r="PBG2" s="88"/>
      <c r="PBH2" s="88"/>
      <c r="PBI2" s="88"/>
      <c r="PBJ2" s="88"/>
      <c r="PBK2" s="88"/>
      <c r="PBL2" s="88"/>
      <c r="PBM2" s="88"/>
      <c r="PBN2" s="88"/>
      <c r="PBO2" s="88"/>
      <c r="PBP2" s="88"/>
      <c r="PBQ2" s="88"/>
      <c r="PBR2" s="88"/>
      <c r="PBS2" s="88"/>
      <c r="PBT2" s="88"/>
      <c r="PBU2" s="88"/>
      <c r="PBV2" s="88"/>
      <c r="PBW2" s="88"/>
      <c r="PBX2" s="88"/>
      <c r="PBY2" s="88"/>
      <c r="PBZ2" s="88"/>
      <c r="PCA2" s="88"/>
      <c r="PCB2" s="88"/>
      <c r="PCC2" s="88"/>
      <c r="PCD2" s="88"/>
      <c r="PCE2" s="88"/>
      <c r="PCF2" s="88"/>
      <c r="PCG2" s="88"/>
      <c r="PCH2" s="88"/>
      <c r="PCI2" s="88"/>
      <c r="PCJ2" s="88"/>
      <c r="PCK2" s="88"/>
      <c r="PCL2" s="88"/>
      <c r="PCM2" s="88"/>
      <c r="PCN2" s="88"/>
      <c r="PCO2" s="88"/>
      <c r="PCP2" s="88"/>
      <c r="PCQ2" s="88"/>
      <c r="PCR2" s="88"/>
      <c r="PCS2" s="88"/>
      <c r="PCT2" s="88"/>
      <c r="PCU2" s="88"/>
      <c r="PCV2" s="88"/>
      <c r="PCW2" s="88"/>
      <c r="PCX2" s="88"/>
      <c r="PCY2" s="88"/>
      <c r="PCZ2" s="88"/>
      <c r="PDA2" s="88"/>
      <c r="PDB2" s="88"/>
      <c r="PDC2" s="88"/>
      <c r="PDD2" s="88"/>
      <c r="PDE2" s="88"/>
      <c r="PDF2" s="88"/>
      <c r="PDG2" s="88"/>
      <c r="PDH2" s="88"/>
      <c r="PDI2" s="88"/>
      <c r="PDJ2" s="88"/>
      <c r="PDK2" s="88"/>
      <c r="PDL2" s="88"/>
      <c r="PDM2" s="88"/>
      <c r="PDN2" s="88"/>
      <c r="PDO2" s="88"/>
      <c r="PDP2" s="88"/>
      <c r="PDQ2" s="88"/>
      <c r="PDR2" s="88"/>
      <c r="PDS2" s="88"/>
      <c r="PDT2" s="88"/>
      <c r="PDU2" s="88"/>
      <c r="PDV2" s="88"/>
      <c r="PDW2" s="88"/>
      <c r="PDX2" s="88"/>
      <c r="PDY2" s="88"/>
      <c r="PDZ2" s="88"/>
      <c r="PEA2" s="88"/>
      <c r="PEB2" s="88"/>
      <c r="PEC2" s="88"/>
      <c r="PED2" s="88"/>
      <c r="PEE2" s="88"/>
      <c r="PEF2" s="88"/>
      <c r="PEG2" s="88"/>
      <c r="PEH2" s="88"/>
      <c r="PEI2" s="88"/>
      <c r="PEJ2" s="88"/>
      <c r="PEK2" s="88"/>
      <c r="PEL2" s="88"/>
      <c r="PEM2" s="88"/>
      <c r="PEN2" s="88"/>
      <c r="PEO2" s="88"/>
      <c r="PEP2" s="88"/>
      <c r="PEQ2" s="88"/>
      <c r="PER2" s="88"/>
      <c r="PES2" s="88"/>
      <c r="PET2" s="88"/>
      <c r="PEU2" s="88"/>
      <c r="PEV2" s="88"/>
      <c r="PEW2" s="88"/>
      <c r="PEX2" s="88"/>
      <c r="PEY2" s="88"/>
      <c r="PEZ2" s="88"/>
      <c r="PFA2" s="88"/>
      <c r="PFB2" s="88"/>
      <c r="PFC2" s="88"/>
      <c r="PFD2" s="88"/>
      <c r="PFE2" s="88"/>
      <c r="PFF2" s="88"/>
      <c r="PFG2" s="88"/>
      <c r="PFH2" s="88"/>
      <c r="PFI2" s="88"/>
      <c r="PFJ2" s="88"/>
      <c r="PFK2" s="88"/>
      <c r="PFL2" s="88"/>
      <c r="PFM2" s="88"/>
      <c r="PFN2" s="88"/>
      <c r="PFO2" s="88"/>
      <c r="PFP2" s="88"/>
      <c r="PFQ2" s="88"/>
      <c r="PFR2" s="88"/>
      <c r="PFS2" s="88"/>
      <c r="PFT2" s="88"/>
      <c r="PFU2" s="88"/>
      <c r="PFV2" s="88"/>
      <c r="PFW2" s="88"/>
      <c r="PFX2" s="88"/>
      <c r="PFY2" s="88"/>
      <c r="PFZ2" s="88"/>
      <c r="PGA2" s="88"/>
      <c r="PGB2" s="88"/>
      <c r="PGC2" s="88"/>
      <c r="PGD2" s="88"/>
      <c r="PGE2" s="88"/>
      <c r="PGF2" s="88"/>
      <c r="PGG2" s="88"/>
      <c r="PGH2" s="88"/>
      <c r="PGI2" s="88"/>
      <c r="PGJ2" s="88"/>
      <c r="PGK2" s="88"/>
      <c r="PGL2" s="88"/>
      <c r="PGM2" s="88"/>
      <c r="PGN2" s="88"/>
      <c r="PGO2" s="88"/>
      <c r="PGP2" s="88"/>
      <c r="PGQ2" s="88"/>
      <c r="PGR2" s="88"/>
      <c r="PGS2" s="88"/>
      <c r="PGT2" s="88"/>
      <c r="PGU2" s="88"/>
      <c r="PGV2" s="88"/>
      <c r="PGW2" s="88"/>
      <c r="PGX2" s="88"/>
      <c r="PGY2" s="88"/>
      <c r="PGZ2" s="88"/>
      <c r="PHA2" s="88"/>
      <c r="PHB2" s="88"/>
      <c r="PHC2" s="88"/>
      <c r="PHD2" s="88"/>
      <c r="PHE2" s="88"/>
      <c r="PHF2" s="88"/>
      <c r="PHG2" s="88"/>
      <c r="PHH2" s="88"/>
      <c r="PHI2" s="88"/>
      <c r="PHJ2" s="88"/>
      <c r="PHK2" s="88"/>
      <c r="PHL2" s="88"/>
      <c r="PHM2" s="88"/>
      <c r="PHN2" s="88"/>
      <c r="PHO2" s="88"/>
      <c r="PHP2" s="88"/>
      <c r="PHQ2" s="88"/>
      <c r="PHR2" s="88"/>
      <c r="PHS2" s="88"/>
      <c r="PHT2" s="88"/>
      <c r="PHU2" s="88"/>
      <c r="PHV2" s="88"/>
      <c r="PHW2" s="88"/>
      <c r="PHX2" s="88"/>
      <c r="PHY2" s="88"/>
      <c r="PHZ2" s="88"/>
      <c r="PIA2" s="88"/>
      <c r="PIB2" s="88"/>
      <c r="PIC2" s="88"/>
      <c r="PID2" s="88"/>
      <c r="PIE2" s="88"/>
      <c r="PIF2" s="88"/>
      <c r="PIG2" s="88"/>
      <c r="PIH2" s="88"/>
      <c r="PII2" s="88"/>
      <c r="PIJ2" s="88"/>
      <c r="PIK2" s="88"/>
      <c r="PIL2" s="88"/>
      <c r="PIM2" s="88"/>
      <c r="PIN2" s="88"/>
      <c r="PIO2" s="88"/>
      <c r="PIP2" s="88"/>
      <c r="PIQ2" s="88"/>
      <c r="PIR2" s="88"/>
      <c r="PIS2" s="88"/>
      <c r="PIT2" s="88"/>
      <c r="PIU2" s="88"/>
      <c r="PIV2" s="88"/>
      <c r="PIW2" s="88"/>
      <c r="PIX2" s="88"/>
      <c r="PIY2" s="88"/>
      <c r="PIZ2" s="88"/>
      <c r="PJA2" s="88"/>
      <c r="PJB2" s="88"/>
      <c r="PJC2" s="88"/>
      <c r="PJD2" s="88"/>
      <c r="PJE2" s="88"/>
      <c r="PJF2" s="88"/>
      <c r="PJG2" s="88"/>
      <c r="PJH2" s="88"/>
      <c r="PJI2" s="88"/>
      <c r="PJJ2" s="88"/>
      <c r="PJK2" s="88"/>
      <c r="PJL2" s="88"/>
      <c r="PJM2" s="88"/>
      <c r="PJN2" s="88"/>
      <c r="PJO2" s="88"/>
      <c r="PJP2" s="88"/>
      <c r="PJQ2" s="88"/>
      <c r="PJR2" s="88"/>
      <c r="PJS2" s="88"/>
      <c r="PJT2" s="88"/>
      <c r="PJU2" s="88"/>
      <c r="PJV2" s="88"/>
      <c r="PJW2" s="88"/>
      <c r="PJX2" s="88"/>
      <c r="PJY2" s="88"/>
      <c r="PJZ2" s="88"/>
      <c r="PKA2" s="88"/>
      <c r="PKB2" s="88"/>
      <c r="PKC2" s="88"/>
      <c r="PKD2" s="88"/>
      <c r="PKE2" s="88"/>
      <c r="PKF2" s="88"/>
      <c r="PKG2" s="88"/>
      <c r="PKH2" s="88"/>
      <c r="PKI2" s="88"/>
      <c r="PKJ2" s="88"/>
      <c r="PKK2" s="88"/>
      <c r="PKL2" s="88"/>
      <c r="PKM2" s="88"/>
      <c r="PKN2" s="88"/>
      <c r="PKO2" s="88"/>
      <c r="PKP2" s="88"/>
      <c r="PKQ2" s="88"/>
      <c r="PKR2" s="88"/>
      <c r="PKS2" s="88"/>
      <c r="PKT2" s="88"/>
      <c r="PKU2" s="88"/>
      <c r="PKV2" s="88"/>
      <c r="PKW2" s="88"/>
      <c r="PKX2" s="88"/>
      <c r="PKY2" s="88"/>
      <c r="PKZ2" s="88"/>
      <c r="PLA2" s="88"/>
      <c r="PLB2" s="88"/>
      <c r="PLC2" s="88"/>
      <c r="PLD2" s="88"/>
      <c r="PLE2" s="88"/>
      <c r="PLF2" s="88"/>
      <c r="PLG2" s="88"/>
      <c r="PLH2" s="88"/>
      <c r="PLI2" s="88"/>
      <c r="PLJ2" s="88"/>
      <c r="PLK2" s="88"/>
      <c r="PLL2" s="88"/>
      <c r="PLM2" s="88"/>
      <c r="PLN2" s="88"/>
      <c r="PLO2" s="88"/>
      <c r="PLP2" s="88"/>
      <c r="PLQ2" s="88"/>
      <c r="PLR2" s="88"/>
      <c r="PLS2" s="88"/>
      <c r="PLT2" s="88"/>
      <c r="PLU2" s="88"/>
      <c r="PLV2" s="88"/>
      <c r="PLW2" s="88"/>
      <c r="PLX2" s="88"/>
      <c r="PLY2" s="88"/>
      <c r="PLZ2" s="88"/>
      <c r="PMA2" s="88"/>
      <c r="PMB2" s="88"/>
      <c r="PMC2" s="88"/>
      <c r="PMD2" s="88"/>
      <c r="PME2" s="88"/>
      <c r="PMF2" s="88"/>
      <c r="PMG2" s="88"/>
      <c r="PMH2" s="88"/>
      <c r="PMI2" s="88"/>
      <c r="PMJ2" s="88"/>
      <c r="PMK2" s="88"/>
      <c r="PML2" s="88"/>
      <c r="PMM2" s="88"/>
      <c r="PMN2" s="88"/>
      <c r="PMO2" s="88"/>
      <c r="PMP2" s="88"/>
      <c r="PMQ2" s="88"/>
      <c r="PMR2" s="88"/>
      <c r="PMS2" s="88"/>
      <c r="PMT2" s="88"/>
      <c r="PMU2" s="88"/>
      <c r="PMV2" s="88"/>
      <c r="PMW2" s="88"/>
      <c r="PMX2" s="88"/>
      <c r="PMY2" s="88"/>
      <c r="PMZ2" s="88"/>
      <c r="PNA2" s="88"/>
      <c r="PNB2" s="88"/>
      <c r="PNC2" s="88"/>
      <c r="PND2" s="88"/>
      <c r="PNE2" s="88"/>
      <c r="PNF2" s="88"/>
      <c r="PNG2" s="88"/>
      <c r="PNH2" s="88"/>
      <c r="PNI2" s="88"/>
      <c r="PNJ2" s="88"/>
      <c r="PNK2" s="88"/>
      <c r="PNL2" s="88"/>
      <c r="PNM2" s="88"/>
      <c r="PNN2" s="88"/>
      <c r="PNO2" s="88"/>
      <c r="PNP2" s="88"/>
      <c r="PNQ2" s="88"/>
      <c r="PNR2" s="88"/>
      <c r="PNS2" s="88"/>
      <c r="PNT2" s="88"/>
      <c r="PNU2" s="88"/>
      <c r="PNV2" s="88"/>
      <c r="PNW2" s="88"/>
      <c r="PNX2" s="88"/>
      <c r="PNY2" s="88"/>
      <c r="PNZ2" s="88"/>
      <c r="POA2" s="88"/>
      <c r="POB2" s="88"/>
      <c r="POC2" s="88"/>
      <c r="POD2" s="88"/>
      <c r="POE2" s="88"/>
      <c r="POF2" s="88"/>
      <c r="POG2" s="88"/>
      <c r="POH2" s="88"/>
      <c r="POI2" s="88"/>
      <c r="POJ2" s="88"/>
      <c r="POK2" s="88"/>
      <c r="POL2" s="88"/>
      <c r="POM2" s="88"/>
      <c r="PON2" s="88"/>
      <c r="POO2" s="88"/>
      <c r="POP2" s="88"/>
      <c r="POQ2" s="88"/>
      <c r="POR2" s="88"/>
      <c r="POS2" s="88"/>
      <c r="POT2" s="88"/>
      <c r="POU2" s="88"/>
      <c r="POV2" s="88"/>
      <c r="POW2" s="88"/>
      <c r="POX2" s="88"/>
      <c r="POY2" s="88"/>
      <c r="POZ2" s="88"/>
      <c r="PPA2" s="88"/>
      <c r="PPB2" s="88"/>
      <c r="PPC2" s="88"/>
      <c r="PPD2" s="88"/>
      <c r="PPE2" s="88"/>
      <c r="PPF2" s="88"/>
      <c r="PPG2" s="88"/>
      <c r="PPH2" s="88"/>
      <c r="PPI2" s="88"/>
      <c r="PPJ2" s="88"/>
      <c r="PPK2" s="88"/>
      <c r="PPL2" s="88"/>
      <c r="PPM2" s="88"/>
      <c r="PPN2" s="88"/>
      <c r="PPO2" s="88"/>
      <c r="PPP2" s="88"/>
      <c r="PPQ2" s="88"/>
      <c r="PPR2" s="88"/>
      <c r="PPS2" s="88"/>
      <c r="PPT2" s="88"/>
      <c r="PPU2" s="88"/>
      <c r="PPV2" s="88"/>
      <c r="PPW2" s="88"/>
      <c r="PPX2" s="88"/>
      <c r="PPY2" s="88"/>
      <c r="PPZ2" s="88"/>
      <c r="PQA2" s="88"/>
      <c r="PQB2" s="88"/>
      <c r="PQC2" s="88"/>
      <c r="PQD2" s="88"/>
      <c r="PQE2" s="88"/>
      <c r="PQF2" s="88"/>
      <c r="PQG2" s="88"/>
      <c r="PQH2" s="88"/>
      <c r="PQI2" s="88"/>
      <c r="PQJ2" s="88"/>
      <c r="PQK2" s="88"/>
      <c r="PQL2" s="88"/>
      <c r="PQM2" s="88"/>
      <c r="PQN2" s="88"/>
      <c r="PQO2" s="88"/>
      <c r="PQP2" s="88"/>
      <c r="PQQ2" s="88"/>
      <c r="PQR2" s="88"/>
      <c r="PQS2" s="88"/>
      <c r="PQT2" s="88"/>
      <c r="PQU2" s="88"/>
      <c r="PQV2" s="88"/>
      <c r="PQW2" s="88"/>
      <c r="PQX2" s="88"/>
      <c r="PQY2" s="88"/>
      <c r="PQZ2" s="88"/>
      <c r="PRA2" s="88"/>
      <c r="PRB2" s="88"/>
      <c r="PRC2" s="88"/>
      <c r="PRD2" s="88"/>
      <c r="PRE2" s="88"/>
      <c r="PRF2" s="88"/>
      <c r="PRG2" s="88"/>
      <c r="PRH2" s="88"/>
      <c r="PRI2" s="88"/>
      <c r="PRJ2" s="88"/>
      <c r="PRK2" s="88"/>
      <c r="PRL2" s="88"/>
      <c r="PRM2" s="88"/>
      <c r="PRN2" s="88"/>
      <c r="PRO2" s="88"/>
      <c r="PRP2" s="88"/>
      <c r="PRQ2" s="88"/>
      <c r="PRR2" s="88"/>
      <c r="PRS2" s="88"/>
      <c r="PRT2" s="88"/>
      <c r="PRU2" s="88"/>
      <c r="PRV2" s="88"/>
      <c r="PRW2" s="88"/>
      <c r="PRX2" s="88"/>
      <c r="PRY2" s="88"/>
      <c r="PRZ2" s="88"/>
      <c r="PSA2" s="88"/>
      <c r="PSB2" s="88"/>
      <c r="PSC2" s="88"/>
      <c r="PSD2" s="88"/>
      <c r="PSE2" s="88"/>
      <c r="PSF2" s="88"/>
      <c r="PSG2" s="88"/>
      <c r="PSH2" s="88"/>
      <c r="PSI2" s="88"/>
      <c r="PSJ2" s="88"/>
      <c r="PSK2" s="88"/>
      <c r="PSL2" s="88"/>
      <c r="PSM2" s="88"/>
      <c r="PSN2" s="88"/>
      <c r="PSO2" s="88"/>
      <c r="PSP2" s="88"/>
      <c r="PSQ2" s="88"/>
      <c r="PSR2" s="88"/>
      <c r="PSS2" s="88"/>
      <c r="PST2" s="88"/>
      <c r="PSU2" s="88"/>
      <c r="PSV2" s="88"/>
      <c r="PSW2" s="88"/>
      <c r="PSX2" s="88"/>
      <c r="PSY2" s="88"/>
      <c r="PSZ2" s="88"/>
      <c r="PTA2" s="88"/>
      <c r="PTB2" s="88"/>
      <c r="PTC2" s="88"/>
      <c r="PTD2" s="88"/>
      <c r="PTE2" s="88"/>
      <c r="PTF2" s="88"/>
      <c r="PTG2" s="88"/>
      <c r="PTH2" s="88"/>
      <c r="PTI2" s="88"/>
      <c r="PTJ2" s="88"/>
      <c r="PTK2" s="88"/>
      <c r="PTL2" s="88"/>
      <c r="PTM2" s="88"/>
      <c r="PTN2" s="88"/>
      <c r="PTO2" s="88"/>
      <c r="PTP2" s="88"/>
      <c r="PTQ2" s="88"/>
      <c r="PTR2" s="88"/>
      <c r="PTS2" s="88"/>
      <c r="PTT2" s="88"/>
      <c r="PTU2" s="88"/>
      <c r="PTV2" s="88"/>
      <c r="PTW2" s="88"/>
      <c r="PTX2" s="88"/>
      <c r="PTY2" s="88"/>
      <c r="PTZ2" s="88"/>
      <c r="PUA2" s="88"/>
      <c r="PUB2" s="88"/>
      <c r="PUC2" s="88"/>
      <c r="PUD2" s="88"/>
      <c r="PUE2" s="88"/>
      <c r="PUF2" s="88"/>
      <c r="PUG2" s="88"/>
      <c r="PUH2" s="88"/>
      <c r="PUI2" s="88"/>
      <c r="PUJ2" s="88"/>
      <c r="PUK2" s="88"/>
      <c r="PUL2" s="88"/>
      <c r="PUM2" s="88"/>
      <c r="PUN2" s="88"/>
      <c r="PUO2" s="88"/>
      <c r="PUP2" s="88"/>
      <c r="PUQ2" s="88"/>
      <c r="PUR2" s="88"/>
      <c r="PUS2" s="88"/>
      <c r="PUT2" s="88"/>
      <c r="PUU2" s="88"/>
      <c r="PUV2" s="88"/>
      <c r="PUW2" s="88"/>
      <c r="PUX2" s="88"/>
      <c r="PUY2" s="88"/>
      <c r="PUZ2" s="88"/>
      <c r="PVA2" s="88"/>
      <c r="PVB2" s="88"/>
      <c r="PVC2" s="88"/>
      <c r="PVD2" s="88"/>
      <c r="PVE2" s="88"/>
      <c r="PVF2" s="88"/>
      <c r="PVG2" s="88"/>
      <c r="PVH2" s="88"/>
      <c r="PVI2" s="88"/>
      <c r="PVJ2" s="88"/>
      <c r="PVK2" s="88"/>
      <c r="PVL2" s="88"/>
      <c r="PVM2" s="88"/>
      <c r="PVN2" s="88"/>
      <c r="PVO2" s="88"/>
      <c r="PVP2" s="88"/>
      <c r="PVQ2" s="88"/>
      <c r="PVR2" s="88"/>
      <c r="PVS2" s="88"/>
      <c r="PVT2" s="88"/>
      <c r="PVU2" s="88"/>
      <c r="PVV2" s="88"/>
      <c r="PVW2" s="88"/>
      <c r="PVX2" s="88"/>
      <c r="PVY2" s="88"/>
      <c r="PVZ2" s="88"/>
      <c r="PWA2" s="88"/>
      <c r="PWB2" s="88"/>
      <c r="PWC2" s="88"/>
      <c r="PWD2" s="88"/>
      <c r="PWE2" s="88"/>
      <c r="PWF2" s="88"/>
      <c r="PWG2" s="88"/>
      <c r="PWH2" s="88"/>
      <c r="PWI2" s="88"/>
      <c r="PWJ2" s="88"/>
      <c r="PWK2" s="88"/>
      <c r="PWL2" s="88"/>
      <c r="PWM2" s="88"/>
      <c r="PWN2" s="88"/>
      <c r="PWO2" s="88"/>
      <c r="PWP2" s="88"/>
      <c r="PWQ2" s="88"/>
      <c r="PWR2" s="88"/>
      <c r="PWS2" s="88"/>
      <c r="PWT2" s="88"/>
      <c r="PWU2" s="88"/>
      <c r="PWV2" s="88"/>
      <c r="PWW2" s="88"/>
      <c r="PWX2" s="88"/>
      <c r="PWY2" s="88"/>
      <c r="PWZ2" s="88"/>
      <c r="PXA2" s="88"/>
      <c r="PXB2" s="88"/>
      <c r="PXC2" s="88"/>
      <c r="PXD2" s="88"/>
      <c r="PXE2" s="88"/>
      <c r="PXF2" s="88"/>
      <c r="PXG2" s="88"/>
      <c r="PXH2" s="88"/>
      <c r="PXI2" s="88"/>
      <c r="PXJ2" s="88"/>
      <c r="PXK2" s="88"/>
      <c r="PXL2" s="88"/>
      <c r="PXM2" s="88"/>
      <c r="PXN2" s="88"/>
      <c r="PXO2" s="88"/>
      <c r="PXP2" s="88"/>
      <c r="PXQ2" s="88"/>
      <c r="PXR2" s="88"/>
      <c r="PXS2" s="88"/>
      <c r="PXT2" s="88"/>
      <c r="PXU2" s="88"/>
      <c r="PXV2" s="88"/>
      <c r="PXW2" s="88"/>
      <c r="PXX2" s="88"/>
      <c r="PXY2" s="88"/>
      <c r="PXZ2" s="88"/>
      <c r="PYA2" s="88"/>
      <c r="PYB2" s="88"/>
      <c r="PYC2" s="88"/>
      <c r="PYD2" s="88"/>
      <c r="PYE2" s="88"/>
      <c r="PYF2" s="88"/>
      <c r="PYG2" s="88"/>
      <c r="PYH2" s="88"/>
      <c r="PYI2" s="88"/>
      <c r="PYJ2" s="88"/>
      <c r="PYK2" s="88"/>
      <c r="PYL2" s="88"/>
      <c r="PYM2" s="88"/>
      <c r="PYN2" s="88"/>
      <c r="PYO2" s="88"/>
      <c r="PYP2" s="88"/>
      <c r="PYQ2" s="88"/>
      <c r="PYR2" s="88"/>
      <c r="PYS2" s="88"/>
      <c r="PYT2" s="88"/>
      <c r="PYU2" s="88"/>
      <c r="PYV2" s="88"/>
      <c r="PYW2" s="88"/>
      <c r="PYX2" s="88"/>
      <c r="PYY2" s="88"/>
      <c r="PYZ2" s="88"/>
      <c r="PZA2" s="88"/>
      <c r="PZB2" s="88"/>
      <c r="PZC2" s="88"/>
      <c r="PZD2" s="88"/>
      <c r="PZE2" s="88"/>
      <c r="PZF2" s="88"/>
      <c r="PZG2" s="88"/>
      <c r="PZH2" s="88"/>
      <c r="PZI2" s="88"/>
      <c r="PZJ2" s="88"/>
      <c r="PZK2" s="88"/>
      <c r="PZL2" s="88"/>
      <c r="PZM2" s="88"/>
      <c r="PZN2" s="88"/>
      <c r="PZO2" s="88"/>
      <c r="PZP2" s="88"/>
      <c r="PZQ2" s="88"/>
      <c r="PZR2" s="88"/>
      <c r="PZS2" s="88"/>
      <c r="PZT2" s="88"/>
      <c r="PZU2" s="88"/>
      <c r="PZV2" s="88"/>
      <c r="PZW2" s="88"/>
      <c r="PZX2" s="88"/>
      <c r="PZY2" s="88"/>
      <c r="PZZ2" s="88"/>
      <c r="QAA2" s="88"/>
      <c r="QAB2" s="88"/>
      <c r="QAC2" s="88"/>
      <c r="QAD2" s="88"/>
      <c r="QAE2" s="88"/>
      <c r="QAF2" s="88"/>
      <c r="QAG2" s="88"/>
      <c r="QAH2" s="88"/>
      <c r="QAI2" s="88"/>
      <c r="QAJ2" s="88"/>
      <c r="QAK2" s="88"/>
      <c r="QAL2" s="88"/>
      <c r="QAM2" s="88"/>
      <c r="QAN2" s="88"/>
      <c r="QAO2" s="88"/>
      <c r="QAP2" s="88"/>
      <c r="QAQ2" s="88"/>
      <c r="QAR2" s="88"/>
      <c r="QAS2" s="88"/>
      <c r="QAT2" s="88"/>
      <c r="QAU2" s="88"/>
      <c r="QAV2" s="88"/>
      <c r="QAW2" s="88"/>
      <c r="QAX2" s="88"/>
      <c r="QAY2" s="88"/>
      <c r="QAZ2" s="88"/>
      <c r="QBA2" s="88"/>
      <c r="QBB2" s="88"/>
      <c r="QBC2" s="88"/>
      <c r="QBD2" s="88"/>
      <c r="QBE2" s="88"/>
      <c r="QBF2" s="88"/>
      <c r="QBG2" s="88"/>
      <c r="QBH2" s="88"/>
      <c r="QBI2" s="88"/>
      <c r="QBJ2" s="88"/>
      <c r="QBK2" s="88"/>
      <c r="QBL2" s="88"/>
      <c r="QBM2" s="88"/>
      <c r="QBN2" s="88"/>
      <c r="QBO2" s="88"/>
      <c r="QBP2" s="88"/>
      <c r="QBQ2" s="88"/>
      <c r="QBR2" s="88"/>
      <c r="QBS2" s="88"/>
      <c r="QBT2" s="88"/>
      <c r="QBU2" s="88"/>
      <c r="QBV2" s="88"/>
      <c r="QBW2" s="88"/>
      <c r="QBX2" s="88"/>
      <c r="QBY2" s="88"/>
      <c r="QBZ2" s="88"/>
      <c r="QCA2" s="88"/>
      <c r="QCB2" s="88"/>
      <c r="QCC2" s="88"/>
      <c r="QCD2" s="88"/>
      <c r="QCE2" s="88"/>
      <c r="QCF2" s="88"/>
      <c r="QCG2" s="88"/>
      <c r="QCH2" s="88"/>
      <c r="QCI2" s="88"/>
      <c r="QCJ2" s="88"/>
      <c r="QCK2" s="88"/>
      <c r="QCL2" s="88"/>
      <c r="QCM2" s="88"/>
      <c r="QCN2" s="88"/>
      <c r="QCO2" s="88"/>
      <c r="QCP2" s="88"/>
      <c r="QCQ2" s="88"/>
      <c r="QCR2" s="88"/>
      <c r="QCS2" s="88"/>
      <c r="QCT2" s="88"/>
      <c r="QCU2" s="88"/>
      <c r="QCV2" s="88"/>
      <c r="QCW2" s="88"/>
      <c r="QCX2" s="88"/>
      <c r="QCY2" s="88"/>
      <c r="QCZ2" s="88"/>
      <c r="QDA2" s="88"/>
      <c r="QDB2" s="88"/>
      <c r="QDC2" s="88"/>
      <c r="QDD2" s="88"/>
      <c r="QDE2" s="88"/>
      <c r="QDF2" s="88"/>
      <c r="QDG2" s="88"/>
      <c r="QDH2" s="88"/>
      <c r="QDI2" s="88"/>
      <c r="QDJ2" s="88"/>
      <c r="QDK2" s="88"/>
      <c r="QDL2" s="88"/>
      <c r="QDM2" s="88"/>
      <c r="QDN2" s="88"/>
      <c r="QDO2" s="88"/>
      <c r="QDP2" s="88"/>
      <c r="QDQ2" s="88"/>
      <c r="QDR2" s="88"/>
      <c r="QDS2" s="88"/>
      <c r="QDT2" s="88"/>
      <c r="QDU2" s="88"/>
      <c r="QDV2" s="88"/>
      <c r="QDW2" s="88"/>
      <c r="QDX2" s="88"/>
      <c r="QDY2" s="88"/>
      <c r="QDZ2" s="88"/>
      <c r="QEA2" s="88"/>
      <c r="QEB2" s="88"/>
      <c r="QEC2" s="88"/>
      <c r="QED2" s="88"/>
      <c r="QEE2" s="88"/>
      <c r="QEF2" s="88"/>
      <c r="QEG2" s="88"/>
      <c r="QEH2" s="88"/>
      <c r="QEI2" s="88"/>
      <c r="QEJ2" s="88"/>
      <c r="QEK2" s="88"/>
      <c r="QEL2" s="88"/>
      <c r="QEM2" s="88"/>
      <c r="QEN2" s="88"/>
      <c r="QEO2" s="88"/>
      <c r="QEP2" s="88"/>
      <c r="QEQ2" s="88"/>
      <c r="QER2" s="88"/>
      <c r="QES2" s="88"/>
      <c r="QET2" s="88"/>
      <c r="QEU2" s="88"/>
      <c r="QEV2" s="88"/>
      <c r="QEW2" s="88"/>
      <c r="QEX2" s="88"/>
      <c r="QEY2" s="88"/>
      <c r="QEZ2" s="88"/>
      <c r="QFA2" s="88"/>
      <c r="QFB2" s="88"/>
      <c r="QFC2" s="88"/>
      <c r="QFD2" s="88"/>
      <c r="QFE2" s="88"/>
      <c r="QFF2" s="88"/>
      <c r="QFG2" s="88"/>
      <c r="QFH2" s="88"/>
      <c r="QFI2" s="88"/>
      <c r="QFJ2" s="88"/>
      <c r="QFK2" s="88"/>
      <c r="QFL2" s="88"/>
      <c r="QFM2" s="88"/>
      <c r="QFN2" s="88"/>
      <c r="QFO2" s="88"/>
      <c r="QFP2" s="88"/>
      <c r="QFQ2" s="88"/>
      <c r="QFR2" s="88"/>
      <c r="QFS2" s="88"/>
      <c r="QFT2" s="88"/>
      <c r="QFU2" s="88"/>
      <c r="QFV2" s="88"/>
      <c r="QFW2" s="88"/>
      <c r="QFX2" s="88"/>
      <c r="QFY2" s="88"/>
      <c r="QFZ2" s="88"/>
      <c r="QGA2" s="88"/>
      <c r="QGB2" s="88"/>
      <c r="QGC2" s="88"/>
      <c r="QGD2" s="88"/>
      <c r="QGE2" s="88"/>
      <c r="QGF2" s="88"/>
      <c r="QGG2" s="88"/>
      <c r="QGH2" s="88"/>
      <c r="QGI2" s="88"/>
      <c r="QGJ2" s="88"/>
      <c r="QGK2" s="88"/>
      <c r="QGL2" s="88"/>
      <c r="QGM2" s="88"/>
      <c r="QGN2" s="88"/>
      <c r="QGO2" s="88"/>
      <c r="QGP2" s="88"/>
      <c r="QGQ2" s="88"/>
      <c r="QGR2" s="88"/>
      <c r="QGS2" s="88"/>
      <c r="QGT2" s="88"/>
      <c r="QGU2" s="88"/>
      <c r="QGV2" s="88"/>
      <c r="QGW2" s="88"/>
      <c r="QGX2" s="88"/>
      <c r="QGY2" s="88"/>
      <c r="QGZ2" s="88"/>
      <c r="QHA2" s="88"/>
      <c r="QHB2" s="88"/>
      <c r="QHC2" s="88"/>
      <c r="QHD2" s="88"/>
      <c r="QHE2" s="88"/>
      <c r="QHF2" s="88"/>
      <c r="QHG2" s="88"/>
      <c r="QHH2" s="88"/>
      <c r="QHI2" s="88"/>
      <c r="QHJ2" s="88"/>
      <c r="QHK2" s="88"/>
      <c r="QHL2" s="88"/>
      <c r="QHM2" s="88"/>
      <c r="QHN2" s="88"/>
      <c r="QHO2" s="88"/>
      <c r="QHP2" s="88"/>
      <c r="QHQ2" s="88"/>
      <c r="QHR2" s="88"/>
      <c r="QHS2" s="88"/>
      <c r="QHT2" s="88"/>
      <c r="QHU2" s="88"/>
      <c r="QHV2" s="88"/>
      <c r="QHW2" s="88"/>
      <c r="QHX2" s="88"/>
      <c r="QHY2" s="88"/>
      <c r="QHZ2" s="88"/>
      <c r="QIA2" s="88"/>
      <c r="QIB2" s="88"/>
      <c r="QIC2" s="88"/>
      <c r="QID2" s="88"/>
      <c r="QIE2" s="88"/>
      <c r="QIF2" s="88"/>
      <c r="QIG2" s="88"/>
      <c r="QIH2" s="88"/>
      <c r="QII2" s="88"/>
      <c r="QIJ2" s="88"/>
      <c r="QIK2" s="88"/>
      <c r="QIL2" s="88"/>
      <c r="QIM2" s="88"/>
      <c r="QIN2" s="88"/>
      <c r="QIO2" s="88"/>
      <c r="QIP2" s="88"/>
      <c r="QIQ2" s="88"/>
      <c r="QIR2" s="88"/>
      <c r="QIS2" s="88"/>
      <c r="QIT2" s="88"/>
      <c r="QIU2" s="88"/>
      <c r="QIV2" s="88"/>
      <c r="QIW2" s="88"/>
      <c r="QIX2" s="88"/>
      <c r="QIY2" s="88"/>
      <c r="QIZ2" s="88"/>
      <c r="QJA2" s="88"/>
      <c r="QJB2" s="88"/>
      <c r="QJC2" s="88"/>
      <c r="QJD2" s="88"/>
      <c r="QJE2" s="88"/>
      <c r="QJF2" s="88"/>
      <c r="QJG2" s="88"/>
      <c r="QJH2" s="88"/>
      <c r="QJI2" s="88"/>
      <c r="QJJ2" s="88"/>
      <c r="QJK2" s="88"/>
      <c r="QJL2" s="88"/>
      <c r="QJM2" s="88"/>
      <c r="QJN2" s="88"/>
      <c r="QJO2" s="88"/>
      <c r="QJP2" s="88"/>
      <c r="QJQ2" s="88"/>
      <c r="QJR2" s="88"/>
      <c r="QJS2" s="88"/>
      <c r="QJT2" s="88"/>
      <c r="QJU2" s="88"/>
      <c r="QJV2" s="88"/>
      <c r="QJW2" s="88"/>
      <c r="QJX2" s="88"/>
      <c r="QJY2" s="88"/>
      <c r="QJZ2" s="88"/>
      <c r="QKA2" s="88"/>
      <c r="QKB2" s="88"/>
      <c r="QKC2" s="88"/>
      <c r="QKD2" s="88"/>
      <c r="QKE2" s="88"/>
      <c r="QKF2" s="88"/>
      <c r="QKG2" s="88"/>
      <c r="QKH2" s="88"/>
      <c r="QKI2" s="88"/>
      <c r="QKJ2" s="88"/>
      <c r="QKK2" s="88"/>
      <c r="QKL2" s="88"/>
      <c r="QKM2" s="88"/>
      <c r="QKN2" s="88"/>
      <c r="QKO2" s="88"/>
      <c r="QKP2" s="88"/>
      <c r="QKQ2" s="88"/>
      <c r="QKR2" s="88"/>
      <c r="QKS2" s="88"/>
      <c r="QKT2" s="88"/>
      <c r="QKU2" s="88"/>
      <c r="QKV2" s="88"/>
      <c r="QKW2" s="88"/>
      <c r="QKX2" s="88"/>
      <c r="QKY2" s="88"/>
      <c r="QKZ2" s="88"/>
      <c r="QLA2" s="88"/>
      <c r="QLB2" s="88"/>
      <c r="QLC2" s="88"/>
      <c r="QLD2" s="88"/>
      <c r="QLE2" s="88"/>
      <c r="QLF2" s="88"/>
      <c r="QLG2" s="88"/>
      <c r="QLH2" s="88"/>
      <c r="QLI2" s="88"/>
      <c r="QLJ2" s="88"/>
      <c r="QLK2" s="88"/>
      <c r="QLL2" s="88"/>
      <c r="QLM2" s="88"/>
      <c r="QLN2" s="88"/>
      <c r="QLO2" s="88"/>
      <c r="QLP2" s="88"/>
      <c r="QLQ2" s="88"/>
      <c r="QLR2" s="88"/>
      <c r="QLS2" s="88"/>
      <c r="QLT2" s="88"/>
      <c r="QLU2" s="88"/>
      <c r="QLV2" s="88"/>
      <c r="QLW2" s="88"/>
      <c r="QLX2" s="88"/>
      <c r="QLY2" s="88"/>
      <c r="QLZ2" s="88"/>
      <c r="QMA2" s="88"/>
      <c r="QMB2" s="88"/>
      <c r="QMC2" s="88"/>
      <c r="QMD2" s="88"/>
      <c r="QME2" s="88"/>
      <c r="QMF2" s="88"/>
      <c r="QMG2" s="88"/>
      <c r="QMH2" s="88"/>
      <c r="QMI2" s="88"/>
      <c r="QMJ2" s="88"/>
      <c r="QMK2" s="88"/>
      <c r="QML2" s="88"/>
      <c r="QMM2" s="88"/>
      <c r="QMN2" s="88"/>
      <c r="QMO2" s="88"/>
      <c r="QMP2" s="88"/>
      <c r="QMQ2" s="88"/>
      <c r="QMR2" s="88"/>
      <c r="QMS2" s="88"/>
      <c r="QMT2" s="88"/>
      <c r="QMU2" s="88"/>
      <c r="QMV2" s="88"/>
      <c r="QMW2" s="88"/>
      <c r="QMX2" s="88"/>
      <c r="QMY2" s="88"/>
      <c r="QMZ2" s="88"/>
      <c r="QNA2" s="88"/>
      <c r="QNB2" s="88"/>
      <c r="QNC2" s="88"/>
      <c r="QND2" s="88"/>
      <c r="QNE2" s="88"/>
      <c r="QNF2" s="88"/>
      <c r="QNG2" s="88"/>
      <c r="QNH2" s="88"/>
      <c r="QNI2" s="88"/>
      <c r="QNJ2" s="88"/>
      <c r="QNK2" s="88"/>
      <c r="QNL2" s="88"/>
      <c r="QNM2" s="88"/>
      <c r="QNN2" s="88"/>
      <c r="QNO2" s="88"/>
      <c r="QNP2" s="88"/>
      <c r="QNQ2" s="88"/>
      <c r="QNR2" s="88"/>
      <c r="QNS2" s="88"/>
      <c r="QNT2" s="88"/>
      <c r="QNU2" s="88"/>
      <c r="QNV2" s="88"/>
      <c r="QNW2" s="88"/>
      <c r="QNX2" s="88"/>
      <c r="QNY2" s="88"/>
      <c r="QNZ2" s="88"/>
      <c r="QOA2" s="88"/>
      <c r="QOB2" s="88"/>
      <c r="QOC2" s="88"/>
      <c r="QOD2" s="88"/>
      <c r="QOE2" s="88"/>
      <c r="QOF2" s="88"/>
      <c r="QOG2" s="88"/>
      <c r="QOH2" s="88"/>
      <c r="QOI2" s="88"/>
      <c r="QOJ2" s="88"/>
      <c r="QOK2" s="88"/>
      <c r="QOL2" s="88"/>
      <c r="QOM2" s="88"/>
      <c r="QON2" s="88"/>
      <c r="QOO2" s="88"/>
      <c r="QOP2" s="88"/>
      <c r="QOQ2" s="88"/>
      <c r="QOR2" s="88"/>
      <c r="QOS2" s="88"/>
      <c r="QOT2" s="88"/>
      <c r="QOU2" s="88"/>
      <c r="QOV2" s="88"/>
      <c r="QOW2" s="88"/>
      <c r="QOX2" s="88"/>
      <c r="QOY2" s="88"/>
      <c r="QOZ2" s="88"/>
      <c r="QPA2" s="88"/>
      <c r="QPB2" s="88"/>
      <c r="QPC2" s="88"/>
      <c r="QPD2" s="88"/>
      <c r="QPE2" s="88"/>
      <c r="QPF2" s="88"/>
      <c r="QPG2" s="88"/>
      <c r="QPH2" s="88"/>
      <c r="QPI2" s="88"/>
      <c r="QPJ2" s="88"/>
      <c r="QPK2" s="88"/>
      <c r="QPL2" s="88"/>
      <c r="QPM2" s="88"/>
      <c r="QPN2" s="88"/>
      <c r="QPO2" s="88"/>
      <c r="QPP2" s="88"/>
      <c r="QPQ2" s="88"/>
      <c r="QPR2" s="88"/>
      <c r="QPS2" s="88"/>
      <c r="QPT2" s="88"/>
      <c r="QPU2" s="88"/>
      <c r="QPV2" s="88"/>
      <c r="QPW2" s="88"/>
      <c r="QPX2" s="88"/>
      <c r="QPY2" s="88"/>
      <c r="QPZ2" s="88"/>
      <c r="QQA2" s="88"/>
      <c r="QQB2" s="88"/>
      <c r="QQC2" s="88"/>
      <c r="QQD2" s="88"/>
      <c r="QQE2" s="88"/>
      <c r="QQF2" s="88"/>
      <c r="QQG2" s="88"/>
      <c r="QQH2" s="88"/>
      <c r="QQI2" s="88"/>
      <c r="QQJ2" s="88"/>
      <c r="QQK2" s="88"/>
      <c r="QQL2" s="88"/>
      <c r="QQM2" s="88"/>
      <c r="QQN2" s="88"/>
      <c r="QQO2" s="88"/>
      <c r="QQP2" s="88"/>
      <c r="QQQ2" s="88"/>
      <c r="QQR2" s="88"/>
      <c r="QQS2" s="88"/>
      <c r="QQT2" s="88"/>
      <c r="QQU2" s="88"/>
      <c r="QQV2" s="88"/>
      <c r="QQW2" s="88"/>
      <c r="QQX2" s="88"/>
      <c r="QQY2" s="88"/>
      <c r="QQZ2" s="88"/>
      <c r="QRA2" s="88"/>
      <c r="QRB2" s="88"/>
      <c r="QRC2" s="88"/>
      <c r="QRD2" s="88"/>
      <c r="QRE2" s="88"/>
      <c r="QRF2" s="88"/>
      <c r="QRG2" s="88"/>
      <c r="QRH2" s="88"/>
      <c r="QRI2" s="88"/>
      <c r="QRJ2" s="88"/>
      <c r="QRK2" s="88"/>
      <c r="QRL2" s="88"/>
      <c r="QRM2" s="88"/>
      <c r="QRN2" s="88"/>
      <c r="QRO2" s="88"/>
      <c r="QRP2" s="88"/>
      <c r="QRQ2" s="88"/>
      <c r="QRR2" s="88"/>
      <c r="QRS2" s="88"/>
      <c r="QRT2" s="88"/>
      <c r="QRU2" s="88"/>
      <c r="QRV2" s="88"/>
      <c r="QRW2" s="88"/>
      <c r="QRX2" s="88"/>
      <c r="QRY2" s="88"/>
      <c r="QRZ2" s="88"/>
      <c r="QSA2" s="88"/>
      <c r="QSB2" s="88"/>
      <c r="QSC2" s="88"/>
      <c r="QSD2" s="88"/>
      <c r="QSE2" s="88"/>
      <c r="QSF2" s="88"/>
      <c r="QSG2" s="88"/>
      <c r="QSH2" s="88"/>
      <c r="QSI2" s="88"/>
      <c r="QSJ2" s="88"/>
      <c r="QSK2" s="88"/>
      <c r="QSL2" s="88"/>
      <c r="QSM2" s="88"/>
      <c r="QSN2" s="88"/>
      <c r="QSO2" s="88"/>
      <c r="QSP2" s="88"/>
      <c r="QSQ2" s="88"/>
      <c r="QSR2" s="88"/>
      <c r="QSS2" s="88"/>
      <c r="QST2" s="88"/>
      <c r="QSU2" s="88"/>
      <c r="QSV2" s="88"/>
      <c r="QSW2" s="88"/>
      <c r="QSX2" s="88"/>
      <c r="QSY2" s="88"/>
      <c r="QSZ2" s="88"/>
      <c r="QTA2" s="88"/>
      <c r="QTB2" s="88"/>
      <c r="QTC2" s="88"/>
      <c r="QTD2" s="88"/>
      <c r="QTE2" s="88"/>
      <c r="QTF2" s="88"/>
      <c r="QTG2" s="88"/>
      <c r="QTH2" s="88"/>
      <c r="QTI2" s="88"/>
      <c r="QTJ2" s="88"/>
      <c r="QTK2" s="88"/>
      <c r="QTL2" s="88"/>
      <c r="QTM2" s="88"/>
      <c r="QTN2" s="88"/>
      <c r="QTO2" s="88"/>
      <c r="QTP2" s="88"/>
      <c r="QTQ2" s="88"/>
      <c r="QTR2" s="88"/>
      <c r="QTS2" s="88"/>
      <c r="QTT2" s="88"/>
      <c r="QTU2" s="88"/>
      <c r="QTV2" s="88"/>
      <c r="QTW2" s="88"/>
      <c r="QTX2" s="88"/>
      <c r="QTY2" s="88"/>
      <c r="QTZ2" s="88"/>
      <c r="QUA2" s="88"/>
      <c r="QUB2" s="88"/>
      <c r="QUC2" s="88"/>
      <c r="QUD2" s="88"/>
      <c r="QUE2" s="88"/>
      <c r="QUF2" s="88"/>
      <c r="QUG2" s="88"/>
      <c r="QUH2" s="88"/>
      <c r="QUI2" s="88"/>
      <c r="QUJ2" s="88"/>
      <c r="QUK2" s="88"/>
      <c r="QUL2" s="88"/>
      <c r="QUM2" s="88"/>
      <c r="QUN2" s="88"/>
      <c r="QUO2" s="88"/>
      <c r="QUP2" s="88"/>
      <c r="QUQ2" s="88"/>
      <c r="QUR2" s="88"/>
      <c r="QUS2" s="88"/>
      <c r="QUT2" s="88"/>
      <c r="QUU2" s="88"/>
      <c r="QUV2" s="88"/>
      <c r="QUW2" s="88"/>
      <c r="QUX2" s="88"/>
      <c r="QUY2" s="88"/>
      <c r="QUZ2" s="88"/>
      <c r="QVA2" s="88"/>
      <c r="QVB2" s="88"/>
      <c r="QVC2" s="88"/>
      <c r="QVD2" s="88"/>
      <c r="QVE2" s="88"/>
      <c r="QVF2" s="88"/>
      <c r="QVG2" s="88"/>
      <c r="QVH2" s="88"/>
      <c r="QVI2" s="88"/>
      <c r="QVJ2" s="88"/>
      <c r="QVK2" s="88"/>
      <c r="QVL2" s="88"/>
      <c r="QVM2" s="88"/>
      <c r="QVN2" s="88"/>
      <c r="QVO2" s="88"/>
      <c r="QVP2" s="88"/>
      <c r="QVQ2" s="88"/>
      <c r="QVR2" s="88"/>
      <c r="QVS2" s="88"/>
      <c r="QVT2" s="88"/>
      <c r="QVU2" s="88"/>
      <c r="QVV2" s="88"/>
      <c r="QVW2" s="88"/>
      <c r="QVX2" s="88"/>
      <c r="QVY2" s="88"/>
      <c r="QVZ2" s="88"/>
      <c r="QWA2" s="88"/>
      <c r="QWB2" s="88"/>
      <c r="QWC2" s="88"/>
      <c r="QWD2" s="88"/>
      <c r="QWE2" s="88"/>
      <c r="QWF2" s="88"/>
      <c r="QWG2" s="88"/>
      <c r="QWH2" s="88"/>
      <c r="QWI2" s="88"/>
      <c r="QWJ2" s="88"/>
      <c r="QWK2" s="88"/>
      <c r="QWL2" s="88"/>
      <c r="QWM2" s="88"/>
      <c r="QWN2" s="88"/>
      <c r="QWO2" s="88"/>
      <c r="QWP2" s="88"/>
      <c r="QWQ2" s="88"/>
      <c r="QWR2" s="88"/>
      <c r="QWS2" s="88"/>
      <c r="QWT2" s="88"/>
      <c r="QWU2" s="88"/>
      <c r="QWV2" s="88"/>
      <c r="QWW2" s="88"/>
      <c r="QWX2" s="88"/>
      <c r="QWY2" s="88"/>
      <c r="QWZ2" s="88"/>
      <c r="QXA2" s="88"/>
      <c r="QXB2" s="88"/>
      <c r="QXC2" s="88"/>
      <c r="QXD2" s="88"/>
      <c r="QXE2" s="88"/>
      <c r="QXF2" s="88"/>
      <c r="QXG2" s="88"/>
      <c r="QXH2" s="88"/>
      <c r="QXI2" s="88"/>
      <c r="QXJ2" s="88"/>
      <c r="QXK2" s="88"/>
      <c r="QXL2" s="88"/>
      <c r="QXM2" s="88"/>
      <c r="QXN2" s="88"/>
      <c r="QXO2" s="88"/>
      <c r="QXP2" s="88"/>
      <c r="QXQ2" s="88"/>
      <c r="QXR2" s="88"/>
      <c r="QXS2" s="88"/>
      <c r="QXT2" s="88"/>
      <c r="QXU2" s="88"/>
      <c r="QXV2" s="88"/>
      <c r="QXW2" s="88"/>
      <c r="QXX2" s="88"/>
      <c r="QXY2" s="88"/>
      <c r="QXZ2" s="88"/>
      <c r="QYA2" s="88"/>
      <c r="QYB2" s="88"/>
      <c r="QYC2" s="88"/>
      <c r="QYD2" s="88"/>
      <c r="QYE2" s="88"/>
      <c r="QYF2" s="88"/>
      <c r="QYG2" s="88"/>
      <c r="QYH2" s="88"/>
      <c r="QYI2" s="88"/>
      <c r="QYJ2" s="88"/>
      <c r="QYK2" s="88"/>
      <c r="QYL2" s="88"/>
      <c r="QYM2" s="88"/>
      <c r="QYN2" s="88"/>
      <c r="QYO2" s="88"/>
      <c r="QYP2" s="88"/>
      <c r="QYQ2" s="88"/>
      <c r="QYR2" s="88"/>
      <c r="QYS2" s="88"/>
      <c r="QYT2" s="88"/>
      <c r="QYU2" s="88"/>
      <c r="QYV2" s="88"/>
      <c r="QYW2" s="88"/>
      <c r="QYX2" s="88"/>
      <c r="QYY2" s="88"/>
      <c r="QYZ2" s="88"/>
      <c r="QZA2" s="88"/>
      <c r="QZB2" s="88"/>
      <c r="QZC2" s="88"/>
      <c r="QZD2" s="88"/>
      <c r="QZE2" s="88"/>
      <c r="QZF2" s="88"/>
      <c r="QZG2" s="88"/>
      <c r="QZH2" s="88"/>
      <c r="QZI2" s="88"/>
      <c r="QZJ2" s="88"/>
      <c r="QZK2" s="88"/>
      <c r="QZL2" s="88"/>
      <c r="QZM2" s="88"/>
      <c r="QZN2" s="88"/>
      <c r="QZO2" s="88"/>
      <c r="QZP2" s="88"/>
      <c r="QZQ2" s="88"/>
      <c r="QZR2" s="88"/>
      <c r="QZS2" s="88"/>
      <c r="QZT2" s="88"/>
      <c r="QZU2" s="88"/>
      <c r="QZV2" s="88"/>
      <c r="QZW2" s="88"/>
      <c r="QZX2" s="88"/>
      <c r="QZY2" s="88"/>
      <c r="QZZ2" s="88"/>
      <c r="RAA2" s="88"/>
      <c r="RAB2" s="88"/>
      <c r="RAC2" s="88"/>
      <c r="RAD2" s="88"/>
      <c r="RAE2" s="88"/>
      <c r="RAF2" s="88"/>
      <c r="RAG2" s="88"/>
      <c r="RAH2" s="88"/>
      <c r="RAI2" s="88"/>
      <c r="RAJ2" s="88"/>
      <c r="RAK2" s="88"/>
      <c r="RAL2" s="88"/>
      <c r="RAM2" s="88"/>
      <c r="RAN2" s="88"/>
      <c r="RAO2" s="88"/>
      <c r="RAP2" s="88"/>
      <c r="RAQ2" s="88"/>
      <c r="RAR2" s="88"/>
      <c r="RAS2" s="88"/>
      <c r="RAT2" s="88"/>
      <c r="RAU2" s="88"/>
      <c r="RAV2" s="88"/>
      <c r="RAW2" s="88"/>
      <c r="RAX2" s="88"/>
      <c r="RAY2" s="88"/>
      <c r="RAZ2" s="88"/>
      <c r="RBA2" s="88"/>
      <c r="RBB2" s="88"/>
      <c r="RBC2" s="88"/>
      <c r="RBD2" s="88"/>
      <c r="RBE2" s="88"/>
      <c r="RBF2" s="88"/>
      <c r="RBG2" s="88"/>
      <c r="RBH2" s="88"/>
      <c r="RBI2" s="88"/>
      <c r="RBJ2" s="88"/>
      <c r="RBK2" s="88"/>
      <c r="RBL2" s="88"/>
      <c r="RBM2" s="88"/>
      <c r="RBN2" s="88"/>
      <c r="RBO2" s="88"/>
      <c r="RBP2" s="88"/>
      <c r="RBQ2" s="88"/>
      <c r="RBR2" s="88"/>
      <c r="RBS2" s="88"/>
      <c r="RBT2" s="88"/>
      <c r="RBU2" s="88"/>
      <c r="RBV2" s="88"/>
      <c r="RBW2" s="88"/>
      <c r="RBX2" s="88"/>
      <c r="RBY2" s="88"/>
      <c r="RBZ2" s="88"/>
      <c r="RCA2" s="88"/>
      <c r="RCB2" s="88"/>
      <c r="RCC2" s="88"/>
      <c r="RCD2" s="88"/>
      <c r="RCE2" s="88"/>
      <c r="RCF2" s="88"/>
      <c r="RCG2" s="88"/>
      <c r="RCH2" s="88"/>
      <c r="RCI2" s="88"/>
      <c r="RCJ2" s="88"/>
      <c r="RCK2" s="88"/>
      <c r="RCL2" s="88"/>
      <c r="RCM2" s="88"/>
      <c r="RCN2" s="88"/>
      <c r="RCO2" s="88"/>
      <c r="RCP2" s="88"/>
      <c r="RCQ2" s="88"/>
      <c r="RCR2" s="88"/>
      <c r="RCS2" s="88"/>
      <c r="RCT2" s="88"/>
      <c r="RCU2" s="88"/>
      <c r="RCV2" s="88"/>
      <c r="RCW2" s="88"/>
      <c r="RCX2" s="88"/>
      <c r="RCY2" s="88"/>
      <c r="RCZ2" s="88"/>
      <c r="RDA2" s="88"/>
      <c r="RDB2" s="88"/>
      <c r="RDC2" s="88"/>
      <c r="RDD2" s="88"/>
      <c r="RDE2" s="88"/>
      <c r="RDF2" s="88"/>
      <c r="RDG2" s="88"/>
      <c r="RDH2" s="88"/>
      <c r="RDI2" s="88"/>
      <c r="RDJ2" s="88"/>
      <c r="RDK2" s="88"/>
      <c r="RDL2" s="88"/>
      <c r="RDM2" s="88"/>
      <c r="RDN2" s="88"/>
      <c r="RDO2" s="88"/>
      <c r="RDP2" s="88"/>
      <c r="RDQ2" s="88"/>
      <c r="RDR2" s="88"/>
      <c r="RDS2" s="88"/>
      <c r="RDT2" s="88"/>
      <c r="RDU2" s="88"/>
      <c r="RDV2" s="88"/>
      <c r="RDW2" s="88"/>
      <c r="RDX2" s="88"/>
      <c r="RDY2" s="88"/>
      <c r="RDZ2" s="88"/>
      <c r="REA2" s="88"/>
      <c r="REB2" s="88"/>
      <c r="REC2" s="88"/>
      <c r="RED2" s="88"/>
      <c r="REE2" s="88"/>
      <c r="REF2" s="88"/>
      <c r="REG2" s="88"/>
      <c r="REH2" s="88"/>
      <c r="REI2" s="88"/>
      <c r="REJ2" s="88"/>
      <c r="REK2" s="88"/>
      <c r="REL2" s="88"/>
      <c r="REM2" s="88"/>
      <c r="REN2" s="88"/>
      <c r="REO2" s="88"/>
      <c r="REP2" s="88"/>
      <c r="REQ2" s="88"/>
      <c r="RER2" s="88"/>
      <c r="RES2" s="88"/>
      <c r="RET2" s="88"/>
      <c r="REU2" s="88"/>
      <c r="REV2" s="88"/>
      <c r="REW2" s="88"/>
      <c r="REX2" s="88"/>
      <c r="REY2" s="88"/>
      <c r="REZ2" s="88"/>
      <c r="RFA2" s="88"/>
      <c r="RFB2" s="88"/>
      <c r="RFC2" s="88"/>
      <c r="RFD2" s="88"/>
      <c r="RFE2" s="88"/>
      <c r="RFF2" s="88"/>
      <c r="RFG2" s="88"/>
      <c r="RFH2" s="88"/>
      <c r="RFI2" s="88"/>
      <c r="RFJ2" s="88"/>
      <c r="RFK2" s="88"/>
      <c r="RFL2" s="88"/>
      <c r="RFM2" s="88"/>
      <c r="RFN2" s="88"/>
      <c r="RFO2" s="88"/>
      <c r="RFP2" s="88"/>
      <c r="RFQ2" s="88"/>
      <c r="RFR2" s="88"/>
      <c r="RFS2" s="88"/>
      <c r="RFT2" s="88"/>
      <c r="RFU2" s="88"/>
      <c r="RFV2" s="88"/>
      <c r="RFW2" s="88"/>
      <c r="RFX2" s="88"/>
      <c r="RFY2" s="88"/>
      <c r="RFZ2" s="88"/>
      <c r="RGA2" s="88"/>
      <c r="RGB2" s="88"/>
      <c r="RGC2" s="88"/>
      <c r="RGD2" s="88"/>
      <c r="RGE2" s="88"/>
      <c r="RGF2" s="88"/>
      <c r="RGG2" s="88"/>
      <c r="RGH2" s="88"/>
      <c r="RGI2" s="88"/>
      <c r="RGJ2" s="88"/>
      <c r="RGK2" s="88"/>
      <c r="RGL2" s="88"/>
      <c r="RGM2" s="88"/>
      <c r="RGN2" s="88"/>
      <c r="RGO2" s="88"/>
      <c r="RGP2" s="88"/>
      <c r="RGQ2" s="88"/>
      <c r="RGR2" s="88"/>
      <c r="RGS2" s="88"/>
      <c r="RGT2" s="88"/>
      <c r="RGU2" s="88"/>
      <c r="RGV2" s="88"/>
      <c r="RGW2" s="88"/>
      <c r="RGX2" s="88"/>
      <c r="RGY2" s="88"/>
      <c r="RGZ2" s="88"/>
      <c r="RHA2" s="88"/>
      <c r="RHB2" s="88"/>
      <c r="RHC2" s="88"/>
      <c r="RHD2" s="88"/>
      <c r="RHE2" s="88"/>
      <c r="RHF2" s="88"/>
      <c r="RHG2" s="88"/>
      <c r="RHH2" s="88"/>
      <c r="RHI2" s="88"/>
      <c r="RHJ2" s="88"/>
      <c r="RHK2" s="88"/>
      <c r="RHL2" s="88"/>
      <c r="RHM2" s="88"/>
      <c r="RHN2" s="88"/>
      <c r="RHO2" s="88"/>
      <c r="RHP2" s="88"/>
      <c r="RHQ2" s="88"/>
      <c r="RHR2" s="88"/>
      <c r="RHS2" s="88"/>
      <c r="RHT2" s="88"/>
      <c r="RHU2" s="88"/>
      <c r="RHV2" s="88"/>
      <c r="RHW2" s="88"/>
      <c r="RHX2" s="88"/>
      <c r="RHY2" s="88"/>
      <c r="RHZ2" s="88"/>
      <c r="RIA2" s="88"/>
      <c r="RIB2" s="88"/>
      <c r="RIC2" s="88"/>
      <c r="RID2" s="88"/>
      <c r="RIE2" s="88"/>
      <c r="RIF2" s="88"/>
      <c r="RIG2" s="88"/>
      <c r="RIH2" s="88"/>
      <c r="RII2" s="88"/>
      <c r="RIJ2" s="88"/>
      <c r="RIK2" s="88"/>
      <c r="RIL2" s="88"/>
      <c r="RIM2" s="88"/>
      <c r="RIN2" s="88"/>
      <c r="RIO2" s="88"/>
      <c r="RIP2" s="88"/>
      <c r="RIQ2" s="88"/>
      <c r="RIR2" s="88"/>
      <c r="RIS2" s="88"/>
      <c r="RIT2" s="88"/>
      <c r="RIU2" s="88"/>
      <c r="RIV2" s="88"/>
      <c r="RIW2" s="88"/>
      <c r="RIX2" s="88"/>
      <c r="RIY2" s="88"/>
      <c r="RIZ2" s="88"/>
      <c r="RJA2" s="88"/>
      <c r="RJB2" s="88"/>
      <c r="RJC2" s="88"/>
      <c r="RJD2" s="88"/>
      <c r="RJE2" s="88"/>
      <c r="RJF2" s="88"/>
      <c r="RJG2" s="88"/>
      <c r="RJH2" s="88"/>
      <c r="RJI2" s="88"/>
      <c r="RJJ2" s="88"/>
      <c r="RJK2" s="88"/>
      <c r="RJL2" s="88"/>
      <c r="RJM2" s="88"/>
      <c r="RJN2" s="88"/>
      <c r="RJO2" s="88"/>
      <c r="RJP2" s="88"/>
      <c r="RJQ2" s="88"/>
      <c r="RJR2" s="88"/>
      <c r="RJS2" s="88"/>
      <c r="RJT2" s="88"/>
      <c r="RJU2" s="88"/>
      <c r="RJV2" s="88"/>
      <c r="RJW2" s="88"/>
      <c r="RJX2" s="88"/>
      <c r="RJY2" s="88"/>
      <c r="RJZ2" s="88"/>
      <c r="RKA2" s="88"/>
      <c r="RKB2" s="88"/>
      <c r="RKC2" s="88"/>
      <c r="RKD2" s="88"/>
      <c r="RKE2" s="88"/>
      <c r="RKF2" s="88"/>
      <c r="RKG2" s="88"/>
      <c r="RKH2" s="88"/>
      <c r="RKI2" s="88"/>
      <c r="RKJ2" s="88"/>
      <c r="RKK2" s="88"/>
      <c r="RKL2" s="88"/>
      <c r="RKM2" s="88"/>
      <c r="RKN2" s="88"/>
      <c r="RKO2" s="88"/>
      <c r="RKP2" s="88"/>
      <c r="RKQ2" s="88"/>
      <c r="RKR2" s="88"/>
      <c r="RKS2" s="88"/>
      <c r="RKT2" s="88"/>
      <c r="RKU2" s="88"/>
      <c r="RKV2" s="88"/>
      <c r="RKW2" s="88"/>
      <c r="RKX2" s="88"/>
      <c r="RKY2" s="88"/>
      <c r="RKZ2" s="88"/>
      <c r="RLA2" s="88"/>
      <c r="RLB2" s="88"/>
      <c r="RLC2" s="88"/>
      <c r="RLD2" s="88"/>
      <c r="RLE2" s="88"/>
      <c r="RLF2" s="88"/>
      <c r="RLG2" s="88"/>
      <c r="RLH2" s="88"/>
      <c r="RLI2" s="88"/>
      <c r="RLJ2" s="88"/>
      <c r="RLK2" s="88"/>
      <c r="RLL2" s="88"/>
      <c r="RLM2" s="88"/>
      <c r="RLN2" s="88"/>
      <c r="RLO2" s="88"/>
      <c r="RLP2" s="88"/>
      <c r="RLQ2" s="88"/>
      <c r="RLR2" s="88"/>
      <c r="RLS2" s="88"/>
      <c r="RLT2" s="88"/>
      <c r="RLU2" s="88"/>
      <c r="RLV2" s="88"/>
      <c r="RLW2" s="88"/>
      <c r="RLX2" s="88"/>
      <c r="RLY2" s="88"/>
      <c r="RLZ2" s="88"/>
      <c r="RMA2" s="88"/>
      <c r="RMB2" s="88"/>
      <c r="RMC2" s="88"/>
      <c r="RMD2" s="88"/>
      <c r="RME2" s="88"/>
      <c r="RMF2" s="88"/>
      <c r="RMG2" s="88"/>
      <c r="RMH2" s="88"/>
      <c r="RMI2" s="88"/>
      <c r="RMJ2" s="88"/>
      <c r="RMK2" s="88"/>
      <c r="RML2" s="88"/>
      <c r="RMM2" s="88"/>
      <c r="RMN2" s="88"/>
      <c r="RMO2" s="88"/>
      <c r="RMP2" s="88"/>
      <c r="RMQ2" s="88"/>
      <c r="RMR2" s="88"/>
      <c r="RMS2" s="88"/>
      <c r="RMT2" s="88"/>
      <c r="RMU2" s="88"/>
      <c r="RMV2" s="88"/>
      <c r="RMW2" s="88"/>
      <c r="RMX2" s="88"/>
      <c r="RMY2" s="88"/>
      <c r="RMZ2" s="88"/>
      <c r="RNA2" s="88"/>
      <c r="RNB2" s="88"/>
      <c r="RNC2" s="88"/>
      <c r="RND2" s="88"/>
      <c r="RNE2" s="88"/>
      <c r="RNF2" s="88"/>
      <c r="RNG2" s="88"/>
      <c r="RNH2" s="88"/>
      <c r="RNI2" s="88"/>
      <c r="RNJ2" s="88"/>
      <c r="RNK2" s="88"/>
      <c r="RNL2" s="88"/>
      <c r="RNM2" s="88"/>
      <c r="RNN2" s="88"/>
      <c r="RNO2" s="88"/>
      <c r="RNP2" s="88"/>
      <c r="RNQ2" s="88"/>
      <c r="RNR2" s="88"/>
      <c r="RNS2" s="88"/>
      <c r="RNT2" s="88"/>
      <c r="RNU2" s="88"/>
      <c r="RNV2" s="88"/>
      <c r="RNW2" s="88"/>
      <c r="RNX2" s="88"/>
      <c r="RNY2" s="88"/>
      <c r="RNZ2" s="88"/>
      <c r="ROA2" s="88"/>
      <c r="ROB2" s="88"/>
      <c r="ROC2" s="88"/>
      <c r="ROD2" s="88"/>
      <c r="ROE2" s="88"/>
      <c r="ROF2" s="88"/>
      <c r="ROG2" s="88"/>
      <c r="ROH2" s="88"/>
      <c r="ROI2" s="88"/>
      <c r="ROJ2" s="88"/>
      <c r="ROK2" s="88"/>
      <c r="ROL2" s="88"/>
      <c r="ROM2" s="88"/>
      <c r="RON2" s="88"/>
      <c r="ROO2" s="88"/>
      <c r="ROP2" s="88"/>
      <c r="ROQ2" s="88"/>
      <c r="ROR2" s="88"/>
      <c r="ROS2" s="88"/>
      <c r="ROT2" s="88"/>
      <c r="ROU2" s="88"/>
      <c r="ROV2" s="88"/>
      <c r="ROW2" s="88"/>
      <c r="ROX2" s="88"/>
      <c r="ROY2" s="88"/>
      <c r="ROZ2" s="88"/>
      <c r="RPA2" s="88"/>
      <c r="RPB2" s="88"/>
      <c r="RPC2" s="88"/>
      <c r="RPD2" s="88"/>
      <c r="RPE2" s="88"/>
      <c r="RPF2" s="88"/>
      <c r="RPG2" s="88"/>
      <c r="RPH2" s="88"/>
      <c r="RPI2" s="88"/>
      <c r="RPJ2" s="88"/>
      <c r="RPK2" s="88"/>
      <c r="RPL2" s="88"/>
      <c r="RPM2" s="88"/>
      <c r="RPN2" s="88"/>
      <c r="RPO2" s="88"/>
      <c r="RPP2" s="88"/>
      <c r="RPQ2" s="88"/>
      <c r="RPR2" s="88"/>
      <c r="RPS2" s="88"/>
      <c r="RPT2" s="88"/>
      <c r="RPU2" s="88"/>
      <c r="RPV2" s="88"/>
      <c r="RPW2" s="88"/>
      <c r="RPX2" s="88"/>
      <c r="RPY2" s="88"/>
      <c r="RPZ2" s="88"/>
      <c r="RQA2" s="88"/>
      <c r="RQB2" s="88"/>
      <c r="RQC2" s="88"/>
      <c r="RQD2" s="88"/>
      <c r="RQE2" s="88"/>
      <c r="RQF2" s="88"/>
      <c r="RQG2" s="88"/>
      <c r="RQH2" s="88"/>
      <c r="RQI2" s="88"/>
      <c r="RQJ2" s="88"/>
      <c r="RQK2" s="88"/>
      <c r="RQL2" s="88"/>
      <c r="RQM2" s="88"/>
      <c r="RQN2" s="88"/>
      <c r="RQO2" s="88"/>
      <c r="RQP2" s="88"/>
      <c r="RQQ2" s="88"/>
      <c r="RQR2" s="88"/>
      <c r="RQS2" s="88"/>
      <c r="RQT2" s="88"/>
      <c r="RQU2" s="88"/>
      <c r="RQV2" s="88"/>
      <c r="RQW2" s="88"/>
      <c r="RQX2" s="88"/>
      <c r="RQY2" s="88"/>
      <c r="RQZ2" s="88"/>
      <c r="RRA2" s="88"/>
      <c r="RRB2" s="88"/>
      <c r="RRC2" s="88"/>
      <c r="RRD2" s="88"/>
      <c r="RRE2" s="88"/>
      <c r="RRF2" s="88"/>
      <c r="RRG2" s="88"/>
      <c r="RRH2" s="88"/>
      <c r="RRI2" s="88"/>
      <c r="RRJ2" s="88"/>
      <c r="RRK2" s="88"/>
      <c r="RRL2" s="88"/>
      <c r="RRM2" s="88"/>
      <c r="RRN2" s="88"/>
      <c r="RRO2" s="88"/>
      <c r="RRP2" s="88"/>
      <c r="RRQ2" s="88"/>
      <c r="RRR2" s="88"/>
      <c r="RRS2" s="88"/>
      <c r="RRT2" s="88"/>
      <c r="RRU2" s="88"/>
      <c r="RRV2" s="88"/>
      <c r="RRW2" s="88"/>
      <c r="RRX2" s="88"/>
      <c r="RRY2" s="88"/>
      <c r="RRZ2" s="88"/>
      <c r="RSA2" s="88"/>
      <c r="RSB2" s="88"/>
      <c r="RSC2" s="88"/>
      <c r="RSD2" s="88"/>
      <c r="RSE2" s="88"/>
      <c r="RSF2" s="88"/>
      <c r="RSG2" s="88"/>
      <c r="RSH2" s="88"/>
      <c r="RSI2" s="88"/>
      <c r="RSJ2" s="88"/>
      <c r="RSK2" s="88"/>
      <c r="RSL2" s="88"/>
      <c r="RSM2" s="88"/>
      <c r="RSN2" s="88"/>
      <c r="RSO2" s="88"/>
      <c r="RSP2" s="88"/>
      <c r="RSQ2" s="88"/>
      <c r="RSR2" s="88"/>
      <c r="RSS2" s="88"/>
      <c r="RST2" s="88"/>
      <c r="RSU2" s="88"/>
      <c r="RSV2" s="88"/>
      <c r="RSW2" s="88"/>
      <c r="RSX2" s="88"/>
      <c r="RSY2" s="88"/>
      <c r="RSZ2" s="88"/>
      <c r="RTA2" s="88"/>
      <c r="RTB2" s="88"/>
      <c r="RTC2" s="88"/>
      <c r="RTD2" s="88"/>
      <c r="RTE2" s="88"/>
      <c r="RTF2" s="88"/>
      <c r="RTG2" s="88"/>
      <c r="RTH2" s="88"/>
      <c r="RTI2" s="88"/>
      <c r="RTJ2" s="88"/>
      <c r="RTK2" s="88"/>
      <c r="RTL2" s="88"/>
      <c r="RTM2" s="88"/>
      <c r="RTN2" s="88"/>
      <c r="RTO2" s="88"/>
      <c r="RTP2" s="88"/>
      <c r="RTQ2" s="88"/>
      <c r="RTR2" s="88"/>
      <c r="RTS2" s="88"/>
      <c r="RTT2" s="88"/>
      <c r="RTU2" s="88"/>
      <c r="RTV2" s="88"/>
      <c r="RTW2" s="88"/>
      <c r="RTX2" s="88"/>
      <c r="RTY2" s="88"/>
      <c r="RTZ2" s="88"/>
      <c r="RUA2" s="88"/>
      <c r="RUB2" s="88"/>
      <c r="RUC2" s="88"/>
      <c r="RUD2" s="88"/>
      <c r="RUE2" s="88"/>
      <c r="RUF2" s="88"/>
      <c r="RUG2" s="88"/>
      <c r="RUH2" s="88"/>
      <c r="RUI2" s="88"/>
      <c r="RUJ2" s="88"/>
      <c r="RUK2" s="88"/>
      <c r="RUL2" s="88"/>
      <c r="RUM2" s="88"/>
      <c r="RUN2" s="88"/>
      <c r="RUO2" s="88"/>
      <c r="RUP2" s="88"/>
      <c r="RUQ2" s="88"/>
      <c r="RUR2" s="88"/>
      <c r="RUS2" s="88"/>
      <c r="RUT2" s="88"/>
      <c r="RUU2" s="88"/>
      <c r="RUV2" s="88"/>
      <c r="RUW2" s="88"/>
      <c r="RUX2" s="88"/>
      <c r="RUY2" s="88"/>
      <c r="RUZ2" s="88"/>
      <c r="RVA2" s="88"/>
      <c r="RVB2" s="88"/>
      <c r="RVC2" s="88"/>
      <c r="RVD2" s="88"/>
      <c r="RVE2" s="88"/>
      <c r="RVF2" s="88"/>
      <c r="RVG2" s="88"/>
      <c r="RVH2" s="88"/>
      <c r="RVI2" s="88"/>
      <c r="RVJ2" s="88"/>
      <c r="RVK2" s="88"/>
      <c r="RVL2" s="88"/>
      <c r="RVM2" s="88"/>
      <c r="RVN2" s="88"/>
      <c r="RVO2" s="88"/>
      <c r="RVP2" s="88"/>
      <c r="RVQ2" s="88"/>
      <c r="RVR2" s="88"/>
      <c r="RVS2" s="88"/>
      <c r="RVT2" s="88"/>
      <c r="RVU2" s="88"/>
      <c r="RVV2" s="88"/>
      <c r="RVW2" s="88"/>
      <c r="RVX2" s="88"/>
      <c r="RVY2" s="88"/>
      <c r="RVZ2" s="88"/>
      <c r="RWA2" s="88"/>
      <c r="RWB2" s="88"/>
      <c r="RWC2" s="88"/>
      <c r="RWD2" s="88"/>
      <c r="RWE2" s="88"/>
      <c r="RWF2" s="88"/>
      <c r="RWG2" s="88"/>
      <c r="RWH2" s="88"/>
      <c r="RWI2" s="88"/>
      <c r="RWJ2" s="88"/>
      <c r="RWK2" s="88"/>
      <c r="RWL2" s="88"/>
      <c r="RWM2" s="88"/>
      <c r="RWN2" s="88"/>
      <c r="RWO2" s="88"/>
      <c r="RWP2" s="88"/>
      <c r="RWQ2" s="88"/>
      <c r="RWR2" s="88"/>
      <c r="RWS2" s="88"/>
      <c r="RWT2" s="88"/>
      <c r="RWU2" s="88"/>
      <c r="RWV2" s="88"/>
      <c r="RWW2" s="88"/>
      <c r="RWX2" s="88"/>
      <c r="RWY2" s="88"/>
      <c r="RWZ2" s="88"/>
      <c r="RXA2" s="88"/>
      <c r="RXB2" s="88"/>
      <c r="RXC2" s="88"/>
      <c r="RXD2" s="88"/>
      <c r="RXE2" s="88"/>
      <c r="RXF2" s="88"/>
      <c r="RXG2" s="88"/>
      <c r="RXH2" s="88"/>
      <c r="RXI2" s="88"/>
      <c r="RXJ2" s="88"/>
      <c r="RXK2" s="88"/>
      <c r="RXL2" s="88"/>
      <c r="RXM2" s="88"/>
      <c r="RXN2" s="88"/>
      <c r="RXO2" s="88"/>
      <c r="RXP2" s="88"/>
      <c r="RXQ2" s="88"/>
      <c r="RXR2" s="88"/>
      <c r="RXS2" s="88"/>
      <c r="RXT2" s="88"/>
      <c r="RXU2" s="88"/>
      <c r="RXV2" s="88"/>
      <c r="RXW2" s="88"/>
      <c r="RXX2" s="88"/>
      <c r="RXY2" s="88"/>
      <c r="RXZ2" s="88"/>
      <c r="RYA2" s="88"/>
      <c r="RYB2" s="88"/>
      <c r="RYC2" s="88"/>
      <c r="RYD2" s="88"/>
      <c r="RYE2" s="88"/>
      <c r="RYF2" s="88"/>
      <c r="RYG2" s="88"/>
      <c r="RYH2" s="88"/>
      <c r="RYI2" s="88"/>
      <c r="RYJ2" s="88"/>
      <c r="RYK2" s="88"/>
      <c r="RYL2" s="88"/>
      <c r="RYM2" s="88"/>
      <c r="RYN2" s="88"/>
      <c r="RYO2" s="88"/>
      <c r="RYP2" s="88"/>
      <c r="RYQ2" s="88"/>
      <c r="RYR2" s="88"/>
      <c r="RYS2" s="88"/>
      <c r="RYT2" s="88"/>
      <c r="RYU2" s="88"/>
      <c r="RYV2" s="88"/>
      <c r="RYW2" s="88"/>
      <c r="RYX2" s="88"/>
      <c r="RYY2" s="88"/>
      <c r="RYZ2" s="88"/>
      <c r="RZA2" s="88"/>
      <c r="RZB2" s="88"/>
      <c r="RZC2" s="88"/>
      <c r="RZD2" s="88"/>
      <c r="RZE2" s="88"/>
      <c r="RZF2" s="88"/>
      <c r="RZG2" s="88"/>
      <c r="RZH2" s="88"/>
      <c r="RZI2" s="88"/>
      <c r="RZJ2" s="88"/>
      <c r="RZK2" s="88"/>
      <c r="RZL2" s="88"/>
      <c r="RZM2" s="88"/>
      <c r="RZN2" s="88"/>
      <c r="RZO2" s="88"/>
      <c r="RZP2" s="88"/>
      <c r="RZQ2" s="88"/>
      <c r="RZR2" s="88"/>
      <c r="RZS2" s="88"/>
      <c r="RZT2" s="88"/>
      <c r="RZU2" s="88"/>
      <c r="RZV2" s="88"/>
      <c r="RZW2" s="88"/>
      <c r="RZX2" s="88"/>
      <c r="RZY2" s="88"/>
      <c r="RZZ2" s="88"/>
      <c r="SAA2" s="88"/>
      <c r="SAB2" s="88"/>
      <c r="SAC2" s="88"/>
      <c r="SAD2" s="88"/>
      <c r="SAE2" s="88"/>
      <c r="SAF2" s="88"/>
      <c r="SAG2" s="88"/>
      <c r="SAH2" s="88"/>
      <c r="SAI2" s="88"/>
      <c r="SAJ2" s="88"/>
      <c r="SAK2" s="88"/>
      <c r="SAL2" s="88"/>
      <c r="SAM2" s="88"/>
      <c r="SAN2" s="88"/>
      <c r="SAO2" s="88"/>
      <c r="SAP2" s="88"/>
      <c r="SAQ2" s="88"/>
      <c r="SAR2" s="88"/>
      <c r="SAS2" s="88"/>
      <c r="SAT2" s="88"/>
      <c r="SAU2" s="88"/>
      <c r="SAV2" s="88"/>
      <c r="SAW2" s="88"/>
      <c r="SAX2" s="88"/>
      <c r="SAY2" s="88"/>
      <c r="SAZ2" s="88"/>
      <c r="SBA2" s="88"/>
      <c r="SBB2" s="88"/>
      <c r="SBC2" s="88"/>
      <c r="SBD2" s="88"/>
      <c r="SBE2" s="88"/>
      <c r="SBF2" s="88"/>
      <c r="SBG2" s="88"/>
      <c r="SBH2" s="88"/>
      <c r="SBI2" s="88"/>
      <c r="SBJ2" s="88"/>
      <c r="SBK2" s="88"/>
      <c r="SBL2" s="88"/>
      <c r="SBM2" s="88"/>
      <c r="SBN2" s="88"/>
      <c r="SBO2" s="88"/>
      <c r="SBP2" s="88"/>
      <c r="SBQ2" s="88"/>
      <c r="SBR2" s="88"/>
      <c r="SBS2" s="88"/>
      <c r="SBT2" s="88"/>
      <c r="SBU2" s="88"/>
      <c r="SBV2" s="88"/>
      <c r="SBW2" s="88"/>
      <c r="SBX2" s="88"/>
      <c r="SBY2" s="88"/>
      <c r="SBZ2" s="88"/>
      <c r="SCA2" s="88"/>
      <c r="SCB2" s="88"/>
      <c r="SCC2" s="88"/>
      <c r="SCD2" s="88"/>
      <c r="SCE2" s="88"/>
      <c r="SCF2" s="88"/>
      <c r="SCG2" s="88"/>
      <c r="SCH2" s="88"/>
      <c r="SCI2" s="88"/>
      <c r="SCJ2" s="88"/>
      <c r="SCK2" s="88"/>
      <c r="SCL2" s="88"/>
      <c r="SCM2" s="88"/>
      <c r="SCN2" s="88"/>
      <c r="SCO2" s="88"/>
      <c r="SCP2" s="88"/>
      <c r="SCQ2" s="88"/>
      <c r="SCR2" s="88"/>
      <c r="SCS2" s="88"/>
      <c r="SCT2" s="88"/>
      <c r="SCU2" s="88"/>
      <c r="SCV2" s="88"/>
      <c r="SCW2" s="88"/>
      <c r="SCX2" s="88"/>
      <c r="SCY2" s="88"/>
      <c r="SCZ2" s="88"/>
      <c r="SDA2" s="88"/>
      <c r="SDB2" s="88"/>
      <c r="SDC2" s="88"/>
      <c r="SDD2" s="88"/>
      <c r="SDE2" s="88"/>
      <c r="SDF2" s="88"/>
      <c r="SDG2" s="88"/>
      <c r="SDH2" s="88"/>
      <c r="SDI2" s="88"/>
      <c r="SDJ2" s="88"/>
      <c r="SDK2" s="88"/>
      <c r="SDL2" s="88"/>
      <c r="SDM2" s="88"/>
      <c r="SDN2" s="88"/>
      <c r="SDO2" s="88"/>
      <c r="SDP2" s="88"/>
      <c r="SDQ2" s="88"/>
      <c r="SDR2" s="88"/>
      <c r="SDS2" s="88"/>
      <c r="SDT2" s="88"/>
      <c r="SDU2" s="88"/>
      <c r="SDV2" s="88"/>
      <c r="SDW2" s="88"/>
      <c r="SDX2" s="88"/>
      <c r="SDY2" s="88"/>
      <c r="SDZ2" s="88"/>
      <c r="SEA2" s="88"/>
      <c r="SEB2" s="88"/>
      <c r="SEC2" s="88"/>
      <c r="SED2" s="88"/>
      <c r="SEE2" s="88"/>
      <c r="SEF2" s="88"/>
      <c r="SEG2" s="88"/>
      <c r="SEH2" s="88"/>
      <c r="SEI2" s="88"/>
      <c r="SEJ2" s="88"/>
      <c r="SEK2" s="88"/>
      <c r="SEL2" s="88"/>
      <c r="SEM2" s="88"/>
      <c r="SEN2" s="88"/>
      <c r="SEO2" s="88"/>
      <c r="SEP2" s="88"/>
      <c r="SEQ2" s="88"/>
      <c r="SER2" s="88"/>
      <c r="SES2" s="88"/>
      <c r="SET2" s="88"/>
      <c r="SEU2" s="88"/>
      <c r="SEV2" s="88"/>
      <c r="SEW2" s="88"/>
      <c r="SEX2" s="88"/>
      <c r="SEY2" s="88"/>
      <c r="SEZ2" s="88"/>
      <c r="SFA2" s="88"/>
      <c r="SFB2" s="88"/>
      <c r="SFC2" s="88"/>
      <c r="SFD2" s="88"/>
      <c r="SFE2" s="88"/>
      <c r="SFF2" s="88"/>
      <c r="SFG2" s="88"/>
      <c r="SFH2" s="88"/>
      <c r="SFI2" s="88"/>
      <c r="SFJ2" s="88"/>
      <c r="SFK2" s="88"/>
      <c r="SFL2" s="88"/>
      <c r="SFM2" s="88"/>
      <c r="SFN2" s="88"/>
      <c r="SFO2" s="88"/>
      <c r="SFP2" s="88"/>
      <c r="SFQ2" s="88"/>
      <c r="SFR2" s="88"/>
      <c r="SFS2" s="88"/>
      <c r="SFT2" s="88"/>
      <c r="SFU2" s="88"/>
      <c r="SFV2" s="88"/>
      <c r="SFW2" s="88"/>
      <c r="SFX2" s="88"/>
      <c r="SFY2" s="88"/>
      <c r="SFZ2" s="88"/>
      <c r="SGA2" s="88"/>
      <c r="SGB2" s="88"/>
      <c r="SGC2" s="88"/>
      <c r="SGD2" s="88"/>
      <c r="SGE2" s="88"/>
      <c r="SGF2" s="88"/>
      <c r="SGG2" s="88"/>
      <c r="SGH2" s="88"/>
      <c r="SGI2" s="88"/>
      <c r="SGJ2" s="88"/>
      <c r="SGK2" s="88"/>
      <c r="SGL2" s="88"/>
      <c r="SGM2" s="88"/>
      <c r="SGN2" s="88"/>
      <c r="SGO2" s="88"/>
      <c r="SGP2" s="88"/>
      <c r="SGQ2" s="88"/>
      <c r="SGR2" s="88"/>
      <c r="SGS2" s="88"/>
      <c r="SGT2" s="88"/>
      <c r="SGU2" s="88"/>
      <c r="SGV2" s="88"/>
      <c r="SGW2" s="88"/>
      <c r="SGX2" s="88"/>
      <c r="SGY2" s="88"/>
      <c r="SGZ2" s="88"/>
      <c r="SHA2" s="88"/>
      <c r="SHB2" s="88"/>
      <c r="SHC2" s="88"/>
      <c r="SHD2" s="88"/>
      <c r="SHE2" s="88"/>
      <c r="SHF2" s="88"/>
      <c r="SHG2" s="88"/>
      <c r="SHH2" s="88"/>
      <c r="SHI2" s="88"/>
      <c r="SHJ2" s="88"/>
      <c r="SHK2" s="88"/>
      <c r="SHL2" s="88"/>
      <c r="SHM2" s="88"/>
      <c r="SHN2" s="88"/>
      <c r="SHO2" s="88"/>
      <c r="SHP2" s="88"/>
      <c r="SHQ2" s="88"/>
      <c r="SHR2" s="88"/>
      <c r="SHS2" s="88"/>
      <c r="SHT2" s="88"/>
      <c r="SHU2" s="88"/>
      <c r="SHV2" s="88"/>
      <c r="SHW2" s="88"/>
      <c r="SHX2" s="88"/>
      <c r="SHY2" s="88"/>
      <c r="SHZ2" s="88"/>
      <c r="SIA2" s="88"/>
      <c r="SIB2" s="88"/>
      <c r="SIC2" s="88"/>
      <c r="SID2" s="88"/>
      <c r="SIE2" s="88"/>
      <c r="SIF2" s="88"/>
      <c r="SIG2" s="88"/>
      <c r="SIH2" s="88"/>
      <c r="SII2" s="88"/>
      <c r="SIJ2" s="88"/>
      <c r="SIK2" s="88"/>
      <c r="SIL2" s="88"/>
      <c r="SIM2" s="88"/>
      <c r="SIN2" s="88"/>
      <c r="SIO2" s="88"/>
      <c r="SIP2" s="88"/>
      <c r="SIQ2" s="88"/>
      <c r="SIR2" s="88"/>
      <c r="SIS2" s="88"/>
      <c r="SIT2" s="88"/>
      <c r="SIU2" s="88"/>
      <c r="SIV2" s="88"/>
      <c r="SIW2" s="88"/>
      <c r="SIX2" s="88"/>
      <c r="SIY2" s="88"/>
      <c r="SIZ2" s="88"/>
      <c r="SJA2" s="88"/>
      <c r="SJB2" s="88"/>
      <c r="SJC2" s="88"/>
      <c r="SJD2" s="88"/>
      <c r="SJE2" s="88"/>
      <c r="SJF2" s="88"/>
      <c r="SJG2" s="88"/>
      <c r="SJH2" s="88"/>
      <c r="SJI2" s="88"/>
      <c r="SJJ2" s="88"/>
      <c r="SJK2" s="88"/>
      <c r="SJL2" s="88"/>
      <c r="SJM2" s="88"/>
      <c r="SJN2" s="88"/>
      <c r="SJO2" s="88"/>
      <c r="SJP2" s="88"/>
      <c r="SJQ2" s="88"/>
      <c r="SJR2" s="88"/>
      <c r="SJS2" s="88"/>
      <c r="SJT2" s="88"/>
      <c r="SJU2" s="88"/>
      <c r="SJV2" s="88"/>
      <c r="SJW2" s="88"/>
      <c r="SJX2" s="88"/>
      <c r="SJY2" s="88"/>
      <c r="SJZ2" s="88"/>
      <c r="SKA2" s="88"/>
      <c r="SKB2" s="88"/>
      <c r="SKC2" s="88"/>
      <c r="SKD2" s="88"/>
      <c r="SKE2" s="88"/>
      <c r="SKF2" s="88"/>
      <c r="SKG2" s="88"/>
      <c r="SKH2" s="88"/>
      <c r="SKI2" s="88"/>
      <c r="SKJ2" s="88"/>
      <c r="SKK2" s="88"/>
      <c r="SKL2" s="88"/>
      <c r="SKM2" s="88"/>
      <c r="SKN2" s="88"/>
      <c r="SKO2" s="88"/>
      <c r="SKP2" s="88"/>
      <c r="SKQ2" s="88"/>
      <c r="SKR2" s="88"/>
      <c r="SKS2" s="88"/>
      <c r="SKT2" s="88"/>
      <c r="SKU2" s="88"/>
      <c r="SKV2" s="88"/>
      <c r="SKW2" s="88"/>
      <c r="SKX2" s="88"/>
      <c r="SKY2" s="88"/>
      <c r="SKZ2" s="88"/>
      <c r="SLA2" s="88"/>
      <c r="SLB2" s="88"/>
      <c r="SLC2" s="88"/>
      <c r="SLD2" s="88"/>
      <c r="SLE2" s="88"/>
      <c r="SLF2" s="88"/>
      <c r="SLG2" s="88"/>
      <c r="SLH2" s="88"/>
      <c r="SLI2" s="88"/>
      <c r="SLJ2" s="88"/>
      <c r="SLK2" s="88"/>
      <c r="SLL2" s="88"/>
      <c r="SLM2" s="88"/>
      <c r="SLN2" s="88"/>
      <c r="SLO2" s="88"/>
      <c r="SLP2" s="88"/>
      <c r="SLQ2" s="88"/>
      <c r="SLR2" s="88"/>
      <c r="SLS2" s="88"/>
      <c r="SLT2" s="88"/>
      <c r="SLU2" s="88"/>
      <c r="SLV2" s="88"/>
      <c r="SLW2" s="88"/>
      <c r="SLX2" s="88"/>
      <c r="SLY2" s="88"/>
      <c r="SLZ2" s="88"/>
      <c r="SMA2" s="88"/>
      <c r="SMB2" s="88"/>
      <c r="SMC2" s="88"/>
      <c r="SMD2" s="88"/>
      <c r="SME2" s="88"/>
      <c r="SMF2" s="88"/>
      <c r="SMG2" s="88"/>
      <c r="SMH2" s="88"/>
      <c r="SMI2" s="88"/>
      <c r="SMJ2" s="88"/>
      <c r="SMK2" s="88"/>
      <c r="SML2" s="88"/>
      <c r="SMM2" s="88"/>
      <c r="SMN2" s="88"/>
      <c r="SMO2" s="88"/>
      <c r="SMP2" s="88"/>
      <c r="SMQ2" s="88"/>
      <c r="SMR2" s="88"/>
      <c r="SMS2" s="88"/>
      <c r="SMT2" s="88"/>
      <c r="SMU2" s="88"/>
      <c r="SMV2" s="88"/>
      <c r="SMW2" s="88"/>
      <c r="SMX2" s="88"/>
      <c r="SMY2" s="88"/>
      <c r="SMZ2" s="88"/>
      <c r="SNA2" s="88"/>
      <c r="SNB2" s="88"/>
      <c r="SNC2" s="88"/>
      <c r="SND2" s="88"/>
      <c r="SNE2" s="88"/>
      <c r="SNF2" s="88"/>
      <c r="SNG2" s="88"/>
      <c r="SNH2" s="88"/>
      <c r="SNI2" s="88"/>
      <c r="SNJ2" s="88"/>
      <c r="SNK2" s="88"/>
      <c r="SNL2" s="88"/>
      <c r="SNM2" s="88"/>
      <c r="SNN2" s="88"/>
      <c r="SNO2" s="88"/>
      <c r="SNP2" s="88"/>
      <c r="SNQ2" s="88"/>
      <c r="SNR2" s="88"/>
      <c r="SNS2" s="88"/>
      <c r="SNT2" s="88"/>
      <c r="SNU2" s="88"/>
      <c r="SNV2" s="88"/>
      <c r="SNW2" s="88"/>
      <c r="SNX2" s="88"/>
      <c r="SNY2" s="88"/>
      <c r="SNZ2" s="88"/>
      <c r="SOA2" s="88"/>
      <c r="SOB2" s="88"/>
      <c r="SOC2" s="88"/>
      <c r="SOD2" s="88"/>
      <c r="SOE2" s="88"/>
      <c r="SOF2" s="88"/>
      <c r="SOG2" s="88"/>
      <c r="SOH2" s="88"/>
      <c r="SOI2" s="88"/>
      <c r="SOJ2" s="88"/>
      <c r="SOK2" s="88"/>
      <c r="SOL2" s="88"/>
      <c r="SOM2" s="88"/>
      <c r="SON2" s="88"/>
      <c r="SOO2" s="88"/>
      <c r="SOP2" s="88"/>
      <c r="SOQ2" s="88"/>
      <c r="SOR2" s="88"/>
      <c r="SOS2" s="88"/>
      <c r="SOT2" s="88"/>
      <c r="SOU2" s="88"/>
      <c r="SOV2" s="88"/>
      <c r="SOW2" s="88"/>
      <c r="SOX2" s="88"/>
      <c r="SOY2" s="88"/>
      <c r="SOZ2" s="88"/>
      <c r="SPA2" s="88"/>
      <c r="SPB2" s="88"/>
      <c r="SPC2" s="88"/>
      <c r="SPD2" s="88"/>
      <c r="SPE2" s="88"/>
      <c r="SPF2" s="88"/>
      <c r="SPG2" s="88"/>
      <c r="SPH2" s="88"/>
      <c r="SPI2" s="88"/>
      <c r="SPJ2" s="88"/>
      <c r="SPK2" s="88"/>
      <c r="SPL2" s="88"/>
      <c r="SPM2" s="88"/>
      <c r="SPN2" s="88"/>
      <c r="SPO2" s="88"/>
      <c r="SPP2" s="88"/>
      <c r="SPQ2" s="88"/>
      <c r="SPR2" s="88"/>
      <c r="SPS2" s="88"/>
      <c r="SPT2" s="88"/>
      <c r="SPU2" s="88"/>
      <c r="SPV2" s="88"/>
      <c r="SPW2" s="88"/>
      <c r="SPX2" s="88"/>
      <c r="SPY2" s="88"/>
      <c r="SPZ2" s="88"/>
      <c r="SQA2" s="88"/>
      <c r="SQB2" s="88"/>
      <c r="SQC2" s="88"/>
      <c r="SQD2" s="88"/>
      <c r="SQE2" s="88"/>
      <c r="SQF2" s="88"/>
      <c r="SQG2" s="88"/>
      <c r="SQH2" s="88"/>
      <c r="SQI2" s="88"/>
      <c r="SQJ2" s="88"/>
      <c r="SQK2" s="88"/>
      <c r="SQL2" s="88"/>
      <c r="SQM2" s="88"/>
      <c r="SQN2" s="88"/>
      <c r="SQO2" s="88"/>
      <c r="SQP2" s="88"/>
      <c r="SQQ2" s="88"/>
      <c r="SQR2" s="88"/>
      <c r="SQS2" s="88"/>
      <c r="SQT2" s="88"/>
      <c r="SQU2" s="88"/>
      <c r="SQV2" s="88"/>
      <c r="SQW2" s="88"/>
      <c r="SQX2" s="88"/>
      <c r="SQY2" s="88"/>
      <c r="SQZ2" s="88"/>
      <c r="SRA2" s="88"/>
      <c r="SRB2" s="88"/>
      <c r="SRC2" s="88"/>
      <c r="SRD2" s="88"/>
      <c r="SRE2" s="88"/>
      <c r="SRF2" s="88"/>
      <c r="SRG2" s="88"/>
      <c r="SRH2" s="88"/>
      <c r="SRI2" s="88"/>
      <c r="SRJ2" s="88"/>
      <c r="SRK2" s="88"/>
      <c r="SRL2" s="88"/>
      <c r="SRM2" s="88"/>
      <c r="SRN2" s="88"/>
      <c r="SRO2" s="88"/>
      <c r="SRP2" s="88"/>
      <c r="SRQ2" s="88"/>
      <c r="SRR2" s="88"/>
      <c r="SRS2" s="88"/>
      <c r="SRT2" s="88"/>
      <c r="SRU2" s="88"/>
      <c r="SRV2" s="88"/>
      <c r="SRW2" s="88"/>
      <c r="SRX2" s="88"/>
      <c r="SRY2" s="88"/>
      <c r="SRZ2" s="88"/>
      <c r="SSA2" s="88"/>
      <c r="SSB2" s="88"/>
      <c r="SSC2" s="88"/>
      <c r="SSD2" s="88"/>
      <c r="SSE2" s="88"/>
      <c r="SSF2" s="88"/>
      <c r="SSG2" s="88"/>
      <c r="SSH2" s="88"/>
      <c r="SSI2" s="88"/>
      <c r="SSJ2" s="88"/>
      <c r="SSK2" s="88"/>
      <c r="SSL2" s="88"/>
      <c r="SSM2" s="88"/>
      <c r="SSN2" s="88"/>
      <c r="SSO2" s="88"/>
      <c r="SSP2" s="88"/>
      <c r="SSQ2" s="88"/>
      <c r="SSR2" s="88"/>
      <c r="SSS2" s="88"/>
      <c r="SST2" s="88"/>
      <c r="SSU2" s="88"/>
      <c r="SSV2" s="88"/>
      <c r="SSW2" s="88"/>
      <c r="SSX2" s="88"/>
      <c r="SSY2" s="88"/>
      <c r="SSZ2" s="88"/>
      <c r="STA2" s="88"/>
      <c r="STB2" s="88"/>
      <c r="STC2" s="88"/>
      <c r="STD2" s="88"/>
      <c r="STE2" s="88"/>
      <c r="STF2" s="88"/>
      <c r="STG2" s="88"/>
      <c r="STH2" s="88"/>
      <c r="STI2" s="88"/>
      <c r="STJ2" s="88"/>
      <c r="STK2" s="88"/>
      <c r="STL2" s="88"/>
      <c r="STM2" s="88"/>
      <c r="STN2" s="88"/>
      <c r="STO2" s="88"/>
      <c r="STP2" s="88"/>
      <c r="STQ2" s="88"/>
      <c r="STR2" s="88"/>
      <c r="STS2" s="88"/>
      <c r="STT2" s="88"/>
      <c r="STU2" s="88"/>
      <c r="STV2" s="88"/>
      <c r="STW2" s="88"/>
      <c r="STX2" s="88"/>
      <c r="STY2" s="88"/>
      <c r="STZ2" s="88"/>
      <c r="SUA2" s="88"/>
      <c r="SUB2" s="88"/>
      <c r="SUC2" s="88"/>
      <c r="SUD2" s="88"/>
      <c r="SUE2" s="88"/>
      <c r="SUF2" s="88"/>
      <c r="SUG2" s="88"/>
      <c r="SUH2" s="88"/>
      <c r="SUI2" s="88"/>
      <c r="SUJ2" s="88"/>
      <c r="SUK2" s="88"/>
      <c r="SUL2" s="88"/>
      <c r="SUM2" s="88"/>
      <c r="SUN2" s="88"/>
      <c r="SUO2" s="88"/>
      <c r="SUP2" s="88"/>
      <c r="SUQ2" s="88"/>
      <c r="SUR2" s="88"/>
      <c r="SUS2" s="88"/>
      <c r="SUT2" s="88"/>
      <c r="SUU2" s="88"/>
      <c r="SUV2" s="88"/>
      <c r="SUW2" s="88"/>
      <c r="SUX2" s="88"/>
      <c r="SUY2" s="88"/>
      <c r="SUZ2" s="88"/>
      <c r="SVA2" s="88"/>
      <c r="SVB2" s="88"/>
      <c r="SVC2" s="88"/>
      <c r="SVD2" s="88"/>
      <c r="SVE2" s="88"/>
      <c r="SVF2" s="88"/>
      <c r="SVG2" s="88"/>
      <c r="SVH2" s="88"/>
      <c r="SVI2" s="88"/>
      <c r="SVJ2" s="88"/>
      <c r="SVK2" s="88"/>
      <c r="SVL2" s="88"/>
      <c r="SVM2" s="88"/>
      <c r="SVN2" s="88"/>
      <c r="SVO2" s="88"/>
      <c r="SVP2" s="88"/>
      <c r="SVQ2" s="88"/>
      <c r="SVR2" s="88"/>
      <c r="SVS2" s="88"/>
      <c r="SVT2" s="88"/>
      <c r="SVU2" s="88"/>
      <c r="SVV2" s="88"/>
      <c r="SVW2" s="88"/>
      <c r="SVX2" s="88"/>
      <c r="SVY2" s="88"/>
      <c r="SVZ2" s="88"/>
      <c r="SWA2" s="88"/>
      <c r="SWB2" s="88"/>
      <c r="SWC2" s="88"/>
      <c r="SWD2" s="88"/>
      <c r="SWE2" s="88"/>
      <c r="SWF2" s="88"/>
      <c r="SWG2" s="88"/>
      <c r="SWH2" s="88"/>
      <c r="SWI2" s="88"/>
      <c r="SWJ2" s="88"/>
      <c r="SWK2" s="88"/>
      <c r="SWL2" s="88"/>
      <c r="SWM2" s="88"/>
      <c r="SWN2" s="88"/>
      <c r="SWO2" s="88"/>
      <c r="SWP2" s="88"/>
      <c r="SWQ2" s="88"/>
      <c r="SWR2" s="88"/>
      <c r="SWS2" s="88"/>
      <c r="SWT2" s="88"/>
      <c r="SWU2" s="88"/>
      <c r="SWV2" s="88"/>
      <c r="SWW2" s="88"/>
      <c r="SWX2" s="88"/>
      <c r="SWY2" s="88"/>
      <c r="SWZ2" s="88"/>
      <c r="SXA2" s="88"/>
      <c r="SXB2" s="88"/>
      <c r="SXC2" s="88"/>
      <c r="SXD2" s="88"/>
      <c r="SXE2" s="88"/>
      <c r="SXF2" s="88"/>
      <c r="SXG2" s="88"/>
      <c r="SXH2" s="88"/>
      <c r="SXI2" s="88"/>
      <c r="SXJ2" s="88"/>
      <c r="SXK2" s="88"/>
      <c r="SXL2" s="88"/>
      <c r="SXM2" s="88"/>
      <c r="SXN2" s="88"/>
      <c r="SXO2" s="88"/>
      <c r="SXP2" s="88"/>
      <c r="SXQ2" s="88"/>
      <c r="SXR2" s="88"/>
      <c r="SXS2" s="88"/>
      <c r="SXT2" s="88"/>
      <c r="SXU2" s="88"/>
      <c r="SXV2" s="88"/>
      <c r="SXW2" s="88"/>
      <c r="SXX2" s="88"/>
      <c r="SXY2" s="88"/>
      <c r="SXZ2" s="88"/>
      <c r="SYA2" s="88"/>
      <c r="SYB2" s="88"/>
      <c r="SYC2" s="88"/>
      <c r="SYD2" s="88"/>
      <c r="SYE2" s="88"/>
      <c r="SYF2" s="88"/>
      <c r="SYG2" s="88"/>
      <c r="SYH2" s="88"/>
      <c r="SYI2" s="88"/>
      <c r="SYJ2" s="88"/>
      <c r="SYK2" s="88"/>
      <c r="SYL2" s="88"/>
      <c r="SYM2" s="88"/>
      <c r="SYN2" s="88"/>
      <c r="SYO2" s="88"/>
      <c r="SYP2" s="88"/>
      <c r="SYQ2" s="88"/>
      <c r="SYR2" s="88"/>
      <c r="SYS2" s="88"/>
      <c r="SYT2" s="88"/>
      <c r="SYU2" s="88"/>
      <c r="SYV2" s="88"/>
      <c r="SYW2" s="88"/>
      <c r="SYX2" s="88"/>
      <c r="SYY2" s="88"/>
      <c r="SYZ2" s="88"/>
      <c r="SZA2" s="88"/>
      <c r="SZB2" s="88"/>
      <c r="SZC2" s="88"/>
      <c r="SZD2" s="88"/>
      <c r="SZE2" s="88"/>
      <c r="SZF2" s="88"/>
      <c r="SZG2" s="88"/>
      <c r="SZH2" s="88"/>
      <c r="SZI2" s="88"/>
      <c r="SZJ2" s="88"/>
      <c r="SZK2" s="88"/>
      <c r="SZL2" s="88"/>
      <c r="SZM2" s="88"/>
      <c r="SZN2" s="88"/>
      <c r="SZO2" s="88"/>
      <c r="SZP2" s="88"/>
      <c r="SZQ2" s="88"/>
      <c r="SZR2" s="88"/>
      <c r="SZS2" s="88"/>
      <c r="SZT2" s="88"/>
      <c r="SZU2" s="88"/>
      <c r="SZV2" s="88"/>
      <c r="SZW2" s="88"/>
      <c r="SZX2" s="88"/>
      <c r="SZY2" s="88"/>
      <c r="SZZ2" s="88"/>
      <c r="TAA2" s="88"/>
      <c r="TAB2" s="88"/>
      <c r="TAC2" s="88"/>
      <c r="TAD2" s="88"/>
      <c r="TAE2" s="88"/>
      <c r="TAF2" s="88"/>
      <c r="TAG2" s="88"/>
      <c r="TAH2" s="88"/>
      <c r="TAI2" s="88"/>
      <c r="TAJ2" s="88"/>
      <c r="TAK2" s="88"/>
      <c r="TAL2" s="88"/>
      <c r="TAM2" s="88"/>
      <c r="TAN2" s="88"/>
      <c r="TAO2" s="88"/>
      <c r="TAP2" s="88"/>
      <c r="TAQ2" s="88"/>
      <c r="TAR2" s="88"/>
      <c r="TAS2" s="88"/>
      <c r="TAT2" s="88"/>
      <c r="TAU2" s="88"/>
      <c r="TAV2" s="88"/>
      <c r="TAW2" s="88"/>
      <c r="TAX2" s="88"/>
      <c r="TAY2" s="88"/>
      <c r="TAZ2" s="88"/>
      <c r="TBA2" s="88"/>
      <c r="TBB2" s="88"/>
      <c r="TBC2" s="88"/>
      <c r="TBD2" s="88"/>
      <c r="TBE2" s="88"/>
      <c r="TBF2" s="88"/>
      <c r="TBG2" s="88"/>
      <c r="TBH2" s="88"/>
      <c r="TBI2" s="88"/>
      <c r="TBJ2" s="88"/>
      <c r="TBK2" s="88"/>
      <c r="TBL2" s="88"/>
      <c r="TBM2" s="88"/>
      <c r="TBN2" s="88"/>
      <c r="TBO2" s="88"/>
      <c r="TBP2" s="88"/>
      <c r="TBQ2" s="88"/>
      <c r="TBR2" s="88"/>
      <c r="TBS2" s="88"/>
      <c r="TBT2" s="88"/>
      <c r="TBU2" s="88"/>
      <c r="TBV2" s="88"/>
      <c r="TBW2" s="88"/>
      <c r="TBX2" s="88"/>
      <c r="TBY2" s="88"/>
      <c r="TBZ2" s="88"/>
      <c r="TCA2" s="88"/>
      <c r="TCB2" s="88"/>
      <c r="TCC2" s="88"/>
      <c r="TCD2" s="88"/>
      <c r="TCE2" s="88"/>
      <c r="TCF2" s="88"/>
      <c r="TCG2" s="88"/>
      <c r="TCH2" s="88"/>
      <c r="TCI2" s="88"/>
      <c r="TCJ2" s="88"/>
      <c r="TCK2" s="88"/>
      <c r="TCL2" s="88"/>
      <c r="TCM2" s="88"/>
      <c r="TCN2" s="88"/>
      <c r="TCO2" s="88"/>
      <c r="TCP2" s="88"/>
      <c r="TCQ2" s="88"/>
      <c r="TCR2" s="88"/>
      <c r="TCS2" s="88"/>
      <c r="TCT2" s="88"/>
      <c r="TCU2" s="88"/>
      <c r="TCV2" s="88"/>
      <c r="TCW2" s="88"/>
      <c r="TCX2" s="88"/>
      <c r="TCY2" s="88"/>
      <c r="TCZ2" s="88"/>
      <c r="TDA2" s="88"/>
      <c r="TDB2" s="88"/>
      <c r="TDC2" s="88"/>
      <c r="TDD2" s="88"/>
      <c r="TDE2" s="88"/>
      <c r="TDF2" s="88"/>
      <c r="TDG2" s="88"/>
      <c r="TDH2" s="88"/>
      <c r="TDI2" s="88"/>
      <c r="TDJ2" s="88"/>
      <c r="TDK2" s="88"/>
      <c r="TDL2" s="88"/>
      <c r="TDM2" s="88"/>
      <c r="TDN2" s="88"/>
      <c r="TDO2" s="88"/>
      <c r="TDP2" s="88"/>
      <c r="TDQ2" s="88"/>
      <c r="TDR2" s="88"/>
      <c r="TDS2" s="88"/>
      <c r="TDT2" s="88"/>
      <c r="TDU2" s="88"/>
      <c r="TDV2" s="88"/>
      <c r="TDW2" s="88"/>
      <c r="TDX2" s="88"/>
      <c r="TDY2" s="88"/>
      <c r="TDZ2" s="88"/>
      <c r="TEA2" s="88"/>
      <c r="TEB2" s="88"/>
      <c r="TEC2" s="88"/>
      <c r="TED2" s="88"/>
      <c r="TEE2" s="88"/>
      <c r="TEF2" s="88"/>
      <c r="TEG2" s="88"/>
      <c r="TEH2" s="88"/>
      <c r="TEI2" s="88"/>
      <c r="TEJ2" s="88"/>
      <c r="TEK2" s="88"/>
      <c r="TEL2" s="88"/>
      <c r="TEM2" s="88"/>
      <c r="TEN2" s="88"/>
      <c r="TEO2" s="88"/>
      <c r="TEP2" s="88"/>
      <c r="TEQ2" s="88"/>
      <c r="TER2" s="88"/>
      <c r="TES2" s="88"/>
      <c r="TET2" s="88"/>
      <c r="TEU2" s="88"/>
      <c r="TEV2" s="88"/>
      <c r="TEW2" s="88"/>
      <c r="TEX2" s="88"/>
      <c r="TEY2" s="88"/>
      <c r="TEZ2" s="88"/>
      <c r="TFA2" s="88"/>
      <c r="TFB2" s="88"/>
      <c r="TFC2" s="88"/>
      <c r="TFD2" s="88"/>
      <c r="TFE2" s="88"/>
      <c r="TFF2" s="88"/>
      <c r="TFG2" s="88"/>
      <c r="TFH2" s="88"/>
      <c r="TFI2" s="88"/>
      <c r="TFJ2" s="88"/>
      <c r="TFK2" s="88"/>
      <c r="TFL2" s="88"/>
      <c r="TFM2" s="88"/>
      <c r="TFN2" s="88"/>
      <c r="TFO2" s="88"/>
      <c r="TFP2" s="88"/>
      <c r="TFQ2" s="88"/>
      <c r="TFR2" s="88"/>
      <c r="TFS2" s="88"/>
      <c r="TFT2" s="88"/>
      <c r="TFU2" s="88"/>
      <c r="TFV2" s="88"/>
      <c r="TFW2" s="88"/>
      <c r="TFX2" s="88"/>
      <c r="TFY2" s="88"/>
      <c r="TFZ2" s="88"/>
      <c r="TGA2" s="88"/>
      <c r="TGB2" s="88"/>
      <c r="TGC2" s="88"/>
      <c r="TGD2" s="88"/>
      <c r="TGE2" s="88"/>
      <c r="TGF2" s="88"/>
      <c r="TGG2" s="88"/>
      <c r="TGH2" s="88"/>
      <c r="TGI2" s="88"/>
      <c r="TGJ2" s="88"/>
      <c r="TGK2" s="88"/>
      <c r="TGL2" s="88"/>
      <c r="TGM2" s="88"/>
      <c r="TGN2" s="88"/>
      <c r="TGO2" s="88"/>
      <c r="TGP2" s="88"/>
      <c r="TGQ2" s="88"/>
      <c r="TGR2" s="88"/>
      <c r="TGS2" s="88"/>
      <c r="TGT2" s="88"/>
      <c r="TGU2" s="88"/>
      <c r="TGV2" s="88"/>
      <c r="TGW2" s="88"/>
      <c r="TGX2" s="88"/>
      <c r="TGY2" s="88"/>
      <c r="TGZ2" s="88"/>
      <c r="THA2" s="88"/>
      <c r="THB2" s="88"/>
      <c r="THC2" s="88"/>
      <c r="THD2" s="88"/>
      <c r="THE2" s="88"/>
      <c r="THF2" s="88"/>
      <c r="THG2" s="88"/>
      <c r="THH2" s="88"/>
      <c r="THI2" s="88"/>
      <c r="THJ2" s="88"/>
      <c r="THK2" s="88"/>
      <c r="THL2" s="88"/>
      <c r="THM2" s="88"/>
      <c r="THN2" s="88"/>
      <c r="THO2" s="88"/>
      <c r="THP2" s="88"/>
      <c r="THQ2" s="88"/>
      <c r="THR2" s="88"/>
      <c r="THS2" s="88"/>
      <c r="THT2" s="88"/>
      <c r="THU2" s="88"/>
      <c r="THV2" s="88"/>
      <c r="THW2" s="88"/>
      <c r="THX2" s="88"/>
      <c r="THY2" s="88"/>
      <c r="THZ2" s="88"/>
      <c r="TIA2" s="88"/>
      <c r="TIB2" s="88"/>
      <c r="TIC2" s="88"/>
      <c r="TID2" s="88"/>
      <c r="TIE2" s="88"/>
      <c r="TIF2" s="88"/>
      <c r="TIG2" s="88"/>
      <c r="TIH2" s="88"/>
      <c r="TII2" s="88"/>
      <c r="TIJ2" s="88"/>
      <c r="TIK2" s="88"/>
      <c r="TIL2" s="88"/>
      <c r="TIM2" s="88"/>
      <c r="TIN2" s="88"/>
      <c r="TIO2" s="88"/>
      <c r="TIP2" s="88"/>
      <c r="TIQ2" s="88"/>
      <c r="TIR2" s="88"/>
      <c r="TIS2" s="88"/>
      <c r="TIT2" s="88"/>
      <c r="TIU2" s="88"/>
      <c r="TIV2" s="88"/>
      <c r="TIW2" s="88"/>
      <c r="TIX2" s="88"/>
      <c r="TIY2" s="88"/>
      <c r="TIZ2" s="88"/>
      <c r="TJA2" s="88"/>
      <c r="TJB2" s="88"/>
      <c r="TJC2" s="88"/>
      <c r="TJD2" s="88"/>
      <c r="TJE2" s="88"/>
      <c r="TJF2" s="88"/>
      <c r="TJG2" s="88"/>
      <c r="TJH2" s="88"/>
      <c r="TJI2" s="88"/>
      <c r="TJJ2" s="88"/>
      <c r="TJK2" s="88"/>
      <c r="TJL2" s="88"/>
      <c r="TJM2" s="88"/>
      <c r="TJN2" s="88"/>
      <c r="TJO2" s="88"/>
      <c r="TJP2" s="88"/>
      <c r="TJQ2" s="88"/>
      <c r="TJR2" s="88"/>
      <c r="TJS2" s="88"/>
      <c r="TJT2" s="88"/>
      <c r="TJU2" s="88"/>
      <c r="TJV2" s="88"/>
      <c r="TJW2" s="88"/>
      <c r="TJX2" s="88"/>
      <c r="TJY2" s="88"/>
      <c r="TJZ2" s="88"/>
      <c r="TKA2" s="88"/>
      <c r="TKB2" s="88"/>
      <c r="TKC2" s="88"/>
      <c r="TKD2" s="88"/>
      <c r="TKE2" s="88"/>
      <c r="TKF2" s="88"/>
      <c r="TKG2" s="88"/>
      <c r="TKH2" s="88"/>
      <c r="TKI2" s="88"/>
      <c r="TKJ2" s="88"/>
      <c r="TKK2" s="88"/>
      <c r="TKL2" s="88"/>
      <c r="TKM2" s="88"/>
      <c r="TKN2" s="88"/>
      <c r="TKO2" s="88"/>
      <c r="TKP2" s="88"/>
      <c r="TKQ2" s="88"/>
      <c r="TKR2" s="88"/>
      <c r="TKS2" s="88"/>
      <c r="TKT2" s="88"/>
      <c r="TKU2" s="88"/>
      <c r="TKV2" s="88"/>
      <c r="TKW2" s="88"/>
      <c r="TKX2" s="88"/>
      <c r="TKY2" s="88"/>
      <c r="TKZ2" s="88"/>
      <c r="TLA2" s="88"/>
      <c r="TLB2" s="88"/>
      <c r="TLC2" s="88"/>
      <c r="TLD2" s="88"/>
      <c r="TLE2" s="88"/>
      <c r="TLF2" s="88"/>
      <c r="TLG2" s="88"/>
      <c r="TLH2" s="88"/>
      <c r="TLI2" s="88"/>
      <c r="TLJ2" s="88"/>
      <c r="TLK2" s="88"/>
      <c r="TLL2" s="88"/>
      <c r="TLM2" s="88"/>
      <c r="TLN2" s="88"/>
      <c r="TLO2" s="88"/>
      <c r="TLP2" s="88"/>
      <c r="TLQ2" s="88"/>
      <c r="TLR2" s="88"/>
      <c r="TLS2" s="88"/>
      <c r="TLT2" s="88"/>
      <c r="TLU2" s="88"/>
      <c r="TLV2" s="88"/>
      <c r="TLW2" s="88"/>
      <c r="TLX2" s="88"/>
      <c r="TLY2" s="88"/>
      <c r="TLZ2" s="88"/>
      <c r="TMA2" s="88"/>
      <c r="TMB2" s="88"/>
      <c r="TMC2" s="88"/>
      <c r="TMD2" s="88"/>
      <c r="TME2" s="88"/>
      <c r="TMF2" s="88"/>
      <c r="TMG2" s="88"/>
      <c r="TMH2" s="88"/>
      <c r="TMI2" s="88"/>
      <c r="TMJ2" s="88"/>
      <c r="TMK2" s="88"/>
      <c r="TML2" s="88"/>
      <c r="TMM2" s="88"/>
      <c r="TMN2" s="88"/>
      <c r="TMO2" s="88"/>
      <c r="TMP2" s="88"/>
      <c r="TMQ2" s="88"/>
      <c r="TMR2" s="88"/>
      <c r="TMS2" s="88"/>
      <c r="TMT2" s="88"/>
      <c r="TMU2" s="88"/>
      <c r="TMV2" s="88"/>
      <c r="TMW2" s="88"/>
      <c r="TMX2" s="88"/>
      <c r="TMY2" s="88"/>
      <c r="TMZ2" s="88"/>
      <c r="TNA2" s="88"/>
      <c r="TNB2" s="88"/>
      <c r="TNC2" s="88"/>
      <c r="TND2" s="88"/>
      <c r="TNE2" s="88"/>
      <c r="TNF2" s="88"/>
      <c r="TNG2" s="88"/>
      <c r="TNH2" s="88"/>
      <c r="TNI2" s="88"/>
      <c r="TNJ2" s="88"/>
      <c r="TNK2" s="88"/>
      <c r="TNL2" s="88"/>
      <c r="TNM2" s="88"/>
      <c r="TNN2" s="88"/>
      <c r="TNO2" s="88"/>
      <c r="TNP2" s="88"/>
      <c r="TNQ2" s="88"/>
      <c r="TNR2" s="88"/>
      <c r="TNS2" s="88"/>
      <c r="TNT2" s="88"/>
      <c r="TNU2" s="88"/>
      <c r="TNV2" s="88"/>
      <c r="TNW2" s="88"/>
      <c r="TNX2" s="88"/>
      <c r="TNY2" s="88"/>
      <c r="TNZ2" s="88"/>
      <c r="TOA2" s="88"/>
      <c r="TOB2" s="88"/>
      <c r="TOC2" s="88"/>
      <c r="TOD2" s="88"/>
      <c r="TOE2" s="88"/>
      <c r="TOF2" s="88"/>
      <c r="TOG2" s="88"/>
      <c r="TOH2" s="88"/>
      <c r="TOI2" s="88"/>
      <c r="TOJ2" s="88"/>
      <c r="TOK2" s="88"/>
      <c r="TOL2" s="88"/>
      <c r="TOM2" s="88"/>
      <c r="TON2" s="88"/>
      <c r="TOO2" s="88"/>
      <c r="TOP2" s="88"/>
      <c r="TOQ2" s="88"/>
      <c r="TOR2" s="88"/>
      <c r="TOS2" s="88"/>
      <c r="TOT2" s="88"/>
      <c r="TOU2" s="88"/>
      <c r="TOV2" s="88"/>
      <c r="TOW2" s="88"/>
      <c r="TOX2" s="88"/>
      <c r="TOY2" s="88"/>
      <c r="TOZ2" s="88"/>
      <c r="TPA2" s="88"/>
      <c r="TPB2" s="88"/>
      <c r="TPC2" s="88"/>
      <c r="TPD2" s="88"/>
      <c r="TPE2" s="88"/>
      <c r="TPF2" s="88"/>
      <c r="TPG2" s="88"/>
      <c r="TPH2" s="88"/>
      <c r="TPI2" s="88"/>
      <c r="TPJ2" s="88"/>
      <c r="TPK2" s="88"/>
      <c r="TPL2" s="88"/>
      <c r="TPM2" s="88"/>
      <c r="TPN2" s="88"/>
      <c r="TPO2" s="88"/>
      <c r="TPP2" s="88"/>
      <c r="TPQ2" s="88"/>
      <c r="TPR2" s="88"/>
      <c r="TPS2" s="88"/>
      <c r="TPT2" s="88"/>
      <c r="TPU2" s="88"/>
      <c r="TPV2" s="88"/>
      <c r="TPW2" s="88"/>
      <c r="TPX2" s="88"/>
      <c r="TPY2" s="88"/>
      <c r="TPZ2" s="88"/>
      <c r="TQA2" s="88"/>
      <c r="TQB2" s="88"/>
      <c r="TQC2" s="88"/>
      <c r="TQD2" s="88"/>
      <c r="TQE2" s="88"/>
      <c r="TQF2" s="88"/>
      <c r="TQG2" s="88"/>
      <c r="TQH2" s="88"/>
      <c r="TQI2" s="88"/>
      <c r="TQJ2" s="88"/>
      <c r="TQK2" s="88"/>
      <c r="TQL2" s="88"/>
      <c r="TQM2" s="88"/>
      <c r="TQN2" s="88"/>
      <c r="TQO2" s="88"/>
      <c r="TQP2" s="88"/>
      <c r="TQQ2" s="88"/>
      <c r="TQR2" s="88"/>
      <c r="TQS2" s="88"/>
      <c r="TQT2" s="88"/>
      <c r="TQU2" s="88"/>
      <c r="TQV2" s="88"/>
      <c r="TQW2" s="88"/>
      <c r="TQX2" s="88"/>
      <c r="TQY2" s="88"/>
      <c r="TQZ2" s="88"/>
      <c r="TRA2" s="88"/>
      <c r="TRB2" s="88"/>
      <c r="TRC2" s="88"/>
      <c r="TRD2" s="88"/>
      <c r="TRE2" s="88"/>
      <c r="TRF2" s="88"/>
      <c r="TRG2" s="88"/>
      <c r="TRH2" s="88"/>
      <c r="TRI2" s="88"/>
      <c r="TRJ2" s="88"/>
      <c r="TRK2" s="88"/>
      <c r="TRL2" s="88"/>
      <c r="TRM2" s="88"/>
      <c r="TRN2" s="88"/>
      <c r="TRO2" s="88"/>
      <c r="TRP2" s="88"/>
      <c r="TRQ2" s="88"/>
      <c r="TRR2" s="88"/>
      <c r="TRS2" s="88"/>
      <c r="TRT2" s="88"/>
      <c r="TRU2" s="88"/>
      <c r="TRV2" s="88"/>
      <c r="TRW2" s="88"/>
      <c r="TRX2" s="88"/>
      <c r="TRY2" s="88"/>
      <c r="TRZ2" s="88"/>
      <c r="TSA2" s="88"/>
      <c r="TSB2" s="88"/>
      <c r="TSC2" s="88"/>
      <c r="TSD2" s="88"/>
      <c r="TSE2" s="88"/>
      <c r="TSF2" s="88"/>
      <c r="TSG2" s="88"/>
      <c r="TSH2" s="88"/>
      <c r="TSI2" s="88"/>
      <c r="TSJ2" s="88"/>
      <c r="TSK2" s="88"/>
      <c r="TSL2" s="88"/>
      <c r="TSM2" s="88"/>
      <c r="TSN2" s="88"/>
      <c r="TSO2" s="88"/>
      <c r="TSP2" s="88"/>
      <c r="TSQ2" s="88"/>
      <c r="TSR2" s="88"/>
      <c r="TSS2" s="88"/>
      <c r="TST2" s="88"/>
      <c r="TSU2" s="88"/>
      <c r="TSV2" s="88"/>
      <c r="TSW2" s="88"/>
      <c r="TSX2" s="88"/>
      <c r="TSY2" s="88"/>
      <c r="TSZ2" s="88"/>
      <c r="TTA2" s="88"/>
      <c r="TTB2" s="88"/>
      <c r="TTC2" s="88"/>
      <c r="TTD2" s="88"/>
      <c r="TTE2" s="88"/>
      <c r="TTF2" s="88"/>
      <c r="TTG2" s="88"/>
      <c r="TTH2" s="88"/>
      <c r="TTI2" s="88"/>
      <c r="TTJ2" s="88"/>
      <c r="TTK2" s="88"/>
      <c r="TTL2" s="88"/>
      <c r="TTM2" s="88"/>
      <c r="TTN2" s="88"/>
      <c r="TTO2" s="88"/>
      <c r="TTP2" s="88"/>
      <c r="TTQ2" s="88"/>
      <c r="TTR2" s="88"/>
      <c r="TTS2" s="88"/>
      <c r="TTT2" s="88"/>
      <c r="TTU2" s="88"/>
      <c r="TTV2" s="88"/>
      <c r="TTW2" s="88"/>
      <c r="TTX2" s="88"/>
      <c r="TTY2" s="88"/>
      <c r="TTZ2" s="88"/>
      <c r="TUA2" s="88"/>
      <c r="TUB2" s="88"/>
      <c r="TUC2" s="88"/>
      <c r="TUD2" s="88"/>
      <c r="TUE2" s="88"/>
      <c r="TUF2" s="88"/>
      <c r="TUG2" s="88"/>
      <c r="TUH2" s="88"/>
      <c r="TUI2" s="88"/>
      <c r="TUJ2" s="88"/>
      <c r="TUK2" s="88"/>
      <c r="TUL2" s="88"/>
      <c r="TUM2" s="88"/>
      <c r="TUN2" s="88"/>
      <c r="TUO2" s="88"/>
      <c r="TUP2" s="88"/>
      <c r="TUQ2" s="88"/>
      <c r="TUR2" s="88"/>
      <c r="TUS2" s="88"/>
      <c r="TUT2" s="88"/>
      <c r="TUU2" s="88"/>
      <c r="TUV2" s="88"/>
      <c r="TUW2" s="88"/>
      <c r="TUX2" s="88"/>
      <c r="TUY2" s="88"/>
      <c r="TUZ2" s="88"/>
      <c r="TVA2" s="88"/>
      <c r="TVB2" s="88"/>
      <c r="TVC2" s="88"/>
      <c r="TVD2" s="88"/>
      <c r="TVE2" s="88"/>
      <c r="TVF2" s="88"/>
      <c r="TVG2" s="88"/>
      <c r="TVH2" s="88"/>
      <c r="TVI2" s="88"/>
      <c r="TVJ2" s="88"/>
      <c r="TVK2" s="88"/>
      <c r="TVL2" s="88"/>
      <c r="TVM2" s="88"/>
      <c r="TVN2" s="88"/>
      <c r="TVO2" s="88"/>
      <c r="TVP2" s="88"/>
      <c r="TVQ2" s="88"/>
      <c r="TVR2" s="88"/>
      <c r="TVS2" s="88"/>
      <c r="TVT2" s="88"/>
      <c r="TVU2" s="88"/>
      <c r="TVV2" s="88"/>
      <c r="TVW2" s="88"/>
      <c r="TVX2" s="88"/>
      <c r="TVY2" s="88"/>
      <c r="TVZ2" s="88"/>
      <c r="TWA2" s="88"/>
      <c r="TWB2" s="88"/>
      <c r="TWC2" s="88"/>
      <c r="TWD2" s="88"/>
      <c r="TWE2" s="88"/>
      <c r="TWF2" s="88"/>
      <c r="TWG2" s="88"/>
      <c r="TWH2" s="88"/>
      <c r="TWI2" s="88"/>
      <c r="TWJ2" s="88"/>
      <c r="TWK2" s="88"/>
      <c r="TWL2" s="88"/>
      <c r="TWM2" s="88"/>
      <c r="TWN2" s="88"/>
      <c r="TWO2" s="88"/>
      <c r="TWP2" s="88"/>
      <c r="TWQ2" s="88"/>
      <c r="TWR2" s="88"/>
      <c r="TWS2" s="88"/>
      <c r="TWT2" s="88"/>
      <c r="TWU2" s="88"/>
      <c r="TWV2" s="88"/>
      <c r="TWW2" s="88"/>
      <c r="TWX2" s="88"/>
      <c r="TWY2" s="88"/>
      <c r="TWZ2" s="88"/>
      <c r="TXA2" s="88"/>
      <c r="TXB2" s="88"/>
      <c r="TXC2" s="88"/>
      <c r="TXD2" s="88"/>
      <c r="TXE2" s="88"/>
      <c r="TXF2" s="88"/>
      <c r="TXG2" s="88"/>
      <c r="TXH2" s="88"/>
      <c r="TXI2" s="88"/>
      <c r="TXJ2" s="88"/>
      <c r="TXK2" s="88"/>
      <c r="TXL2" s="88"/>
      <c r="TXM2" s="88"/>
      <c r="TXN2" s="88"/>
      <c r="TXO2" s="88"/>
      <c r="TXP2" s="88"/>
      <c r="TXQ2" s="88"/>
      <c r="TXR2" s="88"/>
      <c r="TXS2" s="88"/>
      <c r="TXT2" s="88"/>
      <c r="TXU2" s="88"/>
      <c r="TXV2" s="88"/>
      <c r="TXW2" s="88"/>
      <c r="TXX2" s="88"/>
      <c r="TXY2" s="88"/>
      <c r="TXZ2" s="88"/>
      <c r="TYA2" s="88"/>
      <c r="TYB2" s="88"/>
      <c r="TYC2" s="88"/>
      <c r="TYD2" s="88"/>
      <c r="TYE2" s="88"/>
      <c r="TYF2" s="88"/>
      <c r="TYG2" s="88"/>
      <c r="TYH2" s="88"/>
      <c r="TYI2" s="88"/>
      <c r="TYJ2" s="88"/>
      <c r="TYK2" s="88"/>
      <c r="TYL2" s="88"/>
      <c r="TYM2" s="88"/>
      <c r="TYN2" s="88"/>
      <c r="TYO2" s="88"/>
      <c r="TYP2" s="88"/>
      <c r="TYQ2" s="88"/>
      <c r="TYR2" s="88"/>
      <c r="TYS2" s="88"/>
      <c r="TYT2" s="88"/>
      <c r="TYU2" s="88"/>
      <c r="TYV2" s="88"/>
      <c r="TYW2" s="88"/>
      <c r="TYX2" s="88"/>
      <c r="TYY2" s="88"/>
      <c r="TYZ2" s="88"/>
      <c r="TZA2" s="88"/>
      <c r="TZB2" s="88"/>
      <c r="TZC2" s="88"/>
      <c r="TZD2" s="88"/>
      <c r="TZE2" s="88"/>
      <c r="TZF2" s="88"/>
      <c r="TZG2" s="88"/>
      <c r="TZH2" s="88"/>
      <c r="TZI2" s="88"/>
      <c r="TZJ2" s="88"/>
      <c r="TZK2" s="88"/>
      <c r="TZL2" s="88"/>
      <c r="TZM2" s="88"/>
      <c r="TZN2" s="88"/>
      <c r="TZO2" s="88"/>
      <c r="TZP2" s="88"/>
      <c r="TZQ2" s="88"/>
      <c r="TZR2" s="88"/>
      <c r="TZS2" s="88"/>
      <c r="TZT2" s="88"/>
      <c r="TZU2" s="88"/>
      <c r="TZV2" s="88"/>
      <c r="TZW2" s="88"/>
      <c r="TZX2" s="88"/>
      <c r="TZY2" s="88"/>
      <c r="TZZ2" s="88"/>
      <c r="UAA2" s="88"/>
      <c r="UAB2" s="88"/>
      <c r="UAC2" s="88"/>
      <c r="UAD2" s="88"/>
      <c r="UAE2" s="88"/>
      <c r="UAF2" s="88"/>
      <c r="UAG2" s="88"/>
      <c r="UAH2" s="88"/>
      <c r="UAI2" s="88"/>
      <c r="UAJ2" s="88"/>
      <c r="UAK2" s="88"/>
      <c r="UAL2" s="88"/>
      <c r="UAM2" s="88"/>
      <c r="UAN2" s="88"/>
      <c r="UAO2" s="88"/>
      <c r="UAP2" s="88"/>
      <c r="UAQ2" s="88"/>
      <c r="UAR2" s="88"/>
      <c r="UAS2" s="88"/>
      <c r="UAT2" s="88"/>
      <c r="UAU2" s="88"/>
      <c r="UAV2" s="88"/>
      <c r="UAW2" s="88"/>
      <c r="UAX2" s="88"/>
      <c r="UAY2" s="88"/>
      <c r="UAZ2" s="88"/>
      <c r="UBA2" s="88"/>
      <c r="UBB2" s="88"/>
      <c r="UBC2" s="88"/>
      <c r="UBD2" s="88"/>
      <c r="UBE2" s="88"/>
      <c r="UBF2" s="88"/>
      <c r="UBG2" s="88"/>
      <c r="UBH2" s="88"/>
      <c r="UBI2" s="88"/>
      <c r="UBJ2" s="88"/>
      <c r="UBK2" s="88"/>
      <c r="UBL2" s="88"/>
      <c r="UBM2" s="88"/>
      <c r="UBN2" s="88"/>
      <c r="UBO2" s="88"/>
      <c r="UBP2" s="88"/>
      <c r="UBQ2" s="88"/>
      <c r="UBR2" s="88"/>
      <c r="UBS2" s="88"/>
      <c r="UBT2" s="88"/>
      <c r="UBU2" s="88"/>
      <c r="UBV2" s="88"/>
      <c r="UBW2" s="88"/>
      <c r="UBX2" s="88"/>
      <c r="UBY2" s="88"/>
      <c r="UBZ2" s="88"/>
      <c r="UCA2" s="88"/>
      <c r="UCB2" s="88"/>
      <c r="UCC2" s="88"/>
      <c r="UCD2" s="88"/>
      <c r="UCE2" s="88"/>
      <c r="UCF2" s="88"/>
      <c r="UCG2" s="88"/>
      <c r="UCH2" s="88"/>
      <c r="UCI2" s="88"/>
      <c r="UCJ2" s="88"/>
      <c r="UCK2" s="88"/>
      <c r="UCL2" s="88"/>
      <c r="UCM2" s="88"/>
      <c r="UCN2" s="88"/>
      <c r="UCO2" s="88"/>
      <c r="UCP2" s="88"/>
      <c r="UCQ2" s="88"/>
      <c r="UCR2" s="88"/>
      <c r="UCS2" s="88"/>
      <c r="UCT2" s="88"/>
      <c r="UCU2" s="88"/>
      <c r="UCV2" s="88"/>
      <c r="UCW2" s="88"/>
      <c r="UCX2" s="88"/>
      <c r="UCY2" s="88"/>
      <c r="UCZ2" s="88"/>
      <c r="UDA2" s="88"/>
      <c r="UDB2" s="88"/>
      <c r="UDC2" s="88"/>
      <c r="UDD2" s="88"/>
      <c r="UDE2" s="88"/>
      <c r="UDF2" s="88"/>
      <c r="UDG2" s="88"/>
      <c r="UDH2" s="88"/>
      <c r="UDI2" s="88"/>
      <c r="UDJ2" s="88"/>
      <c r="UDK2" s="88"/>
      <c r="UDL2" s="88"/>
      <c r="UDM2" s="88"/>
      <c r="UDN2" s="88"/>
      <c r="UDO2" s="88"/>
      <c r="UDP2" s="88"/>
      <c r="UDQ2" s="88"/>
      <c r="UDR2" s="88"/>
      <c r="UDS2" s="88"/>
      <c r="UDT2" s="88"/>
      <c r="UDU2" s="88"/>
      <c r="UDV2" s="88"/>
      <c r="UDW2" s="88"/>
      <c r="UDX2" s="88"/>
      <c r="UDY2" s="88"/>
      <c r="UDZ2" s="88"/>
      <c r="UEA2" s="88"/>
      <c r="UEB2" s="88"/>
      <c r="UEC2" s="88"/>
      <c r="UED2" s="88"/>
      <c r="UEE2" s="88"/>
      <c r="UEF2" s="88"/>
      <c r="UEG2" s="88"/>
      <c r="UEH2" s="88"/>
      <c r="UEI2" s="88"/>
      <c r="UEJ2" s="88"/>
      <c r="UEK2" s="88"/>
      <c r="UEL2" s="88"/>
      <c r="UEM2" s="88"/>
      <c r="UEN2" s="88"/>
      <c r="UEO2" s="88"/>
      <c r="UEP2" s="88"/>
      <c r="UEQ2" s="88"/>
      <c r="UER2" s="88"/>
      <c r="UES2" s="88"/>
      <c r="UET2" s="88"/>
      <c r="UEU2" s="88"/>
      <c r="UEV2" s="88"/>
      <c r="UEW2" s="88"/>
      <c r="UEX2" s="88"/>
      <c r="UEY2" s="88"/>
      <c r="UEZ2" s="88"/>
      <c r="UFA2" s="88"/>
      <c r="UFB2" s="88"/>
      <c r="UFC2" s="88"/>
      <c r="UFD2" s="88"/>
      <c r="UFE2" s="88"/>
      <c r="UFF2" s="88"/>
      <c r="UFG2" s="88"/>
      <c r="UFH2" s="88"/>
      <c r="UFI2" s="88"/>
      <c r="UFJ2" s="88"/>
      <c r="UFK2" s="88"/>
      <c r="UFL2" s="88"/>
      <c r="UFM2" s="88"/>
      <c r="UFN2" s="88"/>
      <c r="UFO2" s="88"/>
      <c r="UFP2" s="88"/>
      <c r="UFQ2" s="88"/>
      <c r="UFR2" s="88"/>
      <c r="UFS2" s="88"/>
      <c r="UFT2" s="88"/>
      <c r="UFU2" s="88"/>
      <c r="UFV2" s="88"/>
      <c r="UFW2" s="88"/>
      <c r="UFX2" s="88"/>
      <c r="UFY2" s="88"/>
      <c r="UFZ2" s="88"/>
      <c r="UGA2" s="88"/>
      <c r="UGB2" s="88"/>
      <c r="UGC2" s="88"/>
      <c r="UGD2" s="88"/>
      <c r="UGE2" s="88"/>
      <c r="UGF2" s="88"/>
      <c r="UGG2" s="88"/>
      <c r="UGH2" s="88"/>
      <c r="UGI2" s="88"/>
      <c r="UGJ2" s="88"/>
      <c r="UGK2" s="88"/>
      <c r="UGL2" s="88"/>
      <c r="UGM2" s="88"/>
      <c r="UGN2" s="88"/>
      <c r="UGO2" s="88"/>
      <c r="UGP2" s="88"/>
      <c r="UGQ2" s="88"/>
      <c r="UGR2" s="88"/>
      <c r="UGS2" s="88"/>
      <c r="UGT2" s="88"/>
      <c r="UGU2" s="88"/>
      <c r="UGV2" s="88"/>
      <c r="UGW2" s="88"/>
      <c r="UGX2" s="88"/>
      <c r="UGY2" s="88"/>
      <c r="UGZ2" s="88"/>
      <c r="UHA2" s="88"/>
      <c r="UHB2" s="88"/>
      <c r="UHC2" s="88"/>
      <c r="UHD2" s="88"/>
      <c r="UHE2" s="88"/>
      <c r="UHF2" s="88"/>
      <c r="UHG2" s="88"/>
      <c r="UHH2" s="88"/>
      <c r="UHI2" s="88"/>
      <c r="UHJ2" s="88"/>
      <c r="UHK2" s="88"/>
      <c r="UHL2" s="88"/>
      <c r="UHM2" s="88"/>
      <c r="UHN2" s="88"/>
      <c r="UHO2" s="88"/>
      <c r="UHP2" s="88"/>
      <c r="UHQ2" s="88"/>
      <c r="UHR2" s="88"/>
      <c r="UHS2" s="88"/>
      <c r="UHT2" s="88"/>
      <c r="UHU2" s="88"/>
      <c r="UHV2" s="88"/>
      <c r="UHW2" s="88"/>
      <c r="UHX2" s="88"/>
      <c r="UHY2" s="88"/>
      <c r="UHZ2" s="88"/>
      <c r="UIA2" s="88"/>
      <c r="UIB2" s="88"/>
      <c r="UIC2" s="88"/>
      <c r="UID2" s="88"/>
      <c r="UIE2" s="88"/>
      <c r="UIF2" s="88"/>
      <c r="UIG2" s="88"/>
      <c r="UIH2" s="88"/>
      <c r="UII2" s="88"/>
      <c r="UIJ2" s="88"/>
      <c r="UIK2" s="88"/>
      <c r="UIL2" s="88"/>
      <c r="UIM2" s="88"/>
      <c r="UIN2" s="88"/>
      <c r="UIO2" s="88"/>
      <c r="UIP2" s="88"/>
      <c r="UIQ2" s="88"/>
      <c r="UIR2" s="88"/>
      <c r="UIS2" s="88"/>
      <c r="UIT2" s="88"/>
      <c r="UIU2" s="88"/>
      <c r="UIV2" s="88"/>
      <c r="UIW2" s="88"/>
      <c r="UIX2" s="88"/>
      <c r="UIY2" s="88"/>
      <c r="UIZ2" s="88"/>
      <c r="UJA2" s="88"/>
      <c r="UJB2" s="88"/>
      <c r="UJC2" s="88"/>
      <c r="UJD2" s="88"/>
      <c r="UJE2" s="88"/>
      <c r="UJF2" s="88"/>
      <c r="UJG2" s="88"/>
      <c r="UJH2" s="88"/>
      <c r="UJI2" s="88"/>
      <c r="UJJ2" s="88"/>
      <c r="UJK2" s="88"/>
      <c r="UJL2" s="88"/>
      <c r="UJM2" s="88"/>
      <c r="UJN2" s="88"/>
      <c r="UJO2" s="88"/>
      <c r="UJP2" s="88"/>
      <c r="UJQ2" s="88"/>
      <c r="UJR2" s="88"/>
      <c r="UJS2" s="88"/>
      <c r="UJT2" s="88"/>
      <c r="UJU2" s="88"/>
      <c r="UJV2" s="88"/>
      <c r="UJW2" s="88"/>
      <c r="UJX2" s="88"/>
      <c r="UJY2" s="88"/>
      <c r="UJZ2" s="88"/>
      <c r="UKA2" s="88"/>
      <c r="UKB2" s="88"/>
      <c r="UKC2" s="88"/>
      <c r="UKD2" s="88"/>
      <c r="UKE2" s="88"/>
      <c r="UKF2" s="88"/>
      <c r="UKG2" s="88"/>
      <c r="UKH2" s="88"/>
      <c r="UKI2" s="88"/>
      <c r="UKJ2" s="88"/>
      <c r="UKK2" s="88"/>
      <c r="UKL2" s="88"/>
      <c r="UKM2" s="88"/>
      <c r="UKN2" s="88"/>
      <c r="UKO2" s="88"/>
      <c r="UKP2" s="88"/>
      <c r="UKQ2" s="88"/>
      <c r="UKR2" s="88"/>
      <c r="UKS2" s="88"/>
      <c r="UKT2" s="88"/>
      <c r="UKU2" s="88"/>
      <c r="UKV2" s="88"/>
      <c r="UKW2" s="88"/>
      <c r="UKX2" s="88"/>
      <c r="UKY2" s="88"/>
      <c r="UKZ2" s="88"/>
      <c r="ULA2" s="88"/>
      <c r="ULB2" s="88"/>
      <c r="ULC2" s="88"/>
      <c r="ULD2" s="88"/>
      <c r="ULE2" s="88"/>
      <c r="ULF2" s="88"/>
      <c r="ULG2" s="88"/>
      <c r="ULH2" s="88"/>
      <c r="ULI2" s="88"/>
      <c r="ULJ2" s="88"/>
      <c r="ULK2" s="88"/>
      <c r="ULL2" s="88"/>
      <c r="ULM2" s="88"/>
      <c r="ULN2" s="88"/>
      <c r="ULO2" s="88"/>
      <c r="ULP2" s="88"/>
      <c r="ULQ2" s="88"/>
      <c r="ULR2" s="88"/>
      <c r="ULS2" s="88"/>
      <c r="ULT2" s="88"/>
      <c r="ULU2" s="88"/>
      <c r="ULV2" s="88"/>
      <c r="ULW2" s="88"/>
      <c r="ULX2" s="88"/>
      <c r="ULY2" s="88"/>
      <c r="ULZ2" s="88"/>
      <c r="UMA2" s="88"/>
      <c r="UMB2" s="88"/>
      <c r="UMC2" s="88"/>
      <c r="UMD2" s="88"/>
      <c r="UME2" s="88"/>
      <c r="UMF2" s="88"/>
      <c r="UMG2" s="88"/>
      <c r="UMH2" s="88"/>
      <c r="UMI2" s="88"/>
      <c r="UMJ2" s="88"/>
      <c r="UMK2" s="88"/>
      <c r="UML2" s="88"/>
      <c r="UMM2" s="88"/>
      <c r="UMN2" s="88"/>
      <c r="UMO2" s="88"/>
      <c r="UMP2" s="88"/>
      <c r="UMQ2" s="88"/>
      <c r="UMR2" s="88"/>
      <c r="UMS2" s="88"/>
      <c r="UMT2" s="88"/>
      <c r="UMU2" s="88"/>
      <c r="UMV2" s="88"/>
      <c r="UMW2" s="88"/>
      <c r="UMX2" s="88"/>
      <c r="UMY2" s="88"/>
      <c r="UMZ2" s="88"/>
      <c r="UNA2" s="88"/>
      <c r="UNB2" s="88"/>
      <c r="UNC2" s="88"/>
      <c r="UND2" s="88"/>
      <c r="UNE2" s="88"/>
      <c r="UNF2" s="88"/>
      <c r="UNG2" s="88"/>
      <c r="UNH2" s="88"/>
      <c r="UNI2" s="88"/>
      <c r="UNJ2" s="88"/>
      <c r="UNK2" s="88"/>
      <c r="UNL2" s="88"/>
      <c r="UNM2" s="88"/>
      <c r="UNN2" s="88"/>
      <c r="UNO2" s="88"/>
      <c r="UNP2" s="88"/>
      <c r="UNQ2" s="88"/>
      <c r="UNR2" s="88"/>
      <c r="UNS2" s="88"/>
      <c r="UNT2" s="88"/>
      <c r="UNU2" s="88"/>
      <c r="UNV2" s="88"/>
      <c r="UNW2" s="88"/>
      <c r="UNX2" s="88"/>
      <c r="UNY2" s="88"/>
      <c r="UNZ2" s="88"/>
      <c r="UOA2" s="88"/>
      <c r="UOB2" s="88"/>
      <c r="UOC2" s="88"/>
      <c r="UOD2" s="88"/>
      <c r="UOE2" s="88"/>
      <c r="UOF2" s="88"/>
      <c r="UOG2" s="88"/>
      <c r="UOH2" s="88"/>
      <c r="UOI2" s="88"/>
      <c r="UOJ2" s="88"/>
      <c r="UOK2" s="88"/>
      <c r="UOL2" s="88"/>
      <c r="UOM2" s="88"/>
      <c r="UON2" s="88"/>
      <c r="UOO2" s="88"/>
      <c r="UOP2" s="88"/>
      <c r="UOQ2" s="88"/>
      <c r="UOR2" s="88"/>
      <c r="UOS2" s="88"/>
      <c r="UOT2" s="88"/>
      <c r="UOU2" s="88"/>
      <c r="UOV2" s="88"/>
      <c r="UOW2" s="88"/>
      <c r="UOX2" s="88"/>
      <c r="UOY2" s="88"/>
      <c r="UOZ2" s="88"/>
      <c r="UPA2" s="88"/>
      <c r="UPB2" s="88"/>
      <c r="UPC2" s="88"/>
      <c r="UPD2" s="88"/>
      <c r="UPE2" s="88"/>
      <c r="UPF2" s="88"/>
      <c r="UPG2" s="88"/>
      <c r="UPH2" s="88"/>
      <c r="UPI2" s="88"/>
      <c r="UPJ2" s="88"/>
      <c r="UPK2" s="88"/>
      <c r="UPL2" s="88"/>
      <c r="UPM2" s="88"/>
      <c r="UPN2" s="88"/>
      <c r="UPO2" s="88"/>
      <c r="UPP2" s="88"/>
      <c r="UPQ2" s="88"/>
      <c r="UPR2" s="88"/>
      <c r="UPS2" s="88"/>
      <c r="UPT2" s="88"/>
      <c r="UPU2" s="88"/>
      <c r="UPV2" s="88"/>
      <c r="UPW2" s="88"/>
      <c r="UPX2" s="88"/>
      <c r="UPY2" s="88"/>
      <c r="UPZ2" s="88"/>
      <c r="UQA2" s="88"/>
      <c r="UQB2" s="88"/>
      <c r="UQC2" s="88"/>
      <c r="UQD2" s="88"/>
      <c r="UQE2" s="88"/>
      <c r="UQF2" s="88"/>
      <c r="UQG2" s="88"/>
      <c r="UQH2" s="88"/>
      <c r="UQI2" s="88"/>
      <c r="UQJ2" s="88"/>
      <c r="UQK2" s="88"/>
      <c r="UQL2" s="88"/>
      <c r="UQM2" s="88"/>
      <c r="UQN2" s="88"/>
      <c r="UQO2" s="88"/>
      <c r="UQP2" s="88"/>
      <c r="UQQ2" s="88"/>
      <c r="UQR2" s="88"/>
      <c r="UQS2" s="88"/>
      <c r="UQT2" s="88"/>
      <c r="UQU2" s="88"/>
      <c r="UQV2" s="88"/>
      <c r="UQW2" s="88"/>
      <c r="UQX2" s="88"/>
      <c r="UQY2" s="88"/>
      <c r="UQZ2" s="88"/>
      <c r="URA2" s="88"/>
      <c r="URB2" s="88"/>
      <c r="URC2" s="88"/>
      <c r="URD2" s="88"/>
      <c r="URE2" s="88"/>
      <c r="URF2" s="88"/>
      <c r="URG2" s="88"/>
      <c r="URH2" s="88"/>
      <c r="URI2" s="88"/>
      <c r="URJ2" s="88"/>
      <c r="URK2" s="88"/>
      <c r="URL2" s="88"/>
      <c r="URM2" s="88"/>
      <c r="URN2" s="88"/>
      <c r="URO2" s="88"/>
      <c r="URP2" s="88"/>
      <c r="URQ2" s="88"/>
      <c r="URR2" s="88"/>
      <c r="URS2" s="88"/>
      <c r="URT2" s="88"/>
      <c r="URU2" s="88"/>
      <c r="URV2" s="88"/>
      <c r="URW2" s="88"/>
      <c r="URX2" s="88"/>
      <c r="URY2" s="88"/>
      <c r="URZ2" s="88"/>
      <c r="USA2" s="88"/>
      <c r="USB2" s="88"/>
      <c r="USC2" s="88"/>
      <c r="USD2" s="88"/>
      <c r="USE2" s="88"/>
      <c r="USF2" s="88"/>
      <c r="USG2" s="88"/>
      <c r="USH2" s="88"/>
      <c r="USI2" s="88"/>
      <c r="USJ2" s="88"/>
      <c r="USK2" s="88"/>
      <c r="USL2" s="88"/>
      <c r="USM2" s="88"/>
      <c r="USN2" s="88"/>
      <c r="USO2" s="88"/>
      <c r="USP2" s="88"/>
      <c r="USQ2" s="88"/>
      <c r="USR2" s="88"/>
      <c r="USS2" s="88"/>
      <c r="UST2" s="88"/>
      <c r="USU2" s="88"/>
      <c r="USV2" s="88"/>
      <c r="USW2" s="88"/>
      <c r="USX2" s="88"/>
      <c r="USY2" s="88"/>
      <c r="USZ2" s="88"/>
      <c r="UTA2" s="88"/>
      <c r="UTB2" s="88"/>
      <c r="UTC2" s="88"/>
      <c r="UTD2" s="88"/>
      <c r="UTE2" s="88"/>
      <c r="UTF2" s="88"/>
      <c r="UTG2" s="88"/>
      <c r="UTH2" s="88"/>
      <c r="UTI2" s="88"/>
      <c r="UTJ2" s="88"/>
      <c r="UTK2" s="88"/>
      <c r="UTL2" s="88"/>
      <c r="UTM2" s="88"/>
      <c r="UTN2" s="88"/>
      <c r="UTO2" s="88"/>
      <c r="UTP2" s="88"/>
      <c r="UTQ2" s="88"/>
      <c r="UTR2" s="88"/>
      <c r="UTS2" s="88"/>
      <c r="UTT2" s="88"/>
      <c r="UTU2" s="88"/>
      <c r="UTV2" s="88"/>
      <c r="UTW2" s="88"/>
      <c r="UTX2" s="88"/>
      <c r="UTY2" s="88"/>
      <c r="UTZ2" s="88"/>
      <c r="UUA2" s="88"/>
      <c r="UUB2" s="88"/>
      <c r="UUC2" s="88"/>
      <c r="UUD2" s="88"/>
      <c r="UUE2" s="88"/>
      <c r="UUF2" s="88"/>
      <c r="UUG2" s="88"/>
      <c r="UUH2" s="88"/>
      <c r="UUI2" s="88"/>
      <c r="UUJ2" s="88"/>
      <c r="UUK2" s="88"/>
      <c r="UUL2" s="88"/>
      <c r="UUM2" s="88"/>
      <c r="UUN2" s="88"/>
      <c r="UUO2" s="88"/>
      <c r="UUP2" s="88"/>
      <c r="UUQ2" s="88"/>
      <c r="UUR2" s="88"/>
      <c r="UUS2" s="88"/>
      <c r="UUT2" s="88"/>
      <c r="UUU2" s="88"/>
      <c r="UUV2" s="88"/>
      <c r="UUW2" s="88"/>
      <c r="UUX2" s="88"/>
      <c r="UUY2" s="88"/>
      <c r="UUZ2" s="88"/>
      <c r="UVA2" s="88"/>
      <c r="UVB2" s="88"/>
      <c r="UVC2" s="88"/>
      <c r="UVD2" s="88"/>
      <c r="UVE2" s="88"/>
      <c r="UVF2" s="88"/>
      <c r="UVG2" s="88"/>
      <c r="UVH2" s="88"/>
      <c r="UVI2" s="88"/>
      <c r="UVJ2" s="88"/>
      <c r="UVK2" s="88"/>
      <c r="UVL2" s="88"/>
      <c r="UVM2" s="88"/>
      <c r="UVN2" s="88"/>
      <c r="UVO2" s="88"/>
      <c r="UVP2" s="88"/>
      <c r="UVQ2" s="88"/>
      <c r="UVR2" s="88"/>
      <c r="UVS2" s="88"/>
      <c r="UVT2" s="88"/>
      <c r="UVU2" s="88"/>
      <c r="UVV2" s="88"/>
      <c r="UVW2" s="88"/>
      <c r="UVX2" s="88"/>
      <c r="UVY2" s="88"/>
      <c r="UVZ2" s="88"/>
      <c r="UWA2" s="88"/>
      <c r="UWB2" s="88"/>
      <c r="UWC2" s="88"/>
      <c r="UWD2" s="88"/>
      <c r="UWE2" s="88"/>
      <c r="UWF2" s="88"/>
      <c r="UWG2" s="88"/>
      <c r="UWH2" s="88"/>
      <c r="UWI2" s="88"/>
      <c r="UWJ2" s="88"/>
      <c r="UWK2" s="88"/>
      <c r="UWL2" s="88"/>
      <c r="UWM2" s="88"/>
      <c r="UWN2" s="88"/>
      <c r="UWO2" s="88"/>
      <c r="UWP2" s="88"/>
      <c r="UWQ2" s="88"/>
      <c r="UWR2" s="88"/>
      <c r="UWS2" s="88"/>
      <c r="UWT2" s="88"/>
      <c r="UWU2" s="88"/>
      <c r="UWV2" s="88"/>
      <c r="UWW2" s="88"/>
      <c r="UWX2" s="88"/>
      <c r="UWY2" s="88"/>
      <c r="UWZ2" s="88"/>
      <c r="UXA2" s="88"/>
      <c r="UXB2" s="88"/>
      <c r="UXC2" s="88"/>
      <c r="UXD2" s="88"/>
      <c r="UXE2" s="88"/>
      <c r="UXF2" s="88"/>
      <c r="UXG2" s="88"/>
      <c r="UXH2" s="88"/>
      <c r="UXI2" s="88"/>
      <c r="UXJ2" s="88"/>
      <c r="UXK2" s="88"/>
      <c r="UXL2" s="88"/>
      <c r="UXM2" s="88"/>
      <c r="UXN2" s="88"/>
      <c r="UXO2" s="88"/>
      <c r="UXP2" s="88"/>
      <c r="UXQ2" s="88"/>
      <c r="UXR2" s="88"/>
      <c r="UXS2" s="88"/>
      <c r="UXT2" s="88"/>
      <c r="UXU2" s="88"/>
      <c r="UXV2" s="88"/>
      <c r="UXW2" s="88"/>
      <c r="UXX2" s="88"/>
      <c r="UXY2" s="88"/>
      <c r="UXZ2" s="88"/>
      <c r="UYA2" s="88"/>
      <c r="UYB2" s="88"/>
      <c r="UYC2" s="88"/>
      <c r="UYD2" s="88"/>
      <c r="UYE2" s="88"/>
      <c r="UYF2" s="88"/>
      <c r="UYG2" s="88"/>
      <c r="UYH2" s="88"/>
      <c r="UYI2" s="88"/>
      <c r="UYJ2" s="88"/>
      <c r="UYK2" s="88"/>
      <c r="UYL2" s="88"/>
      <c r="UYM2" s="88"/>
      <c r="UYN2" s="88"/>
      <c r="UYO2" s="88"/>
      <c r="UYP2" s="88"/>
      <c r="UYQ2" s="88"/>
      <c r="UYR2" s="88"/>
      <c r="UYS2" s="88"/>
      <c r="UYT2" s="88"/>
      <c r="UYU2" s="88"/>
      <c r="UYV2" s="88"/>
      <c r="UYW2" s="88"/>
      <c r="UYX2" s="88"/>
      <c r="UYY2" s="88"/>
      <c r="UYZ2" s="88"/>
      <c r="UZA2" s="88"/>
      <c r="UZB2" s="88"/>
      <c r="UZC2" s="88"/>
      <c r="UZD2" s="88"/>
      <c r="UZE2" s="88"/>
      <c r="UZF2" s="88"/>
      <c r="UZG2" s="88"/>
      <c r="UZH2" s="88"/>
      <c r="UZI2" s="88"/>
      <c r="UZJ2" s="88"/>
      <c r="UZK2" s="88"/>
      <c r="UZL2" s="88"/>
      <c r="UZM2" s="88"/>
      <c r="UZN2" s="88"/>
      <c r="UZO2" s="88"/>
      <c r="UZP2" s="88"/>
      <c r="UZQ2" s="88"/>
      <c r="UZR2" s="88"/>
      <c r="UZS2" s="88"/>
      <c r="UZT2" s="88"/>
      <c r="UZU2" s="88"/>
      <c r="UZV2" s="88"/>
      <c r="UZW2" s="88"/>
      <c r="UZX2" s="88"/>
      <c r="UZY2" s="88"/>
      <c r="UZZ2" s="88"/>
      <c r="VAA2" s="88"/>
      <c r="VAB2" s="88"/>
      <c r="VAC2" s="88"/>
      <c r="VAD2" s="88"/>
      <c r="VAE2" s="88"/>
      <c r="VAF2" s="88"/>
      <c r="VAG2" s="88"/>
      <c r="VAH2" s="88"/>
      <c r="VAI2" s="88"/>
      <c r="VAJ2" s="88"/>
      <c r="VAK2" s="88"/>
      <c r="VAL2" s="88"/>
      <c r="VAM2" s="88"/>
      <c r="VAN2" s="88"/>
      <c r="VAO2" s="88"/>
      <c r="VAP2" s="88"/>
      <c r="VAQ2" s="88"/>
      <c r="VAR2" s="88"/>
      <c r="VAS2" s="88"/>
      <c r="VAT2" s="88"/>
      <c r="VAU2" s="88"/>
      <c r="VAV2" s="88"/>
      <c r="VAW2" s="88"/>
      <c r="VAX2" s="88"/>
      <c r="VAY2" s="88"/>
      <c r="VAZ2" s="88"/>
      <c r="VBA2" s="88"/>
      <c r="VBB2" s="88"/>
      <c r="VBC2" s="88"/>
      <c r="VBD2" s="88"/>
      <c r="VBE2" s="88"/>
      <c r="VBF2" s="88"/>
      <c r="VBG2" s="88"/>
      <c r="VBH2" s="88"/>
      <c r="VBI2" s="88"/>
      <c r="VBJ2" s="88"/>
      <c r="VBK2" s="88"/>
      <c r="VBL2" s="88"/>
      <c r="VBM2" s="88"/>
      <c r="VBN2" s="88"/>
      <c r="VBO2" s="88"/>
      <c r="VBP2" s="88"/>
      <c r="VBQ2" s="88"/>
      <c r="VBR2" s="88"/>
      <c r="VBS2" s="88"/>
      <c r="VBT2" s="88"/>
      <c r="VBU2" s="88"/>
      <c r="VBV2" s="88"/>
      <c r="VBW2" s="88"/>
      <c r="VBX2" s="88"/>
      <c r="VBY2" s="88"/>
      <c r="VBZ2" s="88"/>
      <c r="VCA2" s="88"/>
      <c r="VCB2" s="88"/>
      <c r="VCC2" s="88"/>
      <c r="VCD2" s="88"/>
      <c r="VCE2" s="88"/>
      <c r="VCF2" s="88"/>
      <c r="VCG2" s="88"/>
      <c r="VCH2" s="88"/>
      <c r="VCI2" s="88"/>
      <c r="VCJ2" s="88"/>
      <c r="VCK2" s="88"/>
      <c r="VCL2" s="88"/>
      <c r="VCM2" s="88"/>
      <c r="VCN2" s="88"/>
      <c r="VCO2" s="88"/>
      <c r="VCP2" s="88"/>
      <c r="VCQ2" s="88"/>
      <c r="VCR2" s="88"/>
      <c r="VCS2" s="88"/>
      <c r="VCT2" s="88"/>
      <c r="VCU2" s="88"/>
      <c r="VCV2" s="88"/>
      <c r="VCW2" s="88"/>
      <c r="VCX2" s="88"/>
      <c r="VCY2" s="88"/>
      <c r="VCZ2" s="88"/>
      <c r="VDA2" s="88"/>
      <c r="VDB2" s="88"/>
      <c r="VDC2" s="88"/>
      <c r="VDD2" s="88"/>
      <c r="VDE2" s="88"/>
      <c r="VDF2" s="88"/>
      <c r="VDG2" s="88"/>
      <c r="VDH2" s="88"/>
      <c r="VDI2" s="88"/>
      <c r="VDJ2" s="88"/>
      <c r="VDK2" s="88"/>
      <c r="VDL2" s="88"/>
      <c r="VDM2" s="88"/>
      <c r="VDN2" s="88"/>
      <c r="VDO2" s="88"/>
      <c r="VDP2" s="88"/>
      <c r="VDQ2" s="88"/>
      <c r="VDR2" s="88"/>
      <c r="VDS2" s="88"/>
      <c r="VDT2" s="88"/>
      <c r="VDU2" s="88"/>
      <c r="VDV2" s="88"/>
      <c r="VDW2" s="88"/>
      <c r="VDX2" s="88"/>
      <c r="VDY2" s="88"/>
      <c r="VDZ2" s="88"/>
      <c r="VEA2" s="88"/>
      <c r="VEB2" s="88"/>
      <c r="VEC2" s="88"/>
      <c r="VED2" s="88"/>
      <c r="VEE2" s="88"/>
      <c r="VEF2" s="88"/>
      <c r="VEG2" s="88"/>
      <c r="VEH2" s="88"/>
      <c r="VEI2" s="88"/>
      <c r="VEJ2" s="88"/>
      <c r="VEK2" s="88"/>
      <c r="VEL2" s="88"/>
      <c r="VEM2" s="88"/>
      <c r="VEN2" s="88"/>
      <c r="VEO2" s="88"/>
      <c r="VEP2" s="88"/>
      <c r="VEQ2" s="88"/>
      <c r="VER2" s="88"/>
      <c r="VES2" s="88"/>
      <c r="VET2" s="88"/>
      <c r="VEU2" s="88"/>
      <c r="VEV2" s="88"/>
      <c r="VEW2" s="88"/>
      <c r="VEX2" s="88"/>
      <c r="VEY2" s="88"/>
      <c r="VEZ2" s="88"/>
      <c r="VFA2" s="88"/>
      <c r="VFB2" s="88"/>
      <c r="VFC2" s="88"/>
      <c r="VFD2" s="88"/>
      <c r="VFE2" s="88"/>
      <c r="VFF2" s="88"/>
      <c r="VFG2" s="88"/>
      <c r="VFH2" s="88"/>
      <c r="VFI2" s="88"/>
      <c r="VFJ2" s="88"/>
      <c r="VFK2" s="88"/>
      <c r="VFL2" s="88"/>
      <c r="VFM2" s="88"/>
      <c r="VFN2" s="88"/>
      <c r="VFO2" s="88"/>
      <c r="VFP2" s="88"/>
      <c r="VFQ2" s="88"/>
      <c r="VFR2" s="88"/>
      <c r="VFS2" s="88"/>
      <c r="VFT2" s="88"/>
      <c r="VFU2" s="88"/>
      <c r="VFV2" s="88"/>
      <c r="VFW2" s="88"/>
      <c r="VFX2" s="88"/>
      <c r="VFY2" s="88"/>
      <c r="VFZ2" s="88"/>
      <c r="VGA2" s="88"/>
      <c r="VGB2" s="88"/>
      <c r="VGC2" s="88"/>
      <c r="VGD2" s="88"/>
      <c r="VGE2" s="88"/>
      <c r="VGF2" s="88"/>
      <c r="VGG2" s="88"/>
      <c r="VGH2" s="88"/>
      <c r="VGI2" s="88"/>
      <c r="VGJ2" s="88"/>
      <c r="VGK2" s="88"/>
      <c r="VGL2" s="88"/>
      <c r="VGM2" s="88"/>
      <c r="VGN2" s="88"/>
      <c r="VGO2" s="88"/>
      <c r="VGP2" s="88"/>
      <c r="VGQ2" s="88"/>
      <c r="VGR2" s="88"/>
      <c r="VGS2" s="88"/>
      <c r="VGT2" s="88"/>
      <c r="VGU2" s="88"/>
      <c r="VGV2" s="88"/>
      <c r="VGW2" s="88"/>
      <c r="VGX2" s="88"/>
      <c r="VGY2" s="88"/>
      <c r="VGZ2" s="88"/>
      <c r="VHA2" s="88"/>
      <c r="VHB2" s="88"/>
      <c r="VHC2" s="88"/>
      <c r="VHD2" s="88"/>
      <c r="VHE2" s="88"/>
      <c r="VHF2" s="88"/>
      <c r="VHG2" s="88"/>
      <c r="VHH2" s="88"/>
      <c r="VHI2" s="88"/>
      <c r="VHJ2" s="88"/>
      <c r="VHK2" s="88"/>
      <c r="VHL2" s="88"/>
      <c r="VHM2" s="88"/>
      <c r="VHN2" s="88"/>
      <c r="VHO2" s="88"/>
      <c r="VHP2" s="88"/>
      <c r="VHQ2" s="88"/>
      <c r="VHR2" s="88"/>
      <c r="VHS2" s="88"/>
      <c r="VHT2" s="88"/>
      <c r="VHU2" s="88"/>
      <c r="VHV2" s="88"/>
      <c r="VHW2" s="88"/>
      <c r="VHX2" s="88"/>
      <c r="VHY2" s="88"/>
      <c r="VHZ2" s="88"/>
      <c r="VIA2" s="88"/>
      <c r="VIB2" s="88"/>
      <c r="VIC2" s="88"/>
      <c r="VID2" s="88"/>
      <c r="VIE2" s="88"/>
      <c r="VIF2" s="88"/>
      <c r="VIG2" s="88"/>
      <c r="VIH2" s="88"/>
      <c r="VII2" s="88"/>
      <c r="VIJ2" s="88"/>
      <c r="VIK2" s="88"/>
      <c r="VIL2" s="88"/>
      <c r="VIM2" s="88"/>
      <c r="VIN2" s="88"/>
      <c r="VIO2" s="88"/>
      <c r="VIP2" s="88"/>
      <c r="VIQ2" s="88"/>
      <c r="VIR2" s="88"/>
      <c r="VIS2" s="88"/>
      <c r="VIT2" s="88"/>
      <c r="VIU2" s="88"/>
      <c r="VIV2" s="88"/>
      <c r="VIW2" s="88"/>
      <c r="VIX2" s="88"/>
      <c r="VIY2" s="88"/>
      <c r="VIZ2" s="88"/>
      <c r="VJA2" s="88"/>
      <c r="VJB2" s="88"/>
      <c r="VJC2" s="88"/>
      <c r="VJD2" s="88"/>
      <c r="VJE2" s="88"/>
      <c r="VJF2" s="88"/>
      <c r="VJG2" s="88"/>
      <c r="VJH2" s="88"/>
      <c r="VJI2" s="88"/>
      <c r="VJJ2" s="88"/>
      <c r="VJK2" s="88"/>
      <c r="VJL2" s="88"/>
      <c r="VJM2" s="88"/>
      <c r="VJN2" s="88"/>
      <c r="VJO2" s="88"/>
      <c r="VJP2" s="88"/>
      <c r="VJQ2" s="88"/>
      <c r="VJR2" s="88"/>
      <c r="VJS2" s="88"/>
      <c r="VJT2" s="88"/>
      <c r="VJU2" s="88"/>
      <c r="VJV2" s="88"/>
      <c r="VJW2" s="88"/>
      <c r="VJX2" s="88"/>
      <c r="VJY2" s="88"/>
      <c r="VJZ2" s="88"/>
      <c r="VKA2" s="88"/>
      <c r="VKB2" s="88"/>
      <c r="VKC2" s="88"/>
      <c r="VKD2" s="88"/>
      <c r="VKE2" s="88"/>
      <c r="VKF2" s="88"/>
      <c r="VKG2" s="88"/>
      <c r="VKH2" s="88"/>
      <c r="VKI2" s="88"/>
      <c r="VKJ2" s="88"/>
      <c r="VKK2" s="88"/>
      <c r="VKL2" s="88"/>
      <c r="VKM2" s="88"/>
      <c r="VKN2" s="88"/>
      <c r="VKO2" s="88"/>
      <c r="VKP2" s="88"/>
      <c r="VKQ2" s="88"/>
      <c r="VKR2" s="88"/>
      <c r="VKS2" s="88"/>
      <c r="VKT2" s="88"/>
      <c r="VKU2" s="88"/>
      <c r="VKV2" s="88"/>
      <c r="VKW2" s="88"/>
      <c r="VKX2" s="88"/>
      <c r="VKY2" s="88"/>
      <c r="VKZ2" s="88"/>
      <c r="VLA2" s="88"/>
      <c r="VLB2" s="88"/>
      <c r="VLC2" s="88"/>
      <c r="VLD2" s="88"/>
      <c r="VLE2" s="88"/>
      <c r="VLF2" s="88"/>
      <c r="VLG2" s="88"/>
      <c r="VLH2" s="88"/>
      <c r="VLI2" s="88"/>
      <c r="VLJ2" s="88"/>
      <c r="VLK2" s="88"/>
      <c r="VLL2" s="88"/>
      <c r="VLM2" s="88"/>
      <c r="VLN2" s="88"/>
      <c r="VLO2" s="88"/>
      <c r="VLP2" s="88"/>
      <c r="VLQ2" s="88"/>
      <c r="VLR2" s="88"/>
      <c r="VLS2" s="88"/>
      <c r="VLT2" s="88"/>
      <c r="VLU2" s="88"/>
      <c r="VLV2" s="88"/>
      <c r="VLW2" s="88"/>
      <c r="VLX2" s="88"/>
      <c r="VLY2" s="88"/>
      <c r="VLZ2" s="88"/>
      <c r="VMA2" s="88"/>
      <c r="VMB2" s="88"/>
      <c r="VMC2" s="88"/>
      <c r="VMD2" s="88"/>
      <c r="VME2" s="88"/>
      <c r="VMF2" s="88"/>
      <c r="VMG2" s="88"/>
      <c r="VMH2" s="88"/>
      <c r="VMI2" s="88"/>
      <c r="VMJ2" s="88"/>
      <c r="VMK2" s="88"/>
      <c r="VML2" s="88"/>
      <c r="VMM2" s="88"/>
      <c r="VMN2" s="88"/>
      <c r="VMO2" s="88"/>
      <c r="VMP2" s="88"/>
      <c r="VMQ2" s="88"/>
      <c r="VMR2" s="88"/>
      <c r="VMS2" s="88"/>
      <c r="VMT2" s="88"/>
      <c r="VMU2" s="88"/>
      <c r="VMV2" s="88"/>
      <c r="VMW2" s="88"/>
      <c r="VMX2" s="88"/>
      <c r="VMY2" s="88"/>
      <c r="VMZ2" s="88"/>
      <c r="VNA2" s="88"/>
      <c r="VNB2" s="88"/>
      <c r="VNC2" s="88"/>
      <c r="VND2" s="88"/>
      <c r="VNE2" s="88"/>
      <c r="VNF2" s="88"/>
      <c r="VNG2" s="88"/>
      <c r="VNH2" s="88"/>
      <c r="VNI2" s="88"/>
      <c r="VNJ2" s="88"/>
      <c r="VNK2" s="88"/>
      <c r="VNL2" s="88"/>
      <c r="VNM2" s="88"/>
      <c r="VNN2" s="88"/>
      <c r="VNO2" s="88"/>
      <c r="VNP2" s="88"/>
      <c r="VNQ2" s="88"/>
      <c r="VNR2" s="88"/>
      <c r="VNS2" s="88"/>
      <c r="VNT2" s="88"/>
      <c r="VNU2" s="88"/>
      <c r="VNV2" s="88"/>
      <c r="VNW2" s="88"/>
      <c r="VNX2" s="88"/>
      <c r="VNY2" s="88"/>
      <c r="VNZ2" s="88"/>
      <c r="VOA2" s="88"/>
      <c r="VOB2" s="88"/>
      <c r="VOC2" s="88"/>
      <c r="VOD2" s="88"/>
      <c r="VOE2" s="88"/>
      <c r="VOF2" s="88"/>
      <c r="VOG2" s="88"/>
      <c r="VOH2" s="88"/>
      <c r="VOI2" s="88"/>
      <c r="VOJ2" s="88"/>
      <c r="VOK2" s="88"/>
      <c r="VOL2" s="88"/>
      <c r="VOM2" s="88"/>
      <c r="VON2" s="88"/>
      <c r="VOO2" s="88"/>
      <c r="VOP2" s="88"/>
      <c r="VOQ2" s="88"/>
      <c r="VOR2" s="88"/>
      <c r="VOS2" s="88"/>
      <c r="VOT2" s="88"/>
      <c r="VOU2" s="88"/>
      <c r="VOV2" s="88"/>
      <c r="VOW2" s="88"/>
      <c r="VOX2" s="88"/>
      <c r="VOY2" s="88"/>
      <c r="VOZ2" s="88"/>
      <c r="VPA2" s="88"/>
      <c r="VPB2" s="88"/>
      <c r="VPC2" s="88"/>
      <c r="VPD2" s="88"/>
      <c r="VPE2" s="88"/>
      <c r="VPF2" s="88"/>
      <c r="VPG2" s="88"/>
      <c r="VPH2" s="88"/>
      <c r="VPI2" s="88"/>
      <c r="VPJ2" s="88"/>
      <c r="VPK2" s="88"/>
      <c r="VPL2" s="88"/>
      <c r="VPM2" s="88"/>
      <c r="VPN2" s="88"/>
      <c r="VPO2" s="88"/>
      <c r="VPP2" s="88"/>
      <c r="VPQ2" s="88"/>
      <c r="VPR2" s="88"/>
      <c r="VPS2" s="88"/>
      <c r="VPT2" s="88"/>
      <c r="VPU2" s="88"/>
      <c r="VPV2" s="88"/>
      <c r="VPW2" s="88"/>
      <c r="VPX2" s="88"/>
      <c r="VPY2" s="88"/>
      <c r="VPZ2" s="88"/>
      <c r="VQA2" s="88"/>
      <c r="VQB2" s="88"/>
      <c r="VQC2" s="88"/>
      <c r="VQD2" s="88"/>
      <c r="VQE2" s="88"/>
      <c r="VQF2" s="88"/>
      <c r="VQG2" s="88"/>
      <c r="VQH2" s="88"/>
      <c r="VQI2" s="88"/>
      <c r="VQJ2" s="88"/>
      <c r="VQK2" s="88"/>
      <c r="VQL2" s="88"/>
      <c r="VQM2" s="88"/>
      <c r="VQN2" s="88"/>
      <c r="VQO2" s="88"/>
      <c r="VQP2" s="88"/>
      <c r="VQQ2" s="88"/>
      <c r="VQR2" s="88"/>
      <c r="VQS2" s="88"/>
      <c r="VQT2" s="88"/>
      <c r="VQU2" s="88"/>
      <c r="VQV2" s="88"/>
      <c r="VQW2" s="88"/>
      <c r="VQX2" s="88"/>
      <c r="VQY2" s="88"/>
      <c r="VQZ2" s="88"/>
      <c r="VRA2" s="88"/>
      <c r="VRB2" s="88"/>
      <c r="VRC2" s="88"/>
      <c r="VRD2" s="88"/>
      <c r="VRE2" s="88"/>
      <c r="VRF2" s="88"/>
      <c r="VRG2" s="88"/>
      <c r="VRH2" s="88"/>
      <c r="VRI2" s="88"/>
      <c r="VRJ2" s="88"/>
      <c r="VRK2" s="88"/>
      <c r="VRL2" s="88"/>
      <c r="VRM2" s="88"/>
      <c r="VRN2" s="88"/>
      <c r="VRO2" s="88"/>
      <c r="VRP2" s="88"/>
      <c r="VRQ2" s="88"/>
      <c r="VRR2" s="88"/>
      <c r="VRS2" s="88"/>
      <c r="VRT2" s="88"/>
      <c r="VRU2" s="88"/>
      <c r="VRV2" s="88"/>
      <c r="VRW2" s="88"/>
      <c r="VRX2" s="88"/>
      <c r="VRY2" s="88"/>
      <c r="VRZ2" s="88"/>
      <c r="VSA2" s="88"/>
      <c r="VSB2" s="88"/>
      <c r="VSC2" s="88"/>
      <c r="VSD2" s="88"/>
      <c r="VSE2" s="88"/>
      <c r="VSF2" s="88"/>
      <c r="VSG2" s="88"/>
      <c r="VSH2" s="88"/>
      <c r="VSI2" s="88"/>
      <c r="VSJ2" s="88"/>
      <c r="VSK2" s="88"/>
      <c r="VSL2" s="88"/>
      <c r="VSM2" s="88"/>
      <c r="VSN2" s="88"/>
      <c r="VSO2" s="88"/>
      <c r="VSP2" s="88"/>
      <c r="VSQ2" s="88"/>
      <c r="VSR2" s="88"/>
      <c r="VSS2" s="88"/>
      <c r="VST2" s="88"/>
      <c r="VSU2" s="88"/>
      <c r="VSV2" s="88"/>
      <c r="VSW2" s="88"/>
      <c r="VSX2" s="88"/>
      <c r="VSY2" s="88"/>
      <c r="VSZ2" s="88"/>
      <c r="VTA2" s="88"/>
      <c r="VTB2" s="88"/>
      <c r="VTC2" s="88"/>
      <c r="VTD2" s="88"/>
      <c r="VTE2" s="88"/>
      <c r="VTF2" s="88"/>
      <c r="VTG2" s="88"/>
      <c r="VTH2" s="88"/>
      <c r="VTI2" s="88"/>
      <c r="VTJ2" s="88"/>
      <c r="VTK2" s="88"/>
      <c r="VTL2" s="88"/>
      <c r="VTM2" s="88"/>
      <c r="VTN2" s="88"/>
      <c r="VTO2" s="88"/>
      <c r="VTP2" s="88"/>
      <c r="VTQ2" s="88"/>
      <c r="VTR2" s="88"/>
      <c r="VTS2" s="88"/>
      <c r="VTT2" s="88"/>
      <c r="VTU2" s="88"/>
      <c r="VTV2" s="88"/>
      <c r="VTW2" s="88"/>
      <c r="VTX2" s="88"/>
      <c r="VTY2" s="88"/>
      <c r="VTZ2" s="88"/>
      <c r="VUA2" s="88"/>
      <c r="VUB2" s="88"/>
      <c r="VUC2" s="88"/>
      <c r="VUD2" s="88"/>
      <c r="VUE2" s="88"/>
      <c r="VUF2" s="88"/>
      <c r="VUG2" s="88"/>
      <c r="VUH2" s="88"/>
      <c r="VUI2" s="88"/>
      <c r="VUJ2" s="88"/>
      <c r="VUK2" s="88"/>
      <c r="VUL2" s="88"/>
      <c r="VUM2" s="88"/>
      <c r="VUN2" s="88"/>
      <c r="VUO2" s="88"/>
      <c r="VUP2" s="88"/>
      <c r="VUQ2" s="88"/>
      <c r="VUR2" s="88"/>
      <c r="VUS2" s="88"/>
      <c r="VUT2" s="88"/>
      <c r="VUU2" s="88"/>
      <c r="VUV2" s="88"/>
      <c r="VUW2" s="88"/>
      <c r="VUX2" s="88"/>
      <c r="VUY2" s="88"/>
      <c r="VUZ2" s="88"/>
      <c r="VVA2" s="88"/>
      <c r="VVB2" s="88"/>
      <c r="VVC2" s="88"/>
      <c r="VVD2" s="88"/>
      <c r="VVE2" s="88"/>
      <c r="VVF2" s="88"/>
      <c r="VVG2" s="88"/>
      <c r="VVH2" s="88"/>
      <c r="VVI2" s="88"/>
      <c r="VVJ2" s="88"/>
      <c r="VVK2" s="88"/>
      <c r="VVL2" s="88"/>
      <c r="VVM2" s="88"/>
      <c r="VVN2" s="88"/>
      <c r="VVO2" s="88"/>
      <c r="VVP2" s="88"/>
      <c r="VVQ2" s="88"/>
      <c r="VVR2" s="88"/>
      <c r="VVS2" s="88"/>
      <c r="VVT2" s="88"/>
      <c r="VVU2" s="88"/>
      <c r="VVV2" s="88"/>
      <c r="VVW2" s="88"/>
      <c r="VVX2" s="88"/>
      <c r="VVY2" s="88"/>
      <c r="VVZ2" s="88"/>
      <c r="VWA2" s="88"/>
      <c r="VWB2" s="88"/>
      <c r="VWC2" s="88"/>
      <c r="VWD2" s="88"/>
      <c r="VWE2" s="88"/>
      <c r="VWF2" s="88"/>
      <c r="VWG2" s="88"/>
      <c r="VWH2" s="88"/>
      <c r="VWI2" s="88"/>
      <c r="VWJ2" s="88"/>
      <c r="VWK2" s="88"/>
      <c r="VWL2" s="88"/>
      <c r="VWM2" s="88"/>
      <c r="VWN2" s="88"/>
      <c r="VWO2" s="88"/>
      <c r="VWP2" s="88"/>
      <c r="VWQ2" s="88"/>
      <c r="VWR2" s="88"/>
      <c r="VWS2" s="88"/>
      <c r="VWT2" s="88"/>
      <c r="VWU2" s="88"/>
      <c r="VWV2" s="88"/>
      <c r="VWW2" s="88"/>
      <c r="VWX2" s="88"/>
      <c r="VWY2" s="88"/>
      <c r="VWZ2" s="88"/>
      <c r="VXA2" s="88"/>
      <c r="VXB2" s="88"/>
      <c r="VXC2" s="88"/>
      <c r="VXD2" s="88"/>
      <c r="VXE2" s="88"/>
      <c r="VXF2" s="88"/>
      <c r="VXG2" s="88"/>
      <c r="VXH2" s="88"/>
      <c r="VXI2" s="88"/>
      <c r="VXJ2" s="88"/>
      <c r="VXK2" s="88"/>
      <c r="VXL2" s="88"/>
      <c r="VXM2" s="88"/>
      <c r="VXN2" s="88"/>
      <c r="VXO2" s="88"/>
      <c r="VXP2" s="88"/>
      <c r="VXQ2" s="88"/>
      <c r="VXR2" s="88"/>
      <c r="VXS2" s="88"/>
      <c r="VXT2" s="88"/>
      <c r="VXU2" s="88"/>
      <c r="VXV2" s="88"/>
      <c r="VXW2" s="88"/>
      <c r="VXX2" s="88"/>
      <c r="VXY2" s="88"/>
      <c r="VXZ2" s="88"/>
      <c r="VYA2" s="88"/>
      <c r="VYB2" s="88"/>
      <c r="VYC2" s="88"/>
      <c r="VYD2" s="88"/>
      <c r="VYE2" s="88"/>
      <c r="VYF2" s="88"/>
      <c r="VYG2" s="88"/>
      <c r="VYH2" s="88"/>
      <c r="VYI2" s="88"/>
      <c r="VYJ2" s="88"/>
      <c r="VYK2" s="88"/>
      <c r="VYL2" s="88"/>
      <c r="VYM2" s="88"/>
      <c r="VYN2" s="88"/>
      <c r="VYO2" s="88"/>
      <c r="VYP2" s="88"/>
      <c r="VYQ2" s="88"/>
      <c r="VYR2" s="88"/>
      <c r="VYS2" s="88"/>
      <c r="VYT2" s="88"/>
      <c r="VYU2" s="88"/>
      <c r="VYV2" s="88"/>
      <c r="VYW2" s="88"/>
      <c r="VYX2" s="88"/>
      <c r="VYY2" s="88"/>
      <c r="VYZ2" s="88"/>
      <c r="VZA2" s="88"/>
      <c r="VZB2" s="88"/>
      <c r="VZC2" s="88"/>
      <c r="VZD2" s="88"/>
      <c r="VZE2" s="88"/>
      <c r="VZF2" s="88"/>
      <c r="VZG2" s="88"/>
      <c r="VZH2" s="88"/>
      <c r="VZI2" s="88"/>
      <c r="VZJ2" s="88"/>
      <c r="VZK2" s="88"/>
      <c r="VZL2" s="88"/>
      <c r="VZM2" s="88"/>
      <c r="VZN2" s="88"/>
      <c r="VZO2" s="88"/>
      <c r="VZP2" s="88"/>
      <c r="VZQ2" s="88"/>
      <c r="VZR2" s="88"/>
      <c r="VZS2" s="88"/>
      <c r="VZT2" s="88"/>
      <c r="VZU2" s="88"/>
      <c r="VZV2" s="88"/>
      <c r="VZW2" s="88"/>
      <c r="VZX2" s="88"/>
      <c r="VZY2" s="88"/>
      <c r="VZZ2" s="88"/>
      <c r="WAA2" s="88"/>
      <c r="WAB2" s="88"/>
      <c r="WAC2" s="88"/>
      <c r="WAD2" s="88"/>
      <c r="WAE2" s="88"/>
      <c r="WAF2" s="88"/>
      <c r="WAG2" s="88"/>
      <c r="WAH2" s="88"/>
      <c r="WAI2" s="88"/>
      <c r="WAJ2" s="88"/>
      <c r="WAK2" s="88"/>
      <c r="WAL2" s="88"/>
      <c r="WAM2" s="88"/>
      <c r="WAN2" s="88"/>
      <c r="WAO2" s="88"/>
      <c r="WAP2" s="88"/>
      <c r="WAQ2" s="88"/>
      <c r="WAR2" s="88"/>
      <c r="WAS2" s="88"/>
      <c r="WAT2" s="88"/>
      <c r="WAU2" s="88"/>
      <c r="WAV2" s="88"/>
      <c r="WAW2" s="88"/>
      <c r="WAX2" s="88"/>
      <c r="WAY2" s="88"/>
      <c r="WAZ2" s="88"/>
      <c r="WBA2" s="88"/>
      <c r="WBB2" s="88"/>
      <c r="WBC2" s="88"/>
      <c r="WBD2" s="88"/>
      <c r="WBE2" s="88"/>
      <c r="WBF2" s="88"/>
      <c r="WBG2" s="88"/>
      <c r="WBH2" s="88"/>
      <c r="WBI2" s="88"/>
      <c r="WBJ2" s="88"/>
      <c r="WBK2" s="88"/>
      <c r="WBL2" s="88"/>
      <c r="WBM2" s="88"/>
      <c r="WBN2" s="88"/>
      <c r="WBO2" s="88"/>
      <c r="WBP2" s="88"/>
      <c r="WBQ2" s="88"/>
      <c r="WBR2" s="88"/>
      <c r="WBS2" s="88"/>
      <c r="WBT2" s="88"/>
      <c r="WBU2" s="88"/>
      <c r="WBV2" s="88"/>
      <c r="WBW2" s="88"/>
      <c r="WBX2" s="88"/>
      <c r="WBY2" s="88"/>
      <c r="WBZ2" s="88"/>
      <c r="WCA2" s="88"/>
      <c r="WCB2" s="88"/>
      <c r="WCC2" s="88"/>
      <c r="WCD2" s="88"/>
      <c r="WCE2" s="88"/>
      <c r="WCF2" s="88"/>
      <c r="WCG2" s="88"/>
      <c r="WCH2" s="88"/>
      <c r="WCI2" s="88"/>
      <c r="WCJ2" s="88"/>
      <c r="WCK2" s="88"/>
      <c r="WCL2" s="88"/>
      <c r="WCM2" s="88"/>
      <c r="WCN2" s="88"/>
      <c r="WCO2" s="88"/>
      <c r="WCP2" s="88"/>
      <c r="WCQ2" s="88"/>
      <c r="WCR2" s="88"/>
      <c r="WCS2" s="88"/>
      <c r="WCT2" s="88"/>
      <c r="WCU2" s="88"/>
      <c r="WCV2" s="88"/>
      <c r="WCW2" s="88"/>
      <c r="WCX2" s="88"/>
      <c r="WCY2" s="88"/>
      <c r="WCZ2" s="88"/>
      <c r="WDA2" s="88"/>
      <c r="WDB2" s="88"/>
      <c r="WDC2" s="88"/>
      <c r="WDD2" s="88"/>
      <c r="WDE2" s="88"/>
      <c r="WDF2" s="88"/>
      <c r="WDG2" s="88"/>
      <c r="WDH2" s="88"/>
      <c r="WDI2" s="88"/>
      <c r="WDJ2" s="88"/>
      <c r="WDK2" s="88"/>
      <c r="WDL2" s="88"/>
      <c r="WDM2" s="88"/>
      <c r="WDN2" s="88"/>
      <c r="WDO2" s="88"/>
      <c r="WDP2" s="88"/>
      <c r="WDQ2" s="88"/>
      <c r="WDR2" s="88"/>
      <c r="WDS2" s="88"/>
      <c r="WDT2" s="88"/>
      <c r="WDU2" s="88"/>
      <c r="WDV2" s="88"/>
      <c r="WDW2" s="88"/>
      <c r="WDX2" s="88"/>
      <c r="WDY2" s="88"/>
      <c r="WDZ2" s="88"/>
      <c r="WEA2" s="88"/>
      <c r="WEB2" s="88"/>
      <c r="WEC2" s="88"/>
      <c r="WED2" s="88"/>
      <c r="WEE2" s="88"/>
      <c r="WEF2" s="88"/>
      <c r="WEG2" s="88"/>
      <c r="WEH2" s="88"/>
      <c r="WEI2" s="88"/>
      <c r="WEJ2" s="88"/>
      <c r="WEK2" s="88"/>
      <c r="WEL2" s="88"/>
      <c r="WEM2" s="88"/>
      <c r="WEN2" s="88"/>
      <c r="WEO2" s="88"/>
      <c r="WEP2" s="88"/>
      <c r="WEQ2" s="88"/>
      <c r="WER2" s="88"/>
      <c r="WES2" s="88"/>
      <c r="WET2" s="88"/>
      <c r="WEU2" s="88"/>
      <c r="WEV2" s="88"/>
      <c r="WEW2" s="88"/>
      <c r="WEX2" s="88"/>
      <c r="WEY2" s="88"/>
      <c r="WEZ2" s="88"/>
      <c r="WFA2" s="88"/>
      <c r="WFB2" s="88"/>
      <c r="WFC2" s="88"/>
      <c r="WFD2" s="88"/>
      <c r="WFE2" s="88"/>
      <c r="WFF2" s="88"/>
      <c r="WFG2" s="88"/>
      <c r="WFH2" s="88"/>
      <c r="WFI2" s="88"/>
      <c r="WFJ2" s="88"/>
      <c r="WFK2" s="88"/>
      <c r="WFL2" s="88"/>
      <c r="WFM2" s="88"/>
      <c r="WFN2" s="88"/>
      <c r="WFO2" s="88"/>
      <c r="WFP2" s="88"/>
      <c r="WFQ2" s="88"/>
      <c r="WFR2" s="88"/>
      <c r="WFS2" s="88"/>
      <c r="WFT2" s="88"/>
      <c r="WFU2" s="88"/>
      <c r="WFV2" s="88"/>
      <c r="WFW2" s="88"/>
      <c r="WFX2" s="88"/>
      <c r="WFY2" s="88"/>
      <c r="WFZ2" s="88"/>
      <c r="WGA2" s="88"/>
      <c r="WGB2" s="88"/>
      <c r="WGC2" s="88"/>
      <c r="WGD2" s="88"/>
      <c r="WGE2" s="88"/>
      <c r="WGF2" s="88"/>
      <c r="WGG2" s="88"/>
      <c r="WGH2" s="88"/>
      <c r="WGI2" s="88"/>
      <c r="WGJ2" s="88"/>
      <c r="WGK2" s="88"/>
      <c r="WGL2" s="88"/>
      <c r="WGM2" s="88"/>
      <c r="WGN2" s="88"/>
      <c r="WGO2" s="88"/>
      <c r="WGP2" s="88"/>
      <c r="WGQ2" s="88"/>
      <c r="WGR2" s="88"/>
      <c r="WGS2" s="88"/>
      <c r="WGT2" s="88"/>
      <c r="WGU2" s="88"/>
      <c r="WGV2" s="88"/>
      <c r="WGW2" s="88"/>
      <c r="WGX2" s="88"/>
      <c r="WGY2" s="88"/>
      <c r="WGZ2" s="88"/>
      <c r="WHA2" s="88"/>
      <c r="WHB2" s="88"/>
      <c r="WHC2" s="88"/>
      <c r="WHD2" s="88"/>
      <c r="WHE2" s="88"/>
      <c r="WHF2" s="88"/>
      <c r="WHG2" s="88"/>
      <c r="WHH2" s="88"/>
      <c r="WHI2" s="88"/>
      <c r="WHJ2" s="88"/>
      <c r="WHK2" s="88"/>
      <c r="WHL2" s="88"/>
      <c r="WHM2" s="88"/>
      <c r="WHN2" s="88"/>
      <c r="WHO2" s="88"/>
      <c r="WHP2" s="88"/>
      <c r="WHQ2" s="88"/>
      <c r="WHR2" s="88"/>
      <c r="WHS2" s="88"/>
      <c r="WHT2" s="88"/>
      <c r="WHU2" s="88"/>
      <c r="WHV2" s="88"/>
      <c r="WHW2" s="88"/>
      <c r="WHX2" s="88"/>
      <c r="WHY2" s="88"/>
      <c r="WHZ2" s="88"/>
      <c r="WIA2" s="88"/>
      <c r="WIB2" s="88"/>
      <c r="WIC2" s="88"/>
      <c r="WID2" s="88"/>
      <c r="WIE2" s="88"/>
      <c r="WIF2" s="88"/>
      <c r="WIG2" s="88"/>
      <c r="WIH2" s="88"/>
      <c r="WII2" s="88"/>
      <c r="WIJ2" s="88"/>
      <c r="WIK2" s="88"/>
      <c r="WIL2" s="88"/>
      <c r="WIM2" s="88"/>
      <c r="WIN2" s="88"/>
      <c r="WIO2" s="88"/>
      <c r="WIP2" s="88"/>
      <c r="WIQ2" s="88"/>
      <c r="WIR2" s="88"/>
      <c r="WIS2" s="88"/>
      <c r="WIT2" s="88"/>
      <c r="WIU2" s="88"/>
      <c r="WIV2" s="88"/>
      <c r="WIW2" s="88"/>
      <c r="WIX2" s="88"/>
      <c r="WIY2" s="88"/>
      <c r="WIZ2" s="88"/>
      <c r="WJA2" s="88"/>
      <c r="WJB2" s="88"/>
      <c r="WJC2" s="88"/>
      <c r="WJD2" s="88"/>
      <c r="WJE2" s="88"/>
      <c r="WJF2" s="88"/>
      <c r="WJG2" s="88"/>
      <c r="WJH2" s="88"/>
      <c r="WJI2" s="88"/>
      <c r="WJJ2" s="88"/>
      <c r="WJK2" s="88"/>
      <c r="WJL2" s="88"/>
      <c r="WJM2" s="88"/>
      <c r="WJN2" s="88"/>
      <c r="WJO2" s="88"/>
      <c r="WJP2" s="88"/>
      <c r="WJQ2" s="88"/>
      <c r="WJR2" s="88"/>
      <c r="WJS2" s="88"/>
      <c r="WJT2" s="88"/>
      <c r="WJU2" s="88"/>
      <c r="WJV2" s="88"/>
      <c r="WJW2" s="88"/>
      <c r="WJX2" s="88"/>
      <c r="WJY2" s="88"/>
      <c r="WJZ2" s="88"/>
      <c r="WKA2" s="88"/>
      <c r="WKB2" s="88"/>
      <c r="WKC2" s="88"/>
      <c r="WKD2" s="88"/>
      <c r="WKE2" s="88"/>
      <c r="WKF2" s="88"/>
      <c r="WKG2" s="88"/>
      <c r="WKH2" s="88"/>
      <c r="WKI2" s="88"/>
      <c r="WKJ2" s="88"/>
      <c r="WKK2" s="88"/>
      <c r="WKL2" s="88"/>
      <c r="WKM2" s="88"/>
      <c r="WKN2" s="88"/>
      <c r="WKO2" s="88"/>
      <c r="WKP2" s="88"/>
      <c r="WKQ2" s="88"/>
      <c r="WKR2" s="88"/>
      <c r="WKS2" s="88"/>
      <c r="WKT2" s="88"/>
      <c r="WKU2" s="88"/>
      <c r="WKV2" s="88"/>
      <c r="WKW2" s="88"/>
      <c r="WKX2" s="88"/>
      <c r="WKY2" s="88"/>
      <c r="WKZ2" s="88"/>
      <c r="WLA2" s="88"/>
      <c r="WLB2" s="88"/>
      <c r="WLC2" s="88"/>
      <c r="WLD2" s="88"/>
      <c r="WLE2" s="88"/>
      <c r="WLF2" s="88"/>
      <c r="WLG2" s="88"/>
      <c r="WLH2" s="88"/>
      <c r="WLI2" s="88"/>
      <c r="WLJ2" s="88"/>
      <c r="WLK2" s="88"/>
      <c r="WLL2" s="88"/>
      <c r="WLM2" s="88"/>
      <c r="WLN2" s="88"/>
      <c r="WLO2" s="88"/>
      <c r="WLP2" s="88"/>
      <c r="WLQ2" s="88"/>
      <c r="WLR2" s="88"/>
      <c r="WLS2" s="88"/>
      <c r="WLT2" s="88"/>
      <c r="WLU2" s="88"/>
      <c r="WLV2" s="88"/>
      <c r="WLW2" s="88"/>
      <c r="WLX2" s="88"/>
      <c r="WLY2" s="88"/>
      <c r="WLZ2" s="88"/>
      <c r="WMA2" s="88"/>
      <c r="WMB2" s="88"/>
      <c r="WMC2" s="88"/>
      <c r="WMD2" s="88"/>
      <c r="WME2" s="88"/>
      <c r="WMF2" s="88"/>
      <c r="WMG2" s="88"/>
      <c r="WMH2" s="88"/>
      <c r="WMI2" s="88"/>
      <c r="WMJ2" s="88"/>
      <c r="WMK2" s="88"/>
      <c r="WML2" s="88"/>
      <c r="WMM2" s="88"/>
      <c r="WMN2" s="88"/>
      <c r="WMO2" s="88"/>
      <c r="WMP2" s="88"/>
      <c r="WMQ2" s="88"/>
      <c r="WMR2" s="88"/>
      <c r="WMS2" s="88"/>
      <c r="WMT2" s="88"/>
      <c r="WMU2" s="88"/>
      <c r="WMV2" s="88"/>
      <c r="WMW2" s="88"/>
      <c r="WMX2" s="88"/>
      <c r="WMY2" s="88"/>
      <c r="WMZ2" s="88"/>
      <c r="WNA2" s="88"/>
      <c r="WNB2" s="88"/>
      <c r="WNC2" s="88"/>
      <c r="WND2" s="88"/>
      <c r="WNE2" s="88"/>
      <c r="WNF2" s="88"/>
      <c r="WNG2" s="88"/>
      <c r="WNH2" s="88"/>
      <c r="WNI2" s="88"/>
      <c r="WNJ2" s="88"/>
      <c r="WNK2" s="88"/>
      <c r="WNL2" s="88"/>
      <c r="WNM2" s="88"/>
      <c r="WNN2" s="88"/>
      <c r="WNO2" s="88"/>
      <c r="WNP2" s="88"/>
      <c r="WNQ2" s="88"/>
      <c r="WNR2" s="88"/>
      <c r="WNS2" s="88"/>
      <c r="WNT2" s="88"/>
      <c r="WNU2" s="88"/>
      <c r="WNV2" s="88"/>
      <c r="WNW2" s="88"/>
      <c r="WNX2" s="88"/>
      <c r="WNY2" s="88"/>
      <c r="WNZ2" s="88"/>
      <c r="WOA2" s="88"/>
      <c r="WOB2" s="88"/>
      <c r="WOC2" s="88"/>
      <c r="WOD2" s="88"/>
      <c r="WOE2" s="88"/>
      <c r="WOF2" s="88"/>
      <c r="WOG2" s="88"/>
      <c r="WOH2" s="88"/>
      <c r="WOI2" s="88"/>
      <c r="WOJ2" s="88"/>
      <c r="WOK2" s="88"/>
      <c r="WOL2" s="88"/>
      <c r="WOM2" s="88"/>
      <c r="WON2" s="88"/>
      <c r="WOO2" s="88"/>
      <c r="WOP2" s="88"/>
      <c r="WOQ2" s="88"/>
      <c r="WOR2" s="88"/>
      <c r="WOS2" s="88"/>
      <c r="WOT2" s="88"/>
      <c r="WOU2" s="88"/>
      <c r="WOV2" s="88"/>
      <c r="WOW2" s="88"/>
      <c r="WOX2" s="88"/>
      <c r="WOY2" s="88"/>
      <c r="WOZ2" s="88"/>
      <c r="WPA2" s="88"/>
      <c r="WPB2" s="88"/>
      <c r="WPC2" s="88"/>
      <c r="WPD2" s="88"/>
      <c r="WPE2" s="88"/>
      <c r="WPF2" s="88"/>
      <c r="WPG2" s="88"/>
      <c r="WPH2" s="88"/>
      <c r="WPI2" s="88"/>
      <c r="WPJ2" s="88"/>
      <c r="WPK2" s="88"/>
      <c r="WPL2" s="88"/>
      <c r="WPM2" s="88"/>
      <c r="WPN2" s="88"/>
      <c r="WPO2" s="88"/>
      <c r="WPP2" s="88"/>
      <c r="WPQ2" s="88"/>
      <c r="WPR2" s="88"/>
      <c r="WPS2" s="88"/>
      <c r="WPT2" s="88"/>
      <c r="WPU2" s="88"/>
      <c r="WPV2" s="88"/>
      <c r="WPW2" s="88"/>
      <c r="WPX2" s="88"/>
      <c r="WPY2" s="88"/>
      <c r="WPZ2" s="88"/>
      <c r="WQA2" s="88"/>
      <c r="WQB2" s="88"/>
      <c r="WQC2" s="88"/>
      <c r="WQD2" s="88"/>
      <c r="WQE2" s="88"/>
      <c r="WQF2" s="88"/>
      <c r="WQG2" s="88"/>
      <c r="WQH2" s="88"/>
      <c r="WQI2" s="88"/>
      <c r="WQJ2" s="88"/>
      <c r="WQK2" s="88"/>
      <c r="WQL2" s="88"/>
      <c r="WQM2" s="88"/>
      <c r="WQN2" s="88"/>
      <c r="WQO2" s="88"/>
      <c r="WQP2" s="88"/>
      <c r="WQQ2" s="88"/>
      <c r="WQR2" s="88"/>
      <c r="WQS2" s="88"/>
      <c r="WQT2" s="88"/>
      <c r="WQU2" s="88"/>
      <c r="WQV2" s="88"/>
      <c r="WQW2" s="88"/>
      <c r="WQX2" s="88"/>
      <c r="WQY2" s="88"/>
      <c r="WQZ2" s="88"/>
      <c r="WRA2" s="88"/>
      <c r="WRB2" s="88"/>
      <c r="WRC2" s="88"/>
      <c r="WRD2" s="88"/>
      <c r="WRE2" s="88"/>
      <c r="WRF2" s="88"/>
      <c r="WRG2" s="88"/>
      <c r="WRH2" s="88"/>
      <c r="WRI2" s="88"/>
      <c r="WRJ2" s="88"/>
      <c r="WRK2" s="88"/>
      <c r="WRL2" s="88"/>
      <c r="WRM2" s="88"/>
      <c r="WRN2" s="88"/>
      <c r="WRO2" s="88"/>
      <c r="WRP2" s="88"/>
      <c r="WRQ2" s="88"/>
      <c r="WRR2" s="88"/>
      <c r="WRS2" s="88"/>
      <c r="WRT2" s="88"/>
      <c r="WRU2" s="88"/>
      <c r="WRV2" s="88"/>
      <c r="WRW2" s="88"/>
      <c r="WRX2" s="88"/>
      <c r="WRY2" s="88"/>
      <c r="WRZ2" s="88"/>
      <c r="WSA2" s="88"/>
      <c r="WSB2" s="88"/>
      <c r="WSC2" s="88"/>
      <c r="WSD2" s="88"/>
      <c r="WSE2" s="88"/>
      <c r="WSF2" s="88"/>
      <c r="WSG2" s="88"/>
      <c r="WSH2" s="88"/>
      <c r="WSI2" s="88"/>
      <c r="WSJ2" s="88"/>
      <c r="WSK2" s="88"/>
      <c r="WSL2" s="88"/>
      <c r="WSM2" s="88"/>
      <c r="WSN2" s="88"/>
      <c r="WSO2" s="88"/>
      <c r="WSP2" s="88"/>
      <c r="WSQ2" s="88"/>
      <c r="WSR2" s="88"/>
      <c r="WSS2" s="88"/>
      <c r="WST2" s="88"/>
      <c r="WSU2" s="88"/>
      <c r="WSV2" s="88"/>
      <c r="WSW2" s="88"/>
      <c r="WSX2" s="88"/>
      <c r="WSY2" s="88"/>
      <c r="WSZ2" s="88"/>
      <c r="WTA2" s="88"/>
      <c r="WTB2" s="88"/>
      <c r="WTC2" s="88"/>
      <c r="WTD2" s="88"/>
      <c r="WTE2" s="88"/>
      <c r="WTF2" s="88"/>
      <c r="WTG2" s="88"/>
      <c r="WTH2" s="88"/>
      <c r="WTI2" s="88"/>
      <c r="WTJ2" s="88"/>
      <c r="WTK2" s="88"/>
      <c r="WTL2" s="88"/>
      <c r="WTM2" s="88"/>
      <c r="WTN2" s="88"/>
      <c r="WTO2" s="88"/>
      <c r="WTP2" s="88"/>
      <c r="WTQ2" s="88"/>
      <c r="WTR2" s="88"/>
      <c r="WTS2" s="88"/>
      <c r="WTT2" s="88"/>
      <c r="WTU2" s="88"/>
      <c r="WTV2" s="88"/>
      <c r="WTW2" s="88"/>
      <c r="WTX2" s="88"/>
      <c r="WTY2" s="88"/>
      <c r="WTZ2" s="88"/>
      <c r="WUA2" s="88"/>
      <c r="WUB2" s="88"/>
      <c r="WUC2" s="88"/>
      <c r="WUD2" s="88"/>
      <c r="WUE2" s="88"/>
      <c r="WUF2" s="88"/>
      <c r="WUG2" s="88"/>
      <c r="WUH2" s="88"/>
      <c r="WUI2" s="88"/>
      <c r="WUJ2" s="88"/>
      <c r="WUK2" s="88"/>
      <c r="WUL2" s="88"/>
      <c r="WUM2" s="88"/>
      <c r="WUN2" s="88"/>
      <c r="WUO2" s="88"/>
      <c r="WUP2" s="88"/>
      <c r="WUQ2" s="88"/>
      <c r="WUR2" s="88"/>
      <c r="WUS2" s="88"/>
      <c r="WUT2" s="88"/>
      <c r="WUU2" s="88"/>
      <c r="WUV2" s="88"/>
      <c r="WUW2" s="88"/>
      <c r="WUX2" s="88"/>
      <c r="WUY2" s="88"/>
      <c r="WUZ2" s="88"/>
      <c r="WVA2" s="88"/>
      <c r="WVB2" s="88"/>
      <c r="WVC2" s="88"/>
      <c r="WVD2" s="88"/>
      <c r="WVE2" s="88"/>
      <c r="WVF2" s="88"/>
      <c r="WVG2" s="88"/>
      <c r="WVH2" s="88"/>
      <c r="WVI2" s="88"/>
      <c r="WVJ2" s="88"/>
      <c r="WVK2" s="88"/>
      <c r="WVL2" s="88"/>
      <c r="WVM2" s="88"/>
      <c r="WVN2" s="88"/>
      <c r="WVO2" s="88"/>
      <c r="WVP2" s="88"/>
      <c r="WVQ2" s="88"/>
      <c r="WVR2" s="88"/>
      <c r="WVS2" s="88"/>
      <c r="WVT2" s="88"/>
      <c r="WVU2" s="88"/>
      <c r="WVV2" s="88"/>
      <c r="WVW2" s="88"/>
      <c r="WVX2" s="88"/>
      <c r="WVY2" s="88"/>
      <c r="WVZ2" s="88"/>
      <c r="WWA2" s="88"/>
      <c r="WWB2" s="88"/>
      <c r="WWC2" s="88"/>
      <c r="WWD2" s="88"/>
      <c r="WWE2" s="88"/>
      <c r="WWF2" s="88"/>
      <c r="WWG2" s="88"/>
      <c r="WWH2" s="88"/>
      <c r="WWI2" s="88"/>
      <c r="WWJ2" s="88"/>
      <c r="WWK2" s="88"/>
      <c r="WWL2" s="88"/>
      <c r="WWM2" s="88"/>
      <c r="WWN2" s="88"/>
      <c r="WWO2" s="88"/>
      <c r="WWP2" s="88"/>
      <c r="WWQ2" s="88"/>
      <c r="WWR2" s="88"/>
      <c r="WWS2" s="88"/>
      <c r="WWT2" s="88"/>
      <c r="WWU2" s="88"/>
      <c r="WWV2" s="88"/>
      <c r="WWW2" s="88"/>
      <c r="WWX2" s="88"/>
      <c r="WWY2" s="88"/>
      <c r="WWZ2" s="88"/>
      <c r="WXA2" s="88"/>
      <c r="WXB2" s="88"/>
      <c r="WXC2" s="88"/>
      <c r="WXD2" s="88"/>
      <c r="WXE2" s="88"/>
      <c r="WXF2" s="70"/>
      <c r="WXG2" s="70"/>
      <c r="WXH2" s="70"/>
      <c r="WXI2" s="70"/>
      <c r="WXJ2" s="70"/>
      <c r="WXK2" s="70"/>
      <c r="WXL2" s="70"/>
      <c r="WXM2" s="70"/>
      <c r="WXN2" s="70"/>
      <c r="WXO2" s="70"/>
      <c r="WXP2" s="70"/>
      <c r="WXQ2" s="70"/>
      <c r="WXR2" s="70"/>
      <c r="WXS2" s="70"/>
      <c r="WXT2" s="70"/>
      <c r="WXU2" s="70"/>
      <c r="WXV2" s="70"/>
      <c r="WXW2" s="70"/>
      <c r="WXX2" s="70"/>
      <c r="WXY2" s="70"/>
      <c r="WXZ2" s="70"/>
      <c r="WYA2" s="70"/>
      <c r="WYB2" s="70"/>
      <c r="WYC2" s="70"/>
      <c r="WYD2" s="70"/>
      <c r="WYE2" s="70"/>
      <c r="WYF2" s="70"/>
      <c r="WYG2" s="70"/>
      <c r="WYH2" s="70"/>
      <c r="WYI2" s="70"/>
      <c r="WYJ2" s="70"/>
      <c r="WYK2" s="70"/>
      <c r="WYL2" s="70"/>
      <c r="WYM2" s="70"/>
      <c r="WYN2" s="70"/>
      <c r="WYO2" s="70"/>
      <c r="WYP2" s="70"/>
      <c r="WYQ2" s="70"/>
      <c r="WYR2" s="70"/>
      <c r="WYS2" s="70"/>
      <c r="WYT2" s="70"/>
      <c r="WYU2" s="70"/>
      <c r="WYV2" s="70"/>
      <c r="WYW2" s="70"/>
      <c r="WYX2" s="70"/>
      <c r="WYY2" s="70"/>
      <c r="WYZ2" s="70"/>
      <c r="WZA2" s="70"/>
      <c r="WZB2" s="70"/>
      <c r="WZC2" s="70"/>
      <c r="WZD2" s="70"/>
      <c r="WZE2" s="70"/>
      <c r="WZF2" s="70"/>
      <c r="WZG2" s="70"/>
      <c r="WZH2" s="70"/>
      <c r="WZI2" s="70"/>
      <c r="WZJ2" s="70"/>
      <c r="WZK2" s="70"/>
      <c r="WZL2" s="70"/>
      <c r="WZM2" s="70"/>
      <c r="WZN2" s="70"/>
      <c r="WZO2" s="70"/>
      <c r="WZP2" s="70"/>
      <c r="WZQ2" s="70"/>
      <c r="WZR2" s="70"/>
      <c r="WZS2" s="70"/>
      <c r="WZT2" s="70"/>
      <c r="WZU2" s="70"/>
      <c r="WZV2" s="70"/>
      <c r="WZW2" s="70"/>
      <c r="WZX2" s="70"/>
      <c r="WZY2" s="70"/>
      <c r="WZZ2" s="70"/>
      <c r="XAA2" s="70"/>
      <c r="XAB2" s="70"/>
      <c r="XAC2" s="70"/>
      <c r="XAD2" s="70"/>
      <c r="XAE2" s="70"/>
      <c r="XAF2" s="70"/>
      <c r="XAG2" s="70"/>
      <c r="XAH2" s="70"/>
      <c r="XAI2" s="70"/>
      <c r="XAJ2" s="70"/>
      <c r="XAK2" s="70"/>
      <c r="XAL2" s="70"/>
      <c r="XAM2" s="70"/>
      <c r="XAN2" s="70"/>
      <c r="XAO2" s="70"/>
      <c r="XAP2" s="70"/>
      <c r="XAQ2" s="70"/>
      <c r="XAR2" s="70"/>
      <c r="XAS2" s="70"/>
      <c r="XAT2" s="70"/>
      <c r="XAU2" s="70"/>
      <c r="XAV2" s="70"/>
      <c r="XAW2" s="70"/>
      <c r="XAX2" s="70"/>
      <c r="XAY2" s="70"/>
      <c r="XAZ2" s="70"/>
      <c r="XBA2" s="70"/>
      <c r="XBB2" s="70"/>
      <c r="XBC2" s="70"/>
      <c r="XBD2" s="70"/>
      <c r="XBE2" s="70"/>
      <c r="XBF2" s="70"/>
      <c r="XBG2" s="70"/>
      <c r="XBH2" s="70"/>
      <c r="XBI2" s="70"/>
      <c r="XBJ2" s="70"/>
      <c r="XBK2" s="70"/>
      <c r="XBL2" s="70"/>
      <c r="XBM2" s="70"/>
      <c r="XBN2" s="70"/>
      <c r="XBO2" s="70"/>
      <c r="XBP2" s="70"/>
      <c r="XBQ2" s="70"/>
      <c r="XBR2" s="70"/>
      <c r="XBS2" s="70"/>
      <c r="XBT2" s="70"/>
      <c r="XBU2" s="70"/>
      <c r="XBV2" s="70"/>
      <c r="XBW2" s="70"/>
      <c r="XBX2" s="70"/>
      <c r="XBY2" s="70"/>
      <c r="XBZ2" s="70"/>
      <c r="XCA2" s="70"/>
      <c r="XCB2" s="70"/>
      <c r="XCC2" s="70"/>
      <c r="XCD2" s="70"/>
      <c r="XCE2" s="70"/>
      <c r="XCF2" s="70"/>
      <c r="XCG2" s="70"/>
      <c r="XCH2" s="70"/>
      <c r="XCI2" s="70"/>
      <c r="XCJ2" s="70"/>
      <c r="XCK2" s="70"/>
      <c r="XCL2" s="70"/>
      <c r="XCM2" s="70"/>
      <c r="XCN2" s="70"/>
      <c r="XCO2" s="70"/>
      <c r="XCP2" s="70"/>
      <c r="XCQ2" s="70"/>
      <c r="XCR2" s="70"/>
      <c r="XCS2" s="70"/>
      <c r="XCT2" s="70"/>
      <c r="XCU2" s="70"/>
      <c r="XCV2" s="70"/>
      <c r="XCW2" s="70"/>
      <c r="XCX2" s="70"/>
      <c r="XCY2" s="70"/>
      <c r="XCZ2" s="70"/>
      <c r="XDA2" s="70"/>
      <c r="XDB2" s="70"/>
      <c r="XDC2" s="70"/>
      <c r="XDD2" s="70"/>
      <c r="XDE2" s="70"/>
      <c r="XDF2" s="70"/>
      <c r="XDG2" s="70"/>
      <c r="XDH2" s="70"/>
      <c r="XDI2" s="70"/>
      <c r="XDJ2" s="70"/>
      <c r="XDK2" s="70"/>
      <c r="XDL2" s="70"/>
      <c r="XDM2" s="70"/>
      <c r="XDN2" s="70"/>
      <c r="XDO2" s="70"/>
      <c r="XDP2" s="70"/>
      <c r="XDQ2" s="70"/>
      <c r="XDR2" s="70"/>
      <c r="XDS2" s="70"/>
      <c r="XDT2" s="70"/>
      <c r="XDU2" s="70"/>
      <c r="XDV2" s="70"/>
      <c r="XDW2" s="70"/>
      <c r="XDX2" s="70"/>
      <c r="XDY2" s="70"/>
      <c r="XDZ2" s="70"/>
      <c r="XEA2" s="70"/>
      <c r="XEB2" s="70"/>
      <c r="XEC2" s="70"/>
      <c r="XED2" s="70"/>
      <c r="XEE2" s="70"/>
      <c r="XEF2" s="70"/>
      <c r="XEG2" s="70"/>
      <c r="XEH2" s="70"/>
      <c r="XEI2" s="70"/>
      <c r="XEJ2" s="70"/>
      <c r="XEK2" s="70"/>
      <c r="XEL2" s="70"/>
      <c r="XEM2" s="70"/>
      <c r="XEN2" s="70"/>
      <c r="XEO2" s="70"/>
      <c r="XEP2" s="70"/>
      <c r="XEQ2" s="70"/>
      <c r="XER2" s="70"/>
      <c r="XES2" s="70"/>
      <c r="XET2" s="70"/>
      <c r="XEU2" s="70"/>
      <c r="XEV2" s="70"/>
      <c r="XEW2" s="70"/>
      <c r="XEX2" s="70"/>
      <c r="XEY2" s="70"/>
      <c r="XEZ2" s="70"/>
      <c r="XFA2" s="70"/>
      <c r="XFB2" s="70"/>
      <c r="XFC2" s="70"/>
      <c r="XFD2" s="70"/>
    </row>
    <row r="3" s="21" customFormat="1" ht="45" customHeight="1" spans="1:16368">
      <c r="A3" s="32" t="s">
        <v>3</v>
      </c>
      <c r="B3" s="33" t="s">
        <v>4</v>
      </c>
      <c r="C3" s="32" t="s">
        <v>5</v>
      </c>
      <c r="D3" s="33" t="s">
        <v>6</v>
      </c>
      <c r="E3" s="33" t="s">
        <v>7</v>
      </c>
      <c r="F3" s="33" t="s">
        <v>8</v>
      </c>
      <c r="G3" s="33" t="s">
        <v>9</v>
      </c>
      <c r="H3" s="33" t="s">
        <v>10</v>
      </c>
      <c r="I3" s="50" t="s">
        <v>11</v>
      </c>
      <c r="J3" s="50" t="s">
        <v>12</v>
      </c>
      <c r="K3" s="51" t="s">
        <v>13</v>
      </c>
      <c r="L3" s="51" t="s">
        <v>14</v>
      </c>
      <c r="M3" s="51" t="s">
        <v>15</v>
      </c>
      <c r="N3" s="57" t="s">
        <v>16</v>
      </c>
      <c r="O3" s="57" t="s">
        <v>17</v>
      </c>
      <c r="P3" s="57" t="s">
        <v>18</v>
      </c>
      <c r="Q3" s="19" t="s">
        <v>19</v>
      </c>
      <c r="R3" s="19" t="s">
        <v>20</v>
      </c>
      <c r="S3" s="19" t="s">
        <v>21</v>
      </c>
      <c r="T3" s="51" t="s">
        <v>22</v>
      </c>
      <c r="U3" s="19" t="s">
        <v>23</v>
      </c>
      <c r="V3" s="9" t="s">
        <v>24</v>
      </c>
      <c r="W3" s="9" t="s">
        <v>25</v>
      </c>
      <c r="X3" s="10" t="s">
        <v>5</v>
      </c>
      <c r="Y3" s="9" t="s">
        <v>26</v>
      </c>
      <c r="Z3" s="9" t="s">
        <v>27</v>
      </c>
      <c r="AA3" s="9" t="s">
        <v>9</v>
      </c>
      <c r="AB3" s="9" t="s">
        <v>28</v>
      </c>
      <c r="AC3" s="17" t="s">
        <v>29</v>
      </c>
      <c r="AD3" s="17" t="s">
        <v>30</v>
      </c>
      <c r="AE3" s="17" t="s">
        <v>31</v>
      </c>
      <c r="AF3" s="19" t="s">
        <v>32</v>
      </c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  <c r="DH3" s="89"/>
      <c r="DI3" s="89"/>
      <c r="DJ3" s="89"/>
      <c r="DK3" s="89"/>
      <c r="DL3" s="89"/>
      <c r="DM3" s="89"/>
      <c r="DN3" s="89"/>
      <c r="DO3" s="89"/>
      <c r="DP3" s="89"/>
      <c r="DQ3" s="89"/>
      <c r="DR3" s="89"/>
      <c r="DS3" s="89"/>
      <c r="DT3" s="89"/>
      <c r="DU3" s="89"/>
      <c r="DV3" s="89"/>
      <c r="DW3" s="89"/>
      <c r="DX3" s="89"/>
      <c r="DY3" s="89"/>
      <c r="DZ3" s="89"/>
      <c r="EA3" s="89"/>
      <c r="EB3" s="89"/>
      <c r="EC3" s="89"/>
      <c r="ED3" s="89"/>
      <c r="EE3" s="89"/>
      <c r="EF3" s="89"/>
      <c r="EG3" s="89"/>
      <c r="EH3" s="89"/>
      <c r="EI3" s="89"/>
      <c r="EJ3" s="89"/>
      <c r="EK3" s="89"/>
      <c r="EL3" s="89"/>
      <c r="EM3" s="89"/>
      <c r="EN3" s="89"/>
      <c r="EO3" s="89"/>
      <c r="EP3" s="89"/>
      <c r="EQ3" s="89"/>
      <c r="ER3" s="89"/>
      <c r="ES3" s="89"/>
      <c r="ET3" s="89"/>
      <c r="EU3" s="89"/>
      <c r="EV3" s="89"/>
      <c r="EW3" s="89"/>
      <c r="EX3" s="89"/>
      <c r="EY3" s="89"/>
      <c r="EZ3" s="89"/>
      <c r="FA3" s="89"/>
      <c r="FB3" s="89"/>
      <c r="FC3" s="89"/>
      <c r="FD3" s="89"/>
      <c r="FE3" s="89"/>
      <c r="FF3" s="89"/>
      <c r="FG3" s="89"/>
      <c r="FH3" s="89"/>
      <c r="FI3" s="89"/>
      <c r="FJ3" s="89"/>
      <c r="FK3" s="89"/>
      <c r="FL3" s="89"/>
      <c r="FM3" s="89"/>
      <c r="FN3" s="89"/>
      <c r="FO3" s="89"/>
      <c r="FP3" s="89"/>
      <c r="FQ3" s="89"/>
      <c r="FR3" s="89"/>
      <c r="FS3" s="89"/>
      <c r="FT3" s="89"/>
      <c r="FU3" s="89"/>
      <c r="FV3" s="89"/>
      <c r="FW3" s="89"/>
      <c r="FX3" s="89"/>
      <c r="FY3" s="89"/>
      <c r="FZ3" s="89"/>
      <c r="GA3" s="89"/>
      <c r="GB3" s="89"/>
      <c r="GC3" s="89"/>
      <c r="GD3" s="89"/>
      <c r="GE3" s="89"/>
      <c r="GF3" s="89"/>
      <c r="GG3" s="89"/>
      <c r="GH3" s="89"/>
      <c r="GI3" s="89"/>
      <c r="GJ3" s="89"/>
      <c r="GK3" s="89"/>
      <c r="GL3" s="89"/>
      <c r="GM3" s="89"/>
      <c r="GN3" s="89"/>
      <c r="GO3" s="89"/>
      <c r="GP3" s="89"/>
      <c r="GQ3" s="89"/>
      <c r="GR3" s="89"/>
      <c r="GS3" s="89"/>
      <c r="GT3" s="89"/>
      <c r="GU3" s="89"/>
      <c r="GV3" s="89"/>
      <c r="GW3" s="89"/>
      <c r="GX3" s="89"/>
      <c r="GY3" s="89"/>
      <c r="GZ3" s="89"/>
      <c r="HA3" s="89"/>
      <c r="HB3" s="89"/>
      <c r="HC3" s="89"/>
      <c r="HD3" s="89"/>
      <c r="HE3" s="89"/>
      <c r="HF3" s="89"/>
      <c r="HG3" s="89"/>
      <c r="HH3" s="89"/>
      <c r="HI3" s="89"/>
      <c r="HJ3" s="89"/>
      <c r="HK3" s="89"/>
      <c r="HL3" s="89"/>
      <c r="HM3" s="89"/>
      <c r="HN3" s="89"/>
      <c r="HO3" s="89"/>
      <c r="HP3" s="89"/>
      <c r="HQ3" s="89"/>
      <c r="HR3" s="89"/>
      <c r="HS3" s="89"/>
      <c r="HT3" s="89"/>
      <c r="HU3" s="89"/>
      <c r="HV3" s="89"/>
      <c r="HW3" s="89"/>
      <c r="HX3" s="89"/>
      <c r="HY3" s="89"/>
      <c r="HZ3" s="89"/>
      <c r="IA3" s="89"/>
      <c r="IB3" s="89"/>
      <c r="IC3" s="89"/>
      <c r="ID3" s="89"/>
      <c r="IE3" s="89"/>
      <c r="IF3" s="89"/>
      <c r="IG3" s="89"/>
      <c r="IH3" s="89"/>
      <c r="II3" s="89"/>
      <c r="IJ3" s="89"/>
      <c r="IK3" s="89"/>
      <c r="IL3" s="89"/>
      <c r="IM3" s="89"/>
      <c r="IN3" s="89"/>
      <c r="IO3" s="89"/>
      <c r="IP3" s="89"/>
      <c r="IQ3" s="89"/>
      <c r="IR3" s="89"/>
      <c r="IS3" s="89"/>
      <c r="IT3" s="89"/>
      <c r="IU3" s="89"/>
      <c r="IV3" s="89"/>
      <c r="IW3" s="89"/>
      <c r="IX3" s="89"/>
      <c r="IY3" s="89"/>
      <c r="IZ3" s="89"/>
      <c r="JA3" s="89"/>
      <c r="JB3" s="89"/>
      <c r="JC3" s="89"/>
      <c r="JD3" s="89"/>
      <c r="JE3" s="89"/>
      <c r="JF3" s="89"/>
      <c r="JG3" s="89"/>
      <c r="JH3" s="89"/>
      <c r="JI3" s="89"/>
      <c r="JJ3" s="89"/>
      <c r="JK3" s="89"/>
      <c r="JL3" s="89"/>
      <c r="JM3" s="89"/>
      <c r="JN3" s="89"/>
      <c r="JO3" s="89"/>
      <c r="JP3" s="89"/>
      <c r="JQ3" s="89"/>
      <c r="JR3" s="89"/>
      <c r="JS3" s="89"/>
      <c r="JT3" s="89"/>
      <c r="JU3" s="89"/>
      <c r="JV3" s="89"/>
      <c r="JW3" s="89"/>
      <c r="JX3" s="89"/>
      <c r="JY3" s="89"/>
      <c r="JZ3" s="89"/>
      <c r="KA3" s="89"/>
      <c r="KB3" s="89"/>
      <c r="KC3" s="89"/>
      <c r="KD3" s="89"/>
      <c r="KE3" s="89"/>
      <c r="KF3" s="89"/>
      <c r="KG3" s="89"/>
      <c r="KH3" s="89"/>
      <c r="KI3" s="89"/>
      <c r="KJ3" s="89"/>
      <c r="KK3" s="89"/>
      <c r="KL3" s="89"/>
      <c r="KM3" s="89"/>
      <c r="KN3" s="89"/>
      <c r="KO3" s="89"/>
      <c r="KP3" s="89"/>
      <c r="KQ3" s="89"/>
      <c r="KR3" s="89"/>
      <c r="KS3" s="89"/>
      <c r="KT3" s="89"/>
      <c r="KU3" s="89"/>
      <c r="KV3" s="89"/>
      <c r="KW3" s="89"/>
      <c r="KX3" s="89"/>
      <c r="KY3" s="89"/>
      <c r="KZ3" s="89"/>
      <c r="LA3" s="89"/>
      <c r="LB3" s="89"/>
      <c r="LC3" s="89"/>
      <c r="LD3" s="89"/>
      <c r="LE3" s="89"/>
      <c r="LF3" s="89"/>
      <c r="LG3" s="89"/>
      <c r="LH3" s="89"/>
      <c r="LI3" s="89"/>
      <c r="LJ3" s="89"/>
      <c r="LK3" s="89"/>
      <c r="LL3" s="89"/>
      <c r="LM3" s="89"/>
      <c r="LN3" s="89"/>
      <c r="LO3" s="89"/>
      <c r="LP3" s="89"/>
      <c r="LQ3" s="89"/>
      <c r="LR3" s="89"/>
      <c r="LS3" s="89"/>
      <c r="LT3" s="89"/>
      <c r="LU3" s="89"/>
      <c r="LV3" s="89"/>
      <c r="LW3" s="89"/>
      <c r="LX3" s="89"/>
      <c r="LY3" s="89"/>
      <c r="LZ3" s="89"/>
      <c r="MA3" s="89"/>
      <c r="MB3" s="89"/>
      <c r="MC3" s="89"/>
      <c r="MD3" s="89"/>
      <c r="ME3" s="89"/>
      <c r="MF3" s="89"/>
      <c r="MG3" s="89"/>
      <c r="MH3" s="89"/>
      <c r="MI3" s="89"/>
      <c r="MJ3" s="89"/>
      <c r="MK3" s="89"/>
      <c r="ML3" s="89"/>
      <c r="MM3" s="89"/>
      <c r="MN3" s="89"/>
      <c r="MO3" s="89"/>
      <c r="MP3" s="89"/>
      <c r="MQ3" s="89"/>
      <c r="MR3" s="89"/>
      <c r="MS3" s="89"/>
      <c r="MT3" s="89"/>
      <c r="MU3" s="89"/>
      <c r="MV3" s="89"/>
      <c r="MW3" s="89"/>
      <c r="MX3" s="89"/>
      <c r="MY3" s="89"/>
      <c r="MZ3" s="89"/>
      <c r="NA3" s="89"/>
      <c r="NB3" s="89"/>
      <c r="NC3" s="89"/>
      <c r="ND3" s="89"/>
      <c r="NE3" s="89"/>
      <c r="NF3" s="89"/>
      <c r="NG3" s="89"/>
      <c r="NH3" s="89"/>
      <c r="NI3" s="89"/>
      <c r="NJ3" s="89"/>
      <c r="NK3" s="89"/>
      <c r="NL3" s="89"/>
      <c r="NM3" s="89"/>
      <c r="NN3" s="89"/>
      <c r="NO3" s="89"/>
      <c r="NP3" s="89"/>
      <c r="NQ3" s="89"/>
      <c r="NR3" s="89"/>
      <c r="NS3" s="89"/>
      <c r="NT3" s="89"/>
      <c r="NU3" s="89"/>
      <c r="NV3" s="89"/>
      <c r="NW3" s="89"/>
      <c r="NX3" s="89"/>
      <c r="NY3" s="89"/>
      <c r="NZ3" s="89"/>
      <c r="OA3" s="89"/>
      <c r="OB3" s="89"/>
      <c r="OC3" s="89"/>
      <c r="OD3" s="89"/>
      <c r="OE3" s="89"/>
      <c r="OF3" s="89"/>
      <c r="OG3" s="89"/>
      <c r="OH3" s="89"/>
      <c r="OI3" s="89"/>
      <c r="OJ3" s="89"/>
      <c r="OK3" s="89"/>
      <c r="OL3" s="89"/>
      <c r="OM3" s="89"/>
      <c r="ON3" s="89"/>
      <c r="OO3" s="89"/>
      <c r="OP3" s="89"/>
      <c r="OQ3" s="89"/>
      <c r="OR3" s="89"/>
      <c r="OS3" s="89"/>
      <c r="OT3" s="89"/>
      <c r="OU3" s="89"/>
      <c r="OV3" s="89"/>
      <c r="OW3" s="89"/>
      <c r="OX3" s="89"/>
      <c r="OY3" s="89"/>
      <c r="OZ3" s="89"/>
      <c r="PA3" s="89"/>
      <c r="PB3" s="89"/>
      <c r="PC3" s="89"/>
      <c r="PD3" s="89"/>
      <c r="PE3" s="89"/>
      <c r="PF3" s="89"/>
      <c r="PG3" s="89"/>
      <c r="PH3" s="89"/>
      <c r="PI3" s="89"/>
      <c r="PJ3" s="89"/>
      <c r="PK3" s="89"/>
      <c r="PL3" s="89"/>
      <c r="PM3" s="89"/>
      <c r="PN3" s="89"/>
      <c r="PO3" s="89"/>
      <c r="PP3" s="89"/>
      <c r="PQ3" s="89"/>
      <c r="PR3" s="89"/>
      <c r="PS3" s="89"/>
      <c r="PT3" s="89"/>
      <c r="PU3" s="89"/>
      <c r="PV3" s="89"/>
      <c r="PW3" s="89"/>
      <c r="PX3" s="89"/>
      <c r="PY3" s="89"/>
      <c r="PZ3" s="89"/>
      <c r="QA3" s="89"/>
      <c r="QB3" s="89"/>
      <c r="QC3" s="89"/>
      <c r="QD3" s="89"/>
      <c r="QE3" s="89"/>
      <c r="QF3" s="89"/>
      <c r="QG3" s="89"/>
      <c r="QH3" s="89"/>
      <c r="QI3" s="89"/>
      <c r="QJ3" s="89"/>
      <c r="QK3" s="89"/>
      <c r="QL3" s="89"/>
      <c r="QM3" s="89"/>
      <c r="QN3" s="89"/>
      <c r="QO3" s="89"/>
      <c r="QP3" s="89"/>
      <c r="QQ3" s="89"/>
      <c r="QR3" s="89"/>
      <c r="QS3" s="89"/>
      <c r="QT3" s="89"/>
      <c r="QU3" s="89"/>
      <c r="QV3" s="89"/>
      <c r="QW3" s="89"/>
      <c r="QX3" s="89"/>
      <c r="QY3" s="89"/>
      <c r="QZ3" s="89"/>
      <c r="RA3" s="89"/>
      <c r="RB3" s="89"/>
      <c r="RC3" s="89"/>
      <c r="RD3" s="89"/>
      <c r="RE3" s="89"/>
      <c r="RF3" s="89"/>
      <c r="RG3" s="89"/>
      <c r="RH3" s="89"/>
      <c r="RI3" s="89"/>
      <c r="RJ3" s="89"/>
      <c r="RK3" s="89"/>
      <c r="RL3" s="89"/>
      <c r="RM3" s="89"/>
      <c r="RN3" s="89"/>
      <c r="RO3" s="89"/>
      <c r="RP3" s="89"/>
      <c r="RQ3" s="89"/>
      <c r="RR3" s="89"/>
      <c r="RS3" s="89"/>
      <c r="RT3" s="89"/>
      <c r="RU3" s="89"/>
      <c r="RV3" s="89"/>
      <c r="RW3" s="89"/>
      <c r="RX3" s="89"/>
      <c r="RY3" s="89"/>
      <c r="RZ3" s="89"/>
      <c r="SA3" s="89"/>
      <c r="SB3" s="89"/>
      <c r="SC3" s="89"/>
      <c r="SD3" s="89"/>
      <c r="SE3" s="89"/>
      <c r="SF3" s="89"/>
      <c r="SG3" s="89"/>
      <c r="SH3" s="89"/>
      <c r="SI3" s="89"/>
      <c r="SJ3" s="89"/>
      <c r="SK3" s="89"/>
      <c r="SL3" s="89"/>
      <c r="SM3" s="89"/>
      <c r="SN3" s="89"/>
      <c r="SO3" s="89"/>
      <c r="SP3" s="89"/>
      <c r="SQ3" s="89"/>
      <c r="SR3" s="89"/>
      <c r="SS3" s="89"/>
      <c r="ST3" s="89"/>
      <c r="SU3" s="89"/>
      <c r="SV3" s="89"/>
      <c r="SW3" s="89"/>
      <c r="SX3" s="89"/>
      <c r="SY3" s="89"/>
      <c r="SZ3" s="89"/>
      <c r="TA3" s="89"/>
      <c r="TB3" s="89"/>
      <c r="TC3" s="89"/>
      <c r="TD3" s="89"/>
      <c r="TE3" s="89"/>
      <c r="TF3" s="89"/>
      <c r="TG3" s="89"/>
      <c r="TH3" s="89"/>
      <c r="TI3" s="89"/>
      <c r="TJ3" s="89"/>
      <c r="TK3" s="89"/>
      <c r="TL3" s="89"/>
      <c r="TM3" s="89"/>
      <c r="TN3" s="89"/>
      <c r="TO3" s="89"/>
      <c r="TP3" s="89"/>
      <c r="TQ3" s="89"/>
      <c r="TR3" s="89"/>
      <c r="TS3" s="89"/>
      <c r="TT3" s="89"/>
      <c r="TU3" s="89"/>
      <c r="TV3" s="89"/>
      <c r="TW3" s="89"/>
      <c r="TX3" s="89"/>
      <c r="TY3" s="89"/>
      <c r="TZ3" s="89"/>
      <c r="UA3" s="89"/>
      <c r="UB3" s="89"/>
      <c r="UC3" s="89"/>
      <c r="UD3" s="89"/>
      <c r="UE3" s="89"/>
      <c r="UF3" s="89"/>
      <c r="UG3" s="89"/>
      <c r="UH3" s="89"/>
      <c r="UI3" s="89"/>
      <c r="UJ3" s="89"/>
      <c r="UK3" s="89"/>
      <c r="UL3" s="89"/>
      <c r="UM3" s="89"/>
      <c r="UN3" s="89"/>
      <c r="UO3" s="89"/>
      <c r="UP3" s="89"/>
      <c r="UQ3" s="89"/>
      <c r="UR3" s="89"/>
      <c r="US3" s="89"/>
      <c r="UT3" s="89"/>
      <c r="UU3" s="89"/>
      <c r="UV3" s="89"/>
      <c r="UW3" s="89"/>
      <c r="UX3" s="89"/>
      <c r="UY3" s="89"/>
      <c r="UZ3" s="89"/>
      <c r="VA3" s="89"/>
      <c r="VB3" s="89"/>
      <c r="VC3" s="89"/>
      <c r="VD3" s="89"/>
      <c r="VE3" s="89"/>
      <c r="VF3" s="89"/>
      <c r="VG3" s="89"/>
      <c r="VH3" s="89"/>
      <c r="VI3" s="89"/>
      <c r="VJ3" s="89"/>
      <c r="VK3" s="89"/>
      <c r="VL3" s="89"/>
      <c r="VM3" s="89"/>
      <c r="VN3" s="89"/>
      <c r="VO3" s="89"/>
      <c r="VP3" s="89"/>
      <c r="VQ3" s="89"/>
      <c r="VR3" s="89"/>
      <c r="VS3" s="89"/>
      <c r="VT3" s="89"/>
      <c r="VU3" s="89"/>
      <c r="VV3" s="89"/>
      <c r="VW3" s="89"/>
      <c r="VX3" s="89"/>
      <c r="VY3" s="89"/>
      <c r="VZ3" s="89"/>
      <c r="WA3" s="89"/>
      <c r="WB3" s="89"/>
      <c r="WC3" s="89"/>
      <c r="WD3" s="89"/>
      <c r="WE3" s="89"/>
      <c r="WF3" s="89"/>
      <c r="WG3" s="89"/>
      <c r="WH3" s="89"/>
      <c r="WI3" s="89"/>
      <c r="WJ3" s="89"/>
      <c r="WK3" s="89"/>
      <c r="WL3" s="89"/>
      <c r="WM3" s="89"/>
      <c r="WN3" s="89"/>
      <c r="WO3" s="89"/>
      <c r="WP3" s="89"/>
      <c r="WQ3" s="89"/>
      <c r="WR3" s="89"/>
      <c r="WS3" s="89"/>
      <c r="WT3" s="89"/>
      <c r="WU3" s="89"/>
      <c r="WV3" s="89"/>
      <c r="WW3" s="89"/>
      <c r="WX3" s="89"/>
      <c r="WY3" s="89"/>
      <c r="WZ3" s="89"/>
      <c r="XA3" s="89"/>
      <c r="XB3" s="89"/>
      <c r="XC3" s="89"/>
      <c r="XD3" s="89"/>
      <c r="XE3" s="89"/>
      <c r="XF3" s="89"/>
      <c r="XG3" s="89"/>
      <c r="XH3" s="89"/>
      <c r="XI3" s="89"/>
      <c r="XJ3" s="89"/>
      <c r="XK3" s="89"/>
      <c r="XL3" s="89"/>
      <c r="XM3" s="89"/>
      <c r="XN3" s="89"/>
      <c r="XO3" s="89"/>
      <c r="XP3" s="89"/>
      <c r="XQ3" s="89"/>
      <c r="XR3" s="89"/>
      <c r="XS3" s="89"/>
      <c r="XT3" s="89"/>
      <c r="XU3" s="89"/>
      <c r="XV3" s="89"/>
      <c r="XW3" s="89"/>
      <c r="XX3" s="89"/>
      <c r="XY3" s="89"/>
      <c r="XZ3" s="89"/>
      <c r="YA3" s="89"/>
      <c r="YB3" s="89"/>
      <c r="YC3" s="89"/>
      <c r="YD3" s="89"/>
      <c r="YE3" s="89"/>
      <c r="YF3" s="89"/>
      <c r="YG3" s="89"/>
      <c r="YH3" s="89"/>
      <c r="YI3" s="89"/>
      <c r="YJ3" s="89"/>
      <c r="YK3" s="89"/>
      <c r="YL3" s="89"/>
      <c r="YM3" s="89"/>
      <c r="YN3" s="89"/>
      <c r="YO3" s="89"/>
      <c r="YP3" s="89"/>
      <c r="YQ3" s="89"/>
      <c r="YR3" s="89"/>
      <c r="YS3" s="89"/>
      <c r="YT3" s="89"/>
      <c r="YU3" s="89"/>
      <c r="YV3" s="89"/>
      <c r="YW3" s="89"/>
      <c r="YX3" s="89"/>
      <c r="YY3" s="89"/>
      <c r="YZ3" s="89"/>
      <c r="ZA3" s="89"/>
      <c r="ZB3" s="89"/>
      <c r="ZC3" s="89"/>
      <c r="ZD3" s="89"/>
      <c r="ZE3" s="89"/>
      <c r="ZF3" s="89"/>
      <c r="ZG3" s="89"/>
      <c r="ZH3" s="89"/>
      <c r="ZI3" s="89"/>
      <c r="ZJ3" s="89"/>
      <c r="ZK3" s="89"/>
      <c r="ZL3" s="89"/>
      <c r="ZM3" s="89"/>
      <c r="ZN3" s="89"/>
      <c r="ZO3" s="89"/>
      <c r="ZP3" s="89"/>
      <c r="ZQ3" s="89"/>
      <c r="ZR3" s="89"/>
      <c r="ZS3" s="89"/>
      <c r="ZT3" s="89"/>
      <c r="ZU3" s="89"/>
      <c r="ZV3" s="89"/>
      <c r="ZW3" s="89"/>
      <c r="ZX3" s="89"/>
      <c r="ZY3" s="89"/>
      <c r="ZZ3" s="89"/>
      <c r="AAA3" s="89"/>
      <c r="AAB3" s="89"/>
      <c r="AAC3" s="89"/>
      <c r="AAD3" s="89"/>
      <c r="AAE3" s="89"/>
      <c r="AAF3" s="89"/>
      <c r="AAG3" s="89"/>
      <c r="AAH3" s="89"/>
      <c r="AAI3" s="89"/>
      <c r="AAJ3" s="89"/>
      <c r="AAK3" s="89"/>
      <c r="AAL3" s="89"/>
      <c r="AAM3" s="89"/>
      <c r="AAN3" s="89"/>
      <c r="AAO3" s="89"/>
      <c r="AAP3" s="89"/>
      <c r="AAQ3" s="89"/>
      <c r="AAR3" s="89"/>
      <c r="AAS3" s="89"/>
      <c r="AAT3" s="89"/>
      <c r="AAU3" s="89"/>
      <c r="AAV3" s="89"/>
      <c r="AAW3" s="89"/>
      <c r="AAX3" s="89"/>
      <c r="AAY3" s="89"/>
      <c r="AAZ3" s="89"/>
      <c r="ABA3" s="89"/>
      <c r="ABB3" s="89"/>
      <c r="ABC3" s="89"/>
      <c r="ABD3" s="89"/>
      <c r="ABE3" s="89"/>
      <c r="ABF3" s="89"/>
      <c r="ABG3" s="89"/>
      <c r="ABH3" s="89"/>
      <c r="ABI3" s="89"/>
      <c r="ABJ3" s="89"/>
      <c r="ABK3" s="89"/>
      <c r="ABL3" s="89"/>
      <c r="ABM3" s="89"/>
      <c r="ABN3" s="89"/>
      <c r="ABO3" s="89"/>
      <c r="ABP3" s="89"/>
      <c r="ABQ3" s="89"/>
      <c r="ABR3" s="89"/>
      <c r="ABS3" s="89"/>
      <c r="ABT3" s="89"/>
      <c r="ABU3" s="89"/>
      <c r="ABV3" s="89"/>
      <c r="ABW3" s="89"/>
      <c r="ABX3" s="89"/>
      <c r="ABY3" s="89"/>
      <c r="ABZ3" s="89"/>
      <c r="ACA3" s="89"/>
      <c r="ACB3" s="89"/>
      <c r="ACC3" s="89"/>
      <c r="ACD3" s="89"/>
      <c r="ACE3" s="89"/>
      <c r="ACF3" s="89"/>
      <c r="ACG3" s="89"/>
      <c r="ACH3" s="89"/>
      <c r="ACI3" s="89"/>
      <c r="ACJ3" s="89"/>
      <c r="ACK3" s="89"/>
      <c r="ACL3" s="89"/>
      <c r="ACM3" s="89"/>
      <c r="ACN3" s="89"/>
      <c r="ACO3" s="89"/>
      <c r="ACP3" s="89"/>
      <c r="ACQ3" s="89"/>
      <c r="ACR3" s="89"/>
      <c r="ACS3" s="89"/>
      <c r="ACT3" s="89"/>
      <c r="ACU3" s="89"/>
      <c r="ACV3" s="89"/>
      <c r="ACW3" s="89"/>
      <c r="ACX3" s="89"/>
      <c r="ACY3" s="89"/>
      <c r="ACZ3" s="89"/>
      <c r="ADA3" s="89"/>
      <c r="ADB3" s="89"/>
      <c r="ADC3" s="89"/>
      <c r="ADD3" s="89"/>
      <c r="ADE3" s="89"/>
      <c r="ADF3" s="89"/>
      <c r="ADG3" s="89"/>
      <c r="ADH3" s="89"/>
      <c r="ADI3" s="89"/>
      <c r="ADJ3" s="89"/>
      <c r="ADK3" s="89"/>
      <c r="ADL3" s="89"/>
      <c r="ADM3" s="89"/>
      <c r="ADN3" s="89"/>
      <c r="ADO3" s="89"/>
      <c r="ADP3" s="89"/>
      <c r="ADQ3" s="89"/>
      <c r="ADR3" s="89"/>
      <c r="ADS3" s="89"/>
      <c r="ADT3" s="89"/>
      <c r="ADU3" s="89"/>
      <c r="ADV3" s="89"/>
      <c r="ADW3" s="89"/>
      <c r="ADX3" s="89"/>
      <c r="ADY3" s="89"/>
      <c r="ADZ3" s="89"/>
      <c r="AEA3" s="89"/>
      <c r="AEB3" s="89"/>
      <c r="AEC3" s="89"/>
      <c r="AED3" s="89"/>
      <c r="AEE3" s="89"/>
      <c r="AEF3" s="89"/>
      <c r="AEG3" s="89"/>
      <c r="AEH3" s="89"/>
      <c r="AEI3" s="89"/>
      <c r="AEJ3" s="89"/>
      <c r="AEK3" s="89"/>
      <c r="AEL3" s="89"/>
      <c r="AEM3" s="89"/>
      <c r="AEN3" s="89"/>
      <c r="AEO3" s="89"/>
      <c r="AEP3" s="89"/>
      <c r="AEQ3" s="89"/>
      <c r="AER3" s="89"/>
      <c r="AES3" s="89"/>
      <c r="AET3" s="89"/>
      <c r="AEU3" s="89"/>
      <c r="AEV3" s="89"/>
      <c r="AEW3" s="89"/>
      <c r="AEX3" s="89"/>
      <c r="AEY3" s="89"/>
      <c r="AEZ3" s="89"/>
      <c r="AFA3" s="89"/>
      <c r="AFB3" s="89"/>
      <c r="AFC3" s="89"/>
      <c r="AFD3" s="89"/>
      <c r="AFE3" s="89"/>
      <c r="AFF3" s="89"/>
      <c r="AFG3" s="89"/>
      <c r="AFH3" s="89"/>
      <c r="AFI3" s="89"/>
      <c r="AFJ3" s="89"/>
      <c r="AFK3" s="89"/>
      <c r="AFL3" s="89"/>
      <c r="AFM3" s="89"/>
      <c r="AFN3" s="89"/>
      <c r="AFO3" s="89"/>
      <c r="AFP3" s="89"/>
      <c r="AFQ3" s="89"/>
      <c r="AFR3" s="89"/>
      <c r="AFS3" s="89"/>
      <c r="AFT3" s="89"/>
      <c r="AFU3" s="89"/>
      <c r="AFV3" s="89"/>
      <c r="AFW3" s="89"/>
      <c r="AFX3" s="89"/>
      <c r="AFY3" s="89"/>
      <c r="AFZ3" s="89"/>
      <c r="AGA3" s="89"/>
      <c r="AGB3" s="89"/>
      <c r="AGC3" s="89"/>
      <c r="AGD3" s="89"/>
      <c r="AGE3" s="89"/>
      <c r="AGF3" s="89"/>
      <c r="AGG3" s="89"/>
      <c r="AGH3" s="89"/>
      <c r="AGI3" s="89"/>
      <c r="AGJ3" s="89"/>
      <c r="AGK3" s="89"/>
      <c r="AGL3" s="89"/>
      <c r="AGM3" s="89"/>
      <c r="AGN3" s="89"/>
      <c r="AGO3" s="89"/>
      <c r="AGP3" s="89"/>
      <c r="AGQ3" s="89"/>
      <c r="AGR3" s="89"/>
      <c r="AGS3" s="89"/>
      <c r="AGT3" s="89"/>
      <c r="AGU3" s="89"/>
      <c r="AGV3" s="89"/>
      <c r="AGW3" s="89"/>
      <c r="AGX3" s="89"/>
      <c r="AGY3" s="89"/>
      <c r="AGZ3" s="89"/>
      <c r="AHA3" s="89"/>
      <c r="AHB3" s="89"/>
      <c r="AHC3" s="89"/>
      <c r="AHD3" s="89"/>
      <c r="AHE3" s="89"/>
      <c r="AHF3" s="89"/>
      <c r="AHG3" s="89"/>
      <c r="AHH3" s="89"/>
      <c r="AHI3" s="89"/>
      <c r="AHJ3" s="89"/>
      <c r="AHK3" s="89"/>
      <c r="AHL3" s="89"/>
      <c r="AHM3" s="89"/>
      <c r="AHN3" s="89"/>
      <c r="AHO3" s="89"/>
      <c r="AHP3" s="89"/>
      <c r="AHQ3" s="89"/>
      <c r="AHR3" s="89"/>
      <c r="AHS3" s="89"/>
      <c r="AHT3" s="89"/>
      <c r="AHU3" s="89"/>
      <c r="AHV3" s="89"/>
      <c r="AHW3" s="89"/>
      <c r="AHX3" s="89"/>
      <c r="AHY3" s="89"/>
      <c r="AHZ3" s="89"/>
      <c r="AIA3" s="89"/>
      <c r="AIB3" s="89"/>
      <c r="AIC3" s="89"/>
      <c r="AID3" s="89"/>
      <c r="AIE3" s="89"/>
      <c r="AIF3" s="89"/>
      <c r="AIG3" s="89"/>
      <c r="AIH3" s="89"/>
      <c r="AII3" s="89"/>
      <c r="AIJ3" s="89"/>
      <c r="AIK3" s="89"/>
      <c r="AIL3" s="89"/>
      <c r="AIM3" s="89"/>
      <c r="AIN3" s="89"/>
      <c r="AIO3" s="89"/>
      <c r="AIP3" s="89"/>
      <c r="AIQ3" s="89"/>
      <c r="AIR3" s="89"/>
      <c r="AIS3" s="89"/>
      <c r="AIT3" s="89"/>
      <c r="AIU3" s="89"/>
      <c r="AIV3" s="89"/>
      <c r="AIW3" s="89"/>
      <c r="AIX3" s="89"/>
      <c r="AIY3" s="89"/>
      <c r="AIZ3" s="89"/>
      <c r="AJA3" s="89"/>
      <c r="AJB3" s="89"/>
      <c r="AJC3" s="89"/>
      <c r="AJD3" s="89"/>
      <c r="AJE3" s="89"/>
      <c r="AJF3" s="89"/>
      <c r="AJG3" s="89"/>
      <c r="AJH3" s="89"/>
      <c r="AJI3" s="89"/>
      <c r="AJJ3" s="89"/>
      <c r="AJK3" s="89"/>
      <c r="AJL3" s="89"/>
      <c r="AJM3" s="89"/>
      <c r="AJN3" s="89"/>
      <c r="AJO3" s="89"/>
      <c r="AJP3" s="89"/>
      <c r="AJQ3" s="89"/>
      <c r="AJR3" s="89"/>
      <c r="AJS3" s="89"/>
      <c r="AJT3" s="89"/>
      <c r="AJU3" s="89"/>
      <c r="AJV3" s="89"/>
      <c r="AJW3" s="89"/>
      <c r="AJX3" s="89"/>
      <c r="AJY3" s="89"/>
      <c r="AJZ3" s="89"/>
      <c r="AKA3" s="89"/>
      <c r="AKB3" s="89"/>
      <c r="AKC3" s="89"/>
      <c r="AKD3" s="89"/>
      <c r="AKE3" s="89"/>
      <c r="AKF3" s="89"/>
      <c r="AKG3" s="89"/>
      <c r="AKH3" s="89"/>
      <c r="AKI3" s="89"/>
      <c r="AKJ3" s="89"/>
      <c r="AKK3" s="89"/>
      <c r="AKL3" s="89"/>
      <c r="AKM3" s="89"/>
      <c r="AKN3" s="89"/>
      <c r="AKO3" s="89"/>
      <c r="AKP3" s="89"/>
      <c r="AKQ3" s="89"/>
      <c r="AKR3" s="89"/>
      <c r="AKS3" s="89"/>
      <c r="AKT3" s="89"/>
      <c r="AKU3" s="89"/>
      <c r="AKV3" s="89"/>
      <c r="AKW3" s="89"/>
      <c r="AKX3" s="89"/>
      <c r="AKY3" s="89"/>
      <c r="AKZ3" s="89"/>
      <c r="ALA3" s="89"/>
      <c r="ALB3" s="89"/>
      <c r="ALC3" s="89"/>
      <c r="ALD3" s="89"/>
      <c r="ALE3" s="89"/>
      <c r="ALF3" s="89"/>
      <c r="ALG3" s="89"/>
      <c r="ALH3" s="89"/>
      <c r="ALI3" s="89"/>
      <c r="ALJ3" s="89"/>
      <c r="ALK3" s="89"/>
      <c r="ALL3" s="89"/>
      <c r="ALM3" s="89"/>
      <c r="ALN3" s="89"/>
      <c r="ALO3" s="89"/>
      <c r="ALP3" s="89"/>
      <c r="ALQ3" s="89"/>
      <c r="ALR3" s="89"/>
      <c r="ALS3" s="89"/>
      <c r="ALT3" s="89"/>
      <c r="ALU3" s="89"/>
      <c r="ALV3" s="89"/>
      <c r="ALW3" s="89"/>
      <c r="ALX3" s="89"/>
      <c r="ALY3" s="89"/>
      <c r="ALZ3" s="89"/>
      <c r="AMA3" s="89"/>
      <c r="AMB3" s="89"/>
      <c r="AMC3" s="89"/>
      <c r="AMD3" s="89"/>
      <c r="AME3" s="89"/>
      <c r="AMF3" s="89"/>
      <c r="AMG3" s="89"/>
      <c r="AMH3" s="89"/>
      <c r="AMI3" s="89"/>
      <c r="AMJ3" s="89"/>
      <c r="AMK3" s="89"/>
      <c r="AML3" s="89"/>
      <c r="AMM3" s="89"/>
      <c r="AMN3" s="89"/>
      <c r="AMO3" s="89"/>
      <c r="AMP3" s="89"/>
      <c r="AMQ3" s="89"/>
      <c r="AMR3" s="89"/>
      <c r="AMS3" s="89"/>
      <c r="AMT3" s="89"/>
      <c r="AMU3" s="89"/>
      <c r="AMV3" s="89"/>
      <c r="AMW3" s="89"/>
      <c r="AMX3" s="89"/>
      <c r="AMY3" s="89"/>
      <c r="AMZ3" s="89"/>
      <c r="ANA3" s="89"/>
      <c r="ANB3" s="89"/>
      <c r="ANC3" s="89"/>
      <c r="AND3" s="89"/>
      <c r="ANE3" s="89"/>
      <c r="ANF3" s="89"/>
      <c r="ANG3" s="89"/>
      <c r="ANH3" s="89"/>
      <c r="ANI3" s="89"/>
      <c r="ANJ3" s="89"/>
      <c r="ANK3" s="89"/>
      <c r="ANL3" s="89"/>
      <c r="ANM3" s="89"/>
      <c r="ANN3" s="89"/>
      <c r="ANO3" s="89"/>
      <c r="ANP3" s="89"/>
      <c r="ANQ3" s="89"/>
      <c r="ANR3" s="89"/>
      <c r="ANS3" s="89"/>
      <c r="ANT3" s="89"/>
      <c r="ANU3" s="89"/>
      <c r="ANV3" s="89"/>
      <c r="ANW3" s="89"/>
      <c r="ANX3" s="89"/>
      <c r="ANY3" s="89"/>
      <c r="ANZ3" s="89"/>
      <c r="AOA3" s="89"/>
      <c r="AOB3" s="89"/>
      <c r="AOC3" s="89"/>
      <c r="AOD3" s="89"/>
      <c r="AOE3" s="89"/>
      <c r="AOF3" s="89"/>
      <c r="AOG3" s="89"/>
      <c r="AOH3" s="89"/>
      <c r="AOI3" s="89"/>
      <c r="AOJ3" s="89"/>
      <c r="AOK3" s="89"/>
      <c r="AOL3" s="89"/>
      <c r="AOM3" s="89"/>
      <c r="AON3" s="89"/>
      <c r="AOO3" s="89"/>
      <c r="AOP3" s="89"/>
      <c r="AOQ3" s="89"/>
      <c r="AOR3" s="89"/>
      <c r="AOS3" s="89"/>
      <c r="AOT3" s="89"/>
      <c r="AOU3" s="89"/>
      <c r="AOV3" s="89"/>
      <c r="AOW3" s="89"/>
      <c r="AOX3" s="89"/>
      <c r="AOY3" s="89"/>
      <c r="AOZ3" s="89"/>
      <c r="APA3" s="89"/>
      <c r="APB3" s="89"/>
      <c r="APC3" s="89"/>
      <c r="APD3" s="89"/>
      <c r="APE3" s="89"/>
      <c r="APF3" s="89"/>
      <c r="APG3" s="89"/>
      <c r="APH3" s="89"/>
      <c r="API3" s="89"/>
      <c r="APJ3" s="89"/>
      <c r="APK3" s="89"/>
      <c r="APL3" s="89"/>
      <c r="APM3" s="89"/>
      <c r="APN3" s="89"/>
      <c r="APO3" s="89"/>
      <c r="APP3" s="89"/>
      <c r="APQ3" s="89"/>
      <c r="APR3" s="89"/>
      <c r="APS3" s="89"/>
      <c r="APT3" s="89"/>
      <c r="APU3" s="89"/>
      <c r="APV3" s="89"/>
      <c r="APW3" s="89"/>
      <c r="APX3" s="89"/>
      <c r="APY3" s="89"/>
      <c r="APZ3" s="89"/>
      <c r="AQA3" s="89"/>
      <c r="AQB3" s="89"/>
      <c r="AQC3" s="89"/>
      <c r="AQD3" s="89"/>
      <c r="AQE3" s="89"/>
      <c r="AQF3" s="89"/>
      <c r="AQG3" s="89"/>
      <c r="AQH3" s="89"/>
      <c r="AQI3" s="89"/>
      <c r="AQJ3" s="89"/>
      <c r="AQK3" s="89"/>
      <c r="AQL3" s="89"/>
      <c r="AQM3" s="89"/>
      <c r="AQN3" s="89"/>
      <c r="AQO3" s="89"/>
      <c r="AQP3" s="89"/>
      <c r="AQQ3" s="89"/>
      <c r="AQR3" s="89"/>
      <c r="AQS3" s="89"/>
      <c r="AQT3" s="89"/>
      <c r="AQU3" s="89"/>
      <c r="AQV3" s="89"/>
      <c r="AQW3" s="89"/>
      <c r="AQX3" s="89"/>
      <c r="AQY3" s="89"/>
      <c r="AQZ3" s="89"/>
      <c r="ARA3" s="89"/>
      <c r="ARB3" s="89"/>
      <c r="ARC3" s="89"/>
      <c r="ARD3" s="89"/>
      <c r="ARE3" s="89"/>
      <c r="ARF3" s="89"/>
      <c r="ARG3" s="89"/>
      <c r="ARH3" s="89"/>
      <c r="ARI3" s="89"/>
      <c r="ARJ3" s="89"/>
      <c r="ARK3" s="89"/>
      <c r="ARL3" s="89"/>
      <c r="ARM3" s="89"/>
      <c r="ARN3" s="89"/>
      <c r="ARO3" s="89"/>
      <c r="ARP3" s="89"/>
      <c r="ARQ3" s="89"/>
      <c r="ARR3" s="89"/>
      <c r="ARS3" s="89"/>
      <c r="ART3" s="89"/>
      <c r="ARU3" s="89"/>
      <c r="ARV3" s="89"/>
      <c r="ARW3" s="89"/>
      <c r="ARX3" s="89"/>
      <c r="ARY3" s="89"/>
      <c r="ARZ3" s="89"/>
      <c r="ASA3" s="89"/>
      <c r="ASB3" s="89"/>
      <c r="ASC3" s="89"/>
      <c r="ASD3" s="89"/>
      <c r="ASE3" s="89"/>
      <c r="ASF3" s="89"/>
      <c r="ASG3" s="89"/>
      <c r="ASH3" s="89"/>
      <c r="ASI3" s="89"/>
      <c r="ASJ3" s="89"/>
      <c r="ASK3" s="89"/>
      <c r="ASL3" s="89"/>
      <c r="ASM3" s="89"/>
      <c r="ASN3" s="89"/>
      <c r="ASO3" s="89"/>
      <c r="ASP3" s="89"/>
      <c r="ASQ3" s="89"/>
      <c r="ASR3" s="89"/>
      <c r="ASS3" s="89"/>
      <c r="AST3" s="89"/>
      <c r="ASU3" s="89"/>
      <c r="ASV3" s="89"/>
      <c r="ASW3" s="89"/>
      <c r="ASX3" s="89"/>
      <c r="ASY3" s="89"/>
      <c r="ASZ3" s="89"/>
      <c r="ATA3" s="89"/>
      <c r="ATB3" s="89"/>
      <c r="ATC3" s="89"/>
      <c r="ATD3" s="89"/>
      <c r="ATE3" s="89"/>
      <c r="ATF3" s="89"/>
      <c r="ATG3" s="89"/>
      <c r="ATH3" s="89"/>
      <c r="ATI3" s="89"/>
      <c r="ATJ3" s="89"/>
      <c r="ATK3" s="89"/>
      <c r="ATL3" s="89"/>
      <c r="ATM3" s="89"/>
      <c r="ATN3" s="89"/>
      <c r="ATO3" s="89"/>
      <c r="ATP3" s="89"/>
      <c r="ATQ3" s="89"/>
      <c r="ATR3" s="89"/>
      <c r="ATS3" s="89"/>
      <c r="ATT3" s="89"/>
      <c r="ATU3" s="89"/>
      <c r="ATV3" s="89"/>
      <c r="ATW3" s="89"/>
      <c r="ATX3" s="89"/>
      <c r="ATY3" s="89"/>
      <c r="ATZ3" s="89"/>
      <c r="AUA3" s="89"/>
      <c r="AUB3" s="89"/>
      <c r="AUC3" s="89"/>
      <c r="AUD3" s="89"/>
      <c r="AUE3" s="89"/>
      <c r="AUF3" s="89"/>
      <c r="AUG3" s="89"/>
      <c r="AUH3" s="89"/>
      <c r="AUI3" s="89"/>
      <c r="AUJ3" s="89"/>
      <c r="AUK3" s="89"/>
      <c r="AUL3" s="89"/>
      <c r="AUM3" s="89"/>
      <c r="AUN3" s="89"/>
      <c r="AUO3" s="89"/>
      <c r="AUP3" s="89"/>
      <c r="AUQ3" s="89"/>
      <c r="AUR3" s="89"/>
      <c r="AUS3" s="89"/>
      <c r="AUT3" s="89"/>
      <c r="AUU3" s="89"/>
      <c r="AUV3" s="89"/>
      <c r="AUW3" s="89"/>
      <c r="AUX3" s="89"/>
      <c r="AUY3" s="89"/>
      <c r="AUZ3" s="89"/>
      <c r="AVA3" s="89"/>
      <c r="AVB3" s="89"/>
      <c r="AVC3" s="89"/>
      <c r="AVD3" s="89"/>
      <c r="AVE3" s="89"/>
      <c r="AVF3" s="89"/>
      <c r="AVG3" s="89"/>
      <c r="AVH3" s="89"/>
      <c r="AVI3" s="89"/>
      <c r="AVJ3" s="89"/>
      <c r="AVK3" s="89"/>
      <c r="AVL3" s="89"/>
      <c r="AVM3" s="89"/>
      <c r="AVN3" s="89"/>
      <c r="AVO3" s="89"/>
      <c r="AVP3" s="89"/>
      <c r="AVQ3" s="89"/>
      <c r="AVR3" s="89"/>
      <c r="AVS3" s="89"/>
      <c r="AVT3" s="89"/>
      <c r="AVU3" s="89"/>
      <c r="AVV3" s="89"/>
      <c r="AVW3" s="89"/>
      <c r="AVX3" s="89"/>
      <c r="AVY3" s="89"/>
      <c r="AVZ3" s="89"/>
      <c r="AWA3" s="89"/>
      <c r="AWB3" s="89"/>
      <c r="AWC3" s="89"/>
      <c r="AWD3" s="89"/>
      <c r="AWE3" s="89"/>
      <c r="AWF3" s="89"/>
      <c r="AWG3" s="89"/>
      <c r="AWH3" s="89"/>
      <c r="AWI3" s="89"/>
      <c r="AWJ3" s="89"/>
      <c r="AWK3" s="89"/>
      <c r="AWL3" s="89"/>
      <c r="AWM3" s="89"/>
      <c r="AWN3" s="89"/>
      <c r="AWO3" s="89"/>
      <c r="AWP3" s="89"/>
      <c r="AWQ3" s="89"/>
      <c r="AWR3" s="89"/>
      <c r="AWS3" s="89"/>
      <c r="AWT3" s="89"/>
      <c r="AWU3" s="89"/>
      <c r="AWV3" s="89"/>
      <c r="AWW3" s="89"/>
      <c r="AWX3" s="89"/>
      <c r="AWY3" s="89"/>
      <c r="AWZ3" s="89"/>
      <c r="AXA3" s="89"/>
      <c r="AXB3" s="89"/>
      <c r="AXC3" s="89"/>
      <c r="AXD3" s="89"/>
      <c r="AXE3" s="89"/>
      <c r="AXF3" s="89"/>
      <c r="AXG3" s="89"/>
      <c r="AXH3" s="89"/>
      <c r="AXI3" s="89"/>
      <c r="AXJ3" s="89"/>
      <c r="AXK3" s="89"/>
      <c r="AXL3" s="89"/>
      <c r="AXM3" s="89"/>
      <c r="AXN3" s="89"/>
      <c r="AXO3" s="89"/>
      <c r="AXP3" s="89"/>
      <c r="AXQ3" s="89"/>
      <c r="AXR3" s="89"/>
      <c r="AXS3" s="89"/>
      <c r="AXT3" s="89"/>
      <c r="AXU3" s="89"/>
      <c r="AXV3" s="89"/>
      <c r="AXW3" s="89"/>
      <c r="AXX3" s="89"/>
      <c r="AXY3" s="89"/>
      <c r="AXZ3" s="89"/>
      <c r="AYA3" s="89"/>
      <c r="AYB3" s="89"/>
      <c r="AYC3" s="89"/>
      <c r="AYD3" s="89"/>
      <c r="AYE3" s="89"/>
      <c r="AYF3" s="89"/>
      <c r="AYG3" s="89"/>
      <c r="AYH3" s="89"/>
      <c r="AYI3" s="89"/>
      <c r="AYJ3" s="89"/>
      <c r="AYK3" s="89"/>
      <c r="AYL3" s="89"/>
      <c r="AYM3" s="89"/>
      <c r="AYN3" s="89"/>
      <c r="AYO3" s="89"/>
      <c r="AYP3" s="89"/>
      <c r="AYQ3" s="89"/>
      <c r="AYR3" s="89"/>
      <c r="AYS3" s="89"/>
      <c r="AYT3" s="89"/>
      <c r="AYU3" s="89"/>
      <c r="AYV3" s="89"/>
      <c r="AYW3" s="89"/>
      <c r="AYX3" s="89"/>
      <c r="AYY3" s="89"/>
      <c r="AYZ3" s="89"/>
      <c r="AZA3" s="89"/>
      <c r="AZB3" s="89"/>
      <c r="AZC3" s="89"/>
      <c r="AZD3" s="89"/>
      <c r="AZE3" s="89"/>
      <c r="AZF3" s="89"/>
      <c r="AZG3" s="89"/>
      <c r="AZH3" s="89"/>
      <c r="AZI3" s="89"/>
      <c r="AZJ3" s="89"/>
      <c r="AZK3" s="89"/>
      <c r="AZL3" s="89"/>
      <c r="AZM3" s="89"/>
      <c r="AZN3" s="89"/>
      <c r="AZO3" s="89"/>
      <c r="AZP3" s="89"/>
      <c r="AZQ3" s="89"/>
      <c r="AZR3" s="89"/>
      <c r="AZS3" s="89"/>
      <c r="AZT3" s="89"/>
      <c r="AZU3" s="89"/>
      <c r="AZV3" s="89"/>
      <c r="AZW3" s="89"/>
      <c r="AZX3" s="89"/>
      <c r="AZY3" s="89"/>
      <c r="AZZ3" s="89"/>
      <c r="BAA3" s="89"/>
      <c r="BAB3" s="89"/>
      <c r="BAC3" s="89"/>
      <c r="BAD3" s="89"/>
      <c r="BAE3" s="89"/>
      <c r="BAF3" s="89"/>
      <c r="BAG3" s="89"/>
      <c r="BAH3" s="89"/>
      <c r="BAI3" s="89"/>
      <c r="BAJ3" s="89"/>
      <c r="BAK3" s="89"/>
      <c r="BAL3" s="89"/>
      <c r="BAM3" s="89"/>
      <c r="BAN3" s="89"/>
      <c r="BAO3" s="89"/>
      <c r="BAP3" s="89"/>
      <c r="BAQ3" s="89"/>
      <c r="BAR3" s="89"/>
      <c r="BAS3" s="89"/>
      <c r="BAT3" s="89"/>
      <c r="BAU3" s="89"/>
      <c r="BAV3" s="89"/>
      <c r="BAW3" s="89"/>
      <c r="BAX3" s="89"/>
      <c r="BAY3" s="89"/>
      <c r="BAZ3" s="89"/>
      <c r="BBA3" s="89"/>
      <c r="BBB3" s="89"/>
      <c r="BBC3" s="89"/>
      <c r="BBD3" s="89"/>
      <c r="BBE3" s="89"/>
      <c r="BBF3" s="89"/>
      <c r="BBG3" s="89"/>
      <c r="BBH3" s="89"/>
      <c r="BBI3" s="89"/>
      <c r="BBJ3" s="89"/>
      <c r="BBK3" s="89"/>
      <c r="BBL3" s="89"/>
      <c r="BBM3" s="89"/>
      <c r="BBN3" s="89"/>
      <c r="BBO3" s="89"/>
      <c r="BBP3" s="89"/>
      <c r="BBQ3" s="89"/>
      <c r="BBR3" s="89"/>
      <c r="BBS3" s="89"/>
      <c r="BBT3" s="89"/>
      <c r="BBU3" s="89"/>
      <c r="BBV3" s="89"/>
      <c r="BBW3" s="89"/>
      <c r="BBX3" s="89"/>
      <c r="BBY3" s="89"/>
      <c r="BBZ3" s="89"/>
      <c r="BCA3" s="89"/>
      <c r="BCB3" s="89"/>
      <c r="BCC3" s="89"/>
      <c r="BCD3" s="89"/>
      <c r="BCE3" s="89"/>
      <c r="BCF3" s="89"/>
      <c r="BCG3" s="89"/>
      <c r="BCH3" s="89"/>
      <c r="BCI3" s="89"/>
      <c r="BCJ3" s="89"/>
      <c r="BCK3" s="89"/>
      <c r="BCL3" s="89"/>
      <c r="BCM3" s="89"/>
      <c r="BCN3" s="89"/>
      <c r="BCO3" s="89"/>
      <c r="BCP3" s="89"/>
      <c r="BCQ3" s="89"/>
      <c r="BCR3" s="89"/>
      <c r="BCS3" s="89"/>
      <c r="BCT3" s="89"/>
      <c r="BCU3" s="89"/>
      <c r="BCV3" s="89"/>
      <c r="BCW3" s="89"/>
      <c r="BCX3" s="89"/>
      <c r="BCY3" s="89"/>
      <c r="BCZ3" s="89"/>
      <c r="BDA3" s="89"/>
      <c r="BDB3" s="89"/>
      <c r="BDC3" s="89"/>
      <c r="BDD3" s="89"/>
      <c r="BDE3" s="89"/>
      <c r="BDF3" s="89"/>
      <c r="BDG3" s="89"/>
      <c r="BDH3" s="89"/>
      <c r="BDI3" s="89"/>
      <c r="BDJ3" s="89"/>
      <c r="BDK3" s="89"/>
      <c r="BDL3" s="89"/>
      <c r="BDM3" s="89"/>
      <c r="BDN3" s="89"/>
      <c r="BDO3" s="89"/>
      <c r="BDP3" s="89"/>
      <c r="BDQ3" s="89"/>
      <c r="BDR3" s="89"/>
      <c r="BDS3" s="89"/>
      <c r="BDT3" s="89"/>
      <c r="BDU3" s="89"/>
      <c r="BDV3" s="89"/>
      <c r="BDW3" s="89"/>
      <c r="BDX3" s="89"/>
      <c r="BDY3" s="89"/>
      <c r="BDZ3" s="89"/>
      <c r="BEA3" s="89"/>
      <c r="BEB3" s="89"/>
      <c r="BEC3" s="89"/>
      <c r="BED3" s="89"/>
      <c r="BEE3" s="89"/>
      <c r="BEF3" s="89"/>
      <c r="BEG3" s="89"/>
      <c r="BEH3" s="89"/>
      <c r="BEI3" s="89"/>
      <c r="BEJ3" s="89"/>
      <c r="BEK3" s="89"/>
      <c r="BEL3" s="89"/>
      <c r="BEM3" s="89"/>
      <c r="BEN3" s="89"/>
      <c r="BEO3" s="89"/>
      <c r="BEP3" s="89"/>
      <c r="BEQ3" s="89"/>
      <c r="BER3" s="89"/>
      <c r="BES3" s="89"/>
      <c r="BET3" s="89"/>
      <c r="BEU3" s="89"/>
      <c r="BEV3" s="89"/>
      <c r="BEW3" s="89"/>
      <c r="BEX3" s="89"/>
      <c r="BEY3" s="89"/>
      <c r="BEZ3" s="89"/>
      <c r="BFA3" s="89"/>
      <c r="BFB3" s="89"/>
      <c r="BFC3" s="89"/>
      <c r="BFD3" s="89"/>
      <c r="BFE3" s="89"/>
      <c r="BFF3" s="89"/>
      <c r="BFG3" s="89"/>
      <c r="BFH3" s="89"/>
      <c r="BFI3" s="89"/>
      <c r="BFJ3" s="89"/>
      <c r="BFK3" s="89"/>
      <c r="BFL3" s="89"/>
      <c r="BFM3" s="89"/>
      <c r="BFN3" s="89"/>
      <c r="BFO3" s="89"/>
      <c r="BFP3" s="89"/>
      <c r="BFQ3" s="89"/>
      <c r="BFR3" s="89"/>
      <c r="BFS3" s="89"/>
      <c r="BFT3" s="89"/>
      <c r="BFU3" s="89"/>
      <c r="BFV3" s="89"/>
      <c r="BFW3" s="89"/>
      <c r="BFX3" s="89"/>
      <c r="BFY3" s="89"/>
      <c r="BFZ3" s="89"/>
      <c r="BGA3" s="89"/>
      <c r="BGB3" s="89"/>
      <c r="BGC3" s="89"/>
      <c r="BGD3" s="89"/>
      <c r="BGE3" s="89"/>
      <c r="BGF3" s="89"/>
      <c r="BGG3" s="89"/>
      <c r="BGH3" s="89"/>
      <c r="BGI3" s="89"/>
      <c r="BGJ3" s="89"/>
      <c r="BGK3" s="89"/>
      <c r="BGL3" s="89"/>
      <c r="BGM3" s="89"/>
      <c r="BGN3" s="89"/>
      <c r="BGO3" s="89"/>
      <c r="BGP3" s="89"/>
      <c r="BGQ3" s="89"/>
      <c r="BGR3" s="89"/>
      <c r="BGS3" s="89"/>
      <c r="BGT3" s="89"/>
      <c r="BGU3" s="89"/>
      <c r="BGV3" s="89"/>
      <c r="BGW3" s="89"/>
      <c r="BGX3" s="89"/>
      <c r="BGY3" s="89"/>
      <c r="BGZ3" s="89"/>
      <c r="BHA3" s="89"/>
      <c r="BHB3" s="89"/>
      <c r="BHC3" s="89"/>
      <c r="BHD3" s="89"/>
      <c r="BHE3" s="89"/>
      <c r="BHF3" s="89"/>
      <c r="BHG3" s="89"/>
      <c r="BHH3" s="89"/>
      <c r="BHI3" s="89"/>
      <c r="BHJ3" s="89"/>
      <c r="BHK3" s="89"/>
      <c r="BHL3" s="89"/>
      <c r="BHM3" s="89"/>
      <c r="BHN3" s="89"/>
      <c r="BHO3" s="89"/>
      <c r="BHP3" s="89"/>
      <c r="BHQ3" s="89"/>
      <c r="BHR3" s="89"/>
      <c r="BHS3" s="89"/>
      <c r="BHT3" s="89"/>
      <c r="BHU3" s="89"/>
      <c r="BHV3" s="89"/>
      <c r="BHW3" s="89"/>
      <c r="BHX3" s="89"/>
      <c r="BHY3" s="89"/>
      <c r="BHZ3" s="89"/>
      <c r="BIA3" s="89"/>
      <c r="BIB3" s="89"/>
      <c r="BIC3" s="89"/>
      <c r="BID3" s="89"/>
      <c r="BIE3" s="89"/>
      <c r="BIF3" s="89"/>
      <c r="BIG3" s="89"/>
      <c r="BIH3" s="89"/>
      <c r="BII3" s="89"/>
      <c r="BIJ3" s="89"/>
      <c r="BIK3" s="89"/>
      <c r="BIL3" s="89"/>
      <c r="BIM3" s="89"/>
      <c r="BIN3" s="89"/>
      <c r="BIO3" s="89"/>
      <c r="BIP3" s="89"/>
      <c r="BIQ3" s="89"/>
      <c r="BIR3" s="89"/>
      <c r="BIS3" s="89"/>
      <c r="BIT3" s="89"/>
      <c r="BIU3" s="89"/>
      <c r="BIV3" s="89"/>
      <c r="BIW3" s="89"/>
      <c r="BIX3" s="89"/>
      <c r="BIY3" s="89"/>
      <c r="BIZ3" s="89"/>
      <c r="BJA3" s="89"/>
      <c r="BJB3" s="89"/>
      <c r="BJC3" s="89"/>
      <c r="BJD3" s="89"/>
      <c r="BJE3" s="89"/>
      <c r="BJF3" s="89"/>
      <c r="BJG3" s="89"/>
      <c r="BJH3" s="89"/>
      <c r="BJI3" s="89"/>
      <c r="BJJ3" s="89"/>
      <c r="BJK3" s="89"/>
      <c r="BJL3" s="89"/>
      <c r="BJM3" s="89"/>
      <c r="BJN3" s="89"/>
      <c r="BJO3" s="89"/>
      <c r="BJP3" s="89"/>
      <c r="BJQ3" s="89"/>
      <c r="BJR3" s="89"/>
      <c r="BJS3" s="89"/>
      <c r="BJT3" s="89"/>
      <c r="BJU3" s="89"/>
      <c r="BJV3" s="89"/>
      <c r="BJW3" s="89"/>
      <c r="BJX3" s="89"/>
      <c r="BJY3" s="89"/>
      <c r="BJZ3" s="89"/>
      <c r="BKA3" s="89"/>
      <c r="BKB3" s="89"/>
      <c r="BKC3" s="89"/>
      <c r="BKD3" s="89"/>
      <c r="BKE3" s="89"/>
      <c r="BKF3" s="89"/>
      <c r="BKG3" s="89"/>
      <c r="BKH3" s="89"/>
      <c r="BKI3" s="89"/>
      <c r="BKJ3" s="89"/>
      <c r="BKK3" s="89"/>
      <c r="BKL3" s="89"/>
      <c r="BKM3" s="89"/>
      <c r="BKN3" s="89"/>
      <c r="BKO3" s="89"/>
      <c r="BKP3" s="89"/>
      <c r="BKQ3" s="89"/>
      <c r="BKR3" s="89"/>
      <c r="BKS3" s="89"/>
      <c r="BKT3" s="89"/>
      <c r="BKU3" s="89"/>
      <c r="BKV3" s="89"/>
      <c r="BKW3" s="89"/>
      <c r="BKX3" s="89"/>
      <c r="BKY3" s="89"/>
      <c r="BKZ3" s="89"/>
      <c r="BLA3" s="89"/>
      <c r="BLB3" s="89"/>
      <c r="BLC3" s="89"/>
      <c r="BLD3" s="89"/>
      <c r="BLE3" s="89"/>
      <c r="BLF3" s="89"/>
      <c r="BLG3" s="89"/>
      <c r="BLH3" s="89"/>
      <c r="BLI3" s="89"/>
      <c r="BLJ3" s="89"/>
      <c r="BLK3" s="89"/>
      <c r="BLL3" s="89"/>
      <c r="BLM3" s="89"/>
      <c r="BLN3" s="89"/>
      <c r="BLO3" s="89"/>
      <c r="BLP3" s="89"/>
      <c r="BLQ3" s="89"/>
      <c r="BLR3" s="89"/>
      <c r="BLS3" s="89"/>
      <c r="BLT3" s="89"/>
      <c r="BLU3" s="89"/>
      <c r="BLV3" s="89"/>
      <c r="BLW3" s="89"/>
      <c r="BLX3" s="89"/>
      <c r="BLY3" s="89"/>
      <c r="BLZ3" s="89"/>
      <c r="BMA3" s="89"/>
      <c r="BMB3" s="89"/>
      <c r="BMC3" s="89"/>
      <c r="BMD3" s="89"/>
      <c r="BME3" s="89"/>
      <c r="BMF3" s="89"/>
      <c r="BMG3" s="89"/>
      <c r="BMH3" s="89"/>
      <c r="BMI3" s="89"/>
      <c r="BMJ3" s="89"/>
      <c r="BMK3" s="89"/>
      <c r="BML3" s="89"/>
      <c r="BMM3" s="89"/>
      <c r="BMN3" s="89"/>
      <c r="BMO3" s="89"/>
      <c r="BMP3" s="89"/>
      <c r="BMQ3" s="89"/>
      <c r="BMR3" s="89"/>
      <c r="BMS3" s="89"/>
      <c r="BMT3" s="89"/>
      <c r="BMU3" s="89"/>
      <c r="BMV3" s="89"/>
      <c r="BMW3" s="89"/>
      <c r="BMX3" s="89"/>
      <c r="BMY3" s="89"/>
      <c r="BMZ3" s="89"/>
      <c r="BNA3" s="89"/>
      <c r="BNB3" s="89"/>
      <c r="BNC3" s="89"/>
      <c r="BND3" s="89"/>
      <c r="BNE3" s="89"/>
      <c r="BNF3" s="89"/>
      <c r="BNG3" s="89"/>
      <c r="BNH3" s="89"/>
      <c r="BNI3" s="89"/>
      <c r="BNJ3" s="89"/>
      <c r="BNK3" s="89"/>
      <c r="BNL3" s="89"/>
      <c r="BNM3" s="89"/>
      <c r="BNN3" s="89"/>
      <c r="BNO3" s="89"/>
      <c r="BNP3" s="89"/>
      <c r="BNQ3" s="89"/>
      <c r="BNR3" s="89"/>
      <c r="BNS3" s="89"/>
      <c r="BNT3" s="89"/>
      <c r="BNU3" s="89"/>
      <c r="BNV3" s="89"/>
      <c r="BNW3" s="89"/>
      <c r="BNX3" s="89"/>
      <c r="BNY3" s="89"/>
      <c r="BNZ3" s="89"/>
      <c r="BOA3" s="89"/>
      <c r="BOB3" s="89"/>
      <c r="BOC3" s="89"/>
      <c r="BOD3" s="89"/>
      <c r="BOE3" s="89"/>
      <c r="BOF3" s="89"/>
      <c r="BOG3" s="89"/>
      <c r="BOH3" s="89"/>
      <c r="BOI3" s="89"/>
      <c r="BOJ3" s="89"/>
      <c r="BOK3" s="89"/>
      <c r="BOL3" s="89"/>
      <c r="BOM3" s="89"/>
      <c r="BON3" s="89"/>
      <c r="BOO3" s="89"/>
      <c r="BOP3" s="89"/>
      <c r="BOQ3" s="89"/>
      <c r="BOR3" s="89"/>
      <c r="BOS3" s="89"/>
      <c r="BOT3" s="89"/>
      <c r="BOU3" s="89"/>
      <c r="BOV3" s="89"/>
      <c r="BOW3" s="89"/>
      <c r="BOX3" s="89"/>
      <c r="BOY3" s="89"/>
      <c r="BOZ3" s="89"/>
      <c r="BPA3" s="89"/>
      <c r="BPB3" s="89"/>
      <c r="BPC3" s="89"/>
      <c r="BPD3" s="89"/>
      <c r="BPE3" s="89"/>
      <c r="BPF3" s="89"/>
      <c r="BPG3" s="89"/>
      <c r="BPH3" s="89"/>
      <c r="BPI3" s="89"/>
      <c r="BPJ3" s="89"/>
      <c r="BPK3" s="89"/>
      <c r="BPL3" s="89"/>
      <c r="BPM3" s="89"/>
      <c r="BPN3" s="89"/>
      <c r="BPO3" s="89"/>
      <c r="BPP3" s="89"/>
      <c r="BPQ3" s="89"/>
      <c r="BPR3" s="89"/>
      <c r="BPS3" s="89"/>
      <c r="BPT3" s="89"/>
      <c r="BPU3" s="89"/>
      <c r="BPV3" s="89"/>
      <c r="BPW3" s="89"/>
      <c r="BPX3" s="89"/>
      <c r="BPY3" s="89"/>
      <c r="BPZ3" s="89"/>
      <c r="BQA3" s="89"/>
      <c r="BQB3" s="89"/>
      <c r="BQC3" s="89"/>
      <c r="BQD3" s="89"/>
      <c r="BQE3" s="89"/>
      <c r="BQF3" s="89"/>
      <c r="BQG3" s="89"/>
      <c r="BQH3" s="89"/>
      <c r="BQI3" s="89"/>
      <c r="BQJ3" s="89"/>
      <c r="BQK3" s="89"/>
      <c r="BQL3" s="89"/>
      <c r="BQM3" s="89"/>
      <c r="BQN3" s="89"/>
      <c r="BQO3" s="89"/>
      <c r="BQP3" s="89"/>
      <c r="BQQ3" s="89"/>
      <c r="BQR3" s="89"/>
      <c r="BQS3" s="89"/>
      <c r="BQT3" s="89"/>
      <c r="BQU3" s="89"/>
      <c r="BQV3" s="89"/>
      <c r="BQW3" s="89"/>
      <c r="BQX3" s="89"/>
      <c r="BQY3" s="89"/>
      <c r="BQZ3" s="89"/>
      <c r="BRA3" s="89"/>
      <c r="BRB3" s="89"/>
      <c r="BRC3" s="89"/>
      <c r="BRD3" s="89"/>
      <c r="BRE3" s="89"/>
      <c r="BRF3" s="89"/>
      <c r="BRG3" s="89"/>
      <c r="BRH3" s="89"/>
      <c r="BRI3" s="89"/>
      <c r="BRJ3" s="89"/>
      <c r="BRK3" s="89"/>
      <c r="BRL3" s="89"/>
      <c r="BRM3" s="89"/>
      <c r="BRN3" s="89"/>
      <c r="BRO3" s="89"/>
      <c r="BRP3" s="89"/>
      <c r="BRQ3" s="89"/>
      <c r="BRR3" s="89"/>
      <c r="BRS3" s="89"/>
      <c r="BRT3" s="89"/>
      <c r="BRU3" s="89"/>
      <c r="BRV3" s="89"/>
      <c r="BRW3" s="89"/>
      <c r="BRX3" s="89"/>
      <c r="BRY3" s="89"/>
      <c r="BRZ3" s="89"/>
      <c r="BSA3" s="89"/>
      <c r="BSB3" s="89"/>
      <c r="BSC3" s="89"/>
      <c r="BSD3" s="89"/>
      <c r="BSE3" s="89"/>
      <c r="BSF3" s="89"/>
      <c r="BSG3" s="89"/>
      <c r="BSH3" s="89"/>
      <c r="BSI3" s="89"/>
      <c r="BSJ3" s="89"/>
      <c r="BSK3" s="89"/>
      <c r="BSL3" s="89"/>
      <c r="BSM3" s="89"/>
      <c r="BSN3" s="89"/>
      <c r="BSO3" s="89"/>
      <c r="BSP3" s="89"/>
      <c r="BSQ3" s="89"/>
      <c r="BSR3" s="89"/>
      <c r="BSS3" s="89"/>
      <c r="BST3" s="89"/>
      <c r="BSU3" s="89"/>
      <c r="BSV3" s="89"/>
      <c r="BSW3" s="89"/>
      <c r="BSX3" s="89"/>
      <c r="BSY3" s="89"/>
      <c r="BSZ3" s="89"/>
      <c r="BTA3" s="89"/>
      <c r="BTB3" s="89"/>
      <c r="BTC3" s="89"/>
      <c r="BTD3" s="89"/>
      <c r="BTE3" s="89"/>
      <c r="BTF3" s="89"/>
      <c r="BTG3" s="89"/>
      <c r="BTH3" s="89"/>
      <c r="BTI3" s="89"/>
      <c r="BTJ3" s="89"/>
      <c r="BTK3" s="89"/>
      <c r="BTL3" s="89"/>
      <c r="BTM3" s="89"/>
      <c r="BTN3" s="89"/>
      <c r="BTO3" s="89"/>
      <c r="BTP3" s="89"/>
      <c r="BTQ3" s="89"/>
      <c r="BTR3" s="89"/>
      <c r="BTS3" s="89"/>
      <c r="BTT3" s="89"/>
      <c r="BTU3" s="89"/>
      <c r="BTV3" s="89"/>
      <c r="BTW3" s="89"/>
      <c r="BTX3" s="89"/>
      <c r="BTY3" s="89"/>
      <c r="BTZ3" s="89"/>
      <c r="BUA3" s="89"/>
      <c r="BUB3" s="89"/>
      <c r="BUC3" s="89"/>
      <c r="BUD3" s="89"/>
      <c r="BUE3" s="89"/>
      <c r="BUF3" s="89"/>
      <c r="BUG3" s="89"/>
      <c r="BUH3" s="89"/>
      <c r="BUI3" s="89"/>
      <c r="BUJ3" s="89"/>
      <c r="BUK3" s="89"/>
      <c r="BUL3" s="89"/>
      <c r="BUM3" s="89"/>
      <c r="BUN3" s="89"/>
      <c r="BUO3" s="89"/>
      <c r="BUP3" s="89"/>
      <c r="BUQ3" s="89"/>
      <c r="BUR3" s="89"/>
      <c r="BUS3" s="89"/>
      <c r="BUT3" s="89"/>
      <c r="BUU3" s="89"/>
      <c r="BUV3" s="89"/>
      <c r="BUW3" s="89"/>
      <c r="BUX3" s="89"/>
      <c r="BUY3" s="89"/>
      <c r="BUZ3" s="89"/>
      <c r="BVA3" s="89"/>
      <c r="BVB3" s="89"/>
      <c r="BVC3" s="89"/>
      <c r="BVD3" s="89"/>
      <c r="BVE3" s="89"/>
      <c r="BVF3" s="89"/>
      <c r="BVG3" s="89"/>
      <c r="BVH3" s="89"/>
      <c r="BVI3" s="89"/>
      <c r="BVJ3" s="89"/>
      <c r="BVK3" s="89"/>
      <c r="BVL3" s="89"/>
      <c r="BVM3" s="89"/>
      <c r="BVN3" s="89"/>
      <c r="BVO3" s="89"/>
      <c r="BVP3" s="89"/>
      <c r="BVQ3" s="89"/>
      <c r="BVR3" s="89"/>
      <c r="BVS3" s="89"/>
      <c r="BVT3" s="89"/>
      <c r="BVU3" s="89"/>
      <c r="BVV3" s="89"/>
      <c r="BVW3" s="89"/>
      <c r="BVX3" s="89"/>
      <c r="BVY3" s="89"/>
      <c r="BVZ3" s="89"/>
      <c r="BWA3" s="89"/>
      <c r="BWB3" s="89"/>
      <c r="BWC3" s="89"/>
      <c r="BWD3" s="89"/>
      <c r="BWE3" s="89"/>
      <c r="BWF3" s="89"/>
      <c r="BWG3" s="89"/>
      <c r="BWH3" s="89"/>
      <c r="BWI3" s="89"/>
      <c r="BWJ3" s="89"/>
      <c r="BWK3" s="89"/>
      <c r="BWL3" s="89"/>
      <c r="BWM3" s="89"/>
      <c r="BWN3" s="89"/>
      <c r="BWO3" s="89"/>
      <c r="BWP3" s="89"/>
      <c r="BWQ3" s="89"/>
      <c r="BWR3" s="89"/>
      <c r="BWS3" s="89"/>
      <c r="BWT3" s="89"/>
      <c r="BWU3" s="89"/>
      <c r="BWV3" s="89"/>
      <c r="BWW3" s="89"/>
      <c r="BWX3" s="89"/>
      <c r="BWY3" s="89"/>
      <c r="BWZ3" s="89"/>
      <c r="BXA3" s="89"/>
      <c r="BXB3" s="89"/>
      <c r="BXC3" s="89"/>
      <c r="BXD3" s="89"/>
      <c r="BXE3" s="89"/>
      <c r="BXF3" s="89"/>
      <c r="BXG3" s="89"/>
      <c r="BXH3" s="89"/>
      <c r="BXI3" s="89"/>
      <c r="BXJ3" s="89"/>
      <c r="BXK3" s="89"/>
      <c r="BXL3" s="89"/>
      <c r="BXM3" s="89"/>
      <c r="BXN3" s="89"/>
      <c r="BXO3" s="89"/>
      <c r="BXP3" s="89"/>
      <c r="BXQ3" s="89"/>
      <c r="BXR3" s="89"/>
      <c r="BXS3" s="89"/>
      <c r="BXT3" s="89"/>
      <c r="BXU3" s="89"/>
      <c r="BXV3" s="89"/>
      <c r="BXW3" s="89"/>
      <c r="BXX3" s="89"/>
      <c r="BXY3" s="89"/>
      <c r="BXZ3" s="89"/>
      <c r="BYA3" s="89"/>
      <c r="BYB3" s="89"/>
      <c r="BYC3" s="89"/>
      <c r="BYD3" s="89"/>
      <c r="BYE3" s="89"/>
      <c r="BYF3" s="89"/>
      <c r="BYG3" s="89"/>
      <c r="BYH3" s="89"/>
      <c r="BYI3" s="89"/>
      <c r="BYJ3" s="89"/>
      <c r="BYK3" s="89"/>
      <c r="BYL3" s="89"/>
      <c r="BYM3" s="89"/>
      <c r="BYN3" s="89"/>
      <c r="BYO3" s="89"/>
      <c r="BYP3" s="89"/>
      <c r="BYQ3" s="89"/>
      <c r="BYR3" s="89"/>
      <c r="BYS3" s="89"/>
      <c r="BYT3" s="89"/>
      <c r="BYU3" s="89"/>
      <c r="BYV3" s="89"/>
      <c r="BYW3" s="89"/>
      <c r="BYX3" s="89"/>
      <c r="BYY3" s="89"/>
      <c r="BYZ3" s="89"/>
      <c r="BZA3" s="89"/>
      <c r="BZB3" s="89"/>
      <c r="BZC3" s="89"/>
      <c r="BZD3" s="89"/>
      <c r="BZE3" s="89"/>
      <c r="BZF3" s="89"/>
      <c r="BZG3" s="89"/>
      <c r="BZH3" s="89"/>
      <c r="BZI3" s="89"/>
      <c r="BZJ3" s="89"/>
      <c r="BZK3" s="89"/>
      <c r="BZL3" s="89"/>
      <c r="BZM3" s="89"/>
      <c r="BZN3" s="89"/>
      <c r="BZO3" s="89"/>
      <c r="BZP3" s="89"/>
      <c r="BZQ3" s="89"/>
      <c r="BZR3" s="89"/>
      <c r="BZS3" s="89"/>
      <c r="BZT3" s="89"/>
      <c r="BZU3" s="89"/>
      <c r="BZV3" s="89"/>
      <c r="BZW3" s="89"/>
      <c r="BZX3" s="89"/>
      <c r="BZY3" s="89"/>
      <c r="BZZ3" s="89"/>
      <c r="CAA3" s="89"/>
      <c r="CAB3" s="89"/>
      <c r="CAC3" s="89"/>
      <c r="CAD3" s="89"/>
      <c r="CAE3" s="89"/>
      <c r="CAF3" s="89"/>
      <c r="CAG3" s="89"/>
      <c r="CAH3" s="89"/>
      <c r="CAI3" s="89"/>
      <c r="CAJ3" s="89"/>
      <c r="CAK3" s="89"/>
      <c r="CAL3" s="89"/>
      <c r="CAM3" s="89"/>
      <c r="CAN3" s="89"/>
      <c r="CAO3" s="89"/>
      <c r="CAP3" s="89"/>
      <c r="CAQ3" s="89"/>
      <c r="CAR3" s="89"/>
      <c r="CAS3" s="89"/>
      <c r="CAT3" s="89"/>
      <c r="CAU3" s="89"/>
      <c r="CAV3" s="89"/>
      <c r="CAW3" s="89"/>
      <c r="CAX3" s="89"/>
      <c r="CAY3" s="89"/>
      <c r="CAZ3" s="89"/>
      <c r="CBA3" s="89"/>
      <c r="CBB3" s="89"/>
      <c r="CBC3" s="89"/>
      <c r="CBD3" s="89"/>
      <c r="CBE3" s="89"/>
      <c r="CBF3" s="89"/>
      <c r="CBG3" s="89"/>
      <c r="CBH3" s="89"/>
      <c r="CBI3" s="89"/>
      <c r="CBJ3" s="89"/>
      <c r="CBK3" s="89"/>
      <c r="CBL3" s="89"/>
      <c r="CBM3" s="89"/>
      <c r="CBN3" s="89"/>
      <c r="CBO3" s="89"/>
      <c r="CBP3" s="89"/>
      <c r="CBQ3" s="89"/>
      <c r="CBR3" s="89"/>
      <c r="CBS3" s="89"/>
      <c r="CBT3" s="89"/>
      <c r="CBU3" s="89"/>
      <c r="CBV3" s="89"/>
      <c r="CBW3" s="89"/>
      <c r="CBX3" s="89"/>
      <c r="CBY3" s="89"/>
      <c r="CBZ3" s="89"/>
      <c r="CCA3" s="89"/>
      <c r="CCB3" s="89"/>
      <c r="CCC3" s="89"/>
      <c r="CCD3" s="89"/>
      <c r="CCE3" s="89"/>
      <c r="CCF3" s="89"/>
      <c r="CCG3" s="89"/>
      <c r="CCH3" s="89"/>
      <c r="CCI3" s="89"/>
      <c r="CCJ3" s="89"/>
      <c r="CCK3" s="89"/>
      <c r="CCL3" s="89"/>
      <c r="CCM3" s="89"/>
      <c r="CCN3" s="89"/>
      <c r="CCO3" s="89"/>
      <c r="CCP3" s="89"/>
      <c r="CCQ3" s="89"/>
      <c r="CCR3" s="89"/>
      <c r="CCS3" s="89"/>
      <c r="CCT3" s="89"/>
      <c r="CCU3" s="89"/>
      <c r="CCV3" s="89"/>
      <c r="CCW3" s="89"/>
      <c r="CCX3" s="89"/>
      <c r="CCY3" s="89"/>
      <c r="CCZ3" s="89"/>
      <c r="CDA3" s="89"/>
      <c r="CDB3" s="89"/>
      <c r="CDC3" s="89"/>
      <c r="CDD3" s="89"/>
      <c r="CDE3" s="89"/>
      <c r="CDF3" s="89"/>
      <c r="CDG3" s="89"/>
      <c r="CDH3" s="89"/>
      <c r="CDI3" s="89"/>
      <c r="CDJ3" s="89"/>
      <c r="CDK3" s="89"/>
      <c r="CDL3" s="89"/>
      <c r="CDM3" s="89"/>
      <c r="CDN3" s="89"/>
      <c r="CDO3" s="89"/>
      <c r="CDP3" s="89"/>
      <c r="CDQ3" s="89"/>
      <c r="CDR3" s="89"/>
      <c r="CDS3" s="89"/>
      <c r="CDT3" s="89"/>
      <c r="CDU3" s="89"/>
      <c r="CDV3" s="89"/>
      <c r="CDW3" s="89"/>
      <c r="CDX3" s="89"/>
      <c r="CDY3" s="89"/>
      <c r="CDZ3" s="89"/>
      <c r="CEA3" s="89"/>
      <c r="CEB3" s="89"/>
      <c r="CEC3" s="89"/>
      <c r="CED3" s="89"/>
      <c r="CEE3" s="89"/>
      <c r="CEF3" s="89"/>
      <c r="CEG3" s="89"/>
      <c r="CEH3" s="89"/>
      <c r="CEI3" s="89"/>
      <c r="CEJ3" s="89"/>
      <c r="CEK3" s="89"/>
      <c r="CEL3" s="89"/>
      <c r="CEM3" s="89"/>
      <c r="CEN3" s="89"/>
      <c r="CEO3" s="89"/>
      <c r="CEP3" s="89"/>
      <c r="CEQ3" s="89"/>
      <c r="CER3" s="89"/>
      <c r="CES3" s="89"/>
      <c r="CET3" s="89"/>
      <c r="CEU3" s="89"/>
      <c r="CEV3" s="89"/>
      <c r="CEW3" s="89"/>
      <c r="CEX3" s="89"/>
      <c r="CEY3" s="89"/>
      <c r="CEZ3" s="89"/>
      <c r="CFA3" s="89"/>
      <c r="CFB3" s="89"/>
      <c r="CFC3" s="89"/>
      <c r="CFD3" s="89"/>
      <c r="CFE3" s="89"/>
      <c r="CFF3" s="89"/>
      <c r="CFG3" s="89"/>
      <c r="CFH3" s="89"/>
      <c r="CFI3" s="89"/>
      <c r="CFJ3" s="89"/>
      <c r="CFK3" s="89"/>
      <c r="CFL3" s="89"/>
      <c r="CFM3" s="89"/>
      <c r="CFN3" s="89"/>
      <c r="CFO3" s="89"/>
      <c r="CFP3" s="89"/>
      <c r="CFQ3" s="89"/>
      <c r="CFR3" s="89"/>
      <c r="CFS3" s="89"/>
      <c r="CFT3" s="89"/>
      <c r="CFU3" s="89"/>
      <c r="CFV3" s="89"/>
      <c r="CFW3" s="89"/>
      <c r="CFX3" s="89"/>
      <c r="CFY3" s="89"/>
      <c r="CFZ3" s="89"/>
      <c r="CGA3" s="89"/>
      <c r="CGB3" s="89"/>
      <c r="CGC3" s="89"/>
      <c r="CGD3" s="89"/>
      <c r="CGE3" s="89"/>
      <c r="CGF3" s="89"/>
      <c r="CGG3" s="89"/>
      <c r="CGH3" s="89"/>
      <c r="CGI3" s="89"/>
      <c r="CGJ3" s="89"/>
      <c r="CGK3" s="89"/>
      <c r="CGL3" s="89"/>
      <c r="CGM3" s="89"/>
      <c r="CGN3" s="89"/>
      <c r="CGO3" s="89"/>
      <c r="CGP3" s="89"/>
      <c r="CGQ3" s="89"/>
      <c r="CGR3" s="89"/>
      <c r="CGS3" s="89"/>
      <c r="CGT3" s="89"/>
      <c r="CGU3" s="89"/>
      <c r="CGV3" s="89"/>
      <c r="CGW3" s="89"/>
      <c r="CGX3" s="89"/>
      <c r="CGY3" s="89"/>
      <c r="CGZ3" s="89"/>
      <c r="CHA3" s="89"/>
      <c r="CHB3" s="89"/>
      <c r="CHC3" s="89"/>
      <c r="CHD3" s="89"/>
      <c r="CHE3" s="89"/>
      <c r="CHF3" s="89"/>
      <c r="CHG3" s="89"/>
      <c r="CHH3" s="89"/>
      <c r="CHI3" s="89"/>
      <c r="CHJ3" s="89"/>
      <c r="CHK3" s="89"/>
      <c r="CHL3" s="89"/>
      <c r="CHM3" s="89"/>
      <c r="CHN3" s="89"/>
      <c r="CHO3" s="89"/>
      <c r="CHP3" s="89"/>
      <c r="CHQ3" s="89"/>
      <c r="CHR3" s="89"/>
      <c r="CHS3" s="89"/>
      <c r="CHT3" s="89"/>
      <c r="CHU3" s="89"/>
      <c r="CHV3" s="89"/>
      <c r="CHW3" s="89"/>
      <c r="CHX3" s="89"/>
      <c r="CHY3" s="89"/>
      <c r="CHZ3" s="89"/>
      <c r="CIA3" s="89"/>
      <c r="CIB3" s="89"/>
      <c r="CIC3" s="89"/>
      <c r="CID3" s="89"/>
      <c r="CIE3" s="89"/>
      <c r="CIF3" s="89"/>
      <c r="CIG3" s="89"/>
      <c r="CIH3" s="89"/>
      <c r="CII3" s="89"/>
      <c r="CIJ3" s="89"/>
      <c r="CIK3" s="89"/>
      <c r="CIL3" s="89"/>
      <c r="CIM3" s="89"/>
      <c r="CIN3" s="89"/>
      <c r="CIO3" s="89"/>
      <c r="CIP3" s="89"/>
      <c r="CIQ3" s="89"/>
      <c r="CIR3" s="89"/>
      <c r="CIS3" s="89"/>
      <c r="CIT3" s="89"/>
      <c r="CIU3" s="89"/>
      <c r="CIV3" s="89"/>
      <c r="CIW3" s="89"/>
      <c r="CIX3" s="89"/>
      <c r="CIY3" s="89"/>
      <c r="CIZ3" s="89"/>
      <c r="CJA3" s="89"/>
      <c r="CJB3" s="89"/>
      <c r="CJC3" s="89"/>
      <c r="CJD3" s="89"/>
      <c r="CJE3" s="89"/>
      <c r="CJF3" s="89"/>
      <c r="CJG3" s="89"/>
      <c r="CJH3" s="89"/>
      <c r="CJI3" s="89"/>
      <c r="CJJ3" s="89"/>
      <c r="CJK3" s="89"/>
      <c r="CJL3" s="89"/>
      <c r="CJM3" s="89"/>
      <c r="CJN3" s="89"/>
      <c r="CJO3" s="89"/>
      <c r="CJP3" s="89"/>
      <c r="CJQ3" s="89"/>
      <c r="CJR3" s="89"/>
      <c r="CJS3" s="89"/>
      <c r="CJT3" s="89"/>
      <c r="CJU3" s="89"/>
      <c r="CJV3" s="89"/>
      <c r="CJW3" s="89"/>
      <c r="CJX3" s="89"/>
      <c r="CJY3" s="89"/>
      <c r="CJZ3" s="89"/>
      <c r="CKA3" s="89"/>
      <c r="CKB3" s="89"/>
      <c r="CKC3" s="89"/>
      <c r="CKD3" s="89"/>
      <c r="CKE3" s="89"/>
      <c r="CKF3" s="89"/>
      <c r="CKG3" s="89"/>
      <c r="CKH3" s="89"/>
      <c r="CKI3" s="89"/>
      <c r="CKJ3" s="89"/>
      <c r="CKK3" s="89"/>
      <c r="CKL3" s="89"/>
      <c r="CKM3" s="89"/>
      <c r="CKN3" s="89"/>
      <c r="CKO3" s="89"/>
      <c r="CKP3" s="89"/>
      <c r="CKQ3" s="89"/>
      <c r="CKR3" s="89"/>
      <c r="CKS3" s="89"/>
      <c r="CKT3" s="89"/>
      <c r="CKU3" s="89"/>
      <c r="CKV3" s="89"/>
      <c r="CKW3" s="89"/>
      <c r="CKX3" s="89"/>
      <c r="CKY3" s="89"/>
      <c r="CKZ3" s="89"/>
      <c r="CLA3" s="89"/>
      <c r="CLB3" s="89"/>
      <c r="CLC3" s="89"/>
      <c r="CLD3" s="89"/>
      <c r="CLE3" s="89"/>
      <c r="CLF3" s="89"/>
      <c r="CLG3" s="89"/>
      <c r="CLH3" s="89"/>
      <c r="CLI3" s="89"/>
      <c r="CLJ3" s="89"/>
      <c r="CLK3" s="89"/>
      <c r="CLL3" s="89"/>
      <c r="CLM3" s="89"/>
      <c r="CLN3" s="89"/>
      <c r="CLO3" s="89"/>
      <c r="CLP3" s="89"/>
      <c r="CLQ3" s="89"/>
      <c r="CLR3" s="89"/>
      <c r="CLS3" s="89"/>
      <c r="CLT3" s="89"/>
      <c r="CLU3" s="89"/>
      <c r="CLV3" s="89"/>
      <c r="CLW3" s="89"/>
      <c r="CLX3" s="89"/>
      <c r="CLY3" s="89"/>
      <c r="CLZ3" s="89"/>
      <c r="CMA3" s="89"/>
      <c r="CMB3" s="89"/>
      <c r="CMC3" s="89"/>
      <c r="CMD3" s="89"/>
      <c r="CME3" s="89"/>
      <c r="CMF3" s="89"/>
      <c r="CMG3" s="89"/>
      <c r="CMH3" s="89"/>
      <c r="CMI3" s="89"/>
      <c r="CMJ3" s="89"/>
      <c r="CMK3" s="89"/>
      <c r="CML3" s="89"/>
      <c r="CMM3" s="89"/>
      <c r="CMN3" s="89"/>
      <c r="CMO3" s="89"/>
      <c r="CMP3" s="89"/>
      <c r="CMQ3" s="89"/>
      <c r="CMR3" s="89"/>
      <c r="CMS3" s="89"/>
      <c r="CMT3" s="89"/>
      <c r="CMU3" s="89"/>
      <c r="CMV3" s="89"/>
      <c r="CMW3" s="89"/>
      <c r="CMX3" s="89"/>
      <c r="CMY3" s="89"/>
      <c r="CMZ3" s="89"/>
      <c r="CNA3" s="89"/>
      <c r="CNB3" s="89"/>
      <c r="CNC3" s="89"/>
      <c r="CND3" s="89"/>
      <c r="CNE3" s="89"/>
      <c r="CNF3" s="89"/>
      <c r="CNG3" s="89"/>
      <c r="CNH3" s="89"/>
      <c r="CNI3" s="89"/>
      <c r="CNJ3" s="89"/>
      <c r="CNK3" s="89"/>
      <c r="CNL3" s="89"/>
      <c r="CNM3" s="89"/>
      <c r="CNN3" s="89"/>
      <c r="CNO3" s="89"/>
      <c r="CNP3" s="89"/>
      <c r="CNQ3" s="89"/>
      <c r="CNR3" s="89"/>
      <c r="CNS3" s="89"/>
      <c r="CNT3" s="89"/>
      <c r="CNU3" s="89"/>
      <c r="CNV3" s="89"/>
      <c r="CNW3" s="89"/>
      <c r="CNX3" s="89"/>
      <c r="CNY3" s="89"/>
      <c r="CNZ3" s="89"/>
      <c r="COA3" s="89"/>
      <c r="COB3" s="89"/>
      <c r="COC3" s="89"/>
      <c r="COD3" s="89"/>
      <c r="COE3" s="89"/>
      <c r="COF3" s="89"/>
      <c r="COG3" s="89"/>
      <c r="COH3" s="89"/>
      <c r="COI3" s="89"/>
      <c r="COJ3" s="89"/>
      <c r="COK3" s="89"/>
      <c r="COL3" s="89"/>
      <c r="COM3" s="89"/>
      <c r="CON3" s="89"/>
      <c r="COO3" s="89"/>
      <c r="COP3" s="89"/>
      <c r="COQ3" s="89"/>
      <c r="COR3" s="89"/>
      <c r="COS3" s="89"/>
      <c r="COT3" s="89"/>
      <c r="COU3" s="89"/>
      <c r="COV3" s="89"/>
      <c r="COW3" s="89"/>
      <c r="COX3" s="89"/>
      <c r="COY3" s="89"/>
      <c r="COZ3" s="89"/>
      <c r="CPA3" s="89"/>
      <c r="CPB3" s="89"/>
      <c r="CPC3" s="89"/>
      <c r="CPD3" s="89"/>
      <c r="CPE3" s="89"/>
      <c r="CPF3" s="89"/>
      <c r="CPG3" s="89"/>
      <c r="CPH3" s="89"/>
      <c r="CPI3" s="89"/>
      <c r="CPJ3" s="89"/>
      <c r="CPK3" s="89"/>
      <c r="CPL3" s="89"/>
      <c r="CPM3" s="89"/>
      <c r="CPN3" s="89"/>
      <c r="CPO3" s="89"/>
      <c r="CPP3" s="89"/>
      <c r="CPQ3" s="89"/>
      <c r="CPR3" s="89"/>
      <c r="CPS3" s="89"/>
      <c r="CPT3" s="89"/>
      <c r="CPU3" s="89"/>
      <c r="CPV3" s="89"/>
      <c r="CPW3" s="89"/>
      <c r="CPX3" s="89"/>
      <c r="CPY3" s="89"/>
      <c r="CPZ3" s="89"/>
      <c r="CQA3" s="89"/>
      <c r="CQB3" s="89"/>
      <c r="CQC3" s="89"/>
      <c r="CQD3" s="89"/>
      <c r="CQE3" s="89"/>
      <c r="CQF3" s="89"/>
      <c r="CQG3" s="89"/>
      <c r="CQH3" s="89"/>
      <c r="CQI3" s="89"/>
      <c r="CQJ3" s="89"/>
      <c r="CQK3" s="89"/>
      <c r="CQL3" s="89"/>
      <c r="CQM3" s="89"/>
      <c r="CQN3" s="89"/>
      <c r="CQO3" s="89"/>
      <c r="CQP3" s="89"/>
      <c r="CQQ3" s="89"/>
      <c r="CQR3" s="89"/>
      <c r="CQS3" s="89"/>
      <c r="CQT3" s="89"/>
      <c r="CQU3" s="89"/>
      <c r="CQV3" s="89"/>
      <c r="CQW3" s="89"/>
      <c r="CQX3" s="89"/>
      <c r="CQY3" s="89"/>
      <c r="CQZ3" s="89"/>
      <c r="CRA3" s="89"/>
      <c r="CRB3" s="89"/>
      <c r="CRC3" s="89"/>
      <c r="CRD3" s="89"/>
      <c r="CRE3" s="89"/>
      <c r="CRF3" s="89"/>
      <c r="CRG3" s="89"/>
      <c r="CRH3" s="89"/>
      <c r="CRI3" s="89"/>
      <c r="CRJ3" s="89"/>
      <c r="CRK3" s="89"/>
      <c r="CRL3" s="89"/>
      <c r="CRM3" s="89"/>
      <c r="CRN3" s="89"/>
      <c r="CRO3" s="89"/>
      <c r="CRP3" s="89"/>
      <c r="CRQ3" s="89"/>
      <c r="CRR3" s="89"/>
      <c r="CRS3" s="89"/>
      <c r="CRT3" s="89"/>
      <c r="CRU3" s="89"/>
      <c r="CRV3" s="89"/>
      <c r="CRW3" s="89"/>
      <c r="CRX3" s="89"/>
      <c r="CRY3" s="89"/>
      <c r="CRZ3" s="89"/>
      <c r="CSA3" s="89"/>
      <c r="CSB3" s="89"/>
      <c r="CSC3" s="89"/>
      <c r="CSD3" s="89"/>
      <c r="CSE3" s="89"/>
      <c r="CSF3" s="89"/>
      <c r="CSG3" s="89"/>
      <c r="CSH3" s="89"/>
      <c r="CSI3" s="89"/>
      <c r="CSJ3" s="89"/>
      <c r="CSK3" s="89"/>
      <c r="CSL3" s="89"/>
      <c r="CSM3" s="89"/>
      <c r="CSN3" s="89"/>
      <c r="CSO3" s="89"/>
      <c r="CSP3" s="89"/>
      <c r="CSQ3" s="89"/>
      <c r="CSR3" s="89"/>
      <c r="CSS3" s="89"/>
      <c r="CST3" s="89"/>
      <c r="CSU3" s="89"/>
      <c r="CSV3" s="89"/>
      <c r="CSW3" s="89"/>
      <c r="CSX3" s="89"/>
      <c r="CSY3" s="89"/>
      <c r="CSZ3" s="89"/>
      <c r="CTA3" s="89"/>
      <c r="CTB3" s="89"/>
      <c r="CTC3" s="89"/>
      <c r="CTD3" s="89"/>
      <c r="CTE3" s="89"/>
      <c r="CTF3" s="89"/>
      <c r="CTG3" s="89"/>
      <c r="CTH3" s="89"/>
      <c r="CTI3" s="89"/>
      <c r="CTJ3" s="89"/>
      <c r="CTK3" s="89"/>
      <c r="CTL3" s="89"/>
      <c r="CTM3" s="89"/>
      <c r="CTN3" s="89"/>
      <c r="CTO3" s="89"/>
      <c r="CTP3" s="89"/>
      <c r="CTQ3" s="89"/>
      <c r="CTR3" s="89"/>
      <c r="CTS3" s="89"/>
      <c r="CTT3" s="89"/>
      <c r="CTU3" s="89"/>
      <c r="CTV3" s="89"/>
      <c r="CTW3" s="89"/>
      <c r="CTX3" s="89"/>
      <c r="CTY3" s="89"/>
      <c r="CTZ3" s="89"/>
      <c r="CUA3" s="89"/>
      <c r="CUB3" s="89"/>
      <c r="CUC3" s="89"/>
      <c r="CUD3" s="89"/>
      <c r="CUE3" s="89"/>
      <c r="CUF3" s="89"/>
      <c r="CUG3" s="89"/>
      <c r="CUH3" s="89"/>
      <c r="CUI3" s="89"/>
      <c r="CUJ3" s="89"/>
      <c r="CUK3" s="89"/>
      <c r="CUL3" s="89"/>
      <c r="CUM3" s="89"/>
      <c r="CUN3" s="89"/>
      <c r="CUO3" s="89"/>
      <c r="CUP3" s="89"/>
      <c r="CUQ3" s="89"/>
      <c r="CUR3" s="89"/>
      <c r="CUS3" s="89"/>
      <c r="CUT3" s="89"/>
      <c r="CUU3" s="89"/>
      <c r="CUV3" s="89"/>
      <c r="CUW3" s="89"/>
      <c r="CUX3" s="89"/>
      <c r="CUY3" s="89"/>
      <c r="CUZ3" s="89"/>
      <c r="CVA3" s="89"/>
      <c r="CVB3" s="89"/>
      <c r="CVC3" s="89"/>
      <c r="CVD3" s="89"/>
      <c r="CVE3" s="89"/>
      <c r="CVF3" s="89"/>
      <c r="CVG3" s="89"/>
      <c r="CVH3" s="89"/>
      <c r="CVI3" s="89"/>
      <c r="CVJ3" s="89"/>
      <c r="CVK3" s="89"/>
      <c r="CVL3" s="89"/>
      <c r="CVM3" s="89"/>
      <c r="CVN3" s="89"/>
      <c r="CVO3" s="89"/>
      <c r="CVP3" s="89"/>
      <c r="CVQ3" s="89"/>
      <c r="CVR3" s="89"/>
      <c r="CVS3" s="89"/>
      <c r="CVT3" s="89"/>
      <c r="CVU3" s="89"/>
      <c r="CVV3" s="89"/>
      <c r="CVW3" s="89"/>
      <c r="CVX3" s="89"/>
      <c r="CVY3" s="89"/>
      <c r="CVZ3" s="89"/>
      <c r="CWA3" s="89"/>
      <c r="CWB3" s="89"/>
      <c r="CWC3" s="89"/>
      <c r="CWD3" s="89"/>
      <c r="CWE3" s="89"/>
      <c r="CWF3" s="89"/>
      <c r="CWG3" s="89"/>
      <c r="CWH3" s="89"/>
      <c r="CWI3" s="89"/>
      <c r="CWJ3" s="89"/>
      <c r="CWK3" s="89"/>
      <c r="CWL3" s="89"/>
      <c r="CWM3" s="89"/>
      <c r="CWN3" s="89"/>
      <c r="CWO3" s="89"/>
      <c r="CWP3" s="89"/>
      <c r="CWQ3" s="89"/>
      <c r="CWR3" s="89"/>
      <c r="CWS3" s="89"/>
      <c r="CWT3" s="89"/>
      <c r="CWU3" s="89"/>
      <c r="CWV3" s="89"/>
      <c r="CWW3" s="89"/>
      <c r="CWX3" s="89"/>
      <c r="CWY3" s="89"/>
      <c r="CWZ3" s="89"/>
      <c r="CXA3" s="89"/>
      <c r="CXB3" s="89"/>
      <c r="CXC3" s="89"/>
      <c r="CXD3" s="89"/>
      <c r="CXE3" s="89"/>
      <c r="CXF3" s="89"/>
      <c r="CXG3" s="89"/>
      <c r="CXH3" s="89"/>
      <c r="CXI3" s="89"/>
      <c r="CXJ3" s="89"/>
      <c r="CXK3" s="89"/>
      <c r="CXL3" s="89"/>
      <c r="CXM3" s="89"/>
      <c r="CXN3" s="89"/>
      <c r="CXO3" s="89"/>
      <c r="CXP3" s="89"/>
      <c r="CXQ3" s="89"/>
      <c r="CXR3" s="89"/>
      <c r="CXS3" s="89"/>
      <c r="CXT3" s="89"/>
      <c r="CXU3" s="89"/>
      <c r="CXV3" s="89"/>
      <c r="CXW3" s="89"/>
      <c r="CXX3" s="89"/>
      <c r="CXY3" s="89"/>
      <c r="CXZ3" s="89"/>
      <c r="CYA3" s="89"/>
      <c r="CYB3" s="89"/>
      <c r="CYC3" s="89"/>
      <c r="CYD3" s="89"/>
      <c r="CYE3" s="89"/>
      <c r="CYF3" s="89"/>
      <c r="CYG3" s="89"/>
      <c r="CYH3" s="89"/>
      <c r="CYI3" s="89"/>
      <c r="CYJ3" s="89"/>
      <c r="CYK3" s="89"/>
      <c r="CYL3" s="89"/>
      <c r="CYM3" s="89"/>
      <c r="CYN3" s="89"/>
      <c r="CYO3" s="89"/>
      <c r="CYP3" s="89"/>
      <c r="CYQ3" s="89"/>
      <c r="CYR3" s="89"/>
      <c r="CYS3" s="89"/>
      <c r="CYT3" s="89"/>
      <c r="CYU3" s="89"/>
      <c r="CYV3" s="89"/>
      <c r="CYW3" s="89"/>
      <c r="CYX3" s="89"/>
      <c r="CYY3" s="89"/>
      <c r="CYZ3" s="89"/>
      <c r="CZA3" s="89"/>
      <c r="CZB3" s="89"/>
      <c r="CZC3" s="89"/>
      <c r="CZD3" s="89"/>
      <c r="CZE3" s="89"/>
      <c r="CZF3" s="89"/>
      <c r="CZG3" s="89"/>
      <c r="CZH3" s="89"/>
      <c r="CZI3" s="89"/>
      <c r="CZJ3" s="89"/>
      <c r="CZK3" s="89"/>
      <c r="CZL3" s="89"/>
      <c r="CZM3" s="89"/>
      <c r="CZN3" s="89"/>
      <c r="CZO3" s="89"/>
      <c r="CZP3" s="89"/>
      <c r="CZQ3" s="89"/>
      <c r="CZR3" s="89"/>
      <c r="CZS3" s="89"/>
      <c r="CZT3" s="89"/>
      <c r="CZU3" s="89"/>
      <c r="CZV3" s="89"/>
      <c r="CZW3" s="89"/>
      <c r="CZX3" s="89"/>
      <c r="CZY3" s="89"/>
      <c r="CZZ3" s="89"/>
      <c r="DAA3" s="89"/>
      <c r="DAB3" s="89"/>
      <c r="DAC3" s="89"/>
      <c r="DAD3" s="89"/>
      <c r="DAE3" s="89"/>
      <c r="DAF3" s="89"/>
      <c r="DAG3" s="89"/>
      <c r="DAH3" s="89"/>
      <c r="DAI3" s="89"/>
      <c r="DAJ3" s="89"/>
      <c r="DAK3" s="89"/>
      <c r="DAL3" s="89"/>
      <c r="DAM3" s="89"/>
      <c r="DAN3" s="89"/>
      <c r="DAO3" s="89"/>
      <c r="DAP3" s="89"/>
      <c r="DAQ3" s="89"/>
      <c r="DAR3" s="89"/>
      <c r="DAS3" s="89"/>
      <c r="DAT3" s="89"/>
      <c r="DAU3" s="89"/>
      <c r="DAV3" s="89"/>
      <c r="DAW3" s="89"/>
      <c r="DAX3" s="89"/>
      <c r="DAY3" s="89"/>
      <c r="DAZ3" s="89"/>
      <c r="DBA3" s="89"/>
      <c r="DBB3" s="89"/>
      <c r="DBC3" s="89"/>
      <c r="DBD3" s="89"/>
      <c r="DBE3" s="89"/>
      <c r="DBF3" s="89"/>
      <c r="DBG3" s="89"/>
      <c r="DBH3" s="89"/>
      <c r="DBI3" s="89"/>
      <c r="DBJ3" s="89"/>
      <c r="DBK3" s="89"/>
      <c r="DBL3" s="89"/>
      <c r="DBM3" s="89"/>
      <c r="DBN3" s="89"/>
      <c r="DBO3" s="89"/>
      <c r="DBP3" s="89"/>
      <c r="DBQ3" s="89"/>
      <c r="DBR3" s="89"/>
      <c r="DBS3" s="89"/>
      <c r="DBT3" s="89"/>
      <c r="DBU3" s="89"/>
      <c r="DBV3" s="89"/>
      <c r="DBW3" s="89"/>
      <c r="DBX3" s="89"/>
      <c r="DBY3" s="89"/>
      <c r="DBZ3" s="89"/>
      <c r="DCA3" s="89"/>
      <c r="DCB3" s="89"/>
      <c r="DCC3" s="89"/>
      <c r="DCD3" s="89"/>
      <c r="DCE3" s="89"/>
      <c r="DCF3" s="89"/>
      <c r="DCG3" s="89"/>
      <c r="DCH3" s="89"/>
      <c r="DCI3" s="89"/>
      <c r="DCJ3" s="89"/>
      <c r="DCK3" s="89"/>
      <c r="DCL3" s="89"/>
      <c r="DCM3" s="89"/>
      <c r="DCN3" s="89"/>
      <c r="DCO3" s="89"/>
      <c r="DCP3" s="89"/>
      <c r="DCQ3" s="89"/>
      <c r="DCR3" s="89"/>
      <c r="DCS3" s="89"/>
      <c r="DCT3" s="89"/>
      <c r="DCU3" s="89"/>
      <c r="DCV3" s="89"/>
      <c r="DCW3" s="89"/>
      <c r="DCX3" s="89"/>
      <c r="DCY3" s="89"/>
      <c r="DCZ3" s="89"/>
      <c r="DDA3" s="89"/>
      <c r="DDB3" s="89"/>
      <c r="DDC3" s="89"/>
      <c r="DDD3" s="89"/>
      <c r="DDE3" s="89"/>
      <c r="DDF3" s="89"/>
      <c r="DDG3" s="89"/>
      <c r="DDH3" s="89"/>
      <c r="DDI3" s="89"/>
      <c r="DDJ3" s="89"/>
      <c r="DDK3" s="89"/>
      <c r="DDL3" s="89"/>
      <c r="DDM3" s="89"/>
      <c r="DDN3" s="89"/>
      <c r="DDO3" s="89"/>
      <c r="DDP3" s="89"/>
      <c r="DDQ3" s="89"/>
      <c r="DDR3" s="89"/>
      <c r="DDS3" s="89"/>
      <c r="DDT3" s="89"/>
      <c r="DDU3" s="89"/>
      <c r="DDV3" s="89"/>
      <c r="DDW3" s="89"/>
      <c r="DDX3" s="89"/>
      <c r="DDY3" s="89"/>
      <c r="DDZ3" s="89"/>
      <c r="DEA3" s="89"/>
      <c r="DEB3" s="89"/>
      <c r="DEC3" s="89"/>
      <c r="DED3" s="89"/>
      <c r="DEE3" s="89"/>
      <c r="DEF3" s="89"/>
      <c r="DEG3" s="89"/>
      <c r="DEH3" s="89"/>
      <c r="DEI3" s="89"/>
      <c r="DEJ3" s="89"/>
      <c r="DEK3" s="89"/>
      <c r="DEL3" s="89"/>
      <c r="DEM3" s="89"/>
      <c r="DEN3" s="89"/>
      <c r="DEO3" s="89"/>
      <c r="DEP3" s="89"/>
      <c r="DEQ3" s="89"/>
      <c r="DER3" s="89"/>
      <c r="DES3" s="89"/>
      <c r="DET3" s="89"/>
      <c r="DEU3" s="89"/>
      <c r="DEV3" s="89"/>
      <c r="DEW3" s="89"/>
      <c r="DEX3" s="89"/>
      <c r="DEY3" s="89"/>
      <c r="DEZ3" s="89"/>
      <c r="DFA3" s="89"/>
      <c r="DFB3" s="89"/>
      <c r="DFC3" s="89"/>
      <c r="DFD3" s="89"/>
      <c r="DFE3" s="89"/>
      <c r="DFF3" s="89"/>
      <c r="DFG3" s="89"/>
      <c r="DFH3" s="89"/>
      <c r="DFI3" s="89"/>
      <c r="DFJ3" s="89"/>
      <c r="DFK3" s="89"/>
      <c r="DFL3" s="89"/>
      <c r="DFM3" s="89"/>
      <c r="DFN3" s="89"/>
      <c r="DFO3" s="89"/>
      <c r="DFP3" s="89"/>
      <c r="DFQ3" s="89"/>
      <c r="DFR3" s="89"/>
      <c r="DFS3" s="89"/>
      <c r="DFT3" s="89"/>
      <c r="DFU3" s="89"/>
      <c r="DFV3" s="89"/>
      <c r="DFW3" s="89"/>
      <c r="DFX3" s="89"/>
      <c r="DFY3" s="89"/>
      <c r="DFZ3" s="89"/>
      <c r="DGA3" s="89"/>
      <c r="DGB3" s="89"/>
      <c r="DGC3" s="89"/>
      <c r="DGD3" s="89"/>
      <c r="DGE3" s="89"/>
      <c r="DGF3" s="89"/>
      <c r="DGG3" s="89"/>
      <c r="DGH3" s="89"/>
      <c r="DGI3" s="89"/>
      <c r="DGJ3" s="89"/>
      <c r="DGK3" s="89"/>
      <c r="DGL3" s="89"/>
      <c r="DGM3" s="89"/>
      <c r="DGN3" s="89"/>
      <c r="DGO3" s="89"/>
      <c r="DGP3" s="89"/>
      <c r="DGQ3" s="89"/>
      <c r="DGR3" s="89"/>
      <c r="DGS3" s="89"/>
      <c r="DGT3" s="89"/>
      <c r="DGU3" s="89"/>
      <c r="DGV3" s="89"/>
      <c r="DGW3" s="89"/>
      <c r="DGX3" s="89"/>
      <c r="DGY3" s="89"/>
      <c r="DGZ3" s="89"/>
      <c r="DHA3" s="89"/>
      <c r="DHB3" s="89"/>
      <c r="DHC3" s="89"/>
      <c r="DHD3" s="89"/>
      <c r="DHE3" s="89"/>
      <c r="DHF3" s="89"/>
      <c r="DHG3" s="89"/>
      <c r="DHH3" s="89"/>
      <c r="DHI3" s="89"/>
      <c r="DHJ3" s="89"/>
      <c r="DHK3" s="89"/>
      <c r="DHL3" s="89"/>
      <c r="DHM3" s="89"/>
      <c r="DHN3" s="89"/>
      <c r="DHO3" s="89"/>
      <c r="DHP3" s="89"/>
      <c r="DHQ3" s="89"/>
      <c r="DHR3" s="89"/>
      <c r="DHS3" s="89"/>
      <c r="DHT3" s="89"/>
      <c r="DHU3" s="89"/>
      <c r="DHV3" s="89"/>
      <c r="DHW3" s="89"/>
      <c r="DHX3" s="89"/>
      <c r="DHY3" s="89"/>
      <c r="DHZ3" s="89"/>
      <c r="DIA3" s="89"/>
      <c r="DIB3" s="89"/>
      <c r="DIC3" s="89"/>
      <c r="DID3" s="89"/>
      <c r="DIE3" s="89"/>
      <c r="DIF3" s="89"/>
      <c r="DIG3" s="89"/>
      <c r="DIH3" s="89"/>
      <c r="DII3" s="89"/>
      <c r="DIJ3" s="89"/>
      <c r="DIK3" s="89"/>
      <c r="DIL3" s="89"/>
      <c r="DIM3" s="89"/>
      <c r="DIN3" s="89"/>
      <c r="DIO3" s="89"/>
      <c r="DIP3" s="89"/>
      <c r="DIQ3" s="89"/>
      <c r="DIR3" s="89"/>
      <c r="DIS3" s="89"/>
      <c r="DIT3" s="89"/>
      <c r="DIU3" s="89"/>
      <c r="DIV3" s="89"/>
      <c r="DIW3" s="89"/>
      <c r="DIX3" s="89"/>
      <c r="DIY3" s="89"/>
      <c r="DIZ3" s="89"/>
      <c r="DJA3" s="89"/>
      <c r="DJB3" s="89"/>
      <c r="DJC3" s="89"/>
      <c r="DJD3" s="89"/>
      <c r="DJE3" s="89"/>
      <c r="DJF3" s="89"/>
      <c r="DJG3" s="89"/>
      <c r="DJH3" s="89"/>
      <c r="DJI3" s="89"/>
      <c r="DJJ3" s="89"/>
      <c r="DJK3" s="89"/>
      <c r="DJL3" s="89"/>
      <c r="DJM3" s="89"/>
      <c r="DJN3" s="89"/>
      <c r="DJO3" s="89"/>
      <c r="DJP3" s="89"/>
      <c r="DJQ3" s="89"/>
      <c r="DJR3" s="89"/>
      <c r="DJS3" s="89"/>
      <c r="DJT3" s="89"/>
      <c r="DJU3" s="89"/>
      <c r="DJV3" s="89"/>
      <c r="DJW3" s="89"/>
      <c r="DJX3" s="89"/>
      <c r="DJY3" s="89"/>
      <c r="DJZ3" s="89"/>
      <c r="DKA3" s="89"/>
      <c r="DKB3" s="89"/>
      <c r="DKC3" s="89"/>
      <c r="DKD3" s="89"/>
      <c r="DKE3" s="89"/>
      <c r="DKF3" s="89"/>
      <c r="DKG3" s="89"/>
      <c r="DKH3" s="89"/>
      <c r="DKI3" s="89"/>
      <c r="DKJ3" s="89"/>
      <c r="DKK3" s="89"/>
      <c r="DKL3" s="89"/>
      <c r="DKM3" s="89"/>
      <c r="DKN3" s="89"/>
      <c r="DKO3" s="89"/>
      <c r="DKP3" s="89"/>
      <c r="DKQ3" s="89"/>
      <c r="DKR3" s="89"/>
      <c r="DKS3" s="89"/>
      <c r="DKT3" s="89"/>
      <c r="DKU3" s="89"/>
      <c r="DKV3" s="89"/>
      <c r="DKW3" s="89"/>
      <c r="DKX3" s="89"/>
      <c r="DKY3" s="89"/>
      <c r="DKZ3" s="89"/>
      <c r="DLA3" s="89"/>
      <c r="DLB3" s="89"/>
      <c r="DLC3" s="89"/>
      <c r="DLD3" s="89"/>
      <c r="DLE3" s="89"/>
      <c r="DLF3" s="89"/>
      <c r="DLG3" s="89"/>
      <c r="DLH3" s="89"/>
      <c r="DLI3" s="89"/>
      <c r="DLJ3" s="89"/>
      <c r="DLK3" s="89"/>
      <c r="DLL3" s="89"/>
      <c r="DLM3" s="89"/>
      <c r="DLN3" s="89"/>
      <c r="DLO3" s="89"/>
      <c r="DLP3" s="89"/>
      <c r="DLQ3" s="89"/>
      <c r="DLR3" s="89"/>
      <c r="DLS3" s="89"/>
      <c r="DLT3" s="89"/>
      <c r="DLU3" s="89"/>
      <c r="DLV3" s="89"/>
      <c r="DLW3" s="89"/>
      <c r="DLX3" s="89"/>
      <c r="DLY3" s="89"/>
      <c r="DLZ3" s="89"/>
      <c r="DMA3" s="89"/>
      <c r="DMB3" s="89"/>
      <c r="DMC3" s="89"/>
      <c r="DMD3" s="89"/>
      <c r="DME3" s="89"/>
      <c r="DMF3" s="89"/>
      <c r="DMG3" s="89"/>
      <c r="DMH3" s="89"/>
      <c r="DMI3" s="89"/>
      <c r="DMJ3" s="89"/>
      <c r="DMK3" s="89"/>
      <c r="DML3" s="89"/>
      <c r="DMM3" s="89"/>
      <c r="DMN3" s="89"/>
      <c r="DMO3" s="89"/>
      <c r="DMP3" s="89"/>
      <c r="DMQ3" s="89"/>
      <c r="DMR3" s="89"/>
      <c r="DMS3" s="89"/>
      <c r="DMT3" s="89"/>
      <c r="DMU3" s="89"/>
      <c r="DMV3" s="89"/>
      <c r="DMW3" s="89"/>
      <c r="DMX3" s="89"/>
      <c r="DMY3" s="89"/>
      <c r="DMZ3" s="89"/>
      <c r="DNA3" s="89"/>
      <c r="DNB3" s="89"/>
      <c r="DNC3" s="89"/>
      <c r="DND3" s="89"/>
      <c r="DNE3" s="89"/>
      <c r="DNF3" s="89"/>
      <c r="DNG3" s="89"/>
      <c r="DNH3" s="89"/>
      <c r="DNI3" s="89"/>
      <c r="DNJ3" s="89"/>
      <c r="DNK3" s="89"/>
      <c r="DNL3" s="89"/>
      <c r="DNM3" s="89"/>
      <c r="DNN3" s="89"/>
      <c r="DNO3" s="89"/>
      <c r="DNP3" s="89"/>
      <c r="DNQ3" s="89"/>
      <c r="DNR3" s="89"/>
      <c r="DNS3" s="89"/>
      <c r="DNT3" s="89"/>
      <c r="DNU3" s="89"/>
      <c r="DNV3" s="89"/>
      <c r="DNW3" s="89"/>
      <c r="DNX3" s="89"/>
      <c r="DNY3" s="89"/>
      <c r="DNZ3" s="89"/>
      <c r="DOA3" s="89"/>
      <c r="DOB3" s="89"/>
      <c r="DOC3" s="89"/>
      <c r="DOD3" s="89"/>
      <c r="DOE3" s="89"/>
      <c r="DOF3" s="89"/>
      <c r="DOG3" s="89"/>
      <c r="DOH3" s="89"/>
      <c r="DOI3" s="89"/>
      <c r="DOJ3" s="89"/>
      <c r="DOK3" s="89"/>
      <c r="DOL3" s="89"/>
      <c r="DOM3" s="89"/>
      <c r="DON3" s="89"/>
      <c r="DOO3" s="89"/>
      <c r="DOP3" s="89"/>
      <c r="DOQ3" s="89"/>
      <c r="DOR3" s="89"/>
      <c r="DOS3" s="89"/>
      <c r="DOT3" s="89"/>
      <c r="DOU3" s="89"/>
      <c r="DOV3" s="89"/>
      <c r="DOW3" s="89"/>
      <c r="DOX3" s="89"/>
      <c r="DOY3" s="89"/>
      <c r="DOZ3" s="89"/>
      <c r="DPA3" s="89"/>
      <c r="DPB3" s="89"/>
      <c r="DPC3" s="89"/>
      <c r="DPD3" s="89"/>
      <c r="DPE3" s="89"/>
      <c r="DPF3" s="89"/>
      <c r="DPG3" s="89"/>
      <c r="DPH3" s="89"/>
      <c r="DPI3" s="89"/>
      <c r="DPJ3" s="89"/>
      <c r="DPK3" s="89"/>
      <c r="DPL3" s="89"/>
      <c r="DPM3" s="89"/>
      <c r="DPN3" s="89"/>
      <c r="DPO3" s="89"/>
      <c r="DPP3" s="89"/>
      <c r="DPQ3" s="89"/>
      <c r="DPR3" s="89"/>
      <c r="DPS3" s="89"/>
      <c r="DPT3" s="89"/>
      <c r="DPU3" s="89"/>
      <c r="DPV3" s="89"/>
      <c r="DPW3" s="89"/>
      <c r="DPX3" s="89"/>
      <c r="DPY3" s="89"/>
      <c r="DPZ3" s="89"/>
      <c r="DQA3" s="89"/>
      <c r="DQB3" s="89"/>
      <c r="DQC3" s="89"/>
      <c r="DQD3" s="89"/>
      <c r="DQE3" s="89"/>
      <c r="DQF3" s="89"/>
      <c r="DQG3" s="89"/>
      <c r="DQH3" s="89"/>
      <c r="DQI3" s="89"/>
      <c r="DQJ3" s="89"/>
      <c r="DQK3" s="89"/>
      <c r="DQL3" s="89"/>
      <c r="DQM3" s="89"/>
      <c r="DQN3" s="89"/>
      <c r="DQO3" s="89"/>
      <c r="DQP3" s="89"/>
      <c r="DQQ3" s="89"/>
      <c r="DQR3" s="89"/>
      <c r="DQS3" s="89"/>
      <c r="DQT3" s="89"/>
      <c r="DQU3" s="89"/>
      <c r="DQV3" s="89"/>
      <c r="DQW3" s="89"/>
      <c r="DQX3" s="89"/>
      <c r="DQY3" s="89"/>
      <c r="DQZ3" s="89"/>
      <c r="DRA3" s="89"/>
      <c r="DRB3" s="89"/>
      <c r="DRC3" s="89"/>
      <c r="DRD3" s="89"/>
      <c r="DRE3" s="89"/>
      <c r="DRF3" s="89"/>
      <c r="DRG3" s="89"/>
      <c r="DRH3" s="89"/>
      <c r="DRI3" s="89"/>
      <c r="DRJ3" s="89"/>
      <c r="DRK3" s="89"/>
      <c r="DRL3" s="89"/>
      <c r="DRM3" s="89"/>
      <c r="DRN3" s="89"/>
      <c r="DRO3" s="89"/>
      <c r="DRP3" s="89"/>
      <c r="DRQ3" s="89"/>
      <c r="DRR3" s="89"/>
      <c r="DRS3" s="89"/>
      <c r="DRT3" s="89"/>
      <c r="DRU3" s="89"/>
      <c r="DRV3" s="89"/>
      <c r="DRW3" s="89"/>
      <c r="DRX3" s="89"/>
      <c r="DRY3" s="89"/>
      <c r="DRZ3" s="89"/>
      <c r="DSA3" s="89"/>
      <c r="DSB3" s="89"/>
      <c r="DSC3" s="89"/>
      <c r="DSD3" s="89"/>
      <c r="DSE3" s="89"/>
      <c r="DSF3" s="89"/>
      <c r="DSG3" s="89"/>
      <c r="DSH3" s="89"/>
      <c r="DSI3" s="89"/>
      <c r="DSJ3" s="89"/>
      <c r="DSK3" s="89"/>
      <c r="DSL3" s="89"/>
      <c r="DSM3" s="89"/>
      <c r="DSN3" s="89"/>
      <c r="DSO3" s="89"/>
      <c r="DSP3" s="89"/>
      <c r="DSQ3" s="89"/>
      <c r="DSR3" s="89"/>
      <c r="DSS3" s="89"/>
      <c r="DST3" s="89"/>
      <c r="DSU3" s="89"/>
      <c r="DSV3" s="89"/>
      <c r="DSW3" s="89"/>
      <c r="DSX3" s="89"/>
      <c r="DSY3" s="89"/>
      <c r="DSZ3" s="89"/>
      <c r="DTA3" s="89"/>
      <c r="DTB3" s="89"/>
      <c r="DTC3" s="89"/>
      <c r="DTD3" s="89"/>
      <c r="DTE3" s="89"/>
      <c r="DTF3" s="89"/>
      <c r="DTG3" s="89"/>
      <c r="DTH3" s="89"/>
      <c r="DTI3" s="89"/>
      <c r="DTJ3" s="89"/>
      <c r="DTK3" s="89"/>
      <c r="DTL3" s="89"/>
      <c r="DTM3" s="89"/>
      <c r="DTN3" s="89"/>
      <c r="DTO3" s="89"/>
      <c r="DTP3" s="89"/>
      <c r="DTQ3" s="89"/>
      <c r="DTR3" s="89"/>
      <c r="DTS3" s="89"/>
      <c r="DTT3" s="89"/>
      <c r="DTU3" s="89"/>
      <c r="DTV3" s="89"/>
      <c r="DTW3" s="89"/>
      <c r="DTX3" s="89"/>
      <c r="DTY3" s="89"/>
      <c r="DTZ3" s="89"/>
      <c r="DUA3" s="89"/>
      <c r="DUB3" s="89"/>
      <c r="DUC3" s="89"/>
      <c r="DUD3" s="89"/>
      <c r="DUE3" s="89"/>
      <c r="DUF3" s="89"/>
      <c r="DUG3" s="89"/>
      <c r="DUH3" s="89"/>
      <c r="DUI3" s="89"/>
      <c r="DUJ3" s="89"/>
      <c r="DUK3" s="89"/>
      <c r="DUL3" s="89"/>
      <c r="DUM3" s="89"/>
      <c r="DUN3" s="89"/>
      <c r="DUO3" s="89"/>
      <c r="DUP3" s="89"/>
      <c r="DUQ3" s="89"/>
      <c r="DUR3" s="89"/>
      <c r="DUS3" s="89"/>
      <c r="DUT3" s="89"/>
      <c r="DUU3" s="89"/>
      <c r="DUV3" s="89"/>
      <c r="DUW3" s="89"/>
      <c r="DUX3" s="89"/>
      <c r="DUY3" s="89"/>
      <c r="DUZ3" s="89"/>
      <c r="DVA3" s="89"/>
      <c r="DVB3" s="89"/>
      <c r="DVC3" s="89"/>
      <c r="DVD3" s="89"/>
      <c r="DVE3" s="89"/>
      <c r="DVF3" s="89"/>
      <c r="DVG3" s="89"/>
      <c r="DVH3" s="89"/>
      <c r="DVI3" s="89"/>
      <c r="DVJ3" s="89"/>
      <c r="DVK3" s="89"/>
      <c r="DVL3" s="89"/>
      <c r="DVM3" s="89"/>
      <c r="DVN3" s="89"/>
      <c r="DVO3" s="89"/>
      <c r="DVP3" s="89"/>
      <c r="DVQ3" s="89"/>
      <c r="DVR3" s="89"/>
      <c r="DVS3" s="89"/>
      <c r="DVT3" s="89"/>
      <c r="DVU3" s="89"/>
      <c r="DVV3" s="89"/>
      <c r="DVW3" s="89"/>
      <c r="DVX3" s="89"/>
      <c r="DVY3" s="89"/>
      <c r="DVZ3" s="89"/>
      <c r="DWA3" s="89"/>
      <c r="DWB3" s="89"/>
      <c r="DWC3" s="89"/>
      <c r="DWD3" s="89"/>
      <c r="DWE3" s="89"/>
      <c r="DWF3" s="89"/>
      <c r="DWG3" s="89"/>
      <c r="DWH3" s="89"/>
      <c r="DWI3" s="89"/>
      <c r="DWJ3" s="89"/>
      <c r="DWK3" s="89"/>
      <c r="DWL3" s="89"/>
      <c r="DWM3" s="89"/>
      <c r="DWN3" s="89"/>
      <c r="DWO3" s="89"/>
      <c r="DWP3" s="89"/>
      <c r="DWQ3" s="89"/>
      <c r="DWR3" s="89"/>
      <c r="DWS3" s="89"/>
      <c r="DWT3" s="89"/>
      <c r="DWU3" s="89"/>
      <c r="DWV3" s="89"/>
      <c r="DWW3" s="89"/>
      <c r="DWX3" s="89"/>
      <c r="DWY3" s="89"/>
      <c r="DWZ3" s="89"/>
      <c r="DXA3" s="89"/>
      <c r="DXB3" s="89"/>
      <c r="DXC3" s="89"/>
      <c r="DXD3" s="89"/>
      <c r="DXE3" s="89"/>
      <c r="DXF3" s="89"/>
      <c r="DXG3" s="89"/>
      <c r="DXH3" s="89"/>
      <c r="DXI3" s="89"/>
      <c r="DXJ3" s="89"/>
      <c r="DXK3" s="89"/>
      <c r="DXL3" s="89"/>
      <c r="DXM3" s="89"/>
      <c r="DXN3" s="89"/>
      <c r="DXO3" s="89"/>
      <c r="DXP3" s="89"/>
      <c r="DXQ3" s="89"/>
      <c r="DXR3" s="89"/>
      <c r="DXS3" s="89"/>
      <c r="DXT3" s="89"/>
      <c r="DXU3" s="89"/>
      <c r="DXV3" s="89"/>
      <c r="DXW3" s="89"/>
      <c r="DXX3" s="89"/>
      <c r="DXY3" s="89"/>
      <c r="DXZ3" s="89"/>
      <c r="DYA3" s="89"/>
      <c r="DYB3" s="89"/>
      <c r="DYC3" s="89"/>
      <c r="DYD3" s="89"/>
      <c r="DYE3" s="89"/>
      <c r="DYF3" s="89"/>
      <c r="DYG3" s="89"/>
      <c r="DYH3" s="89"/>
      <c r="DYI3" s="89"/>
      <c r="DYJ3" s="89"/>
      <c r="DYK3" s="89"/>
      <c r="DYL3" s="89"/>
      <c r="DYM3" s="89"/>
      <c r="DYN3" s="89"/>
      <c r="DYO3" s="89"/>
      <c r="DYP3" s="89"/>
      <c r="DYQ3" s="89"/>
      <c r="DYR3" s="89"/>
      <c r="DYS3" s="89"/>
      <c r="DYT3" s="89"/>
      <c r="DYU3" s="89"/>
      <c r="DYV3" s="89"/>
      <c r="DYW3" s="89"/>
      <c r="DYX3" s="89"/>
      <c r="DYY3" s="89"/>
      <c r="DYZ3" s="89"/>
      <c r="DZA3" s="89"/>
      <c r="DZB3" s="89"/>
      <c r="DZC3" s="89"/>
      <c r="DZD3" s="89"/>
      <c r="DZE3" s="89"/>
      <c r="DZF3" s="89"/>
      <c r="DZG3" s="89"/>
      <c r="DZH3" s="89"/>
      <c r="DZI3" s="89"/>
      <c r="DZJ3" s="89"/>
      <c r="DZK3" s="89"/>
      <c r="DZL3" s="89"/>
      <c r="DZM3" s="89"/>
      <c r="DZN3" s="89"/>
      <c r="DZO3" s="89"/>
      <c r="DZP3" s="89"/>
      <c r="DZQ3" s="89"/>
      <c r="DZR3" s="89"/>
      <c r="DZS3" s="89"/>
      <c r="DZT3" s="89"/>
      <c r="DZU3" s="89"/>
      <c r="DZV3" s="89"/>
      <c r="DZW3" s="89"/>
      <c r="DZX3" s="89"/>
      <c r="DZY3" s="89"/>
      <c r="DZZ3" s="89"/>
      <c r="EAA3" s="89"/>
      <c r="EAB3" s="89"/>
      <c r="EAC3" s="89"/>
      <c r="EAD3" s="89"/>
      <c r="EAE3" s="89"/>
      <c r="EAF3" s="89"/>
      <c r="EAG3" s="89"/>
      <c r="EAH3" s="89"/>
      <c r="EAI3" s="89"/>
      <c r="EAJ3" s="89"/>
      <c r="EAK3" s="89"/>
      <c r="EAL3" s="89"/>
      <c r="EAM3" s="89"/>
      <c r="EAN3" s="89"/>
      <c r="EAO3" s="89"/>
      <c r="EAP3" s="89"/>
      <c r="EAQ3" s="89"/>
      <c r="EAR3" s="89"/>
      <c r="EAS3" s="89"/>
      <c r="EAT3" s="89"/>
      <c r="EAU3" s="89"/>
      <c r="EAV3" s="89"/>
      <c r="EAW3" s="89"/>
      <c r="EAX3" s="89"/>
      <c r="EAY3" s="89"/>
      <c r="EAZ3" s="89"/>
      <c r="EBA3" s="89"/>
      <c r="EBB3" s="89"/>
      <c r="EBC3" s="89"/>
      <c r="EBD3" s="89"/>
      <c r="EBE3" s="89"/>
      <c r="EBF3" s="89"/>
      <c r="EBG3" s="89"/>
      <c r="EBH3" s="89"/>
      <c r="EBI3" s="89"/>
      <c r="EBJ3" s="89"/>
      <c r="EBK3" s="89"/>
      <c r="EBL3" s="89"/>
      <c r="EBM3" s="89"/>
      <c r="EBN3" s="89"/>
      <c r="EBO3" s="89"/>
      <c r="EBP3" s="89"/>
      <c r="EBQ3" s="89"/>
      <c r="EBR3" s="89"/>
      <c r="EBS3" s="89"/>
      <c r="EBT3" s="89"/>
      <c r="EBU3" s="89"/>
      <c r="EBV3" s="89"/>
      <c r="EBW3" s="89"/>
      <c r="EBX3" s="89"/>
      <c r="EBY3" s="89"/>
      <c r="EBZ3" s="89"/>
      <c r="ECA3" s="89"/>
      <c r="ECB3" s="89"/>
      <c r="ECC3" s="89"/>
      <c r="ECD3" s="89"/>
      <c r="ECE3" s="89"/>
      <c r="ECF3" s="89"/>
      <c r="ECG3" s="89"/>
      <c r="ECH3" s="89"/>
      <c r="ECI3" s="89"/>
      <c r="ECJ3" s="89"/>
      <c r="ECK3" s="89"/>
      <c r="ECL3" s="89"/>
      <c r="ECM3" s="89"/>
      <c r="ECN3" s="89"/>
      <c r="ECO3" s="89"/>
      <c r="ECP3" s="89"/>
      <c r="ECQ3" s="89"/>
      <c r="ECR3" s="89"/>
      <c r="ECS3" s="89"/>
      <c r="ECT3" s="89"/>
      <c r="ECU3" s="89"/>
      <c r="ECV3" s="89"/>
      <c r="ECW3" s="89"/>
      <c r="ECX3" s="89"/>
      <c r="ECY3" s="89"/>
      <c r="ECZ3" s="89"/>
      <c r="EDA3" s="89"/>
      <c r="EDB3" s="89"/>
      <c r="EDC3" s="89"/>
      <c r="EDD3" s="89"/>
      <c r="EDE3" s="89"/>
      <c r="EDF3" s="89"/>
      <c r="EDG3" s="89"/>
      <c r="EDH3" s="89"/>
      <c r="EDI3" s="89"/>
      <c r="EDJ3" s="89"/>
      <c r="EDK3" s="89"/>
      <c r="EDL3" s="89"/>
      <c r="EDM3" s="89"/>
      <c r="EDN3" s="89"/>
      <c r="EDO3" s="89"/>
      <c r="EDP3" s="89"/>
      <c r="EDQ3" s="89"/>
      <c r="EDR3" s="89"/>
      <c r="EDS3" s="89"/>
      <c r="EDT3" s="89"/>
      <c r="EDU3" s="89"/>
      <c r="EDV3" s="89"/>
      <c r="EDW3" s="89"/>
      <c r="EDX3" s="89"/>
      <c r="EDY3" s="89"/>
      <c r="EDZ3" s="89"/>
      <c r="EEA3" s="89"/>
      <c r="EEB3" s="89"/>
      <c r="EEC3" s="89"/>
      <c r="EED3" s="89"/>
      <c r="EEE3" s="89"/>
      <c r="EEF3" s="89"/>
      <c r="EEG3" s="89"/>
      <c r="EEH3" s="89"/>
      <c r="EEI3" s="89"/>
      <c r="EEJ3" s="89"/>
      <c r="EEK3" s="89"/>
      <c r="EEL3" s="89"/>
      <c r="EEM3" s="89"/>
      <c r="EEN3" s="89"/>
      <c r="EEO3" s="89"/>
      <c r="EEP3" s="89"/>
      <c r="EEQ3" s="89"/>
      <c r="EER3" s="89"/>
      <c r="EES3" s="89"/>
      <c r="EET3" s="89"/>
      <c r="EEU3" s="89"/>
      <c r="EEV3" s="89"/>
      <c r="EEW3" s="89"/>
      <c r="EEX3" s="89"/>
      <c r="EEY3" s="89"/>
      <c r="EEZ3" s="89"/>
      <c r="EFA3" s="89"/>
      <c r="EFB3" s="89"/>
      <c r="EFC3" s="89"/>
      <c r="EFD3" s="89"/>
      <c r="EFE3" s="89"/>
      <c r="EFF3" s="89"/>
      <c r="EFG3" s="89"/>
      <c r="EFH3" s="89"/>
      <c r="EFI3" s="89"/>
      <c r="EFJ3" s="89"/>
      <c r="EFK3" s="89"/>
      <c r="EFL3" s="89"/>
      <c r="EFM3" s="89"/>
      <c r="EFN3" s="89"/>
      <c r="EFO3" s="89"/>
      <c r="EFP3" s="89"/>
      <c r="EFQ3" s="89"/>
      <c r="EFR3" s="89"/>
      <c r="EFS3" s="89"/>
      <c r="EFT3" s="89"/>
      <c r="EFU3" s="89"/>
      <c r="EFV3" s="89"/>
      <c r="EFW3" s="89"/>
      <c r="EFX3" s="89"/>
      <c r="EFY3" s="89"/>
      <c r="EFZ3" s="89"/>
      <c r="EGA3" s="89"/>
      <c r="EGB3" s="89"/>
      <c r="EGC3" s="89"/>
      <c r="EGD3" s="89"/>
      <c r="EGE3" s="89"/>
      <c r="EGF3" s="89"/>
      <c r="EGG3" s="89"/>
      <c r="EGH3" s="89"/>
      <c r="EGI3" s="89"/>
      <c r="EGJ3" s="89"/>
      <c r="EGK3" s="89"/>
      <c r="EGL3" s="89"/>
      <c r="EGM3" s="89"/>
      <c r="EGN3" s="89"/>
      <c r="EGO3" s="89"/>
      <c r="EGP3" s="89"/>
      <c r="EGQ3" s="89"/>
      <c r="EGR3" s="89"/>
      <c r="EGS3" s="89"/>
      <c r="EGT3" s="89"/>
      <c r="EGU3" s="89"/>
      <c r="EGV3" s="89"/>
      <c r="EGW3" s="89"/>
      <c r="EGX3" s="89"/>
      <c r="EGY3" s="89"/>
      <c r="EGZ3" s="89"/>
      <c r="EHA3" s="89"/>
      <c r="EHB3" s="89"/>
      <c r="EHC3" s="89"/>
      <c r="EHD3" s="89"/>
      <c r="EHE3" s="89"/>
      <c r="EHF3" s="89"/>
      <c r="EHG3" s="89"/>
      <c r="EHH3" s="89"/>
      <c r="EHI3" s="89"/>
      <c r="EHJ3" s="89"/>
      <c r="EHK3" s="89"/>
      <c r="EHL3" s="89"/>
      <c r="EHM3" s="89"/>
      <c r="EHN3" s="89"/>
      <c r="EHO3" s="89"/>
      <c r="EHP3" s="89"/>
      <c r="EHQ3" s="89"/>
      <c r="EHR3" s="89"/>
      <c r="EHS3" s="89"/>
      <c r="EHT3" s="89"/>
      <c r="EHU3" s="89"/>
      <c r="EHV3" s="89"/>
      <c r="EHW3" s="89"/>
      <c r="EHX3" s="89"/>
      <c r="EHY3" s="89"/>
      <c r="EHZ3" s="89"/>
      <c r="EIA3" s="89"/>
      <c r="EIB3" s="89"/>
      <c r="EIC3" s="89"/>
      <c r="EID3" s="89"/>
      <c r="EIE3" s="89"/>
      <c r="EIF3" s="89"/>
      <c r="EIG3" s="89"/>
      <c r="EIH3" s="89"/>
      <c r="EII3" s="89"/>
      <c r="EIJ3" s="89"/>
      <c r="EIK3" s="89"/>
      <c r="EIL3" s="89"/>
      <c r="EIM3" s="89"/>
      <c r="EIN3" s="89"/>
      <c r="EIO3" s="89"/>
      <c r="EIP3" s="89"/>
      <c r="EIQ3" s="89"/>
      <c r="EIR3" s="89"/>
      <c r="EIS3" s="89"/>
      <c r="EIT3" s="89"/>
      <c r="EIU3" s="89"/>
      <c r="EIV3" s="89"/>
      <c r="EIW3" s="89"/>
      <c r="EIX3" s="89"/>
      <c r="EIY3" s="89"/>
      <c r="EIZ3" s="89"/>
      <c r="EJA3" s="89"/>
      <c r="EJB3" s="89"/>
      <c r="EJC3" s="89"/>
      <c r="EJD3" s="89"/>
      <c r="EJE3" s="89"/>
      <c r="EJF3" s="89"/>
      <c r="EJG3" s="89"/>
      <c r="EJH3" s="89"/>
      <c r="EJI3" s="89"/>
      <c r="EJJ3" s="89"/>
      <c r="EJK3" s="89"/>
      <c r="EJL3" s="89"/>
      <c r="EJM3" s="89"/>
      <c r="EJN3" s="89"/>
      <c r="EJO3" s="89"/>
      <c r="EJP3" s="89"/>
      <c r="EJQ3" s="89"/>
      <c r="EJR3" s="89"/>
      <c r="EJS3" s="89"/>
      <c r="EJT3" s="89"/>
      <c r="EJU3" s="89"/>
      <c r="EJV3" s="89"/>
      <c r="EJW3" s="89"/>
      <c r="EJX3" s="89"/>
      <c r="EJY3" s="89"/>
      <c r="EJZ3" s="89"/>
      <c r="EKA3" s="89"/>
      <c r="EKB3" s="89"/>
      <c r="EKC3" s="89"/>
      <c r="EKD3" s="89"/>
      <c r="EKE3" s="89"/>
      <c r="EKF3" s="89"/>
      <c r="EKG3" s="89"/>
      <c r="EKH3" s="89"/>
      <c r="EKI3" s="89"/>
      <c r="EKJ3" s="89"/>
      <c r="EKK3" s="89"/>
      <c r="EKL3" s="89"/>
      <c r="EKM3" s="89"/>
      <c r="EKN3" s="89"/>
      <c r="EKO3" s="89"/>
      <c r="EKP3" s="89"/>
      <c r="EKQ3" s="89"/>
      <c r="EKR3" s="89"/>
      <c r="EKS3" s="89"/>
      <c r="EKT3" s="89"/>
      <c r="EKU3" s="89"/>
      <c r="EKV3" s="89"/>
      <c r="EKW3" s="89"/>
      <c r="EKX3" s="89"/>
      <c r="EKY3" s="89"/>
      <c r="EKZ3" s="89"/>
      <c r="ELA3" s="89"/>
      <c r="ELB3" s="89"/>
      <c r="ELC3" s="89"/>
      <c r="ELD3" s="89"/>
      <c r="ELE3" s="89"/>
      <c r="ELF3" s="89"/>
      <c r="ELG3" s="89"/>
      <c r="ELH3" s="89"/>
      <c r="ELI3" s="89"/>
      <c r="ELJ3" s="89"/>
      <c r="ELK3" s="89"/>
      <c r="ELL3" s="89"/>
      <c r="ELM3" s="89"/>
      <c r="ELN3" s="89"/>
      <c r="ELO3" s="89"/>
      <c r="ELP3" s="89"/>
      <c r="ELQ3" s="89"/>
      <c r="ELR3" s="89"/>
      <c r="ELS3" s="89"/>
      <c r="ELT3" s="89"/>
      <c r="ELU3" s="89"/>
      <c r="ELV3" s="89"/>
      <c r="ELW3" s="89"/>
      <c r="ELX3" s="89"/>
      <c r="ELY3" s="89"/>
      <c r="ELZ3" s="89"/>
      <c r="EMA3" s="89"/>
      <c r="EMB3" s="89"/>
      <c r="EMC3" s="89"/>
      <c r="EMD3" s="89"/>
      <c r="EME3" s="89"/>
      <c r="EMF3" s="89"/>
      <c r="EMG3" s="89"/>
      <c r="EMH3" s="89"/>
      <c r="EMI3" s="89"/>
      <c r="EMJ3" s="89"/>
      <c r="EMK3" s="89"/>
      <c r="EML3" s="89"/>
      <c r="EMM3" s="89"/>
      <c r="EMN3" s="89"/>
      <c r="EMO3" s="89"/>
      <c r="EMP3" s="89"/>
      <c r="EMQ3" s="89"/>
      <c r="EMR3" s="89"/>
      <c r="EMS3" s="89"/>
      <c r="EMT3" s="89"/>
      <c r="EMU3" s="89"/>
      <c r="EMV3" s="89"/>
      <c r="EMW3" s="89"/>
      <c r="EMX3" s="89"/>
      <c r="EMY3" s="89"/>
      <c r="EMZ3" s="89"/>
      <c r="ENA3" s="89"/>
      <c r="ENB3" s="89"/>
      <c r="ENC3" s="89"/>
      <c r="END3" s="89"/>
      <c r="ENE3" s="89"/>
      <c r="ENF3" s="89"/>
      <c r="ENG3" s="89"/>
      <c r="ENH3" s="89"/>
      <c r="ENI3" s="89"/>
      <c r="ENJ3" s="89"/>
      <c r="ENK3" s="89"/>
      <c r="ENL3" s="89"/>
      <c r="ENM3" s="89"/>
      <c r="ENN3" s="89"/>
      <c r="ENO3" s="89"/>
      <c r="ENP3" s="89"/>
      <c r="ENQ3" s="89"/>
      <c r="ENR3" s="89"/>
      <c r="ENS3" s="89"/>
      <c r="ENT3" s="89"/>
      <c r="ENU3" s="89"/>
      <c r="ENV3" s="89"/>
      <c r="ENW3" s="89"/>
      <c r="ENX3" s="89"/>
      <c r="ENY3" s="89"/>
      <c r="ENZ3" s="89"/>
      <c r="EOA3" s="89"/>
      <c r="EOB3" s="89"/>
      <c r="EOC3" s="89"/>
      <c r="EOD3" s="89"/>
      <c r="EOE3" s="89"/>
      <c r="EOF3" s="89"/>
      <c r="EOG3" s="89"/>
      <c r="EOH3" s="89"/>
      <c r="EOI3" s="89"/>
      <c r="EOJ3" s="89"/>
      <c r="EOK3" s="89"/>
      <c r="EOL3" s="89"/>
      <c r="EOM3" s="89"/>
      <c r="EON3" s="89"/>
      <c r="EOO3" s="89"/>
      <c r="EOP3" s="89"/>
      <c r="EOQ3" s="89"/>
      <c r="EOR3" s="89"/>
      <c r="EOS3" s="89"/>
      <c r="EOT3" s="89"/>
      <c r="EOU3" s="89"/>
      <c r="EOV3" s="89"/>
      <c r="EOW3" s="89"/>
      <c r="EOX3" s="89"/>
      <c r="EOY3" s="89"/>
      <c r="EOZ3" s="89"/>
      <c r="EPA3" s="89"/>
      <c r="EPB3" s="89"/>
      <c r="EPC3" s="89"/>
      <c r="EPD3" s="89"/>
      <c r="EPE3" s="89"/>
      <c r="EPF3" s="89"/>
      <c r="EPG3" s="89"/>
      <c r="EPH3" s="89"/>
      <c r="EPI3" s="89"/>
      <c r="EPJ3" s="89"/>
      <c r="EPK3" s="89"/>
      <c r="EPL3" s="89"/>
      <c r="EPM3" s="89"/>
      <c r="EPN3" s="89"/>
      <c r="EPO3" s="89"/>
      <c r="EPP3" s="89"/>
      <c r="EPQ3" s="89"/>
      <c r="EPR3" s="89"/>
      <c r="EPS3" s="89"/>
      <c r="EPT3" s="89"/>
      <c r="EPU3" s="89"/>
      <c r="EPV3" s="89"/>
      <c r="EPW3" s="89"/>
      <c r="EPX3" s="89"/>
      <c r="EPY3" s="89"/>
      <c r="EPZ3" s="89"/>
      <c r="EQA3" s="89"/>
      <c r="EQB3" s="89"/>
      <c r="EQC3" s="89"/>
      <c r="EQD3" s="89"/>
      <c r="EQE3" s="89"/>
      <c r="EQF3" s="89"/>
      <c r="EQG3" s="89"/>
      <c r="EQH3" s="89"/>
      <c r="EQI3" s="89"/>
      <c r="EQJ3" s="89"/>
      <c r="EQK3" s="89"/>
      <c r="EQL3" s="89"/>
      <c r="EQM3" s="89"/>
      <c r="EQN3" s="89"/>
      <c r="EQO3" s="89"/>
      <c r="EQP3" s="89"/>
      <c r="EQQ3" s="89"/>
      <c r="EQR3" s="89"/>
      <c r="EQS3" s="89"/>
      <c r="EQT3" s="89"/>
      <c r="EQU3" s="89"/>
      <c r="EQV3" s="89"/>
      <c r="EQW3" s="89"/>
      <c r="EQX3" s="89"/>
      <c r="EQY3" s="89"/>
      <c r="EQZ3" s="89"/>
      <c r="ERA3" s="89"/>
      <c r="ERB3" s="89"/>
      <c r="ERC3" s="89"/>
      <c r="ERD3" s="89"/>
      <c r="ERE3" s="89"/>
      <c r="ERF3" s="89"/>
      <c r="ERG3" s="89"/>
      <c r="ERH3" s="89"/>
      <c r="ERI3" s="89"/>
      <c r="ERJ3" s="89"/>
      <c r="ERK3" s="89"/>
      <c r="ERL3" s="89"/>
      <c r="ERM3" s="89"/>
      <c r="ERN3" s="89"/>
      <c r="ERO3" s="89"/>
      <c r="ERP3" s="89"/>
      <c r="ERQ3" s="89"/>
      <c r="ERR3" s="89"/>
      <c r="ERS3" s="89"/>
      <c r="ERT3" s="89"/>
      <c r="ERU3" s="89"/>
      <c r="ERV3" s="89"/>
      <c r="ERW3" s="89"/>
      <c r="ERX3" s="89"/>
      <c r="ERY3" s="89"/>
      <c r="ERZ3" s="89"/>
      <c r="ESA3" s="89"/>
      <c r="ESB3" s="89"/>
      <c r="ESC3" s="89"/>
      <c r="ESD3" s="89"/>
      <c r="ESE3" s="89"/>
      <c r="ESF3" s="89"/>
      <c r="ESG3" s="89"/>
      <c r="ESH3" s="89"/>
      <c r="ESI3" s="89"/>
      <c r="ESJ3" s="89"/>
      <c r="ESK3" s="89"/>
      <c r="ESL3" s="89"/>
      <c r="ESM3" s="89"/>
      <c r="ESN3" s="89"/>
      <c r="ESO3" s="89"/>
      <c r="ESP3" s="89"/>
      <c r="ESQ3" s="89"/>
      <c r="ESR3" s="89"/>
      <c r="ESS3" s="89"/>
      <c r="EST3" s="89"/>
      <c r="ESU3" s="89"/>
      <c r="ESV3" s="89"/>
      <c r="ESW3" s="89"/>
      <c r="ESX3" s="89"/>
      <c r="ESY3" s="89"/>
      <c r="ESZ3" s="89"/>
      <c r="ETA3" s="89"/>
      <c r="ETB3" s="89"/>
      <c r="ETC3" s="89"/>
      <c r="ETD3" s="89"/>
      <c r="ETE3" s="89"/>
      <c r="ETF3" s="89"/>
      <c r="ETG3" s="89"/>
      <c r="ETH3" s="89"/>
      <c r="ETI3" s="89"/>
      <c r="ETJ3" s="89"/>
      <c r="ETK3" s="89"/>
      <c r="ETL3" s="89"/>
      <c r="ETM3" s="89"/>
      <c r="ETN3" s="89"/>
      <c r="ETO3" s="89"/>
      <c r="ETP3" s="89"/>
      <c r="ETQ3" s="89"/>
      <c r="ETR3" s="89"/>
      <c r="ETS3" s="89"/>
      <c r="ETT3" s="89"/>
      <c r="ETU3" s="89"/>
      <c r="ETV3" s="89"/>
      <c r="ETW3" s="89"/>
      <c r="ETX3" s="89"/>
      <c r="ETY3" s="89"/>
      <c r="ETZ3" s="89"/>
      <c r="EUA3" s="89"/>
      <c r="EUB3" s="89"/>
      <c r="EUC3" s="89"/>
      <c r="EUD3" s="89"/>
      <c r="EUE3" s="89"/>
      <c r="EUF3" s="89"/>
      <c r="EUG3" s="89"/>
      <c r="EUH3" s="89"/>
      <c r="EUI3" s="89"/>
      <c r="EUJ3" s="89"/>
      <c r="EUK3" s="89"/>
      <c r="EUL3" s="89"/>
      <c r="EUM3" s="89"/>
      <c r="EUN3" s="89"/>
      <c r="EUO3" s="89"/>
      <c r="EUP3" s="89"/>
      <c r="EUQ3" s="89"/>
      <c r="EUR3" s="89"/>
      <c r="EUS3" s="89"/>
      <c r="EUT3" s="89"/>
      <c r="EUU3" s="89"/>
      <c r="EUV3" s="89"/>
      <c r="EUW3" s="89"/>
      <c r="EUX3" s="89"/>
      <c r="EUY3" s="89"/>
      <c r="EUZ3" s="89"/>
      <c r="EVA3" s="89"/>
      <c r="EVB3" s="89"/>
      <c r="EVC3" s="89"/>
      <c r="EVD3" s="89"/>
      <c r="EVE3" s="89"/>
      <c r="EVF3" s="89"/>
      <c r="EVG3" s="89"/>
      <c r="EVH3" s="89"/>
      <c r="EVI3" s="89"/>
      <c r="EVJ3" s="89"/>
      <c r="EVK3" s="89"/>
      <c r="EVL3" s="89"/>
      <c r="EVM3" s="89"/>
      <c r="EVN3" s="89"/>
      <c r="EVO3" s="89"/>
      <c r="EVP3" s="89"/>
      <c r="EVQ3" s="89"/>
      <c r="EVR3" s="89"/>
      <c r="EVS3" s="89"/>
      <c r="EVT3" s="89"/>
      <c r="EVU3" s="89"/>
      <c r="EVV3" s="89"/>
      <c r="EVW3" s="89"/>
      <c r="EVX3" s="89"/>
      <c r="EVY3" s="89"/>
      <c r="EVZ3" s="89"/>
      <c r="EWA3" s="89"/>
      <c r="EWB3" s="89"/>
      <c r="EWC3" s="89"/>
      <c r="EWD3" s="89"/>
      <c r="EWE3" s="89"/>
      <c r="EWF3" s="89"/>
      <c r="EWG3" s="89"/>
      <c r="EWH3" s="89"/>
      <c r="EWI3" s="89"/>
      <c r="EWJ3" s="89"/>
      <c r="EWK3" s="89"/>
      <c r="EWL3" s="89"/>
      <c r="EWM3" s="89"/>
      <c r="EWN3" s="89"/>
      <c r="EWO3" s="89"/>
      <c r="EWP3" s="89"/>
      <c r="EWQ3" s="89"/>
      <c r="EWR3" s="89"/>
      <c r="EWS3" s="89"/>
      <c r="EWT3" s="89"/>
      <c r="EWU3" s="89"/>
      <c r="EWV3" s="89"/>
      <c r="EWW3" s="89"/>
      <c r="EWX3" s="89"/>
      <c r="EWY3" s="89"/>
      <c r="EWZ3" s="89"/>
      <c r="EXA3" s="89"/>
      <c r="EXB3" s="89"/>
      <c r="EXC3" s="89"/>
      <c r="EXD3" s="89"/>
      <c r="EXE3" s="89"/>
      <c r="EXF3" s="89"/>
      <c r="EXG3" s="89"/>
      <c r="EXH3" s="89"/>
      <c r="EXI3" s="89"/>
      <c r="EXJ3" s="89"/>
      <c r="EXK3" s="89"/>
      <c r="EXL3" s="89"/>
      <c r="EXM3" s="89"/>
      <c r="EXN3" s="89"/>
      <c r="EXO3" s="89"/>
      <c r="EXP3" s="89"/>
      <c r="EXQ3" s="89"/>
      <c r="EXR3" s="89"/>
      <c r="EXS3" s="89"/>
      <c r="EXT3" s="89"/>
      <c r="EXU3" s="89"/>
      <c r="EXV3" s="89"/>
      <c r="EXW3" s="89"/>
      <c r="EXX3" s="89"/>
      <c r="EXY3" s="89"/>
      <c r="EXZ3" s="89"/>
      <c r="EYA3" s="89"/>
      <c r="EYB3" s="89"/>
      <c r="EYC3" s="89"/>
      <c r="EYD3" s="89"/>
      <c r="EYE3" s="89"/>
      <c r="EYF3" s="89"/>
      <c r="EYG3" s="89"/>
      <c r="EYH3" s="89"/>
      <c r="EYI3" s="89"/>
      <c r="EYJ3" s="89"/>
      <c r="EYK3" s="89"/>
      <c r="EYL3" s="89"/>
      <c r="EYM3" s="89"/>
      <c r="EYN3" s="89"/>
      <c r="EYO3" s="89"/>
      <c r="EYP3" s="89"/>
      <c r="EYQ3" s="89"/>
      <c r="EYR3" s="89"/>
      <c r="EYS3" s="89"/>
      <c r="EYT3" s="89"/>
      <c r="EYU3" s="89"/>
      <c r="EYV3" s="89"/>
      <c r="EYW3" s="89"/>
      <c r="EYX3" s="89"/>
      <c r="EYY3" s="89"/>
      <c r="EYZ3" s="89"/>
      <c r="EZA3" s="89"/>
      <c r="EZB3" s="89"/>
      <c r="EZC3" s="89"/>
      <c r="EZD3" s="89"/>
      <c r="EZE3" s="89"/>
      <c r="EZF3" s="89"/>
      <c r="EZG3" s="89"/>
      <c r="EZH3" s="89"/>
      <c r="EZI3" s="89"/>
      <c r="EZJ3" s="89"/>
      <c r="EZK3" s="89"/>
      <c r="EZL3" s="89"/>
      <c r="EZM3" s="89"/>
      <c r="EZN3" s="89"/>
      <c r="EZO3" s="89"/>
      <c r="EZP3" s="89"/>
      <c r="EZQ3" s="89"/>
      <c r="EZR3" s="89"/>
      <c r="EZS3" s="89"/>
      <c r="EZT3" s="89"/>
      <c r="EZU3" s="89"/>
      <c r="EZV3" s="89"/>
      <c r="EZW3" s="89"/>
      <c r="EZX3" s="89"/>
      <c r="EZY3" s="89"/>
      <c r="EZZ3" s="89"/>
      <c r="FAA3" s="89"/>
      <c r="FAB3" s="89"/>
      <c r="FAC3" s="89"/>
      <c r="FAD3" s="89"/>
      <c r="FAE3" s="89"/>
      <c r="FAF3" s="89"/>
      <c r="FAG3" s="89"/>
      <c r="FAH3" s="89"/>
      <c r="FAI3" s="89"/>
      <c r="FAJ3" s="89"/>
      <c r="FAK3" s="89"/>
      <c r="FAL3" s="89"/>
      <c r="FAM3" s="89"/>
      <c r="FAN3" s="89"/>
      <c r="FAO3" s="89"/>
      <c r="FAP3" s="89"/>
      <c r="FAQ3" s="89"/>
      <c r="FAR3" s="89"/>
      <c r="FAS3" s="89"/>
      <c r="FAT3" s="89"/>
      <c r="FAU3" s="89"/>
      <c r="FAV3" s="89"/>
      <c r="FAW3" s="89"/>
      <c r="FAX3" s="89"/>
      <c r="FAY3" s="89"/>
      <c r="FAZ3" s="89"/>
      <c r="FBA3" s="89"/>
      <c r="FBB3" s="89"/>
      <c r="FBC3" s="89"/>
      <c r="FBD3" s="89"/>
      <c r="FBE3" s="89"/>
      <c r="FBF3" s="89"/>
      <c r="FBG3" s="89"/>
      <c r="FBH3" s="89"/>
      <c r="FBI3" s="89"/>
      <c r="FBJ3" s="89"/>
      <c r="FBK3" s="89"/>
      <c r="FBL3" s="89"/>
      <c r="FBM3" s="89"/>
      <c r="FBN3" s="89"/>
      <c r="FBO3" s="89"/>
      <c r="FBP3" s="89"/>
      <c r="FBQ3" s="89"/>
      <c r="FBR3" s="89"/>
      <c r="FBS3" s="89"/>
      <c r="FBT3" s="89"/>
      <c r="FBU3" s="89"/>
      <c r="FBV3" s="89"/>
      <c r="FBW3" s="89"/>
      <c r="FBX3" s="89"/>
      <c r="FBY3" s="89"/>
      <c r="FBZ3" s="89"/>
      <c r="FCA3" s="89"/>
      <c r="FCB3" s="89"/>
      <c r="FCC3" s="89"/>
      <c r="FCD3" s="89"/>
      <c r="FCE3" s="89"/>
      <c r="FCF3" s="89"/>
      <c r="FCG3" s="89"/>
      <c r="FCH3" s="89"/>
      <c r="FCI3" s="89"/>
      <c r="FCJ3" s="89"/>
      <c r="FCK3" s="89"/>
      <c r="FCL3" s="89"/>
      <c r="FCM3" s="89"/>
      <c r="FCN3" s="89"/>
      <c r="FCO3" s="89"/>
      <c r="FCP3" s="89"/>
      <c r="FCQ3" s="89"/>
      <c r="FCR3" s="89"/>
      <c r="FCS3" s="89"/>
      <c r="FCT3" s="89"/>
      <c r="FCU3" s="89"/>
      <c r="FCV3" s="89"/>
      <c r="FCW3" s="89"/>
      <c r="FCX3" s="89"/>
      <c r="FCY3" s="89"/>
      <c r="FCZ3" s="89"/>
      <c r="FDA3" s="89"/>
      <c r="FDB3" s="89"/>
      <c r="FDC3" s="89"/>
      <c r="FDD3" s="89"/>
      <c r="FDE3" s="89"/>
      <c r="FDF3" s="89"/>
      <c r="FDG3" s="89"/>
      <c r="FDH3" s="89"/>
      <c r="FDI3" s="89"/>
      <c r="FDJ3" s="89"/>
      <c r="FDK3" s="89"/>
      <c r="FDL3" s="89"/>
      <c r="FDM3" s="89"/>
      <c r="FDN3" s="89"/>
      <c r="FDO3" s="89"/>
      <c r="FDP3" s="89"/>
      <c r="FDQ3" s="89"/>
      <c r="FDR3" s="89"/>
      <c r="FDS3" s="89"/>
      <c r="FDT3" s="89"/>
      <c r="FDU3" s="89"/>
      <c r="FDV3" s="89"/>
      <c r="FDW3" s="89"/>
      <c r="FDX3" s="89"/>
      <c r="FDY3" s="89"/>
      <c r="FDZ3" s="89"/>
      <c r="FEA3" s="89"/>
      <c r="FEB3" s="89"/>
      <c r="FEC3" s="89"/>
      <c r="FED3" s="89"/>
      <c r="FEE3" s="89"/>
      <c r="FEF3" s="89"/>
      <c r="FEG3" s="89"/>
      <c r="FEH3" s="89"/>
      <c r="FEI3" s="89"/>
      <c r="FEJ3" s="89"/>
      <c r="FEK3" s="89"/>
      <c r="FEL3" s="89"/>
      <c r="FEM3" s="89"/>
      <c r="FEN3" s="89"/>
      <c r="FEO3" s="89"/>
      <c r="FEP3" s="89"/>
      <c r="FEQ3" s="89"/>
      <c r="FER3" s="89"/>
      <c r="FES3" s="89"/>
      <c r="FET3" s="89"/>
      <c r="FEU3" s="89"/>
      <c r="FEV3" s="89"/>
      <c r="FEW3" s="89"/>
      <c r="FEX3" s="89"/>
      <c r="FEY3" s="89"/>
      <c r="FEZ3" s="89"/>
      <c r="FFA3" s="89"/>
      <c r="FFB3" s="89"/>
      <c r="FFC3" s="89"/>
      <c r="FFD3" s="89"/>
      <c r="FFE3" s="89"/>
      <c r="FFF3" s="89"/>
      <c r="FFG3" s="89"/>
      <c r="FFH3" s="89"/>
      <c r="FFI3" s="89"/>
      <c r="FFJ3" s="89"/>
      <c r="FFK3" s="89"/>
      <c r="FFL3" s="89"/>
      <c r="FFM3" s="89"/>
      <c r="FFN3" s="89"/>
      <c r="FFO3" s="89"/>
      <c r="FFP3" s="89"/>
      <c r="FFQ3" s="89"/>
      <c r="FFR3" s="89"/>
      <c r="FFS3" s="89"/>
      <c r="FFT3" s="89"/>
      <c r="FFU3" s="89"/>
      <c r="FFV3" s="89"/>
      <c r="FFW3" s="89"/>
      <c r="FFX3" s="89"/>
      <c r="FFY3" s="89"/>
      <c r="FFZ3" s="89"/>
      <c r="FGA3" s="89"/>
      <c r="FGB3" s="89"/>
      <c r="FGC3" s="89"/>
      <c r="FGD3" s="89"/>
      <c r="FGE3" s="89"/>
      <c r="FGF3" s="89"/>
      <c r="FGG3" s="89"/>
      <c r="FGH3" s="89"/>
      <c r="FGI3" s="89"/>
      <c r="FGJ3" s="89"/>
      <c r="FGK3" s="89"/>
      <c r="FGL3" s="89"/>
      <c r="FGM3" s="89"/>
      <c r="FGN3" s="89"/>
      <c r="FGO3" s="89"/>
      <c r="FGP3" s="89"/>
      <c r="FGQ3" s="89"/>
      <c r="FGR3" s="89"/>
      <c r="FGS3" s="89"/>
      <c r="FGT3" s="89"/>
      <c r="FGU3" s="89"/>
      <c r="FGV3" s="89"/>
      <c r="FGW3" s="89"/>
      <c r="FGX3" s="89"/>
      <c r="FGY3" s="89"/>
      <c r="FGZ3" s="89"/>
      <c r="FHA3" s="89"/>
      <c r="FHB3" s="89"/>
      <c r="FHC3" s="89"/>
      <c r="FHD3" s="89"/>
      <c r="FHE3" s="89"/>
      <c r="FHF3" s="89"/>
      <c r="FHG3" s="89"/>
      <c r="FHH3" s="89"/>
      <c r="FHI3" s="89"/>
      <c r="FHJ3" s="89"/>
      <c r="FHK3" s="89"/>
      <c r="FHL3" s="89"/>
      <c r="FHM3" s="89"/>
      <c r="FHN3" s="89"/>
      <c r="FHO3" s="89"/>
      <c r="FHP3" s="89"/>
      <c r="FHQ3" s="89"/>
      <c r="FHR3" s="89"/>
      <c r="FHS3" s="89"/>
      <c r="FHT3" s="89"/>
      <c r="FHU3" s="89"/>
      <c r="FHV3" s="89"/>
      <c r="FHW3" s="89"/>
      <c r="FHX3" s="89"/>
      <c r="FHY3" s="89"/>
      <c r="FHZ3" s="89"/>
      <c r="FIA3" s="89"/>
      <c r="FIB3" s="89"/>
      <c r="FIC3" s="89"/>
      <c r="FID3" s="89"/>
      <c r="FIE3" s="89"/>
      <c r="FIF3" s="89"/>
      <c r="FIG3" s="89"/>
      <c r="FIH3" s="89"/>
      <c r="FII3" s="89"/>
      <c r="FIJ3" s="89"/>
      <c r="FIK3" s="89"/>
      <c r="FIL3" s="89"/>
      <c r="FIM3" s="89"/>
      <c r="FIN3" s="89"/>
      <c r="FIO3" s="89"/>
      <c r="FIP3" s="89"/>
      <c r="FIQ3" s="89"/>
      <c r="FIR3" s="89"/>
      <c r="FIS3" s="89"/>
      <c r="FIT3" s="89"/>
      <c r="FIU3" s="89"/>
      <c r="FIV3" s="89"/>
      <c r="FIW3" s="89"/>
      <c r="FIX3" s="89"/>
      <c r="FIY3" s="89"/>
      <c r="FIZ3" s="89"/>
      <c r="FJA3" s="89"/>
      <c r="FJB3" s="89"/>
      <c r="FJC3" s="89"/>
      <c r="FJD3" s="89"/>
      <c r="FJE3" s="89"/>
      <c r="FJF3" s="89"/>
      <c r="FJG3" s="89"/>
      <c r="FJH3" s="89"/>
      <c r="FJI3" s="89"/>
      <c r="FJJ3" s="89"/>
      <c r="FJK3" s="89"/>
      <c r="FJL3" s="89"/>
      <c r="FJM3" s="89"/>
      <c r="FJN3" s="89"/>
      <c r="FJO3" s="89"/>
      <c r="FJP3" s="89"/>
      <c r="FJQ3" s="89"/>
      <c r="FJR3" s="89"/>
      <c r="FJS3" s="89"/>
      <c r="FJT3" s="89"/>
      <c r="FJU3" s="89"/>
      <c r="FJV3" s="89"/>
      <c r="FJW3" s="89"/>
      <c r="FJX3" s="89"/>
      <c r="FJY3" s="89"/>
      <c r="FJZ3" s="89"/>
      <c r="FKA3" s="89"/>
      <c r="FKB3" s="89"/>
      <c r="FKC3" s="89"/>
      <c r="FKD3" s="89"/>
      <c r="FKE3" s="89"/>
      <c r="FKF3" s="89"/>
      <c r="FKG3" s="89"/>
      <c r="FKH3" s="89"/>
      <c r="FKI3" s="89"/>
      <c r="FKJ3" s="89"/>
      <c r="FKK3" s="89"/>
      <c r="FKL3" s="89"/>
      <c r="FKM3" s="89"/>
      <c r="FKN3" s="89"/>
      <c r="FKO3" s="89"/>
      <c r="FKP3" s="89"/>
      <c r="FKQ3" s="89"/>
      <c r="FKR3" s="89"/>
      <c r="FKS3" s="89"/>
      <c r="FKT3" s="89"/>
      <c r="FKU3" s="89"/>
      <c r="FKV3" s="89"/>
      <c r="FKW3" s="89"/>
      <c r="FKX3" s="89"/>
      <c r="FKY3" s="89"/>
      <c r="FKZ3" s="89"/>
      <c r="FLA3" s="89"/>
      <c r="FLB3" s="89"/>
      <c r="FLC3" s="89"/>
      <c r="FLD3" s="89"/>
      <c r="FLE3" s="89"/>
      <c r="FLF3" s="89"/>
      <c r="FLG3" s="89"/>
      <c r="FLH3" s="89"/>
      <c r="FLI3" s="89"/>
      <c r="FLJ3" s="89"/>
      <c r="FLK3" s="89"/>
      <c r="FLL3" s="89"/>
      <c r="FLM3" s="89"/>
      <c r="FLN3" s="89"/>
      <c r="FLO3" s="89"/>
      <c r="FLP3" s="89"/>
      <c r="FLQ3" s="89"/>
      <c r="FLR3" s="89"/>
      <c r="FLS3" s="89"/>
      <c r="FLT3" s="89"/>
      <c r="FLU3" s="89"/>
      <c r="FLV3" s="89"/>
      <c r="FLW3" s="89"/>
      <c r="FLX3" s="89"/>
      <c r="FLY3" s="89"/>
      <c r="FLZ3" s="89"/>
      <c r="FMA3" s="89"/>
      <c r="FMB3" s="89"/>
      <c r="FMC3" s="89"/>
      <c r="FMD3" s="89"/>
      <c r="FME3" s="89"/>
      <c r="FMF3" s="89"/>
      <c r="FMG3" s="89"/>
      <c r="FMH3" s="89"/>
      <c r="FMI3" s="89"/>
      <c r="FMJ3" s="89"/>
      <c r="FMK3" s="89"/>
      <c r="FML3" s="89"/>
      <c r="FMM3" s="89"/>
      <c r="FMN3" s="89"/>
      <c r="FMO3" s="89"/>
      <c r="FMP3" s="89"/>
      <c r="FMQ3" s="89"/>
      <c r="FMR3" s="89"/>
      <c r="FMS3" s="89"/>
      <c r="FMT3" s="89"/>
      <c r="FMU3" s="89"/>
      <c r="FMV3" s="89"/>
      <c r="FMW3" s="89"/>
      <c r="FMX3" s="89"/>
      <c r="FMY3" s="89"/>
      <c r="FMZ3" s="89"/>
      <c r="FNA3" s="89"/>
      <c r="FNB3" s="89"/>
      <c r="FNC3" s="89"/>
      <c r="FND3" s="89"/>
      <c r="FNE3" s="89"/>
      <c r="FNF3" s="89"/>
      <c r="FNG3" s="89"/>
      <c r="FNH3" s="89"/>
      <c r="FNI3" s="89"/>
      <c r="FNJ3" s="89"/>
      <c r="FNK3" s="89"/>
      <c r="FNL3" s="89"/>
      <c r="FNM3" s="89"/>
      <c r="FNN3" s="89"/>
      <c r="FNO3" s="89"/>
      <c r="FNP3" s="89"/>
      <c r="FNQ3" s="89"/>
      <c r="FNR3" s="89"/>
      <c r="FNS3" s="89"/>
      <c r="FNT3" s="89"/>
      <c r="FNU3" s="89"/>
      <c r="FNV3" s="89"/>
      <c r="FNW3" s="89"/>
      <c r="FNX3" s="89"/>
      <c r="FNY3" s="89"/>
      <c r="FNZ3" s="89"/>
      <c r="FOA3" s="89"/>
      <c r="FOB3" s="89"/>
      <c r="FOC3" s="89"/>
      <c r="FOD3" s="89"/>
      <c r="FOE3" s="89"/>
      <c r="FOF3" s="89"/>
      <c r="FOG3" s="89"/>
      <c r="FOH3" s="89"/>
      <c r="FOI3" s="89"/>
      <c r="FOJ3" s="89"/>
      <c r="FOK3" s="89"/>
      <c r="FOL3" s="89"/>
      <c r="FOM3" s="89"/>
      <c r="FON3" s="89"/>
      <c r="FOO3" s="89"/>
      <c r="FOP3" s="89"/>
      <c r="FOQ3" s="89"/>
      <c r="FOR3" s="89"/>
      <c r="FOS3" s="89"/>
      <c r="FOT3" s="89"/>
      <c r="FOU3" s="89"/>
      <c r="FOV3" s="89"/>
      <c r="FOW3" s="89"/>
      <c r="FOX3" s="89"/>
      <c r="FOY3" s="89"/>
      <c r="FOZ3" s="89"/>
      <c r="FPA3" s="89"/>
      <c r="FPB3" s="89"/>
      <c r="FPC3" s="89"/>
      <c r="FPD3" s="89"/>
      <c r="FPE3" s="89"/>
      <c r="FPF3" s="89"/>
      <c r="FPG3" s="89"/>
      <c r="FPH3" s="89"/>
      <c r="FPI3" s="89"/>
      <c r="FPJ3" s="89"/>
      <c r="FPK3" s="89"/>
      <c r="FPL3" s="89"/>
      <c r="FPM3" s="89"/>
      <c r="FPN3" s="89"/>
      <c r="FPO3" s="89"/>
      <c r="FPP3" s="89"/>
      <c r="FPQ3" s="89"/>
      <c r="FPR3" s="89"/>
      <c r="FPS3" s="89"/>
      <c r="FPT3" s="89"/>
      <c r="FPU3" s="89"/>
      <c r="FPV3" s="89"/>
      <c r="FPW3" s="89"/>
      <c r="FPX3" s="89"/>
      <c r="FPY3" s="89"/>
      <c r="FPZ3" s="89"/>
      <c r="FQA3" s="89"/>
      <c r="FQB3" s="89"/>
      <c r="FQC3" s="89"/>
      <c r="FQD3" s="89"/>
      <c r="FQE3" s="89"/>
      <c r="FQF3" s="89"/>
      <c r="FQG3" s="89"/>
      <c r="FQH3" s="89"/>
      <c r="FQI3" s="89"/>
      <c r="FQJ3" s="89"/>
      <c r="FQK3" s="89"/>
      <c r="FQL3" s="89"/>
      <c r="FQM3" s="89"/>
      <c r="FQN3" s="89"/>
      <c r="FQO3" s="89"/>
      <c r="FQP3" s="89"/>
      <c r="FQQ3" s="89"/>
      <c r="FQR3" s="89"/>
      <c r="FQS3" s="89"/>
      <c r="FQT3" s="89"/>
      <c r="FQU3" s="89"/>
      <c r="FQV3" s="89"/>
      <c r="FQW3" s="89"/>
      <c r="FQX3" s="89"/>
      <c r="FQY3" s="89"/>
      <c r="FQZ3" s="89"/>
      <c r="FRA3" s="89"/>
      <c r="FRB3" s="89"/>
      <c r="FRC3" s="89"/>
      <c r="FRD3" s="89"/>
      <c r="FRE3" s="89"/>
      <c r="FRF3" s="89"/>
      <c r="FRG3" s="89"/>
      <c r="FRH3" s="89"/>
      <c r="FRI3" s="89"/>
      <c r="FRJ3" s="89"/>
      <c r="FRK3" s="89"/>
      <c r="FRL3" s="89"/>
      <c r="FRM3" s="89"/>
      <c r="FRN3" s="89"/>
      <c r="FRO3" s="89"/>
      <c r="FRP3" s="89"/>
      <c r="FRQ3" s="89"/>
      <c r="FRR3" s="89"/>
      <c r="FRS3" s="89"/>
      <c r="FRT3" s="89"/>
      <c r="FRU3" s="89"/>
      <c r="FRV3" s="89"/>
      <c r="FRW3" s="89"/>
      <c r="FRX3" s="89"/>
      <c r="FRY3" s="89"/>
      <c r="FRZ3" s="89"/>
      <c r="FSA3" s="89"/>
      <c r="FSB3" s="89"/>
      <c r="FSC3" s="89"/>
      <c r="FSD3" s="89"/>
      <c r="FSE3" s="89"/>
      <c r="FSF3" s="89"/>
      <c r="FSG3" s="89"/>
      <c r="FSH3" s="89"/>
      <c r="FSI3" s="89"/>
      <c r="FSJ3" s="89"/>
      <c r="FSK3" s="89"/>
      <c r="FSL3" s="89"/>
      <c r="FSM3" s="89"/>
      <c r="FSN3" s="89"/>
      <c r="FSO3" s="89"/>
      <c r="FSP3" s="89"/>
      <c r="FSQ3" s="89"/>
      <c r="FSR3" s="89"/>
      <c r="FSS3" s="89"/>
      <c r="FST3" s="89"/>
      <c r="FSU3" s="89"/>
      <c r="FSV3" s="89"/>
      <c r="FSW3" s="89"/>
      <c r="FSX3" s="89"/>
      <c r="FSY3" s="89"/>
      <c r="FSZ3" s="89"/>
      <c r="FTA3" s="89"/>
      <c r="FTB3" s="89"/>
      <c r="FTC3" s="89"/>
      <c r="FTD3" s="89"/>
      <c r="FTE3" s="89"/>
      <c r="FTF3" s="89"/>
      <c r="FTG3" s="89"/>
      <c r="FTH3" s="89"/>
      <c r="FTI3" s="89"/>
      <c r="FTJ3" s="89"/>
      <c r="FTK3" s="89"/>
      <c r="FTL3" s="89"/>
      <c r="FTM3" s="89"/>
      <c r="FTN3" s="89"/>
      <c r="FTO3" s="89"/>
      <c r="FTP3" s="89"/>
      <c r="FTQ3" s="89"/>
      <c r="FTR3" s="89"/>
      <c r="FTS3" s="89"/>
      <c r="FTT3" s="89"/>
      <c r="FTU3" s="89"/>
      <c r="FTV3" s="89"/>
      <c r="FTW3" s="89"/>
      <c r="FTX3" s="89"/>
      <c r="FTY3" s="89"/>
      <c r="FTZ3" s="89"/>
      <c r="FUA3" s="89"/>
      <c r="FUB3" s="89"/>
      <c r="FUC3" s="89"/>
      <c r="FUD3" s="89"/>
      <c r="FUE3" s="89"/>
      <c r="FUF3" s="89"/>
      <c r="FUG3" s="89"/>
      <c r="FUH3" s="89"/>
      <c r="FUI3" s="89"/>
      <c r="FUJ3" s="89"/>
      <c r="FUK3" s="89"/>
      <c r="FUL3" s="89"/>
      <c r="FUM3" s="89"/>
      <c r="FUN3" s="89"/>
      <c r="FUO3" s="89"/>
      <c r="FUP3" s="89"/>
      <c r="FUQ3" s="89"/>
      <c r="FUR3" s="89"/>
      <c r="FUS3" s="89"/>
      <c r="FUT3" s="89"/>
      <c r="FUU3" s="89"/>
      <c r="FUV3" s="89"/>
      <c r="FUW3" s="89"/>
      <c r="FUX3" s="89"/>
      <c r="FUY3" s="89"/>
      <c r="FUZ3" s="89"/>
      <c r="FVA3" s="89"/>
      <c r="FVB3" s="89"/>
      <c r="FVC3" s="89"/>
      <c r="FVD3" s="89"/>
      <c r="FVE3" s="89"/>
      <c r="FVF3" s="89"/>
      <c r="FVG3" s="89"/>
      <c r="FVH3" s="89"/>
      <c r="FVI3" s="89"/>
      <c r="FVJ3" s="89"/>
      <c r="FVK3" s="89"/>
      <c r="FVL3" s="89"/>
      <c r="FVM3" s="89"/>
      <c r="FVN3" s="89"/>
      <c r="FVO3" s="89"/>
      <c r="FVP3" s="89"/>
      <c r="FVQ3" s="89"/>
      <c r="FVR3" s="89"/>
      <c r="FVS3" s="89"/>
      <c r="FVT3" s="89"/>
      <c r="FVU3" s="89"/>
      <c r="FVV3" s="89"/>
      <c r="FVW3" s="89"/>
      <c r="FVX3" s="89"/>
      <c r="FVY3" s="89"/>
      <c r="FVZ3" s="89"/>
      <c r="FWA3" s="89"/>
      <c r="FWB3" s="89"/>
      <c r="FWC3" s="89"/>
      <c r="FWD3" s="89"/>
      <c r="FWE3" s="89"/>
      <c r="FWF3" s="89"/>
      <c r="FWG3" s="89"/>
      <c r="FWH3" s="89"/>
      <c r="FWI3" s="89"/>
      <c r="FWJ3" s="89"/>
      <c r="FWK3" s="89"/>
      <c r="FWL3" s="89"/>
      <c r="FWM3" s="89"/>
      <c r="FWN3" s="89"/>
      <c r="FWO3" s="89"/>
      <c r="FWP3" s="89"/>
      <c r="FWQ3" s="89"/>
      <c r="FWR3" s="89"/>
      <c r="FWS3" s="89"/>
      <c r="FWT3" s="89"/>
      <c r="FWU3" s="89"/>
      <c r="FWV3" s="89"/>
      <c r="FWW3" s="89"/>
      <c r="FWX3" s="89"/>
      <c r="FWY3" s="89"/>
      <c r="FWZ3" s="89"/>
      <c r="FXA3" s="89"/>
      <c r="FXB3" s="89"/>
      <c r="FXC3" s="89"/>
      <c r="FXD3" s="89"/>
      <c r="FXE3" s="89"/>
      <c r="FXF3" s="89"/>
      <c r="FXG3" s="89"/>
      <c r="FXH3" s="89"/>
      <c r="FXI3" s="89"/>
      <c r="FXJ3" s="89"/>
      <c r="FXK3" s="89"/>
      <c r="FXL3" s="89"/>
      <c r="FXM3" s="89"/>
      <c r="FXN3" s="89"/>
      <c r="FXO3" s="89"/>
      <c r="FXP3" s="89"/>
      <c r="FXQ3" s="89"/>
      <c r="FXR3" s="89"/>
      <c r="FXS3" s="89"/>
      <c r="FXT3" s="89"/>
      <c r="FXU3" s="89"/>
      <c r="FXV3" s="89"/>
      <c r="FXW3" s="89"/>
      <c r="FXX3" s="89"/>
      <c r="FXY3" s="89"/>
      <c r="FXZ3" s="89"/>
      <c r="FYA3" s="89"/>
      <c r="FYB3" s="89"/>
      <c r="FYC3" s="89"/>
      <c r="FYD3" s="89"/>
      <c r="FYE3" s="89"/>
      <c r="FYF3" s="89"/>
      <c r="FYG3" s="89"/>
      <c r="FYH3" s="89"/>
      <c r="FYI3" s="89"/>
      <c r="FYJ3" s="89"/>
      <c r="FYK3" s="89"/>
      <c r="FYL3" s="89"/>
      <c r="FYM3" s="89"/>
      <c r="FYN3" s="89"/>
      <c r="FYO3" s="89"/>
      <c r="FYP3" s="89"/>
      <c r="FYQ3" s="89"/>
      <c r="FYR3" s="89"/>
      <c r="FYS3" s="89"/>
      <c r="FYT3" s="89"/>
      <c r="FYU3" s="89"/>
      <c r="FYV3" s="89"/>
      <c r="FYW3" s="89"/>
      <c r="FYX3" s="89"/>
      <c r="FYY3" s="89"/>
      <c r="FYZ3" s="89"/>
      <c r="FZA3" s="89"/>
      <c r="FZB3" s="89"/>
      <c r="FZC3" s="89"/>
      <c r="FZD3" s="89"/>
      <c r="FZE3" s="89"/>
      <c r="FZF3" s="89"/>
      <c r="FZG3" s="89"/>
      <c r="FZH3" s="89"/>
      <c r="FZI3" s="89"/>
      <c r="FZJ3" s="89"/>
      <c r="FZK3" s="89"/>
      <c r="FZL3" s="89"/>
      <c r="FZM3" s="89"/>
      <c r="FZN3" s="89"/>
      <c r="FZO3" s="89"/>
      <c r="FZP3" s="89"/>
      <c r="FZQ3" s="89"/>
      <c r="FZR3" s="89"/>
      <c r="FZS3" s="89"/>
      <c r="FZT3" s="89"/>
      <c r="FZU3" s="89"/>
      <c r="FZV3" s="89"/>
      <c r="FZW3" s="89"/>
      <c r="FZX3" s="89"/>
      <c r="FZY3" s="89"/>
      <c r="FZZ3" s="89"/>
      <c r="GAA3" s="89"/>
      <c r="GAB3" s="89"/>
      <c r="GAC3" s="89"/>
      <c r="GAD3" s="89"/>
      <c r="GAE3" s="89"/>
      <c r="GAF3" s="89"/>
      <c r="GAG3" s="89"/>
      <c r="GAH3" s="89"/>
      <c r="GAI3" s="89"/>
      <c r="GAJ3" s="89"/>
      <c r="GAK3" s="89"/>
      <c r="GAL3" s="89"/>
      <c r="GAM3" s="89"/>
      <c r="GAN3" s="89"/>
      <c r="GAO3" s="89"/>
      <c r="GAP3" s="89"/>
      <c r="GAQ3" s="89"/>
      <c r="GAR3" s="89"/>
      <c r="GAS3" s="89"/>
      <c r="GAT3" s="89"/>
      <c r="GAU3" s="89"/>
      <c r="GAV3" s="89"/>
      <c r="GAW3" s="89"/>
      <c r="GAX3" s="89"/>
      <c r="GAY3" s="89"/>
      <c r="GAZ3" s="89"/>
      <c r="GBA3" s="89"/>
      <c r="GBB3" s="89"/>
      <c r="GBC3" s="89"/>
      <c r="GBD3" s="89"/>
      <c r="GBE3" s="89"/>
      <c r="GBF3" s="89"/>
      <c r="GBG3" s="89"/>
      <c r="GBH3" s="89"/>
      <c r="GBI3" s="89"/>
      <c r="GBJ3" s="89"/>
      <c r="GBK3" s="89"/>
      <c r="GBL3" s="89"/>
      <c r="GBM3" s="89"/>
      <c r="GBN3" s="89"/>
      <c r="GBO3" s="89"/>
      <c r="GBP3" s="89"/>
      <c r="GBQ3" s="89"/>
      <c r="GBR3" s="89"/>
      <c r="GBS3" s="89"/>
      <c r="GBT3" s="89"/>
      <c r="GBU3" s="89"/>
      <c r="GBV3" s="89"/>
      <c r="GBW3" s="89"/>
      <c r="GBX3" s="89"/>
      <c r="GBY3" s="89"/>
      <c r="GBZ3" s="89"/>
      <c r="GCA3" s="89"/>
      <c r="GCB3" s="89"/>
      <c r="GCC3" s="89"/>
      <c r="GCD3" s="89"/>
      <c r="GCE3" s="89"/>
      <c r="GCF3" s="89"/>
      <c r="GCG3" s="89"/>
      <c r="GCH3" s="89"/>
      <c r="GCI3" s="89"/>
      <c r="GCJ3" s="89"/>
      <c r="GCK3" s="89"/>
      <c r="GCL3" s="89"/>
      <c r="GCM3" s="89"/>
      <c r="GCN3" s="89"/>
      <c r="GCO3" s="89"/>
      <c r="GCP3" s="89"/>
      <c r="GCQ3" s="89"/>
      <c r="GCR3" s="89"/>
      <c r="GCS3" s="89"/>
      <c r="GCT3" s="89"/>
      <c r="GCU3" s="89"/>
      <c r="GCV3" s="89"/>
      <c r="GCW3" s="89"/>
      <c r="GCX3" s="89"/>
      <c r="GCY3" s="89"/>
      <c r="GCZ3" s="89"/>
      <c r="GDA3" s="89"/>
      <c r="GDB3" s="89"/>
      <c r="GDC3" s="89"/>
      <c r="GDD3" s="89"/>
      <c r="GDE3" s="89"/>
      <c r="GDF3" s="89"/>
      <c r="GDG3" s="89"/>
      <c r="GDH3" s="89"/>
      <c r="GDI3" s="89"/>
      <c r="GDJ3" s="89"/>
      <c r="GDK3" s="89"/>
      <c r="GDL3" s="89"/>
      <c r="GDM3" s="89"/>
      <c r="GDN3" s="89"/>
      <c r="GDO3" s="89"/>
      <c r="GDP3" s="89"/>
      <c r="GDQ3" s="89"/>
      <c r="GDR3" s="89"/>
      <c r="GDS3" s="89"/>
      <c r="GDT3" s="89"/>
      <c r="GDU3" s="89"/>
      <c r="GDV3" s="89"/>
      <c r="GDW3" s="89"/>
      <c r="GDX3" s="89"/>
      <c r="GDY3" s="89"/>
      <c r="GDZ3" s="89"/>
      <c r="GEA3" s="89"/>
      <c r="GEB3" s="89"/>
      <c r="GEC3" s="89"/>
      <c r="GED3" s="89"/>
      <c r="GEE3" s="89"/>
      <c r="GEF3" s="89"/>
      <c r="GEG3" s="89"/>
      <c r="GEH3" s="89"/>
      <c r="GEI3" s="89"/>
      <c r="GEJ3" s="89"/>
      <c r="GEK3" s="89"/>
      <c r="GEL3" s="89"/>
      <c r="GEM3" s="89"/>
      <c r="GEN3" s="89"/>
      <c r="GEO3" s="89"/>
      <c r="GEP3" s="89"/>
      <c r="GEQ3" s="89"/>
      <c r="GER3" s="89"/>
      <c r="GES3" s="89"/>
      <c r="GET3" s="89"/>
      <c r="GEU3" s="89"/>
      <c r="GEV3" s="89"/>
      <c r="GEW3" s="89"/>
      <c r="GEX3" s="89"/>
      <c r="GEY3" s="89"/>
      <c r="GEZ3" s="89"/>
      <c r="GFA3" s="89"/>
      <c r="GFB3" s="89"/>
      <c r="GFC3" s="89"/>
      <c r="GFD3" s="89"/>
      <c r="GFE3" s="89"/>
      <c r="GFF3" s="89"/>
      <c r="GFG3" s="89"/>
      <c r="GFH3" s="89"/>
      <c r="GFI3" s="89"/>
      <c r="GFJ3" s="89"/>
      <c r="GFK3" s="89"/>
      <c r="GFL3" s="89"/>
      <c r="GFM3" s="89"/>
      <c r="GFN3" s="89"/>
      <c r="GFO3" s="89"/>
      <c r="GFP3" s="89"/>
      <c r="GFQ3" s="89"/>
      <c r="GFR3" s="89"/>
      <c r="GFS3" s="89"/>
      <c r="GFT3" s="89"/>
      <c r="GFU3" s="89"/>
      <c r="GFV3" s="89"/>
      <c r="GFW3" s="89"/>
      <c r="GFX3" s="89"/>
      <c r="GFY3" s="89"/>
      <c r="GFZ3" s="89"/>
      <c r="GGA3" s="89"/>
      <c r="GGB3" s="89"/>
      <c r="GGC3" s="89"/>
      <c r="GGD3" s="89"/>
      <c r="GGE3" s="89"/>
      <c r="GGF3" s="89"/>
      <c r="GGG3" s="89"/>
      <c r="GGH3" s="89"/>
      <c r="GGI3" s="89"/>
      <c r="GGJ3" s="89"/>
      <c r="GGK3" s="89"/>
      <c r="GGL3" s="89"/>
      <c r="GGM3" s="89"/>
      <c r="GGN3" s="89"/>
      <c r="GGO3" s="89"/>
      <c r="GGP3" s="89"/>
      <c r="GGQ3" s="89"/>
      <c r="GGR3" s="89"/>
      <c r="GGS3" s="89"/>
      <c r="GGT3" s="89"/>
      <c r="GGU3" s="89"/>
      <c r="GGV3" s="89"/>
      <c r="GGW3" s="89"/>
      <c r="GGX3" s="89"/>
      <c r="GGY3" s="89"/>
      <c r="GGZ3" s="89"/>
      <c r="GHA3" s="89"/>
      <c r="GHB3" s="89"/>
      <c r="GHC3" s="89"/>
      <c r="GHD3" s="89"/>
      <c r="GHE3" s="89"/>
      <c r="GHF3" s="89"/>
      <c r="GHG3" s="89"/>
      <c r="GHH3" s="89"/>
      <c r="GHI3" s="89"/>
      <c r="GHJ3" s="89"/>
      <c r="GHK3" s="89"/>
      <c r="GHL3" s="89"/>
      <c r="GHM3" s="89"/>
      <c r="GHN3" s="89"/>
      <c r="GHO3" s="89"/>
      <c r="GHP3" s="89"/>
      <c r="GHQ3" s="89"/>
      <c r="GHR3" s="89"/>
      <c r="GHS3" s="89"/>
      <c r="GHT3" s="89"/>
      <c r="GHU3" s="89"/>
      <c r="GHV3" s="89"/>
      <c r="GHW3" s="89"/>
      <c r="GHX3" s="89"/>
      <c r="GHY3" s="89"/>
      <c r="GHZ3" s="89"/>
      <c r="GIA3" s="89"/>
      <c r="GIB3" s="89"/>
      <c r="GIC3" s="89"/>
      <c r="GID3" s="89"/>
      <c r="GIE3" s="89"/>
      <c r="GIF3" s="89"/>
      <c r="GIG3" s="89"/>
      <c r="GIH3" s="89"/>
      <c r="GII3" s="89"/>
      <c r="GIJ3" s="89"/>
      <c r="GIK3" s="89"/>
      <c r="GIL3" s="89"/>
      <c r="GIM3" s="89"/>
      <c r="GIN3" s="89"/>
      <c r="GIO3" s="89"/>
      <c r="GIP3" s="89"/>
      <c r="GIQ3" s="89"/>
      <c r="GIR3" s="89"/>
      <c r="GIS3" s="89"/>
      <c r="GIT3" s="89"/>
      <c r="GIU3" s="89"/>
      <c r="GIV3" s="89"/>
      <c r="GIW3" s="89"/>
      <c r="GIX3" s="89"/>
      <c r="GIY3" s="89"/>
      <c r="GIZ3" s="89"/>
      <c r="GJA3" s="89"/>
      <c r="GJB3" s="89"/>
      <c r="GJC3" s="89"/>
      <c r="GJD3" s="89"/>
      <c r="GJE3" s="89"/>
      <c r="GJF3" s="89"/>
      <c r="GJG3" s="89"/>
      <c r="GJH3" s="89"/>
      <c r="GJI3" s="89"/>
      <c r="GJJ3" s="89"/>
      <c r="GJK3" s="89"/>
      <c r="GJL3" s="89"/>
      <c r="GJM3" s="89"/>
      <c r="GJN3" s="89"/>
      <c r="GJO3" s="89"/>
      <c r="GJP3" s="89"/>
      <c r="GJQ3" s="89"/>
      <c r="GJR3" s="89"/>
      <c r="GJS3" s="89"/>
      <c r="GJT3" s="89"/>
      <c r="GJU3" s="89"/>
      <c r="GJV3" s="89"/>
      <c r="GJW3" s="89"/>
      <c r="GJX3" s="89"/>
      <c r="GJY3" s="89"/>
      <c r="GJZ3" s="89"/>
      <c r="GKA3" s="89"/>
      <c r="GKB3" s="89"/>
      <c r="GKC3" s="89"/>
      <c r="GKD3" s="89"/>
      <c r="GKE3" s="89"/>
      <c r="GKF3" s="89"/>
      <c r="GKG3" s="89"/>
      <c r="GKH3" s="89"/>
      <c r="GKI3" s="89"/>
      <c r="GKJ3" s="89"/>
      <c r="GKK3" s="89"/>
      <c r="GKL3" s="89"/>
      <c r="GKM3" s="89"/>
      <c r="GKN3" s="89"/>
      <c r="GKO3" s="89"/>
      <c r="GKP3" s="89"/>
      <c r="GKQ3" s="89"/>
      <c r="GKR3" s="89"/>
      <c r="GKS3" s="89"/>
      <c r="GKT3" s="89"/>
      <c r="GKU3" s="89"/>
      <c r="GKV3" s="89"/>
      <c r="GKW3" s="89"/>
      <c r="GKX3" s="89"/>
      <c r="GKY3" s="89"/>
      <c r="GKZ3" s="89"/>
      <c r="GLA3" s="89"/>
      <c r="GLB3" s="89"/>
      <c r="GLC3" s="89"/>
      <c r="GLD3" s="89"/>
      <c r="GLE3" s="89"/>
      <c r="GLF3" s="89"/>
      <c r="GLG3" s="89"/>
      <c r="GLH3" s="89"/>
      <c r="GLI3" s="89"/>
      <c r="GLJ3" s="89"/>
      <c r="GLK3" s="89"/>
      <c r="GLL3" s="89"/>
      <c r="GLM3" s="89"/>
      <c r="GLN3" s="89"/>
      <c r="GLO3" s="89"/>
      <c r="GLP3" s="89"/>
      <c r="GLQ3" s="89"/>
      <c r="GLR3" s="89"/>
      <c r="GLS3" s="89"/>
      <c r="GLT3" s="89"/>
      <c r="GLU3" s="89"/>
      <c r="GLV3" s="89"/>
      <c r="GLW3" s="89"/>
      <c r="GLX3" s="89"/>
      <c r="GLY3" s="89"/>
      <c r="GLZ3" s="89"/>
      <c r="GMA3" s="89"/>
      <c r="GMB3" s="89"/>
      <c r="GMC3" s="89"/>
      <c r="GMD3" s="89"/>
      <c r="GME3" s="89"/>
      <c r="GMF3" s="89"/>
      <c r="GMG3" s="89"/>
      <c r="GMH3" s="89"/>
      <c r="GMI3" s="89"/>
      <c r="GMJ3" s="89"/>
      <c r="GMK3" s="89"/>
      <c r="GML3" s="89"/>
      <c r="GMM3" s="89"/>
      <c r="GMN3" s="89"/>
      <c r="GMO3" s="89"/>
      <c r="GMP3" s="89"/>
      <c r="GMQ3" s="89"/>
      <c r="GMR3" s="89"/>
      <c r="GMS3" s="89"/>
      <c r="GMT3" s="89"/>
      <c r="GMU3" s="89"/>
      <c r="GMV3" s="89"/>
      <c r="GMW3" s="89"/>
      <c r="GMX3" s="89"/>
      <c r="GMY3" s="89"/>
      <c r="GMZ3" s="89"/>
      <c r="GNA3" s="89"/>
      <c r="GNB3" s="89"/>
      <c r="GNC3" s="89"/>
      <c r="GND3" s="89"/>
      <c r="GNE3" s="89"/>
      <c r="GNF3" s="89"/>
      <c r="GNG3" s="89"/>
      <c r="GNH3" s="89"/>
      <c r="GNI3" s="89"/>
      <c r="GNJ3" s="89"/>
      <c r="GNK3" s="89"/>
      <c r="GNL3" s="89"/>
      <c r="GNM3" s="89"/>
      <c r="GNN3" s="89"/>
      <c r="GNO3" s="89"/>
      <c r="GNP3" s="89"/>
      <c r="GNQ3" s="89"/>
      <c r="GNR3" s="89"/>
      <c r="GNS3" s="89"/>
      <c r="GNT3" s="89"/>
      <c r="GNU3" s="89"/>
      <c r="GNV3" s="89"/>
      <c r="GNW3" s="89"/>
      <c r="GNX3" s="89"/>
      <c r="GNY3" s="89"/>
      <c r="GNZ3" s="89"/>
      <c r="GOA3" s="89"/>
      <c r="GOB3" s="89"/>
      <c r="GOC3" s="89"/>
      <c r="GOD3" s="89"/>
      <c r="GOE3" s="89"/>
      <c r="GOF3" s="89"/>
      <c r="GOG3" s="89"/>
      <c r="GOH3" s="89"/>
      <c r="GOI3" s="89"/>
      <c r="GOJ3" s="89"/>
      <c r="GOK3" s="89"/>
      <c r="GOL3" s="89"/>
      <c r="GOM3" s="89"/>
      <c r="GON3" s="89"/>
      <c r="GOO3" s="89"/>
      <c r="GOP3" s="89"/>
      <c r="GOQ3" s="89"/>
      <c r="GOR3" s="89"/>
      <c r="GOS3" s="89"/>
      <c r="GOT3" s="89"/>
      <c r="GOU3" s="89"/>
      <c r="GOV3" s="89"/>
      <c r="GOW3" s="89"/>
      <c r="GOX3" s="89"/>
      <c r="GOY3" s="89"/>
      <c r="GOZ3" s="89"/>
      <c r="GPA3" s="89"/>
      <c r="GPB3" s="89"/>
      <c r="GPC3" s="89"/>
      <c r="GPD3" s="89"/>
      <c r="GPE3" s="89"/>
      <c r="GPF3" s="89"/>
      <c r="GPG3" s="89"/>
      <c r="GPH3" s="89"/>
      <c r="GPI3" s="89"/>
      <c r="GPJ3" s="89"/>
      <c r="GPK3" s="89"/>
      <c r="GPL3" s="89"/>
      <c r="GPM3" s="89"/>
      <c r="GPN3" s="89"/>
      <c r="GPO3" s="89"/>
      <c r="GPP3" s="89"/>
      <c r="GPQ3" s="89"/>
      <c r="GPR3" s="89"/>
      <c r="GPS3" s="89"/>
      <c r="GPT3" s="89"/>
      <c r="GPU3" s="89"/>
      <c r="GPV3" s="89"/>
      <c r="GPW3" s="89"/>
      <c r="GPX3" s="89"/>
      <c r="GPY3" s="89"/>
      <c r="GPZ3" s="89"/>
      <c r="GQA3" s="89"/>
      <c r="GQB3" s="89"/>
      <c r="GQC3" s="89"/>
      <c r="GQD3" s="89"/>
      <c r="GQE3" s="89"/>
      <c r="GQF3" s="89"/>
      <c r="GQG3" s="89"/>
      <c r="GQH3" s="89"/>
      <c r="GQI3" s="89"/>
      <c r="GQJ3" s="89"/>
      <c r="GQK3" s="89"/>
      <c r="GQL3" s="89"/>
      <c r="GQM3" s="89"/>
      <c r="GQN3" s="89"/>
      <c r="GQO3" s="89"/>
      <c r="GQP3" s="89"/>
      <c r="GQQ3" s="89"/>
      <c r="GQR3" s="89"/>
      <c r="GQS3" s="89"/>
      <c r="GQT3" s="89"/>
      <c r="GQU3" s="89"/>
      <c r="GQV3" s="89"/>
      <c r="GQW3" s="89"/>
      <c r="GQX3" s="89"/>
      <c r="GQY3" s="89"/>
      <c r="GQZ3" s="89"/>
      <c r="GRA3" s="89"/>
      <c r="GRB3" s="89"/>
      <c r="GRC3" s="89"/>
      <c r="GRD3" s="89"/>
      <c r="GRE3" s="89"/>
      <c r="GRF3" s="89"/>
      <c r="GRG3" s="89"/>
      <c r="GRH3" s="89"/>
      <c r="GRI3" s="89"/>
      <c r="GRJ3" s="89"/>
      <c r="GRK3" s="89"/>
      <c r="GRL3" s="89"/>
      <c r="GRM3" s="89"/>
      <c r="GRN3" s="89"/>
      <c r="GRO3" s="89"/>
      <c r="GRP3" s="89"/>
      <c r="GRQ3" s="89"/>
      <c r="GRR3" s="89"/>
      <c r="GRS3" s="89"/>
      <c r="GRT3" s="89"/>
      <c r="GRU3" s="89"/>
      <c r="GRV3" s="89"/>
      <c r="GRW3" s="89"/>
      <c r="GRX3" s="89"/>
      <c r="GRY3" s="89"/>
      <c r="GRZ3" s="89"/>
      <c r="GSA3" s="89"/>
      <c r="GSB3" s="89"/>
      <c r="GSC3" s="89"/>
      <c r="GSD3" s="89"/>
      <c r="GSE3" s="89"/>
      <c r="GSF3" s="89"/>
      <c r="GSG3" s="89"/>
      <c r="GSH3" s="89"/>
      <c r="GSI3" s="89"/>
      <c r="GSJ3" s="89"/>
      <c r="GSK3" s="89"/>
      <c r="GSL3" s="89"/>
      <c r="GSM3" s="89"/>
      <c r="GSN3" s="89"/>
      <c r="GSO3" s="89"/>
      <c r="GSP3" s="89"/>
      <c r="GSQ3" s="89"/>
      <c r="GSR3" s="89"/>
      <c r="GSS3" s="89"/>
      <c r="GST3" s="89"/>
      <c r="GSU3" s="89"/>
      <c r="GSV3" s="89"/>
      <c r="GSW3" s="89"/>
      <c r="GSX3" s="89"/>
      <c r="GSY3" s="89"/>
      <c r="GSZ3" s="89"/>
      <c r="GTA3" s="89"/>
      <c r="GTB3" s="89"/>
      <c r="GTC3" s="89"/>
      <c r="GTD3" s="89"/>
      <c r="GTE3" s="89"/>
      <c r="GTF3" s="89"/>
      <c r="GTG3" s="89"/>
      <c r="GTH3" s="89"/>
      <c r="GTI3" s="89"/>
      <c r="GTJ3" s="89"/>
      <c r="GTK3" s="89"/>
      <c r="GTL3" s="89"/>
      <c r="GTM3" s="89"/>
      <c r="GTN3" s="89"/>
      <c r="GTO3" s="89"/>
      <c r="GTP3" s="89"/>
      <c r="GTQ3" s="89"/>
      <c r="GTR3" s="89"/>
      <c r="GTS3" s="89"/>
      <c r="GTT3" s="89"/>
      <c r="GTU3" s="89"/>
      <c r="GTV3" s="89"/>
      <c r="GTW3" s="89"/>
      <c r="GTX3" s="89"/>
      <c r="GTY3" s="89"/>
      <c r="GTZ3" s="89"/>
      <c r="GUA3" s="89"/>
      <c r="GUB3" s="89"/>
      <c r="GUC3" s="89"/>
      <c r="GUD3" s="89"/>
      <c r="GUE3" s="89"/>
      <c r="GUF3" s="89"/>
      <c r="GUG3" s="89"/>
      <c r="GUH3" s="89"/>
      <c r="GUI3" s="89"/>
      <c r="GUJ3" s="89"/>
      <c r="GUK3" s="89"/>
      <c r="GUL3" s="89"/>
      <c r="GUM3" s="89"/>
      <c r="GUN3" s="89"/>
      <c r="GUO3" s="89"/>
      <c r="GUP3" s="89"/>
      <c r="GUQ3" s="89"/>
      <c r="GUR3" s="89"/>
      <c r="GUS3" s="89"/>
      <c r="GUT3" s="89"/>
      <c r="GUU3" s="89"/>
      <c r="GUV3" s="89"/>
      <c r="GUW3" s="89"/>
      <c r="GUX3" s="89"/>
      <c r="GUY3" s="89"/>
      <c r="GUZ3" s="89"/>
      <c r="GVA3" s="89"/>
      <c r="GVB3" s="89"/>
      <c r="GVC3" s="89"/>
      <c r="GVD3" s="89"/>
      <c r="GVE3" s="89"/>
      <c r="GVF3" s="89"/>
      <c r="GVG3" s="89"/>
      <c r="GVH3" s="89"/>
      <c r="GVI3" s="89"/>
      <c r="GVJ3" s="89"/>
      <c r="GVK3" s="89"/>
      <c r="GVL3" s="89"/>
      <c r="GVM3" s="89"/>
      <c r="GVN3" s="89"/>
      <c r="GVO3" s="89"/>
      <c r="GVP3" s="89"/>
      <c r="GVQ3" s="89"/>
      <c r="GVR3" s="89"/>
      <c r="GVS3" s="89"/>
      <c r="GVT3" s="89"/>
      <c r="GVU3" s="89"/>
      <c r="GVV3" s="89"/>
      <c r="GVW3" s="89"/>
      <c r="GVX3" s="89"/>
      <c r="GVY3" s="89"/>
      <c r="GVZ3" s="89"/>
      <c r="GWA3" s="89"/>
      <c r="GWB3" s="89"/>
      <c r="GWC3" s="89"/>
      <c r="GWD3" s="89"/>
      <c r="GWE3" s="89"/>
      <c r="GWF3" s="89"/>
      <c r="GWG3" s="89"/>
      <c r="GWH3" s="89"/>
      <c r="GWI3" s="89"/>
      <c r="GWJ3" s="89"/>
      <c r="GWK3" s="89"/>
      <c r="GWL3" s="89"/>
      <c r="GWM3" s="89"/>
      <c r="GWN3" s="89"/>
      <c r="GWO3" s="89"/>
      <c r="GWP3" s="89"/>
      <c r="GWQ3" s="89"/>
      <c r="GWR3" s="89"/>
      <c r="GWS3" s="89"/>
      <c r="GWT3" s="89"/>
      <c r="GWU3" s="89"/>
      <c r="GWV3" s="89"/>
      <c r="GWW3" s="89"/>
      <c r="GWX3" s="89"/>
      <c r="GWY3" s="89"/>
      <c r="GWZ3" s="89"/>
      <c r="GXA3" s="89"/>
      <c r="GXB3" s="89"/>
      <c r="GXC3" s="89"/>
      <c r="GXD3" s="89"/>
      <c r="GXE3" s="89"/>
      <c r="GXF3" s="89"/>
      <c r="GXG3" s="89"/>
      <c r="GXH3" s="89"/>
      <c r="GXI3" s="89"/>
      <c r="GXJ3" s="89"/>
      <c r="GXK3" s="89"/>
      <c r="GXL3" s="89"/>
      <c r="GXM3" s="89"/>
      <c r="GXN3" s="89"/>
      <c r="GXO3" s="89"/>
      <c r="GXP3" s="89"/>
      <c r="GXQ3" s="89"/>
      <c r="GXR3" s="89"/>
      <c r="GXS3" s="89"/>
      <c r="GXT3" s="89"/>
      <c r="GXU3" s="89"/>
      <c r="GXV3" s="89"/>
      <c r="GXW3" s="89"/>
      <c r="GXX3" s="89"/>
      <c r="GXY3" s="89"/>
      <c r="GXZ3" s="89"/>
      <c r="GYA3" s="89"/>
      <c r="GYB3" s="89"/>
      <c r="GYC3" s="89"/>
      <c r="GYD3" s="89"/>
      <c r="GYE3" s="89"/>
      <c r="GYF3" s="89"/>
      <c r="GYG3" s="89"/>
      <c r="GYH3" s="89"/>
      <c r="GYI3" s="89"/>
      <c r="GYJ3" s="89"/>
      <c r="GYK3" s="89"/>
      <c r="GYL3" s="89"/>
      <c r="GYM3" s="89"/>
      <c r="GYN3" s="89"/>
      <c r="GYO3" s="89"/>
      <c r="GYP3" s="89"/>
      <c r="GYQ3" s="89"/>
      <c r="GYR3" s="89"/>
      <c r="GYS3" s="89"/>
      <c r="GYT3" s="89"/>
      <c r="GYU3" s="89"/>
      <c r="GYV3" s="89"/>
      <c r="GYW3" s="89"/>
      <c r="GYX3" s="89"/>
      <c r="GYY3" s="89"/>
      <c r="GYZ3" s="89"/>
      <c r="GZA3" s="89"/>
      <c r="GZB3" s="89"/>
      <c r="GZC3" s="89"/>
      <c r="GZD3" s="89"/>
      <c r="GZE3" s="89"/>
      <c r="GZF3" s="89"/>
      <c r="GZG3" s="89"/>
      <c r="GZH3" s="89"/>
      <c r="GZI3" s="89"/>
      <c r="GZJ3" s="89"/>
      <c r="GZK3" s="89"/>
      <c r="GZL3" s="89"/>
      <c r="GZM3" s="89"/>
      <c r="GZN3" s="89"/>
      <c r="GZO3" s="89"/>
      <c r="GZP3" s="89"/>
      <c r="GZQ3" s="89"/>
      <c r="GZR3" s="89"/>
      <c r="GZS3" s="89"/>
      <c r="GZT3" s="89"/>
      <c r="GZU3" s="89"/>
      <c r="GZV3" s="89"/>
      <c r="GZW3" s="89"/>
      <c r="GZX3" s="89"/>
      <c r="GZY3" s="89"/>
      <c r="GZZ3" s="89"/>
      <c r="HAA3" s="89"/>
      <c r="HAB3" s="89"/>
      <c r="HAC3" s="89"/>
      <c r="HAD3" s="89"/>
      <c r="HAE3" s="89"/>
      <c r="HAF3" s="89"/>
      <c r="HAG3" s="89"/>
      <c r="HAH3" s="89"/>
      <c r="HAI3" s="89"/>
      <c r="HAJ3" s="89"/>
      <c r="HAK3" s="89"/>
      <c r="HAL3" s="89"/>
      <c r="HAM3" s="89"/>
      <c r="HAN3" s="89"/>
      <c r="HAO3" s="89"/>
      <c r="HAP3" s="89"/>
      <c r="HAQ3" s="89"/>
      <c r="HAR3" s="89"/>
      <c r="HAS3" s="89"/>
      <c r="HAT3" s="89"/>
      <c r="HAU3" s="89"/>
      <c r="HAV3" s="89"/>
      <c r="HAW3" s="89"/>
      <c r="HAX3" s="89"/>
      <c r="HAY3" s="89"/>
      <c r="HAZ3" s="89"/>
      <c r="HBA3" s="89"/>
      <c r="HBB3" s="89"/>
      <c r="HBC3" s="89"/>
      <c r="HBD3" s="89"/>
      <c r="HBE3" s="89"/>
      <c r="HBF3" s="89"/>
      <c r="HBG3" s="89"/>
      <c r="HBH3" s="89"/>
      <c r="HBI3" s="89"/>
      <c r="HBJ3" s="89"/>
      <c r="HBK3" s="89"/>
      <c r="HBL3" s="89"/>
      <c r="HBM3" s="89"/>
      <c r="HBN3" s="89"/>
      <c r="HBO3" s="89"/>
      <c r="HBP3" s="89"/>
      <c r="HBQ3" s="89"/>
      <c r="HBR3" s="89"/>
      <c r="HBS3" s="89"/>
      <c r="HBT3" s="89"/>
      <c r="HBU3" s="89"/>
      <c r="HBV3" s="89"/>
      <c r="HBW3" s="89"/>
      <c r="HBX3" s="89"/>
      <c r="HBY3" s="89"/>
      <c r="HBZ3" s="89"/>
      <c r="HCA3" s="89"/>
      <c r="HCB3" s="89"/>
      <c r="HCC3" s="89"/>
      <c r="HCD3" s="89"/>
      <c r="HCE3" s="89"/>
      <c r="HCF3" s="89"/>
      <c r="HCG3" s="89"/>
      <c r="HCH3" s="89"/>
      <c r="HCI3" s="89"/>
      <c r="HCJ3" s="89"/>
      <c r="HCK3" s="89"/>
      <c r="HCL3" s="89"/>
      <c r="HCM3" s="89"/>
      <c r="HCN3" s="89"/>
      <c r="HCO3" s="89"/>
      <c r="HCP3" s="89"/>
      <c r="HCQ3" s="89"/>
      <c r="HCR3" s="89"/>
      <c r="HCS3" s="89"/>
      <c r="HCT3" s="89"/>
      <c r="HCU3" s="89"/>
      <c r="HCV3" s="89"/>
      <c r="HCW3" s="89"/>
      <c r="HCX3" s="89"/>
      <c r="HCY3" s="89"/>
      <c r="HCZ3" s="89"/>
      <c r="HDA3" s="89"/>
      <c r="HDB3" s="89"/>
      <c r="HDC3" s="89"/>
      <c r="HDD3" s="89"/>
      <c r="HDE3" s="89"/>
      <c r="HDF3" s="89"/>
      <c r="HDG3" s="89"/>
      <c r="HDH3" s="89"/>
      <c r="HDI3" s="89"/>
      <c r="HDJ3" s="89"/>
      <c r="HDK3" s="89"/>
      <c r="HDL3" s="89"/>
      <c r="HDM3" s="89"/>
      <c r="HDN3" s="89"/>
      <c r="HDO3" s="89"/>
      <c r="HDP3" s="89"/>
      <c r="HDQ3" s="89"/>
      <c r="HDR3" s="89"/>
      <c r="HDS3" s="89"/>
      <c r="HDT3" s="89"/>
      <c r="HDU3" s="89"/>
      <c r="HDV3" s="89"/>
      <c r="HDW3" s="89"/>
      <c r="HDX3" s="89"/>
      <c r="HDY3" s="89"/>
      <c r="HDZ3" s="89"/>
      <c r="HEA3" s="89"/>
      <c r="HEB3" s="89"/>
      <c r="HEC3" s="89"/>
      <c r="HED3" s="89"/>
      <c r="HEE3" s="89"/>
      <c r="HEF3" s="89"/>
      <c r="HEG3" s="89"/>
      <c r="HEH3" s="89"/>
      <c r="HEI3" s="89"/>
      <c r="HEJ3" s="89"/>
      <c r="HEK3" s="89"/>
      <c r="HEL3" s="89"/>
      <c r="HEM3" s="89"/>
      <c r="HEN3" s="89"/>
      <c r="HEO3" s="89"/>
      <c r="HEP3" s="89"/>
      <c r="HEQ3" s="89"/>
      <c r="HER3" s="89"/>
      <c r="HES3" s="89"/>
      <c r="HET3" s="89"/>
      <c r="HEU3" s="89"/>
      <c r="HEV3" s="89"/>
      <c r="HEW3" s="89"/>
      <c r="HEX3" s="89"/>
      <c r="HEY3" s="89"/>
      <c r="HEZ3" s="89"/>
      <c r="HFA3" s="89"/>
      <c r="HFB3" s="89"/>
      <c r="HFC3" s="89"/>
      <c r="HFD3" s="89"/>
      <c r="HFE3" s="89"/>
      <c r="HFF3" s="89"/>
      <c r="HFG3" s="89"/>
      <c r="HFH3" s="89"/>
      <c r="HFI3" s="89"/>
      <c r="HFJ3" s="89"/>
      <c r="HFK3" s="89"/>
      <c r="HFL3" s="89"/>
      <c r="HFM3" s="89"/>
      <c r="HFN3" s="89"/>
      <c r="HFO3" s="89"/>
      <c r="HFP3" s="89"/>
      <c r="HFQ3" s="89"/>
      <c r="HFR3" s="89"/>
      <c r="HFS3" s="89"/>
      <c r="HFT3" s="89"/>
      <c r="HFU3" s="89"/>
      <c r="HFV3" s="89"/>
      <c r="HFW3" s="89"/>
      <c r="HFX3" s="89"/>
      <c r="HFY3" s="89"/>
      <c r="HFZ3" s="89"/>
      <c r="HGA3" s="89"/>
      <c r="HGB3" s="89"/>
      <c r="HGC3" s="89"/>
      <c r="HGD3" s="89"/>
      <c r="HGE3" s="89"/>
      <c r="HGF3" s="89"/>
      <c r="HGG3" s="89"/>
      <c r="HGH3" s="89"/>
      <c r="HGI3" s="89"/>
      <c r="HGJ3" s="89"/>
      <c r="HGK3" s="89"/>
      <c r="HGL3" s="89"/>
      <c r="HGM3" s="89"/>
      <c r="HGN3" s="89"/>
      <c r="HGO3" s="89"/>
      <c r="HGP3" s="89"/>
      <c r="HGQ3" s="89"/>
      <c r="HGR3" s="89"/>
      <c r="HGS3" s="89"/>
      <c r="HGT3" s="89"/>
      <c r="HGU3" s="89"/>
      <c r="HGV3" s="89"/>
      <c r="HGW3" s="89"/>
      <c r="HGX3" s="89"/>
      <c r="HGY3" s="89"/>
      <c r="HGZ3" s="89"/>
      <c r="HHA3" s="89"/>
      <c r="HHB3" s="89"/>
      <c r="HHC3" s="89"/>
      <c r="HHD3" s="89"/>
      <c r="HHE3" s="89"/>
      <c r="HHF3" s="89"/>
      <c r="HHG3" s="89"/>
      <c r="HHH3" s="89"/>
      <c r="HHI3" s="89"/>
      <c r="HHJ3" s="89"/>
      <c r="HHK3" s="89"/>
      <c r="HHL3" s="89"/>
      <c r="HHM3" s="89"/>
      <c r="HHN3" s="89"/>
      <c r="HHO3" s="89"/>
      <c r="HHP3" s="89"/>
      <c r="HHQ3" s="89"/>
      <c r="HHR3" s="89"/>
      <c r="HHS3" s="89"/>
      <c r="HHT3" s="89"/>
      <c r="HHU3" s="89"/>
      <c r="HHV3" s="89"/>
      <c r="HHW3" s="89"/>
      <c r="HHX3" s="89"/>
      <c r="HHY3" s="89"/>
      <c r="HHZ3" s="89"/>
      <c r="HIA3" s="89"/>
      <c r="HIB3" s="89"/>
      <c r="HIC3" s="89"/>
      <c r="HID3" s="89"/>
      <c r="HIE3" s="89"/>
      <c r="HIF3" s="89"/>
      <c r="HIG3" s="89"/>
      <c r="HIH3" s="89"/>
      <c r="HII3" s="89"/>
      <c r="HIJ3" s="89"/>
      <c r="HIK3" s="89"/>
      <c r="HIL3" s="89"/>
      <c r="HIM3" s="89"/>
      <c r="HIN3" s="89"/>
      <c r="HIO3" s="89"/>
      <c r="HIP3" s="89"/>
      <c r="HIQ3" s="89"/>
      <c r="HIR3" s="89"/>
      <c r="HIS3" s="89"/>
      <c r="HIT3" s="89"/>
      <c r="HIU3" s="89"/>
      <c r="HIV3" s="89"/>
      <c r="HIW3" s="89"/>
      <c r="HIX3" s="89"/>
      <c r="HIY3" s="89"/>
      <c r="HIZ3" s="89"/>
      <c r="HJA3" s="89"/>
      <c r="HJB3" s="89"/>
      <c r="HJC3" s="89"/>
      <c r="HJD3" s="89"/>
      <c r="HJE3" s="89"/>
      <c r="HJF3" s="89"/>
      <c r="HJG3" s="89"/>
      <c r="HJH3" s="89"/>
      <c r="HJI3" s="89"/>
      <c r="HJJ3" s="89"/>
      <c r="HJK3" s="89"/>
      <c r="HJL3" s="89"/>
      <c r="HJM3" s="89"/>
      <c r="HJN3" s="89"/>
      <c r="HJO3" s="89"/>
      <c r="HJP3" s="89"/>
      <c r="HJQ3" s="89"/>
      <c r="HJR3" s="89"/>
      <c r="HJS3" s="89"/>
      <c r="HJT3" s="89"/>
      <c r="HJU3" s="89"/>
      <c r="HJV3" s="89"/>
      <c r="HJW3" s="89"/>
      <c r="HJX3" s="89"/>
      <c r="HJY3" s="89"/>
      <c r="HJZ3" s="89"/>
      <c r="HKA3" s="89"/>
      <c r="HKB3" s="89"/>
      <c r="HKC3" s="89"/>
      <c r="HKD3" s="89"/>
      <c r="HKE3" s="89"/>
      <c r="HKF3" s="89"/>
      <c r="HKG3" s="89"/>
      <c r="HKH3" s="89"/>
      <c r="HKI3" s="89"/>
      <c r="HKJ3" s="89"/>
      <c r="HKK3" s="89"/>
      <c r="HKL3" s="89"/>
      <c r="HKM3" s="89"/>
      <c r="HKN3" s="89"/>
      <c r="HKO3" s="89"/>
      <c r="HKP3" s="89"/>
      <c r="HKQ3" s="89"/>
      <c r="HKR3" s="89"/>
      <c r="HKS3" s="89"/>
      <c r="HKT3" s="89"/>
      <c r="HKU3" s="89"/>
      <c r="HKV3" s="89"/>
      <c r="HKW3" s="89"/>
      <c r="HKX3" s="89"/>
      <c r="HKY3" s="89"/>
      <c r="HKZ3" s="89"/>
      <c r="HLA3" s="89"/>
      <c r="HLB3" s="89"/>
      <c r="HLC3" s="89"/>
      <c r="HLD3" s="89"/>
      <c r="HLE3" s="89"/>
      <c r="HLF3" s="89"/>
      <c r="HLG3" s="89"/>
      <c r="HLH3" s="89"/>
      <c r="HLI3" s="89"/>
      <c r="HLJ3" s="89"/>
      <c r="HLK3" s="89"/>
      <c r="HLL3" s="89"/>
      <c r="HLM3" s="89"/>
      <c r="HLN3" s="89"/>
      <c r="HLO3" s="89"/>
      <c r="HLP3" s="89"/>
      <c r="HLQ3" s="89"/>
      <c r="HLR3" s="89"/>
      <c r="HLS3" s="89"/>
      <c r="HLT3" s="89"/>
      <c r="HLU3" s="89"/>
      <c r="HLV3" s="89"/>
      <c r="HLW3" s="89"/>
      <c r="HLX3" s="89"/>
      <c r="HLY3" s="89"/>
      <c r="HLZ3" s="89"/>
      <c r="HMA3" s="89"/>
      <c r="HMB3" s="89"/>
      <c r="HMC3" s="89"/>
      <c r="HMD3" s="89"/>
      <c r="HME3" s="89"/>
      <c r="HMF3" s="89"/>
      <c r="HMG3" s="89"/>
      <c r="HMH3" s="89"/>
      <c r="HMI3" s="89"/>
      <c r="HMJ3" s="89"/>
      <c r="HMK3" s="89"/>
      <c r="HML3" s="89"/>
      <c r="HMM3" s="89"/>
      <c r="HMN3" s="89"/>
      <c r="HMO3" s="89"/>
      <c r="HMP3" s="89"/>
      <c r="HMQ3" s="89"/>
      <c r="HMR3" s="89"/>
      <c r="HMS3" s="89"/>
      <c r="HMT3" s="89"/>
      <c r="HMU3" s="89"/>
      <c r="HMV3" s="89"/>
      <c r="HMW3" s="89"/>
      <c r="HMX3" s="89"/>
      <c r="HMY3" s="89"/>
      <c r="HMZ3" s="89"/>
      <c r="HNA3" s="89"/>
      <c r="HNB3" s="89"/>
      <c r="HNC3" s="89"/>
      <c r="HND3" s="89"/>
      <c r="HNE3" s="89"/>
      <c r="HNF3" s="89"/>
      <c r="HNG3" s="89"/>
      <c r="HNH3" s="89"/>
      <c r="HNI3" s="89"/>
      <c r="HNJ3" s="89"/>
      <c r="HNK3" s="89"/>
      <c r="HNL3" s="89"/>
      <c r="HNM3" s="89"/>
      <c r="HNN3" s="89"/>
      <c r="HNO3" s="89"/>
      <c r="HNP3" s="89"/>
      <c r="HNQ3" s="89"/>
      <c r="HNR3" s="89"/>
      <c r="HNS3" s="89"/>
      <c r="HNT3" s="89"/>
      <c r="HNU3" s="89"/>
      <c r="HNV3" s="89"/>
      <c r="HNW3" s="89"/>
      <c r="HNX3" s="89"/>
      <c r="HNY3" s="89"/>
      <c r="HNZ3" s="89"/>
      <c r="HOA3" s="89"/>
      <c r="HOB3" s="89"/>
      <c r="HOC3" s="89"/>
      <c r="HOD3" s="89"/>
      <c r="HOE3" s="89"/>
      <c r="HOF3" s="89"/>
      <c r="HOG3" s="89"/>
      <c r="HOH3" s="89"/>
      <c r="HOI3" s="89"/>
      <c r="HOJ3" s="89"/>
      <c r="HOK3" s="89"/>
      <c r="HOL3" s="89"/>
      <c r="HOM3" s="89"/>
      <c r="HON3" s="89"/>
      <c r="HOO3" s="89"/>
      <c r="HOP3" s="89"/>
      <c r="HOQ3" s="89"/>
      <c r="HOR3" s="89"/>
      <c r="HOS3" s="89"/>
      <c r="HOT3" s="89"/>
      <c r="HOU3" s="89"/>
      <c r="HOV3" s="89"/>
      <c r="HOW3" s="89"/>
      <c r="HOX3" s="89"/>
      <c r="HOY3" s="89"/>
      <c r="HOZ3" s="89"/>
      <c r="HPA3" s="89"/>
      <c r="HPB3" s="89"/>
      <c r="HPC3" s="89"/>
      <c r="HPD3" s="89"/>
      <c r="HPE3" s="89"/>
      <c r="HPF3" s="89"/>
      <c r="HPG3" s="89"/>
      <c r="HPH3" s="89"/>
      <c r="HPI3" s="89"/>
      <c r="HPJ3" s="89"/>
      <c r="HPK3" s="89"/>
      <c r="HPL3" s="89"/>
      <c r="HPM3" s="89"/>
      <c r="HPN3" s="89"/>
      <c r="HPO3" s="89"/>
      <c r="HPP3" s="89"/>
      <c r="HPQ3" s="89"/>
      <c r="HPR3" s="89"/>
      <c r="HPS3" s="89"/>
      <c r="HPT3" s="89"/>
      <c r="HPU3" s="89"/>
      <c r="HPV3" s="89"/>
      <c r="HPW3" s="89"/>
      <c r="HPX3" s="89"/>
      <c r="HPY3" s="89"/>
      <c r="HPZ3" s="89"/>
      <c r="HQA3" s="89"/>
      <c r="HQB3" s="89"/>
      <c r="HQC3" s="89"/>
      <c r="HQD3" s="89"/>
      <c r="HQE3" s="89"/>
      <c r="HQF3" s="89"/>
      <c r="HQG3" s="89"/>
      <c r="HQH3" s="89"/>
      <c r="HQI3" s="89"/>
      <c r="HQJ3" s="89"/>
      <c r="HQK3" s="89"/>
      <c r="HQL3" s="89"/>
      <c r="HQM3" s="89"/>
      <c r="HQN3" s="89"/>
      <c r="HQO3" s="89"/>
      <c r="HQP3" s="89"/>
      <c r="HQQ3" s="89"/>
      <c r="HQR3" s="89"/>
      <c r="HQS3" s="89"/>
      <c r="HQT3" s="89"/>
      <c r="HQU3" s="89"/>
      <c r="HQV3" s="89"/>
      <c r="HQW3" s="89"/>
      <c r="HQX3" s="89"/>
      <c r="HQY3" s="89"/>
      <c r="HQZ3" s="89"/>
      <c r="HRA3" s="89"/>
      <c r="HRB3" s="89"/>
      <c r="HRC3" s="89"/>
      <c r="HRD3" s="89"/>
      <c r="HRE3" s="89"/>
      <c r="HRF3" s="89"/>
      <c r="HRG3" s="89"/>
      <c r="HRH3" s="89"/>
      <c r="HRI3" s="89"/>
      <c r="HRJ3" s="89"/>
      <c r="HRK3" s="89"/>
      <c r="HRL3" s="89"/>
      <c r="HRM3" s="89"/>
      <c r="HRN3" s="89"/>
      <c r="HRO3" s="89"/>
      <c r="HRP3" s="89"/>
      <c r="HRQ3" s="89"/>
      <c r="HRR3" s="89"/>
      <c r="HRS3" s="89"/>
      <c r="HRT3" s="89"/>
      <c r="HRU3" s="89"/>
      <c r="HRV3" s="89"/>
      <c r="HRW3" s="89"/>
      <c r="HRX3" s="89"/>
      <c r="HRY3" s="89"/>
      <c r="HRZ3" s="89"/>
      <c r="HSA3" s="89"/>
      <c r="HSB3" s="89"/>
      <c r="HSC3" s="89"/>
      <c r="HSD3" s="89"/>
      <c r="HSE3" s="89"/>
      <c r="HSF3" s="89"/>
      <c r="HSG3" s="89"/>
      <c r="HSH3" s="89"/>
      <c r="HSI3" s="89"/>
      <c r="HSJ3" s="89"/>
      <c r="HSK3" s="89"/>
      <c r="HSL3" s="89"/>
      <c r="HSM3" s="89"/>
      <c r="HSN3" s="89"/>
      <c r="HSO3" s="89"/>
      <c r="HSP3" s="89"/>
      <c r="HSQ3" s="89"/>
      <c r="HSR3" s="89"/>
      <c r="HSS3" s="89"/>
      <c r="HST3" s="89"/>
      <c r="HSU3" s="89"/>
      <c r="HSV3" s="89"/>
      <c r="HSW3" s="89"/>
      <c r="HSX3" s="89"/>
      <c r="HSY3" s="89"/>
      <c r="HSZ3" s="89"/>
      <c r="HTA3" s="89"/>
      <c r="HTB3" s="89"/>
      <c r="HTC3" s="89"/>
      <c r="HTD3" s="89"/>
      <c r="HTE3" s="89"/>
      <c r="HTF3" s="89"/>
      <c r="HTG3" s="89"/>
      <c r="HTH3" s="89"/>
      <c r="HTI3" s="89"/>
      <c r="HTJ3" s="89"/>
      <c r="HTK3" s="89"/>
      <c r="HTL3" s="89"/>
      <c r="HTM3" s="89"/>
      <c r="HTN3" s="89"/>
      <c r="HTO3" s="89"/>
      <c r="HTP3" s="89"/>
      <c r="HTQ3" s="89"/>
      <c r="HTR3" s="89"/>
      <c r="HTS3" s="89"/>
      <c r="HTT3" s="89"/>
      <c r="HTU3" s="89"/>
      <c r="HTV3" s="89"/>
      <c r="HTW3" s="89"/>
      <c r="HTX3" s="89"/>
      <c r="HTY3" s="89"/>
      <c r="HTZ3" s="89"/>
      <c r="HUA3" s="89"/>
      <c r="HUB3" s="89"/>
      <c r="HUC3" s="89"/>
      <c r="HUD3" s="89"/>
      <c r="HUE3" s="89"/>
      <c r="HUF3" s="89"/>
      <c r="HUG3" s="89"/>
      <c r="HUH3" s="89"/>
      <c r="HUI3" s="89"/>
      <c r="HUJ3" s="89"/>
      <c r="HUK3" s="89"/>
      <c r="HUL3" s="89"/>
      <c r="HUM3" s="89"/>
      <c r="HUN3" s="89"/>
      <c r="HUO3" s="89"/>
      <c r="HUP3" s="89"/>
      <c r="HUQ3" s="89"/>
      <c r="HUR3" s="89"/>
      <c r="HUS3" s="89"/>
      <c r="HUT3" s="89"/>
      <c r="HUU3" s="89"/>
      <c r="HUV3" s="89"/>
      <c r="HUW3" s="89"/>
      <c r="HUX3" s="89"/>
      <c r="HUY3" s="89"/>
      <c r="HUZ3" s="89"/>
      <c r="HVA3" s="89"/>
      <c r="HVB3" s="89"/>
      <c r="HVC3" s="89"/>
      <c r="HVD3" s="89"/>
      <c r="HVE3" s="89"/>
      <c r="HVF3" s="89"/>
      <c r="HVG3" s="89"/>
      <c r="HVH3" s="89"/>
      <c r="HVI3" s="89"/>
      <c r="HVJ3" s="89"/>
      <c r="HVK3" s="89"/>
      <c r="HVL3" s="89"/>
      <c r="HVM3" s="89"/>
      <c r="HVN3" s="89"/>
      <c r="HVO3" s="89"/>
      <c r="HVP3" s="89"/>
      <c r="HVQ3" s="89"/>
      <c r="HVR3" s="89"/>
      <c r="HVS3" s="89"/>
      <c r="HVT3" s="89"/>
      <c r="HVU3" s="89"/>
      <c r="HVV3" s="89"/>
      <c r="HVW3" s="89"/>
      <c r="HVX3" s="89"/>
      <c r="HVY3" s="89"/>
      <c r="HVZ3" s="89"/>
      <c r="HWA3" s="89"/>
      <c r="HWB3" s="89"/>
      <c r="HWC3" s="89"/>
      <c r="HWD3" s="89"/>
      <c r="HWE3" s="89"/>
      <c r="HWF3" s="89"/>
      <c r="HWG3" s="89"/>
      <c r="HWH3" s="89"/>
      <c r="HWI3" s="89"/>
      <c r="HWJ3" s="89"/>
      <c r="HWK3" s="89"/>
      <c r="HWL3" s="89"/>
      <c r="HWM3" s="89"/>
      <c r="HWN3" s="89"/>
      <c r="HWO3" s="89"/>
      <c r="HWP3" s="89"/>
      <c r="HWQ3" s="89"/>
      <c r="HWR3" s="89"/>
      <c r="HWS3" s="89"/>
      <c r="HWT3" s="89"/>
      <c r="HWU3" s="89"/>
      <c r="HWV3" s="89"/>
      <c r="HWW3" s="89"/>
      <c r="HWX3" s="89"/>
      <c r="HWY3" s="89"/>
      <c r="HWZ3" s="89"/>
      <c r="HXA3" s="89"/>
      <c r="HXB3" s="89"/>
      <c r="HXC3" s="89"/>
      <c r="HXD3" s="89"/>
      <c r="HXE3" s="89"/>
      <c r="HXF3" s="89"/>
      <c r="HXG3" s="89"/>
      <c r="HXH3" s="89"/>
      <c r="HXI3" s="89"/>
      <c r="HXJ3" s="89"/>
      <c r="HXK3" s="89"/>
      <c r="HXL3" s="89"/>
      <c r="HXM3" s="89"/>
      <c r="HXN3" s="89"/>
      <c r="HXO3" s="89"/>
      <c r="HXP3" s="89"/>
      <c r="HXQ3" s="89"/>
      <c r="HXR3" s="89"/>
      <c r="HXS3" s="89"/>
      <c r="HXT3" s="89"/>
      <c r="HXU3" s="89"/>
      <c r="HXV3" s="89"/>
      <c r="HXW3" s="89"/>
      <c r="HXX3" s="89"/>
      <c r="HXY3" s="89"/>
      <c r="HXZ3" s="89"/>
      <c r="HYA3" s="89"/>
      <c r="HYB3" s="89"/>
      <c r="HYC3" s="89"/>
      <c r="HYD3" s="89"/>
      <c r="HYE3" s="89"/>
      <c r="HYF3" s="89"/>
      <c r="HYG3" s="89"/>
      <c r="HYH3" s="89"/>
      <c r="HYI3" s="89"/>
      <c r="HYJ3" s="89"/>
      <c r="HYK3" s="89"/>
      <c r="HYL3" s="89"/>
      <c r="HYM3" s="89"/>
      <c r="HYN3" s="89"/>
      <c r="HYO3" s="89"/>
      <c r="HYP3" s="89"/>
      <c r="HYQ3" s="89"/>
      <c r="HYR3" s="89"/>
      <c r="HYS3" s="89"/>
      <c r="HYT3" s="89"/>
      <c r="HYU3" s="89"/>
      <c r="HYV3" s="89"/>
      <c r="HYW3" s="89"/>
      <c r="HYX3" s="89"/>
      <c r="HYY3" s="89"/>
      <c r="HYZ3" s="89"/>
      <c r="HZA3" s="89"/>
      <c r="HZB3" s="89"/>
      <c r="HZC3" s="89"/>
      <c r="HZD3" s="89"/>
      <c r="HZE3" s="89"/>
      <c r="HZF3" s="89"/>
      <c r="HZG3" s="89"/>
      <c r="HZH3" s="89"/>
      <c r="HZI3" s="89"/>
      <c r="HZJ3" s="89"/>
      <c r="HZK3" s="89"/>
      <c r="HZL3" s="89"/>
      <c r="HZM3" s="89"/>
      <c r="HZN3" s="89"/>
      <c r="HZO3" s="89"/>
      <c r="HZP3" s="89"/>
      <c r="HZQ3" s="89"/>
      <c r="HZR3" s="89"/>
      <c r="HZS3" s="89"/>
      <c r="HZT3" s="89"/>
      <c r="HZU3" s="89"/>
      <c r="HZV3" s="89"/>
      <c r="HZW3" s="89"/>
      <c r="HZX3" s="89"/>
      <c r="HZY3" s="89"/>
      <c r="HZZ3" s="89"/>
      <c r="IAA3" s="89"/>
      <c r="IAB3" s="89"/>
      <c r="IAC3" s="89"/>
      <c r="IAD3" s="89"/>
      <c r="IAE3" s="89"/>
      <c r="IAF3" s="89"/>
      <c r="IAG3" s="89"/>
      <c r="IAH3" s="89"/>
      <c r="IAI3" s="89"/>
      <c r="IAJ3" s="89"/>
      <c r="IAK3" s="89"/>
      <c r="IAL3" s="89"/>
      <c r="IAM3" s="89"/>
      <c r="IAN3" s="89"/>
      <c r="IAO3" s="89"/>
      <c r="IAP3" s="89"/>
      <c r="IAQ3" s="89"/>
      <c r="IAR3" s="89"/>
      <c r="IAS3" s="89"/>
      <c r="IAT3" s="89"/>
      <c r="IAU3" s="89"/>
      <c r="IAV3" s="89"/>
      <c r="IAW3" s="89"/>
      <c r="IAX3" s="89"/>
      <c r="IAY3" s="89"/>
      <c r="IAZ3" s="89"/>
      <c r="IBA3" s="89"/>
      <c r="IBB3" s="89"/>
      <c r="IBC3" s="89"/>
      <c r="IBD3" s="89"/>
      <c r="IBE3" s="89"/>
      <c r="IBF3" s="89"/>
      <c r="IBG3" s="89"/>
      <c r="IBH3" s="89"/>
      <c r="IBI3" s="89"/>
      <c r="IBJ3" s="89"/>
      <c r="IBK3" s="89"/>
      <c r="IBL3" s="89"/>
      <c r="IBM3" s="89"/>
      <c r="IBN3" s="89"/>
      <c r="IBO3" s="89"/>
      <c r="IBP3" s="89"/>
      <c r="IBQ3" s="89"/>
      <c r="IBR3" s="89"/>
      <c r="IBS3" s="89"/>
      <c r="IBT3" s="89"/>
      <c r="IBU3" s="89"/>
      <c r="IBV3" s="89"/>
      <c r="IBW3" s="89"/>
      <c r="IBX3" s="89"/>
      <c r="IBY3" s="89"/>
      <c r="IBZ3" s="89"/>
      <c r="ICA3" s="89"/>
      <c r="ICB3" s="89"/>
      <c r="ICC3" s="89"/>
      <c r="ICD3" s="89"/>
      <c r="ICE3" s="89"/>
      <c r="ICF3" s="89"/>
      <c r="ICG3" s="89"/>
      <c r="ICH3" s="89"/>
      <c r="ICI3" s="89"/>
      <c r="ICJ3" s="89"/>
      <c r="ICK3" s="89"/>
      <c r="ICL3" s="89"/>
      <c r="ICM3" s="89"/>
      <c r="ICN3" s="89"/>
      <c r="ICO3" s="89"/>
      <c r="ICP3" s="89"/>
      <c r="ICQ3" s="89"/>
      <c r="ICR3" s="89"/>
      <c r="ICS3" s="89"/>
      <c r="ICT3" s="89"/>
      <c r="ICU3" s="89"/>
      <c r="ICV3" s="89"/>
      <c r="ICW3" s="89"/>
      <c r="ICX3" s="89"/>
      <c r="ICY3" s="89"/>
      <c r="ICZ3" s="89"/>
      <c r="IDA3" s="89"/>
      <c r="IDB3" s="89"/>
      <c r="IDC3" s="89"/>
      <c r="IDD3" s="89"/>
      <c r="IDE3" s="89"/>
      <c r="IDF3" s="89"/>
      <c r="IDG3" s="89"/>
      <c r="IDH3" s="89"/>
      <c r="IDI3" s="89"/>
      <c r="IDJ3" s="89"/>
      <c r="IDK3" s="89"/>
      <c r="IDL3" s="89"/>
      <c r="IDM3" s="89"/>
      <c r="IDN3" s="89"/>
      <c r="IDO3" s="89"/>
      <c r="IDP3" s="89"/>
      <c r="IDQ3" s="89"/>
      <c r="IDR3" s="89"/>
      <c r="IDS3" s="89"/>
      <c r="IDT3" s="89"/>
      <c r="IDU3" s="89"/>
      <c r="IDV3" s="89"/>
      <c r="IDW3" s="89"/>
      <c r="IDX3" s="89"/>
      <c r="IDY3" s="89"/>
      <c r="IDZ3" s="89"/>
      <c r="IEA3" s="89"/>
      <c r="IEB3" s="89"/>
      <c r="IEC3" s="89"/>
      <c r="IED3" s="89"/>
      <c r="IEE3" s="89"/>
      <c r="IEF3" s="89"/>
      <c r="IEG3" s="89"/>
      <c r="IEH3" s="89"/>
      <c r="IEI3" s="89"/>
      <c r="IEJ3" s="89"/>
      <c r="IEK3" s="89"/>
      <c r="IEL3" s="89"/>
      <c r="IEM3" s="89"/>
      <c r="IEN3" s="89"/>
      <c r="IEO3" s="89"/>
      <c r="IEP3" s="89"/>
      <c r="IEQ3" s="89"/>
      <c r="IER3" s="89"/>
      <c r="IES3" s="89"/>
      <c r="IET3" s="89"/>
      <c r="IEU3" s="89"/>
      <c r="IEV3" s="89"/>
      <c r="IEW3" s="89"/>
      <c r="IEX3" s="89"/>
      <c r="IEY3" s="89"/>
      <c r="IEZ3" s="89"/>
      <c r="IFA3" s="89"/>
      <c r="IFB3" s="89"/>
      <c r="IFC3" s="89"/>
      <c r="IFD3" s="89"/>
      <c r="IFE3" s="89"/>
      <c r="IFF3" s="89"/>
      <c r="IFG3" s="89"/>
      <c r="IFH3" s="89"/>
      <c r="IFI3" s="89"/>
      <c r="IFJ3" s="89"/>
      <c r="IFK3" s="89"/>
      <c r="IFL3" s="89"/>
      <c r="IFM3" s="89"/>
      <c r="IFN3" s="89"/>
      <c r="IFO3" s="89"/>
      <c r="IFP3" s="89"/>
      <c r="IFQ3" s="89"/>
      <c r="IFR3" s="89"/>
      <c r="IFS3" s="89"/>
      <c r="IFT3" s="89"/>
      <c r="IFU3" s="89"/>
      <c r="IFV3" s="89"/>
      <c r="IFW3" s="89"/>
      <c r="IFX3" s="89"/>
      <c r="IFY3" s="89"/>
      <c r="IFZ3" s="89"/>
      <c r="IGA3" s="89"/>
      <c r="IGB3" s="89"/>
      <c r="IGC3" s="89"/>
      <c r="IGD3" s="89"/>
      <c r="IGE3" s="89"/>
      <c r="IGF3" s="89"/>
      <c r="IGG3" s="89"/>
      <c r="IGH3" s="89"/>
      <c r="IGI3" s="89"/>
      <c r="IGJ3" s="89"/>
      <c r="IGK3" s="89"/>
      <c r="IGL3" s="89"/>
      <c r="IGM3" s="89"/>
      <c r="IGN3" s="89"/>
      <c r="IGO3" s="89"/>
      <c r="IGP3" s="89"/>
      <c r="IGQ3" s="89"/>
      <c r="IGR3" s="89"/>
      <c r="IGS3" s="89"/>
      <c r="IGT3" s="89"/>
      <c r="IGU3" s="89"/>
      <c r="IGV3" s="89"/>
      <c r="IGW3" s="89"/>
      <c r="IGX3" s="89"/>
      <c r="IGY3" s="89"/>
      <c r="IGZ3" s="89"/>
      <c r="IHA3" s="89"/>
      <c r="IHB3" s="89"/>
      <c r="IHC3" s="89"/>
      <c r="IHD3" s="89"/>
      <c r="IHE3" s="89"/>
      <c r="IHF3" s="89"/>
      <c r="IHG3" s="89"/>
      <c r="IHH3" s="89"/>
      <c r="IHI3" s="89"/>
      <c r="IHJ3" s="89"/>
      <c r="IHK3" s="89"/>
      <c r="IHL3" s="89"/>
      <c r="IHM3" s="89"/>
      <c r="IHN3" s="89"/>
      <c r="IHO3" s="89"/>
      <c r="IHP3" s="89"/>
      <c r="IHQ3" s="89"/>
      <c r="IHR3" s="89"/>
      <c r="IHS3" s="89"/>
      <c r="IHT3" s="89"/>
      <c r="IHU3" s="89"/>
      <c r="IHV3" s="89"/>
      <c r="IHW3" s="89"/>
      <c r="IHX3" s="89"/>
      <c r="IHY3" s="89"/>
      <c r="IHZ3" s="89"/>
      <c r="IIA3" s="89"/>
      <c r="IIB3" s="89"/>
      <c r="IIC3" s="89"/>
      <c r="IID3" s="89"/>
      <c r="IIE3" s="89"/>
      <c r="IIF3" s="89"/>
      <c r="IIG3" s="89"/>
      <c r="IIH3" s="89"/>
      <c r="III3" s="89"/>
      <c r="IIJ3" s="89"/>
      <c r="IIK3" s="89"/>
      <c r="IIL3" s="89"/>
      <c r="IIM3" s="89"/>
      <c r="IIN3" s="89"/>
      <c r="IIO3" s="89"/>
      <c r="IIP3" s="89"/>
      <c r="IIQ3" s="89"/>
      <c r="IIR3" s="89"/>
      <c r="IIS3" s="89"/>
      <c r="IIT3" s="89"/>
      <c r="IIU3" s="89"/>
      <c r="IIV3" s="89"/>
      <c r="IIW3" s="89"/>
      <c r="IIX3" s="89"/>
      <c r="IIY3" s="89"/>
      <c r="IIZ3" s="89"/>
      <c r="IJA3" s="89"/>
      <c r="IJB3" s="89"/>
      <c r="IJC3" s="89"/>
      <c r="IJD3" s="89"/>
      <c r="IJE3" s="89"/>
      <c r="IJF3" s="89"/>
      <c r="IJG3" s="89"/>
      <c r="IJH3" s="89"/>
      <c r="IJI3" s="89"/>
      <c r="IJJ3" s="89"/>
      <c r="IJK3" s="89"/>
      <c r="IJL3" s="89"/>
      <c r="IJM3" s="89"/>
      <c r="IJN3" s="89"/>
      <c r="IJO3" s="89"/>
      <c r="IJP3" s="89"/>
      <c r="IJQ3" s="89"/>
      <c r="IJR3" s="89"/>
      <c r="IJS3" s="89"/>
      <c r="IJT3" s="89"/>
      <c r="IJU3" s="89"/>
      <c r="IJV3" s="89"/>
      <c r="IJW3" s="89"/>
      <c r="IJX3" s="89"/>
      <c r="IJY3" s="89"/>
      <c r="IJZ3" s="89"/>
      <c r="IKA3" s="89"/>
      <c r="IKB3" s="89"/>
      <c r="IKC3" s="89"/>
      <c r="IKD3" s="89"/>
      <c r="IKE3" s="89"/>
      <c r="IKF3" s="89"/>
      <c r="IKG3" s="89"/>
      <c r="IKH3" s="89"/>
      <c r="IKI3" s="89"/>
      <c r="IKJ3" s="89"/>
      <c r="IKK3" s="89"/>
      <c r="IKL3" s="89"/>
      <c r="IKM3" s="89"/>
      <c r="IKN3" s="89"/>
      <c r="IKO3" s="89"/>
      <c r="IKP3" s="89"/>
      <c r="IKQ3" s="89"/>
      <c r="IKR3" s="89"/>
      <c r="IKS3" s="89"/>
      <c r="IKT3" s="89"/>
      <c r="IKU3" s="89"/>
      <c r="IKV3" s="89"/>
      <c r="IKW3" s="89"/>
      <c r="IKX3" s="89"/>
      <c r="IKY3" s="89"/>
      <c r="IKZ3" s="89"/>
      <c r="ILA3" s="89"/>
      <c r="ILB3" s="89"/>
      <c r="ILC3" s="89"/>
      <c r="ILD3" s="89"/>
      <c r="ILE3" s="89"/>
      <c r="ILF3" s="89"/>
      <c r="ILG3" s="89"/>
      <c r="ILH3" s="89"/>
      <c r="ILI3" s="89"/>
      <c r="ILJ3" s="89"/>
      <c r="ILK3" s="89"/>
      <c r="ILL3" s="89"/>
      <c r="ILM3" s="89"/>
      <c r="ILN3" s="89"/>
      <c r="ILO3" s="89"/>
      <c r="ILP3" s="89"/>
      <c r="ILQ3" s="89"/>
      <c r="ILR3" s="89"/>
      <c r="ILS3" s="89"/>
      <c r="ILT3" s="89"/>
      <c r="ILU3" s="89"/>
      <c r="ILV3" s="89"/>
      <c r="ILW3" s="89"/>
      <c r="ILX3" s="89"/>
      <c r="ILY3" s="89"/>
      <c r="ILZ3" s="89"/>
      <c r="IMA3" s="89"/>
      <c r="IMB3" s="89"/>
      <c r="IMC3" s="89"/>
      <c r="IMD3" s="89"/>
      <c r="IME3" s="89"/>
      <c r="IMF3" s="89"/>
      <c r="IMG3" s="89"/>
      <c r="IMH3" s="89"/>
      <c r="IMI3" s="89"/>
      <c r="IMJ3" s="89"/>
      <c r="IMK3" s="89"/>
      <c r="IML3" s="89"/>
      <c r="IMM3" s="89"/>
      <c r="IMN3" s="89"/>
      <c r="IMO3" s="89"/>
      <c r="IMP3" s="89"/>
      <c r="IMQ3" s="89"/>
      <c r="IMR3" s="89"/>
      <c r="IMS3" s="89"/>
      <c r="IMT3" s="89"/>
      <c r="IMU3" s="89"/>
      <c r="IMV3" s="89"/>
      <c r="IMW3" s="89"/>
      <c r="IMX3" s="89"/>
      <c r="IMY3" s="89"/>
      <c r="IMZ3" s="89"/>
      <c r="INA3" s="89"/>
      <c r="INB3" s="89"/>
      <c r="INC3" s="89"/>
      <c r="IND3" s="89"/>
      <c r="INE3" s="89"/>
      <c r="INF3" s="89"/>
      <c r="ING3" s="89"/>
      <c r="INH3" s="89"/>
      <c r="INI3" s="89"/>
      <c r="INJ3" s="89"/>
      <c r="INK3" s="89"/>
      <c r="INL3" s="89"/>
      <c r="INM3" s="89"/>
      <c r="INN3" s="89"/>
      <c r="INO3" s="89"/>
      <c r="INP3" s="89"/>
      <c r="INQ3" s="89"/>
      <c r="INR3" s="89"/>
      <c r="INS3" s="89"/>
      <c r="INT3" s="89"/>
      <c r="INU3" s="89"/>
      <c r="INV3" s="89"/>
      <c r="INW3" s="89"/>
      <c r="INX3" s="89"/>
      <c r="INY3" s="89"/>
      <c r="INZ3" s="89"/>
      <c r="IOA3" s="89"/>
      <c r="IOB3" s="89"/>
      <c r="IOC3" s="89"/>
      <c r="IOD3" s="89"/>
      <c r="IOE3" s="89"/>
      <c r="IOF3" s="89"/>
      <c r="IOG3" s="89"/>
      <c r="IOH3" s="89"/>
      <c r="IOI3" s="89"/>
      <c r="IOJ3" s="89"/>
      <c r="IOK3" s="89"/>
      <c r="IOL3" s="89"/>
      <c r="IOM3" s="89"/>
      <c r="ION3" s="89"/>
      <c r="IOO3" s="89"/>
      <c r="IOP3" s="89"/>
      <c r="IOQ3" s="89"/>
      <c r="IOR3" s="89"/>
      <c r="IOS3" s="89"/>
      <c r="IOT3" s="89"/>
      <c r="IOU3" s="89"/>
      <c r="IOV3" s="89"/>
      <c r="IOW3" s="89"/>
      <c r="IOX3" s="89"/>
      <c r="IOY3" s="89"/>
      <c r="IOZ3" s="89"/>
      <c r="IPA3" s="89"/>
      <c r="IPB3" s="89"/>
      <c r="IPC3" s="89"/>
      <c r="IPD3" s="89"/>
      <c r="IPE3" s="89"/>
      <c r="IPF3" s="89"/>
      <c r="IPG3" s="89"/>
      <c r="IPH3" s="89"/>
      <c r="IPI3" s="89"/>
      <c r="IPJ3" s="89"/>
      <c r="IPK3" s="89"/>
      <c r="IPL3" s="89"/>
      <c r="IPM3" s="89"/>
      <c r="IPN3" s="89"/>
      <c r="IPO3" s="89"/>
      <c r="IPP3" s="89"/>
      <c r="IPQ3" s="89"/>
      <c r="IPR3" s="89"/>
      <c r="IPS3" s="89"/>
      <c r="IPT3" s="89"/>
      <c r="IPU3" s="89"/>
      <c r="IPV3" s="89"/>
      <c r="IPW3" s="89"/>
      <c r="IPX3" s="89"/>
      <c r="IPY3" s="89"/>
      <c r="IPZ3" s="89"/>
      <c r="IQA3" s="89"/>
      <c r="IQB3" s="89"/>
      <c r="IQC3" s="89"/>
      <c r="IQD3" s="89"/>
      <c r="IQE3" s="89"/>
      <c r="IQF3" s="89"/>
      <c r="IQG3" s="89"/>
      <c r="IQH3" s="89"/>
      <c r="IQI3" s="89"/>
      <c r="IQJ3" s="89"/>
      <c r="IQK3" s="89"/>
      <c r="IQL3" s="89"/>
      <c r="IQM3" s="89"/>
      <c r="IQN3" s="89"/>
      <c r="IQO3" s="89"/>
      <c r="IQP3" s="89"/>
      <c r="IQQ3" s="89"/>
      <c r="IQR3" s="89"/>
      <c r="IQS3" s="89"/>
      <c r="IQT3" s="89"/>
      <c r="IQU3" s="89"/>
      <c r="IQV3" s="89"/>
      <c r="IQW3" s="89"/>
      <c r="IQX3" s="89"/>
      <c r="IQY3" s="89"/>
      <c r="IQZ3" s="89"/>
      <c r="IRA3" s="89"/>
      <c r="IRB3" s="89"/>
      <c r="IRC3" s="89"/>
      <c r="IRD3" s="89"/>
      <c r="IRE3" s="89"/>
      <c r="IRF3" s="89"/>
      <c r="IRG3" s="89"/>
      <c r="IRH3" s="89"/>
      <c r="IRI3" s="89"/>
      <c r="IRJ3" s="89"/>
      <c r="IRK3" s="89"/>
      <c r="IRL3" s="89"/>
      <c r="IRM3" s="89"/>
      <c r="IRN3" s="89"/>
      <c r="IRO3" s="89"/>
      <c r="IRP3" s="89"/>
      <c r="IRQ3" s="89"/>
      <c r="IRR3" s="89"/>
      <c r="IRS3" s="89"/>
      <c r="IRT3" s="89"/>
      <c r="IRU3" s="89"/>
      <c r="IRV3" s="89"/>
      <c r="IRW3" s="89"/>
      <c r="IRX3" s="89"/>
      <c r="IRY3" s="89"/>
      <c r="IRZ3" s="89"/>
      <c r="ISA3" s="89"/>
      <c r="ISB3" s="89"/>
      <c r="ISC3" s="89"/>
      <c r="ISD3" s="89"/>
      <c r="ISE3" s="89"/>
      <c r="ISF3" s="89"/>
      <c r="ISG3" s="89"/>
      <c r="ISH3" s="89"/>
      <c r="ISI3" s="89"/>
      <c r="ISJ3" s="89"/>
      <c r="ISK3" s="89"/>
      <c r="ISL3" s="89"/>
      <c r="ISM3" s="89"/>
      <c r="ISN3" s="89"/>
      <c r="ISO3" s="89"/>
      <c r="ISP3" s="89"/>
      <c r="ISQ3" s="89"/>
      <c r="ISR3" s="89"/>
      <c r="ISS3" s="89"/>
      <c r="IST3" s="89"/>
      <c r="ISU3" s="89"/>
      <c r="ISV3" s="89"/>
      <c r="ISW3" s="89"/>
      <c r="ISX3" s="89"/>
      <c r="ISY3" s="89"/>
      <c r="ISZ3" s="89"/>
      <c r="ITA3" s="89"/>
      <c r="ITB3" s="89"/>
      <c r="ITC3" s="89"/>
      <c r="ITD3" s="89"/>
      <c r="ITE3" s="89"/>
      <c r="ITF3" s="89"/>
      <c r="ITG3" s="89"/>
      <c r="ITH3" s="89"/>
      <c r="ITI3" s="89"/>
      <c r="ITJ3" s="89"/>
      <c r="ITK3" s="89"/>
      <c r="ITL3" s="89"/>
      <c r="ITM3" s="89"/>
      <c r="ITN3" s="89"/>
      <c r="ITO3" s="89"/>
      <c r="ITP3" s="89"/>
      <c r="ITQ3" s="89"/>
      <c r="ITR3" s="89"/>
      <c r="ITS3" s="89"/>
      <c r="ITT3" s="89"/>
      <c r="ITU3" s="89"/>
      <c r="ITV3" s="89"/>
      <c r="ITW3" s="89"/>
      <c r="ITX3" s="89"/>
      <c r="ITY3" s="89"/>
      <c r="ITZ3" s="89"/>
      <c r="IUA3" s="89"/>
      <c r="IUB3" s="89"/>
      <c r="IUC3" s="89"/>
      <c r="IUD3" s="89"/>
      <c r="IUE3" s="89"/>
      <c r="IUF3" s="89"/>
      <c r="IUG3" s="89"/>
      <c r="IUH3" s="89"/>
      <c r="IUI3" s="89"/>
      <c r="IUJ3" s="89"/>
      <c r="IUK3" s="89"/>
      <c r="IUL3" s="89"/>
      <c r="IUM3" s="89"/>
      <c r="IUN3" s="89"/>
      <c r="IUO3" s="89"/>
      <c r="IUP3" s="89"/>
      <c r="IUQ3" s="89"/>
      <c r="IUR3" s="89"/>
      <c r="IUS3" s="89"/>
      <c r="IUT3" s="89"/>
      <c r="IUU3" s="89"/>
      <c r="IUV3" s="89"/>
      <c r="IUW3" s="89"/>
      <c r="IUX3" s="89"/>
      <c r="IUY3" s="89"/>
      <c r="IUZ3" s="89"/>
      <c r="IVA3" s="89"/>
      <c r="IVB3" s="89"/>
      <c r="IVC3" s="89"/>
      <c r="IVD3" s="89"/>
      <c r="IVE3" s="89"/>
      <c r="IVF3" s="89"/>
      <c r="IVG3" s="89"/>
      <c r="IVH3" s="89"/>
      <c r="IVI3" s="89"/>
      <c r="IVJ3" s="89"/>
      <c r="IVK3" s="89"/>
      <c r="IVL3" s="89"/>
      <c r="IVM3" s="89"/>
      <c r="IVN3" s="89"/>
      <c r="IVO3" s="89"/>
      <c r="IVP3" s="89"/>
      <c r="IVQ3" s="89"/>
      <c r="IVR3" s="89"/>
      <c r="IVS3" s="89"/>
      <c r="IVT3" s="89"/>
      <c r="IVU3" s="89"/>
      <c r="IVV3" s="89"/>
      <c r="IVW3" s="89"/>
      <c r="IVX3" s="89"/>
      <c r="IVY3" s="89"/>
      <c r="IVZ3" s="89"/>
      <c r="IWA3" s="89"/>
      <c r="IWB3" s="89"/>
      <c r="IWC3" s="89"/>
      <c r="IWD3" s="89"/>
      <c r="IWE3" s="89"/>
      <c r="IWF3" s="89"/>
      <c r="IWG3" s="89"/>
      <c r="IWH3" s="89"/>
      <c r="IWI3" s="89"/>
      <c r="IWJ3" s="89"/>
      <c r="IWK3" s="89"/>
      <c r="IWL3" s="89"/>
      <c r="IWM3" s="89"/>
      <c r="IWN3" s="89"/>
      <c r="IWO3" s="89"/>
      <c r="IWP3" s="89"/>
      <c r="IWQ3" s="89"/>
      <c r="IWR3" s="89"/>
      <c r="IWS3" s="89"/>
      <c r="IWT3" s="89"/>
      <c r="IWU3" s="89"/>
      <c r="IWV3" s="89"/>
      <c r="IWW3" s="89"/>
      <c r="IWX3" s="89"/>
      <c r="IWY3" s="89"/>
      <c r="IWZ3" s="89"/>
      <c r="IXA3" s="89"/>
      <c r="IXB3" s="89"/>
      <c r="IXC3" s="89"/>
      <c r="IXD3" s="89"/>
      <c r="IXE3" s="89"/>
      <c r="IXF3" s="89"/>
      <c r="IXG3" s="89"/>
      <c r="IXH3" s="89"/>
      <c r="IXI3" s="89"/>
      <c r="IXJ3" s="89"/>
      <c r="IXK3" s="89"/>
      <c r="IXL3" s="89"/>
      <c r="IXM3" s="89"/>
      <c r="IXN3" s="89"/>
      <c r="IXO3" s="89"/>
      <c r="IXP3" s="89"/>
      <c r="IXQ3" s="89"/>
      <c r="IXR3" s="89"/>
      <c r="IXS3" s="89"/>
      <c r="IXT3" s="89"/>
      <c r="IXU3" s="89"/>
      <c r="IXV3" s="89"/>
      <c r="IXW3" s="89"/>
      <c r="IXX3" s="89"/>
      <c r="IXY3" s="89"/>
      <c r="IXZ3" s="89"/>
      <c r="IYA3" s="89"/>
      <c r="IYB3" s="89"/>
      <c r="IYC3" s="89"/>
      <c r="IYD3" s="89"/>
      <c r="IYE3" s="89"/>
      <c r="IYF3" s="89"/>
      <c r="IYG3" s="89"/>
      <c r="IYH3" s="89"/>
      <c r="IYI3" s="89"/>
      <c r="IYJ3" s="89"/>
      <c r="IYK3" s="89"/>
      <c r="IYL3" s="89"/>
      <c r="IYM3" s="89"/>
      <c r="IYN3" s="89"/>
      <c r="IYO3" s="89"/>
      <c r="IYP3" s="89"/>
      <c r="IYQ3" s="89"/>
      <c r="IYR3" s="89"/>
      <c r="IYS3" s="89"/>
      <c r="IYT3" s="89"/>
      <c r="IYU3" s="89"/>
      <c r="IYV3" s="89"/>
      <c r="IYW3" s="89"/>
      <c r="IYX3" s="89"/>
      <c r="IYY3" s="89"/>
      <c r="IYZ3" s="89"/>
      <c r="IZA3" s="89"/>
      <c r="IZB3" s="89"/>
      <c r="IZC3" s="89"/>
      <c r="IZD3" s="89"/>
      <c r="IZE3" s="89"/>
      <c r="IZF3" s="89"/>
      <c r="IZG3" s="89"/>
      <c r="IZH3" s="89"/>
      <c r="IZI3" s="89"/>
      <c r="IZJ3" s="89"/>
      <c r="IZK3" s="89"/>
      <c r="IZL3" s="89"/>
      <c r="IZM3" s="89"/>
      <c r="IZN3" s="89"/>
      <c r="IZO3" s="89"/>
      <c r="IZP3" s="89"/>
      <c r="IZQ3" s="89"/>
      <c r="IZR3" s="89"/>
      <c r="IZS3" s="89"/>
      <c r="IZT3" s="89"/>
      <c r="IZU3" s="89"/>
      <c r="IZV3" s="89"/>
      <c r="IZW3" s="89"/>
      <c r="IZX3" s="89"/>
      <c r="IZY3" s="89"/>
      <c r="IZZ3" s="89"/>
      <c r="JAA3" s="89"/>
      <c r="JAB3" s="89"/>
      <c r="JAC3" s="89"/>
      <c r="JAD3" s="89"/>
      <c r="JAE3" s="89"/>
      <c r="JAF3" s="89"/>
      <c r="JAG3" s="89"/>
      <c r="JAH3" s="89"/>
      <c r="JAI3" s="89"/>
      <c r="JAJ3" s="89"/>
      <c r="JAK3" s="89"/>
      <c r="JAL3" s="89"/>
      <c r="JAM3" s="89"/>
      <c r="JAN3" s="89"/>
      <c r="JAO3" s="89"/>
      <c r="JAP3" s="89"/>
      <c r="JAQ3" s="89"/>
      <c r="JAR3" s="89"/>
      <c r="JAS3" s="89"/>
      <c r="JAT3" s="89"/>
      <c r="JAU3" s="89"/>
      <c r="JAV3" s="89"/>
      <c r="JAW3" s="89"/>
      <c r="JAX3" s="89"/>
      <c r="JAY3" s="89"/>
      <c r="JAZ3" s="89"/>
      <c r="JBA3" s="89"/>
      <c r="JBB3" s="89"/>
      <c r="JBC3" s="89"/>
      <c r="JBD3" s="89"/>
      <c r="JBE3" s="89"/>
      <c r="JBF3" s="89"/>
      <c r="JBG3" s="89"/>
      <c r="JBH3" s="89"/>
      <c r="JBI3" s="89"/>
      <c r="JBJ3" s="89"/>
      <c r="JBK3" s="89"/>
      <c r="JBL3" s="89"/>
      <c r="JBM3" s="89"/>
      <c r="JBN3" s="89"/>
      <c r="JBO3" s="89"/>
      <c r="JBP3" s="89"/>
      <c r="JBQ3" s="89"/>
      <c r="JBR3" s="89"/>
      <c r="JBS3" s="89"/>
      <c r="JBT3" s="89"/>
      <c r="JBU3" s="89"/>
      <c r="JBV3" s="89"/>
      <c r="JBW3" s="89"/>
      <c r="JBX3" s="89"/>
      <c r="JBY3" s="89"/>
      <c r="JBZ3" s="89"/>
      <c r="JCA3" s="89"/>
      <c r="JCB3" s="89"/>
      <c r="JCC3" s="89"/>
      <c r="JCD3" s="89"/>
      <c r="JCE3" s="89"/>
      <c r="JCF3" s="89"/>
      <c r="JCG3" s="89"/>
      <c r="JCH3" s="89"/>
      <c r="JCI3" s="89"/>
      <c r="JCJ3" s="89"/>
      <c r="JCK3" s="89"/>
      <c r="JCL3" s="89"/>
      <c r="JCM3" s="89"/>
      <c r="JCN3" s="89"/>
      <c r="JCO3" s="89"/>
      <c r="JCP3" s="89"/>
      <c r="JCQ3" s="89"/>
      <c r="JCR3" s="89"/>
      <c r="JCS3" s="89"/>
      <c r="JCT3" s="89"/>
      <c r="JCU3" s="89"/>
      <c r="JCV3" s="89"/>
      <c r="JCW3" s="89"/>
      <c r="JCX3" s="89"/>
      <c r="JCY3" s="89"/>
      <c r="JCZ3" s="89"/>
      <c r="JDA3" s="89"/>
      <c r="JDB3" s="89"/>
      <c r="JDC3" s="89"/>
      <c r="JDD3" s="89"/>
      <c r="JDE3" s="89"/>
      <c r="JDF3" s="89"/>
      <c r="JDG3" s="89"/>
      <c r="JDH3" s="89"/>
      <c r="JDI3" s="89"/>
      <c r="JDJ3" s="89"/>
      <c r="JDK3" s="89"/>
      <c r="JDL3" s="89"/>
      <c r="JDM3" s="89"/>
      <c r="JDN3" s="89"/>
      <c r="JDO3" s="89"/>
      <c r="JDP3" s="89"/>
      <c r="JDQ3" s="89"/>
      <c r="JDR3" s="89"/>
      <c r="JDS3" s="89"/>
      <c r="JDT3" s="89"/>
      <c r="JDU3" s="89"/>
      <c r="JDV3" s="89"/>
      <c r="JDW3" s="89"/>
      <c r="JDX3" s="89"/>
      <c r="JDY3" s="89"/>
      <c r="JDZ3" s="89"/>
      <c r="JEA3" s="89"/>
      <c r="JEB3" s="89"/>
      <c r="JEC3" s="89"/>
      <c r="JED3" s="89"/>
      <c r="JEE3" s="89"/>
      <c r="JEF3" s="89"/>
      <c r="JEG3" s="89"/>
      <c r="JEH3" s="89"/>
      <c r="JEI3" s="89"/>
      <c r="JEJ3" s="89"/>
      <c r="JEK3" s="89"/>
      <c r="JEL3" s="89"/>
      <c r="JEM3" s="89"/>
      <c r="JEN3" s="89"/>
      <c r="JEO3" s="89"/>
      <c r="JEP3" s="89"/>
      <c r="JEQ3" s="89"/>
      <c r="JER3" s="89"/>
      <c r="JES3" s="89"/>
      <c r="JET3" s="89"/>
      <c r="JEU3" s="89"/>
      <c r="JEV3" s="89"/>
      <c r="JEW3" s="89"/>
      <c r="JEX3" s="89"/>
      <c r="JEY3" s="89"/>
      <c r="JEZ3" s="89"/>
      <c r="JFA3" s="89"/>
      <c r="JFB3" s="89"/>
      <c r="JFC3" s="89"/>
      <c r="JFD3" s="89"/>
      <c r="JFE3" s="89"/>
      <c r="JFF3" s="89"/>
      <c r="JFG3" s="89"/>
      <c r="JFH3" s="89"/>
      <c r="JFI3" s="89"/>
      <c r="JFJ3" s="89"/>
      <c r="JFK3" s="89"/>
      <c r="JFL3" s="89"/>
      <c r="JFM3" s="89"/>
      <c r="JFN3" s="89"/>
      <c r="JFO3" s="89"/>
      <c r="JFP3" s="89"/>
      <c r="JFQ3" s="89"/>
      <c r="JFR3" s="89"/>
      <c r="JFS3" s="89"/>
      <c r="JFT3" s="89"/>
      <c r="JFU3" s="89"/>
      <c r="JFV3" s="89"/>
      <c r="JFW3" s="89"/>
      <c r="JFX3" s="89"/>
      <c r="JFY3" s="89"/>
      <c r="JFZ3" s="89"/>
      <c r="JGA3" s="89"/>
      <c r="JGB3" s="89"/>
      <c r="JGC3" s="89"/>
      <c r="JGD3" s="89"/>
      <c r="JGE3" s="89"/>
      <c r="JGF3" s="89"/>
      <c r="JGG3" s="89"/>
      <c r="JGH3" s="89"/>
      <c r="JGI3" s="89"/>
      <c r="JGJ3" s="89"/>
      <c r="JGK3" s="89"/>
      <c r="JGL3" s="89"/>
      <c r="JGM3" s="89"/>
      <c r="JGN3" s="89"/>
      <c r="JGO3" s="89"/>
      <c r="JGP3" s="89"/>
      <c r="JGQ3" s="89"/>
      <c r="JGR3" s="89"/>
      <c r="JGS3" s="89"/>
      <c r="JGT3" s="89"/>
      <c r="JGU3" s="89"/>
      <c r="JGV3" s="89"/>
      <c r="JGW3" s="89"/>
      <c r="JGX3" s="89"/>
      <c r="JGY3" s="89"/>
      <c r="JGZ3" s="89"/>
      <c r="JHA3" s="89"/>
      <c r="JHB3" s="89"/>
      <c r="JHC3" s="89"/>
      <c r="JHD3" s="89"/>
      <c r="JHE3" s="89"/>
      <c r="JHF3" s="89"/>
      <c r="JHG3" s="89"/>
      <c r="JHH3" s="89"/>
      <c r="JHI3" s="89"/>
      <c r="JHJ3" s="89"/>
      <c r="JHK3" s="89"/>
      <c r="JHL3" s="89"/>
      <c r="JHM3" s="89"/>
      <c r="JHN3" s="89"/>
      <c r="JHO3" s="89"/>
      <c r="JHP3" s="89"/>
      <c r="JHQ3" s="89"/>
      <c r="JHR3" s="89"/>
      <c r="JHS3" s="89"/>
      <c r="JHT3" s="89"/>
      <c r="JHU3" s="89"/>
      <c r="JHV3" s="89"/>
      <c r="JHW3" s="89"/>
      <c r="JHX3" s="89"/>
      <c r="JHY3" s="89"/>
      <c r="JHZ3" s="89"/>
      <c r="JIA3" s="89"/>
      <c r="JIB3" s="89"/>
      <c r="JIC3" s="89"/>
      <c r="JID3" s="89"/>
      <c r="JIE3" s="89"/>
      <c r="JIF3" s="89"/>
      <c r="JIG3" s="89"/>
      <c r="JIH3" s="89"/>
      <c r="JII3" s="89"/>
      <c r="JIJ3" s="89"/>
      <c r="JIK3" s="89"/>
      <c r="JIL3" s="89"/>
      <c r="JIM3" s="89"/>
      <c r="JIN3" s="89"/>
      <c r="JIO3" s="89"/>
      <c r="JIP3" s="89"/>
      <c r="JIQ3" s="89"/>
      <c r="JIR3" s="89"/>
      <c r="JIS3" s="89"/>
      <c r="JIT3" s="89"/>
      <c r="JIU3" s="89"/>
      <c r="JIV3" s="89"/>
      <c r="JIW3" s="89"/>
      <c r="JIX3" s="89"/>
      <c r="JIY3" s="89"/>
      <c r="JIZ3" s="89"/>
      <c r="JJA3" s="89"/>
      <c r="JJB3" s="89"/>
      <c r="JJC3" s="89"/>
      <c r="JJD3" s="89"/>
      <c r="JJE3" s="89"/>
      <c r="JJF3" s="89"/>
      <c r="JJG3" s="89"/>
      <c r="JJH3" s="89"/>
      <c r="JJI3" s="89"/>
      <c r="JJJ3" s="89"/>
      <c r="JJK3" s="89"/>
      <c r="JJL3" s="89"/>
      <c r="JJM3" s="89"/>
      <c r="JJN3" s="89"/>
      <c r="JJO3" s="89"/>
      <c r="JJP3" s="89"/>
      <c r="JJQ3" s="89"/>
      <c r="JJR3" s="89"/>
      <c r="JJS3" s="89"/>
      <c r="JJT3" s="89"/>
      <c r="JJU3" s="89"/>
      <c r="JJV3" s="89"/>
      <c r="JJW3" s="89"/>
      <c r="JJX3" s="89"/>
      <c r="JJY3" s="89"/>
      <c r="JJZ3" s="89"/>
      <c r="JKA3" s="89"/>
      <c r="JKB3" s="89"/>
      <c r="JKC3" s="89"/>
      <c r="JKD3" s="89"/>
      <c r="JKE3" s="89"/>
      <c r="JKF3" s="89"/>
      <c r="JKG3" s="89"/>
      <c r="JKH3" s="89"/>
      <c r="JKI3" s="89"/>
      <c r="JKJ3" s="89"/>
      <c r="JKK3" s="89"/>
      <c r="JKL3" s="89"/>
      <c r="JKM3" s="89"/>
      <c r="JKN3" s="89"/>
      <c r="JKO3" s="89"/>
      <c r="JKP3" s="89"/>
      <c r="JKQ3" s="89"/>
      <c r="JKR3" s="89"/>
      <c r="JKS3" s="89"/>
      <c r="JKT3" s="89"/>
      <c r="JKU3" s="89"/>
      <c r="JKV3" s="89"/>
      <c r="JKW3" s="89"/>
      <c r="JKX3" s="89"/>
      <c r="JKY3" s="89"/>
      <c r="JKZ3" s="89"/>
      <c r="JLA3" s="89"/>
      <c r="JLB3" s="89"/>
      <c r="JLC3" s="89"/>
      <c r="JLD3" s="89"/>
      <c r="JLE3" s="89"/>
      <c r="JLF3" s="89"/>
      <c r="JLG3" s="89"/>
      <c r="JLH3" s="89"/>
      <c r="JLI3" s="89"/>
      <c r="JLJ3" s="89"/>
      <c r="JLK3" s="89"/>
      <c r="JLL3" s="89"/>
      <c r="JLM3" s="89"/>
      <c r="JLN3" s="89"/>
      <c r="JLO3" s="89"/>
      <c r="JLP3" s="89"/>
      <c r="JLQ3" s="89"/>
      <c r="JLR3" s="89"/>
      <c r="JLS3" s="89"/>
      <c r="JLT3" s="89"/>
      <c r="JLU3" s="89"/>
      <c r="JLV3" s="89"/>
      <c r="JLW3" s="89"/>
      <c r="JLX3" s="89"/>
      <c r="JLY3" s="89"/>
      <c r="JLZ3" s="89"/>
      <c r="JMA3" s="89"/>
      <c r="JMB3" s="89"/>
      <c r="JMC3" s="89"/>
      <c r="JMD3" s="89"/>
      <c r="JME3" s="89"/>
      <c r="JMF3" s="89"/>
      <c r="JMG3" s="89"/>
      <c r="JMH3" s="89"/>
      <c r="JMI3" s="89"/>
      <c r="JMJ3" s="89"/>
      <c r="JMK3" s="89"/>
      <c r="JML3" s="89"/>
      <c r="JMM3" s="89"/>
      <c r="JMN3" s="89"/>
      <c r="JMO3" s="89"/>
      <c r="JMP3" s="89"/>
      <c r="JMQ3" s="89"/>
      <c r="JMR3" s="89"/>
      <c r="JMS3" s="89"/>
      <c r="JMT3" s="89"/>
      <c r="JMU3" s="89"/>
      <c r="JMV3" s="89"/>
      <c r="JMW3" s="89"/>
      <c r="JMX3" s="89"/>
      <c r="JMY3" s="89"/>
      <c r="JMZ3" s="89"/>
      <c r="JNA3" s="89"/>
      <c r="JNB3" s="89"/>
      <c r="JNC3" s="89"/>
      <c r="JND3" s="89"/>
      <c r="JNE3" s="89"/>
      <c r="JNF3" s="89"/>
      <c r="JNG3" s="89"/>
      <c r="JNH3" s="89"/>
      <c r="JNI3" s="89"/>
      <c r="JNJ3" s="89"/>
      <c r="JNK3" s="89"/>
      <c r="JNL3" s="89"/>
      <c r="JNM3" s="89"/>
      <c r="JNN3" s="89"/>
      <c r="JNO3" s="89"/>
      <c r="JNP3" s="89"/>
      <c r="JNQ3" s="89"/>
      <c r="JNR3" s="89"/>
      <c r="JNS3" s="89"/>
      <c r="JNT3" s="89"/>
      <c r="JNU3" s="89"/>
      <c r="JNV3" s="89"/>
      <c r="JNW3" s="89"/>
      <c r="JNX3" s="89"/>
      <c r="JNY3" s="89"/>
      <c r="JNZ3" s="89"/>
      <c r="JOA3" s="89"/>
      <c r="JOB3" s="89"/>
      <c r="JOC3" s="89"/>
      <c r="JOD3" s="89"/>
      <c r="JOE3" s="89"/>
      <c r="JOF3" s="89"/>
      <c r="JOG3" s="89"/>
      <c r="JOH3" s="89"/>
      <c r="JOI3" s="89"/>
      <c r="JOJ3" s="89"/>
      <c r="JOK3" s="89"/>
      <c r="JOL3" s="89"/>
      <c r="JOM3" s="89"/>
      <c r="JON3" s="89"/>
      <c r="JOO3" s="89"/>
      <c r="JOP3" s="89"/>
      <c r="JOQ3" s="89"/>
      <c r="JOR3" s="89"/>
      <c r="JOS3" s="89"/>
      <c r="JOT3" s="89"/>
      <c r="JOU3" s="89"/>
      <c r="JOV3" s="89"/>
      <c r="JOW3" s="89"/>
      <c r="JOX3" s="89"/>
      <c r="JOY3" s="89"/>
      <c r="JOZ3" s="89"/>
      <c r="JPA3" s="89"/>
      <c r="JPB3" s="89"/>
      <c r="JPC3" s="89"/>
      <c r="JPD3" s="89"/>
      <c r="JPE3" s="89"/>
      <c r="JPF3" s="89"/>
      <c r="JPG3" s="89"/>
      <c r="JPH3" s="89"/>
      <c r="JPI3" s="89"/>
      <c r="JPJ3" s="89"/>
      <c r="JPK3" s="89"/>
      <c r="JPL3" s="89"/>
      <c r="JPM3" s="89"/>
      <c r="JPN3" s="89"/>
      <c r="JPO3" s="89"/>
      <c r="JPP3" s="89"/>
      <c r="JPQ3" s="89"/>
      <c r="JPR3" s="89"/>
      <c r="JPS3" s="89"/>
      <c r="JPT3" s="89"/>
      <c r="JPU3" s="89"/>
      <c r="JPV3" s="89"/>
      <c r="JPW3" s="89"/>
      <c r="JPX3" s="89"/>
      <c r="JPY3" s="89"/>
      <c r="JPZ3" s="89"/>
      <c r="JQA3" s="89"/>
      <c r="JQB3" s="89"/>
      <c r="JQC3" s="89"/>
      <c r="JQD3" s="89"/>
      <c r="JQE3" s="89"/>
      <c r="JQF3" s="89"/>
      <c r="JQG3" s="89"/>
      <c r="JQH3" s="89"/>
      <c r="JQI3" s="89"/>
      <c r="JQJ3" s="89"/>
      <c r="JQK3" s="89"/>
      <c r="JQL3" s="89"/>
      <c r="JQM3" s="89"/>
      <c r="JQN3" s="89"/>
      <c r="JQO3" s="89"/>
      <c r="JQP3" s="89"/>
      <c r="JQQ3" s="89"/>
      <c r="JQR3" s="89"/>
      <c r="JQS3" s="89"/>
      <c r="JQT3" s="89"/>
      <c r="JQU3" s="89"/>
      <c r="JQV3" s="89"/>
      <c r="JQW3" s="89"/>
      <c r="JQX3" s="89"/>
      <c r="JQY3" s="89"/>
      <c r="JQZ3" s="89"/>
      <c r="JRA3" s="89"/>
      <c r="JRB3" s="89"/>
      <c r="JRC3" s="89"/>
      <c r="JRD3" s="89"/>
      <c r="JRE3" s="89"/>
      <c r="JRF3" s="89"/>
      <c r="JRG3" s="89"/>
      <c r="JRH3" s="89"/>
      <c r="JRI3" s="89"/>
      <c r="JRJ3" s="89"/>
      <c r="JRK3" s="89"/>
      <c r="JRL3" s="89"/>
      <c r="JRM3" s="89"/>
      <c r="JRN3" s="89"/>
      <c r="JRO3" s="89"/>
      <c r="JRP3" s="89"/>
      <c r="JRQ3" s="89"/>
      <c r="JRR3" s="89"/>
      <c r="JRS3" s="89"/>
      <c r="JRT3" s="89"/>
      <c r="JRU3" s="89"/>
      <c r="JRV3" s="89"/>
      <c r="JRW3" s="89"/>
      <c r="JRX3" s="89"/>
      <c r="JRY3" s="89"/>
      <c r="JRZ3" s="89"/>
      <c r="JSA3" s="89"/>
      <c r="JSB3" s="89"/>
      <c r="JSC3" s="89"/>
      <c r="JSD3" s="89"/>
      <c r="JSE3" s="89"/>
      <c r="JSF3" s="89"/>
      <c r="JSG3" s="89"/>
      <c r="JSH3" s="89"/>
      <c r="JSI3" s="89"/>
      <c r="JSJ3" s="89"/>
      <c r="JSK3" s="89"/>
      <c r="JSL3" s="89"/>
      <c r="JSM3" s="89"/>
      <c r="JSN3" s="89"/>
      <c r="JSO3" s="89"/>
      <c r="JSP3" s="89"/>
      <c r="JSQ3" s="89"/>
      <c r="JSR3" s="89"/>
      <c r="JSS3" s="89"/>
      <c r="JST3" s="89"/>
      <c r="JSU3" s="89"/>
      <c r="JSV3" s="89"/>
      <c r="JSW3" s="89"/>
      <c r="JSX3" s="89"/>
      <c r="JSY3" s="89"/>
      <c r="JSZ3" s="89"/>
      <c r="JTA3" s="89"/>
      <c r="JTB3" s="89"/>
      <c r="JTC3" s="89"/>
      <c r="JTD3" s="89"/>
      <c r="JTE3" s="89"/>
      <c r="JTF3" s="89"/>
      <c r="JTG3" s="89"/>
      <c r="JTH3" s="89"/>
      <c r="JTI3" s="89"/>
      <c r="JTJ3" s="89"/>
      <c r="JTK3" s="89"/>
      <c r="JTL3" s="89"/>
      <c r="JTM3" s="89"/>
      <c r="JTN3" s="89"/>
      <c r="JTO3" s="89"/>
      <c r="JTP3" s="89"/>
      <c r="JTQ3" s="89"/>
      <c r="JTR3" s="89"/>
      <c r="JTS3" s="89"/>
      <c r="JTT3" s="89"/>
      <c r="JTU3" s="89"/>
      <c r="JTV3" s="89"/>
      <c r="JTW3" s="89"/>
      <c r="JTX3" s="89"/>
      <c r="JTY3" s="89"/>
      <c r="JTZ3" s="89"/>
      <c r="JUA3" s="89"/>
      <c r="JUB3" s="89"/>
      <c r="JUC3" s="89"/>
      <c r="JUD3" s="89"/>
      <c r="JUE3" s="89"/>
      <c r="JUF3" s="89"/>
      <c r="JUG3" s="89"/>
      <c r="JUH3" s="89"/>
      <c r="JUI3" s="89"/>
      <c r="JUJ3" s="89"/>
      <c r="JUK3" s="89"/>
      <c r="JUL3" s="89"/>
      <c r="JUM3" s="89"/>
      <c r="JUN3" s="89"/>
      <c r="JUO3" s="89"/>
      <c r="JUP3" s="89"/>
      <c r="JUQ3" s="89"/>
      <c r="JUR3" s="89"/>
      <c r="JUS3" s="89"/>
      <c r="JUT3" s="89"/>
      <c r="JUU3" s="89"/>
      <c r="JUV3" s="89"/>
      <c r="JUW3" s="89"/>
      <c r="JUX3" s="89"/>
      <c r="JUY3" s="89"/>
      <c r="JUZ3" s="89"/>
      <c r="JVA3" s="89"/>
      <c r="JVB3" s="89"/>
      <c r="JVC3" s="89"/>
      <c r="JVD3" s="89"/>
      <c r="JVE3" s="89"/>
      <c r="JVF3" s="89"/>
      <c r="JVG3" s="89"/>
      <c r="JVH3" s="89"/>
      <c r="JVI3" s="89"/>
      <c r="JVJ3" s="89"/>
      <c r="JVK3" s="89"/>
      <c r="JVL3" s="89"/>
      <c r="JVM3" s="89"/>
      <c r="JVN3" s="89"/>
      <c r="JVO3" s="89"/>
      <c r="JVP3" s="89"/>
      <c r="JVQ3" s="89"/>
      <c r="JVR3" s="89"/>
      <c r="JVS3" s="89"/>
      <c r="JVT3" s="89"/>
      <c r="JVU3" s="89"/>
      <c r="JVV3" s="89"/>
      <c r="JVW3" s="89"/>
      <c r="JVX3" s="89"/>
      <c r="JVY3" s="89"/>
      <c r="JVZ3" s="89"/>
      <c r="JWA3" s="89"/>
      <c r="JWB3" s="89"/>
      <c r="JWC3" s="89"/>
      <c r="JWD3" s="89"/>
      <c r="JWE3" s="89"/>
      <c r="JWF3" s="89"/>
      <c r="JWG3" s="89"/>
      <c r="JWH3" s="89"/>
      <c r="JWI3" s="89"/>
      <c r="JWJ3" s="89"/>
      <c r="JWK3" s="89"/>
      <c r="JWL3" s="89"/>
      <c r="JWM3" s="89"/>
      <c r="JWN3" s="89"/>
      <c r="JWO3" s="89"/>
      <c r="JWP3" s="89"/>
      <c r="JWQ3" s="89"/>
      <c r="JWR3" s="89"/>
      <c r="JWS3" s="89"/>
      <c r="JWT3" s="89"/>
      <c r="JWU3" s="89"/>
      <c r="JWV3" s="89"/>
      <c r="JWW3" s="89"/>
      <c r="JWX3" s="89"/>
      <c r="JWY3" s="89"/>
      <c r="JWZ3" s="89"/>
      <c r="JXA3" s="89"/>
      <c r="JXB3" s="89"/>
      <c r="JXC3" s="89"/>
      <c r="JXD3" s="89"/>
      <c r="JXE3" s="89"/>
      <c r="JXF3" s="89"/>
      <c r="JXG3" s="89"/>
      <c r="JXH3" s="89"/>
      <c r="JXI3" s="89"/>
      <c r="JXJ3" s="89"/>
      <c r="JXK3" s="89"/>
      <c r="JXL3" s="89"/>
      <c r="JXM3" s="89"/>
      <c r="JXN3" s="89"/>
      <c r="JXO3" s="89"/>
      <c r="JXP3" s="89"/>
      <c r="JXQ3" s="89"/>
      <c r="JXR3" s="89"/>
      <c r="JXS3" s="89"/>
      <c r="JXT3" s="89"/>
      <c r="JXU3" s="89"/>
      <c r="JXV3" s="89"/>
      <c r="JXW3" s="89"/>
      <c r="JXX3" s="89"/>
      <c r="JXY3" s="89"/>
      <c r="JXZ3" s="89"/>
      <c r="JYA3" s="89"/>
      <c r="JYB3" s="89"/>
      <c r="JYC3" s="89"/>
      <c r="JYD3" s="89"/>
      <c r="JYE3" s="89"/>
      <c r="JYF3" s="89"/>
      <c r="JYG3" s="89"/>
      <c r="JYH3" s="89"/>
      <c r="JYI3" s="89"/>
      <c r="JYJ3" s="89"/>
      <c r="JYK3" s="89"/>
      <c r="JYL3" s="89"/>
      <c r="JYM3" s="89"/>
      <c r="JYN3" s="89"/>
      <c r="JYO3" s="89"/>
      <c r="JYP3" s="89"/>
      <c r="JYQ3" s="89"/>
      <c r="JYR3" s="89"/>
      <c r="JYS3" s="89"/>
      <c r="JYT3" s="89"/>
      <c r="JYU3" s="89"/>
      <c r="JYV3" s="89"/>
      <c r="JYW3" s="89"/>
      <c r="JYX3" s="89"/>
      <c r="JYY3" s="89"/>
      <c r="JYZ3" s="89"/>
      <c r="JZA3" s="89"/>
      <c r="JZB3" s="89"/>
      <c r="JZC3" s="89"/>
      <c r="JZD3" s="89"/>
      <c r="JZE3" s="89"/>
      <c r="JZF3" s="89"/>
      <c r="JZG3" s="89"/>
      <c r="JZH3" s="89"/>
      <c r="JZI3" s="89"/>
      <c r="JZJ3" s="89"/>
      <c r="JZK3" s="89"/>
      <c r="JZL3" s="89"/>
      <c r="JZM3" s="89"/>
      <c r="JZN3" s="89"/>
      <c r="JZO3" s="89"/>
      <c r="JZP3" s="89"/>
      <c r="JZQ3" s="89"/>
      <c r="JZR3" s="89"/>
      <c r="JZS3" s="89"/>
      <c r="JZT3" s="89"/>
      <c r="JZU3" s="89"/>
      <c r="JZV3" s="89"/>
      <c r="JZW3" s="89"/>
      <c r="JZX3" s="89"/>
      <c r="JZY3" s="89"/>
      <c r="JZZ3" s="89"/>
      <c r="KAA3" s="89"/>
      <c r="KAB3" s="89"/>
      <c r="KAC3" s="89"/>
      <c r="KAD3" s="89"/>
      <c r="KAE3" s="89"/>
      <c r="KAF3" s="89"/>
      <c r="KAG3" s="89"/>
      <c r="KAH3" s="89"/>
      <c r="KAI3" s="89"/>
      <c r="KAJ3" s="89"/>
      <c r="KAK3" s="89"/>
      <c r="KAL3" s="89"/>
      <c r="KAM3" s="89"/>
      <c r="KAN3" s="89"/>
      <c r="KAO3" s="89"/>
      <c r="KAP3" s="89"/>
      <c r="KAQ3" s="89"/>
      <c r="KAR3" s="89"/>
      <c r="KAS3" s="89"/>
      <c r="KAT3" s="89"/>
      <c r="KAU3" s="89"/>
      <c r="KAV3" s="89"/>
      <c r="KAW3" s="89"/>
      <c r="KAX3" s="89"/>
      <c r="KAY3" s="89"/>
      <c r="KAZ3" s="89"/>
      <c r="KBA3" s="89"/>
      <c r="KBB3" s="89"/>
      <c r="KBC3" s="89"/>
      <c r="KBD3" s="89"/>
      <c r="KBE3" s="89"/>
      <c r="KBF3" s="89"/>
      <c r="KBG3" s="89"/>
      <c r="KBH3" s="89"/>
      <c r="KBI3" s="89"/>
      <c r="KBJ3" s="89"/>
      <c r="KBK3" s="89"/>
      <c r="KBL3" s="89"/>
      <c r="KBM3" s="89"/>
      <c r="KBN3" s="89"/>
      <c r="KBO3" s="89"/>
      <c r="KBP3" s="89"/>
      <c r="KBQ3" s="89"/>
      <c r="KBR3" s="89"/>
      <c r="KBS3" s="89"/>
      <c r="KBT3" s="89"/>
      <c r="KBU3" s="89"/>
      <c r="KBV3" s="89"/>
      <c r="KBW3" s="89"/>
      <c r="KBX3" s="89"/>
      <c r="KBY3" s="89"/>
      <c r="KBZ3" s="89"/>
      <c r="KCA3" s="89"/>
      <c r="KCB3" s="89"/>
      <c r="KCC3" s="89"/>
      <c r="KCD3" s="89"/>
      <c r="KCE3" s="89"/>
      <c r="KCF3" s="89"/>
      <c r="KCG3" s="89"/>
      <c r="KCH3" s="89"/>
      <c r="KCI3" s="89"/>
      <c r="KCJ3" s="89"/>
      <c r="KCK3" s="89"/>
      <c r="KCL3" s="89"/>
      <c r="KCM3" s="89"/>
      <c r="KCN3" s="89"/>
      <c r="KCO3" s="89"/>
      <c r="KCP3" s="89"/>
      <c r="KCQ3" s="89"/>
      <c r="KCR3" s="89"/>
      <c r="KCS3" s="89"/>
      <c r="KCT3" s="89"/>
      <c r="KCU3" s="89"/>
      <c r="KCV3" s="89"/>
      <c r="KCW3" s="89"/>
      <c r="KCX3" s="89"/>
      <c r="KCY3" s="89"/>
      <c r="KCZ3" s="89"/>
      <c r="KDA3" s="89"/>
      <c r="KDB3" s="89"/>
      <c r="KDC3" s="89"/>
      <c r="KDD3" s="89"/>
      <c r="KDE3" s="89"/>
      <c r="KDF3" s="89"/>
      <c r="KDG3" s="89"/>
      <c r="KDH3" s="89"/>
      <c r="KDI3" s="89"/>
      <c r="KDJ3" s="89"/>
      <c r="KDK3" s="89"/>
      <c r="KDL3" s="89"/>
      <c r="KDM3" s="89"/>
      <c r="KDN3" s="89"/>
      <c r="KDO3" s="89"/>
      <c r="KDP3" s="89"/>
      <c r="KDQ3" s="89"/>
      <c r="KDR3" s="89"/>
      <c r="KDS3" s="89"/>
      <c r="KDT3" s="89"/>
      <c r="KDU3" s="89"/>
      <c r="KDV3" s="89"/>
      <c r="KDW3" s="89"/>
      <c r="KDX3" s="89"/>
      <c r="KDY3" s="89"/>
      <c r="KDZ3" s="89"/>
      <c r="KEA3" s="89"/>
      <c r="KEB3" s="89"/>
      <c r="KEC3" s="89"/>
      <c r="KED3" s="89"/>
      <c r="KEE3" s="89"/>
      <c r="KEF3" s="89"/>
      <c r="KEG3" s="89"/>
      <c r="KEH3" s="89"/>
      <c r="KEI3" s="89"/>
      <c r="KEJ3" s="89"/>
      <c r="KEK3" s="89"/>
      <c r="KEL3" s="89"/>
      <c r="KEM3" s="89"/>
      <c r="KEN3" s="89"/>
      <c r="KEO3" s="89"/>
      <c r="KEP3" s="89"/>
      <c r="KEQ3" s="89"/>
      <c r="KER3" s="89"/>
      <c r="KES3" s="89"/>
      <c r="KET3" s="89"/>
      <c r="KEU3" s="89"/>
      <c r="KEV3" s="89"/>
      <c r="KEW3" s="89"/>
      <c r="KEX3" s="89"/>
      <c r="KEY3" s="89"/>
      <c r="KEZ3" s="89"/>
      <c r="KFA3" s="89"/>
      <c r="KFB3" s="89"/>
      <c r="KFC3" s="89"/>
      <c r="KFD3" s="89"/>
      <c r="KFE3" s="89"/>
      <c r="KFF3" s="89"/>
      <c r="KFG3" s="89"/>
      <c r="KFH3" s="89"/>
      <c r="KFI3" s="89"/>
      <c r="KFJ3" s="89"/>
      <c r="KFK3" s="89"/>
      <c r="KFL3" s="89"/>
      <c r="KFM3" s="89"/>
      <c r="KFN3" s="89"/>
      <c r="KFO3" s="89"/>
      <c r="KFP3" s="89"/>
      <c r="KFQ3" s="89"/>
      <c r="KFR3" s="89"/>
      <c r="KFS3" s="89"/>
      <c r="KFT3" s="89"/>
      <c r="KFU3" s="89"/>
      <c r="KFV3" s="89"/>
      <c r="KFW3" s="89"/>
      <c r="KFX3" s="89"/>
      <c r="KFY3" s="89"/>
      <c r="KFZ3" s="89"/>
      <c r="KGA3" s="89"/>
      <c r="KGB3" s="89"/>
      <c r="KGC3" s="89"/>
      <c r="KGD3" s="89"/>
      <c r="KGE3" s="89"/>
      <c r="KGF3" s="89"/>
      <c r="KGG3" s="89"/>
      <c r="KGH3" s="89"/>
      <c r="KGI3" s="89"/>
      <c r="KGJ3" s="89"/>
      <c r="KGK3" s="89"/>
      <c r="KGL3" s="89"/>
      <c r="KGM3" s="89"/>
      <c r="KGN3" s="89"/>
      <c r="KGO3" s="89"/>
      <c r="KGP3" s="89"/>
      <c r="KGQ3" s="89"/>
      <c r="KGR3" s="89"/>
      <c r="KGS3" s="89"/>
      <c r="KGT3" s="89"/>
      <c r="KGU3" s="89"/>
      <c r="KGV3" s="89"/>
      <c r="KGW3" s="89"/>
      <c r="KGX3" s="89"/>
      <c r="KGY3" s="89"/>
      <c r="KGZ3" s="89"/>
      <c r="KHA3" s="89"/>
      <c r="KHB3" s="89"/>
      <c r="KHC3" s="89"/>
      <c r="KHD3" s="89"/>
      <c r="KHE3" s="89"/>
      <c r="KHF3" s="89"/>
      <c r="KHG3" s="89"/>
      <c r="KHH3" s="89"/>
      <c r="KHI3" s="89"/>
      <c r="KHJ3" s="89"/>
      <c r="KHK3" s="89"/>
      <c r="KHL3" s="89"/>
      <c r="KHM3" s="89"/>
      <c r="KHN3" s="89"/>
      <c r="KHO3" s="89"/>
      <c r="KHP3" s="89"/>
      <c r="KHQ3" s="89"/>
      <c r="KHR3" s="89"/>
      <c r="KHS3" s="89"/>
      <c r="KHT3" s="89"/>
      <c r="KHU3" s="89"/>
      <c r="KHV3" s="89"/>
      <c r="KHW3" s="89"/>
      <c r="KHX3" s="89"/>
      <c r="KHY3" s="89"/>
      <c r="KHZ3" s="89"/>
      <c r="KIA3" s="89"/>
      <c r="KIB3" s="89"/>
      <c r="KIC3" s="89"/>
      <c r="KID3" s="89"/>
      <c r="KIE3" s="89"/>
      <c r="KIF3" s="89"/>
      <c r="KIG3" s="89"/>
      <c r="KIH3" s="89"/>
      <c r="KII3" s="89"/>
      <c r="KIJ3" s="89"/>
      <c r="KIK3" s="89"/>
      <c r="KIL3" s="89"/>
      <c r="KIM3" s="89"/>
      <c r="KIN3" s="89"/>
      <c r="KIO3" s="89"/>
      <c r="KIP3" s="89"/>
      <c r="KIQ3" s="89"/>
      <c r="KIR3" s="89"/>
      <c r="KIS3" s="89"/>
      <c r="KIT3" s="89"/>
      <c r="KIU3" s="89"/>
      <c r="KIV3" s="89"/>
      <c r="KIW3" s="89"/>
      <c r="KIX3" s="89"/>
      <c r="KIY3" s="89"/>
      <c r="KIZ3" s="89"/>
      <c r="KJA3" s="89"/>
      <c r="KJB3" s="89"/>
      <c r="KJC3" s="89"/>
      <c r="KJD3" s="89"/>
      <c r="KJE3" s="89"/>
      <c r="KJF3" s="89"/>
      <c r="KJG3" s="89"/>
      <c r="KJH3" s="89"/>
      <c r="KJI3" s="89"/>
      <c r="KJJ3" s="89"/>
      <c r="KJK3" s="89"/>
      <c r="KJL3" s="89"/>
      <c r="KJM3" s="89"/>
      <c r="KJN3" s="89"/>
      <c r="KJO3" s="89"/>
      <c r="KJP3" s="89"/>
      <c r="KJQ3" s="89"/>
      <c r="KJR3" s="89"/>
      <c r="KJS3" s="89"/>
      <c r="KJT3" s="89"/>
      <c r="KJU3" s="89"/>
      <c r="KJV3" s="89"/>
      <c r="KJW3" s="89"/>
      <c r="KJX3" s="89"/>
      <c r="KJY3" s="89"/>
      <c r="KJZ3" s="89"/>
      <c r="KKA3" s="89"/>
      <c r="KKB3" s="89"/>
      <c r="KKC3" s="89"/>
      <c r="KKD3" s="89"/>
      <c r="KKE3" s="89"/>
      <c r="KKF3" s="89"/>
      <c r="KKG3" s="89"/>
      <c r="KKH3" s="89"/>
      <c r="KKI3" s="89"/>
      <c r="KKJ3" s="89"/>
      <c r="KKK3" s="89"/>
      <c r="KKL3" s="89"/>
      <c r="KKM3" s="89"/>
      <c r="KKN3" s="89"/>
      <c r="KKO3" s="89"/>
      <c r="KKP3" s="89"/>
      <c r="KKQ3" s="89"/>
      <c r="KKR3" s="89"/>
      <c r="KKS3" s="89"/>
      <c r="KKT3" s="89"/>
      <c r="KKU3" s="89"/>
      <c r="KKV3" s="89"/>
      <c r="KKW3" s="89"/>
      <c r="KKX3" s="89"/>
      <c r="KKY3" s="89"/>
      <c r="KKZ3" s="89"/>
      <c r="KLA3" s="89"/>
      <c r="KLB3" s="89"/>
      <c r="KLC3" s="89"/>
      <c r="KLD3" s="89"/>
      <c r="KLE3" s="89"/>
      <c r="KLF3" s="89"/>
      <c r="KLG3" s="89"/>
      <c r="KLH3" s="89"/>
      <c r="KLI3" s="89"/>
      <c r="KLJ3" s="89"/>
      <c r="KLK3" s="89"/>
      <c r="KLL3" s="89"/>
      <c r="KLM3" s="89"/>
      <c r="KLN3" s="89"/>
      <c r="KLO3" s="89"/>
      <c r="KLP3" s="89"/>
      <c r="KLQ3" s="89"/>
      <c r="KLR3" s="89"/>
      <c r="KLS3" s="89"/>
      <c r="KLT3" s="89"/>
      <c r="KLU3" s="89"/>
      <c r="KLV3" s="89"/>
      <c r="KLW3" s="89"/>
      <c r="KLX3" s="89"/>
      <c r="KLY3" s="89"/>
      <c r="KLZ3" s="89"/>
      <c r="KMA3" s="89"/>
      <c r="KMB3" s="89"/>
      <c r="KMC3" s="89"/>
      <c r="KMD3" s="89"/>
      <c r="KME3" s="89"/>
      <c r="KMF3" s="89"/>
      <c r="KMG3" s="89"/>
      <c r="KMH3" s="89"/>
      <c r="KMI3" s="89"/>
      <c r="KMJ3" s="89"/>
      <c r="KMK3" s="89"/>
      <c r="KML3" s="89"/>
      <c r="KMM3" s="89"/>
      <c r="KMN3" s="89"/>
      <c r="KMO3" s="89"/>
      <c r="KMP3" s="89"/>
      <c r="KMQ3" s="89"/>
      <c r="KMR3" s="89"/>
      <c r="KMS3" s="89"/>
      <c r="KMT3" s="89"/>
      <c r="KMU3" s="89"/>
      <c r="KMV3" s="89"/>
      <c r="KMW3" s="89"/>
      <c r="KMX3" s="89"/>
      <c r="KMY3" s="89"/>
      <c r="KMZ3" s="89"/>
      <c r="KNA3" s="89"/>
      <c r="KNB3" s="89"/>
      <c r="KNC3" s="89"/>
      <c r="KND3" s="89"/>
      <c r="KNE3" s="89"/>
      <c r="KNF3" s="89"/>
      <c r="KNG3" s="89"/>
      <c r="KNH3" s="89"/>
      <c r="KNI3" s="89"/>
      <c r="KNJ3" s="89"/>
      <c r="KNK3" s="89"/>
      <c r="KNL3" s="89"/>
      <c r="KNM3" s="89"/>
      <c r="KNN3" s="89"/>
      <c r="KNO3" s="89"/>
      <c r="KNP3" s="89"/>
      <c r="KNQ3" s="89"/>
      <c r="KNR3" s="89"/>
      <c r="KNS3" s="89"/>
      <c r="KNT3" s="89"/>
      <c r="KNU3" s="89"/>
      <c r="KNV3" s="89"/>
      <c r="KNW3" s="89"/>
      <c r="KNX3" s="89"/>
      <c r="KNY3" s="89"/>
      <c r="KNZ3" s="89"/>
      <c r="KOA3" s="89"/>
      <c r="KOB3" s="89"/>
      <c r="KOC3" s="89"/>
      <c r="KOD3" s="89"/>
      <c r="KOE3" s="89"/>
      <c r="KOF3" s="89"/>
      <c r="KOG3" s="89"/>
      <c r="KOH3" s="89"/>
      <c r="KOI3" s="89"/>
      <c r="KOJ3" s="89"/>
      <c r="KOK3" s="89"/>
      <c r="KOL3" s="89"/>
      <c r="KOM3" s="89"/>
      <c r="KON3" s="89"/>
      <c r="KOO3" s="89"/>
      <c r="KOP3" s="89"/>
      <c r="KOQ3" s="89"/>
      <c r="KOR3" s="89"/>
      <c r="KOS3" s="89"/>
      <c r="KOT3" s="89"/>
      <c r="KOU3" s="89"/>
      <c r="KOV3" s="89"/>
      <c r="KOW3" s="89"/>
      <c r="KOX3" s="89"/>
      <c r="KOY3" s="89"/>
      <c r="KOZ3" s="89"/>
      <c r="KPA3" s="89"/>
      <c r="KPB3" s="89"/>
      <c r="KPC3" s="89"/>
      <c r="KPD3" s="89"/>
      <c r="KPE3" s="89"/>
      <c r="KPF3" s="89"/>
      <c r="KPG3" s="89"/>
      <c r="KPH3" s="89"/>
      <c r="KPI3" s="89"/>
      <c r="KPJ3" s="89"/>
      <c r="KPK3" s="89"/>
      <c r="KPL3" s="89"/>
      <c r="KPM3" s="89"/>
      <c r="KPN3" s="89"/>
      <c r="KPO3" s="89"/>
      <c r="KPP3" s="89"/>
      <c r="KPQ3" s="89"/>
      <c r="KPR3" s="89"/>
      <c r="KPS3" s="89"/>
      <c r="KPT3" s="89"/>
      <c r="KPU3" s="89"/>
      <c r="KPV3" s="89"/>
      <c r="KPW3" s="89"/>
      <c r="KPX3" s="89"/>
      <c r="KPY3" s="89"/>
      <c r="KPZ3" s="89"/>
      <c r="KQA3" s="89"/>
      <c r="KQB3" s="89"/>
      <c r="KQC3" s="89"/>
      <c r="KQD3" s="89"/>
      <c r="KQE3" s="89"/>
      <c r="KQF3" s="89"/>
      <c r="KQG3" s="89"/>
      <c r="KQH3" s="89"/>
      <c r="KQI3" s="89"/>
      <c r="KQJ3" s="89"/>
      <c r="KQK3" s="89"/>
      <c r="KQL3" s="89"/>
      <c r="KQM3" s="89"/>
      <c r="KQN3" s="89"/>
      <c r="KQO3" s="89"/>
      <c r="KQP3" s="89"/>
      <c r="KQQ3" s="89"/>
      <c r="KQR3" s="89"/>
      <c r="KQS3" s="89"/>
      <c r="KQT3" s="89"/>
      <c r="KQU3" s="89"/>
      <c r="KQV3" s="89"/>
      <c r="KQW3" s="89"/>
      <c r="KQX3" s="89"/>
      <c r="KQY3" s="89"/>
      <c r="KQZ3" s="89"/>
      <c r="KRA3" s="89"/>
      <c r="KRB3" s="89"/>
      <c r="KRC3" s="89"/>
      <c r="KRD3" s="89"/>
      <c r="KRE3" s="89"/>
      <c r="KRF3" s="89"/>
      <c r="KRG3" s="89"/>
      <c r="KRH3" s="89"/>
      <c r="KRI3" s="89"/>
      <c r="KRJ3" s="89"/>
      <c r="KRK3" s="89"/>
      <c r="KRL3" s="89"/>
      <c r="KRM3" s="89"/>
      <c r="KRN3" s="89"/>
      <c r="KRO3" s="89"/>
      <c r="KRP3" s="89"/>
      <c r="KRQ3" s="89"/>
      <c r="KRR3" s="89"/>
      <c r="KRS3" s="89"/>
      <c r="KRT3" s="89"/>
      <c r="KRU3" s="89"/>
      <c r="KRV3" s="89"/>
      <c r="KRW3" s="89"/>
      <c r="KRX3" s="89"/>
      <c r="KRY3" s="89"/>
      <c r="KRZ3" s="89"/>
      <c r="KSA3" s="89"/>
      <c r="KSB3" s="89"/>
      <c r="KSC3" s="89"/>
      <c r="KSD3" s="89"/>
      <c r="KSE3" s="89"/>
      <c r="KSF3" s="89"/>
      <c r="KSG3" s="89"/>
      <c r="KSH3" s="89"/>
      <c r="KSI3" s="89"/>
      <c r="KSJ3" s="89"/>
      <c r="KSK3" s="89"/>
      <c r="KSL3" s="89"/>
      <c r="KSM3" s="89"/>
      <c r="KSN3" s="89"/>
      <c r="KSO3" s="89"/>
      <c r="KSP3" s="89"/>
      <c r="KSQ3" s="89"/>
      <c r="KSR3" s="89"/>
      <c r="KSS3" s="89"/>
      <c r="KST3" s="89"/>
      <c r="KSU3" s="89"/>
      <c r="KSV3" s="89"/>
      <c r="KSW3" s="89"/>
      <c r="KSX3" s="89"/>
      <c r="KSY3" s="89"/>
      <c r="KSZ3" s="89"/>
      <c r="KTA3" s="89"/>
      <c r="KTB3" s="89"/>
      <c r="KTC3" s="89"/>
      <c r="KTD3" s="89"/>
      <c r="KTE3" s="89"/>
      <c r="KTF3" s="89"/>
      <c r="KTG3" s="89"/>
      <c r="KTH3" s="89"/>
      <c r="KTI3" s="89"/>
      <c r="KTJ3" s="89"/>
      <c r="KTK3" s="89"/>
      <c r="KTL3" s="89"/>
      <c r="KTM3" s="89"/>
      <c r="KTN3" s="89"/>
      <c r="KTO3" s="89"/>
      <c r="KTP3" s="89"/>
      <c r="KTQ3" s="89"/>
      <c r="KTR3" s="89"/>
      <c r="KTS3" s="89"/>
      <c r="KTT3" s="89"/>
      <c r="KTU3" s="89"/>
      <c r="KTV3" s="89"/>
      <c r="KTW3" s="89"/>
      <c r="KTX3" s="89"/>
      <c r="KTY3" s="89"/>
      <c r="KTZ3" s="89"/>
      <c r="KUA3" s="89"/>
      <c r="KUB3" s="89"/>
      <c r="KUC3" s="89"/>
      <c r="KUD3" s="89"/>
      <c r="KUE3" s="89"/>
      <c r="KUF3" s="89"/>
      <c r="KUG3" s="89"/>
      <c r="KUH3" s="89"/>
      <c r="KUI3" s="89"/>
      <c r="KUJ3" s="89"/>
      <c r="KUK3" s="89"/>
      <c r="KUL3" s="89"/>
      <c r="KUM3" s="89"/>
      <c r="KUN3" s="89"/>
      <c r="KUO3" s="89"/>
      <c r="KUP3" s="89"/>
      <c r="KUQ3" s="89"/>
      <c r="KUR3" s="89"/>
      <c r="KUS3" s="89"/>
      <c r="KUT3" s="89"/>
      <c r="KUU3" s="89"/>
      <c r="KUV3" s="89"/>
      <c r="KUW3" s="89"/>
      <c r="KUX3" s="89"/>
      <c r="KUY3" s="89"/>
      <c r="KUZ3" s="89"/>
      <c r="KVA3" s="89"/>
      <c r="KVB3" s="89"/>
      <c r="KVC3" s="89"/>
      <c r="KVD3" s="89"/>
      <c r="KVE3" s="89"/>
      <c r="KVF3" s="89"/>
      <c r="KVG3" s="89"/>
      <c r="KVH3" s="89"/>
      <c r="KVI3" s="89"/>
      <c r="KVJ3" s="89"/>
      <c r="KVK3" s="89"/>
      <c r="KVL3" s="89"/>
      <c r="KVM3" s="89"/>
      <c r="KVN3" s="89"/>
      <c r="KVO3" s="89"/>
      <c r="KVP3" s="89"/>
      <c r="KVQ3" s="89"/>
      <c r="KVR3" s="89"/>
      <c r="KVS3" s="89"/>
      <c r="KVT3" s="89"/>
      <c r="KVU3" s="89"/>
      <c r="KVV3" s="89"/>
      <c r="KVW3" s="89"/>
      <c r="KVX3" s="89"/>
      <c r="KVY3" s="89"/>
      <c r="KVZ3" s="89"/>
      <c r="KWA3" s="89"/>
      <c r="KWB3" s="89"/>
      <c r="KWC3" s="89"/>
      <c r="KWD3" s="89"/>
      <c r="KWE3" s="89"/>
      <c r="KWF3" s="89"/>
      <c r="KWG3" s="89"/>
      <c r="KWH3" s="89"/>
      <c r="KWI3" s="89"/>
      <c r="KWJ3" s="89"/>
      <c r="KWK3" s="89"/>
      <c r="KWL3" s="89"/>
      <c r="KWM3" s="89"/>
      <c r="KWN3" s="89"/>
      <c r="KWO3" s="89"/>
      <c r="KWP3" s="89"/>
      <c r="KWQ3" s="89"/>
      <c r="KWR3" s="89"/>
      <c r="KWS3" s="89"/>
      <c r="KWT3" s="89"/>
      <c r="KWU3" s="89"/>
      <c r="KWV3" s="89"/>
      <c r="KWW3" s="89"/>
      <c r="KWX3" s="89"/>
      <c r="KWY3" s="89"/>
      <c r="KWZ3" s="89"/>
      <c r="KXA3" s="89"/>
      <c r="KXB3" s="89"/>
      <c r="KXC3" s="89"/>
      <c r="KXD3" s="89"/>
      <c r="KXE3" s="89"/>
      <c r="KXF3" s="89"/>
      <c r="KXG3" s="89"/>
      <c r="KXH3" s="89"/>
      <c r="KXI3" s="89"/>
      <c r="KXJ3" s="89"/>
      <c r="KXK3" s="89"/>
      <c r="KXL3" s="89"/>
      <c r="KXM3" s="89"/>
      <c r="KXN3" s="89"/>
      <c r="KXO3" s="89"/>
      <c r="KXP3" s="89"/>
      <c r="KXQ3" s="89"/>
      <c r="KXR3" s="89"/>
      <c r="KXS3" s="89"/>
      <c r="KXT3" s="89"/>
      <c r="KXU3" s="89"/>
      <c r="KXV3" s="89"/>
      <c r="KXW3" s="89"/>
      <c r="KXX3" s="89"/>
      <c r="KXY3" s="89"/>
      <c r="KXZ3" s="89"/>
      <c r="KYA3" s="89"/>
      <c r="KYB3" s="89"/>
      <c r="KYC3" s="89"/>
      <c r="KYD3" s="89"/>
      <c r="KYE3" s="89"/>
      <c r="KYF3" s="89"/>
      <c r="KYG3" s="89"/>
      <c r="KYH3" s="89"/>
      <c r="KYI3" s="89"/>
      <c r="KYJ3" s="89"/>
      <c r="KYK3" s="89"/>
      <c r="KYL3" s="89"/>
      <c r="KYM3" s="89"/>
      <c r="KYN3" s="89"/>
      <c r="KYO3" s="89"/>
      <c r="KYP3" s="89"/>
      <c r="KYQ3" s="89"/>
      <c r="KYR3" s="89"/>
      <c r="KYS3" s="89"/>
      <c r="KYT3" s="89"/>
      <c r="KYU3" s="89"/>
      <c r="KYV3" s="89"/>
      <c r="KYW3" s="89"/>
      <c r="KYX3" s="89"/>
      <c r="KYY3" s="89"/>
      <c r="KYZ3" s="89"/>
      <c r="KZA3" s="89"/>
      <c r="KZB3" s="89"/>
      <c r="KZC3" s="89"/>
      <c r="KZD3" s="89"/>
      <c r="KZE3" s="89"/>
      <c r="KZF3" s="89"/>
      <c r="KZG3" s="89"/>
      <c r="KZH3" s="89"/>
      <c r="KZI3" s="89"/>
      <c r="KZJ3" s="89"/>
      <c r="KZK3" s="89"/>
      <c r="KZL3" s="89"/>
      <c r="KZM3" s="89"/>
      <c r="KZN3" s="89"/>
      <c r="KZO3" s="89"/>
      <c r="KZP3" s="89"/>
      <c r="KZQ3" s="89"/>
      <c r="KZR3" s="89"/>
      <c r="KZS3" s="89"/>
      <c r="KZT3" s="89"/>
      <c r="KZU3" s="89"/>
      <c r="KZV3" s="89"/>
      <c r="KZW3" s="89"/>
      <c r="KZX3" s="89"/>
      <c r="KZY3" s="89"/>
      <c r="KZZ3" s="89"/>
      <c r="LAA3" s="89"/>
      <c r="LAB3" s="89"/>
      <c r="LAC3" s="89"/>
      <c r="LAD3" s="89"/>
      <c r="LAE3" s="89"/>
      <c r="LAF3" s="89"/>
      <c r="LAG3" s="89"/>
      <c r="LAH3" s="89"/>
      <c r="LAI3" s="89"/>
      <c r="LAJ3" s="89"/>
      <c r="LAK3" s="89"/>
      <c r="LAL3" s="89"/>
      <c r="LAM3" s="89"/>
      <c r="LAN3" s="89"/>
      <c r="LAO3" s="89"/>
      <c r="LAP3" s="89"/>
      <c r="LAQ3" s="89"/>
      <c r="LAR3" s="89"/>
      <c r="LAS3" s="89"/>
      <c r="LAT3" s="89"/>
      <c r="LAU3" s="89"/>
      <c r="LAV3" s="89"/>
      <c r="LAW3" s="89"/>
      <c r="LAX3" s="89"/>
      <c r="LAY3" s="89"/>
      <c r="LAZ3" s="89"/>
      <c r="LBA3" s="89"/>
      <c r="LBB3" s="89"/>
      <c r="LBC3" s="89"/>
      <c r="LBD3" s="89"/>
      <c r="LBE3" s="89"/>
      <c r="LBF3" s="89"/>
      <c r="LBG3" s="89"/>
      <c r="LBH3" s="89"/>
      <c r="LBI3" s="89"/>
      <c r="LBJ3" s="89"/>
      <c r="LBK3" s="89"/>
      <c r="LBL3" s="89"/>
      <c r="LBM3" s="89"/>
      <c r="LBN3" s="89"/>
      <c r="LBO3" s="89"/>
      <c r="LBP3" s="89"/>
      <c r="LBQ3" s="89"/>
      <c r="LBR3" s="89"/>
      <c r="LBS3" s="89"/>
      <c r="LBT3" s="89"/>
      <c r="LBU3" s="89"/>
      <c r="LBV3" s="89"/>
      <c r="LBW3" s="89"/>
      <c r="LBX3" s="89"/>
      <c r="LBY3" s="89"/>
      <c r="LBZ3" s="89"/>
      <c r="LCA3" s="89"/>
      <c r="LCB3" s="89"/>
      <c r="LCC3" s="89"/>
      <c r="LCD3" s="89"/>
      <c r="LCE3" s="89"/>
      <c r="LCF3" s="89"/>
      <c r="LCG3" s="89"/>
      <c r="LCH3" s="89"/>
      <c r="LCI3" s="89"/>
      <c r="LCJ3" s="89"/>
      <c r="LCK3" s="89"/>
      <c r="LCL3" s="89"/>
      <c r="LCM3" s="89"/>
      <c r="LCN3" s="89"/>
      <c r="LCO3" s="89"/>
      <c r="LCP3" s="89"/>
      <c r="LCQ3" s="89"/>
      <c r="LCR3" s="89"/>
      <c r="LCS3" s="89"/>
      <c r="LCT3" s="89"/>
      <c r="LCU3" s="89"/>
      <c r="LCV3" s="89"/>
      <c r="LCW3" s="89"/>
      <c r="LCX3" s="89"/>
      <c r="LCY3" s="89"/>
      <c r="LCZ3" s="89"/>
      <c r="LDA3" s="89"/>
      <c r="LDB3" s="89"/>
      <c r="LDC3" s="89"/>
      <c r="LDD3" s="89"/>
      <c r="LDE3" s="89"/>
      <c r="LDF3" s="89"/>
      <c r="LDG3" s="89"/>
      <c r="LDH3" s="89"/>
      <c r="LDI3" s="89"/>
      <c r="LDJ3" s="89"/>
      <c r="LDK3" s="89"/>
      <c r="LDL3" s="89"/>
      <c r="LDM3" s="89"/>
      <c r="LDN3" s="89"/>
      <c r="LDO3" s="89"/>
      <c r="LDP3" s="89"/>
      <c r="LDQ3" s="89"/>
      <c r="LDR3" s="89"/>
      <c r="LDS3" s="89"/>
      <c r="LDT3" s="89"/>
      <c r="LDU3" s="89"/>
      <c r="LDV3" s="89"/>
      <c r="LDW3" s="89"/>
      <c r="LDX3" s="89"/>
      <c r="LDY3" s="89"/>
      <c r="LDZ3" s="89"/>
      <c r="LEA3" s="89"/>
      <c r="LEB3" s="89"/>
      <c r="LEC3" s="89"/>
      <c r="LED3" s="89"/>
      <c r="LEE3" s="89"/>
      <c r="LEF3" s="89"/>
      <c r="LEG3" s="89"/>
      <c r="LEH3" s="89"/>
      <c r="LEI3" s="89"/>
      <c r="LEJ3" s="89"/>
      <c r="LEK3" s="89"/>
      <c r="LEL3" s="89"/>
      <c r="LEM3" s="89"/>
      <c r="LEN3" s="89"/>
      <c r="LEO3" s="89"/>
      <c r="LEP3" s="89"/>
      <c r="LEQ3" s="89"/>
      <c r="LER3" s="89"/>
      <c r="LES3" s="89"/>
      <c r="LET3" s="89"/>
      <c r="LEU3" s="89"/>
      <c r="LEV3" s="89"/>
      <c r="LEW3" s="89"/>
      <c r="LEX3" s="89"/>
      <c r="LEY3" s="89"/>
      <c r="LEZ3" s="89"/>
      <c r="LFA3" s="89"/>
      <c r="LFB3" s="89"/>
      <c r="LFC3" s="89"/>
      <c r="LFD3" s="89"/>
      <c r="LFE3" s="89"/>
      <c r="LFF3" s="89"/>
      <c r="LFG3" s="89"/>
      <c r="LFH3" s="89"/>
      <c r="LFI3" s="89"/>
      <c r="LFJ3" s="89"/>
      <c r="LFK3" s="89"/>
      <c r="LFL3" s="89"/>
      <c r="LFM3" s="89"/>
      <c r="LFN3" s="89"/>
      <c r="LFO3" s="89"/>
      <c r="LFP3" s="89"/>
      <c r="LFQ3" s="89"/>
      <c r="LFR3" s="89"/>
      <c r="LFS3" s="89"/>
      <c r="LFT3" s="89"/>
      <c r="LFU3" s="89"/>
      <c r="LFV3" s="89"/>
      <c r="LFW3" s="89"/>
      <c r="LFX3" s="89"/>
      <c r="LFY3" s="89"/>
      <c r="LFZ3" s="89"/>
      <c r="LGA3" s="89"/>
      <c r="LGB3" s="89"/>
      <c r="LGC3" s="89"/>
      <c r="LGD3" s="89"/>
      <c r="LGE3" s="89"/>
      <c r="LGF3" s="89"/>
      <c r="LGG3" s="89"/>
      <c r="LGH3" s="89"/>
      <c r="LGI3" s="89"/>
      <c r="LGJ3" s="89"/>
      <c r="LGK3" s="89"/>
      <c r="LGL3" s="89"/>
      <c r="LGM3" s="89"/>
      <c r="LGN3" s="89"/>
      <c r="LGO3" s="89"/>
      <c r="LGP3" s="89"/>
      <c r="LGQ3" s="89"/>
      <c r="LGR3" s="89"/>
      <c r="LGS3" s="89"/>
      <c r="LGT3" s="89"/>
      <c r="LGU3" s="89"/>
      <c r="LGV3" s="89"/>
      <c r="LGW3" s="89"/>
      <c r="LGX3" s="89"/>
      <c r="LGY3" s="89"/>
      <c r="LGZ3" s="89"/>
      <c r="LHA3" s="89"/>
      <c r="LHB3" s="89"/>
      <c r="LHC3" s="89"/>
      <c r="LHD3" s="89"/>
      <c r="LHE3" s="89"/>
      <c r="LHF3" s="89"/>
      <c r="LHG3" s="89"/>
      <c r="LHH3" s="89"/>
      <c r="LHI3" s="89"/>
      <c r="LHJ3" s="89"/>
      <c r="LHK3" s="89"/>
      <c r="LHL3" s="89"/>
      <c r="LHM3" s="89"/>
      <c r="LHN3" s="89"/>
      <c r="LHO3" s="89"/>
      <c r="LHP3" s="89"/>
      <c r="LHQ3" s="89"/>
      <c r="LHR3" s="89"/>
      <c r="LHS3" s="89"/>
      <c r="LHT3" s="89"/>
      <c r="LHU3" s="89"/>
      <c r="LHV3" s="89"/>
      <c r="LHW3" s="89"/>
      <c r="LHX3" s="89"/>
      <c r="LHY3" s="89"/>
      <c r="LHZ3" s="89"/>
      <c r="LIA3" s="89"/>
      <c r="LIB3" s="89"/>
      <c r="LIC3" s="89"/>
      <c r="LID3" s="89"/>
      <c r="LIE3" s="89"/>
      <c r="LIF3" s="89"/>
      <c r="LIG3" s="89"/>
      <c r="LIH3" s="89"/>
      <c r="LII3" s="89"/>
      <c r="LIJ3" s="89"/>
      <c r="LIK3" s="89"/>
      <c r="LIL3" s="89"/>
      <c r="LIM3" s="89"/>
      <c r="LIN3" s="89"/>
      <c r="LIO3" s="89"/>
      <c r="LIP3" s="89"/>
      <c r="LIQ3" s="89"/>
      <c r="LIR3" s="89"/>
      <c r="LIS3" s="89"/>
      <c r="LIT3" s="89"/>
      <c r="LIU3" s="89"/>
      <c r="LIV3" s="89"/>
      <c r="LIW3" s="89"/>
      <c r="LIX3" s="89"/>
      <c r="LIY3" s="89"/>
      <c r="LIZ3" s="89"/>
      <c r="LJA3" s="89"/>
      <c r="LJB3" s="89"/>
      <c r="LJC3" s="89"/>
      <c r="LJD3" s="89"/>
      <c r="LJE3" s="89"/>
      <c r="LJF3" s="89"/>
      <c r="LJG3" s="89"/>
      <c r="LJH3" s="89"/>
      <c r="LJI3" s="89"/>
      <c r="LJJ3" s="89"/>
      <c r="LJK3" s="89"/>
      <c r="LJL3" s="89"/>
      <c r="LJM3" s="89"/>
      <c r="LJN3" s="89"/>
      <c r="LJO3" s="89"/>
      <c r="LJP3" s="89"/>
      <c r="LJQ3" s="89"/>
      <c r="LJR3" s="89"/>
      <c r="LJS3" s="89"/>
      <c r="LJT3" s="89"/>
      <c r="LJU3" s="89"/>
      <c r="LJV3" s="89"/>
      <c r="LJW3" s="89"/>
      <c r="LJX3" s="89"/>
      <c r="LJY3" s="89"/>
      <c r="LJZ3" s="89"/>
      <c r="LKA3" s="89"/>
      <c r="LKB3" s="89"/>
      <c r="LKC3" s="89"/>
      <c r="LKD3" s="89"/>
      <c r="LKE3" s="89"/>
      <c r="LKF3" s="89"/>
      <c r="LKG3" s="89"/>
      <c r="LKH3" s="89"/>
      <c r="LKI3" s="89"/>
      <c r="LKJ3" s="89"/>
      <c r="LKK3" s="89"/>
      <c r="LKL3" s="89"/>
      <c r="LKM3" s="89"/>
      <c r="LKN3" s="89"/>
      <c r="LKO3" s="89"/>
      <c r="LKP3" s="89"/>
      <c r="LKQ3" s="89"/>
      <c r="LKR3" s="89"/>
      <c r="LKS3" s="89"/>
      <c r="LKT3" s="89"/>
      <c r="LKU3" s="89"/>
      <c r="LKV3" s="89"/>
      <c r="LKW3" s="89"/>
      <c r="LKX3" s="89"/>
      <c r="LKY3" s="89"/>
      <c r="LKZ3" s="89"/>
      <c r="LLA3" s="89"/>
      <c r="LLB3" s="89"/>
      <c r="LLC3" s="89"/>
      <c r="LLD3" s="89"/>
      <c r="LLE3" s="89"/>
      <c r="LLF3" s="89"/>
      <c r="LLG3" s="89"/>
      <c r="LLH3" s="89"/>
      <c r="LLI3" s="89"/>
      <c r="LLJ3" s="89"/>
      <c r="LLK3" s="89"/>
      <c r="LLL3" s="89"/>
      <c r="LLM3" s="89"/>
      <c r="LLN3" s="89"/>
      <c r="LLO3" s="89"/>
      <c r="LLP3" s="89"/>
      <c r="LLQ3" s="89"/>
      <c r="LLR3" s="89"/>
      <c r="LLS3" s="89"/>
      <c r="LLT3" s="89"/>
      <c r="LLU3" s="89"/>
      <c r="LLV3" s="89"/>
      <c r="LLW3" s="89"/>
      <c r="LLX3" s="89"/>
      <c r="LLY3" s="89"/>
      <c r="LLZ3" s="89"/>
      <c r="LMA3" s="89"/>
      <c r="LMB3" s="89"/>
      <c r="LMC3" s="89"/>
      <c r="LMD3" s="89"/>
      <c r="LME3" s="89"/>
      <c r="LMF3" s="89"/>
      <c r="LMG3" s="89"/>
      <c r="LMH3" s="89"/>
      <c r="LMI3" s="89"/>
      <c r="LMJ3" s="89"/>
      <c r="LMK3" s="89"/>
      <c r="LML3" s="89"/>
      <c r="LMM3" s="89"/>
      <c r="LMN3" s="89"/>
      <c r="LMO3" s="89"/>
      <c r="LMP3" s="89"/>
      <c r="LMQ3" s="89"/>
      <c r="LMR3" s="89"/>
      <c r="LMS3" s="89"/>
      <c r="LMT3" s="89"/>
      <c r="LMU3" s="89"/>
      <c r="LMV3" s="89"/>
      <c r="LMW3" s="89"/>
      <c r="LMX3" s="89"/>
      <c r="LMY3" s="89"/>
      <c r="LMZ3" s="89"/>
      <c r="LNA3" s="89"/>
      <c r="LNB3" s="89"/>
      <c r="LNC3" s="89"/>
      <c r="LND3" s="89"/>
      <c r="LNE3" s="89"/>
      <c r="LNF3" s="89"/>
      <c r="LNG3" s="89"/>
      <c r="LNH3" s="89"/>
      <c r="LNI3" s="89"/>
      <c r="LNJ3" s="89"/>
      <c r="LNK3" s="89"/>
      <c r="LNL3" s="89"/>
      <c r="LNM3" s="89"/>
      <c r="LNN3" s="89"/>
      <c r="LNO3" s="89"/>
      <c r="LNP3" s="89"/>
      <c r="LNQ3" s="89"/>
      <c r="LNR3" s="89"/>
      <c r="LNS3" s="89"/>
      <c r="LNT3" s="89"/>
      <c r="LNU3" s="89"/>
      <c r="LNV3" s="89"/>
      <c r="LNW3" s="89"/>
      <c r="LNX3" s="89"/>
      <c r="LNY3" s="89"/>
      <c r="LNZ3" s="89"/>
      <c r="LOA3" s="89"/>
      <c r="LOB3" s="89"/>
      <c r="LOC3" s="89"/>
      <c r="LOD3" s="89"/>
      <c r="LOE3" s="89"/>
      <c r="LOF3" s="89"/>
      <c r="LOG3" s="89"/>
      <c r="LOH3" s="89"/>
      <c r="LOI3" s="89"/>
      <c r="LOJ3" s="89"/>
      <c r="LOK3" s="89"/>
      <c r="LOL3" s="89"/>
      <c r="LOM3" s="89"/>
      <c r="LON3" s="89"/>
      <c r="LOO3" s="89"/>
      <c r="LOP3" s="89"/>
      <c r="LOQ3" s="89"/>
      <c r="LOR3" s="89"/>
      <c r="LOS3" s="89"/>
      <c r="LOT3" s="89"/>
      <c r="LOU3" s="89"/>
      <c r="LOV3" s="89"/>
      <c r="LOW3" s="89"/>
      <c r="LOX3" s="89"/>
      <c r="LOY3" s="89"/>
      <c r="LOZ3" s="89"/>
      <c r="LPA3" s="89"/>
      <c r="LPB3" s="89"/>
      <c r="LPC3" s="89"/>
      <c r="LPD3" s="89"/>
      <c r="LPE3" s="89"/>
      <c r="LPF3" s="89"/>
      <c r="LPG3" s="89"/>
      <c r="LPH3" s="89"/>
      <c r="LPI3" s="89"/>
      <c r="LPJ3" s="89"/>
      <c r="LPK3" s="89"/>
      <c r="LPL3" s="89"/>
      <c r="LPM3" s="89"/>
      <c r="LPN3" s="89"/>
      <c r="LPO3" s="89"/>
      <c r="LPP3" s="89"/>
      <c r="LPQ3" s="89"/>
      <c r="LPR3" s="89"/>
      <c r="LPS3" s="89"/>
      <c r="LPT3" s="89"/>
      <c r="LPU3" s="89"/>
      <c r="LPV3" s="89"/>
      <c r="LPW3" s="89"/>
      <c r="LPX3" s="89"/>
      <c r="LPY3" s="89"/>
      <c r="LPZ3" s="89"/>
      <c r="LQA3" s="89"/>
      <c r="LQB3" s="89"/>
      <c r="LQC3" s="89"/>
      <c r="LQD3" s="89"/>
      <c r="LQE3" s="89"/>
      <c r="LQF3" s="89"/>
      <c r="LQG3" s="89"/>
      <c r="LQH3" s="89"/>
      <c r="LQI3" s="89"/>
      <c r="LQJ3" s="89"/>
      <c r="LQK3" s="89"/>
      <c r="LQL3" s="89"/>
      <c r="LQM3" s="89"/>
      <c r="LQN3" s="89"/>
      <c r="LQO3" s="89"/>
      <c r="LQP3" s="89"/>
      <c r="LQQ3" s="89"/>
      <c r="LQR3" s="89"/>
      <c r="LQS3" s="89"/>
      <c r="LQT3" s="89"/>
      <c r="LQU3" s="89"/>
      <c r="LQV3" s="89"/>
      <c r="LQW3" s="89"/>
      <c r="LQX3" s="89"/>
      <c r="LQY3" s="89"/>
      <c r="LQZ3" s="89"/>
      <c r="LRA3" s="89"/>
      <c r="LRB3" s="89"/>
      <c r="LRC3" s="89"/>
      <c r="LRD3" s="89"/>
      <c r="LRE3" s="89"/>
      <c r="LRF3" s="89"/>
      <c r="LRG3" s="89"/>
      <c r="LRH3" s="89"/>
      <c r="LRI3" s="89"/>
      <c r="LRJ3" s="89"/>
      <c r="LRK3" s="89"/>
      <c r="LRL3" s="89"/>
      <c r="LRM3" s="89"/>
      <c r="LRN3" s="89"/>
      <c r="LRO3" s="89"/>
      <c r="LRP3" s="89"/>
      <c r="LRQ3" s="89"/>
      <c r="LRR3" s="89"/>
      <c r="LRS3" s="89"/>
      <c r="LRT3" s="89"/>
      <c r="LRU3" s="89"/>
      <c r="LRV3" s="89"/>
      <c r="LRW3" s="89"/>
      <c r="LRX3" s="89"/>
      <c r="LRY3" s="89"/>
      <c r="LRZ3" s="89"/>
      <c r="LSA3" s="89"/>
      <c r="LSB3" s="89"/>
      <c r="LSC3" s="89"/>
      <c r="LSD3" s="89"/>
      <c r="LSE3" s="89"/>
      <c r="LSF3" s="89"/>
      <c r="LSG3" s="89"/>
      <c r="LSH3" s="89"/>
      <c r="LSI3" s="89"/>
      <c r="LSJ3" s="89"/>
      <c r="LSK3" s="89"/>
      <c r="LSL3" s="89"/>
      <c r="LSM3" s="89"/>
      <c r="LSN3" s="89"/>
      <c r="LSO3" s="89"/>
      <c r="LSP3" s="89"/>
      <c r="LSQ3" s="89"/>
      <c r="LSR3" s="89"/>
      <c r="LSS3" s="89"/>
      <c r="LST3" s="89"/>
      <c r="LSU3" s="89"/>
      <c r="LSV3" s="89"/>
      <c r="LSW3" s="89"/>
      <c r="LSX3" s="89"/>
      <c r="LSY3" s="89"/>
      <c r="LSZ3" s="89"/>
      <c r="LTA3" s="89"/>
      <c r="LTB3" s="89"/>
      <c r="LTC3" s="89"/>
      <c r="LTD3" s="89"/>
      <c r="LTE3" s="89"/>
      <c r="LTF3" s="89"/>
      <c r="LTG3" s="89"/>
      <c r="LTH3" s="89"/>
      <c r="LTI3" s="89"/>
      <c r="LTJ3" s="89"/>
      <c r="LTK3" s="89"/>
      <c r="LTL3" s="89"/>
      <c r="LTM3" s="89"/>
      <c r="LTN3" s="89"/>
      <c r="LTO3" s="89"/>
      <c r="LTP3" s="89"/>
      <c r="LTQ3" s="89"/>
      <c r="LTR3" s="89"/>
      <c r="LTS3" s="89"/>
      <c r="LTT3" s="89"/>
      <c r="LTU3" s="89"/>
      <c r="LTV3" s="89"/>
      <c r="LTW3" s="89"/>
      <c r="LTX3" s="89"/>
      <c r="LTY3" s="89"/>
      <c r="LTZ3" s="89"/>
      <c r="LUA3" s="89"/>
      <c r="LUB3" s="89"/>
      <c r="LUC3" s="89"/>
      <c r="LUD3" s="89"/>
      <c r="LUE3" s="89"/>
      <c r="LUF3" s="89"/>
      <c r="LUG3" s="89"/>
      <c r="LUH3" s="89"/>
      <c r="LUI3" s="89"/>
      <c r="LUJ3" s="89"/>
      <c r="LUK3" s="89"/>
      <c r="LUL3" s="89"/>
      <c r="LUM3" s="89"/>
      <c r="LUN3" s="89"/>
      <c r="LUO3" s="89"/>
      <c r="LUP3" s="89"/>
      <c r="LUQ3" s="89"/>
      <c r="LUR3" s="89"/>
      <c r="LUS3" s="89"/>
      <c r="LUT3" s="89"/>
      <c r="LUU3" s="89"/>
      <c r="LUV3" s="89"/>
      <c r="LUW3" s="89"/>
      <c r="LUX3" s="89"/>
      <c r="LUY3" s="89"/>
      <c r="LUZ3" s="89"/>
      <c r="LVA3" s="89"/>
      <c r="LVB3" s="89"/>
      <c r="LVC3" s="89"/>
      <c r="LVD3" s="89"/>
      <c r="LVE3" s="89"/>
      <c r="LVF3" s="89"/>
      <c r="LVG3" s="89"/>
      <c r="LVH3" s="89"/>
      <c r="LVI3" s="89"/>
      <c r="LVJ3" s="89"/>
      <c r="LVK3" s="89"/>
      <c r="LVL3" s="89"/>
      <c r="LVM3" s="89"/>
      <c r="LVN3" s="89"/>
      <c r="LVO3" s="89"/>
      <c r="LVP3" s="89"/>
      <c r="LVQ3" s="89"/>
      <c r="LVR3" s="89"/>
      <c r="LVS3" s="89"/>
      <c r="LVT3" s="89"/>
      <c r="LVU3" s="89"/>
      <c r="LVV3" s="89"/>
      <c r="LVW3" s="89"/>
      <c r="LVX3" s="89"/>
      <c r="LVY3" s="89"/>
      <c r="LVZ3" s="89"/>
      <c r="LWA3" s="89"/>
      <c r="LWB3" s="89"/>
      <c r="LWC3" s="89"/>
      <c r="LWD3" s="89"/>
      <c r="LWE3" s="89"/>
      <c r="LWF3" s="89"/>
      <c r="LWG3" s="89"/>
      <c r="LWH3" s="89"/>
      <c r="LWI3" s="89"/>
      <c r="LWJ3" s="89"/>
      <c r="LWK3" s="89"/>
      <c r="LWL3" s="89"/>
      <c r="LWM3" s="89"/>
      <c r="LWN3" s="89"/>
      <c r="LWO3" s="89"/>
      <c r="LWP3" s="89"/>
      <c r="LWQ3" s="89"/>
      <c r="LWR3" s="89"/>
      <c r="LWS3" s="89"/>
      <c r="LWT3" s="89"/>
      <c r="LWU3" s="89"/>
      <c r="LWV3" s="89"/>
      <c r="LWW3" s="89"/>
      <c r="LWX3" s="89"/>
      <c r="LWY3" s="89"/>
      <c r="LWZ3" s="89"/>
      <c r="LXA3" s="89"/>
      <c r="LXB3" s="89"/>
      <c r="LXC3" s="89"/>
      <c r="LXD3" s="89"/>
      <c r="LXE3" s="89"/>
      <c r="LXF3" s="89"/>
      <c r="LXG3" s="89"/>
      <c r="LXH3" s="89"/>
      <c r="LXI3" s="89"/>
      <c r="LXJ3" s="89"/>
      <c r="LXK3" s="89"/>
      <c r="LXL3" s="89"/>
      <c r="LXM3" s="89"/>
      <c r="LXN3" s="89"/>
      <c r="LXO3" s="89"/>
      <c r="LXP3" s="89"/>
      <c r="LXQ3" s="89"/>
      <c r="LXR3" s="89"/>
      <c r="LXS3" s="89"/>
      <c r="LXT3" s="89"/>
      <c r="LXU3" s="89"/>
      <c r="LXV3" s="89"/>
      <c r="LXW3" s="89"/>
      <c r="LXX3" s="89"/>
      <c r="LXY3" s="89"/>
      <c r="LXZ3" s="89"/>
      <c r="LYA3" s="89"/>
      <c r="LYB3" s="89"/>
      <c r="LYC3" s="89"/>
      <c r="LYD3" s="89"/>
      <c r="LYE3" s="89"/>
      <c r="LYF3" s="89"/>
      <c r="LYG3" s="89"/>
      <c r="LYH3" s="89"/>
      <c r="LYI3" s="89"/>
      <c r="LYJ3" s="89"/>
      <c r="LYK3" s="89"/>
      <c r="LYL3" s="89"/>
      <c r="LYM3" s="89"/>
      <c r="LYN3" s="89"/>
      <c r="LYO3" s="89"/>
      <c r="LYP3" s="89"/>
      <c r="LYQ3" s="89"/>
      <c r="LYR3" s="89"/>
      <c r="LYS3" s="89"/>
      <c r="LYT3" s="89"/>
      <c r="LYU3" s="89"/>
      <c r="LYV3" s="89"/>
      <c r="LYW3" s="89"/>
      <c r="LYX3" s="89"/>
      <c r="LYY3" s="89"/>
      <c r="LYZ3" s="89"/>
      <c r="LZA3" s="89"/>
      <c r="LZB3" s="89"/>
      <c r="LZC3" s="89"/>
      <c r="LZD3" s="89"/>
      <c r="LZE3" s="89"/>
      <c r="LZF3" s="89"/>
      <c r="LZG3" s="89"/>
      <c r="LZH3" s="89"/>
      <c r="LZI3" s="89"/>
      <c r="LZJ3" s="89"/>
      <c r="LZK3" s="89"/>
      <c r="LZL3" s="89"/>
      <c r="LZM3" s="89"/>
      <c r="LZN3" s="89"/>
      <c r="LZO3" s="89"/>
      <c r="LZP3" s="89"/>
      <c r="LZQ3" s="89"/>
      <c r="LZR3" s="89"/>
      <c r="LZS3" s="89"/>
      <c r="LZT3" s="89"/>
      <c r="LZU3" s="89"/>
      <c r="LZV3" s="89"/>
      <c r="LZW3" s="89"/>
      <c r="LZX3" s="89"/>
      <c r="LZY3" s="89"/>
      <c r="LZZ3" s="89"/>
      <c r="MAA3" s="89"/>
      <c r="MAB3" s="89"/>
      <c r="MAC3" s="89"/>
      <c r="MAD3" s="89"/>
      <c r="MAE3" s="89"/>
      <c r="MAF3" s="89"/>
      <c r="MAG3" s="89"/>
      <c r="MAH3" s="89"/>
      <c r="MAI3" s="89"/>
      <c r="MAJ3" s="89"/>
      <c r="MAK3" s="89"/>
      <c r="MAL3" s="89"/>
      <c r="MAM3" s="89"/>
      <c r="MAN3" s="89"/>
      <c r="MAO3" s="89"/>
      <c r="MAP3" s="89"/>
      <c r="MAQ3" s="89"/>
      <c r="MAR3" s="89"/>
      <c r="MAS3" s="89"/>
      <c r="MAT3" s="89"/>
      <c r="MAU3" s="89"/>
      <c r="MAV3" s="89"/>
      <c r="MAW3" s="89"/>
      <c r="MAX3" s="89"/>
      <c r="MAY3" s="89"/>
      <c r="MAZ3" s="89"/>
      <c r="MBA3" s="89"/>
      <c r="MBB3" s="89"/>
      <c r="MBC3" s="89"/>
      <c r="MBD3" s="89"/>
      <c r="MBE3" s="89"/>
      <c r="MBF3" s="89"/>
      <c r="MBG3" s="89"/>
      <c r="MBH3" s="89"/>
      <c r="MBI3" s="89"/>
      <c r="MBJ3" s="89"/>
      <c r="MBK3" s="89"/>
      <c r="MBL3" s="89"/>
      <c r="MBM3" s="89"/>
      <c r="MBN3" s="89"/>
      <c r="MBO3" s="89"/>
      <c r="MBP3" s="89"/>
      <c r="MBQ3" s="89"/>
      <c r="MBR3" s="89"/>
      <c r="MBS3" s="89"/>
      <c r="MBT3" s="89"/>
      <c r="MBU3" s="89"/>
      <c r="MBV3" s="89"/>
      <c r="MBW3" s="89"/>
      <c r="MBX3" s="89"/>
      <c r="MBY3" s="89"/>
      <c r="MBZ3" s="89"/>
      <c r="MCA3" s="89"/>
      <c r="MCB3" s="89"/>
      <c r="MCC3" s="89"/>
      <c r="MCD3" s="89"/>
      <c r="MCE3" s="89"/>
      <c r="MCF3" s="89"/>
      <c r="MCG3" s="89"/>
      <c r="MCH3" s="89"/>
      <c r="MCI3" s="89"/>
      <c r="MCJ3" s="89"/>
      <c r="MCK3" s="89"/>
      <c r="MCL3" s="89"/>
      <c r="MCM3" s="89"/>
      <c r="MCN3" s="89"/>
      <c r="MCO3" s="89"/>
      <c r="MCP3" s="89"/>
      <c r="MCQ3" s="89"/>
      <c r="MCR3" s="89"/>
      <c r="MCS3" s="89"/>
      <c r="MCT3" s="89"/>
      <c r="MCU3" s="89"/>
      <c r="MCV3" s="89"/>
      <c r="MCW3" s="89"/>
      <c r="MCX3" s="89"/>
      <c r="MCY3" s="89"/>
      <c r="MCZ3" s="89"/>
      <c r="MDA3" s="89"/>
      <c r="MDB3" s="89"/>
      <c r="MDC3" s="89"/>
      <c r="MDD3" s="89"/>
      <c r="MDE3" s="89"/>
      <c r="MDF3" s="89"/>
      <c r="MDG3" s="89"/>
      <c r="MDH3" s="89"/>
      <c r="MDI3" s="89"/>
      <c r="MDJ3" s="89"/>
      <c r="MDK3" s="89"/>
      <c r="MDL3" s="89"/>
      <c r="MDM3" s="89"/>
      <c r="MDN3" s="89"/>
      <c r="MDO3" s="89"/>
      <c r="MDP3" s="89"/>
      <c r="MDQ3" s="89"/>
      <c r="MDR3" s="89"/>
      <c r="MDS3" s="89"/>
      <c r="MDT3" s="89"/>
      <c r="MDU3" s="89"/>
      <c r="MDV3" s="89"/>
      <c r="MDW3" s="89"/>
      <c r="MDX3" s="89"/>
      <c r="MDY3" s="89"/>
      <c r="MDZ3" s="89"/>
      <c r="MEA3" s="89"/>
      <c r="MEB3" s="89"/>
      <c r="MEC3" s="89"/>
      <c r="MED3" s="89"/>
      <c r="MEE3" s="89"/>
      <c r="MEF3" s="89"/>
      <c r="MEG3" s="89"/>
      <c r="MEH3" s="89"/>
      <c r="MEI3" s="89"/>
      <c r="MEJ3" s="89"/>
      <c r="MEK3" s="89"/>
      <c r="MEL3" s="89"/>
      <c r="MEM3" s="89"/>
      <c r="MEN3" s="89"/>
      <c r="MEO3" s="89"/>
      <c r="MEP3" s="89"/>
      <c r="MEQ3" s="89"/>
      <c r="MER3" s="89"/>
      <c r="MES3" s="89"/>
      <c r="MET3" s="89"/>
      <c r="MEU3" s="89"/>
      <c r="MEV3" s="89"/>
      <c r="MEW3" s="89"/>
      <c r="MEX3" s="89"/>
      <c r="MEY3" s="89"/>
      <c r="MEZ3" s="89"/>
      <c r="MFA3" s="89"/>
      <c r="MFB3" s="89"/>
      <c r="MFC3" s="89"/>
      <c r="MFD3" s="89"/>
      <c r="MFE3" s="89"/>
      <c r="MFF3" s="89"/>
      <c r="MFG3" s="89"/>
      <c r="MFH3" s="89"/>
      <c r="MFI3" s="89"/>
      <c r="MFJ3" s="89"/>
      <c r="MFK3" s="89"/>
      <c r="MFL3" s="89"/>
      <c r="MFM3" s="89"/>
      <c r="MFN3" s="89"/>
      <c r="MFO3" s="89"/>
      <c r="MFP3" s="89"/>
      <c r="MFQ3" s="89"/>
      <c r="MFR3" s="89"/>
      <c r="MFS3" s="89"/>
      <c r="MFT3" s="89"/>
      <c r="MFU3" s="89"/>
      <c r="MFV3" s="89"/>
      <c r="MFW3" s="89"/>
      <c r="MFX3" s="89"/>
      <c r="MFY3" s="89"/>
      <c r="MFZ3" s="89"/>
      <c r="MGA3" s="89"/>
      <c r="MGB3" s="89"/>
      <c r="MGC3" s="89"/>
      <c r="MGD3" s="89"/>
      <c r="MGE3" s="89"/>
      <c r="MGF3" s="89"/>
      <c r="MGG3" s="89"/>
      <c r="MGH3" s="89"/>
      <c r="MGI3" s="89"/>
      <c r="MGJ3" s="89"/>
      <c r="MGK3" s="89"/>
      <c r="MGL3" s="89"/>
      <c r="MGM3" s="89"/>
      <c r="MGN3" s="89"/>
      <c r="MGO3" s="89"/>
      <c r="MGP3" s="89"/>
      <c r="MGQ3" s="89"/>
      <c r="MGR3" s="89"/>
      <c r="MGS3" s="89"/>
      <c r="MGT3" s="89"/>
      <c r="MGU3" s="89"/>
      <c r="MGV3" s="89"/>
      <c r="MGW3" s="89"/>
      <c r="MGX3" s="89"/>
      <c r="MGY3" s="89"/>
      <c r="MGZ3" s="89"/>
      <c r="MHA3" s="89"/>
      <c r="MHB3" s="89"/>
      <c r="MHC3" s="89"/>
      <c r="MHD3" s="89"/>
      <c r="MHE3" s="89"/>
      <c r="MHF3" s="89"/>
      <c r="MHG3" s="89"/>
      <c r="MHH3" s="89"/>
      <c r="MHI3" s="89"/>
      <c r="MHJ3" s="89"/>
      <c r="MHK3" s="89"/>
      <c r="MHL3" s="89"/>
      <c r="MHM3" s="89"/>
      <c r="MHN3" s="89"/>
      <c r="MHO3" s="89"/>
      <c r="MHP3" s="89"/>
      <c r="MHQ3" s="89"/>
      <c r="MHR3" s="89"/>
      <c r="MHS3" s="89"/>
      <c r="MHT3" s="89"/>
      <c r="MHU3" s="89"/>
      <c r="MHV3" s="89"/>
      <c r="MHW3" s="89"/>
      <c r="MHX3" s="89"/>
      <c r="MHY3" s="89"/>
      <c r="MHZ3" s="89"/>
      <c r="MIA3" s="89"/>
      <c r="MIB3" s="89"/>
      <c r="MIC3" s="89"/>
      <c r="MID3" s="89"/>
      <c r="MIE3" s="89"/>
      <c r="MIF3" s="89"/>
      <c r="MIG3" s="89"/>
      <c r="MIH3" s="89"/>
      <c r="MII3" s="89"/>
      <c r="MIJ3" s="89"/>
      <c r="MIK3" s="89"/>
      <c r="MIL3" s="89"/>
      <c r="MIM3" s="89"/>
      <c r="MIN3" s="89"/>
      <c r="MIO3" s="89"/>
      <c r="MIP3" s="89"/>
      <c r="MIQ3" s="89"/>
      <c r="MIR3" s="89"/>
      <c r="MIS3" s="89"/>
      <c r="MIT3" s="89"/>
      <c r="MIU3" s="89"/>
      <c r="MIV3" s="89"/>
      <c r="MIW3" s="89"/>
      <c r="MIX3" s="89"/>
      <c r="MIY3" s="89"/>
      <c r="MIZ3" s="89"/>
      <c r="MJA3" s="89"/>
      <c r="MJB3" s="89"/>
      <c r="MJC3" s="89"/>
      <c r="MJD3" s="89"/>
      <c r="MJE3" s="89"/>
      <c r="MJF3" s="89"/>
      <c r="MJG3" s="89"/>
      <c r="MJH3" s="89"/>
      <c r="MJI3" s="89"/>
      <c r="MJJ3" s="89"/>
      <c r="MJK3" s="89"/>
      <c r="MJL3" s="89"/>
      <c r="MJM3" s="89"/>
      <c r="MJN3" s="89"/>
      <c r="MJO3" s="89"/>
      <c r="MJP3" s="89"/>
      <c r="MJQ3" s="89"/>
      <c r="MJR3" s="89"/>
      <c r="MJS3" s="89"/>
      <c r="MJT3" s="89"/>
      <c r="MJU3" s="89"/>
      <c r="MJV3" s="89"/>
      <c r="MJW3" s="89"/>
      <c r="MJX3" s="89"/>
      <c r="MJY3" s="89"/>
      <c r="MJZ3" s="89"/>
      <c r="MKA3" s="89"/>
      <c r="MKB3" s="89"/>
      <c r="MKC3" s="89"/>
      <c r="MKD3" s="89"/>
      <c r="MKE3" s="89"/>
      <c r="MKF3" s="89"/>
      <c r="MKG3" s="89"/>
      <c r="MKH3" s="89"/>
      <c r="MKI3" s="89"/>
      <c r="MKJ3" s="89"/>
      <c r="MKK3" s="89"/>
      <c r="MKL3" s="89"/>
      <c r="MKM3" s="89"/>
      <c r="MKN3" s="89"/>
      <c r="MKO3" s="89"/>
      <c r="MKP3" s="89"/>
      <c r="MKQ3" s="89"/>
      <c r="MKR3" s="89"/>
      <c r="MKS3" s="89"/>
      <c r="MKT3" s="89"/>
      <c r="MKU3" s="89"/>
      <c r="MKV3" s="89"/>
      <c r="MKW3" s="89"/>
      <c r="MKX3" s="89"/>
      <c r="MKY3" s="89"/>
      <c r="MKZ3" s="89"/>
      <c r="MLA3" s="89"/>
      <c r="MLB3" s="89"/>
      <c r="MLC3" s="89"/>
      <c r="MLD3" s="89"/>
      <c r="MLE3" s="89"/>
      <c r="MLF3" s="89"/>
      <c r="MLG3" s="89"/>
      <c r="MLH3" s="89"/>
      <c r="MLI3" s="89"/>
      <c r="MLJ3" s="89"/>
      <c r="MLK3" s="89"/>
      <c r="MLL3" s="89"/>
      <c r="MLM3" s="89"/>
      <c r="MLN3" s="89"/>
      <c r="MLO3" s="89"/>
      <c r="MLP3" s="89"/>
      <c r="MLQ3" s="89"/>
      <c r="MLR3" s="89"/>
      <c r="MLS3" s="89"/>
      <c r="MLT3" s="89"/>
      <c r="MLU3" s="89"/>
      <c r="MLV3" s="89"/>
      <c r="MLW3" s="89"/>
      <c r="MLX3" s="89"/>
      <c r="MLY3" s="89"/>
      <c r="MLZ3" s="89"/>
      <c r="MMA3" s="89"/>
      <c r="MMB3" s="89"/>
      <c r="MMC3" s="89"/>
      <c r="MMD3" s="89"/>
      <c r="MME3" s="89"/>
      <c r="MMF3" s="89"/>
      <c r="MMG3" s="89"/>
      <c r="MMH3" s="89"/>
      <c r="MMI3" s="89"/>
      <c r="MMJ3" s="89"/>
      <c r="MMK3" s="89"/>
      <c r="MML3" s="89"/>
      <c r="MMM3" s="89"/>
      <c r="MMN3" s="89"/>
      <c r="MMO3" s="89"/>
      <c r="MMP3" s="89"/>
      <c r="MMQ3" s="89"/>
      <c r="MMR3" s="89"/>
      <c r="MMS3" s="89"/>
      <c r="MMT3" s="89"/>
      <c r="MMU3" s="89"/>
      <c r="MMV3" s="89"/>
      <c r="MMW3" s="89"/>
      <c r="MMX3" s="89"/>
      <c r="MMY3" s="89"/>
      <c r="MMZ3" s="89"/>
      <c r="MNA3" s="89"/>
      <c r="MNB3" s="89"/>
      <c r="MNC3" s="89"/>
      <c r="MND3" s="89"/>
      <c r="MNE3" s="89"/>
      <c r="MNF3" s="89"/>
      <c r="MNG3" s="89"/>
      <c r="MNH3" s="89"/>
      <c r="MNI3" s="89"/>
      <c r="MNJ3" s="89"/>
      <c r="MNK3" s="89"/>
      <c r="MNL3" s="89"/>
      <c r="MNM3" s="89"/>
      <c r="MNN3" s="89"/>
      <c r="MNO3" s="89"/>
      <c r="MNP3" s="89"/>
      <c r="MNQ3" s="89"/>
      <c r="MNR3" s="89"/>
      <c r="MNS3" s="89"/>
      <c r="MNT3" s="89"/>
      <c r="MNU3" s="89"/>
      <c r="MNV3" s="89"/>
      <c r="MNW3" s="89"/>
      <c r="MNX3" s="89"/>
      <c r="MNY3" s="89"/>
      <c r="MNZ3" s="89"/>
      <c r="MOA3" s="89"/>
      <c r="MOB3" s="89"/>
      <c r="MOC3" s="89"/>
      <c r="MOD3" s="89"/>
      <c r="MOE3" s="89"/>
      <c r="MOF3" s="89"/>
      <c r="MOG3" s="89"/>
      <c r="MOH3" s="89"/>
      <c r="MOI3" s="89"/>
      <c r="MOJ3" s="89"/>
      <c r="MOK3" s="89"/>
      <c r="MOL3" s="89"/>
      <c r="MOM3" s="89"/>
      <c r="MON3" s="89"/>
      <c r="MOO3" s="89"/>
      <c r="MOP3" s="89"/>
      <c r="MOQ3" s="89"/>
      <c r="MOR3" s="89"/>
      <c r="MOS3" s="89"/>
      <c r="MOT3" s="89"/>
      <c r="MOU3" s="89"/>
      <c r="MOV3" s="89"/>
      <c r="MOW3" s="89"/>
      <c r="MOX3" s="89"/>
      <c r="MOY3" s="89"/>
      <c r="MOZ3" s="89"/>
      <c r="MPA3" s="89"/>
      <c r="MPB3" s="89"/>
      <c r="MPC3" s="89"/>
      <c r="MPD3" s="89"/>
      <c r="MPE3" s="89"/>
      <c r="MPF3" s="89"/>
      <c r="MPG3" s="89"/>
      <c r="MPH3" s="89"/>
      <c r="MPI3" s="89"/>
      <c r="MPJ3" s="89"/>
      <c r="MPK3" s="89"/>
      <c r="MPL3" s="89"/>
      <c r="MPM3" s="89"/>
      <c r="MPN3" s="89"/>
      <c r="MPO3" s="89"/>
      <c r="MPP3" s="89"/>
      <c r="MPQ3" s="89"/>
      <c r="MPR3" s="89"/>
      <c r="MPS3" s="89"/>
      <c r="MPT3" s="89"/>
      <c r="MPU3" s="89"/>
      <c r="MPV3" s="89"/>
      <c r="MPW3" s="89"/>
      <c r="MPX3" s="89"/>
      <c r="MPY3" s="89"/>
      <c r="MPZ3" s="89"/>
      <c r="MQA3" s="89"/>
      <c r="MQB3" s="89"/>
      <c r="MQC3" s="89"/>
      <c r="MQD3" s="89"/>
      <c r="MQE3" s="89"/>
      <c r="MQF3" s="89"/>
      <c r="MQG3" s="89"/>
      <c r="MQH3" s="89"/>
      <c r="MQI3" s="89"/>
      <c r="MQJ3" s="89"/>
      <c r="MQK3" s="89"/>
      <c r="MQL3" s="89"/>
      <c r="MQM3" s="89"/>
      <c r="MQN3" s="89"/>
      <c r="MQO3" s="89"/>
      <c r="MQP3" s="89"/>
      <c r="MQQ3" s="89"/>
      <c r="MQR3" s="89"/>
      <c r="MQS3" s="89"/>
      <c r="MQT3" s="89"/>
      <c r="MQU3" s="89"/>
      <c r="MQV3" s="89"/>
      <c r="MQW3" s="89"/>
      <c r="MQX3" s="89"/>
      <c r="MQY3" s="89"/>
      <c r="MQZ3" s="89"/>
      <c r="MRA3" s="89"/>
      <c r="MRB3" s="89"/>
      <c r="MRC3" s="89"/>
      <c r="MRD3" s="89"/>
      <c r="MRE3" s="89"/>
      <c r="MRF3" s="89"/>
      <c r="MRG3" s="89"/>
      <c r="MRH3" s="89"/>
      <c r="MRI3" s="89"/>
      <c r="MRJ3" s="89"/>
      <c r="MRK3" s="89"/>
      <c r="MRL3" s="89"/>
      <c r="MRM3" s="89"/>
      <c r="MRN3" s="89"/>
      <c r="MRO3" s="89"/>
      <c r="MRP3" s="89"/>
      <c r="MRQ3" s="89"/>
      <c r="MRR3" s="89"/>
      <c r="MRS3" s="89"/>
      <c r="MRT3" s="89"/>
      <c r="MRU3" s="89"/>
      <c r="MRV3" s="89"/>
      <c r="MRW3" s="89"/>
      <c r="MRX3" s="89"/>
      <c r="MRY3" s="89"/>
      <c r="MRZ3" s="89"/>
      <c r="MSA3" s="89"/>
      <c r="MSB3" s="89"/>
      <c r="MSC3" s="89"/>
      <c r="MSD3" s="89"/>
      <c r="MSE3" s="89"/>
      <c r="MSF3" s="89"/>
      <c r="MSG3" s="89"/>
      <c r="MSH3" s="89"/>
      <c r="MSI3" s="89"/>
      <c r="MSJ3" s="89"/>
      <c r="MSK3" s="89"/>
      <c r="MSL3" s="89"/>
      <c r="MSM3" s="89"/>
      <c r="MSN3" s="89"/>
      <c r="MSO3" s="89"/>
      <c r="MSP3" s="89"/>
      <c r="MSQ3" s="89"/>
      <c r="MSR3" s="89"/>
      <c r="MSS3" s="89"/>
      <c r="MST3" s="89"/>
      <c r="MSU3" s="89"/>
      <c r="MSV3" s="89"/>
      <c r="MSW3" s="89"/>
      <c r="MSX3" s="89"/>
      <c r="MSY3" s="89"/>
      <c r="MSZ3" s="89"/>
      <c r="MTA3" s="89"/>
      <c r="MTB3" s="89"/>
      <c r="MTC3" s="89"/>
      <c r="MTD3" s="89"/>
      <c r="MTE3" s="89"/>
      <c r="MTF3" s="89"/>
      <c r="MTG3" s="89"/>
      <c r="MTH3" s="89"/>
      <c r="MTI3" s="89"/>
      <c r="MTJ3" s="89"/>
      <c r="MTK3" s="89"/>
      <c r="MTL3" s="89"/>
      <c r="MTM3" s="89"/>
      <c r="MTN3" s="89"/>
      <c r="MTO3" s="89"/>
      <c r="MTP3" s="89"/>
      <c r="MTQ3" s="89"/>
      <c r="MTR3" s="89"/>
      <c r="MTS3" s="89"/>
      <c r="MTT3" s="89"/>
      <c r="MTU3" s="89"/>
      <c r="MTV3" s="89"/>
      <c r="MTW3" s="89"/>
      <c r="MTX3" s="89"/>
      <c r="MTY3" s="89"/>
      <c r="MTZ3" s="89"/>
      <c r="MUA3" s="89"/>
      <c r="MUB3" s="89"/>
      <c r="MUC3" s="89"/>
      <c r="MUD3" s="89"/>
      <c r="MUE3" s="89"/>
      <c r="MUF3" s="89"/>
      <c r="MUG3" s="89"/>
      <c r="MUH3" s="89"/>
      <c r="MUI3" s="89"/>
      <c r="MUJ3" s="89"/>
      <c r="MUK3" s="89"/>
      <c r="MUL3" s="89"/>
      <c r="MUM3" s="89"/>
      <c r="MUN3" s="89"/>
      <c r="MUO3" s="89"/>
      <c r="MUP3" s="89"/>
      <c r="MUQ3" s="89"/>
      <c r="MUR3" s="89"/>
      <c r="MUS3" s="89"/>
      <c r="MUT3" s="89"/>
      <c r="MUU3" s="89"/>
      <c r="MUV3" s="89"/>
      <c r="MUW3" s="89"/>
      <c r="MUX3" s="89"/>
      <c r="MUY3" s="89"/>
      <c r="MUZ3" s="89"/>
      <c r="MVA3" s="89"/>
      <c r="MVB3" s="89"/>
      <c r="MVC3" s="89"/>
      <c r="MVD3" s="89"/>
      <c r="MVE3" s="89"/>
      <c r="MVF3" s="89"/>
      <c r="MVG3" s="89"/>
      <c r="MVH3" s="89"/>
      <c r="MVI3" s="89"/>
      <c r="MVJ3" s="89"/>
      <c r="MVK3" s="89"/>
      <c r="MVL3" s="89"/>
      <c r="MVM3" s="89"/>
      <c r="MVN3" s="89"/>
      <c r="MVO3" s="89"/>
      <c r="MVP3" s="89"/>
      <c r="MVQ3" s="89"/>
      <c r="MVR3" s="89"/>
      <c r="MVS3" s="89"/>
      <c r="MVT3" s="89"/>
      <c r="MVU3" s="89"/>
      <c r="MVV3" s="89"/>
      <c r="MVW3" s="89"/>
      <c r="MVX3" s="89"/>
      <c r="MVY3" s="89"/>
      <c r="MVZ3" s="89"/>
      <c r="MWA3" s="89"/>
      <c r="MWB3" s="89"/>
      <c r="MWC3" s="89"/>
      <c r="MWD3" s="89"/>
      <c r="MWE3" s="89"/>
      <c r="MWF3" s="89"/>
      <c r="MWG3" s="89"/>
      <c r="MWH3" s="89"/>
      <c r="MWI3" s="89"/>
      <c r="MWJ3" s="89"/>
      <c r="MWK3" s="89"/>
      <c r="MWL3" s="89"/>
      <c r="MWM3" s="89"/>
      <c r="MWN3" s="89"/>
      <c r="MWO3" s="89"/>
      <c r="MWP3" s="89"/>
      <c r="MWQ3" s="89"/>
      <c r="MWR3" s="89"/>
      <c r="MWS3" s="89"/>
      <c r="MWT3" s="89"/>
      <c r="MWU3" s="89"/>
      <c r="MWV3" s="89"/>
      <c r="MWW3" s="89"/>
      <c r="MWX3" s="89"/>
      <c r="MWY3" s="89"/>
      <c r="MWZ3" s="89"/>
      <c r="MXA3" s="89"/>
      <c r="MXB3" s="89"/>
      <c r="MXC3" s="89"/>
      <c r="MXD3" s="89"/>
      <c r="MXE3" s="89"/>
      <c r="MXF3" s="89"/>
      <c r="MXG3" s="89"/>
      <c r="MXH3" s="89"/>
      <c r="MXI3" s="89"/>
      <c r="MXJ3" s="89"/>
      <c r="MXK3" s="89"/>
      <c r="MXL3" s="89"/>
      <c r="MXM3" s="89"/>
      <c r="MXN3" s="89"/>
      <c r="MXO3" s="89"/>
      <c r="MXP3" s="89"/>
      <c r="MXQ3" s="89"/>
      <c r="MXR3" s="89"/>
      <c r="MXS3" s="89"/>
      <c r="MXT3" s="89"/>
      <c r="MXU3" s="89"/>
      <c r="MXV3" s="89"/>
      <c r="MXW3" s="89"/>
      <c r="MXX3" s="89"/>
      <c r="MXY3" s="89"/>
      <c r="MXZ3" s="89"/>
      <c r="MYA3" s="89"/>
      <c r="MYB3" s="89"/>
      <c r="MYC3" s="89"/>
      <c r="MYD3" s="89"/>
      <c r="MYE3" s="89"/>
      <c r="MYF3" s="89"/>
      <c r="MYG3" s="89"/>
      <c r="MYH3" s="89"/>
      <c r="MYI3" s="89"/>
      <c r="MYJ3" s="89"/>
      <c r="MYK3" s="89"/>
      <c r="MYL3" s="89"/>
      <c r="MYM3" s="89"/>
      <c r="MYN3" s="89"/>
      <c r="MYO3" s="89"/>
      <c r="MYP3" s="89"/>
      <c r="MYQ3" s="89"/>
      <c r="MYR3" s="89"/>
      <c r="MYS3" s="89"/>
      <c r="MYT3" s="89"/>
      <c r="MYU3" s="89"/>
      <c r="MYV3" s="89"/>
      <c r="MYW3" s="89"/>
      <c r="MYX3" s="89"/>
      <c r="MYY3" s="89"/>
      <c r="MYZ3" s="89"/>
      <c r="MZA3" s="89"/>
      <c r="MZB3" s="89"/>
      <c r="MZC3" s="89"/>
      <c r="MZD3" s="89"/>
      <c r="MZE3" s="89"/>
      <c r="MZF3" s="89"/>
      <c r="MZG3" s="89"/>
      <c r="MZH3" s="89"/>
      <c r="MZI3" s="89"/>
      <c r="MZJ3" s="89"/>
      <c r="MZK3" s="89"/>
      <c r="MZL3" s="89"/>
      <c r="MZM3" s="89"/>
      <c r="MZN3" s="89"/>
      <c r="MZO3" s="89"/>
      <c r="MZP3" s="89"/>
      <c r="MZQ3" s="89"/>
      <c r="MZR3" s="89"/>
      <c r="MZS3" s="89"/>
      <c r="MZT3" s="89"/>
      <c r="MZU3" s="89"/>
      <c r="MZV3" s="89"/>
      <c r="MZW3" s="89"/>
      <c r="MZX3" s="89"/>
      <c r="MZY3" s="89"/>
      <c r="MZZ3" s="89"/>
      <c r="NAA3" s="89"/>
      <c r="NAB3" s="89"/>
      <c r="NAC3" s="89"/>
      <c r="NAD3" s="89"/>
      <c r="NAE3" s="89"/>
      <c r="NAF3" s="89"/>
      <c r="NAG3" s="89"/>
      <c r="NAH3" s="89"/>
      <c r="NAI3" s="89"/>
      <c r="NAJ3" s="89"/>
      <c r="NAK3" s="89"/>
      <c r="NAL3" s="89"/>
      <c r="NAM3" s="89"/>
      <c r="NAN3" s="89"/>
      <c r="NAO3" s="89"/>
      <c r="NAP3" s="89"/>
      <c r="NAQ3" s="89"/>
      <c r="NAR3" s="89"/>
      <c r="NAS3" s="89"/>
      <c r="NAT3" s="89"/>
      <c r="NAU3" s="89"/>
      <c r="NAV3" s="89"/>
      <c r="NAW3" s="89"/>
      <c r="NAX3" s="89"/>
      <c r="NAY3" s="89"/>
      <c r="NAZ3" s="89"/>
      <c r="NBA3" s="89"/>
      <c r="NBB3" s="89"/>
      <c r="NBC3" s="89"/>
      <c r="NBD3" s="89"/>
      <c r="NBE3" s="89"/>
      <c r="NBF3" s="89"/>
      <c r="NBG3" s="89"/>
      <c r="NBH3" s="89"/>
      <c r="NBI3" s="89"/>
      <c r="NBJ3" s="89"/>
      <c r="NBK3" s="89"/>
      <c r="NBL3" s="89"/>
      <c r="NBM3" s="89"/>
      <c r="NBN3" s="89"/>
      <c r="NBO3" s="89"/>
      <c r="NBP3" s="89"/>
      <c r="NBQ3" s="89"/>
      <c r="NBR3" s="89"/>
      <c r="NBS3" s="89"/>
      <c r="NBT3" s="89"/>
      <c r="NBU3" s="89"/>
      <c r="NBV3" s="89"/>
      <c r="NBW3" s="89"/>
      <c r="NBX3" s="89"/>
      <c r="NBY3" s="89"/>
      <c r="NBZ3" s="89"/>
      <c r="NCA3" s="89"/>
      <c r="NCB3" s="89"/>
      <c r="NCC3" s="89"/>
      <c r="NCD3" s="89"/>
      <c r="NCE3" s="89"/>
      <c r="NCF3" s="89"/>
      <c r="NCG3" s="89"/>
      <c r="NCH3" s="89"/>
      <c r="NCI3" s="89"/>
      <c r="NCJ3" s="89"/>
      <c r="NCK3" s="89"/>
      <c r="NCL3" s="89"/>
      <c r="NCM3" s="89"/>
      <c r="NCN3" s="89"/>
      <c r="NCO3" s="89"/>
      <c r="NCP3" s="89"/>
      <c r="NCQ3" s="89"/>
      <c r="NCR3" s="89"/>
      <c r="NCS3" s="89"/>
      <c r="NCT3" s="89"/>
      <c r="NCU3" s="89"/>
      <c r="NCV3" s="89"/>
      <c r="NCW3" s="89"/>
      <c r="NCX3" s="89"/>
      <c r="NCY3" s="89"/>
      <c r="NCZ3" s="89"/>
      <c r="NDA3" s="89"/>
      <c r="NDB3" s="89"/>
      <c r="NDC3" s="89"/>
      <c r="NDD3" s="89"/>
      <c r="NDE3" s="89"/>
      <c r="NDF3" s="89"/>
      <c r="NDG3" s="89"/>
      <c r="NDH3" s="89"/>
      <c r="NDI3" s="89"/>
      <c r="NDJ3" s="89"/>
      <c r="NDK3" s="89"/>
      <c r="NDL3" s="89"/>
      <c r="NDM3" s="89"/>
      <c r="NDN3" s="89"/>
      <c r="NDO3" s="89"/>
      <c r="NDP3" s="89"/>
      <c r="NDQ3" s="89"/>
      <c r="NDR3" s="89"/>
      <c r="NDS3" s="89"/>
      <c r="NDT3" s="89"/>
      <c r="NDU3" s="89"/>
      <c r="NDV3" s="89"/>
      <c r="NDW3" s="89"/>
      <c r="NDX3" s="89"/>
      <c r="NDY3" s="89"/>
      <c r="NDZ3" s="89"/>
      <c r="NEA3" s="89"/>
      <c r="NEB3" s="89"/>
      <c r="NEC3" s="89"/>
      <c r="NED3" s="89"/>
      <c r="NEE3" s="89"/>
      <c r="NEF3" s="89"/>
      <c r="NEG3" s="89"/>
      <c r="NEH3" s="89"/>
      <c r="NEI3" s="89"/>
      <c r="NEJ3" s="89"/>
      <c r="NEK3" s="89"/>
      <c r="NEL3" s="89"/>
      <c r="NEM3" s="89"/>
      <c r="NEN3" s="89"/>
      <c r="NEO3" s="89"/>
      <c r="NEP3" s="89"/>
      <c r="NEQ3" s="89"/>
      <c r="NER3" s="89"/>
      <c r="NES3" s="89"/>
      <c r="NET3" s="89"/>
      <c r="NEU3" s="89"/>
      <c r="NEV3" s="89"/>
      <c r="NEW3" s="89"/>
      <c r="NEX3" s="89"/>
      <c r="NEY3" s="89"/>
      <c r="NEZ3" s="89"/>
      <c r="NFA3" s="89"/>
      <c r="NFB3" s="89"/>
      <c r="NFC3" s="89"/>
      <c r="NFD3" s="89"/>
      <c r="NFE3" s="89"/>
      <c r="NFF3" s="89"/>
      <c r="NFG3" s="89"/>
      <c r="NFH3" s="89"/>
      <c r="NFI3" s="89"/>
      <c r="NFJ3" s="89"/>
      <c r="NFK3" s="89"/>
      <c r="NFL3" s="89"/>
      <c r="NFM3" s="89"/>
      <c r="NFN3" s="89"/>
      <c r="NFO3" s="89"/>
      <c r="NFP3" s="89"/>
      <c r="NFQ3" s="89"/>
      <c r="NFR3" s="89"/>
      <c r="NFS3" s="89"/>
      <c r="NFT3" s="89"/>
      <c r="NFU3" s="89"/>
      <c r="NFV3" s="89"/>
      <c r="NFW3" s="89"/>
      <c r="NFX3" s="89"/>
      <c r="NFY3" s="89"/>
      <c r="NFZ3" s="89"/>
      <c r="NGA3" s="89"/>
      <c r="NGB3" s="89"/>
      <c r="NGC3" s="89"/>
      <c r="NGD3" s="89"/>
      <c r="NGE3" s="89"/>
      <c r="NGF3" s="89"/>
      <c r="NGG3" s="89"/>
      <c r="NGH3" s="89"/>
      <c r="NGI3" s="89"/>
      <c r="NGJ3" s="89"/>
      <c r="NGK3" s="89"/>
      <c r="NGL3" s="89"/>
      <c r="NGM3" s="89"/>
      <c r="NGN3" s="89"/>
      <c r="NGO3" s="89"/>
      <c r="NGP3" s="89"/>
      <c r="NGQ3" s="89"/>
      <c r="NGR3" s="89"/>
      <c r="NGS3" s="89"/>
      <c r="NGT3" s="89"/>
      <c r="NGU3" s="89"/>
      <c r="NGV3" s="89"/>
      <c r="NGW3" s="89"/>
      <c r="NGX3" s="89"/>
      <c r="NGY3" s="89"/>
      <c r="NGZ3" s="89"/>
      <c r="NHA3" s="89"/>
      <c r="NHB3" s="89"/>
      <c r="NHC3" s="89"/>
      <c r="NHD3" s="89"/>
      <c r="NHE3" s="89"/>
      <c r="NHF3" s="89"/>
      <c r="NHG3" s="89"/>
      <c r="NHH3" s="89"/>
      <c r="NHI3" s="89"/>
      <c r="NHJ3" s="89"/>
      <c r="NHK3" s="89"/>
      <c r="NHL3" s="89"/>
      <c r="NHM3" s="89"/>
      <c r="NHN3" s="89"/>
      <c r="NHO3" s="89"/>
      <c r="NHP3" s="89"/>
      <c r="NHQ3" s="89"/>
      <c r="NHR3" s="89"/>
      <c r="NHS3" s="89"/>
      <c r="NHT3" s="89"/>
      <c r="NHU3" s="89"/>
      <c r="NHV3" s="89"/>
      <c r="NHW3" s="89"/>
      <c r="NHX3" s="89"/>
      <c r="NHY3" s="89"/>
      <c r="NHZ3" s="89"/>
      <c r="NIA3" s="89"/>
      <c r="NIB3" s="89"/>
      <c r="NIC3" s="89"/>
      <c r="NID3" s="89"/>
      <c r="NIE3" s="89"/>
      <c r="NIF3" s="89"/>
      <c r="NIG3" s="89"/>
      <c r="NIH3" s="89"/>
      <c r="NII3" s="89"/>
      <c r="NIJ3" s="89"/>
      <c r="NIK3" s="89"/>
      <c r="NIL3" s="89"/>
      <c r="NIM3" s="89"/>
      <c r="NIN3" s="89"/>
      <c r="NIO3" s="89"/>
      <c r="NIP3" s="89"/>
      <c r="NIQ3" s="89"/>
      <c r="NIR3" s="89"/>
      <c r="NIS3" s="89"/>
      <c r="NIT3" s="89"/>
      <c r="NIU3" s="89"/>
      <c r="NIV3" s="89"/>
      <c r="NIW3" s="89"/>
      <c r="NIX3" s="89"/>
      <c r="NIY3" s="89"/>
      <c r="NIZ3" s="89"/>
      <c r="NJA3" s="89"/>
      <c r="NJB3" s="89"/>
      <c r="NJC3" s="89"/>
      <c r="NJD3" s="89"/>
      <c r="NJE3" s="89"/>
      <c r="NJF3" s="89"/>
      <c r="NJG3" s="89"/>
      <c r="NJH3" s="89"/>
      <c r="NJI3" s="89"/>
      <c r="NJJ3" s="89"/>
      <c r="NJK3" s="89"/>
      <c r="NJL3" s="89"/>
      <c r="NJM3" s="89"/>
      <c r="NJN3" s="89"/>
      <c r="NJO3" s="89"/>
      <c r="NJP3" s="89"/>
      <c r="NJQ3" s="89"/>
      <c r="NJR3" s="89"/>
      <c r="NJS3" s="89"/>
      <c r="NJT3" s="89"/>
      <c r="NJU3" s="89"/>
      <c r="NJV3" s="89"/>
      <c r="NJW3" s="89"/>
      <c r="NJX3" s="89"/>
      <c r="NJY3" s="89"/>
      <c r="NJZ3" s="89"/>
      <c r="NKA3" s="89"/>
      <c r="NKB3" s="89"/>
      <c r="NKC3" s="89"/>
      <c r="NKD3" s="89"/>
      <c r="NKE3" s="89"/>
      <c r="NKF3" s="89"/>
      <c r="NKG3" s="89"/>
      <c r="NKH3" s="89"/>
      <c r="NKI3" s="89"/>
      <c r="NKJ3" s="89"/>
      <c r="NKK3" s="89"/>
      <c r="NKL3" s="89"/>
      <c r="NKM3" s="89"/>
      <c r="NKN3" s="89"/>
      <c r="NKO3" s="89"/>
      <c r="NKP3" s="89"/>
      <c r="NKQ3" s="89"/>
      <c r="NKR3" s="89"/>
      <c r="NKS3" s="89"/>
      <c r="NKT3" s="89"/>
      <c r="NKU3" s="89"/>
      <c r="NKV3" s="89"/>
      <c r="NKW3" s="89"/>
      <c r="NKX3" s="89"/>
      <c r="NKY3" s="89"/>
      <c r="NKZ3" s="89"/>
      <c r="NLA3" s="89"/>
      <c r="NLB3" s="89"/>
      <c r="NLC3" s="89"/>
      <c r="NLD3" s="89"/>
      <c r="NLE3" s="89"/>
      <c r="NLF3" s="89"/>
      <c r="NLG3" s="89"/>
      <c r="NLH3" s="89"/>
      <c r="NLI3" s="89"/>
      <c r="NLJ3" s="89"/>
      <c r="NLK3" s="89"/>
      <c r="NLL3" s="89"/>
      <c r="NLM3" s="89"/>
      <c r="NLN3" s="89"/>
      <c r="NLO3" s="89"/>
      <c r="NLP3" s="89"/>
      <c r="NLQ3" s="89"/>
      <c r="NLR3" s="89"/>
      <c r="NLS3" s="89"/>
      <c r="NLT3" s="89"/>
      <c r="NLU3" s="89"/>
      <c r="NLV3" s="89"/>
      <c r="NLW3" s="89"/>
      <c r="NLX3" s="89"/>
      <c r="NLY3" s="89"/>
      <c r="NLZ3" s="89"/>
      <c r="NMA3" s="89"/>
      <c r="NMB3" s="89"/>
      <c r="NMC3" s="89"/>
      <c r="NMD3" s="89"/>
      <c r="NME3" s="89"/>
      <c r="NMF3" s="89"/>
      <c r="NMG3" s="89"/>
      <c r="NMH3" s="89"/>
      <c r="NMI3" s="89"/>
      <c r="NMJ3" s="89"/>
      <c r="NMK3" s="89"/>
      <c r="NML3" s="89"/>
      <c r="NMM3" s="89"/>
      <c r="NMN3" s="89"/>
      <c r="NMO3" s="89"/>
      <c r="NMP3" s="89"/>
      <c r="NMQ3" s="89"/>
      <c r="NMR3" s="89"/>
      <c r="NMS3" s="89"/>
      <c r="NMT3" s="89"/>
      <c r="NMU3" s="89"/>
      <c r="NMV3" s="89"/>
      <c r="NMW3" s="89"/>
      <c r="NMX3" s="89"/>
      <c r="NMY3" s="89"/>
      <c r="NMZ3" s="89"/>
      <c r="NNA3" s="89"/>
      <c r="NNB3" s="89"/>
      <c r="NNC3" s="89"/>
      <c r="NND3" s="89"/>
      <c r="NNE3" s="89"/>
      <c r="NNF3" s="89"/>
      <c r="NNG3" s="89"/>
      <c r="NNH3" s="89"/>
      <c r="NNI3" s="89"/>
      <c r="NNJ3" s="89"/>
      <c r="NNK3" s="89"/>
      <c r="NNL3" s="89"/>
      <c r="NNM3" s="89"/>
      <c r="NNN3" s="89"/>
      <c r="NNO3" s="89"/>
      <c r="NNP3" s="89"/>
      <c r="NNQ3" s="89"/>
      <c r="NNR3" s="89"/>
      <c r="NNS3" s="89"/>
      <c r="NNT3" s="89"/>
      <c r="NNU3" s="89"/>
      <c r="NNV3" s="89"/>
      <c r="NNW3" s="89"/>
      <c r="NNX3" s="89"/>
      <c r="NNY3" s="89"/>
      <c r="NNZ3" s="89"/>
      <c r="NOA3" s="89"/>
      <c r="NOB3" s="89"/>
      <c r="NOC3" s="89"/>
      <c r="NOD3" s="89"/>
      <c r="NOE3" s="89"/>
      <c r="NOF3" s="89"/>
      <c r="NOG3" s="89"/>
      <c r="NOH3" s="89"/>
      <c r="NOI3" s="89"/>
      <c r="NOJ3" s="89"/>
      <c r="NOK3" s="89"/>
      <c r="NOL3" s="89"/>
      <c r="NOM3" s="89"/>
      <c r="NON3" s="89"/>
      <c r="NOO3" s="89"/>
      <c r="NOP3" s="89"/>
      <c r="NOQ3" s="89"/>
      <c r="NOR3" s="89"/>
      <c r="NOS3" s="89"/>
      <c r="NOT3" s="89"/>
      <c r="NOU3" s="89"/>
      <c r="NOV3" s="89"/>
      <c r="NOW3" s="89"/>
      <c r="NOX3" s="89"/>
      <c r="NOY3" s="89"/>
      <c r="NOZ3" s="89"/>
      <c r="NPA3" s="89"/>
      <c r="NPB3" s="89"/>
      <c r="NPC3" s="89"/>
      <c r="NPD3" s="89"/>
      <c r="NPE3" s="89"/>
      <c r="NPF3" s="89"/>
      <c r="NPG3" s="89"/>
      <c r="NPH3" s="89"/>
      <c r="NPI3" s="89"/>
      <c r="NPJ3" s="89"/>
      <c r="NPK3" s="89"/>
      <c r="NPL3" s="89"/>
      <c r="NPM3" s="89"/>
      <c r="NPN3" s="89"/>
      <c r="NPO3" s="89"/>
      <c r="NPP3" s="89"/>
      <c r="NPQ3" s="89"/>
      <c r="NPR3" s="89"/>
      <c r="NPS3" s="89"/>
      <c r="NPT3" s="89"/>
      <c r="NPU3" s="89"/>
      <c r="NPV3" s="89"/>
      <c r="NPW3" s="89"/>
      <c r="NPX3" s="89"/>
      <c r="NPY3" s="89"/>
      <c r="NPZ3" s="89"/>
      <c r="NQA3" s="89"/>
      <c r="NQB3" s="89"/>
      <c r="NQC3" s="89"/>
      <c r="NQD3" s="89"/>
      <c r="NQE3" s="89"/>
      <c r="NQF3" s="89"/>
      <c r="NQG3" s="89"/>
      <c r="NQH3" s="89"/>
      <c r="NQI3" s="89"/>
      <c r="NQJ3" s="89"/>
      <c r="NQK3" s="89"/>
      <c r="NQL3" s="89"/>
      <c r="NQM3" s="89"/>
      <c r="NQN3" s="89"/>
      <c r="NQO3" s="89"/>
      <c r="NQP3" s="89"/>
      <c r="NQQ3" s="89"/>
      <c r="NQR3" s="89"/>
      <c r="NQS3" s="89"/>
      <c r="NQT3" s="89"/>
      <c r="NQU3" s="89"/>
      <c r="NQV3" s="89"/>
      <c r="NQW3" s="89"/>
      <c r="NQX3" s="89"/>
      <c r="NQY3" s="89"/>
      <c r="NQZ3" s="89"/>
      <c r="NRA3" s="89"/>
      <c r="NRB3" s="89"/>
      <c r="NRC3" s="89"/>
      <c r="NRD3" s="89"/>
      <c r="NRE3" s="89"/>
      <c r="NRF3" s="89"/>
      <c r="NRG3" s="89"/>
      <c r="NRH3" s="89"/>
      <c r="NRI3" s="89"/>
      <c r="NRJ3" s="89"/>
      <c r="NRK3" s="89"/>
      <c r="NRL3" s="89"/>
      <c r="NRM3" s="89"/>
      <c r="NRN3" s="89"/>
      <c r="NRO3" s="89"/>
      <c r="NRP3" s="89"/>
      <c r="NRQ3" s="89"/>
      <c r="NRR3" s="89"/>
      <c r="NRS3" s="89"/>
      <c r="NRT3" s="89"/>
      <c r="NRU3" s="89"/>
      <c r="NRV3" s="89"/>
      <c r="NRW3" s="89"/>
      <c r="NRX3" s="89"/>
      <c r="NRY3" s="89"/>
      <c r="NRZ3" s="89"/>
      <c r="NSA3" s="89"/>
      <c r="NSB3" s="89"/>
      <c r="NSC3" s="89"/>
      <c r="NSD3" s="89"/>
      <c r="NSE3" s="89"/>
      <c r="NSF3" s="89"/>
      <c r="NSG3" s="89"/>
      <c r="NSH3" s="89"/>
      <c r="NSI3" s="89"/>
      <c r="NSJ3" s="89"/>
      <c r="NSK3" s="89"/>
      <c r="NSL3" s="89"/>
      <c r="NSM3" s="89"/>
      <c r="NSN3" s="89"/>
      <c r="NSO3" s="89"/>
      <c r="NSP3" s="89"/>
      <c r="NSQ3" s="89"/>
      <c r="NSR3" s="89"/>
      <c r="NSS3" s="89"/>
      <c r="NST3" s="89"/>
      <c r="NSU3" s="89"/>
      <c r="NSV3" s="89"/>
      <c r="NSW3" s="89"/>
      <c r="NSX3" s="89"/>
      <c r="NSY3" s="89"/>
      <c r="NSZ3" s="89"/>
      <c r="NTA3" s="89"/>
      <c r="NTB3" s="89"/>
      <c r="NTC3" s="89"/>
      <c r="NTD3" s="89"/>
      <c r="NTE3" s="89"/>
      <c r="NTF3" s="89"/>
      <c r="NTG3" s="89"/>
      <c r="NTH3" s="89"/>
      <c r="NTI3" s="89"/>
      <c r="NTJ3" s="89"/>
      <c r="NTK3" s="89"/>
      <c r="NTL3" s="89"/>
      <c r="NTM3" s="89"/>
      <c r="NTN3" s="89"/>
      <c r="NTO3" s="89"/>
      <c r="NTP3" s="89"/>
      <c r="NTQ3" s="89"/>
      <c r="NTR3" s="89"/>
      <c r="NTS3" s="89"/>
      <c r="NTT3" s="89"/>
      <c r="NTU3" s="89"/>
      <c r="NTV3" s="89"/>
      <c r="NTW3" s="89"/>
      <c r="NTX3" s="89"/>
      <c r="NTY3" s="89"/>
      <c r="NTZ3" s="89"/>
      <c r="NUA3" s="89"/>
      <c r="NUB3" s="89"/>
      <c r="NUC3" s="89"/>
      <c r="NUD3" s="89"/>
      <c r="NUE3" s="89"/>
      <c r="NUF3" s="89"/>
      <c r="NUG3" s="89"/>
      <c r="NUH3" s="89"/>
      <c r="NUI3" s="89"/>
      <c r="NUJ3" s="89"/>
      <c r="NUK3" s="89"/>
      <c r="NUL3" s="89"/>
      <c r="NUM3" s="89"/>
      <c r="NUN3" s="89"/>
      <c r="NUO3" s="89"/>
      <c r="NUP3" s="89"/>
      <c r="NUQ3" s="89"/>
      <c r="NUR3" s="89"/>
      <c r="NUS3" s="89"/>
      <c r="NUT3" s="89"/>
      <c r="NUU3" s="89"/>
      <c r="NUV3" s="89"/>
      <c r="NUW3" s="89"/>
      <c r="NUX3" s="89"/>
      <c r="NUY3" s="89"/>
      <c r="NUZ3" s="89"/>
      <c r="NVA3" s="89"/>
      <c r="NVB3" s="89"/>
      <c r="NVC3" s="89"/>
      <c r="NVD3" s="89"/>
      <c r="NVE3" s="89"/>
      <c r="NVF3" s="89"/>
      <c r="NVG3" s="89"/>
      <c r="NVH3" s="89"/>
      <c r="NVI3" s="89"/>
      <c r="NVJ3" s="89"/>
      <c r="NVK3" s="89"/>
      <c r="NVL3" s="89"/>
      <c r="NVM3" s="89"/>
      <c r="NVN3" s="89"/>
      <c r="NVO3" s="89"/>
      <c r="NVP3" s="89"/>
      <c r="NVQ3" s="89"/>
      <c r="NVR3" s="89"/>
      <c r="NVS3" s="89"/>
      <c r="NVT3" s="89"/>
      <c r="NVU3" s="89"/>
      <c r="NVV3" s="89"/>
      <c r="NVW3" s="89"/>
      <c r="NVX3" s="89"/>
      <c r="NVY3" s="89"/>
      <c r="NVZ3" s="89"/>
      <c r="NWA3" s="89"/>
      <c r="NWB3" s="89"/>
      <c r="NWC3" s="89"/>
      <c r="NWD3" s="89"/>
      <c r="NWE3" s="89"/>
      <c r="NWF3" s="89"/>
      <c r="NWG3" s="89"/>
      <c r="NWH3" s="89"/>
      <c r="NWI3" s="89"/>
      <c r="NWJ3" s="89"/>
      <c r="NWK3" s="89"/>
      <c r="NWL3" s="89"/>
      <c r="NWM3" s="89"/>
      <c r="NWN3" s="89"/>
      <c r="NWO3" s="89"/>
      <c r="NWP3" s="89"/>
      <c r="NWQ3" s="89"/>
      <c r="NWR3" s="89"/>
      <c r="NWS3" s="89"/>
      <c r="NWT3" s="89"/>
      <c r="NWU3" s="89"/>
      <c r="NWV3" s="89"/>
      <c r="NWW3" s="89"/>
      <c r="NWX3" s="89"/>
      <c r="NWY3" s="89"/>
      <c r="NWZ3" s="89"/>
      <c r="NXA3" s="89"/>
      <c r="NXB3" s="89"/>
      <c r="NXC3" s="89"/>
      <c r="NXD3" s="89"/>
      <c r="NXE3" s="89"/>
      <c r="NXF3" s="89"/>
      <c r="NXG3" s="89"/>
      <c r="NXH3" s="89"/>
      <c r="NXI3" s="89"/>
      <c r="NXJ3" s="89"/>
      <c r="NXK3" s="89"/>
      <c r="NXL3" s="89"/>
      <c r="NXM3" s="89"/>
      <c r="NXN3" s="89"/>
      <c r="NXO3" s="89"/>
      <c r="NXP3" s="89"/>
      <c r="NXQ3" s="89"/>
      <c r="NXR3" s="89"/>
      <c r="NXS3" s="89"/>
      <c r="NXT3" s="89"/>
      <c r="NXU3" s="89"/>
      <c r="NXV3" s="89"/>
      <c r="NXW3" s="89"/>
      <c r="NXX3" s="89"/>
      <c r="NXY3" s="89"/>
      <c r="NXZ3" s="89"/>
      <c r="NYA3" s="89"/>
      <c r="NYB3" s="89"/>
      <c r="NYC3" s="89"/>
      <c r="NYD3" s="89"/>
      <c r="NYE3" s="89"/>
      <c r="NYF3" s="89"/>
      <c r="NYG3" s="89"/>
      <c r="NYH3" s="89"/>
      <c r="NYI3" s="89"/>
      <c r="NYJ3" s="89"/>
      <c r="NYK3" s="89"/>
      <c r="NYL3" s="89"/>
      <c r="NYM3" s="89"/>
      <c r="NYN3" s="89"/>
      <c r="NYO3" s="89"/>
      <c r="NYP3" s="89"/>
      <c r="NYQ3" s="89"/>
      <c r="NYR3" s="89"/>
      <c r="NYS3" s="89"/>
      <c r="NYT3" s="89"/>
      <c r="NYU3" s="89"/>
      <c r="NYV3" s="89"/>
      <c r="NYW3" s="89"/>
      <c r="NYX3" s="89"/>
      <c r="NYY3" s="89"/>
      <c r="NYZ3" s="89"/>
      <c r="NZA3" s="89"/>
      <c r="NZB3" s="89"/>
      <c r="NZC3" s="89"/>
      <c r="NZD3" s="89"/>
      <c r="NZE3" s="89"/>
      <c r="NZF3" s="89"/>
      <c r="NZG3" s="89"/>
      <c r="NZH3" s="89"/>
      <c r="NZI3" s="89"/>
      <c r="NZJ3" s="89"/>
      <c r="NZK3" s="89"/>
      <c r="NZL3" s="89"/>
      <c r="NZM3" s="89"/>
      <c r="NZN3" s="89"/>
      <c r="NZO3" s="89"/>
      <c r="NZP3" s="89"/>
      <c r="NZQ3" s="89"/>
      <c r="NZR3" s="89"/>
      <c r="NZS3" s="89"/>
      <c r="NZT3" s="89"/>
      <c r="NZU3" s="89"/>
      <c r="NZV3" s="89"/>
      <c r="NZW3" s="89"/>
      <c r="NZX3" s="89"/>
      <c r="NZY3" s="89"/>
      <c r="NZZ3" s="89"/>
      <c r="OAA3" s="89"/>
      <c r="OAB3" s="89"/>
      <c r="OAC3" s="89"/>
      <c r="OAD3" s="89"/>
      <c r="OAE3" s="89"/>
      <c r="OAF3" s="89"/>
      <c r="OAG3" s="89"/>
      <c r="OAH3" s="89"/>
      <c r="OAI3" s="89"/>
      <c r="OAJ3" s="89"/>
      <c r="OAK3" s="89"/>
      <c r="OAL3" s="89"/>
      <c r="OAM3" s="89"/>
      <c r="OAN3" s="89"/>
      <c r="OAO3" s="89"/>
      <c r="OAP3" s="89"/>
      <c r="OAQ3" s="89"/>
      <c r="OAR3" s="89"/>
      <c r="OAS3" s="89"/>
      <c r="OAT3" s="89"/>
      <c r="OAU3" s="89"/>
      <c r="OAV3" s="89"/>
      <c r="OAW3" s="89"/>
      <c r="OAX3" s="89"/>
      <c r="OAY3" s="89"/>
      <c r="OAZ3" s="89"/>
      <c r="OBA3" s="89"/>
      <c r="OBB3" s="89"/>
      <c r="OBC3" s="89"/>
      <c r="OBD3" s="89"/>
      <c r="OBE3" s="89"/>
      <c r="OBF3" s="89"/>
      <c r="OBG3" s="89"/>
      <c r="OBH3" s="89"/>
      <c r="OBI3" s="89"/>
      <c r="OBJ3" s="89"/>
      <c r="OBK3" s="89"/>
      <c r="OBL3" s="89"/>
      <c r="OBM3" s="89"/>
      <c r="OBN3" s="89"/>
      <c r="OBO3" s="89"/>
      <c r="OBP3" s="89"/>
      <c r="OBQ3" s="89"/>
      <c r="OBR3" s="89"/>
      <c r="OBS3" s="89"/>
      <c r="OBT3" s="89"/>
      <c r="OBU3" s="89"/>
      <c r="OBV3" s="89"/>
      <c r="OBW3" s="89"/>
      <c r="OBX3" s="89"/>
      <c r="OBY3" s="89"/>
      <c r="OBZ3" s="89"/>
      <c r="OCA3" s="89"/>
      <c r="OCB3" s="89"/>
      <c r="OCC3" s="89"/>
      <c r="OCD3" s="89"/>
      <c r="OCE3" s="89"/>
      <c r="OCF3" s="89"/>
      <c r="OCG3" s="89"/>
      <c r="OCH3" s="89"/>
      <c r="OCI3" s="89"/>
      <c r="OCJ3" s="89"/>
      <c r="OCK3" s="89"/>
      <c r="OCL3" s="89"/>
      <c r="OCM3" s="89"/>
      <c r="OCN3" s="89"/>
      <c r="OCO3" s="89"/>
      <c r="OCP3" s="89"/>
      <c r="OCQ3" s="89"/>
      <c r="OCR3" s="89"/>
      <c r="OCS3" s="89"/>
      <c r="OCT3" s="89"/>
      <c r="OCU3" s="89"/>
      <c r="OCV3" s="89"/>
      <c r="OCW3" s="89"/>
      <c r="OCX3" s="89"/>
      <c r="OCY3" s="89"/>
      <c r="OCZ3" s="89"/>
      <c r="ODA3" s="89"/>
      <c r="ODB3" s="89"/>
      <c r="ODC3" s="89"/>
      <c r="ODD3" s="89"/>
      <c r="ODE3" s="89"/>
      <c r="ODF3" s="89"/>
      <c r="ODG3" s="89"/>
      <c r="ODH3" s="89"/>
      <c r="ODI3" s="89"/>
      <c r="ODJ3" s="89"/>
      <c r="ODK3" s="89"/>
      <c r="ODL3" s="89"/>
      <c r="ODM3" s="89"/>
      <c r="ODN3" s="89"/>
      <c r="ODO3" s="89"/>
      <c r="ODP3" s="89"/>
      <c r="ODQ3" s="89"/>
      <c r="ODR3" s="89"/>
      <c r="ODS3" s="89"/>
      <c r="ODT3" s="89"/>
      <c r="ODU3" s="89"/>
      <c r="ODV3" s="89"/>
      <c r="ODW3" s="89"/>
      <c r="ODX3" s="89"/>
      <c r="ODY3" s="89"/>
      <c r="ODZ3" s="89"/>
      <c r="OEA3" s="89"/>
      <c r="OEB3" s="89"/>
      <c r="OEC3" s="89"/>
      <c r="OED3" s="89"/>
      <c r="OEE3" s="89"/>
      <c r="OEF3" s="89"/>
      <c r="OEG3" s="89"/>
      <c r="OEH3" s="89"/>
      <c r="OEI3" s="89"/>
      <c r="OEJ3" s="89"/>
      <c r="OEK3" s="89"/>
      <c r="OEL3" s="89"/>
      <c r="OEM3" s="89"/>
      <c r="OEN3" s="89"/>
      <c r="OEO3" s="89"/>
      <c r="OEP3" s="89"/>
      <c r="OEQ3" s="89"/>
      <c r="OER3" s="89"/>
      <c r="OES3" s="89"/>
      <c r="OET3" s="89"/>
      <c r="OEU3" s="89"/>
      <c r="OEV3" s="89"/>
      <c r="OEW3" s="89"/>
      <c r="OEX3" s="89"/>
      <c r="OEY3" s="89"/>
      <c r="OEZ3" s="89"/>
      <c r="OFA3" s="89"/>
      <c r="OFB3" s="89"/>
      <c r="OFC3" s="89"/>
      <c r="OFD3" s="89"/>
      <c r="OFE3" s="89"/>
      <c r="OFF3" s="89"/>
      <c r="OFG3" s="89"/>
      <c r="OFH3" s="89"/>
      <c r="OFI3" s="89"/>
      <c r="OFJ3" s="89"/>
      <c r="OFK3" s="89"/>
      <c r="OFL3" s="89"/>
      <c r="OFM3" s="89"/>
      <c r="OFN3" s="89"/>
      <c r="OFO3" s="89"/>
      <c r="OFP3" s="89"/>
      <c r="OFQ3" s="89"/>
      <c r="OFR3" s="89"/>
      <c r="OFS3" s="89"/>
      <c r="OFT3" s="89"/>
      <c r="OFU3" s="89"/>
      <c r="OFV3" s="89"/>
      <c r="OFW3" s="89"/>
      <c r="OFX3" s="89"/>
      <c r="OFY3" s="89"/>
      <c r="OFZ3" s="89"/>
      <c r="OGA3" s="89"/>
      <c r="OGB3" s="89"/>
      <c r="OGC3" s="89"/>
      <c r="OGD3" s="89"/>
      <c r="OGE3" s="89"/>
      <c r="OGF3" s="89"/>
      <c r="OGG3" s="89"/>
      <c r="OGH3" s="89"/>
      <c r="OGI3" s="89"/>
      <c r="OGJ3" s="89"/>
      <c r="OGK3" s="89"/>
      <c r="OGL3" s="89"/>
      <c r="OGM3" s="89"/>
      <c r="OGN3" s="89"/>
      <c r="OGO3" s="89"/>
      <c r="OGP3" s="89"/>
      <c r="OGQ3" s="89"/>
      <c r="OGR3" s="89"/>
      <c r="OGS3" s="89"/>
      <c r="OGT3" s="89"/>
      <c r="OGU3" s="89"/>
      <c r="OGV3" s="89"/>
      <c r="OGW3" s="89"/>
      <c r="OGX3" s="89"/>
      <c r="OGY3" s="89"/>
      <c r="OGZ3" s="89"/>
      <c r="OHA3" s="89"/>
      <c r="OHB3" s="89"/>
      <c r="OHC3" s="89"/>
      <c r="OHD3" s="89"/>
      <c r="OHE3" s="89"/>
      <c r="OHF3" s="89"/>
      <c r="OHG3" s="89"/>
      <c r="OHH3" s="89"/>
      <c r="OHI3" s="89"/>
      <c r="OHJ3" s="89"/>
      <c r="OHK3" s="89"/>
      <c r="OHL3" s="89"/>
      <c r="OHM3" s="89"/>
      <c r="OHN3" s="89"/>
      <c r="OHO3" s="89"/>
      <c r="OHP3" s="89"/>
      <c r="OHQ3" s="89"/>
      <c r="OHR3" s="89"/>
      <c r="OHS3" s="89"/>
      <c r="OHT3" s="89"/>
      <c r="OHU3" s="89"/>
      <c r="OHV3" s="89"/>
      <c r="OHW3" s="89"/>
      <c r="OHX3" s="89"/>
      <c r="OHY3" s="89"/>
      <c r="OHZ3" s="89"/>
      <c r="OIA3" s="89"/>
      <c r="OIB3" s="89"/>
      <c r="OIC3" s="89"/>
      <c r="OID3" s="89"/>
      <c r="OIE3" s="89"/>
      <c r="OIF3" s="89"/>
      <c r="OIG3" s="89"/>
      <c r="OIH3" s="89"/>
      <c r="OII3" s="89"/>
      <c r="OIJ3" s="89"/>
      <c r="OIK3" s="89"/>
      <c r="OIL3" s="89"/>
      <c r="OIM3" s="89"/>
      <c r="OIN3" s="89"/>
      <c r="OIO3" s="89"/>
      <c r="OIP3" s="89"/>
      <c r="OIQ3" s="89"/>
      <c r="OIR3" s="89"/>
      <c r="OIS3" s="89"/>
      <c r="OIT3" s="89"/>
      <c r="OIU3" s="89"/>
      <c r="OIV3" s="89"/>
      <c r="OIW3" s="89"/>
      <c r="OIX3" s="89"/>
      <c r="OIY3" s="89"/>
      <c r="OIZ3" s="89"/>
      <c r="OJA3" s="89"/>
      <c r="OJB3" s="89"/>
      <c r="OJC3" s="89"/>
      <c r="OJD3" s="89"/>
      <c r="OJE3" s="89"/>
      <c r="OJF3" s="89"/>
      <c r="OJG3" s="89"/>
      <c r="OJH3" s="89"/>
      <c r="OJI3" s="89"/>
      <c r="OJJ3" s="89"/>
      <c r="OJK3" s="89"/>
      <c r="OJL3" s="89"/>
      <c r="OJM3" s="89"/>
      <c r="OJN3" s="89"/>
      <c r="OJO3" s="89"/>
      <c r="OJP3" s="89"/>
      <c r="OJQ3" s="89"/>
      <c r="OJR3" s="89"/>
      <c r="OJS3" s="89"/>
      <c r="OJT3" s="89"/>
      <c r="OJU3" s="89"/>
      <c r="OJV3" s="89"/>
      <c r="OJW3" s="89"/>
      <c r="OJX3" s="89"/>
      <c r="OJY3" s="89"/>
      <c r="OJZ3" s="89"/>
      <c r="OKA3" s="89"/>
      <c r="OKB3" s="89"/>
      <c r="OKC3" s="89"/>
      <c r="OKD3" s="89"/>
      <c r="OKE3" s="89"/>
      <c r="OKF3" s="89"/>
      <c r="OKG3" s="89"/>
      <c r="OKH3" s="89"/>
      <c r="OKI3" s="89"/>
      <c r="OKJ3" s="89"/>
      <c r="OKK3" s="89"/>
      <c r="OKL3" s="89"/>
      <c r="OKM3" s="89"/>
      <c r="OKN3" s="89"/>
      <c r="OKO3" s="89"/>
      <c r="OKP3" s="89"/>
      <c r="OKQ3" s="89"/>
      <c r="OKR3" s="89"/>
      <c r="OKS3" s="89"/>
      <c r="OKT3" s="89"/>
      <c r="OKU3" s="89"/>
      <c r="OKV3" s="89"/>
      <c r="OKW3" s="89"/>
      <c r="OKX3" s="89"/>
      <c r="OKY3" s="89"/>
      <c r="OKZ3" s="89"/>
      <c r="OLA3" s="89"/>
      <c r="OLB3" s="89"/>
      <c r="OLC3" s="89"/>
      <c r="OLD3" s="89"/>
      <c r="OLE3" s="89"/>
      <c r="OLF3" s="89"/>
      <c r="OLG3" s="89"/>
      <c r="OLH3" s="89"/>
      <c r="OLI3" s="89"/>
      <c r="OLJ3" s="89"/>
      <c r="OLK3" s="89"/>
      <c r="OLL3" s="89"/>
      <c r="OLM3" s="89"/>
      <c r="OLN3" s="89"/>
      <c r="OLO3" s="89"/>
      <c r="OLP3" s="89"/>
      <c r="OLQ3" s="89"/>
      <c r="OLR3" s="89"/>
      <c r="OLS3" s="89"/>
      <c r="OLT3" s="89"/>
      <c r="OLU3" s="89"/>
      <c r="OLV3" s="89"/>
      <c r="OLW3" s="89"/>
      <c r="OLX3" s="89"/>
      <c r="OLY3" s="89"/>
      <c r="OLZ3" s="89"/>
      <c r="OMA3" s="89"/>
      <c r="OMB3" s="89"/>
      <c r="OMC3" s="89"/>
      <c r="OMD3" s="89"/>
      <c r="OME3" s="89"/>
      <c r="OMF3" s="89"/>
      <c r="OMG3" s="89"/>
      <c r="OMH3" s="89"/>
      <c r="OMI3" s="89"/>
      <c r="OMJ3" s="89"/>
      <c r="OMK3" s="89"/>
      <c r="OML3" s="89"/>
      <c r="OMM3" s="89"/>
      <c r="OMN3" s="89"/>
      <c r="OMO3" s="89"/>
      <c r="OMP3" s="89"/>
      <c r="OMQ3" s="89"/>
      <c r="OMR3" s="89"/>
      <c r="OMS3" s="89"/>
      <c r="OMT3" s="89"/>
      <c r="OMU3" s="89"/>
      <c r="OMV3" s="89"/>
      <c r="OMW3" s="89"/>
      <c r="OMX3" s="89"/>
      <c r="OMY3" s="89"/>
      <c r="OMZ3" s="89"/>
      <c r="ONA3" s="89"/>
      <c r="ONB3" s="89"/>
      <c r="ONC3" s="89"/>
      <c r="OND3" s="89"/>
      <c r="ONE3" s="89"/>
      <c r="ONF3" s="89"/>
      <c r="ONG3" s="89"/>
      <c r="ONH3" s="89"/>
      <c r="ONI3" s="89"/>
      <c r="ONJ3" s="89"/>
      <c r="ONK3" s="89"/>
      <c r="ONL3" s="89"/>
      <c r="ONM3" s="89"/>
      <c r="ONN3" s="89"/>
      <c r="ONO3" s="89"/>
      <c r="ONP3" s="89"/>
      <c r="ONQ3" s="89"/>
      <c r="ONR3" s="89"/>
      <c r="ONS3" s="89"/>
      <c r="ONT3" s="89"/>
      <c r="ONU3" s="89"/>
      <c r="ONV3" s="89"/>
      <c r="ONW3" s="89"/>
      <c r="ONX3" s="89"/>
      <c r="ONY3" s="89"/>
      <c r="ONZ3" s="89"/>
      <c r="OOA3" s="89"/>
      <c r="OOB3" s="89"/>
      <c r="OOC3" s="89"/>
      <c r="OOD3" s="89"/>
      <c r="OOE3" s="89"/>
      <c r="OOF3" s="89"/>
      <c r="OOG3" s="89"/>
      <c r="OOH3" s="89"/>
      <c r="OOI3" s="89"/>
      <c r="OOJ3" s="89"/>
      <c r="OOK3" s="89"/>
      <c r="OOL3" s="89"/>
      <c r="OOM3" s="89"/>
      <c r="OON3" s="89"/>
      <c r="OOO3" s="89"/>
      <c r="OOP3" s="89"/>
      <c r="OOQ3" s="89"/>
      <c r="OOR3" s="89"/>
      <c r="OOS3" s="89"/>
      <c r="OOT3" s="89"/>
      <c r="OOU3" s="89"/>
      <c r="OOV3" s="89"/>
      <c r="OOW3" s="89"/>
      <c r="OOX3" s="89"/>
      <c r="OOY3" s="89"/>
      <c r="OOZ3" s="89"/>
      <c r="OPA3" s="89"/>
      <c r="OPB3" s="89"/>
      <c r="OPC3" s="89"/>
      <c r="OPD3" s="89"/>
      <c r="OPE3" s="89"/>
      <c r="OPF3" s="89"/>
      <c r="OPG3" s="89"/>
      <c r="OPH3" s="89"/>
      <c r="OPI3" s="89"/>
      <c r="OPJ3" s="89"/>
      <c r="OPK3" s="89"/>
      <c r="OPL3" s="89"/>
      <c r="OPM3" s="89"/>
      <c r="OPN3" s="89"/>
      <c r="OPO3" s="89"/>
      <c r="OPP3" s="89"/>
      <c r="OPQ3" s="89"/>
      <c r="OPR3" s="89"/>
      <c r="OPS3" s="89"/>
      <c r="OPT3" s="89"/>
      <c r="OPU3" s="89"/>
      <c r="OPV3" s="89"/>
      <c r="OPW3" s="89"/>
      <c r="OPX3" s="89"/>
      <c r="OPY3" s="89"/>
      <c r="OPZ3" s="89"/>
      <c r="OQA3" s="89"/>
      <c r="OQB3" s="89"/>
      <c r="OQC3" s="89"/>
      <c r="OQD3" s="89"/>
      <c r="OQE3" s="89"/>
      <c r="OQF3" s="89"/>
      <c r="OQG3" s="89"/>
      <c r="OQH3" s="89"/>
      <c r="OQI3" s="89"/>
      <c r="OQJ3" s="89"/>
      <c r="OQK3" s="89"/>
      <c r="OQL3" s="89"/>
      <c r="OQM3" s="89"/>
      <c r="OQN3" s="89"/>
      <c r="OQO3" s="89"/>
      <c r="OQP3" s="89"/>
      <c r="OQQ3" s="89"/>
      <c r="OQR3" s="89"/>
      <c r="OQS3" s="89"/>
      <c r="OQT3" s="89"/>
      <c r="OQU3" s="89"/>
      <c r="OQV3" s="89"/>
      <c r="OQW3" s="89"/>
      <c r="OQX3" s="89"/>
      <c r="OQY3" s="89"/>
      <c r="OQZ3" s="89"/>
      <c r="ORA3" s="89"/>
      <c r="ORB3" s="89"/>
      <c r="ORC3" s="89"/>
      <c r="ORD3" s="89"/>
      <c r="ORE3" s="89"/>
      <c r="ORF3" s="89"/>
      <c r="ORG3" s="89"/>
      <c r="ORH3" s="89"/>
      <c r="ORI3" s="89"/>
      <c r="ORJ3" s="89"/>
      <c r="ORK3" s="89"/>
      <c r="ORL3" s="89"/>
      <c r="ORM3" s="89"/>
      <c r="ORN3" s="89"/>
      <c r="ORO3" s="89"/>
      <c r="ORP3" s="89"/>
      <c r="ORQ3" s="89"/>
      <c r="ORR3" s="89"/>
      <c r="ORS3" s="89"/>
      <c r="ORT3" s="89"/>
      <c r="ORU3" s="89"/>
      <c r="ORV3" s="89"/>
      <c r="ORW3" s="89"/>
      <c r="ORX3" s="89"/>
      <c r="ORY3" s="89"/>
      <c r="ORZ3" s="89"/>
      <c r="OSA3" s="89"/>
      <c r="OSB3" s="89"/>
      <c r="OSC3" s="89"/>
      <c r="OSD3" s="89"/>
      <c r="OSE3" s="89"/>
      <c r="OSF3" s="89"/>
      <c r="OSG3" s="89"/>
      <c r="OSH3" s="89"/>
      <c r="OSI3" s="89"/>
      <c r="OSJ3" s="89"/>
      <c r="OSK3" s="89"/>
      <c r="OSL3" s="89"/>
      <c r="OSM3" s="89"/>
      <c r="OSN3" s="89"/>
      <c r="OSO3" s="89"/>
      <c r="OSP3" s="89"/>
      <c r="OSQ3" s="89"/>
      <c r="OSR3" s="89"/>
      <c r="OSS3" s="89"/>
      <c r="OST3" s="89"/>
      <c r="OSU3" s="89"/>
      <c r="OSV3" s="89"/>
      <c r="OSW3" s="89"/>
      <c r="OSX3" s="89"/>
      <c r="OSY3" s="89"/>
      <c r="OSZ3" s="89"/>
      <c r="OTA3" s="89"/>
      <c r="OTB3" s="89"/>
      <c r="OTC3" s="89"/>
      <c r="OTD3" s="89"/>
      <c r="OTE3" s="89"/>
      <c r="OTF3" s="89"/>
      <c r="OTG3" s="89"/>
      <c r="OTH3" s="89"/>
      <c r="OTI3" s="89"/>
      <c r="OTJ3" s="89"/>
      <c r="OTK3" s="89"/>
      <c r="OTL3" s="89"/>
      <c r="OTM3" s="89"/>
      <c r="OTN3" s="89"/>
      <c r="OTO3" s="89"/>
      <c r="OTP3" s="89"/>
      <c r="OTQ3" s="89"/>
      <c r="OTR3" s="89"/>
      <c r="OTS3" s="89"/>
      <c r="OTT3" s="89"/>
      <c r="OTU3" s="89"/>
      <c r="OTV3" s="89"/>
      <c r="OTW3" s="89"/>
      <c r="OTX3" s="89"/>
      <c r="OTY3" s="89"/>
      <c r="OTZ3" s="89"/>
      <c r="OUA3" s="89"/>
      <c r="OUB3" s="89"/>
      <c r="OUC3" s="89"/>
      <c r="OUD3" s="89"/>
      <c r="OUE3" s="89"/>
      <c r="OUF3" s="89"/>
      <c r="OUG3" s="89"/>
      <c r="OUH3" s="89"/>
      <c r="OUI3" s="89"/>
      <c r="OUJ3" s="89"/>
      <c r="OUK3" s="89"/>
      <c r="OUL3" s="89"/>
      <c r="OUM3" s="89"/>
      <c r="OUN3" s="89"/>
      <c r="OUO3" s="89"/>
      <c r="OUP3" s="89"/>
      <c r="OUQ3" s="89"/>
      <c r="OUR3" s="89"/>
      <c r="OUS3" s="89"/>
      <c r="OUT3" s="89"/>
      <c r="OUU3" s="89"/>
      <c r="OUV3" s="89"/>
      <c r="OUW3" s="89"/>
      <c r="OUX3" s="89"/>
      <c r="OUY3" s="89"/>
      <c r="OUZ3" s="89"/>
      <c r="OVA3" s="89"/>
      <c r="OVB3" s="89"/>
      <c r="OVC3" s="89"/>
      <c r="OVD3" s="89"/>
      <c r="OVE3" s="89"/>
      <c r="OVF3" s="89"/>
      <c r="OVG3" s="89"/>
      <c r="OVH3" s="89"/>
      <c r="OVI3" s="89"/>
      <c r="OVJ3" s="89"/>
      <c r="OVK3" s="89"/>
      <c r="OVL3" s="89"/>
      <c r="OVM3" s="89"/>
      <c r="OVN3" s="89"/>
      <c r="OVO3" s="89"/>
      <c r="OVP3" s="89"/>
      <c r="OVQ3" s="89"/>
      <c r="OVR3" s="89"/>
      <c r="OVS3" s="89"/>
      <c r="OVT3" s="89"/>
      <c r="OVU3" s="89"/>
      <c r="OVV3" s="89"/>
      <c r="OVW3" s="89"/>
      <c r="OVX3" s="89"/>
      <c r="OVY3" s="89"/>
      <c r="OVZ3" s="89"/>
      <c r="OWA3" s="89"/>
      <c r="OWB3" s="89"/>
      <c r="OWC3" s="89"/>
      <c r="OWD3" s="89"/>
      <c r="OWE3" s="89"/>
      <c r="OWF3" s="89"/>
      <c r="OWG3" s="89"/>
      <c r="OWH3" s="89"/>
      <c r="OWI3" s="89"/>
      <c r="OWJ3" s="89"/>
      <c r="OWK3" s="89"/>
      <c r="OWL3" s="89"/>
      <c r="OWM3" s="89"/>
      <c r="OWN3" s="89"/>
      <c r="OWO3" s="89"/>
      <c r="OWP3" s="89"/>
      <c r="OWQ3" s="89"/>
      <c r="OWR3" s="89"/>
      <c r="OWS3" s="89"/>
      <c r="OWT3" s="89"/>
      <c r="OWU3" s="89"/>
      <c r="OWV3" s="89"/>
      <c r="OWW3" s="89"/>
      <c r="OWX3" s="89"/>
      <c r="OWY3" s="89"/>
      <c r="OWZ3" s="89"/>
      <c r="OXA3" s="89"/>
      <c r="OXB3" s="89"/>
      <c r="OXC3" s="89"/>
      <c r="OXD3" s="89"/>
      <c r="OXE3" s="89"/>
      <c r="OXF3" s="89"/>
      <c r="OXG3" s="89"/>
      <c r="OXH3" s="89"/>
      <c r="OXI3" s="89"/>
      <c r="OXJ3" s="89"/>
      <c r="OXK3" s="89"/>
      <c r="OXL3" s="89"/>
      <c r="OXM3" s="89"/>
      <c r="OXN3" s="89"/>
      <c r="OXO3" s="89"/>
      <c r="OXP3" s="89"/>
      <c r="OXQ3" s="89"/>
      <c r="OXR3" s="89"/>
      <c r="OXS3" s="89"/>
      <c r="OXT3" s="89"/>
      <c r="OXU3" s="89"/>
      <c r="OXV3" s="89"/>
      <c r="OXW3" s="89"/>
      <c r="OXX3" s="89"/>
      <c r="OXY3" s="89"/>
      <c r="OXZ3" s="89"/>
      <c r="OYA3" s="89"/>
      <c r="OYB3" s="89"/>
      <c r="OYC3" s="89"/>
      <c r="OYD3" s="89"/>
      <c r="OYE3" s="89"/>
      <c r="OYF3" s="89"/>
      <c r="OYG3" s="89"/>
      <c r="OYH3" s="89"/>
      <c r="OYI3" s="89"/>
      <c r="OYJ3" s="89"/>
      <c r="OYK3" s="89"/>
      <c r="OYL3" s="89"/>
      <c r="OYM3" s="89"/>
      <c r="OYN3" s="89"/>
      <c r="OYO3" s="89"/>
      <c r="OYP3" s="89"/>
      <c r="OYQ3" s="89"/>
      <c r="OYR3" s="89"/>
      <c r="OYS3" s="89"/>
      <c r="OYT3" s="89"/>
      <c r="OYU3" s="89"/>
      <c r="OYV3" s="89"/>
      <c r="OYW3" s="89"/>
      <c r="OYX3" s="89"/>
      <c r="OYY3" s="89"/>
      <c r="OYZ3" s="89"/>
      <c r="OZA3" s="89"/>
      <c r="OZB3" s="89"/>
      <c r="OZC3" s="89"/>
      <c r="OZD3" s="89"/>
      <c r="OZE3" s="89"/>
      <c r="OZF3" s="89"/>
      <c r="OZG3" s="89"/>
      <c r="OZH3" s="89"/>
      <c r="OZI3" s="89"/>
      <c r="OZJ3" s="89"/>
      <c r="OZK3" s="89"/>
      <c r="OZL3" s="89"/>
      <c r="OZM3" s="89"/>
      <c r="OZN3" s="89"/>
      <c r="OZO3" s="89"/>
      <c r="OZP3" s="89"/>
      <c r="OZQ3" s="89"/>
      <c r="OZR3" s="89"/>
      <c r="OZS3" s="89"/>
      <c r="OZT3" s="89"/>
      <c r="OZU3" s="89"/>
      <c r="OZV3" s="89"/>
      <c r="OZW3" s="89"/>
      <c r="OZX3" s="89"/>
      <c r="OZY3" s="89"/>
      <c r="OZZ3" s="89"/>
      <c r="PAA3" s="89"/>
      <c r="PAB3" s="89"/>
      <c r="PAC3" s="89"/>
      <c r="PAD3" s="89"/>
      <c r="PAE3" s="89"/>
      <c r="PAF3" s="89"/>
      <c r="PAG3" s="89"/>
      <c r="PAH3" s="89"/>
      <c r="PAI3" s="89"/>
      <c r="PAJ3" s="89"/>
      <c r="PAK3" s="89"/>
      <c r="PAL3" s="89"/>
      <c r="PAM3" s="89"/>
      <c r="PAN3" s="89"/>
      <c r="PAO3" s="89"/>
      <c r="PAP3" s="89"/>
      <c r="PAQ3" s="89"/>
      <c r="PAR3" s="89"/>
      <c r="PAS3" s="89"/>
      <c r="PAT3" s="89"/>
      <c r="PAU3" s="89"/>
      <c r="PAV3" s="89"/>
      <c r="PAW3" s="89"/>
      <c r="PAX3" s="89"/>
      <c r="PAY3" s="89"/>
      <c r="PAZ3" s="89"/>
      <c r="PBA3" s="89"/>
      <c r="PBB3" s="89"/>
      <c r="PBC3" s="89"/>
      <c r="PBD3" s="89"/>
      <c r="PBE3" s="89"/>
      <c r="PBF3" s="89"/>
      <c r="PBG3" s="89"/>
      <c r="PBH3" s="89"/>
      <c r="PBI3" s="89"/>
      <c r="PBJ3" s="89"/>
      <c r="PBK3" s="89"/>
      <c r="PBL3" s="89"/>
      <c r="PBM3" s="89"/>
      <c r="PBN3" s="89"/>
      <c r="PBO3" s="89"/>
      <c r="PBP3" s="89"/>
      <c r="PBQ3" s="89"/>
      <c r="PBR3" s="89"/>
      <c r="PBS3" s="89"/>
      <c r="PBT3" s="89"/>
      <c r="PBU3" s="89"/>
      <c r="PBV3" s="89"/>
      <c r="PBW3" s="89"/>
      <c r="PBX3" s="89"/>
      <c r="PBY3" s="89"/>
      <c r="PBZ3" s="89"/>
      <c r="PCA3" s="89"/>
      <c r="PCB3" s="89"/>
      <c r="PCC3" s="89"/>
      <c r="PCD3" s="89"/>
      <c r="PCE3" s="89"/>
      <c r="PCF3" s="89"/>
      <c r="PCG3" s="89"/>
      <c r="PCH3" s="89"/>
      <c r="PCI3" s="89"/>
      <c r="PCJ3" s="89"/>
      <c r="PCK3" s="89"/>
      <c r="PCL3" s="89"/>
      <c r="PCM3" s="89"/>
      <c r="PCN3" s="89"/>
      <c r="PCO3" s="89"/>
      <c r="PCP3" s="89"/>
      <c r="PCQ3" s="89"/>
      <c r="PCR3" s="89"/>
      <c r="PCS3" s="89"/>
      <c r="PCT3" s="89"/>
      <c r="PCU3" s="89"/>
      <c r="PCV3" s="89"/>
      <c r="PCW3" s="89"/>
      <c r="PCX3" s="89"/>
      <c r="PCY3" s="89"/>
      <c r="PCZ3" s="89"/>
      <c r="PDA3" s="89"/>
      <c r="PDB3" s="89"/>
      <c r="PDC3" s="89"/>
      <c r="PDD3" s="89"/>
      <c r="PDE3" s="89"/>
      <c r="PDF3" s="89"/>
      <c r="PDG3" s="89"/>
      <c r="PDH3" s="89"/>
      <c r="PDI3" s="89"/>
      <c r="PDJ3" s="89"/>
      <c r="PDK3" s="89"/>
      <c r="PDL3" s="89"/>
      <c r="PDM3" s="89"/>
      <c r="PDN3" s="89"/>
      <c r="PDO3" s="89"/>
      <c r="PDP3" s="89"/>
      <c r="PDQ3" s="89"/>
      <c r="PDR3" s="89"/>
      <c r="PDS3" s="89"/>
      <c r="PDT3" s="89"/>
      <c r="PDU3" s="89"/>
      <c r="PDV3" s="89"/>
      <c r="PDW3" s="89"/>
      <c r="PDX3" s="89"/>
      <c r="PDY3" s="89"/>
      <c r="PDZ3" s="89"/>
      <c r="PEA3" s="89"/>
      <c r="PEB3" s="89"/>
      <c r="PEC3" s="89"/>
      <c r="PED3" s="89"/>
      <c r="PEE3" s="89"/>
      <c r="PEF3" s="89"/>
      <c r="PEG3" s="89"/>
      <c r="PEH3" s="89"/>
      <c r="PEI3" s="89"/>
      <c r="PEJ3" s="89"/>
      <c r="PEK3" s="89"/>
      <c r="PEL3" s="89"/>
      <c r="PEM3" s="89"/>
      <c r="PEN3" s="89"/>
      <c r="PEO3" s="89"/>
      <c r="PEP3" s="89"/>
      <c r="PEQ3" s="89"/>
      <c r="PER3" s="89"/>
      <c r="PES3" s="89"/>
      <c r="PET3" s="89"/>
      <c r="PEU3" s="89"/>
      <c r="PEV3" s="89"/>
      <c r="PEW3" s="89"/>
      <c r="PEX3" s="89"/>
      <c r="PEY3" s="89"/>
      <c r="PEZ3" s="89"/>
      <c r="PFA3" s="89"/>
      <c r="PFB3" s="89"/>
      <c r="PFC3" s="89"/>
      <c r="PFD3" s="89"/>
      <c r="PFE3" s="89"/>
      <c r="PFF3" s="89"/>
      <c r="PFG3" s="89"/>
      <c r="PFH3" s="89"/>
      <c r="PFI3" s="89"/>
      <c r="PFJ3" s="89"/>
      <c r="PFK3" s="89"/>
      <c r="PFL3" s="89"/>
      <c r="PFM3" s="89"/>
      <c r="PFN3" s="89"/>
      <c r="PFO3" s="89"/>
      <c r="PFP3" s="89"/>
      <c r="PFQ3" s="89"/>
      <c r="PFR3" s="89"/>
      <c r="PFS3" s="89"/>
      <c r="PFT3" s="89"/>
      <c r="PFU3" s="89"/>
      <c r="PFV3" s="89"/>
      <c r="PFW3" s="89"/>
      <c r="PFX3" s="89"/>
      <c r="PFY3" s="89"/>
      <c r="PFZ3" s="89"/>
      <c r="PGA3" s="89"/>
      <c r="PGB3" s="89"/>
      <c r="PGC3" s="89"/>
      <c r="PGD3" s="89"/>
      <c r="PGE3" s="89"/>
      <c r="PGF3" s="89"/>
      <c r="PGG3" s="89"/>
      <c r="PGH3" s="89"/>
      <c r="PGI3" s="89"/>
      <c r="PGJ3" s="89"/>
      <c r="PGK3" s="89"/>
      <c r="PGL3" s="89"/>
      <c r="PGM3" s="89"/>
      <c r="PGN3" s="89"/>
      <c r="PGO3" s="89"/>
      <c r="PGP3" s="89"/>
      <c r="PGQ3" s="89"/>
      <c r="PGR3" s="89"/>
      <c r="PGS3" s="89"/>
      <c r="PGT3" s="89"/>
      <c r="PGU3" s="89"/>
      <c r="PGV3" s="89"/>
      <c r="PGW3" s="89"/>
      <c r="PGX3" s="89"/>
      <c r="PGY3" s="89"/>
      <c r="PGZ3" s="89"/>
      <c r="PHA3" s="89"/>
      <c r="PHB3" s="89"/>
      <c r="PHC3" s="89"/>
      <c r="PHD3" s="89"/>
      <c r="PHE3" s="89"/>
      <c r="PHF3" s="89"/>
      <c r="PHG3" s="89"/>
      <c r="PHH3" s="89"/>
      <c r="PHI3" s="89"/>
      <c r="PHJ3" s="89"/>
      <c r="PHK3" s="89"/>
      <c r="PHL3" s="89"/>
      <c r="PHM3" s="89"/>
      <c r="PHN3" s="89"/>
      <c r="PHO3" s="89"/>
      <c r="PHP3" s="89"/>
      <c r="PHQ3" s="89"/>
      <c r="PHR3" s="89"/>
      <c r="PHS3" s="89"/>
      <c r="PHT3" s="89"/>
      <c r="PHU3" s="89"/>
      <c r="PHV3" s="89"/>
      <c r="PHW3" s="89"/>
      <c r="PHX3" s="89"/>
      <c r="PHY3" s="89"/>
      <c r="PHZ3" s="89"/>
      <c r="PIA3" s="89"/>
      <c r="PIB3" s="89"/>
      <c r="PIC3" s="89"/>
      <c r="PID3" s="89"/>
      <c r="PIE3" s="89"/>
      <c r="PIF3" s="89"/>
      <c r="PIG3" s="89"/>
      <c r="PIH3" s="89"/>
      <c r="PII3" s="89"/>
      <c r="PIJ3" s="89"/>
      <c r="PIK3" s="89"/>
      <c r="PIL3" s="89"/>
      <c r="PIM3" s="89"/>
      <c r="PIN3" s="89"/>
      <c r="PIO3" s="89"/>
      <c r="PIP3" s="89"/>
      <c r="PIQ3" s="89"/>
      <c r="PIR3" s="89"/>
      <c r="PIS3" s="89"/>
      <c r="PIT3" s="89"/>
      <c r="PIU3" s="89"/>
      <c r="PIV3" s="89"/>
      <c r="PIW3" s="89"/>
      <c r="PIX3" s="89"/>
      <c r="PIY3" s="89"/>
      <c r="PIZ3" s="89"/>
      <c r="PJA3" s="89"/>
      <c r="PJB3" s="89"/>
      <c r="PJC3" s="89"/>
      <c r="PJD3" s="89"/>
      <c r="PJE3" s="89"/>
      <c r="PJF3" s="89"/>
      <c r="PJG3" s="89"/>
      <c r="PJH3" s="89"/>
      <c r="PJI3" s="89"/>
      <c r="PJJ3" s="89"/>
      <c r="PJK3" s="89"/>
      <c r="PJL3" s="89"/>
      <c r="PJM3" s="89"/>
      <c r="PJN3" s="89"/>
      <c r="PJO3" s="89"/>
      <c r="PJP3" s="89"/>
      <c r="PJQ3" s="89"/>
      <c r="PJR3" s="89"/>
      <c r="PJS3" s="89"/>
      <c r="PJT3" s="89"/>
      <c r="PJU3" s="89"/>
      <c r="PJV3" s="89"/>
      <c r="PJW3" s="89"/>
      <c r="PJX3" s="89"/>
      <c r="PJY3" s="89"/>
      <c r="PJZ3" s="89"/>
      <c r="PKA3" s="89"/>
      <c r="PKB3" s="89"/>
      <c r="PKC3" s="89"/>
      <c r="PKD3" s="89"/>
      <c r="PKE3" s="89"/>
      <c r="PKF3" s="89"/>
      <c r="PKG3" s="89"/>
      <c r="PKH3" s="89"/>
      <c r="PKI3" s="89"/>
      <c r="PKJ3" s="89"/>
      <c r="PKK3" s="89"/>
      <c r="PKL3" s="89"/>
      <c r="PKM3" s="89"/>
      <c r="PKN3" s="89"/>
      <c r="PKO3" s="89"/>
      <c r="PKP3" s="89"/>
      <c r="PKQ3" s="89"/>
      <c r="PKR3" s="89"/>
      <c r="PKS3" s="89"/>
      <c r="PKT3" s="89"/>
      <c r="PKU3" s="89"/>
      <c r="PKV3" s="89"/>
      <c r="PKW3" s="89"/>
      <c r="PKX3" s="89"/>
      <c r="PKY3" s="89"/>
      <c r="PKZ3" s="89"/>
      <c r="PLA3" s="89"/>
      <c r="PLB3" s="89"/>
      <c r="PLC3" s="89"/>
      <c r="PLD3" s="89"/>
      <c r="PLE3" s="89"/>
      <c r="PLF3" s="89"/>
      <c r="PLG3" s="89"/>
      <c r="PLH3" s="89"/>
      <c r="PLI3" s="89"/>
      <c r="PLJ3" s="89"/>
      <c r="PLK3" s="89"/>
      <c r="PLL3" s="89"/>
      <c r="PLM3" s="89"/>
      <c r="PLN3" s="89"/>
      <c r="PLO3" s="89"/>
      <c r="PLP3" s="89"/>
      <c r="PLQ3" s="89"/>
      <c r="PLR3" s="89"/>
      <c r="PLS3" s="89"/>
      <c r="PLT3" s="89"/>
      <c r="PLU3" s="89"/>
      <c r="PLV3" s="89"/>
      <c r="PLW3" s="89"/>
      <c r="PLX3" s="89"/>
      <c r="PLY3" s="89"/>
      <c r="PLZ3" s="89"/>
      <c r="PMA3" s="89"/>
      <c r="PMB3" s="89"/>
      <c r="PMC3" s="89"/>
      <c r="PMD3" s="89"/>
      <c r="PME3" s="89"/>
      <c r="PMF3" s="89"/>
      <c r="PMG3" s="89"/>
      <c r="PMH3" s="89"/>
      <c r="PMI3" s="89"/>
      <c r="PMJ3" s="89"/>
      <c r="PMK3" s="89"/>
      <c r="PML3" s="89"/>
      <c r="PMM3" s="89"/>
      <c r="PMN3" s="89"/>
      <c r="PMO3" s="89"/>
      <c r="PMP3" s="89"/>
      <c r="PMQ3" s="89"/>
      <c r="PMR3" s="89"/>
      <c r="PMS3" s="89"/>
      <c r="PMT3" s="89"/>
      <c r="PMU3" s="89"/>
      <c r="PMV3" s="89"/>
      <c r="PMW3" s="89"/>
      <c r="PMX3" s="89"/>
      <c r="PMY3" s="89"/>
      <c r="PMZ3" s="89"/>
      <c r="PNA3" s="89"/>
      <c r="PNB3" s="89"/>
      <c r="PNC3" s="89"/>
      <c r="PND3" s="89"/>
      <c r="PNE3" s="89"/>
      <c r="PNF3" s="89"/>
      <c r="PNG3" s="89"/>
      <c r="PNH3" s="89"/>
      <c r="PNI3" s="89"/>
      <c r="PNJ3" s="89"/>
      <c r="PNK3" s="89"/>
      <c r="PNL3" s="89"/>
      <c r="PNM3" s="89"/>
      <c r="PNN3" s="89"/>
      <c r="PNO3" s="89"/>
      <c r="PNP3" s="89"/>
      <c r="PNQ3" s="89"/>
      <c r="PNR3" s="89"/>
      <c r="PNS3" s="89"/>
      <c r="PNT3" s="89"/>
      <c r="PNU3" s="89"/>
      <c r="PNV3" s="89"/>
      <c r="PNW3" s="89"/>
      <c r="PNX3" s="89"/>
      <c r="PNY3" s="89"/>
      <c r="PNZ3" s="89"/>
      <c r="POA3" s="89"/>
      <c r="POB3" s="89"/>
      <c r="POC3" s="89"/>
      <c r="POD3" s="89"/>
      <c r="POE3" s="89"/>
      <c r="POF3" s="89"/>
      <c r="POG3" s="89"/>
      <c r="POH3" s="89"/>
      <c r="POI3" s="89"/>
      <c r="POJ3" s="89"/>
      <c r="POK3" s="89"/>
      <c r="POL3" s="89"/>
      <c r="POM3" s="89"/>
      <c r="PON3" s="89"/>
      <c r="POO3" s="89"/>
      <c r="POP3" s="89"/>
      <c r="POQ3" s="89"/>
      <c r="POR3" s="89"/>
      <c r="POS3" s="89"/>
      <c r="POT3" s="89"/>
      <c r="POU3" s="89"/>
      <c r="POV3" s="89"/>
      <c r="POW3" s="89"/>
      <c r="POX3" s="89"/>
      <c r="POY3" s="89"/>
      <c r="POZ3" s="89"/>
      <c r="PPA3" s="89"/>
      <c r="PPB3" s="89"/>
      <c r="PPC3" s="89"/>
      <c r="PPD3" s="89"/>
      <c r="PPE3" s="89"/>
      <c r="PPF3" s="89"/>
      <c r="PPG3" s="89"/>
      <c r="PPH3" s="89"/>
      <c r="PPI3" s="89"/>
      <c r="PPJ3" s="89"/>
      <c r="PPK3" s="89"/>
      <c r="PPL3" s="89"/>
      <c r="PPM3" s="89"/>
      <c r="PPN3" s="89"/>
      <c r="PPO3" s="89"/>
      <c r="PPP3" s="89"/>
      <c r="PPQ3" s="89"/>
      <c r="PPR3" s="89"/>
      <c r="PPS3" s="89"/>
      <c r="PPT3" s="89"/>
      <c r="PPU3" s="89"/>
      <c r="PPV3" s="89"/>
      <c r="PPW3" s="89"/>
      <c r="PPX3" s="89"/>
      <c r="PPY3" s="89"/>
      <c r="PPZ3" s="89"/>
      <c r="PQA3" s="89"/>
      <c r="PQB3" s="89"/>
      <c r="PQC3" s="89"/>
      <c r="PQD3" s="89"/>
      <c r="PQE3" s="89"/>
      <c r="PQF3" s="89"/>
      <c r="PQG3" s="89"/>
      <c r="PQH3" s="89"/>
      <c r="PQI3" s="89"/>
      <c r="PQJ3" s="89"/>
      <c r="PQK3" s="89"/>
      <c r="PQL3" s="89"/>
      <c r="PQM3" s="89"/>
      <c r="PQN3" s="89"/>
      <c r="PQO3" s="89"/>
      <c r="PQP3" s="89"/>
      <c r="PQQ3" s="89"/>
      <c r="PQR3" s="89"/>
      <c r="PQS3" s="89"/>
      <c r="PQT3" s="89"/>
      <c r="PQU3" s="89"/>
      <c r="PQV3" s="89"/>
      <c r="PQW3" s="89"/>
      <c r="PQX3" s="89"/>
      <c r="PQY3" s="89"/>
      <c r="PQZ3" s="89"/>
      <c r="PRA3" s="89"/>
      <c r="PRB3" s="89"/>
      <c r="PRC3" s="89"/>
      <c r="PRD3" s="89"/>
      <c r="PRE3" s="89"/>
      <c r="PRF3" s="89"/>
      <c r="PRG3" s="89"/>
      <c r="PRH3" s="89"/>
      <c r="PRI3" s="89"/>
      <c r="PRJ3" s="89"/>
      <c r="PRK3" s="89"/>
      <c r="PRL3" s="89"/>
      <c r="PRM3" s="89"/>
      <c r="PRN3" s="89"/>
      <c r="PRO3" s="89"/>
      <c r="PRP3" s="89"/>
      <c r="PRQ3" s="89"/>
      <c r="PRR3" s="89"/>
      <c r="PRS3" s="89"/>
      <c r="PRT3" s="89"/>
      <c r="PRU3" s="89"/>
      <c r="PRV3" s="89"/>
      <c r="PRW3" s="89"/>
      <c r="PRX3" s="89"/>
      <c r="PRY3" s="89"/>
      <c r="PRZ3" s="89"/>
      <c r="PSA3" s="89"/>
      <c r="PSB3" s="89"/>
      <c r="PSC3" s="89"/>
      <c r="PSD3" s="89"/>
      <c r="PSE3" s="89"/>
      <c r="PSF3" s="89"/>
      <c r="PSG3" s="89"/>
      <c r="PSH3" s="89"/>
      <c r="PSI3" s="89"/>
      <c r="PSJ3" s="89"/>
      <c r="PSK3" s="89"/>
      <c r="PSL3" s="89"/>
      <c r="PSM3" s="89"/>
      <c r="PSN3" s="89"/>
      <c r="PSO3" s="89"/>
      <c r="PSP3" s="89"/>
      <c r="PSQ3" s="89"/>
      <c r="PSR3" s="89"/>
      <c r="PSS3" s="89"/>
      <c r="PST3" s="89"/>
      <c r="PSU3" s="89"/>
      <c r="PSV3" s="89"/>
      <c r="PSW3" s="89"/>
      <c r="PSX3" s="89"/>
      <c r="PSY3" s="89"/>
      <c r="PSZ3" s="89"/>
      <c r="PTA3" s="89"/>
      <c r="PTB3" s="89"/>
      <c r="PTC3" s="89"/>
      <c r="PTD3" s="89"/>
      <c r="PTE3" s="89"/>
      <c r="PTF3" s="89"/>
      <c r="PTG3" s="89"/>
      <c r="PTH3" s="89"/>
      <c r="PTI3" s="89"/>
      <c r="PTJ3" s="89"/>
      <c r="PTK3" s="89"/>
      <c r="PTL3" s="89"/>
      <c r="PTM3" s="89"/>
      <c r="PTN3" s="89"/>
      <c r="PTO3" s="89"/>
      <c r="PTP3" s="89"/>
      <c r="PTQ3" s="89"/>
      <c r="PTR3" s="89"/>
      <c r="PTS3" s="89"/>
      <c r="PTT3" s="89"/>
      <c r="PTU3" s="89"/>
      <c r="PTV3" s="89"/>
      <c r="PTW3" s="89"/>
      <c r="PTX3" s="89"/>
      <c r="PTY3" s="89"/>
      <c r="PTZ3" s="89"/>
      <c r="PUA3" s="89"/>
      <c r="PUB3" s="89"/>
      <c r="PUC3" s="89"/>
      <c r="PUD3" s="89"/>
      <c r="PUE3" s="89"/>
      <c r="PUF3" s="89"/>
      <c r="PUG3" s="89"/>
      <c r="PUH3" s="89"/>
      <c r="PUI3" s="89"/>
      <c r="PUJ3" s="89"/>
      <c r="PUK3" s="89"/>
      <c r="PUL3" s="89"/>
      <c r="PUM3" s="89"/>
      <c r="PUN3" s="89"/>
      <c r="PUO3" s="89"/>
      <c r="PUP3" s="89"/>
      <c r="PUQ3" s="89"/>
      <c r="PUR3" s="89"/>
      <c r="PUS3" s="89"/>
      <c r="PUT3" s="89"/>
      <c r="PUU3" s="89"/>
      <c r="PUV3" s="89"/>
      <c r="PUW3" s="89"/>
      <c r="PUX3" s="89"/>
      <c r="PUY3" s="89"/>
      <c r="PUZ3" s="89"/>
      <c r="PVA3" s="89"/>
      <c r="PVB3" s="89"/>
      <c r="PVC3" s="89"/>
      <c r="PVD3" s="89"/>
      <c r="PVE3" s="89"/>
      <c r="PVF3" s="89"/>
      <c r="PVG3" s="89"/>
      <c r="PVH3" s="89"/>
      <c r="PVI3" s="89"/>
      <c r="PVJ3" s="89"/>
      <c r="PVK3" s="89"/>
      <c r="PVL3" s="89"/>
      <c r="PVM3" s="89"/>
      <c r="PVN3" s="89"/>
      <c r="PVO3" s="89"/>
      <c r="PVP3" s="89"/>
      <c r="PVQ3" s="89"/>
      <c r="PVR3" s="89"/>
      <c r="PVS3" s="89"/>
      <c r="PVT3" s="89"/>
      <c r="PVU3" s="89"/>
      <c r="PVV3" s="89"/>
      <c r="PVW3" s="89"/>
      <c r="PVX3" s="89"/>
      <c r="PVY3" s="89"/>
      <c r="PVZ3" s="89"/>
      <c r="PWA3" s="89"/>
      <c r="PWB3" s="89"/>
      <c r="PWC3" s="89"/>
      <c r="PWD3" s="89"/>
      <c r="PWE3" s="89"/>
      <c r="PWF3" s="89"/>
      <c r="PWG3" s="89"/>
      <c r="PWH3" s="89"/>
      <c r="PWI3" s="89"/>
      <c r="PWJ3" s="89"/>
      <c r="PWK3" s="89"/>
      <c r="PWL3" s="89"/>
      <c r="PWM3" s="89"/>
      <c r="PWN3" s="89"/>
      <c r="PWO3" s="89"/>
      <c r="PWP3" s="89"/>
      <c r="PWQ3" s="89"/>
      <c r="PWR3" s="89"/>
      <c r="PWS3" s="89"/>
      <c r="PWT3" s="89"/>
      <c r="PWU3" s="89"/>
      <c r="PWV3" s="89"/>
      <c r="PWW3" s="89"/>
      <c r="PWX3" s="89"/>
      <c r="PWY3" s="89"/>
      <c r="PWZ3" s="89"/>
      <c r="PXA3" s="89"/>
      <c r="PXB3" s="89"/>
      <c r="PXC3" s="89"/>
      <c r="PXD3" s="89"/>
      <c r="PXE3" s="89"/>
      <c r="PXF3" s="89"/>
      <c r="PXG3" s="89"/>
      <c r="PXH3" s="89"/>
      <c r="PXI3" s="89"/>
      <c r="PXJ3" s="89"/>
      <c r="PXK3" s="89"/>
      <c r="PXL3" s="89"/>
      <c r="PXM3" s="89"/>
      <c r="PXN3" s="89"/>
      <c r="PXO3" s="89"/>
      <c r="PXP3" s="89"/>
      <c r="PXQ3" s="89"/>
      <c r="PXR3" s="89"/>
      <c r="PXS3" s="89"/>
      <c r="PXT3" s="89"/>
      <c r="PXU3" s="89"/>
      <c r="PXV3" s="89"/>
      <c r="PXW3" s="89"/>
      <c r="PXX3" s="89"/>
      <c r="PXY3" s="89"/>
      <c r="PXZ3" s="89"/>
      <c r="PYA3" s="89"/>
      <c r="PYB3" s="89"/>
      <c r="PYC3" s="89"/>
      <c r="PYD3" s="89"/>
      <c r="PYE3" s="89"/>
      <c r="PYF3" s="89"/>
      <c r="PYG3" s="89"/>
      <c r="PYH3" s="89"/>
      <c r="PYI3" s="89"/>
      <c r="PYJ3" s="89"/>
      <c r="PYK3" s="89"/>
      <c r="PYL3" s="89"/>
      <c r="PYM3" s="89"/>
      <c r="PYN3" s="89"/>
      <c r="PYO3" s="89"/>
      <c r="PYP3" s="89"/>
      <c r="PYQ3" s="89"/>
      <c r="PYR3" s="89"/>
      <c r="PYS3" s="89"/>
      <c r="PYT3" s="89"/>
      <c r="PYU3" s="89"/>
      <c r="PYV3" s="89"/>
      <c r="PYW3" s="89"/>
      <c r="PYX3" s="89"/>
      <c r="PYY3" s="89"/>
      <c r="PYZ3" s="89"/>
      <c r="PZA3" s="89"/>
      <c r="PZB3" s="89"/>
      <c r="PZC3" s="89"/>
      <c r="PZD3" s="89"/>
      <c r="PZE3" s="89"/>
      <c r="PZF3" s="89"/>
      <c r="PZG3" s="89"/>
      <c r="PZH3" s="89"/>
      <c r="PZI3" s="89"/>
      <c r="PZJ3" s="89"/>
      <c r="PZK3" s="89"/>
      <c r="PZL3" s="89"/>
      <c r="PZM3" s="89"/>
      <c r="PZN3" s="89"/>
      <c r="PZO3" s="89"/>
      <c r="PZP3" s="89"/>
      <c r="PZQ3" s="89"/>
      <c r="PZR3" s="89"/>
      <c r="PZS3" s="89"/>
      <c r="PZT3" s="89"/>
      <c r="PZU3" s="89"/>
      <c r="PZV3" s="89"/>
      <c r="PZW3" s="89"/>
      <c r="PZX3" s="89"/>
      <c r="PZY3" s="89"/>
      <c r="PZZ3" s="89"/>
      <c r="QAA3" s="89"/>
      <c r="QAB3" s="89"/>
      <c r="QAC3" s="89"/>
      <c r="QAD3" s="89"/>
      <c r="QAE3" s="89"/>
      <c r="QAF3" s="89"/>
      <c r="QAG3" s="89"/>
      <c r="QAH3" s="89"/>
      <c r="QAI3" s="89"/>
      <c r="QAJ3" s="89"/>
      <c r="QAK3" s="89"/>
      <c r="QAL3" s="89"/>
      <c r="QAM3" s="89"/>
      <c r="QAN3" s="89"/>
      <c r="QAO3" s="89"/>
      <c r="QAP3" s="89"/>
      <c r="QAQ3" s="89"/>
      <c r="QAR3" s="89"/>
      <c r="QAS3" s="89"/>
      <c r="QAT3" s="89"/>
      <c r="QAU3" s="89"/>
      <c r="QAV3" s="89"/>
      <c r="QAW3" s="89"/>
      <c r="QAX3" s="89"/>
      <c r="QAY3" s="89"/>
      <c r="QAZ3" s="89"/>
      <c r="QBA3" s="89"/>
      <c r="QBB3" s="89"/>
      <c r="QBC3" s="89"/>
      <c r="QBD3" s="89"/>
      <c r="QBE3" s="89"/>
      <c r="QBF3" s="89"/>
      <c r="QBG3" s="89"/>
      <c r="QBH3" s="89"/>
      <c r="QBI3" s="89"/>
      <c r="QBJ3" s="89"/>
      <c r="QBK3" s="89"/>
      <c r="QBL3" s="89"/>
      <c r="QBM3" s="89"/>
      <c r="QBN3" s="89"/>
      <c r="QBO3" s="89"/>
      <c r="QBP3" s="89"/>
      <c r="QBQ3" s="89"/>
      <c r="QBR3" s="89"/>
      <c r="QBS3" s="89"/>
      <c r="QBT3" s="89"/>
      <c r="QBU3" s="89"/>
      <c r="QBV3" s="89"/>
      <c r="QBW3" s="89"/>
      <c r="QBX3" s="89"/>
      <c r="QBY3" s="89"/>
      <c r="QBZ3" s="89"/>
      <c r="QCA3" s="89"/>
      <c r="QCB3" s="89"/>
      <c r="QCC3" s="89"/>
      <c r="QCD3" s="89"/>
      <c r="QCE3" s="89"/>
      <c r="QCF3" s="89"/>
      <c r="QCG3" s="89"/>
      <c r="QCH3" s="89"/>
      <c r="QCI3" s="89"/>
      <c r="QCJ3" s="89"/>
      <c r="QCK3" s="89"/>
      <c r="QCL3" s="89"/>
      <c r="QCM3" s="89"/>
      <c r="QCN3" s="89"/>
      <c r="QCO3" s="89"/>
      <c r="QCP3" s="89"/>
      <c r="QCQ3" s="89"/>
      <c r="QCR3" s="89"/>
      <c r="QCS3" s="89"/>
      <c r="QCT3" s="89"/>
      <c r="QCU3" s="89"/>
      <c r="QCV3" s="89"/>
      <c r="QCW3" s="89"/>
      <c r="QCX3" s="89"/>
      <c r="QCY3" s="89"/>
      <c r="QCZ3" s="89"/>
      <c r="QDA3" s="89"/>
      <c r="QDB3" s="89"/>
      <c r="QDC3" s="89"/>
      <c r="QDD3" s="89"/>
      <c r="QDE3" s="89"/>
      <c r="QDF3" s="89"/>
      <c r="QDG3" s="89"/>
      <c r="QDH3" s="89"/>
      <c r="QDI3" s="89"/>
      <c r="QDJ3" s="89"/>
      <c r="QDK3" s="89"/>
      <c r="QDL3" s="89"/>
      <c r="QDM3" s="89"/>
      <c r="QDN3" s="89"/>
      <c r="QDO3" s="89"/>
      <c r="QDP3" s="89"/>
      <c r="QDQ3" s="89"/>
      <c r="QDR3" s="89"/>
      <c r="QDS3" s="89"/>
      <c r="QDT3" s="89"/>
      <c r="QDU3" s="89"/>
      <c r="QDV3" s="89"/>
      <c r="QDW3" s="89"/>
      <c r="QDX3" s="89"/>
      <c r="QDY3" s="89"/>
      <c r="QDZ3" s="89"/>
      <c r="QEA3" s="89"/>
      <c r="QEB3" s="89"/>
      <c r="QEC3" s="89"/>
      <c r="QED3" s="89"/>
      <c r="QEE3" s="89"/>
      <c r="QEF3" s="89"/>
      <c r="QEG3" s="89"/>
      <c r="QEH3" s="89"/>
      <c r="QEI3" s="89"/>
      <c r="QEJ3" s="89"/>
      <c r="QEK3" s="89"/>
      <c r="QEL3" s="89"/>
      <c r="QEM3" s="89"/>
      <c r="QEN3" s="89"/>
      <c r="QEO3" s="89"/>
      <c r="QEP3" s="89"/>
      <c r="QEQ3" s="89"/>
      <c r="QER3" s="89"/>
      <c r="QES3" s="89"/>
      <c r="QET3" s="89"/>
      <c r="QEU3" s="89"/>
      <c r="QEV3" s="89"/>
      <c r="QEW3" s="89"/>
      <c r="QEX3" s="89"/>
      <c r="QEY3" s="89"/>
      <c r="QEZ3" s="89"/>
      <c r="QFA3" s="89"/>
      <c r="QFB3" s="89"/>
      <c r="QFC3" s="89"/>
      <c r="QFD3" s="89"/>
      <c r="QFE3" s="89"/>
      <c r="QFF3" s="89"/>
      <c r="QFG3" s="89"/>
      <c r="QFH3" s="89"/>
      <c r="QFI3" s="89"/>
      <c r="QFJ3" s="89"/>
      <c r="QFK3" s="89"/>
      <c r="QFL3" s="89"/>
      <c r="QFM3" s="89"/>
      <c r="QFN3" s="89"/>
      <c r="QFO3" s="89"/>
      <c r="QFP3" s="89"/>
      <c r="QFQ3" s="89"/>
      <c r="QFR3" s="89"/>
      <c r="QFS3" s="89"/>
      <c r="QFT3" s="89"/>
      <c r="QFU3" s="89"/>
      <c r="QFV3" s="89"/>
      <c r="QFW3" s="89"/>
      <c r="QFX3" s="89"/>
      <c r="QFY3" s="89"/>
      <c r="QFZ3" s="89"/>
      <c r="QGA3" s="89"/>
      <c r="QGB3" s="89"/>
      <c r="QGC3" s="89"/>
      <c r="QGD3" s="89"/>
      <c r="QGE3" s="89"/>
      <c r="QGF3" s="89"/>
      <c r="QGG3" s="89"/>
      <c r="QGH3" s="89"/>
      <c r="QGI3" s="89"/>
      <c r="QGJ3" s="89"/>
      <c r="QGK3" s="89"/>
      <c r="QGL3" s="89"/>
      <c r="QGM3" s="89"/>
      <c r="QGN3" s="89"/>
      <c r="QGO3" s="89"/>
      <c r="QGP3" s="89"/>
      <c r="QGQ3" s="89"/>
      <c r="QGR3" s="89"/>
      <c r="QGS3" s="89"/>
      <c r="QGT3" s="89"/>
      <c r="QGU3" s="89"/>
      <c r="QGV3" s="89"/>
      <c r="QGW3" s="89"/>
      <c r="QGX3" s="89"/>
      <c r="QGY3" s="89"/>
      <c r="QGZ3" s="89"/>
      <c r="QHA3" s="89"/>
      <c r="QHB3" s="89"/>
      <c r="QHC3" s="89"/>
      <c r="QHD3" s="89"/>
      <c r="QHE3" s="89"/>
      <c r="QHF3" s="89"/>
      <c r="QHG3" s="89"/>
      <c r="QHH3" s="89"/>
      <c r="QHI3" s="89"/>
      <c r="QHJ3" s="89"/>
      <c r="QHK3" s="89"/>
      <c r="QHL3" s="89"/>
      <c r="QHM3" s="89"/>
      <c r="QHN3" s="89"/>
      <c r="QHO3" s="89"/>
      <c r="QHP3" s="89"/>
      <c r="QHQ3" s="89"/>
      <c r="QHR3" s="89"/>
      <c r="QHS3" s="89"/>
      <c r="QHT3" s="89"/>
      <c r="QHU3" s="89"/>
      <c r="QHV3" s="89"/>
      <c r="QHW3" s="89"/>
      <c r="QHX3" s="89"/>
      <c r="QHY3" s="89"/>
      <c r="QHZ3" s="89"/>
      <c r="QIA3" s="89"/>
      <c r="QIB3" s="89"/>
      <c r="QIC3" s="89"/>
      <c r="QID3" s="89"/>
      <c r="QIE3" s="89"/>
      <c r="QIF3" s="89"/>
      <c r="QIG3" s="89"/>
      <c r="QIH3" s="89"/>
      <c r="QII3" s="89"/>
      <c r="QIJ3" s="89"/>
      <c r="QIK3" s="89"/>
      <c r="QIL3" s="89"/>
      <c r="QIM3" s="89"/>
      <c r="QIN3" s="89"/>
      <c r="QIO3" s="89"/>
      <c r="QIP3" s="89"/>
      <c r="QIQ3" s="89"/>
      <c r="QIR3" s="89"/>
      <c r="QIS3" s="89"/>
      <c r="QIT3" s="89"/>
      <c r="QIU3" s="89"/>
      <c r="QIV3" s="89"/>
      <c r="QIW3" s="89"/>
      <c r="QIX3" s="89"/>
      <c r="QIY3" s="89"/>
      <c r="QIZ3" s="89"/>
      <c r="QJA3" s="89"/>
      <c r="QJB3" s="89"/>
      <c r="QJC3" s="89"/>
      <c r="QJD3" s="89"/>
      <c r="QJE3" s="89"/>
      <c r="QJF3" s="89"/>
      <c r="QJG3" s="89"/>
      <c r="QJH3" s="89"/>
      <c r="QJI3" s="89"/>
      <c r="QJJ3" s="89"/>
      <c r="QJK3" s="89"/>
      <c r="QJL3" s="89"/>
      <c r="QJM3" s="89"/>
      <c r="QJN3" s="89"/>
      <c r="QJO3" s="89"/>
      <c r="QJP3" s="89"/>
      <c r="QJQ3" s="89"/>
      <c r="QJR3" s="89"/>
      <c r="QJS3" s="89"/>
      <c r="QJT3" s="89"/>
      <c r="QJU3" s="89"/>
      <c r="QJV3" s="89"/>
      <c r="QJW3" s="89"/>
      <c r="QJX3" s="89"/>
      <c r="QJY3" s="89"/>
      <c r="QJZ3" s="89"/>
      <c r="QKA3" s="89"/>
      <c r="QKB3" s="89"/>
      <c r="QKC3" s="89"/>
      <c r="QKD3" s="89"/>
      <c r="QKE3" s="89"/>
      <c r="QKF3" s="89"/>
      <c r="QKG3" s="89"/>
      <c r="QKH3" s="89"/>
      <c r="QKI3" s="89"/>
      <c r="QKJ3" s="89"/>
      <c r="QKK3" s="89"/>
      <c r="QKL3" s="89"/>
      <c r="QKM3" s="89"/>
      <c r="QKN3" s="89"/>
      <c r="QKO3" s="89"/>
      <c r="QKP3" s="89"/>
      <c r="QKQ3" s="89"/>
      <c r="QKR3" s="89"/>
      <c r="QKS3" s="89"/>
      <c r="QKT3" s="89"/>
      <c r="QKU3" s="89"/>
      <c r="QKV3" s="89"/>
      <c r="QKW3" s="89"/>
      <c r="QKX3" s="89"/>
      <c r="QKY3" s="89"/>
      <c r="QKZ3" s="89"/>
      <c r="QLA3" s="89"/>
      <c r="QLB3" s="89"/>
      <c r="QLC3" s="89"/>
      <c r="QLD3" s="89"/>
      <c r="QLE3" s="89"/>
      <c r="QLF3" s="89"/>
      <c r="QLG3" s="89"/>
      <c r="QLH3" s="89"/>
      <c r="QLI3" s="89"/>
      <c r="QLJ3" s="89"/>
      <c r="QLK3" s="89"/>
      <c r="QLL3" s="89"/>
      <c r="QLM3" s="89"/>
      <c r="QLN3" s="89"/>
      <c r="QLO3" s="89"/>
      <c r="QLP3" s="89"/>
      <c r="QLQ3" s="89"/>
      <c r="QLR3" s="89"/>
      <c r="QLS3" s="89"/>
      <c r="QLT3" s="89"/>
      <c r="QLU3" s="89"/>
      <c r="QLV3" s="89"/>
      <c r="QLW3" s="89"/>
      <c r="QLX3" s="89"/>
      <c r="QLY3" s="89"/>
      <c r="QLZ3" s="89"/>
      <c r="QMA3" s="89"/>
      <c r="QMB3" s="89"/>
      <c r="QMC3" s="89"/>
      <c r="QMD3" s="89"/>
      <c r="QME3" s="89"/>
      <c r="QMF3" s="89"/>
      <c r="QMG3" s="89"/>
      <c r="QMH3" s="89"/>
      <c r="QMI3" s="89"/>
      <c r="QMJ3" s="89"/>
      <c r="QMK3" s="89"/>
      <c r="QML3" s="89"/>
      <c r="QMM3" s="89"/>
      <c r="QMN3" s="89"/>
      <c r="QMO3" s="89"/>
      <c r="QMP3" s="89"/>
      <c r="QMQ3" s="89"/>
      <c r="QMR3" s="89"/>
      <c r="QMS3" s="89"/>
      <c r="QMT3" s="89"/>
      <c r="QMU3" s="89"/>
      <c r="QMV3" s="89"/>
      <c r="QMW3" s="89"/>
      <c r="QMX3" s="89"/>
      <c r="QMY3" s="89"/>
      <c r="QMZ3" s="89"/>
      <c r="QNA3" s="89"/>
      <c r="QNB3" s="89"/>
      <c r="QNC3" s="89"/>
      <c r="QND3" s="89"/>
      <c r="QNE3" s="89"/>
      <c r="QNF3" s="89"/>
      <c r="QNG3" s="89"/>
      <c r="QNH3" s="89"/>
      <c r="QNI3" s="89"/>
      <c r="QNJ3" s="89"/>
      <c r="QNK3" s="89"/>
      <c r="QNL3" s="89"/>
      <c r="QNM3" s="89"/>
      <c r="QNN3" s="89"/>
      <c r="QNO3" s="89"/>
      <c r="QNP3" s="89"/>
      <c r="QNQ3" s="89"/>
      <c r="QNR3" s="89"/>
      <c r="QNS3" s="89"/>
      <c r="QNT3" s="89"/>
      <c r="QNU3" s="89"/>
      <c r="QNV3" s="89"/>
      <c r="QNW3" s="89"/>
      <c r="QNX3" s="89"/>
      <c r="QNY3" s="89"/>
      <c r="QNZ3" s="89"/>
      <c r="QOA3" s="89"/>
      <c r="QOB3" s="89"/>
      <c r="QOC3" s="89"/>
      <c r="QOD3" s="89"/>
      <c r="QOE3" s="89"/>
      <c r="QOF3" s="89"/>
      <c r="QOG3" s="89"/>
      <c r="QOH3" s="89"/>
      <c r="QOI3" s="89"/>
      <c r="QOJ3" s="89"/>
      <c r="QOK3" s="89"/>
      <c r="QOL3" s="89"/>
      <c r="QOM3" s="89"/>
      <c r="QON3" s="89"/>
      <c r="QOO3" s="89"/>
      <c r="QOP3" s="89"/>
      <c r="QOQ3" s="89"/>
      <c r="QOR3" s="89"/>
      <c r="QOS3" s="89"/>
      <c r="QOT3" s="89"/>
      <c r="QOU3" s="89"/>
      <c r="QOV3" s="89"/>
      <c r="QOW3" s="89"/>
      <c r="QOX3" s="89"/>
      <c r="QOY3" s="89"/>
      <c r="QOZ3" s="89"/>
      <c r="QPA3" s="89"/>
      <c r="QPB3" s="89"/>
      <c r="QPC3" s="89"/>
      <c r="QPD3" s="89"/>
      <c r="QPE3" s="89"/>
      <c r="QPF3" s="89"/>
      <c r="QPG3" s="89"/>
      <c r="QPH3" s="89"/>
      <c r="QPI3" s="89"/>
      <c r="QPJ3" s="89"/>
      <c r="QPK3" s="89"/>
      <c r="QPL3" s="89"/>
      <c r="QPM3" s="89"/>
      <c r="QPN3" s="89"/>
      <c r="QPO3" s="89"/>
      <c r="QPP3" s="89"/>
      <c r="QPQ3" s="89"/>
      <c r="QPR3" s="89"/>
      <c r="QPS3" s="89"/>
      <c r="QPT3" s="89"/>
      <c r="QPU3" s="89"/>
      <c r="QPV3" s="89"/>
      <c r="QPW3" s="89"/>
      <c r="QPX3" s="89"/>
      <c r="QPY3" s="89"/>
      <c r="QPZ3" s="89"/>
      <c r="QQA3" s="89"/>
      <c r="QQB3" s="89"/>
      <c r="QQC3" s="89"/>
      <c r="QQD3" s="89"/>
      <c r="QQE3" s="89"/>
      <c r="QQF3" s="89"/>
      <c r="QQG3" s="89"/>
      <c r="QQH3" s="89"/>
      <c r="QQI3" s="89"/>
      <c r="QQJ3" s="89"/>
      <c r="QQK3" s="89"/>
      <c r="QQL3" s="89"/>
      <c r="QQM3" s="89"/>
      <c r="QQN3" s="89"/>
      <c r="QQO3" s="89"/>
      <c r="QQP3" s="89"/>
      <c r="QQQ3" s="89"/>
      <c r="QQR3" s="89"/>
      <c r="QQS3" s="89"/>
      <c r="QQT3" s="89"/>
      <c r="QQU3" s="89"/>
      <c r="QQV3" s="89"/>
      <c r="QQW3" s="89"/>
      <c r="QQX3" s="89"/>
      <c r="QQY3" s="89"/>
      <c r="QQZ3" s="89"/>
      <c r="QRA3" s="89"/>
      <c r="QRB3" s="89"/>
      <c r="QRC3" s="89"/>
      <c r="QRD3" s="89"/>
      <c r="QRE3" s="89"/>
      <c r="QRF3" s="89"/>
      <c r="QRG3" s="89"/>
      <c r="QRH3" s="89"/>
      <c r="QRI3" s="89"/>
      <c r="QRJ3" s="89"/>
      <c r="QRK3" s="89"/>
      <c r="QRL3" s="89"/>
      <c r="QRM3" s="89"/>
      <c r="QRN3" s="89"/>
      <c r="QRO3" s="89"/>
      <c r="QRP3" s="89"/>
      <c r="QRQ3" s="89"/>
      <c r="QRR3" s="89"/>
      <c r="QRS3" s="89"/>
      <c r="QRT3" s="89"/>
      <c r="QRU3" s="89"/>
      <c r="QRV3" s="89"/>
      <c r="QRW3" s="89"/>
      <c r="QRX3" s="89"/>
      <c r="QRY3" s="89"/>
      <c r="QRZ3" s="89"/>
      <c r="QSA3" s="89"/>
      <c r="QSB3" s="89"/>
      <c r="QSC3" s="89"/>
      <c r="QSD3" s="89"/>
      <c r="QSE3" s="89"/>
      <c r="QSF3" s="89"/>
      <c r="QSG3" s="89"/>
      <c r="QSH3" s="89"/>
      <c r="QSI3" s="89"/>
      <c r="QSJ3" s="89"/>
      <c r="QSK3" s="89"/>
      <c r="QSL3" s="89"/>
      <c r="QSM3" s="89"/>
      <c r="QSN3" s="89"/>
      <c r="QSO3" s="89"/>
      <c r="QSP3" s="89"/>
      <c r="QSQ3" s="89"/>
      <c r="QSR3" s="89"/>
      <c r="QSS3" s="89"/>
      <c r="QST3" s="89"/>
      <c r="QSU3" s="89"/>
      <c r="QSV3" s="89"/>
      <c r="QSW3" s="89"/>
      <c r="QSX3" s="89"/>
      <c r="QSY3" s="89"/>
      <c r="QSZ3" s="89"/>
      <c r="QTA3" s="89"/>
      <c r="QTB3" s="89"/>
      <c r="QTC3" s="89"/>
      <c r="QTD3" s="89"/>
      <c r="QTE3" s="89"/>
      <c r="QTF3" s="89"/>
      <c r="QTG3" s="89"/>
      <c r="QTH3" s="89"/>
      <c r="QTI3" s="89"/>
      <c r="QTJ3" s="89"/>
      <c r="QTK3" s="89"/>
      <c r="QTL3" s="89"/>
      <c r="QTM3" s="89"/>
      <c r="QTN3" s="89"/>
      <c r="QTO3" s="89"/>
      <c r="QTP3" s="89"/>
      <c r="QTQ3" s="89"/>
      <c r="QTR3" s="89"/>
      <c r="QTS3" s="89"/>
      <c r="QTT3" s="89"/>
      <c r="QTU3" s="89"/>
      <c r="QTV3" s="89"/>
      <c r="QTW3" s="89"/>
      <c r="QTX3" s="89"/>
      <c r="QTY3" s="89"/>
      <c r="QTZ3" s="89"/>
      <c r="QUA3" s="89"/>
      <c r="QUB3" s="89"/>
      <c r="QUC3" s="89"/>
      <c r="QUD3" s="89"/>
      <c r="QUE3" s="89"/>
      <c r="QUF3" s="89"/>
      <c r="QUG3" s="89"/>
      <c r="QUH3" s="89"/>
      <c r="QUI3" s="89"/>
      <c r="QUJ3" s="89"/>
      <c r="QUK3" s="89"/>
      <c r="QUL3" s="89"/>
      <c r="QUM3" s="89"/>
      <c r="QUN3" s="89"/>
      <c r="QUO3" s="89"/>
      <c r="QUP3" s="89"/>
      <c r="QUQ3" s="89"/>
      <c r="QUR3" s="89"/>
      <c r="QUS3" s="89"/>
      <c r="QUT3" s="89"/>
      <c r="QUU3" s="89"/>
      <c r="QUV3" s="89"/>
      <c r="QUW3" s="89"/>
      <c r="QUX3" s="89"/>
      <c r="QUY3" s="89"/>
      <c r="QUZ3" s="89"/>
      <c r="QVA3" s="89"/>
      <c r="QVB3" s="89"/>
      <c r="QVC3" s="89"/>
      <c r="QVD3" s="89"/>
      <c r="QVE3" s="89"/>
      <c r="QVF3" s="89"/>
      <c r="QVG3" s="89"/>
      <c r="QVH3" s="89"/>
      <c r="QVI3" s="89"/>
      <c r="QVJ3" s="89"/>
      <c r="QVK3" s="89"/>
      <c r="QVL3" s="89"/>
      <c r="QVM3" s="89"/>
      <c r="QVN3" s="89"/>
      <c r="QVO3" s="89"/>
      <c r="QVP3" s="89"/>
      <c r="QVQ3" s="89"/>
      <c r="QVR3" s="89"/>
      <c r="QVS3" s="89"/>
      <c r="QVT3" s="89"/>
      <c r="QVU3" s="89"/>
      <c r="QVV3" s="89"/>
      <c r="QVW3" s="89"/>
      <c r="QVX3" s="89"/>
      <c r="QVY3" s="89"/>
      <c r="QVZ3" s="89"/>
      <c r="QWA3" s="89"/>
      <c r="QWB3" s="89"/>
      <c r="QWC3" s="89"/>
      <c r="QWD3" s="89"/>
      <c r="QWE3" s="89"/>
      <c r="QWF3" s="89"/>
      <c r="QWG3" s="89"/>
      <c r="QWH3" s="89"/>
      <c r="QWI3" s="89"/>
      <c r="QWJ3" s="89"/>
      <c r="QWK3" s="89"/>
      <c r="QWL3" s="89"/>
      <c r="QWM3" s="89"/>
      <c r="QWN3" s="89"/>
      <c r="QWO3" s="89"/>
      <c r="QWP3" s="89"/>
      <c r="QWQ3" s="89"/>
      <c r="QWR3" s="89"/>
      <c r="QWS3" s="89"/>
      <c r="QWT3" s="89"/>
      <c r="QWU3" s="89"/>
      <c r="QWV3" s="89"/>
      <c r="QWW3" s="89"/>
      <c r="QWX3" s="89"/>
      <c r="QWY3" s="89"/>
      <c r="QWZ3" s="89"/>
      <c r="QXA3" s="89"/>
      <c r="QXB3" s="89"/>
      <c r="QXC3" s="89"/>
      <c r="QXD3" s="89"/>
      <c r="QXE3" s="89"/>
      <c r="QXF3" s="89"/>
      <c r="QXG3" s="89"/>
      <c r="QXH3" s="89"/>
      <c r="QXI3" s="89"/>
      <c r="QXJ3" s="89"/>
      <c r="QXK3" s="89"/>
      <c r="QXL3" s="89"/>
      <c r="QXM3" s="89"/>
      <c r="QXN3" s="89"/>
      <c r="QXO3" s="89"/>
      <c r="QXP3" s="89"/>
      <c r="QXQ3" s="89"/>
      <c r="QXR3" s="89"/>
      <c r="QXS3" s="89"/>
      <c r="QXT3" s="89"/>
      <c r="QXU3" s="89"/>
      <c r="QXV3" s="89"/>
      <c r="QXW3" s="89"/>
      <c r="QXX3" s="89"/>
      <c r="QXY3" s="89"/>
      <c r="QXZ3" s="89"/>
      <c r="QYA3" s="89"/>
      <c r="QYB3" s="89"/>
      <c r="QYC3" s="89"/>
      <c r="QYD3" s="89"/>
      <c r="QYE3" s="89"/>
      <c r="QYF3" s="89"/>
      <c r="QYG3" s="89"/>
      <c r="QYH3" s="89"/>
      <c r="QYI3" s="89"/>
      <c r="QYJ3" s="89"/>
      <c r="QYK3" s="89"/>
      <c r="QYL3" s="89"/>
      <c r="QYM3" s="89"/>
      <c r="QYN3" s="89"/>
      <c r="QYO3" s="89"/>
      <c r="QYP3" s="89"/>
      <c r="QYQ3" s="89"/>
      <c r="QYR3" s="89"/>
      <c r="QYS3" s="89"/>
      <c r="QYT3" s="89"/>
      <c r="QYU3" s="89"/>
      <c r="QYV3" s="89"/>
      <c r="QYW3" s="89"/>
      <c r="QYX3" s="89"/>
      <c r="QYY3" s="89"/>
      <c r="QYZ3" s="89"/>
      <c r="QZA3" s="89"/>
      <c r="QZB3" s="89"/>
      <c r="QZC3" s="89"/>
      <c r="QZD3" s="89"/>
      <c r="QZE3" s="89"/>
      <c r="QZF3" s="89"/>
      <c r="QZG3" s="89"/>
      <c r="QZH3" s="89"/>
      <c r="QZI3" s="89"/>
      <c r="QZJ3" s="89"/>
      <c r="QZK3" s="89"/>
      <c r="QZL3" s="89"/>
      <c r="QZM3" s="89"/>
      <c r="QZN3" s="89"/>
      <c r="QZO3" s="89"/>
      <c r="QZP3" s="89"/>
      <c r="QZQ3" s="89"/>
      <c r="QZR3" s="89"/>
      <c r="QZS3" s="89"/>
      <c r="QZT3" s="89"/>
      <c r="QZU3" s="89"/>
      <c r="QZV3" s="89"/>
      <c r="QZW3" s="89"/>
      <c r="QZX3" s="89"/>
      <c r="QZY3" s="89"/>
      <c r="QZZ3" s="89"/>
      <c r="RAA3" s="89"/>
      <c r="RAB3" s="89"/>
      <c r="RAC3" s="89"/>
      <c r="RAD3" s="89"/>
      <c r="RAE3" s="89"/>
      <c r="RAF3" s="89"/>
      <c r="RAG3" s="89"/>
      <c r="RAH3" s="89"/>
      <c r="RAI3" s="89"/>
      <c r="RAJ3" s="89"/>
      <c r="RAK3" s="89"/>
      <c r="RAL3" s="89"/>
      <c r="RAM3" s="89"/>
      <c r="RAN3" s="89"/>
      <c r="RAO3" s="89"/>
      <c r="RAP3" s="89"/>
      <c r="RAQ3" s="89"/>
      <c r="RAR3" s="89"/>
      <c r="RAS3" s="89"/>
      <c r="RAT3" s="89"/>
      <c r="RAU3" s="89"/>
      <c r="RAV3" s="89"/>
      <c r="RAW3" s="89"/>
      <c r="RAX3" s="89"/>
      <c r="RAY3" s="89"/>
      <c r="RAZ3" s="89"/>
      <c r="RBA3" s="89"/>
      <c r="RBB3" s="89"/>
      <c r="RBC3" s="89"/>
      <c r="RBD3" s="89"/>
      <c r="RBE3" s="89"/>
      <c r="RBF3" s="89"/>
      <c r="RBG3" s="89"/>
      <c r="RBH3" s="89"/>
      <c r="RBI3" s="89"/>
      <c r="RBJ3" s="89"/>
      <c r="RBK3" s="89"/>
      <c r="RBL3" s="89"/>
      <c r="RBM3" s="89"/>
      <c r="RBN3" s="89"/>
      <c r="RBO3" s="89"/>
      <c r="RBP3" s="89"/>
      <c r="RBQ3" s="89"/>
      <c r="RBR3" s="89"/>
      <c r="RBS3" s="89"/>
      <c r="RBT3" s="89"/>
      <c r="RBU3" s="89"/>
      <c r="RBV3" s="89"/>
      <c r="RBW3" s="89"/>
      <c r="RBX3" s="89"/>
      <c r="RBY3" s="89"/>
      <c r="RBZ3" s="89"/>
      <c r="RCA3" s="89"/>
      <c r="RCB3" s="89"/>
      <c r="RCC3" s="89"/>
      <c r="RCD3" s="89"/>
      <c r="RCE3" s="89"/>
      <c r="RCF3" s="89"/>
      <c r="RCG3" s="89"/>
      <c r="RCH3" s="89"/>
      <c r="RCI3" s="89"/>
      <c r="RCJ3" s="89"/>
      <c r="RCK3" s="89"/>
      <c r="RCL3" s="89"/>
      <c r="RCM3" s="89"/>
      <c r="RCN3" s="89"/>
      <c r="RCO3" s="89"/>
      <c r="RCP3" s="89"/>
      <c r="RCQ3" s="89"/>
      <c r="RCR3" s="89"/>
      <c r="RCS3" s="89"/>
      <c r="RCT3" s="89"/>
      <c r="RCU3" s="89"/>
      <c r="RCV3" s="89"/>
      <c r="RCW3" s="89"/>
      <c r="RCX3" s="89"/>
      <c r="RCY3" s="89"/>
      <c r="RCZ3" s="89"/>
      <c r="RDA3" s="89"/>
      <c r="RDB3" s="89"/>
      <c r="RDC3" s="89"/>
      <c r="RDD3" s="89"/>
      <c r="RDE3" s="89"/>
      <c r="RDF3" s="89"/>
      <c r="RDG3" s="89"/>
      <c r="RDH3" s="89"/>
      <c r="RDI3" s="89"/>
      <c r="RDJ3" s="89"/>
      <c r="RDK3" s="89"/>
      <c r="RDL3" s="89"/>
      <c r="RDM3" s="89"/>
      <c r="RDN3" s="89"/>
      <c r="RDO3" s="89"/>
      <c r="RDP3" s="89"/>
      <c r="RDQ3" s="89"/>
      <c r="RDR3" s="89"/>
      <c r="RDS3" s="89"/>
      <c r="RDT3" s="89"/>
      <c r="RDU3" s="89"/>
      <c r="RDV3" s="89"/>
      <c r="RDW3" s="89"/>
      <c r="RDX3" s="89"/>
      <c r="RDY3" s="89"/>
      <c r="RDZ3" s="89"/>
      <c r="REA3" s="89"/>
      <c r="REB3" s="89"/>
      <c r="REC3" s="89"/>
      <c r="RED3" s="89"/>
      <c r="REE3" s="89"/>
      <c r="REF3" s="89"/>
      <c r="REG3" s="89"/>
      <c r="REH3" s="89"/>
      <c r="REI3" s="89"/>
      <c r="REJ3" s="89"/>
      <c r="REK3" s="89"/>
      <c r="REL3" s="89"/>
      <c r="REM3" s="89"/>
      <c r="REN3" s="89"/>
      <c r="REO3" s="89"/>
      <c r="REP3" s="89"/>
      <c r="REQ3" s="89"/>
      <c r="RER3" s="89"/>
      <c r="RES3" s="89"/>
      <c r="RET3" s="89"/>
      <c r="REU3" s="89"/>
      <c r="REV3" s="89"/>
      <c r="REW3" s="89"/>
      <c r="REX3" s="89"/>
      <c r="REY3" s="89"/>
      <c r="REZ3" s="89"/>
      <c r="RFA3" s="89"/>
      <c r="RFB3" s="89"/>
      <c r="RFC3" s="89"/>
      <c r="RFD3" s="89"/>
      <c r="RFE3" s="89"/>
      <c r="RFF3" s="89"/>
      <c r="RFG3" s="89"/>
      <c r="RFH3" s="89"/>
      <c r="RFI3" s="89"/>
      <c r="RFJ3" s="89"/>
      <c r="RFK3" s="89"/>
      <c r="RFL3" s="89"/>
      <c r="RFM3" s="89"/>
      <c r="RFN3" s="89"/>
      <c r="RFO3" s="89"/>
      <c r="RFP3" s="89"/>
      <c r="RFQ3" s="89"/>
      <c r="RFR3" s="89"/>
      <c r="RFS3" s="89"/>
      <c r="RFT3" s="89"/>
      <c r="RFU3" s="89"/>
      <c r="RFV3" s="89"/>
      <c r="RFW3" s="89"/>
      <c r="RFX3" s="89"/>
      <c r="RFY3" s="89"/>
      <c r="RFZ3" s="89"/>
      <c r="RGA3" s="89"/>
      <c r="RGB3" s="89"/>
      <c r="RGC3" s="89"/>
      <c r="RGD3" s="89"/>
      <c r="RGE3" s="89"/>
      <c r="RGF3" s="89"/>
      <c r="RGG3" s="89"/>
      <c r="RGH3" s="89"/>
      <c r="RGI3" s="89"/>
      <c r="RGJ3" s="89"/>
      <c r="RGK3" s="89"/>
      <c r="RGL3" s="89"/>
      <c r="RGM3" s="89"/>
      <c r="RGN3" s="89"/>
      <c r="RGO3" s="89"/>
      <c r="RGP3" s="89"/>
      <c r="RGQ3" s="89"/>
      <c r="RGR3" s="89"/>
      <c r="RGS3" s="89"/>
      <c r="RGT3" s="89"/>
      <c r="RGU3" s="89"/>
      <c r="RGV3" s="89"/>
      <c r="RGW3" s="89"/>
      <c r="RGX3" s="89"/>
      <c r="RGY3" s="89"/>
      <c r="RGZ3" s="89"/>
      <c r="RHA3" s="89"/>
      <c r="RHB3" s="89"/>
      <c r="RHC3" s="89"/>
      <c r="RHD3" s="89"/>
      <c r="RHE3" s="89"/>
      <c r="RHF3" s="89"/>
      <c r="RHG3" s="89"/>
      <c r="RHH3" s="89"/>
      <c r="RHI3" s="89"/>
      <c r="RHJ3" s="89"/>
      <c r="RHK3" s="89"/>
      <c r="RHL3" s="89"/>
      <c r="RHM3" s="89"/>
      <c r="RHN3" s="89"/>
      <c r="RHO3" s="89"/>
      <c r="RHP3" s="89"/>
      <c r="RHQ3" s="89"/>
      <c r="RHR3" s="89"/>
      <c r="RHS3" s="89"/>
      <c r="RHT3" s="89"/>
      <c r="RHU3" s="89"/>
      <c r="RHV3" s="89"/>
      <c r="RHW3" s="89"/>
      <c r="RHX3" s="89"/>
      <c r="RHY3" s="89"/>
      <c r="RHZ3" s="89"/>
      <c r="RIA3" s="89"/>
      <c r="RIB3" s="89"/>
      <c r="RIC3" s="89"/>
      <c r="RID3" s="89"/>
      <c r="RIE3" s="89"/>
      <c r="RIF3" s="89"/>
      <c r="RIG3" s="89"/>
      <c r="RIH3" s="89"/>
      <c r="RII3" s="89"/>
      <c r="RIJ3" s="89"/>
      <c r="RIK3" s="89"/>
      <c r="RIL3" s="89"/>
      <c r="RIM3" s="89"/>
      <c r="RIN3" s="89"/>
      <c r="RIO3" s="89"/>
      <c r="RIP3" s="89"/>
      <c r="RIQ3" s="89"/>
      <c r="RIR3" s="89"/>
      <c r="RIS3" s="89"/>
      <c r="RIT3" s="89"/>
      <c r="RIU3" s="89"/>
      <c r="RIV3" s="89"/>
      <c r="RIW3" s="89"/>
      <c r="RIX3" s="89"/>
      <c r="RIY3" s="89"/>
      <c r="RIZ3" s="89"/>
      <c r="RJA3" s="89"/>
      <c r="RJB3" s="89"/>
      <c r="RJC3" s="89"/>
      <c r="RJD3" s="89"/>
      <c r="RJE3" s="89"/>
      <c r="RJF3" s="89"/>
      <c r="RJG3" s="89"/>
      <c r="RJH3" s="89"/>
      <c r="RJI3" s="89"/>
      <c r="RJJ3" s="89"/>
      <c r="RJK3" s="89"/>
      <c r="RJL3" s="89"/>
      <c r="RJM3" s="89"/>
      <c r="RJN3" s="89"/>
      <c r="RJO3" s="89"/>
      <c r="RJP3" s="89"/>
      <c r="RJQ3" s="89"/>
      <c r="RJR3" s="89"/>
      <c r="RJS3" s="89"/>
      <c r="RJT3" s="89"/>
      <c r="RJU3" s="89"/>
      <c r="RJV3" s="89"/>
      <c r="RJW3" s="89"/>
      <c r="RJX3" s="89"/>
      <c r="RJY3" s="89"/>
      <c r="RJZ3" s="89"/>
      <c r="RKA3" s="89"/>
      <c r="RKB3" s="89"/>
      <c r="RKC3" s="89"/>
      <c r="RKD3" s="89"/>
      <c r="RKE3" s="89"/>
      <c r="RKF3" s="89"/>
      <c r="RKG3" s="89"/>
      <c r="RKH3" s="89"/>
      <c r="RKI3" s="89"/>
      <c r="RKJ3" s="89"/>
      <c r="RKK3" s="89"/>
      <c r="RKL3" s="89"/>
      <c r="RKM3" s="89"/>
      <c r="RKN3" s="89"/>
      <c r="RKO3" s="89"/>
      <c r="RKP3" s="89"/>
      <c r="RKQ3" s="89"/>
      <c r="RKR3" s="89"/>
      <c r="RKS3" s="89"/>
      <c r="RKT3" s="89"/>
      <c r="RKU3" s="89"/>
      <c r="RKV3" s="89"/>
      <c r="RKW3" s="89"/>
      <c r="RKX3" s="89"/>
      <c r="RKY3" s="89"/>
      <c r="RKZ3" s="89"/>
      <c r="RLA3" s="89"/>
      <c r="RLB3" s="89"/>
      <c r="RLC3" s="89"/>
      <c r="RLD3" s="89"/>
      <c r="RLE3" s="89"/>
      <c r="RLF3" s="89"/>
      <c r="RLG3" s="89"/>
      <c r="RLH3" s="89"/>
      <c r="RLI3" s="89"/>
      <c r="RLJ3" s="89"/>
      <c r="RLK3" s="89"/>
      <c r="RLL3" s="89"/>
      <c r="RLM3" s="89"/>
      <c r="RLN3" s="89"/>
      <c r="RLO3" s="89"/>
      <c r="RLP3" s="89"/>
      <c r="RLQ3" s="89"/>
      <c r="RLR3" s="89"/>
      <c r="RLS3" s="89"/>
      <c r="RLT3" s="89"/>
      <c r="RLU3" s="89"/>
      <c r="RLV3" s="89"/>
      <c r="RLW3" s="89"/>
      <c r="RLX3" s="89"/>
      <c r="RLY3" s="89"/>
      <c r="RLZ3" s="89"/>
      <c r="RMA3" s="89"/>
      <c r="RMB3" s="89"/>
      <c r="RMC3" s="89"/>
      <c r="RMD3" s="89"/>
      <c r="RME3" s="89"/>
      <c r="RMF3" s="89"/>
      <c r="RMG3" s="89"/>
      <c r="RMH3" s="89"/>
      <c r="RMI3" s="89"/>
      <c r="RMJ3" s="89"/>
      <c r="RMK3" s="89"/>
      <c r="RML3" s="89"/>
      <c r="RMM3" s="89"/>
      <c r="RMN3" s="89"/>
      <c r="RMO3" s="89"/>
      <c r="RMP3" s="89"/>
      <c r="RMQ3" s="89"/>
      <c r="RMR3" s="89"/>
      <c r="RMS3" s="89"/>
      <c r="RMT3" s="89"/>
      <c r="RMU3" s="89"/>
      <c r="RMV3" s="89"/>
      <c r="RMW3" s="89"/>
      <c r="RMX3" s="89"/>
      <c r="RMY3" s="89"/>
      <c r="RMZ3" s="89"/>
      <c r="RNA3" s="89"/>
      <c r="RNB3" s="89"/>
      <c r="RNC3" s="89"/>
      <c r="RND3" s="89"/>
      <c r="RNE3" s="89"/>
      <c r="RNF3" s="89"/>
      <c r="RNG3" s="89"/>
      <c r="RNH3" s="89"/>
      <c r="RNI3" s="89"/>
      <c r="RNJ3" s="89"/>
      <c r="RNK3" s="89"/>
      <c r="RNL3" s="89"/>
      <c r="RNM3" s="89"/>
      <c r="RNN3" s="89"/>
      <c r="RNO3" s="89"/>
      <c r="RNP3" s="89"/>
      <c r="RNQ3" s="89"/>
      <c r="RNR3" s="89"/>
      <c r="RNS3" s="89"/>
      <c r="RNT3" s="89"/>
      <c r="RNU3" s="89"/>
      <c r="RNV3" s="89"/>
      <c r="RNW3" s="89"/>
      <c r="RNX3" s="89"/>
      <c r="RNY3" s="89"/>
      <c r="RNZ3" s="89"/>
      <c r="ROA3" s="89"/>
      <c r="ROB3" s="89"/>
      <c r="ROC3" s="89"/>
      <c r="ROD3" s="89"/>
      <c r="ROE3" s="89"/>
      <c r="ROF3" s="89"/>
      <c r="ROG3" s="89"/>
      <c r="ROH3" s="89"/>
      <c r="ROI3" s="89"/>
      <c r="ROJ3" s="89"/>
      <c r="ROK3" s="89"/>
      <c r="ROL3" s="89"/>
      <c r="ROM3" s="89"/>
      <c r="RON3" s="89"/>
      <c r="ROO3" s="89"/>
      <c r="ROP3" s="89"/>
      <c r="ROQ3" s="89"/>
      <c r="ROR3" s="89"/>
      <c r="ROS3" s="89"/>
      <c r="ROT3" s="89"/>
      <c r="ROU3" s="89"/>
      <c r="ROV3" s="89"/>
      <c r="ROW3" s="89"/>
      <c r="ROX3" s="89"/>
      <c r="ROY3" s="89"/>
      <c r="ROZ3" s="89"/>
      <c r="RPA3" s="89"/>
      <c r="RPB3" s="89"/>
      <c r="RPC3" s="89"/>
      <c r="RPD3" s="89"/>
      <c r="RPE3" s="89"/>
      <c r="RPF3" s="89"/>
      <c r="RPG3" s="89"/>
      <c r="RPH3" s="89"/>
      <c r="RPI3" s="89"/>
      <c r="RPJ3" s="89"/>
      <c r="RPK3" s="89"/>
      <c r="RPL3" s="89"/>
      <c r="RPM3" s="89"/>
      <c r="RPN3" s="89"/>
      <c r="RPO3" s="89"/>
      <c r="RPP3" s="89"/>
      <c r="RPQ3" s="89"/>
      <c r="RPR3" s="89"/>
      <c r="RPS3" s="89"/>
      <c r="RPT3" s="89"/>
      <c r="RPU3" s="89"/>
      <c r="RPV3" s="89"/>
      <c r="RPW3" s="89"/>
      <c r="RPX3" s="89"/>
      <c r="RPY3" s="89"/>
      <c r="RPZ3" s="89"/>
      <c r="RQA3" s="89"/>
      <c r="RQB3" s="89"/>
      <c r="RQC3" s="89"/>
      <c r="RQD3" s="89"/>
      <c r="RQE3" s="89"/>
      <c r="RQF3" s="89"/>
      <c r="RQG3" s="89"/>
      <c r="RQH3" s="89"/>
      <c r="RQI3" s="89"/>
      <c r="RQJ3" s="89"/>
      <c r="RQK3" s="89"/>
      <c r="RQL3" s="89"/>
      <c r="RQM3" s="89"/>
      <c r="RQN3" s="89"/>
      <c r="RQO3" s="89"/>
      <c r="RQP3" s="89"/>
      <c r="RQQ3" s="89"/>
      <c r="RQR3" s="89"/>
      <c r="RQS3" s="89"/>
      <c r="RQT3" s="89"/>
      <c r="RQU3" s="89"/>
      <c r="RQV3" s="89"/>
      <c r="RQW3" s="89"/>
      <c r="RQX3" s="89"/>
      <c r="RQY3" s="89"/>
      <c r="RQZ3" s="89"/>
      <c r="RRA3" s="89"/>
      <c r="RRB3" s="89"/>
      <c r="RRC3" s="89"/>
      <c r="RRD3" s="89"/>
      <c r="RRE3" s="89"/>
      <c r="RRF3" s="89"/>
      <c r="RRG3" s="89"/>
      <c r="RRH3" s="89"/>
      <c r="RRI3" s="89"/>
      <c r="RRJ3" s="89"/>
      <c r="RRK3" s="89"/>
      <c r="RRL3" s="89"/>
      <c r="RRM3" s="89"/>
      <c r="RRN3" s="89"/>
      <c r="RRO3" s="89"/>
      <c r="RRP3" s="89"/>
      <c r="RRQ3" s="89"/>
      <c r="RRR3" s="89"/>
      <c r="RRS3" s="89"/>
      <c r="RRT3" s="89"/>
      <c r="RRU3" s="89"/>
      <c r="RRV3" s="89"/>
      <c r="RRW3" s="89"/>
      <c r="RRX3" s="89"/>
      <c r="RRY3" s="89"/>
      <c r="RRZ3" s="89"/>
      <c r="RSA3" s="89"/>
      <c r="RSB3" s="89"/>
      <c r="RSC3" s="89"/>
      <c r="RSD3" s="89"/>
      <c r="RSE3" s="89"/>
      <c r="RSF3" s="89"/>
      <c r="RSG3" s="89"/>
      <c r="RSH3" s="89"/>
      <c r="RSI3" s="89"/>
      <c r="RSJ3" s="89"/>
      <c r="RSK3" s="89"/>
      <c r="RSL3" s="89"/>
      <c r="RSM3" s="89"/>
      <c r="RSN3" s="89"/>
      <c r="RSO3" s="89"/>
      <c r="RSP3" s="89"/>
      <c r="RSQ3" s="89"/>
      <c r="RSR3" s="89"/>
      <c r="RSS3" s="89"/>
      <c r="RST3" s="89"/>
      <c r="RSU3" s="89"/>
      <c r="RSV3" s="89"/>
      <c r="RSW3" s="89"/>
      <c r="RSX3" s="89"/>
      <c r="RSY3" s="89"/>
      <c r="RSZ3" s="89"/>
      <c r="RTA3" s="89"/>
      <c r="RTB3" s="89"/>
      <c r="RTC3" s="89"/>
      <c r="RTD3" s="89"/>
      <c r="RTE3" s="89"/>
      <c r="RTF3" s="89"/>
      <c r="RTG3" s="89"/>
      <c r="RTH3" s="89"/>
      <c r="RTI3" s="89"/>
      <c r="RTJ3" s="89"/>
      <c r="RTK3" s="89"/>
      <c r="RTL3" s="89"/>
      <c r="RTM3" s="89"/>
      <c r="RTN3" s="89"/>
      <c r="RTO3" s="89"/>
      <c r="RTP3" s="89"/>
      <c r="RTQ3" s="89"/>
      <c r="RTR3" s="89"/>
      <c r="RTS3" s="89"/>
      <c r="RTT3" s="89"/>
      <c r="RTU3" s="89"/>
      <c r="RTV3" s="89"/>
      <c r="RTW3" s="89"/>
      <c r="RTX3" s="89"/>
      <c r="RTY3" s="89"/>
      <c r="RTZ3" s="89"/>
      <c r="RUA3" s="89"/>
      <c r="RUB3" s="89"/>
      <c r="RUC3" s="89"/>
      <c r="RUD3" s="89"/>
      <c r="RUE3" s="89"/>
      <c r="RUF3" s="89"/>
      <c r="RUG3" s="89"/>
      <c r="RUH3" s="89"/>
      <c r="RUI3" s="89"/>
      <c r="RUJ3" s="89"/>
      <c r="RUK3" s="89"/>
      <c r="RUL3" s="89"/>
      <c r="RUM3" s="89"/>
      <c r="RUN3" s="89"/>
      <c r="RUO3" s="89"/>
      <c r="RUP3" s="89"/>
      <c r="RUQ3" s="89"/>
      <c r="RUR3" s="89"/>
      <c r="RUS3" s="89"/>
      <c r="RUT3" s="89"/>
      <c r="RUU3" s="89"/>
      <c r="RUV3" s="89"/>
      <c r="RUW3" s="89"/>
      <c r="RUX3" s="89"/>
      <c r="RUY3" s="89"/>
      <c r="RUZ3" s="89"/>
      <c r="RVA3" s="89"/>
      <c r="RVB3" s="89"/>
      <c r="RVC3" s="89"/>
      <c r="RVD3" s="89"/>
      <c r="RVE3" s="89"/>
      <c r="RVF3" s="89"/>
      <c r="RVG3" s="89"/>
      <c r="RVH3" s="89"/>
      <c r="RVI3" s="89"/>
      <c r="RVJ3" s="89"/>
      <c r="RVK3" s="89"/>
      <c r="RVL3" s="89"/>
      <c r="RVM3" s="89"/>
      <c r="RVN3" s="89"/>
      <c r="RVO3" s="89"/>
      <c r="RVP3" s="89"/>
      <c r="RVQ3" s="89"/>
      <c r="RVR3" s="89"/>
      <c r="RVS3" s="89"/>
      <c r="RVT3" s="89"/>
      <c r="RVU3" s="89"/>
      <c r="RVV3" s="89"/>
      <c r="RVW3" s="89"/>
      <c r="RVX3" s="89"/>
      <c r="RVY3" s="89"/>
      <c r="RVZ3" s="89"/>
      <c r="RWA3" s="89"/>
      <c r="RWB3" s="89"/>
      <c r="RWC3" s="89"/>
      <c r="RWD3" s="89"/>
      <c r="RWE3" s="89"/>
      <c r="RWF3" s="89"/>
      <c r="RWG3" s="89"/>
      <c r="RWH3" s="89"/>
      <c r="RWI3" s="89"/>
      <c r="RWJ3" s="89"/>
      <c r="RWK3" s="89"/>
      <c r="RWL3" s="89"/>
      <c r="RWM3" s="89"/>
      <c r="RWN3" s="89"/>
      <c r="RWO3" s="89"/>
      <c r="RWP3" s="89"/>
      <c r="RWQ3" s="89"/>
      <c r="RWR3" s="89"/>
      <c r="RWS3" s="89"/>
      <c r="RWT3" s="89"/>
      <c r="RWU3" s="89"/>
      <c r="RWV3" s="89"/>
      <c r="RWW3" s="89"/>
      <c r="RWX3" s="89"/>
      <c r="RWY3" s="89"/>
      <c r="RWZ3" s="89"/>
      <c r="RXA3" s="89"/>
      <c r="RXB3" s="89"/>
      <c r="RXC3" s="89"/>
      <c r="RXD3" s="89"/>
      <c r="RXE3" s="89"/>
      <c r="RXF3" s="89"/>
      <c r="RXG3" s="89"/>
      <c r="RXH3" s="89"/>
      <c r="RXI3" s="89"/>
      <c r="RXJ3" s="89"/>
      <c r="RXK3" s="89"/>
      <c r="RXL3" s="89"/>
      <c r="RXM3" s="89"/>
      <c r="RXN3" s="89"/>
      <c r="RXO3" s="89"/>
      <c r="RXP3" s="89"/>
      <c r="RXQ3" s="89"/>
      <c r="RXR3" s="89"/>
      <c r="RXS3" s="89"/>
      <c r="RXT3" s="89"/>
      <c r="RXU3" s="89"/>
      <c r="RXV3" s="89"/>
      <c r="RXW3" s="89"/>
      <c r="RXX3" s="89"/>
      <c r="RXY3" s="89"/>
      <c r="RXZ3" s="89"/>
      <c r="RYA3" s="89"/>
      <c r="RYB3" s="89"/>
      <c r="RYC3" s="89"/>
      <c r="RYD3" s="89"/>
      <c r="RYE3" s="89"/>
      <c r="RYF3" s="89"/>
      <c r="RYG3" s="89"/>
      <c r="RYH3" s="89"/>
      <c r="RYI3" s="89"/>
      <c r="RYJ3" s="89"/>
      <c r="RYK3" s="89"/>
      <c r="RYL3" s="89"/>
      <c r="RYM3" s="89"/>
      <c r="RYN3" s="89"/>
      <c r="RYO3" s="89"/>
      <c r="RYP3" s="89"/>
      <c r="RYQ3" s="89"/>
      <c r="RYR3" s="89"/>
      <c r="RYS3" s="89"/>
      <c r="RYT3" s="89"/>
      <c r="RYU3" s="89"/>
      <c r="RYV3" s="89"/>
      <c r="RYW3" s="89"/>
      <c r="RYX3" s="89"/>
      <c r="RYY3" s="89"/>
      <c r="RYZ3" s="89"/>
      <c r="RZA3" s="89"/>
      <c r="RZB3" s="89"/>
      <c r="RZC3" s="89"/>
      <c r="RZD3" s="89"/>
      <c r="RZE3" s="89"/>
      <c r="RZF3" s="89"/>
      <c r="RZG3" s="89"/>
      <c r="RZH3" s="89"/>
      <c r="RZI3" s="89"/>
      <c r="RZJ3" s="89"/>
      <c r="RZK3" s="89"/>
      <c r="RZL3" s="89"/>
      <c r="RZM3" s="89"/>
      <c r="RZN3" s="89"/>
      <c r="RZO3" s="89"/>
      <c r="RZP3" s="89"/>
      <c r="RZQ3" s="89"/>
      <c r="RZR3" s="89"/>
      <c r="RZS3" s="89"/>
      <c r="RZT3" s="89"/>
      <c r="RZU3" s="89"/>
      <c r="RZV3" s="89"/>
      <c r="RZW3" s="89"/>
      <c r="RZX3" s="89"/>
      <c r="RZY3" s="89"/>
      <c r="RZZ3" s="89"/>
      <c r="SAA3" s="89"/>
      <c r="SAB3" s="89"/>
      <c r="SAC3" s="89"/>
      <c r="SAD3" s="89"/>
      <c r="SAE3" s="89"/>
      <c r="SAF3" s="89"/>
      <c r="SAG3" s="89"/>
      <c r="SAH3" s="89"/>
      <c r="SAI3" s="89"/>
      <c r="SAJ3" s="89"/>
      <c r="SAK3" s="89"/>
      <c r="SAL3" s="89"/>
      <c r="SAM3" s="89"/>
      <c r="SAN3" s="89"/>
      <c r="SAO3" s="89"/>
      <c r="SAP3" s="89"/>
      <c r="SAQ3" s="89"/>
      <c r="SAR3" s="89"/>
      <c r="SAS3" s="89"/>
      <c r="SAT3" s="89"/>
      <c r="SAU3" s="89"/>
      <c r="SAV3" s="89"/>
      <c r="SAW3" s="89"/>
      <c r="SAX3" s="89"/>
      <c r="SAY3" s="89"/>
      <c r="SAZ3" s="89"/>
      <c r="SBA3" s="89"/>
      <c r="SBB3" s="89"/>
      <c r="SBC3" s="89"/>
      <c r="SBD3" s="89"/>
      <c r="SBE3" s="89"/>
      <c r="SBF3" s="89"/>
      <c r="SBG3" s="89"/>
      <c r="SBH3" s="89"/>
      <c r="SBI3" s="89"/>
      <c r="SBJ3" s="89"/>
      <c r="SBK3" s="89"/>
      <c r="SBL3" s="89"/>
      <c r="SBM3" s="89"/>
      <c r="SBN3" s="89"/>
      <c r="SBO3" s="89"/>
      <c r="SBP3" s="89"/>
      <c r="SBQ3" s="89"/>
      <c r="SBR3" s="89"/>
      <c r="SBS3" s="89"/>
      <c r="SBT3" s="89"/>
      <c r="SBU3" s="89"/>
      <c r="SBV3" s="89"/>
      <c r="SBW3" s="89"/>
      <c r="SBX3" s="89"/>
      <c r="SBY3" s="89"/>
      <c r="SBZ3" s="89"/>
      <c r="SCA3" s="89"/>
      <c r="SCB3" s="89"/>
      <c r="SCC3" s="89"/>
      <c r="SCD3" s="89"/>
      <c r="SCE3" s="89"/>
      <c r="SCF3" s="89"/>
      <c r="SCG3" s="89"/>
      <c r="SCH3" s="89"/>
      <c r="SCI3" s="89"/>
      <c r="SCJ3" s="89"/>
      <c r="SCK3" s="89"/>
      <c r="SCL3" s="89"/>
      <c r="SCM3" s="89"/>
      <c r="SCN3" s="89"/>
      <c r="SCO3" s="89"/>
      <c r="SCP3" s="89"/>
      <c r="SCQ3" s="89"/>
      <c r="SCR3" s="89"/>
      <c r="SCS3" s="89"/>
      <c r="SCT3" s="89"/>
      <c r="SCU3" s="89"/>
      <c r="SCV3" s="89"/>
      <c r="SCW3" s="89"/>
      <c r="SCX3" s="89"/>
      <c r="SCY3" s="89"/>
      <c r="SCZ3" s="89"/>
      <c r="SDA3" s="89"/>
      <c r="SDB3" s="89"/>
      <c r="SDC3" s="89"/>
      <c r="SDD3" s="89"/>
      <c r="SDE3" s="89"/>
      <c r="SDF3" s="89"/>
      <c r="SDG3" s="89"/>
      <c r="SDH3" s="89"/>
      <c r="SDI3" s="89"/>
      <c r="SDJ3" s="89"/>
      <c r="SDK3" s="89"/>
      <c r="SDL3" s="89"/>
      <c r="SDM3" s="89"/>
      <c r="SDN3" s="89"/>
      <c r="SDO3" s="89"/>
      <c r="SDP3" s="89"/>
      <c r="SDQ3" s="89"/>
      <c r="SDR3" s="89"/>
      <c r="SDS3" s="89"/>
      <c r="SDT3" s="89"/>
      <c r="SDU3" s="89"/>
      <c r="SDV3" s="89"/>
      <c r="SDW3" s="89"/>
      <c r="SDX3" s="89"/>
      <c r="SDY3" s="89"/>
      <c r="SDZ3" s="89"/>
      <c r="SEA3" s="89"/>
      <c r="SEB3" s="89"/>
      <c r="SEC3" s="89"/>
      <c r="SED3" s="89"/>
      <c r="SEE3" s="89"/>
      <c r="SEF3" s="89"/>
      <c r="SEG3" s="89"/>
      <c r="SEH3" s="89"/>
      <c r="SEI3" s="89"/>
      <c r="SEJ3" s="89"/>
      <c r="SEK3" s="89"/>
      <c r="SEL3" s="89"/>
      <c r="SEM3" s="89"/>
      <c r="SEN3" s="89"/>
      <c r="SEO3" s="89"/>
      <c r="SEP3" s="89"/>
      <c r="SEQ3" s="89"/>
      <c r="SER3" s="89"/>
      <c r="SES3" s="89"/>
      <c r="SET3" s="89"/>
      <c r="SEU3" s="89"/>
      <c r="SEV3" s="89"/>
      <c r="SEW3" s="89"/>
      <c r="SEX3" s="89"/>
      <c r="SEY3" s="89"/>
      <c r="SEZ3" s="89"/>
      <c r="SFA3" s="89"/>
      <c r="SFB3" s="89"/>
      <c r="SFC3" s="89"/>
      <c r="SFD3" s="89"/>
      <c r="SFE3" s="89"/>
      <c r="SFF3" s="89"/>
      <c r="SFG3" s="89"/>
      <c r="SFH3" s="89"/>
      <c r="SFI3" s="89"/>
      <c r="SFJ3" s="89"/>
      <c r="SFK3" s="89"/>
      <c r="SFL3" s="89"/>
      <c r="SFM3" s="89"/>
      <c r="SFN3" s="89"/>
      <c r="SFO3" s="89"/>
      <c r="SFP3" s="89"/>
      <c r="SFQ3" s="89"/>
      <c r="SFR3" s="89"/>
      <c r="SFS3" s="89"/>
      <c r="SFT3" s="89"/>
      <c r="SFU3" s="89"/>
      <c r="SFV3" s="89"/>
      <c r="SFW3" s="89"/>
      <c r="SFX3" s="89"/>
      <c r="SFY3" s="89"/>
      <c r="SFZ3" s="89"/>
      <c r="SGA3" s="89"/>
      <c r="SGB3" s="89"/>
      <c r="SGC3" s="89"/>
      <c r="SGD3" s="89"/>
      <c r="SGE3" s="89"/>
      <c r="SGF3" s="89"/>
      <c r="SGG3" s="89"/>
      <c r="SGH3" s="89"/>
      <c r="SGI3" s="89"/>
      <c r="SGJ3" s="89"/>
      <c r="SGK3" s="89"/>
      <c r="SGL3" s="89"/>
      <c r="SGM3" s="89"/>
      <c r="SGN3" s="89"/>
      <c r="SGO3" s="89"/>
      <c r="SGP3" s="89"/>
      <c r="SGQ3" s="89"/>
      <c r="SGR3" s="89"/>
      <c r="SGS3" s="89"/>
      <c r="SGT3" s="89"/>
      <c r="SGU3" s="89"/>
      <c r="SGV3" s="89"/>
      <c r="SGW3" s="89"/>
      <c r="SGX3" s="89"/>
      <c r="SGY3" s="89"/>
      <c r="SGZ3" s="89"/>
      <c r="SHA3" s="89"/>
      <c r="SHB3" s="89"/>
      <c r="SHC3" s="89"/>
      <c r="SHD3" s="89"/>
      <c r="SHE3" s="89"/>
      <c r="SHF3" s="89"/>
      <c r="SHG3" s="89"/>
      <c r="SHH3" s="89"/>
      <c r="SHI3" s="89"/>
      <c r="SHJ3" s="89"/>
      <c r="SHK3" s="89"/>
      <c r="SHL3" s="89"/>
      <c r="SHM3" s="89"/>
      <c r="SHN3" s="89"/>
      <c r="SHO3" s="89"/>
      <c r="SHP3" s="89"/>
      <c r="SHQ3" s="89"/>
      <c r="SHR3" s="89"/>
      <c r="SHS3" s="89"/>
      <c r="SHT3" s="89"/>
      <c r="SHU3" s="89"/>
      <c r="SHV3" s="89"/>
      <c r="SHW3" s="89"/>
      <c r="SHX3" s="89"/>
      <c r="SHY3" s="89"/>
      <c r="SHZ3" s="89"/>
      <c r="SIA3" s="89"/>
      <c r="SIB3" s="89"/>
      <c r="SIC3" s="89"/>
      <c r="SID3" s="89"/>
      <c r="SIE3" s="89"/>
      <c r="SIF3" s="89"/>
      <c r="SIG3" s="89"/>
      <c r="SIH3" s="89"/>
      <c r="SII3" s="89"/>
      <c r="SIJ3" s="89"/>
      <c r="SIK3" s="89"/>
      <c r="SIL3" s="89"/>
      <c r="SIM3" s="89"/>
      <c r="SIN3" s="89"/>
      <c r="SIO3" s="89"/>
      <c r="SIP3" s="89"/>
      <c r="SIQ3" s="89"/>
      <c r="SIR3" s="89"/>
      <c r="SIS3" s="89"/>
      <c r="SIT3" s="89"/>
      <c r="SIU3" s="89"/>
      <c r="SIV3" s="89"/>
      <c r="SIW3" s="89"/>
      <c r="SIX3" s="89"/>
      <c r="SIY3" s="89"/>
      <c r="SIZ3" s="89"/>
      <c r="SJA3" s="89"/>
      <c r="SJB3" s="89"/>
      <c r="SJC3" s="89"/>
      <c r="SJD3" s="89"/>
      <c r="SJE3" s="89"/>
      <c r="SJF3" s="89"/>
      <c r="SJG3" s="89"/>
      <c r="SJH3" s="89"/>
      <c r="SJI3" s="89"/>
      <c r="SJJ3" s="89"/>
      <c r="SJK3" s="89"/>
      <c r="SJL3" s="89"/>
      <c r="SJM3" s="89"/>
      <c r="SJN3" s="89"/>
      <c r="SJO3" s="89"/>
      <c r="SJP3" s="89"/>
      <c r="SJQ3" s="89"/>
      <c r="SJR3" s="89"/>
      <c r="SJS3" s="89"/>
      <c r="SJT3" s="89"/>
      <c r="SJU3" s="89"/>
      <c r="SJV3" s="89"/>
      <c r="SJW3" s="89"/>
      <c r="SJX3" s="89"/>
      <c r="SJY3" s="89"/>
      <c r="SJZ3" s="89"/>
      <c r="SKA3" s="89"/>
      <c r="SKB3" s="89"/>
      <c r="SKC3" s="89"/>
      <c r="SKD3" s="89"/>
      <c r="SKE3" s="89"/>
      <c r="SKF3" s="89"/>
      <c r="SKG3" s="89"/>
      <c r="SKH3" s="89"/>
      <c r="SKI3" s="89"/>
      <c r="SKJ3" s="89"/>
      <c r="SKK3" s="89"/>
      <c r="SKL3" s="89"/>
      <c r="SKM3" s="89"/>
      <c r="SKN3" s="89"/>
      <c r="SKO3" s="89"/>
      <c r="SKP3" s="89"/>
      <c r="SKQ3" s="89"/>
      <c r="SKR3" s="89"/>
      <c r="SKS3" s="89"/>
      <c r="SKT3" s="89"/>
      <c r="SKU3" s="89"/>
      <c r="SKV3" s="89"/>
      <c r="SKW3" s="89"/>
      <c r="SKX3" s="89"/>
      <c r="SKY3" s="89"/>
      <c r="SKZ3" s="89"/>
      <c r="SLA3" s="89"/>
      <c r="SLB3" s="89"/>
      <c r="SLC3" s="89"/>
      <c r="SLD3" s="89"/>
      <c r="SLE3" s="89"/>
      <c r="SLF3" s="89"/>
      <c r="SLG3" s="89"/>
      <c r="SLH3" s="89"/>
      <c r="SLI3" s="89"/>
      <c r="SLJ3" s="89"/>
      <c r="SLK3" s="89"/>
      <c r="SLL3" s="89"/>
      <c r="SLM3" s="89"/>
      <c r="SLN3" s="89"/>
      <c r="SLO3" s="89"/>
      <c r="SLP3" s="89"/>
      <c r="SLQ3" s="89"/>
      <c r="SLR3" s="89"/>
      <c r="SLS3" s="89"/>
      <c r="SLT3" s="89"/>
      <c r="SLU3" s="89"/>
      <c r="SLV3" s="89"/>
      <c r="SLW3" s="89"/>
      <c r="SLX3" s="89"/>
      <c r="SLY3" s="89"/>
      <c r="SLZ3" s="89"/>
      <c r="SMA3" s="89"/>
      <c r="SMB3" s="89"/>
      <c r="SMC3" s="89"/>
      <c r="SMD3" s="89"/>
      <c r="SME3" s="89"/>
      <c r="SMF3" s="89"/>
      <c r="SMG3" s="89"/>
      <c r="SMH3" s="89"/>
      <c r="SMI3" s="89"/>
      <c r="SMJ3" s="89"/>
      <c r="SMK3" s="89"/>
      <c r="SML3" s="89"/>
      <c r="SMM3" s="89"/>
      <c r="SMN3" s="89"/>
      <c r="SMO3" s="89"/>
      <c r="SMP3" s="89"/>
      <c r="SMQ3" s="89"/>
      <c r="SMR3" s="89"/>
      <c r="SMS3" s="89"/>
      <c r="SMT3" s="89"/>
      <c r="SMU3" s="89"/>
      <c r="SMV3" s="89"/>
      <c r="SMW3" s="89"/>
      <c r="SMX3" s="89"/>
      <c r="SMY3" s="89"/>
      <c r="SMZ3" s="89"/>
      <c r="SNA3" s="89"/>
      <c r="SNB3" s="89"/>
      <c r="SNC3" s="89"/>
      <c r="SND3" s="89"/>
      <c r="SNE3" s="89"/>
      <c r="SNF3" s="89"/>
      <c r="SNG3" s="89"/>
      <c r="SNH3" s="89"/>
      <c r="SNI3" s="89"/>
      <c r="SNJ3" s="89"/>
      <c r="SNK3" s="89"/>
      <c r="SNL3" s="89"/>
      <c r="SNM3" s="89"/>
      <c r="SNN3" s="89"/>
      <c r="SNO3" s="89"/>
      <c r="SNP3" s="89"/>
      <c r="SNQ3" s="89"/>
      <c r="SNR3" s="89"/>
      <c r="SNS3" s="89"/>
      <c r="SNT3" s="89"/>
      <c r="SNU3" s="89"/>
      <c r="SNV3" s="89"/>
      <c r="SNW3" s="89"/>
      <c r="SNX3" s="89"/>
      <c r="SNY3" s="89"/>
      <c r="SNZ3" s="89"/>
      <c r="SOA3" s="89"/>
      <c r="SOB3" s="89"/>
      <c r="SOC3" s="89"/>
      <c r="SOD3" s="89"/>
      <c r="SOE3" s="89"/>
      <c r="SOF3" s="89"/>
      <c r="SOG3" s="89"/>
      <c r="SOH3" s="89"/>
      <c r="SOI3" s="89"/>
      <c r="SOJ3" s="89"/>
      <c r="SOK3" s="89"/>
      <c r="SOL3" s="89"/>
      <c r="SOM3" s="89"/>
      <c r="SON3" s="89"/>
      <c r="SOO3" s="89"/>
      <c r="SOP3" s="89"/>
      <c r="SOQ3" s="89"/>
      <c r="SOR3" s="89"/>
      <c r="SOS3" s="89"/>
      <c r="SOT3" s="89"/>
      <c r="SOU3" s="89"/>
      <c r="SOV3" s="89"/>
      <c r="SOW3" s="89"/>
      <c r="SOX3" s="89"/>
      <c r="SOY3" s="89"/>
      <c r="SOZ3" s="89"/>
      <c r="SPA3" s="89"/>
      <c r="SPB3" s="89"/>
      <c r="SPC3" s="89"/>
      <c r="SPD3" s="89"/>
      <c r="SPE3" s="89"/>
      <c r="SPF3" s="89"/>
      <c r="SPG3" s="89"/>
      <c r="SPH3" s="89"/>
      <c r="SPI3" s="89"/>
      <c r="SPJ3" s="89"/>
      <c r="SPK3" s="89"/>
      <c r="SPL3" s="89"/>
      <c r="SPM3" s="89"/>
      <c r="SPN3" s="89"/>
      <c r="SPO3" s="89"/>
      <c r="SPP3" s="89"/>
      <c r="SPQ3" s="89"/>
      <c r="SPR3" s="89"/>
      <c r="SPS3" s="89"/>
      <c r="SPT3" s="89"/>
      <c r="SPU3" s="89"/>
      <c r="SPV3" s="89"/>
      <c r="SPW3" s="89"/>
      <c r="SPX3" s="89"/>
      <c r="SPY3" s="89"/>
      <c r="SPZ3" s="89"/>
      <c r="SQA3" s="89"/>
      <c r="SQB3" s="89"/>
      <c r="SQC3" s="89"/>
      <c r="SQD3" s="89"/>
      <c r="SQE3" s="89"/>
      <c r="SQF3" s="89"/>
      <c r="SQG3" s="89"/>
      <c r="SQH3" s="89"/>
      <c r="SQI3" s="89"/>
      <c r="SQJ3" s="89"/>
      <c r="SQK3" s="89"/>
      <c r="SQL3" s="89"/>
      <c r="SQM3" s="89"/>
      <c r="SQN3" s="89"/>
      <c r="SQO3" s="89"/>
      <c r="SQP3" s="89"/>
      <c r="SQQ3" s="89"/>
      <c r="SQR3" s="89"/>
      <c r="SQS3" s="89"/>
      <c r="SQT3" s="89"/>
      <c r="SQU3" s="89"/>
      <c r="SQV3" s="89"/>
      <c r="SQW3" s="89"/>
      <c r="SQX3" s="89"/>
      <c r="SQY3" s="89"/>
      <c r="SQZ3" s="89"/>
      <c r="SRA3" s="89"/>
      <c r="SRB3" s="89"/>
      <c r="SRC3" s="89"/>
      <c r="SRD3" s="89"/>
      <c r="SRE3" s="89"/>
      <c r="SRF3" s="89"/>
      <c r="SRG3" s="89"/>
      <c r="SRH3" s="89"/>
      <c r="SRI3" s="89"/>
      <c r="SRJ3" s="89"/>
      <c r="SRK3" s="89"/>
      <c r="SRL3" s="89"/>
      <c r="SRM3" s="89"/>
      <c r="SRN3" s="89"/>
      <c r="SRO3" s="89"/>
      <c r="SRP3" s="89"/>
      <c r="SRQ3" s="89"/>
      <c r="SRR3" s="89"/>
      <c r="SRS3" s="89"/>
      <c r="SRT3" s="89"/>
      <c r="SRU3" s="89"/>
      <c r="SRV3" s="89"/>
      <c r="SRW3" s="89"/>
      <c r="SRX3" s="89"/>
      <c r="SRY3" s="89"/>
      <c r="SRZ3" s="89"/>
      <c r="SSA3" s="89"/>
      <c r="SSB3" s="89"/>
      <c r="SSC3" s="89"/>
      <c r="SSD3" s="89"/>
      <c r="SSE3" s="89"/>
      <c r="SSF3" s="89"/>
      <c r="SSG3" s="89"/>
      <c r="SSH3" s="89"/>
      <c r="SSI3" s="89"/>
      <c r="SSJ3" s="89"/>
      <c r="SSK3" s="89"/>
      <c r="SSL3" s="89"/>
      <c r="SSM3" s="89"/>
      <c r="SSN3" s="89"/>
      <c r="SSO3" s="89"/>
      <c r="SSP3" s="89"/>
      <c r="SSQ3" s="89"/>
      <c r="SSR3" s="89"/>
      <c r="SSS3" s="89"/>
      <c r="SST3" s="89"/>
      <c r="SSU3" s="89"/>
      <c r="SSV3" s="89"/>
      <c r="SSW3" s="89"/>
      <c r="SSX3" s="89"/>
      <c r="SSY3" s="89"/>
      <c r="SSZ3" s="89"/>
      <c r="STA3" s="89"/>
      <c r="STB3" s="89"/>
      <c r="STC3" s="89"/>
      <c r="STD3" s="89"/>
      <c r="STE3" s="89"/>
      <c r="STF3" s="89"/>
      <c r="STG3" s="89"/>
      <c r="STH3" s="89"/>
      <c r="STI3" s="89"/>
      <c r="STJ3" s="89"/>
      <c r="STK3" s="89"/>
      <c r="STL3" s="89"/>
      <c r="STM3" s="89"/>
      <c r="STN3" s="89"/>
      <c r="STO3" s="89"/>
      <c r="STP3" s="89"/>
      <c r="STQ3" s="89"/>
      <c r="STR3" s="89"/>
      <c r="STS3" s="89"/>
      <c r="STT3" s="89"/>
      <c r="STU3" s="89"/>
      <c r="STV3" s="89"/>
      <c r="STW3" s="89"/>
      <c r="STX3" s="89"/>
      <c r="STY3" s="89"/>
      <c r="STZ3" s="89"/>
      <c r="SUA3" s="89"/>
      <c r="SUB3" s="89"/>
      <c r="SUC3" s="89"/>
      <c r="SUD3" s="89"/>
      <c r="SUE3" s="89"/>
      <c r="SUF3" s="89"/>
      <c r="SUG3" s="89"/>
      <c r="SUH3" s="89"/>
      <c r="SUI3" s="89"/>
      <c r="SUJ3" s="89"/>
      <c r="SUK3" s="89"/>
      <c r="SUL3" s="89"/>
      <c r="SUM3" s="89"/>
      <c r="SUN3" s="89"/>
      <c r="SUO3" s="89"/>
      <c r="SUP3" s="89"/>
      <c r="SUQ3" s="89"/>
      <c r="SUR3" s="89"/>
      <c r="SUS3" s="89"/>
      <c r="SUT3" s="89"/>
      <c r="SUU3" s="89"/>
      <c r="SUV3" s="89"/>
      <c r="SUW3" s="89"/>
      <c r="SUX3" s="89"/>
      <c r="SUY3" s="89"/>
      <c r="SUZ3" s="89"/>
      <c r="SVA3" s="89"/>
      <c r="SVB3" s="89"/>
      <c r="SVC3" s="89"/>
      <c r="SVD3" s="89"/>
      <c r="SVE3" s="89"/>
      <c r="SVF3" s="89"/>
      <c r="SVG3" s="89"/>
      <c r="SVH3" s="89"/>
      <c r="SVI3" s="89"/>
      <c r="SVJ3" s="89"/>
      <c r="SVK3" s="89"/>
      <c r="SVL3" s="89"/>
      <c r="SVM3" s="89"/>
      <c r="SVN3" s="89"/>
      <c r="SVO3" s="89"/>
      <c r="SVP3" s="89"/>
      <c r="SVQ3" s="89"/>
      <c r="SVR3" s="89"/>
      <c r="SVS3" s="89"/>
      <c r="SVT3" s="89"/>
      <c r="SVU3" s="89"/>
      <c r="SVV3" s="89"/>
      <c r="SVW3" s="89"/>
      <c r="SVX3" s="89"/>
      <c r="SVY3" s="89"/>
      <c r="SVZ3" s="89"/>
      <c r="SWA3" s="89"/>
      <c r="SWB3" s="89"/>
      <c r="SWC3" s="89"/>
      <c r="SWD3" s="89"/>
      <c r="SWE3" s="89"/>
      <c r="SWF3" s="89"/>
      <c r="SWG3" s="89"/>
      <c r="SWH3" s="89"/>
      <c r="SWI3" s="89"/>
      <c r="SWJ3" s="89"/>
      <c r="SWK3" s="89"/>
      <c r="SWL3" s="89"/>
      <c r="SWM3" s="89"/>
      <c r="SWN3" s="89"/>
      <c r="SWO3" s="89"/>
      <c r="SWP3" s="89"/>
      <c r="SWQ3" s="89"/>
      <c r="SWR3" s="89"/>
      <c r="SWS3" s="89"/>
      <c r="SWT3" s="89"/>
      <c r="SWU3" s="89"/>
      <c r="SWV3" s="89"/>
      <c r="SWW3" s="89"/>
      <c r="SWX3" s="89"/>
      <c r="SWY3" s="89"/>
      <c r="SWZ3" s="89"/>
      <c r="SXA3" s="89"/>
      <c r="SXB3" s="89"/>
      <c r="SXC3" s="89"/>
      <c r="SXD3" s="89"/>
      <c r="SXE3" s="89"/>
      <c r="SXF3" s="89"/>
      <c r="SXG3" s="89"/>
      <c r="SXH3" s="89"/>
      <c r="SXI3" s="89"/>
      <c r="SXJ3" s="89"/>
      <c r="SXK3" s="89"/>
      <c r="SXL3" s="89"/>
      <c r="SXM3" s="89"/>
      <c r="SXN3" s="89"/>
      <c r="SXO3" s="89"/>
      <c r="SXP3" s="89"/>
      <c r="SXQ3" s="89"/>
      <c r="SXR3" s="89"/>
      <c r="SXS3" s="89"/>
      <c r="SXT3" s="89"/>
      <c r="SXU3" s="89"/>
      <c r="SXV3" s="89"/>
      <c r="SXW3" s="89"/>
      <c r="SXX3" s="89"/>
      <c r="SXY3" s="89"/>
      <c r="SXZ3" s="89"/>
      <c r="SYA3" s="89"/>
      <c r="SYB3" s="89"/>
      <c r="SYC3" s="89"/>
      <c r="SYD3" s="89"/>
      <c r="SYE3" s="89"/>
      <c r="SYF3" s="89"/>
      <c r="SYG3" s="89"/>
      <c r="SYH3" s="89"/>
      <c r="SYI3" s="89"/>
      <c r="SYJ3" s="89"/>
      <c r="SYK3" s="89"/>
      <c r="SYL3" s="89"/>
      <c r="SYM3" s="89"/>
      <c r="SYN3" s="89"/>
      <c r="SYO3" s="89"/>
      <c r="SYP3" s="89"/>
      <c r="SYQ3" s="89"/>
      <c r="SYR3" s="89"/>
      <c r="SYS3" s="89"/>
      <c r="SYT3" s="89"/>
      <c r="SYU3" s="89"/>
      <c r="SYV3" s="89"/>
      <c r="SYW3" s="89"/>
      <c r="SYX3" s="89"/>
      <c r="SYY3" s="89"/>
      <c r="SYZ3" s="89"/>
      <c r="SZA3" s="89"/>
      <c r="SZB3" s="89"/>
      <c r="SZC3" s="89"/>
      <c r="SZD3" s="89"/>
      <c r="SZE3" s="89"/>
      <c r="SZF3" s="89"/>
      <c r="SZG3" s="89"/>
      <c r="SZH3" s="89"/>
      <c r="SZI3" s="89"/>
      <c r="SZJ3" s="89"/>
      <c r="SZK3" s="89"/>
      <c r="SZL3" s="89"/>
      <c r="SZM3" s="89"/>
      <c r="SZN3" s="89"/>
      <c r="SZO3" s="89"/>
      <c r="SZP3" s="89"/>
      <c r="SZQ3" s="89"/>
      <c r="SZR3" s="89"/>
      <c r="SZS3" s="89"/>
      <c r="SZT3" s="89"/>
      <c r="SZU3" s="89"/>
      <c r="SZV3" s="89"/>
      <c r="SZW3" s="89"/>
      <c r="SZX3" s="89"/>
      <c r="SZY3" s="89"/>
      <c r="SZZ3" s="89"/>
      <c r="TAA3" s="89"/>
      <c r="TAB3" s="89"/>
      <c r="TAC3" s="89"/>
      <c r="TAD3" s="89"/>
      <c r="TAE3" s="89"/>
      <c r="TAF3" s="89"/>
      <c r="TAG3" s="89"/>
      <c r="TAH3" s="89"/>
      <c r="TAI3" s="89"/>
      <c r="TAJ3" s="89"/>
      <c r="TAK3" s="89"/>
      <c r="TAL3" s="89"/>
      <c r="TAM3" s="89"/>
      <c r="TAN3" s="89"/>
      <c r="TAO3" s="89"/>
      <c r="TAP3" s="89"/>
      <c r="TAQ3" s="89"/>
      <c r="TAR3" s="89"/>
      <c r="TAS3" s="89"/>
      <c r="TAT3" s="89"/>
      <c r="TAU3" s="89"/>
      <c r="TAV3" s="89"/>
      <c r="TAW3" s="89"/>
      <c r="TAX3" s="89"/>
      <c r="TAY3" s="89"/>
      <c r="TAZ3" s="89"/>
      <c r="TBA3" s="89"/>
      <c r="TBB3" s="89"/>
      <c r="TBC3" s="89"/>
      <c r="TBD3" s="89"/>
      <c r="TBE3" s="89"/>
      <c r="TBF3" s="89"/>
      <c r="TBG3" s="89"/>
      <c r="TBH3" s="89"/>
      <c r="TBI3" s="89"/>
      <c r="TBJ3" s="89"/>
      <c r="TBK3" s="89"/>
      <c r="TBL3" s="89"/>
      <c r="TBM3" s="89"/>
      <c r="TBN3" s="89"/>
      <c r="TBO3" s="89"/>
      <c r="TBP3" s="89"/>
      <c r="TBQ3" s="89"/>
      <c r="TBR3" s="89"/>
      <c r="TBS3" s="89"/>
      <c r="TBT3" s="89"/>
      <c r="TBU3" s="89"/>
      <c r="TBV3" s="89"/>
      <c r="TBW3" s="89"/>
      <c r="TBX3" s="89"/>
      <c r="TBY3" s="89"/>
      <c r="TBZ3" s="89"/>
      <c r="TCA3" s="89"/>
      <c r="TCB3" s="89"/>
      <c r="TCC3" s="89"/>
      <c r="TCD3" s="89"/>
      <c r="TCE3" s="89"/>
      <c r="TCF3" s="89"/>
      <c r="TCG3" s="89"/>
      <c r="TCH3" s="89"/>
      <c r="TCI3" s="89"/>
      <c r="TCJ3" s="89"/>
      <c r="TCK3" s="89"/>
      <c r="TCL3" s="89"/>
      <c r="TCM3" s="89"/>
      <c r="TCN3" s="89"/>
      <c r="TCO3" s="89"/>
      <c r="TCP3" s="89"/>
      <c r="TCQ3" s="89"/>
      <c r="TCR3" s="89"/>
      <c r="TCS3" s="89"/>
      <c r="TCT3" s="89"/>
      <c r="TCU3" s="89"/>
      <c r="TCV3" s="89"/>
      <c r="TCW3" s="89"/>
      <c r="TCX3" s="89"/>
      <c r="TCY3" s="89"/>
      <c r="TCZ3" s="89"/>
      <c r="TDA3" s="89"/>
      <c r="TDB3" s="89"/>
      <c r="TDC3" s="89"/>
      <c r="TDD3" s="89"/>
      <c r="TDE3" s="89"/>
      <c r="TDF3" s="89"/>
      <c r="TDG3" s="89"/>
      <c r="TDH3" s="89"/>
      <c r="TDI3" s="89"/>
      <c r="TDJ3" s="89"/>
      <c r="TDK3" s="89"/>
      <c r="TDL3" s="89"/>
      <c r="TDM3" s="89"/>
      <c r="TDN3" s="89"/>
      <c r="TDO3" s="89"/>
      <c r="TDP3" s="89"/>
      <c r="TDQ3" s="89"/>
      <c r="TDR3" s="89"/>
      <c r="TDS3" s="89"/>
      <c r="TDT3" s="89"/>
      <c r="TDU3" s="89"/>
      <c r="TDV3" s="89"/>
      <c r="TDW3" s="89"/>
      <c r="TDX3" s="89"/>
      <c r="TDY3" s="89"/>
      <c r="TDZ3" s="89"/>
      <c r="TEA3" s="89"/>
      <c r="TEB3" s="89"/>
      <c r="TEC3" s="89"/>
      <c r="TED3" s="89"/>
      <c r="TEE3" s="89"/>
      <c r="TEF3" s="89"/>
      <c r="TEG3" s="89"/>
      <c r="TEH3" s="89"/>
      <c r="TEI3" s="89"/>
      <c r="TEJ3" s="89"/>
      <c r="TEK3" s="89"/>
      <c r="TEL3" s="89"/>
      <c r="TEM3" s="89"/>
      <c r="TEN3" s="89"/>
      <c r="TEO3" s="89"/>
      <c r="TEP3" s="89"/>
      <c r="TEQ3" s="89"/>
      <c r="TER3" s="89"/>
      <c r="TES3" s="89"/>
      <c r="TET3" s="89"/>
      <c r="TEU3" s="89"/>
      <c r="TEV3" s="89"/>
      <c r="TEW3" s="89"/>
      <c r="TEX3" s="89"/>
      <c r="TEY3" s="89"/>
      <c r="TEZ3" s="89"/>
      <c r="TFA3" s="89"/>
      <c r="TFB3" s="89"/>
      <c r="TFC3" s="89"/>
      <c r="TFD3" s="89"/>
      <c r="TFE3" s="89"/>
      <c r="TFF3" s="89"/>
      <c r="TFG3" s="89"/>
      <c r="TFH3" s="89"/>
      <c r="TFI3" s="89"/>
      <c r="TFJ3" s="89"/>
      <c r="TFK3" s="89"/>
      <c r="TFL3" s="89"/>
      <c r="TFM3" s="89"/>
      <c r="TFN3" s="89"/>
      <c r="TFO3" s="89"/>
      <c r="TFP3" s="89"/>
      <c r="TFQ3" s="89"/>
      <c r="TFR3" s="89"/>
      <c r="TFS3" s="89"/>
      <c r="TFT3" s="89"/>
      <c r="TFU3" s="89"/>
      <c r="TFV3" s="89"/>
      <c r="TFW3" s="89"/>
      <c r="TFX3" s="89"/>
      <c r="TFY3" s="89"/>
      <c r="TFZ3" s="89"/>
      <c r="TGA3" s="89"/>
      <c r="TGB3" s="89"/>
      <c r="TGC3" s="89"/>
      <c r="TGD3" s="89"/>
      <c r="TGE3" s="89"/>
      <c r="TGF3" s="89"/>
      <c r="TGG3" s="89"/>
      <c r="TGH3" s="89"/>
      <c r="TGI3" s="89"/>
      <c r="TGJ3" s="89"/>
      <c r="TGK3" s="89"/>
      <c r="TGL3" s="89"/>
      <c r="TGM3" s="89"/>
      <c r="TGN3" s="89"/>
      <c r="TGO3" s="89"/>
      <c r="TGP3" s="89"/>
      <c r="TGQ3" s="89"/>
      <c r="TGR3" s="89"/>
      <c r="TGS3" s="89"/>
      <c r="TGT3" s="89"/>
      <c r="TGU3" s="89"/>
      <c r="TGV3" s="89"/>
      <c r="TGW3" s="89"/>
      <c r="TGX3" s="89"/>
      <c r="TGY3" s="89"/>
      <c r="TGZ3" s="89"/>
      <c r="THA3" s="89"/>
      <c r="THB3" s="89"/>
      <c r="THC3" s="89"/>
      <c r="THD3" s="89"/>
      <c r="THE3" s="89"/>
      <c r="THF3" s="89"/>
      <c r="THG3" s="89"/>
      <c r="THH3" s="89"/>
      <c r="THI3" s="89"/>
      <c r="THJ3" s="89"/>
      <c r="THK3" s="89"/>
      <c r="THL3" s="89"/>
      <c r="THM3" s="89"/>
      <c r="THN3" s="89"/>
      <c r="THO3" s="89"/>
      <c r="THP3" s="89"/>
      <c r="THQ3" s="89"/>
      <c r="THR3" s="89"/>
      <c r="THS3" s="89"/>
      <c r="THT3" s="89"/>
      <c r="THU3" s="89"/>
      <c r="THV3" s="89"/>
      <c r="THW3" s="89"/>
      <c r="THX3" s="89"/>
      <c r="THY3" s="89"/>
      <c r="THZ3" s="89"/>
      <c r="TIA3" s="89"/>
      <c r="TIB3" s="89"/>
      <c r="TIC3" s="89"/>
      <c r="TID3" s="89"/>
      <c r="TIE3" s="89"/>
      <c r="TIF3" s="89"/>
      <c r="TIG3" s="89"/>
      <c r="TIH3" s="89"/>
      <c r="TII3" s="89"/>
      <c r="TIJ3" s="89"/>
      <c r="TIK3" s="89"/>
      <c r="TIL3" s="89"/>
      <c r="TIM3" s="89"/>
      <c r="TIN3" s="89"/>
      <c r="TIO3" s="89"/>
      <c r="TIP3" s="89"/>
      <c r="TIQ3" s="89"/>
      <c r="TIR3" s="89"/>
      <c r="TIS3" s="89"/>
      <c r="TIT3" s="89"/>
      <c r="TIU3" s="89"/>
      <c r="TIV3" s="89"/>
      <c r="TIW3" s="89"/>
      <c r="TIX3" s="89"/>
      <c r="TIY3" s="89"/>
      <c r="TIZ3" s="89"/>
      <c r="TJA3" s="89"/>
      <c r="TJB3" s="89"/>
      <c r="TJC3" s="89"/>
      <c r="TJD3" s="89"/>
      <c r="TJE3" s="89"/>
      <c r="TJF3" s="89"/>
      <c r="TJG3" s="89"/>
      <c r="TJH3" s="89"/>
      <c r="TJI3" s="89"/>
      <c r="TJJ3" s="89"/>
      <c r="TJK3" s="89"/>
      <c r="TJL3" s="89"/>
      <c r="TJM3" s="89"/>
      <c r="TJN3" s="89"/>
      <c r="TJO3" s="89"/>
      <c r="TJP3" s="89"/>
      <c r="TJQ3" s="89"/>
      <c r="TJR3" s="89"/>
      <c r="TJS3" s="89"/>
      <c r="TJT3" s="89"/>
      <c r="TJU3" s="89"/>
      <c r="TJV3" s="89"/>
      <c r="TJW3" s="89"/>
      <c r="TJX3" s="89"/>
      <c r="TJY3" s="89"/>
      <c r="TJZ3" s="89"/>
      <c r="TKA3" s="89"/>
      <c r="TKB3" s="89"/>
      <c r="TKC3" s="89"/>
      <c r="TKD3" s="89"/>
      <c r="TKE3" s="89"/>
      <c r="TKF3" s="89"/>
      <c r="TKG3" s="89"/>
      <c r="TKH3" s="89"/>
      <c r="TKI3" s="89"/>
      <c r="TKJ3" s="89"/>
      <c r="TKK3" s="89"/>
      <c r="TKL3" s="89"/>
      <c r="TKM3" s="89"/>
      <c r="TKN3" s="89"/>
      <c r="TKO3" s="89"/>
      <c r="TKP3" s="89"/>
      <c r="TKQ3" s="89"/>
      <c r="TKR3" s="89"/>
      <c r="TKS3" s="89"/>
      <c r="TKT3" s="89"/>
      <c r="TKU3" s="89"/>
      <c r="TKV3" s="89"/>
      <c r="TKW3" s="89"/>
      <c r="TKX3" s="89"/>
      <c r="TKY3" s="89"/>
      <c r="TKZ3" s="89"/>
      <c r="TLA3" s="89"/>
      <c r="TLB3" s="89"/>
      <c r="TLC3" s="89"/>
      <c r="TLD3" s="89"/>
      <c r="TLE3" s="89"/>
      <c r="TLF3" s="89"/>
      <c r="TLG3" s="89"/>
      <c r="TLH3" s="89"/>
      <c r="TLI3" s="89"/>
      <c r="TLJ3" s="89"/>
      <c r="TLK3" s="89"/>
      <c r="TLL3" s="89"/>
      <c r="TLM3" s="89"/>
      <c r="TLN3" s="89"/>
      <c r="TLO3" s="89"/>
      <c r="TLP3" s="89"/>
      <c r="TLQ3" s="89"/>
      <c r="TLR3" s="89"/>
      <c r="TLS3" s="89"/>
      <c r="TLT3" s="89"/>
      <c r="TLU3" s="89"/>
      <c r="TLV3" s="89"/>
      <c r="TLW3" s="89"/>
      <c r="TLX3" s="89"/>
      <c r="TLY3" s="89"/>
      <c r="TLZ3" s="89"/>
      <c r="TMA3" s="89"/>
      <c r="TMB3" s="89"/>
      <c r="TMC3" s="89"/>
      <c r="TMD3" s="89"/>
      <c r="TME3" s="89"/>
      <c r="TMF3" s="89"/>
      <c r="TMG3" s="89"/>
      <c r="TMH3" s="89"/>
      <c r="TMI3" s="89"/>
      <c r="TMJ3" s="89"/>
      <c r="TMK3" s="89"/>
      <c r="TML3" s="89"/>
      <c r="TMM3" s="89"/>
      <c r="TMN3" s="89"/>
      <c r="TMO3" s="89"/>
      <c r="TMP3" s="89"/>
      <c r="TMQ3" s="89"/>
      <c r="TMR3" s="89"/>
      <c r="TMS3" s="89"/>
      <c r="TMT3" s="89"/>
      <c r="TMU3" s="89"/>
      <c r="TMV3" s="89"/>
      <c r="TMW3" s="89"/>
      <c r="TMX3" s="89"/>
      <c r="TMY3" s="89"/>
      <c r="TMZ3" s="89"/>
      <c r="TNA3" s="89"/>
      <c r="TNB3" s="89"/>
      <c r="TNC3" s="89"/>
      <c r="TND3" s="89"/>
      <c r="TNE3" s="89"/>
      <c r="TNF3" s="89"/>
      <c r="TNG3" s="89"/>
      <c r="TNH3" s="89"/>
      <c r="TNI3" s="89"/>
      <c r="TNJ3" s="89"/>
      <c r="TNK3" s="89"/>
      <c r="TNL3" s="89"/>
      <c r="TNM3" s="89"/>
      <c r="TNN3" s="89"/>
      <c r="TNO3" s="89"/>
      <c r="TNP3" s="89"/>
      <c r="TNQ3" s="89"/>
      <c r="TNR3" s="89"/>
      <c r="TNS3" s="89"/>
      <c r="TNT3" s="89"/>
      <c r="TNU3" s="89"/>
      <c r="TNV3" s="89"/>
      <c r="TNW3" s="89"/>
      <c r="TNX3" s="89"/>
      <c r="TNY3" s="89"/>
      <c r="TNZ3" s="89"/>
      <c r="TOA3" s="89"/>
      <c r="TOB3" s="89"/>
      <c r="TOC3" s="89"/>
      <c r="TOD3" s="89"/>
      <c r="TOE3" s="89"/>
      <c r="TOF3" s="89"/>
      <c r="TOG3" s="89"/>
      <c r="TOH3" s="89"/>
      <c r="TOI3" s="89"/>
      <c r="TOJ3" s="89"/>
      <c r="TOK3" s="89"/>
      <c r="TOL3" s="89"/>
      <c r="TOM3" s="89"/>
      <c r="TON3" s="89"/>
      <c r="TOO3" s="89"/>
      <c r="TOP3" s="89"/>
      <c r="TOQ3" s="89"/>
      <c r="TOR3" s="89"/>
      <c r="TOS3" s="89"/>
      <c r="TOT3" s="89"/>
      <c r="TOU3" s="89"/>
      <c r="TOV3" s="89"/>
      <c r="TOW3" s="89"/>
      <c r="TOX3" s="89"/>
      <c r="TOY3" s="89"/>
      <c r="TOZ3" s="89"/>
      <c r="TPA3" s="89"/>
      <c r="TPB3" s="89"/>
      <c r="TPC3" s="89"/>
      <c r="TPD3" s="89"/>
      <c r="TPE3" s="89"/>
      <c r="TPF3" s="89"/>
      <c r="TPG3" s="89"/>
      <c r="TPH3" s="89"/>
      <c r="TPI3" s="89"/>
      <c r="TPJ3" s="89"/>
      <c r="TPK3" s="89"/>
      <c r="TPL3" s="89"/>
      <c r="TPM3" s="89"/>
      <c r="TPN3" s="89"/>
      <c r="TPO3" s="89"/>
      <c r="TPP3" s="89"/>
      <c r="TPQ3" s="89"/>
      <c r="TPR3" s="89"/>
      <c r="TPS3" s="89"/>
      <c r="TPT3" s="89"/>
      <c r="TPU3" s="89"/>
      <c r="TPV3" s="89"/>
      <c r="TPW3" s="89"/>
      <c r="TPX3" s="89"/>
      <c r="TPY3" s="89"/>
      <c r="TPZ3" s="89"/>
      <c r="TQA3" s="89"/>
      <c r="TQB3" s="89"/>
      <c r="TQC3" s="89"/>
      <c r="TQD3" s="89"/>
      <c r="TQE3" s="89"/>
      <c r="TQF3" s="89"/>
      <c r="TQG3" s="89"/>
      <c r="TQH3" s="89"/>
      <c r="TQI3" s="89"/>
      <c r="TQJ3" s="89"/>
      <c r="TQK3" s="89"/>
      <c r="TQL3" s="89"/>
      <c r="TQM3" s="89"/>
      <c r="TQN3" s="89"/>
      <c r="TQO3" s="89"/>
      <c r="TQP3" s="89"/>
      <c r="TQQ3" s="89"/>
      <c r="TQR3" s="89"/>
      <c r="TQS3" s="89"/>
      <c r="TQT3" s="89"/>
      <c r="TQU3" s="89"/>
      <c r="TQV3" s="89"/>
      <c r="TQW3" s="89"/>
      <c r="TQX3" s="89"/>
      <c r="TQY3" s="89"/>
      <c r="TQZ3" s="89"/>
      <c r="TRA3" s="89"/>
      <c r="TRB3" s="89"/>
      <c r="TRC3" s="89"/>
      <c r="TRD3" s="89"/>
      <c r="TRE3" s="89"/>
      <c r="TRF3" s="89"/>
      <c r="TRG3" s="89"/>
      <c r="TRH3" s="89"/>
      <c r="TRI3" s="89"/>
      <c r="TRJ3" s="89"/>
      <c r="TRK3" s="89"/>
      <c r="TRL3" s="89"/>
      <c r="TRM3" s="89"/>
      <c r="TRN3" s="89"/>
      <c r="TRO3" s="89"/>
      <c r="TRP3" s="89"/>
      <c r="TRQ3" s="89"/>
      <c r="TRR3" s="89"/>
      <c r="TRS3" s="89"/>
      <c r="TRT3" s="89"/>
      <c r="TRU3" s="89"/>
      <c r="TRV3" s="89"/>
      <c r="TRW3" s="89"/>
      <c r="TRX3" s="89"/>
      <c r="TRY3" s="89"/>
      <c r="TRZ3" s="89"/>
      <c r="TSA3" s="89"/>
      <c r="TSB3" s="89"/>
      <c r="TSC3" s="89"/>
      <c r="TSD3" s="89"/>
      <c r="TSE3" s="89"/>
      <c r="TSF3" s="89"/>
      <c r="TSG3" s="89"/>
      <c r="TSH3" s="89"/>
      <c r="TSI3" s="89"/>
      <c r="TSJ3" s="89"/>
      <c r="TSK3" s="89"/>
      <c r="TSL3" s="89"/>
      <c r="TSM3" s="89"/>
      <c r="TSN3" s="89"/>
      <c r="TSO3" s="89"/>
      <c r="TSP3" s="89"/>
      <c r="TSQ3" s="89"/>
      <c r="TSR3" s="89"/>
      <c r="TSS3" s="89"/>
      <c r="TST3" s="89"/>
      <c r="TSU3" s="89"/>
      <c r="TSV3" s="89"/>
      <c r="TSW3" s="89"/>
      <c r="TSX3" s="89"/>
      <c r="TSY3" s="89"/>
      <c r="TSZ3" s="89"/>
      <c r="TTA3" s="89"/>
      <c r="TTB3" s="89"/>
      <c r="TTC3" s="89"/>
      <c r="TTD3" s="89"/>
      <c r="TTE3" s="89"/>
      <c r="TTF3" s="89"/>
      <c r="TTG3" s="89"/>
      <c r="TTH3" s="89"/>
      <c r="TTI3" s="89"/>
      <c r="TTJ3" s="89"/>
      <c r="TTK3" s="89"/>
      <c r="TTL3" s="89"/>
      <c r="TTM3" s="89"/>
      <c r="TTN3" s="89"/>
      <c r="TTO3" s="89"/>
      <c r="TTP3" s="89"/>
      <c r="TTQ3" s="89"/>
      <c r="TTR3" s="89"/>
      <c r="TTS3" s="89"/>
      <c r="TTT3" s="89"/>
      <c r="TTU3" s="89"/>
      <c r="TTV3" s="89"/>
      <c r="TTW3" s="89"/>
      <c r="TTX3" s="89"/>
      <c r="TTY3" s="89"/>
      <c r="TTZ3" s="89"/>
      <c r="TUA3" s="89"/>
      <c r="TUB3" s="89"/>
      <c r="TUC3" s="89"/>
      <c r="TUD3" s="89"/>
      <c r="TUE3" s="89"/>
      <c r="TUF3" s="89"/>
      <c r="TUG3" s="89"/>
      <c r="TUH3" s="89"/>
      <c r="TUI3" s="89"/>
      <c r="TUJ3" s="89"/>
      <c r="TUK3" s="89"/>
      <c r="TUL3" s="89"/>
      <c r="TUM3" s="89"/>
      <c r="TUN3" s="89"/>
      <c r="TUO3" s="89"/>
      <c r="TUP3" s="89"/>
      <c r="TUQ3" s="89"/>
      <c r="TUR3" s="89"/>
      <c r="TUS3" s="89"/>
      <c r="TUT3" s="89"/>
      <c r="TUU3" s="89"/>
      <c r="TUV3" s="89"/>
      <c r="TUW3" s="89"/>
      <c r="TUX3" s="89"/>
      <c r="TUY3" s="89"/>
      <c r="TUZ3" s="89"/>
      <c r="TVA3" s="89"/>
      <c r="TVB3" s="89"/>
      <c r="TVC3" s="89"/>
      <c r="TVD3" s="89"/>
      <c r="TVE3" s="89"/>
      <c r="TVF3" s="89"/>
      <c r="TVG3" s="89"/>
      <c r="TVH3" s="89"/>
      <c r="TVI3" s="89"/>
      <c r="TVJ3" s="89"/>
      <c r="TVK3" s="89"/>
      <c r="TVL3" s="89"/>
      <c r="TVM3" s="89"/>
      <c r="TVN3" s="89"/>
      <c r="TVO3" s="89"/>
      <c r="TVP3" s="89"/>
      <c r="TVQ3" s="89"/>
      <c r="TVR3" s="89"/>
      <c r="TVS3" s="89"/>
      <c r="TVT3" s="89"/>
      <c r="TVU3" s="89"/>
      <c r="TVV3" s="89"/>
      <c r="TVW3" s="89"/>
      <c r="TVX3" s="89"/>
      <c r="TVY3" s="89"/>
      <c r="TVZ3" s="89"/>
      <c r="TWA3" s="89"/>
      <c r="TWB3" s="89"/>
      <c r="TWC3" s="89"/>
      <c r="TWD3" s="89"/>
      <c r="TWE3" s="89"/>
      <c r="TWF3" s="89"/>
      <c r="TWG3" s="89"/>
      <c r="TWH3" s="89"/>
      <c r="TWI3" s="89"/>
      <c r="TWJ3" s="89"/>
      <c r="TWK3" s="89"/>
      <c r="TWL3" s="89"/>
      <c r="TWM3" s="89"/>
      <c r="TWN3" s="89"/>
      <c r="TWO3" s="89"/>
      <c r="TWP3" s="89"/>
      <c r="TWQ3" s="89"/>
      <c r="TWR3" s="89"/>
      <c r="TWS3" s="89"/>
      <c r="TWT3" s="89"/>
      <c r="TWU3" s="89"/>
      <c r="TWV3" s="89"/>
      <c r="TWW3" s="89"/>
      <c r="TWX3" s="89"/>
      <c r="TWY3" s="89"/>
      <c r="TWZ3" s="89"/>
      <c r="TXA3" s="89"/>
      <c r="TXB3" s="89"/>
      <c r="TXC3" s="89"/>
      <c r="TXD3" s="89"/>
      <c r="TXE3" s="89"/>
      <c r="TXF3" s="89"/>
      <c r="TXG3" s="89"/>
      <c r="TXH3" s="89"/>
      <c r="TXI3" s="89"/>
      <c r="TXJ3" s="89"/>
      <c r="TXK3" s="89"/>
      <c r="TXL3" s="89"/>
      <c r="TXM3" s="89"/>
      <c r="TXN3" s="89"/>
      <c r="TXO3" s="89"/>
      <c r="TXP3" s="89"/>
      <c r="TXQ3" s="89"/>
      <c r="TXR3" s="89"/>
      <c r="TXS3" s="89"/>
      <c r="TXT3" s="89"/>
      <c r="TXU3" s="89"/>
      <c r="TXV3" s="89"/>
      <c r="TXW3" s="89"/>
      <c r="TXX3" s="89"/>
      <c r="TXY3" s="89"/>
      <c r="TXZ3" s="89"/>
      <c r="TYA3" s="89"/>
      <c r="TYB3" s="89"/>
      <c r="TYC3" s="89"/>
      <c r="TYD3" s="89"/>
      <c r="TYE3" s="89"/>
      <c r="TYF3" s="89"/>
      <c r="TYG3" s="89"/>
      <c r="TYH3" s="89"/>
      <c r="TYI3" s="89"/>
      <c r="TYJ3" s="89"/>
      <c r="TYK3" s="89"/>
      <c r="TYL3" s="89"/>
      <c r="TYM3" s="89"/>
      <c r="TYN3" s="89"/>
      <c r="TYO3" s="89"/>
      <c r="TYP3" s="89"/>
      <c r="TYQ3" s="89"/>
      <c r="TYR3" s="89"/>
      <c r="TYS3" s="89"/>
      <c r="TYT3" s="89"/>
      <c r="TYU3" s="89"/>
      <c r="TYV3" s="89"/>
      <c r="TYW3" s="89"/>
      <c r="TYX3" s="89"/>
      <c r="TYY3" s="89"/>
      <c r="TYZ3" s="89"/>
      <c r="TZA3" s="89"/>
      <c r="TZB3" s="89"/>
      <c r="TZC3" s="89"/>
      <c r="TZD3" s="89"/>
      <c r="TZE3" s="89"/>
      <c r="TZF3" s="89"/>
      <c r="TZG3" s="89"/>
      <c r="TZH3" s="89"/>
      <c r="TZI3" s="89"/>
      <c r="TZJ3" s="89"/>
      <c r="TZK3" s="89"/>
      <c r="TZL3" s="89"/>
      <c r="TZM3" s="89"/>
      <c r="TZN3" s="89"/>
      <c r="TZO3" s="89"/>
      <c r="TZP3" s="89"/>
      <c r="TZQ3" s="89"/>
      <c r="TZR3" s="89"/>
      <c r="TZS3" s="89"/>
      <c r="TZT3" s="89"/>
      <c r="TZU3" s="89"/>
      <c r="TZV3" s="89"/>
      <c r="TZW3" s="89"/>
      <c r="TZX3" s="89"/>
      <c r="TZY3" s="89"/>
      <c r="TZZ3" s="89"/>
      <c r="UAA3" s="89"/>
      <c r="UAB3" s="89"/>
      <c r="UAC3" s="89"/>
      <c r="UAD3" s="89"/>
      <c r="UAE3" s="89"/>
      <c r="UAF3" s="89"/>
      <c r="UAG3" s="89"/>
      <c r="UAH3" s="89"/>
      <c r="UAI3" s="89"/>
      <c r="UAJ3" s="89"/>
      <c r="UAK3" s="89"/>
      <c r="UAL3" s="89"/>
      <c r="UAM3" s="89"/>
      <c r="UAN3" s="89"/>
      <c r="UAO3" s="89"/>
      <c r="UAP3" s="89"/>
      <c r="UAQ3" s="89"/>
      <c r="UAR3" s="89"/>
      <c r="UAS3" s="89"/>
      <c r="UAT3" s="89"/>
      <c r="UAU3" s="89"/>
      <c r="UAV3" s="89"/>
      <c r="UAW3" s="89"/>
      <c r="UAX3" s="89"/>
      <c r="UAY3" s="89"/>
      <c r="UAZ3" s="89"/>
      <c r="UBA3" s="89"/>
      <c r="UBB3" s="89"/>
      <c r="UBC3" s="89"/>
      <c r="UBD3" s="89"/>
      <c r="UBE3" s="89"/>
      <c r="UBF3" s="89"/>
      <c r="UBG3" s="89"/>
      <c r="UBH3" s="89"/>
      <c r="UBI3" s="89"/>
      <c r="UBJ3" s="89"/>
      <c r="UBK3" s="89"/>
      <c r="UBL3" s="89"/>
      <c r="UBM3" s="89"/>
      <c r="UBN3" s="89"/>
      <c r="UBO3" s="89"/>
      <c r="UBP3" s="89"/>
      <c r="UBQ3" s="89"/>
      <c r="UBR3" s="89"/>
      <c r="UBS3" s="89"/>
      <c r="UBT3" s="89"/>
      <c r="UBU3" s="89"/>
      <c r="UBV3" s="89"/>
      <c r="UBW3" s="89"/>
      <c r="UBX3" s="89"/>
      <c r="UBY3" s="89"/>
      <c r="UBZ3" s="89"/>
      <c r="UCA3" s="89"/>
      <c r="UCB3" s="89"/>
      <c r="UCC3" s="89"/>
      <c r="UCD3" s="89"/>
      <c r="UCE3" s="89"/>
      <c r="UCF3" s="89"/>
      <c r="UCG3" s="89"/>
      <c r="UCH3" s="89"/>
      <c r="UCI3" s="89"/>
      <c r="UCJ3" s="89"/>
      <c r="UCK3" s="89"/>
      <c r="UCL3" s="89"/>
      <c r="UCM3" s="89"/>
      <c r="UCN3" s="89"/>
      <c r="UCO3" s="89"/>
      <c r="UCP3" s="89"/>
      <c r="UCQ3" s="89"/>
      <c r="UCR3" s="89"/>
      <c r="UCS3" s="89"/>
      <c r="UCT3" s="89"/>
      <c r="UCU3" s="89"/>
      <c r="UCV3" s="89"/>
      <c r="UCW3" s="89"/>
      <c r="UCX3" s="89"/>
      <c r="UCY3" s="89"/>
      <c r="UCZ3" s="89"/>
      <c r="UDA3" s="89"/>
      <c r="UDB3" s="89"/>
      <c r="UDC3" s="89"/>
      <c r="UDD3" s="89"/>
      <c r="UDE3" s="89"/>
      <c r="UDF3" s="89"/>
      <c r="UDG3" s="89"/>
      <c r="UDH3" s="89"/>
      <c r="UDI3" s="89"/>
      <c r="UDJ3" s="89"/>
      <c r="UDK3" s="89"/>
      <c r="UDL3" s="89"/>
      <c r="UDM3" s="89"/>
      <c r="UDN3" s="89"/>
      <c r="UDO3" s="89"/>
      <c r="UDP3" s="89"/>
      <c r="UDQ3" s="89"/>
      <c r="UDR3" s="89"/>
      <c r="UDS3" s="89"/>
      <c r="UDT3" s="89"/>
      <c r="UDU3" s="89"/>
      <c r="UDV3" s="89"/>
      <c r="UDW3" s="89"/>
      <c r="UDX3" s="89"/>
      <c r="UDY3" s="89"/>
      <c r="UDZ3" s="89"/>
      <c r="UEA3" s="89"/>
      <c r="UEB3" s="89"/>
      <c r="UEC3" s="89"/>
      <c r="UED3" s="89"/>
      <c r="UEE3" s="89"/>
      <c r="UEF3" s="89"/>
      <c r="UEG3" s="89"/>
      <c r="UEH3" s="89"/>
      <c r="UEI3" s="89"/>
      <c r="UEJ3" s="89"/>
      <c r="UEK3" s="89"/>
      <c r="UEL3" s="89"/>
      <c r="UEM3" s="89"/>
      <c r="UEN3" s="89"/>
      <c r="UEO3" s="89"/>
      <c r="UEP3" s="89"/>
      <c r="UEQ3" s="89"/>
      <c r="UER3" s="89"/>
      <c r="UES3" s="89"/>
      <c r="UET3" s="89"/>
      <c r="UEU3" s="89"/>
      <c r="UEV3" s="89"/>
      <c r="UEW3" s="89"/>
      <c r="UEX3" s="89"/>
      <c r="UEY3" s="89"/>
      <c r="UEZ3" s="89"/>
      <c r="UFA3" s="89"/>
      <c r="UFB3" s="89"/>
      <c r="UFC3" s="89"/>
      <c r="UFD3" s="89"/>
      <c r="UFE3" s="89"/>
      <c r="UFF3" s="89"/>
      <c r="UFG3" s="89"/>
      <c r="UFH3" s="89"/>
      <c r="UFI3" s="89"/>
      <c r="UFJ3" s="89"/>
      <c r="UFK3" s="89"/>
      <c r="UFL3" s="89"/>
      <c r="UFM3" s="89"/>
      <c r="UFN3" s="89"/>
      <c r="UFO3" s="89"/>
      <c r="UFP3" s="89"/>
      <c r="UFQ3" s="89"/>
      <c r="UFR3" s="89"/>
      <c r="UFS3" s="89"/>
      <c r="UFT3" s="89"/>
      <c r="UFU3" s="89"/>
      <c r="UFV3" s="89"/>
      <c r="UFW3" s="89"/>
      <c r="UFX3" s="89"/>
      <c r="UFY3" s="89"/>
      <c r="UFZ3" s="89"/>
      <c r="UGA3" s="89"/>
      <c r="UGB3" s="89"/>
      <c r="UGC3" s="89"/>
      <c r="UGD3" s="89"/>
      <c r="UGE3" s="89"/>
      <c r="UGF3" s="89"/>
      <c r="UGG3" s="89"/>
      <c r="UGH3" s="89"/>
      <c r="UGI3" s="89"/>
      <c r="UGJ3" s="89"/>
      <c r="UGK3" s="89"/>
      <c r="UGL3" s="89"/>
      <c r="UGM3" s="89"/>
      <c r="UGN3" s="89"/>
      <c r="UGO3" s="89"/>
      <c r="UGP3" s="89"/>
      <c r="UGQ3" s="89"/>
      <c r="UGR3" s="89"/>
      <c r="UGS3" s="89"/>
      <c r="UGT3" s="89"/>
      <c r="UGU3" s="89"/>
      <c r="UGV3" s="89"/>
      <c r="UGW3" s="89"/>
      <c r="UGX3" s="89"/>
      <c r="UGY3" s="89"/>
      <c r="UGZ3" s="89"/>
      <c r="UHA3" s="89"/>
      <c r="UHB3" s="89"/>
      <c r="UHC3" s="89"/>
      <c r="UHD3" s="89"/>
      <c r="UHE3" s="89"/>
      <c r="UHF3" s="89"/>
      <c r="UHG3" s="89"/>
      <c r="UHH3" s="89"/>
      <c r="UHI3" s="89"/>
      <c r="UHJ3" s="89"/>
      <c r="UHK3" s="89"/>
      <c r="UHL3" s="89"/>
      <c r="UHM3" s="89"/>
      <c r="UHN3" s="89"/>
      <c r="UHO3" s="89"/>
      <c r="UHP3" s="89"/>
      <c r="UHQ3" s="89"/>
      <c r="UHR3" s="89"/>
      <c r="UHS3" s="89"/>
      <c r="UHT3" s="89"/>
      <c r="UHU3" s="89"/>
      <c r="UHV3" s="89"/>
      <c r="UHW3" s="89"/>
      <c r="UHX3" s="89"/>
      <c r="UHY3" s="89"/>
      <c r="UHZ3" s="89"/>
      <c r="UIA3" s="89"/>
      <c r="UIB3" s="89"/>
      <c r="UIC3" s="89"/>
      <c r="UID3" s="89"/>
      <c r="UIE3" s="89"/>
      <c r="UIF3" s="89"/>
      <c r="UIG3" s="89"/>
      <c r="UIH3" s="89"/>
      <c r="UII3" s="89"/>
      <c r="UIJ3" s="89"/>
      <c r="UIK3" s="89"/>
      <c r="UIL3" s="89"/>
      <c r="UIM3" s="89"/>
      <c r="UIN3" s="89"/>
      <c r="UIO3" s="89"/>
      <c r="UIP3" s="89"/>
      <c r="UIQ3" s="89"/>
      <c r="UIR3" s="89"/>
      <c r="UIS3" s="89"/>
      <c r="UIT3" s="89"/>
      <c r="UIU3" s="89"/>
      <c r="UIV3" s="89"/>
      <c r="UIW3" s="89"/>
      <c r="UIX3" s="89"/>
      <c r="UIY3" s="89"/>
      <c r="UIZ3" s="89"/>
      <c r="UJA3" s="89"/>
      <c r="UJB3" s="89"/>
      <c r="UJC3" s="89"/>
      <c r="UJD3" s="89"/>
      <c r="UJE3" s="89"/>
      <c r="UJF3" s="89"/>
      <c r="UJG3" s="89"/>
      <c r="UJH3" s="89"/>
      <c r="UJI3" s="89"/>
      <c r="UJJ3" s="89"/>
      <c r="UJK3" s="89"/>
      <c r="UJL3" s="89"/>
      <c r="UJM3" s="89"/>
      <c r="UJN3" s="89"/>
      <c r="UJO3" s="89"/>
      <c r="UJP3" s="89"/>
      <c r="UJQ3" s="89"/>
      <c r="UJR3" s="89"/>
      <c r="UJS3" s="89"/>
      <c r="UJT3" s="89"/>
      <c r="UJU3" s="89"/>
      <c r="UJV3" s="89"/>
      <c r="UJW3" s="89"/>
      <c r="UJX3" s="89"/>
      <c r="UJY3" s="89"/>
      <c r="UJZ3" s="89"/>
      <c r="UKA3" s="89"/>
      <c r="UKB3" s="89"/>
      <c r="UKC3" s="89"/>
      <c r="UKD3" s="89"/>
      <c r="UKE3" s="89"/>
      <c r="UKF3" s="89"/>
      <c r="UKG3" s="89"/>
      <c r="UKH3" s="89"/>
      <c r="UKI3" s="89"/>
      <c r="UKJ3" s="89"/>
      <c r="UKK3" s="89"/>
      <c r="UKL3" s="89"/>
      <c r="UKM3" s="89"/>
      <c r="UKN3" s="89"/>
      <c r="UKO3" s="89"/>
      <c r="UKP3" s="89"/>
      <c r="UKQ3" s="89"/>
      <c r="UKR3" s="89"/>
      <c r="UKS3" s="89"/>
      <c r="UKT3" s="89"/>
      <c r="UKU3" s="89"/>
      <c r="UKV3" s="89"/>
      <c r="UKW3" s="89"/>
      <c r="UKX3" s="89"/>
      <c r="UKY3" s="89"/>
      <c r="UKZ3" s="89"/>
      <c r="ULA3" s="89"/>
      <c r="ULB3" s="89"/>
      <c r="ULC3" s="89"/>
      <c r="ULD3" s="89"/>
      <c r="ULE3" s="89"/>
      <c r="ULF3" s="89"/>
      <c r="ULG3" s="89"/>
      <c r="ULH3" s="89"/>
      <c r="ULI3" s="89"/>
      <c r="ULJ3" s="89"/>
      <c r="ULK3" s="89"/>
      <c r="ULL3" s="89"/>
      <c r="ULM3" s="89"/>
      <c r="ULN3" s="89"/>
      <c r="ULO3" s="89"/>
      <c r="ULP3" s="89"/>
      <c r="ULQ3" s="89"/>
      <c r="ULR3" s="89"/>
      <c r="ULS3" s="89"/>
      <c r="ULT3" s="89"/>
      <c r="ULU3" s="89"/>
      <c r="ULV3" s="89"/>
      <c r="ULW3" s="89"/>
      <c r="ULX3" s="89"/>
      <c r="ULY3" s="89"/>
      <c r="ULZ3" s="89"/>
      <c r="UMA3" s="89"/>
      <c r="UMB3" s="89"/>
      <c r="UMC3" s="89"/>
      <c r="UMD3" s="89"/>
      <c r="UME3" s="89"/>
      <c r="UMF3" s="89"/>
      <c r="UMG3" s="89"/>
      <c r="UMH3" s="89"/>
      <c r="UMI3" s="89"/>
      <c r="UMJ3" s="89"/>
      <c r="UMK3" s="89"/>
      <c r="UML3" s="89"/>
      <c r="UMM3" s="89"/>
      <c r="UMN3" s="89"/>
      <c r="UMO3" s="89"/>
      <c r="UMP3" s="89"/>
      <c r="UMQ3" s="89"/>
      <c r="UMR3" s="89"/>
      <c r="UMS3" s="89"/>
      <c r="UMT3" s="89"/>
      <c r="UMU3" s="89"/>
      <c r="UMV3" s="89"/>
      <c r="UMW3" s="89"/>
      <c r="UMX3" s="89"/>
      <c r="UMY3" s="89"/>
      <c r="UMZ3" s="89"/>
      <c r="UNA3" s="89"/>
      <c r="UNB3" s="89"/>
      <c r="UNC3" s="89"/>
      <c r="UND3" s="89"/>
      <c r="UNE3" s="89"/>
      <c r="UNF3" s="89"/>
      <c r="UNG3" s="89"/>
      <c r="UNH3" s="89"/>
      <c r="UNI3" s="89"/>
      <c r="UNJ3" s="89"/>
      <c r="UNK3" s="89"/>
      <c r="UNL3" s="89"/>
      <c r="UNM3" s="89"/>
      <c r="UNN3" s="89"/>
      <c r="UNO3" s="89"/>
      <c r="UNP3" s="89"/>
      <c r="UNQ3" s="89"/>
      <c r="UNR3" s="89"/>
      <c r="UNS3" s="89"/>
      <c r="UNT3" s="89"/>
      <c r="UNU3" s="89"/>
      <c r="UNV3" s="89"/>
      <c r="UNW3" s="89"/>
      <c r="UNX3" s="89"/>
      <c r="UNY3" s="89"/>
      <c r="UNZ3" s="89"/>
      <c r="UOA3" s="89"/>
      <c r="UOB3" s="89"/>
      <c r="UOC3" s="89"/>
      <c r="UOD3" s="89"/>
      <c r="UOE3" s="89"/>
      <c r="UOF3" s="89"/>
      <c r="UOG3" s="89"/>
      <c r="UOH3" s="89"/>
      <c r="UOI3" s="89"/>
      <c r="UOJ3" s="89"/>
      <c r="UOK3" s="89"/>
      <c r="UOL3" s="89"/>
      <c r="UOM3" s="89"/>
      <c r="UON3" s="89"/>
      <c r="UOO3" s="89"/>
      <c r="UOP3" s="89"/>
      <c r="UOQ3" s="89"/>
      <c r="UOR3" s="89"/>
      <c r="UOS3" s="89"/>
      <c r="UOT3" s="89"/>
      <c r="UOU3" s="89"/>
      <c r="UOV3" s="89"/>
      <c r="UOW3" s="89"/>
      <c r="UOX3" s="89"/>
      <c r="UOY3" s="89"/>
      <c r="UOZ3" s="89"/>
      <c r="UPA3" s="89"/>
      <c r="UPB3" s="89"/>
      <c r="UPC3" s="89"/>
      <c r="UPD3" s="89"/>
      <c r="UPE3" s="89"/>
      <c r="UPF3" s="89"/>
      <c r="UPG3" s="89"/>
      <c r="UPH3" s="89"/>
      <c r="UPI3" s="89"/>
      <c r="UPJ3" s="89"/>
      <c r="UPK3" s="89"/>
      <c r="UPL3" s="89"/>
      <c r="UPM3" s="89"/>
      <c r="UPN3" s="89"/>
      <c r="UPO3" s="89"/>
      <c r="UPP3" s="89"/>
      <c r="UPQ3" s="89"/>
      <c r="UPR3" s="89"/>
      <c r="UPS3" s="89"/>
      <c r="UPT3" s="89"/>
      <c r="UPU3" s="89"/>
      <c r="UPV3" s="89"/>
      <c r="UPW3" s="89"/>
      <c r="UPX3" s="89"/>
      <c r="UPY3" s="89"/>
      <c r="UPZ3" s="89"/>
      <c r="UQA3" s="89"/>
      <c r="UQB3" s="89"/>
      <c r="UQC3" s="89"/>
      <c r="UQD3" s="89"/>
      <c r="UQE3" s="89"/>
      <c r="UQF3" s="89"/>
      <c r="UQG3" s="89"/>
      <c r="UQH3" s="89"/>
      <c r="UQI3" s="89"/>
      <c r="UQJ3" s="89"/>
      <c r="UQK3" s="89"/>
      <c r="UQL3" s="89"/>
      <c r="UQM3" s="89"/>
      <c r="UQN3" s="89"/>
      <c r="UQO3" s="89"/>
      <c r="UQP3" s="89"/>
      <c r="UQQ3" s="89"/>
      <c r="UQR3" s="89"/>
      <c r="UQS3" s="89"/>
      <c r="UQT3" s="89"/>
      <c r="UQU3" s="89"/>
      <c r="UQV3" s="89"/>
      <c r="UQW3" s="89"/>
      <c r="UQX3" s="89"/>
      <c r="UQY3" s="89"/>
      <c r="UQZ3" s="89"/>
      <c r="URA3" s="89"/>
      <c r="URB3" s="89"/>
      <c r="URC3" s="89"/>
      <c r="URD3" s="89"/>
      <c r="URE3" s="89"/>
      <c r="URF3" s="89"/>
      <c r="URG3" s="89"/>
      <c r="URH3" s="89"/>
      <c r="URI3" s="89"/>
      <c r="URJ3" s="89"/>
      <c r="URK3" s="89"/>
      <c r="URL3" s="89"/>
      <c r="URM3" s="89"/>
      <c r="URN3" s="89"/>
      <c r="URO3" s="89"/>
      <c r="URP3" s="89"/>
      <c r="URQ3" s="89"/>
      <c r="URR3" s="89"/>
      <c r="URS3" s="89"/>
      <c r="URT3" s="89"/>
      <c r="URU3" s="89"/>
      <c r="URV3" s="89"/>
      <c r="URW3" s="89"/>
      <c r="URX3" s="89"/>
      <c r="URY3" s="89"/>
      <c r="URZ3" s="89"/>
      <c r="USA3" s="89"/>
      <c r="USB3" s="89"/>
      <c r="USC3" s="89"/>
      <c r="USD3" s="89"/>
      <c r="USE3" s="89"/>
      <c r="USF3" s="89"/>
      <c r="USG3" s="89"/>
      <c r="USH3" s="89"/>
      <c r="USI3" s="89"/>
      <c r="USJ3" s="89"/>
      <c r="USK3" s="89"/>
      <c r="USL3" s="89"/>
      <c r="USM3" s="89"/>
      <c r="USN3" s="89"/>
      <c r="USO3" s="89"/>
      <c r="USP3" s="89"/>
      <c r="USQ3" s="89"/>
      <c r="USR3" s="89"/>
      <c r="USS3" s="89"/>
      <c r="UST3" s="89"/>
      <c r="USU3" s="89"/>
      <c r="USV3" s="89"/>
      <c r="USW3" s="89"/>
      <c r="USX3" s="89"/>
      <c r="USY3" s="89"/>
      <c r="USZ3" s="89"/>
      <c r="UTA3" s="89"/>
      <c r="UTB3" s="89"/>
      <c r="UTC3" s="89"/>
      <c r="UTD3" s="89"/>
      <c r="UTE3" s="89"/>
      <c r="UTF3" s="89"/>
      <c r="UTG3" s="89"/>
      <c r="UTH3" s="89"/>
      <c r="UTI3" s="89"/>
      <c r="UTJ3" s="89"/>
      <c r="UTK3" s="89"/>
      <c r="UTL3" s="89"/>
      <c r="UTM3" s="89"/>
      <c r="UTN3" s="89"/>
      <c r="UTO3" s="89"/>
      <c r="UTP3" s="89"/>
      <c r="UTQ3" s="89"/>
      <c r="UTR3" s="89"/>
      <c r="UTS3" s="89"/>
      <c r="UTT3" s="89"/>
      <c r="UTU3" s="89"/>
      <c r="UTV3" s="89"/>
      <c r="UTW3" s="89"/>
      <c r="UTX3" s="89"/>
      <c r="UTY3" s="89"/>
      <c r="UTZ3" s="89"/>
      <c r="UUA3" s="89"/>
      <c r="UUB3" s="89"/>
      <c r="UUC3" s="89"/>
      <c r="UUD3" s="89"/>
      <c r="UUE3" s="89"/>
      <c r="UUF3" s="89"/>
      <c r="UUG3" s="89"/>
      <c r="UUH3" s="89"/>
      <c r="UUI3" s="89"/>
      <c r="UUJ3" s="89"/>
      <c r="UUK3" s="89"/>
      <c r="UUL3" s="89"/>
      <c r="UUM3" s="89"/>
      <c r="UUN3" s="89"/>
      <c r="UUO3" s="89"/>
      <c r="UUP3" s="89"/>
      <c r="UUQ3" s="89"/>
      <c r="UUR3" s="89"/>
      <c r="UUS3" s="89"/>
      <c r="UUT3" s="89"/>
      <c r="UUU3" s="89"/>
      <c r="UUV3" s="89"/>
      <c r="UUW3" s="89"/>
      <c r="UUX3" s="89"/>
      <c r="UUY3" s="89"/>
      <c r="UUZ3" s="89"/>
      <c r="UVA3" s="89"/>
      <c r="UVB3" s="89"/>
      <c r="UVC3" s="89"/>
      <c r="UVD3" s="89"/>
      <c r="UVE3" s="89"/>
      <c r="UVF3" s="89"/>
      <c r="UVG3" s="89"/>
      <c r="UVH3" s="89"/>
      <c r="UVI3" s="89"/>
      <c r="UVJ3" s="89"/>
      <c r="UVK3" s="89"/>
      <c r="UVL3" s="89"/>
      <c r="UVM3" s="89"/>
      <c r="UVN3" s="89"/>
      <c r="UVO3" s="89"/>
      <c r="UVP3" s="89"/>
      <c r="UVQ3" s="89"/>
      <c r="UVR3" s="89"/>
      <c r="UVS3" s="89"/>
      <c r="UVT3" s="89"/>
      <c r="UVU3" s="89"/>
      <c r="UVV3" s="89"/>
      <c r="UVW3" s="89"/>
      <c r="UVX3" s="89"/>
      <c r="UVY3" s="89"/>
      <c r="UVZ3" s="89"/>
      <c r="UWA3" s="89"/>
      <c r="UWB3" s="89"/>
      <c r="UWC3" s="89"/>
      <c r="UWD3" s="89"/>
      <c r="UWE3" s="89"/>
      <c r="UWF3" s="89"/>
      <c r="UWG3" s="89"/>
      <c r="UWH3" s="89"/>
      <c r="UWI3" s="89"/>
      <c r="UWJ3" s="89"/>
      <c r="UWK3" s="89"/>
      <c r="UWL3" s="89"/>
      <c r="UWM3" s="89"/>
      <c r="UWN3" s="89"/>
      <c r="UWO3" s="89"/>
      <c r="UWP3" s="89"/>
      <c r="UWQ3" s="89"/>
      <c r="UWR3" s="89"/>
      <c r="UWS3" s="89"/>
      <c r="UWT3" s="89"/>
      <c r="UWU3" s="89"/>
      <c r="UWV3" s="89"/>
      <c r="UWW3" s="89"/>
      <c r="UWX3" s="89"/>
      <c r="UWY3" s="89"/>
      <c r="UWZ3" s="89"/>
      <c r="UXA3" s="89"/>
      <c r="UXB3" s="89"/>
      <c r="UXC3" s="89"/>
      <c r="UXD3" s="89"/>
      <c r="UXE3" s="89"/>
      <c r="UXF3" s="89"/>
      <c r="UXG3" s="89"/>
      <c r="UXH3" s="89"/>
      <c r="UXI3" s="89"/>
      <c r="UXJ3" s="89"/>
      <c r="UXK3" s="89"/>
      <c r="UXL3" s="89"/>
      <c r="UXM3" s="89"/>
      <c r="UXN3" s="89"/>
      <c r="UXO3" s="89"/>
      <c r="UXP3" s="89"/>
      <c r="UXQ3" s="89"/>
      <c r="UXR3" s="89"/>
      <c r="UXS3" s="89"/>
      <c r="UXT3" s="89"/>
      <c r="UXU3" s="89"/>
      <c r="UXV3" s="89"/>
      <c r="UXW3" s="89"/>
      <c r="UXX3" s="89"/>
      <c r="UXY3" s="89"/>
      <c r="UXZ3" s="89"/>
      <c r="UYA3" s="89"/>
      <c r="UYB3" s="89"/>
      <c r="UYC3" s="89"/>
      <c r="UYD3" s="89"/>
      <c r="UYE3" s="89"/>
      <c r="UYF3" s="89"/>
      <c r="UYG3" s="89"/>
      <c r="UYH3" s="89"/>
      <c r="UYI3" s="89"/>
      <c r="UYJ3" s="89"/>
      <c r="UYK3" s="89"/>
      <c r="UYL3" s="89"/>
      <c r="UYM3" s="89"/>
      <c r="UYN3" s="89"/>
      <c r="UYO3" s="89"/>
      <c r="UYP3" s="89"/>
      <c r="UYQ3" s="89"/>
      <c r="UYR3" s="89"/>
      <c r="UYS3" s="89"/>
      <c r="UYT3" s="89"/>
      <c r="UYU3" s="89"/>
      <c r="UYV3" s="89"/>
      <c r="UYW3" s="89"/>
      <c r="UYX3" s="89"/>
      <c r="UYY3" s="89"/>
      <c r="UYZ3" s="89"/>
      <c r="UZA3" s="89"/>
      <c r="UZB3" s="89"/>
      <c r="UZC3" s="89"/>
      <c r="UZD3" s="89"/>
      <c r="UZE3" s="89"/>
      <c r="UZF3" s="89"/>
      <c r="UZG3" s="89"/>
      <c r="UZH3" s="89"/>
      <c r="UZI3" s="89"/>
      <c r="UZJ3" s="89"/>
      <c r="UZK3" s="89"/>
      <c r="UZL3" s="89"/>
      <c r="UZM3" s="89"/>
      <c r="UZN3" s="89"/>
      <c r="UZO3" s="89"/>
      <c r="UZP3" s="89"/>
      <c r="UZQ3" s="89"/>
      <c r="UZR3" s="89"/>
      <c r="UZS3" s="89"/>
      <c r="UZT3" s="89"/>
      <c r="UZU3" s="89"/>
      <c r="UZV3" s="89"/>
      <c r="UZW3" s="89"/>
      <c r="UZX3" s="89"/>
      <c r="UZY3" s="89"/>
      <c r="UZZ3" s="89"/>
      <c r="VAA3" s="89"/>
      <c r="VAB3" s="89"/>
      <c r="VAC3" s="89"/>
      <c r="VAD3" s="89"/>
      <c r="VAE3" s="89"/>
      <c r="VAF3" s="89"/>
      <c r="VAG3" s="89"/>
      <c r="VAH3" s="89"/>
      <c r="VAI3" s="89"/>
      <c r="VAJ3" s="89"/>
      <c r="VAK3" s="89"/>
      <c r="VAL3" s="89"/>
      <c r="VAM3" s="89"/>
      <c r="VAN3" s="89"/>
      <c r="VAO3" s="89"/>
      <c r="VAP3" s="89"/>
      <c r="VAQ3" s="89"/>
      <c r="VAR3" s="89"/>
      <c r="VAS3" s="89"/>
      <c r="VAT3" s="89"/>
      <c r="VAU3" s="89"/>
      <c r="VAV3" s="89"/>
      <c r="VAW3" s="89"/>
      <c r="VAX3" s="89"/>
      <c r="VAY3" s="89"/>
      <c r="VAZ3" s="89"/>
      <c r="VBA3" s="89"/>
      <c r="VBB3" s="89"/>
      <c r="VBC3" s="89"/>
      <c r="VBD3" s="89"/>
      <c r="VBE3" s="89"/>
      <c r="VBF3" s="89"/>
      <c r="VBG3" s="89"/>
      <c r="VBH3" s="89"/>
      <c r="VBI3" s="89"/>
      <c r="VBJ3" s="89"/>
      <c r="VBK3" s="89"/>
      <c r="VBL3" s="89"/>
      <c r="VBM3" s="89"/>
      <c r="VBN3" s="89"/>
      <c r="VBO3" s="89"/>
      <c r="VBP3" s="89"/>
      <c r="VBQ3" s="89"/>
      <c r="VBR3" s="89"/>
      <c r="VBS3" s="89"/>
      <c r="VBT3" s="89"/>
      <c r="VBU3" s="89"/>
      <c r="VBV3" s="89"/>
      <c r="VBW3" s="89"/>
      <c r="VBX3" s="89"/>
      <c r="VBY3" s="89"/>
      <c r="VBZ3" s="89"/>
      <c r="VCA3" s="89"/>
      <c r="VCB3" s="89"/>
      <c r="VCC3" s="89"/>
      <c r="VCD3" s="89"/>
      <c r="VCE3" s="89"/>
      <c r="VCF3" s="89"/>
      <c r="VCG3" s="89"/>
      <c r="VCH3" s="89"/>
      <c r="VCI3" s="89"/>
      <c r="VCJ3" s="89"/>
      <c r="VCK3" s="89"/>
      <c r="VCL3" s="89"/>
      <c r="VCM3" s="89"/>
      <c r="VCN3" s="89"/>
      <c r="VCO3" s="89"/>
      <c r="VCP3" s="89"/>
      <c r="VCQ3" s="89"/>
      <c r="VCR3" s="89"/>
      <c r="VCS3" s="89"/>
      <c r="VCT3" s="89"/>
      <c r="VCU3" s="89"/>
      <c r="VCV3" s="89"/>
      <c r="VCW3" s="89"/>
      <c r="VCX3" s="89"/>
      <c r="VCY3" s="89"/>
      <c r="VCZ3" s="89"/>
      <c r="VDA3" s="89"/>
      <c r="VDB3" s="89"/>
      <c r="VDC3" s="89"/>
      <c r="VDD3" s="89"/>
      <c r="VDE3" s="89"/>
      <c r="VDF3" s="89"/>
      <c r="VDG3" s="89"/>
      <c r="VDH3" s="89"/>
      <c r="VDI3" s="89"/>
      <c r="VDJ3" s="89"/>
      <c r="VDK3" s="89"/>
      <c r="VDL3" s="89"/>
      <c r="VDM3" s="89"/>
      <c r="VDN3" s="89"/>
      <c r="VDO3" s="89"/>
      <c r="VDP3" s="89"/>
      <c r="VDQ3" s="89"/>
      <c r="VDR3" s="89"/>
      <c r="VDS3" s="89"/>
      <c r="VDT3" s="89"/>
      <c r="VDU3" s="89"/>
      <c r="VDV3" s="89"/>
      <c r="VDW3" s="89"/>
      <c r="VDX3" s="89"/>
      <c r="VDY3" s="89"/>
      <c r="VDZ3" s="89"/>
      <c r="VEA3" s="89"/>
      <c r="VEB3" s="89"/>
      <c r="VEC3" s="89"/>
      <c r="VED3" s="89"/>
      <c r="VEE3" s="89"/>
      <c r="VEF3" s="89"/>
      <c r="VEG3" s="89"/>
      <c r="VEH3" s="89"/>
      <c r="VEI3" s="89"/>
      <c r="VEJ3" s="89"/>
      <c r="VEK3" s="89"/>
      <c r="VEL3" s="89"/>
      <c r="VEM3" s="89"/>
      <c r="VEN3" s="89"/>
      <c r="VEO3" s="89"/>
      <c r="VEP3" s="89"/>
      <c r="VEQ3" s="89"/>
      <c r="VER3" s="89"/>
      <c r="VES3" s="89"/>
      <c r="VET3" s="89"/>
      <c r="VEU3" s="89"/>
      <c r="VEV3" s="89"/>
      <c r="VEW3" s="89"/>
      <c r="VEX3" s="89"/>
      <c r="VEY3" s="89"/>
      <c r="VEZ3" s="89"/>
      <c r="VFA3" s="89"/>
      <c r="VFB3" s="89"/>
      <c r="VFC3" s="89"/>
      <c r="VFD3" s="89"/>
      <c r="VFE3" s="89"/>
      <c r="VFF3" s="89"/>
      <c r="VFG3" s="89"/>
      <c r="VFH3" s="89"/>
      <c r="VFI3" s="89"/>
      <c r="VFJ3" s="89"/>
      <c r="VFK3" s="89"/>
      <c r="VFL3" s="89"/>
      <c r="VFM3" s="89"/>
      <c r="VFN3" s="89"/>
      <c r="VFO3" s="89"/>
      <c r="VFP3" s="89"/>
      <c r="VFQ3" s="89"/>
      <c r="VFR3" s="89"/>
      <c r="VFS3" s="89"/>
      <c r="VFT3" s="89"/>
      <c r="VFU3" s="89"/>
      <c r="VFV3" s="89"/>
      <c r="VFW3" s="89"/>
      <c r="VFX3" s="89"/>
      <c r="VFY3" s="89"/>
      <c r="VFZ3" s="89"/>
      <c r="VGA3" s="89"/>
      <c r="VGB3" s="89"/>
      <c r="VGC3" s="89"/>
      <c r="VGD3" s="89"/>
      <c r="VGE3" s="89"/>
      <c r="VGF3" s="89"/>
      <c r="VGG3" s="89"/>
      <c r="VGH3" s="89"/>
      <c r="VGI3" s="89"/>
      <c r="VGJ3" s="89"/>
      <c r="VGK3" s="89"/>
      <c r="VGL3" s="89"/>
      <c r="VGM3" s="89"/>
      <c r="VGN3" s="89"/>
      <c r="VGO3" s="89"/>
      <c r="VGP3" s="89"/>
      <c r="VGQ3" s="89"/>
      <c r="VGR3" s="89"/>
      <c r="VGS3" s="89"/>
      <c r="VGT3" s="89"/>
      <c r="VGU3" s="89"/>
      <c r="VGV3" s="89"/>
      <c r="VGW3" s="89"/>
      <c r="VGX3" s="89"/>
      <c r="VGY3" s="89"/>
      <c r="VGZ3" s="89"/>
      <c r="VHA3" s="89"/>
      <c r="VHB3" s="89"/>
      <c r="VHC3" s="89"/>
      <c r="VHD3" s="89"/>
      <c r="VHE3" s="89"/>
      <c r="VHF3" s="89"/>
      <c r="VHG3" s="89"/>
      <c r="VHH3" s="89"/>
      <c r="VHI3" s="89"/>
      <c r="VHJ3" s="89"/>
      <c r="VHK3" s="89"/>
      <c r="VHL3" s="89"/>
      <c r="VHM3" s="89"/>
      <c r="VHN3" s="89"/>
      <c r="VHO3" s="89"/>
      <c r="VHP3" s="89"/>
      <c r="VHQ3" s="89"/>
      <c r="VHR3" s="89"/>
      <c r="VHS3" s="89"/>
      <c r="VHT3" s="89"/>
      <c r="VHU3" s="89"/>
      <c r="VHV3" s="89"/>
      <c r="VHW3" s="89"/>
      <c r="VHX3" s="89"/>
      <c r="VHY3" s="89"/>
      <c r="VHZ3" s="89"/>
      <c r="VIA3" s="89"/>
      <c r="VIB3" s="89"/>
      <c r="VIC3" s="89"/>
      <c r="VID3" s="89"/>
      <c r="VIE3" s="89"/>
      <c r="VIF3" s="89"/>
      <c r="VIG3" s="89"/>
      <c r="VIH3" s="89"/>
      <c r="VII3" s="89"/>
      <c r="VIJ3" s="89"/>
      <c r="VIK3" s="89"/>
      <c r="VIL3" s="89"/>
      <c r="VIM3" s="89"/>
      <c r="VIN3" s="89"/>
      <c r="VIO3" s="89"/>
      <c r="VIP3" s="89"/>
      <c r="VIQ3" s="89"/>
      <c r="VIR3" s="89"/>
      <c r="VIS3" s="89"/>
      <c r="VIT3" s="89"/>
      <c r="VIU3" s="89"/>
      <c r="VIV3" s="89"/>
      <c r="VIW3" s="89"/>
      <c r="VIX3" s="89"/>
      <c r="VIY3" s="89"/>
      <c r="VIZ3" s="89"/>
      <c r="VJA3" s="89"/>
      <c r="VJB3" s="89"/>
      <c r="VJC3" s="89"/>
      <c r="VJD3" s="89"/>
      <c r="VJE3" s="89"/>
      <c r="VJF3" s="89"/>
      <c r="VJG3" s="89"/>
      <c r="VJH3" s="89"/>
      <c r="VJI3" s="89"/>
      <c r="VJJ3" s="89"/>
      <c r="VJK3" s="89"/>
      <c r="VJL3" s="89"/>
      <c r="VJM3" s="89"/>
      <c r="VJN3" s="89"/>
      <c r="VJO3" s="89"/>
      <c r="VJP3" s="89"/>
      <c r="VJQ3" s="89"/>
      <c r="VJR3" s="89"/>
      <c r="VJS3" s="89"/>
      <c r="VJT3" s="89"/>
      <c r="VJU3" s="89"/>
      <c r="VJV3" s="89"/>
      <c r="VJW3" s="89"/>
      <c r="VJX3" s="89"/>
      <c r="VJY3" s="89"/>
      <c r="VJZ3" s="89"/>
      <c r="VKA3" s="89"/>
      <c r="VKB3" s="89"/>
      <c r="VKC3" s="89"/>
      <c r="VKD3" s="89"/>
      <c r="VKE3" s="89"/>
      <c r="VKF3" s="89"/>
      <c r="VKG3" s="89"/>
      <c r="VKH3" s="89"/>
      <c r="VKI3" s="89"/>
      <c r="VKJ3" s="89"/>
      <c r="VKK3" s="89"/>
      <c r="VKL3" s="89"/>
      <c r="VKM3" s="89"/>
      <c r="VKN3" s="89"/>
      <c r="VKO3" s="89"/>
      <c r="VKP3" s="89"/>
      <c r="VKQ3" s="89"/>
      <c r="VKR3" s="89"/>
      <c r="VKS3" s="89"/>
      <c r="VKT3" s="89"/>
      <c r="VKU3" s="89"/>
      <c r="VKV3" s="89"/>
      <c r="VKW3" s="89"/>
      <c r="VKX3" s="89"/>
      <c r="VKY3" s="89"/>
      <c r="VKZ3" s="89"/>
      <c r="VLA3" s="89"/>
      <c r="VLB3" s="89"/>
      <c r="VLC3" s="89"/>
      <c r="VLD3" s="89"/>
      <c r="VLE3" s="89"/>
      <c r="VLF3" s="89"/>
      <c r="VLG3" s="89"/>
      <c r="VLH3" s="89"/>
      <c r="VLI3" s="89"/>
      <c r="VLJ3" s="89"/>
      <c r="VLK3" s="89"/>
      <c r="VLL3" s="89"/>
      <c r="VLM3" s="89"/>
      <c r="VLN3" s="89"/>
      <c r="VLO3" s="89"/>
      <c r="VLP3" s="89"/>
      <c r="VLQ3" s="89"/>
      <c r="VLR3" s="89"/>
      <c r="VLS3" s="89"/>
      <c r="VLT3" s="89"/>
      <c r="VLU3" s="89"/>
      <c r="VLV3" s="89"/>
      <c r="VLW3" s="89"/>
      <c r="VLX3" s="89"/>
      <c r="VLY3" s="89"/>
      <c r="VLZ3" s="89"/>
      <c r="VMA3" s="89"/>
      <c r="VMB3" s="89"/>
      <c r="VMC3" s="89"/>
      <c r="VMD3" s="89"/>
      <c r="VME3" s="89"/>
      <c r="VMF3" s="89"/>
      <c r="VMG3" s="89"/>
      <c r="VMH3" s="89"/>
      <c r="VMI3" s="89"/>
      <c r="VMJ3" s="89"/>
      <c r="VMK3" s="89"/>
      <c r="VML3" s="89"/>
      <c r="VMM3" s="89"/>
      <c r="VMN3" s="89"/>
      <c r="VMO3" s="89"/>
      <c r="VMP3" s="89"/>
      <c r="VMQ3" s="89"/>
      <c r="VMR3" s="89"/>
      <c r="VMS3" s="89"/>
      <c r="VMT3" s="89"/>
      <c r="VMU3" s="89"/>
      <c r="VMV3" s="89"/>
      <c r="VMW3" s="89"/>
      <c r="VMX3" s="89"/>
      <c r="VMY3" s="89"/>
      <c r="VMZ3" s="89"/>
      <c r="VNA3" s="89"/>
      <c r="VNB3" s="89"/>
      <c r="VNC3" s="89"/>
      <c r="VND3" s="89"/>
      <c r="VNE3" s="89"/>
      <c r="VNF3" s="89"/>
      <c r="VNG3" s="89"/>
      <c r="VNH3" s="89"/>
      <c r="VNI3" s="89"/>
      <c r="VNJ3" s="89"/>
      <c r="VNK3" s="89"/>
      <c r="VNL3" s="89"/>
      <c r="VNM3" s="89"/>
      <c r="VNN3" s="89"/>
      <c r="VNO3" s="89"/>
      <c r="VNP3" s="89"/>
      <c r="VNQ3" s="89"/>
      <c r="VNR3" s="89"/>
      <c r="VNS3" s="89"/>
      <c r="VNT3" s="89"/>
      <c r="VNU3" s="89"/>
      <c r="VNV3" s="89"/>
      <c r="VNW3" s="89"/>
      <c r="VNX3" s="89"/>
      <c r="VNY3" s="89"/>
      <c r="VNZ3" s="89"/>
      <c r="VOA3" s="89"/>
      <c r="VOB3" s="89"/>
      <c r="VOC3" s="89"/>
      <c r="VOD3" s="89"/>
      <c r="VOE3" s="89"/>
      <c r="VOF3" s="89"/>
      <c r="VOG3" s="89"/>
      <c r="VOH3" s="89"/>
      <c r="VOI3" s="89"/>
      <c r="VOJ3" s="89"/>
      <c r="VOK3" s="89"/>
      <c r="VOL3" s="89"/>
      <c r="VOM3" s="89"/>
      <c r="VON3" s="89"/>
      <c r="VOO3" s="89"/>
      <c r="VOP3" s="89"/>
      <c r="VOQ3" s="89"/>
      <c r="VOR3" s="89"/>
      <c r="VOS3" s="89"/>
      <c r="VOT3" s="89"/>
      <c r="VOU3" s="89"/>
      <c r="VOV3" s="89"/>
      <c r="VOW3" s="89"/>
      <c r="VOX3" s="89"/>
      <c r="VOY3" s="89"/>
      <c r="VOZ3" s="89"/>
      <c r="VPA3" s="89"/>
      <c r="VPB3" s="89"/>
      <c r="VPC3" s="89"/>
      <c r="VPD3" s="89"/>
      <c r="VPE3" s="89"/>
      <c r="VPF3" s="89"/>
      <c r="VPG3" s="89"/>
      <c r="VPH3" s="89"/>
      <c r="VPI3" s="89"/>
      <c r="VPJ3" s="89"/>
      <c r="VPK3" s="89"/>
      <c r="VPL3" s="89"/>
      <c r="VPM3" s="89"/>
      <c r="VPN3" s="89"/>
      <c r="VPO3" s="89"/>
      <c r="VPP3" s="89"/>
      <c r="VPQ3" s="89"/>
      <c r="VPR3" s="89"/>
      <c r="VPS3" s="89"/>
      <c r="VPT3" s="89"/>
      <c r="VPU3" s="89"/>
      <c r="VPV3" s="89"/>
      <c r="VPW3" s="89"/>
      <c r="VPX3" s="89"/>
      <c r="VPY3" s="89"/>
      <c r="VPZ3" s="89"/>
      <c r="VQA3" s="89"/>
      <c r="VQB3" s="89"/>
      <c r="VQC3" s="89"/>
      <c r="VQD3" s="89"/>
      <c r="VQE3" s="89"/>
      <c r="VQF3" s="89"/>
      <c r="VQG3" s="89"/>
      <c r="VQH3" s="89"/>
      <c r="VQI3" s="89"/>
      <c r="VQJ3" s="89"/>
      <c r="VQK3" s="89"/>
      <c r="VQL3" s="89"/>
      <c r="VQM3" s="89"/>
      <c r="VQN3" s="89"/>
      <c r="VQO3" s="89"/>
      <c r="VQP3" s="89"/>
      <c r="VQQ3" s="89"/>
      <c r="VQR3" s="89"/>
      <c r="VQS3" s="89"/>
      <c r="VQT3" s="89"/>
      <c r="VQU3" s="89"/>
      <c r="VQV3" s="89"/>
      <c r="VQW3" s="89"/>
      <c r="VQX3" s="89"/>
      <c r="VQY3" s="89"/>
      <c r="VQZ3" s="89"/>
      <c r="VRA3" s="89"/>
      <c r="VRB3" s="89"/>
      <c r="VRC3" s="89"/>
      <c r="VRD3" s="89"/>
      <c r="VRE3" s="89"/>
      <c r="VRF3" s="89"/>
      <c r="VRG3" s="89"/>
      <c r="VRH3" s="89"/>
      <c r="VRI3" s="89"/>
      <c r="VRJ3" s="89"/>
      <c r="VRK3" s="89"/>
      <c r="VRL3" s="89"/>
      <c r="VRM3" s="89"/>
      <c r="VRN3" s="89"/>
      <c r="VRO3" s="89"/>
      <c r="VRP3" s="89"/>
      <c r="VRQ3" s="89"/>
      <c r="VRR3" s="89"/>
      <c r="VRS3" s="89"/>
      <c r="VRT3" s="89"/>
      <c r="VRU3" s="89"/>
      <c r="VRV3" s="89"/>
      <c r="VRW3" s="89"/>
      <c r="VRX3" s="89"/>
      <c r="VRY3" s="89"/>
      <c r="VRZ3" s="89"/>
      <c r="VSA3" s="89"/>
      <c r="VSB3" s="89"/>
      <c r="VSC3" s="89"/>
      <c r="VSD3" s="89"/>
      <c r="VSE3" s="89"/>
      <c r="VSF3" s="89"/>
      <c r="VSG3" s="89"/>
      <c r="VSH3" s="89"/>
      <c r="VSI3" s="89"/>
      <c r="VSJ3" s="89"/>
      <c r="VSK3" s="89"/>
      <c r="VSL3" s="89"/>
      <c r="VSM3" s="89"/>
      <c r="VSN3" s="89"/>
      <c r="VSO3" s="89"/>
      <c r="VSP3" s="89"/>
      <c r="VSQ3" s="89"/>
      <c r="VSR3" s="89"/>
      <c r="VSS3" s="89"/>
      <c r="VST3" s="89"/>
      <c r="VSU3" s="89"/>
      <c r="VSV3" s="89"/>
      <c r="VSW3" s="89"/>
      <c r="VSX3" s="89"/>
      <c r="VSY3" s="89"/>
      <c r="VSZ3" s="89"/>
      <c r="VTA3" s="89"/>
      <c r="VTB3" s="89"/>
      <c r="VTC3" s="89"/>
      <c r="VTD3" s="89"/>
      <c r="VTE3" s="89"/>
      <c r="VTF3" s="89"/>
      <c r="VTG3" s="89"/>
      <c r="VTH3" s="89"/>
      <c r="VTI3" s="89"/>
      <c r="VTJ3" s="89"/>
      <c r="VTK3" s="89"/>
      <c r="VTL3" s="89"/>
      <c r="VTM3" s="89"/>
      <c r="VTN3" s="89"/>
      <c r="VTO3" s="89"/>
      <c r="VTP3" s="89"/>
      <c r="VTQ3" s="89"/>
      <c r="VTR3" s="89"/>
      <c r="VTS3" s="89"/>
      <c r="VTT3" s="89"/>
      <c r="VTU3" s="89"/>
      <c r="VTV3" s="89"/>
      <c r="VTW3" s="89"/>
      <c r="VTX3" s="89"/>
      <c r="VTY3" s="89"/>
      <c r="VTZ3" s="89"/>
      <c r="VUA3" s="89"/>
      <c r="VUB3" s="89"/>
      <c r="VUC3" s="89"/>
      <c r="VUD3" s="89"/>
      <c r="VUE3" s="89"/>
      <c r="VUF3" s="89"/>
      <c r="VUG3" s="89"/>
      <c r="VUH3" s="89"/>
      <c r="VUI3" s="89"/>
      <c r="VUJ3" s="89"/>
      <c r="VUK3" s="89"/>
      <c r="VUL3" s="89"/>
      <c r="VUM3" s="89"/>
      <c r="VUN3" s="89"/>
      <c r="VUO3" s="89"/>
      <c r="VUP3" s="89"/>
      <c r="VUQ3" s="89"/>
      <c r="VUR3" s="89"/>
      <c r="VUS3" s="89"/>
      <c r="VUT3" s="89"/>
      <c r="VUU3" s="89"/>
      <c r="VUV3" s="89"/>
      <c r="VUW3" s="89"/>
      <c r="VUX3" s="89"/>
      <c r="VUY3" s="89"/>
      <c r="VUZ3" s="89"/>
      <c r="VVA3" s="89"/>
      <c r="VVB3" s="89"/>
      <c r="VVC3" s="89"/>
      <c r="VVD3" s="89"/>
      <c r="VVE3" s="89"/>
      <c r="VVF3" s="89"/>
      <c r="VVG3" s="89"/>
      <c r="VVH3" s="89"/>
      <c r="VVI3" s="89"/>
      <c r="VVJ3" s="89"/>
      <c r="VVK3" s="89"/>
      <c r="VVL3" s="89"/>
      <c r="VVM3" s="89"/>
      <c r="VVN3" s="89"/>
      <c r="VVO3" s="89"/>
      <c r="VVP3" s="89"/>
      <c r="VVQ3" s="89"/>
      <c r="VVR3" s="89"/>
      <c r="VVS3" s="89"/>
      <c r="VVT3" s="89"/>
      <c r="VVU3" s="89"/>
      <c r="VVV3" s="89"/>
      <c r="VVW3" s="89"/>
      <c r="VVX3" s="89"/>
      <c r="VVY3" s="89"/>
      <c r="VVZ3" s="89"/>
      <c r="VWA3" s="89"/>
      <c r="VWB3" s="89"/>
      <c r="VWC3" s="89"/>
      <c r="VWD3" s="89"/>
      <c r="VWE3" s="89"/>
      <c r="VWF3" s="89"/>
      <c r="VWG3" s="89"/>
      <c r="VWH3" s="89"/>
      <c r="VWI3" s="89"/>
      <c r="VWJ3" s="89"/>
      <c r="VWK3" s="89"/>
      <c r="VWL3" s="89"/>
      <c r="VWM3" s="89"/>
      <c r="VWN3" s="89"/>
      <c r="VWO3" s="89"/>
      <c r="VWP3" s="89"/>
      <c r="VWQ3" s="89"/>
      <c r="VWR3" s="89"/>
      <c r="VWS3" s="89"/>
      <c r="VWT3" s="89"/>
      <c r="VWU3" s="89"/>
      <c r="VWV3" s="89"/>
      <c r="VWW3" s="89"/>
      <c r="VWX3" s="89"/>
      <c r="VWY3" s="89"/>
      <c r="VWZ3" s="89"/>
      <c r="VXA3" s="89"/>
      <c r="VXB3" s="89"/>
      <c r="VXC3" s="89"/>
      <c r="VXD3" s="89"/>
      <c r="VXE3" s="89"/>
      <c r="VXF3" s="89"/>
      <c r="VXG3" s="89"/>
      <c r="VXH3" s="89"/>
      <c r="VXI3" s="89"/>
      <c r="VXJ3" s="89"/>
      <c r="VXK3" s="89"/>
      <c r="VXL3" s="89"/>
      <c r="VXM3" s="89"/>
      <c r="VXN3" s="89"/>
      <c r="VXO3" s="89"/>
      <c r="VXP3" s="89"/>
      <c r="VXQ3" s="89"/>
      <c r="VXR3" s="89"/>
      <c r="VXS3" s="89"/>
      <c r="VXT3" s="89"/>
      <c r="VXU3" s="89"/>
      <c r="VXV3" s="89"/>
      <c r="VXW3" s="89"/>
      <c r="VXX3" s="89"/>
      <c r="VXY3" s="89"/>
      <c r="VXZ3" s="89"/>
      <c r="VYA3" s="89"/>
      <c r="VYB3" s="89"/>
      <c r="VYC3" s="89"/>
      <c r="VYD3" s="89"/>
      <c r="VYE3" s="89"/>
      <c r="VYF3" s="89"/>
      <c r="VYG3" s="89"/>
      <c r="VYH3" s="89"/>
      <c r="VYI3" s="89"/>
      <c r="VYJ3" s="89"/>
      <c r="VYK3" s="89"/>
      <c r="VYL3" s="89"/>
      <c r="VYM3" s="89"/>
      <c r="VYN3" s="89"/>
      <c r="VYO3" s="89"/>
      <c r="VYP3" s="89"/>
      <c r="VYQ3" s="89"/>
      <c r="VYR3" s="89"/>
      <c r="VYS3" s="89"/>
      <c r="VYT3" s="89"/>
      <c r="VYU3" s="89"/>
      <c r="VYV3" s="89"/>
      <c r="VYW3" s="89"/>
      <c r="VYX3" s="89"/>
      <c r="VYY3" s="89"/>
      <c r="VYZ3" s="89"/>
      <c r="VZA3" s="89"/>
      <c r="VZB3" s="89"/>
      <c r="VZC3" s="89"/>
      <c r="VZD3" s="89"/>
      <c r="VZE3" s="89"/>
      <c r="VZF3" s="89"/>
      <c r="VZG3" s="89"/>
      <c r="VZH3" s="89"/>
      <c r="VZI3" s="89"/>
      <c r="VZJ3" s="89"/>
      <c r="VZK3" s="89"/>
      <c r="VZL3" s="89"/>
      <c r="VZM3" s="89"/>
      <c r="VZN3" s="89"/>
      <c r="VZO3" s="89"/>
      <c r="VZP3" s="89"/>
      <c r="VZQ3" s="89"/>
      <c r="VZR3" s="89"/>
      <c r="VZS3" s="89"/>
      <c r="VZT3" s="89"/>
      <c r="VZU3" s="89"/>
      <c r="VZV3" s="89"/>
      <c r="VZW3" s="89"/>
      <c r="VZX3" s="89"/>
      <c r="VZY3" s="89"/>
      <c r="VZZ3" s="89"/>
      <c r="WAA3" s="89"/>
      <c r="WAB3" s="89"/>
      <c r="WAC3" s="89"/>
      <c r="WAD3" s="89"/>
      <c r="WAE3" s="89"/>
      <c r="WAF3" s="89"/>
      <c r="WAG3" s="89"/>
      <c r="WAH3" s="89"/>
      <c r="WAI3" s="89"/>
      <c r="WAJ3" s="89"/>
      <c r="WAK3" s="89"/>
      <c r="WAL3" s="89"/>
      <c r="WAM3" s="89"/>
      <c r="WAN3" s="89"/>
      <c r="WAO3" s="89"/>
      <c r="WAP3" s="89"/>
      <c r="WAQ3" s="89"/>
      <c r="WAR3" s="89"/>
      <c r="WAS3" s="89"/>
      <c r="WAT3" s="89"/>
      <c r="WAU3" s="89"/>
      <c r="WAV3" s="89"/>
      <c r="WAW3" s="89"/>
      <c r="WAX3" s="89"/>
      <c r="WAY3" s="89"/>
      <c r="WAZ3" s="89"/>
      <c r="WBA3" s="89"/>
      <c r="WBB3" s="89"/>
      <c r="WBC3" s="89"/>
      <c r="WBD3" s="89"/>
      <c r="WBE3" s="89"/>
      <c r="WBF3" s="89"/>
      <c r="WBG3" s="89"/>
      <c r="WBH3" s="89"/>
      <c r="WBI3" s="89"/>
      <c r="WBJ3" s="89"/>
      <c r="WBK3" s="89"/>
      <c r="WBL3" s="89"/>
      <c r="WBM3" s="89"/>
      <c r="WBN3" s="89"/>
      <c r="WBO3" s="89"/>
      <c r="WBP3" s="89"/>
      <c r="WBQ3" s="89"/>
      <c r="WBR3" s="89"/>
      <c r="WBS3" s="89"/>
      <c r="WBT3" s="89"/>
      <c r="WBU3" s="89"/>
      <c r="WBV3" s="89"/>
      <c r="WBW3" s="89"/>
      <c r="WBX3" s="89"/>
      <c r="WBY3" s="89"/>
      <c r="WBZ3" s="89"/>
      <c r="WCA3" s="89"/>
      <c r="WCB3" s="89"/>
      <c r="WCC3" s="89"/>
      <c r="WCD3" s="89"/>
      <c r="WCE3" s="89"/>
      <c r="WCF3" s="89"/>
      <c r="WCG3" s="89"/>
      <c r="WCH3" s="89"/>
      <c r="WCI3" s="89"/>
      <c r="WCJ3" s="89"/>
      <c r="WCK3" s="89"/>
      <c r="WCL3" s="89"/>
      <c r="WCM3" s="89"/>
      <c r="WCN3" s="89"/>
      <c r="WCO3" s="89"/>
      <c r="WCP3" s="89"/>
      <c r="WCQ3" s="89"/>
      <c r="WCR3" s="89"/>
      <c r="WCS3" s="89"/>
      <c r="WCT3" s="89"/>
      <c r="WCU3" s="89"/>
      <c r="WCV3" s="89"/>
      <c r="WCW3" s="89"/>
      <c r="WCX3" s="89"/>
      <c r="WCY3" s="89"/>
      <c r="WCZ3" s="89"/>
      <c r="WDA3" s="89"/>
      <c r="WDB3" s="89"/>
      <c r="WDC3" s="89"/>
      <c r="WDD3" s="89"/>
      <c r="WDE3" s="89"/>
      <c r="WDF3" s="89"/>
      <c r="WDG3" s="89"/>
      <c r="WDH3" s="89"/>
      <c r="WDI3" s="89"/>
      <c r="WDJ3" s="89"/>
      <c r="WDK3" s="89"/>
      <c r="WDL3" s="89"/>
      <c r="WDM3" s="89"/>
      <c r="WDN3" s="89"/>
      <c r="WDO3" s="89"/>
      <c r="WDP3" s="89"/>
      <c r="WDQ3" s="89"/>
      <c r="WDR3" s="89"/>
      <c r="WDS3" s="89"/>
      <c r="WDT3" s="89"/>
      <c r="WDU3" s="89"/>
      <c r="WDV3" s="89"/>
      <c r="WDW3" s="89"/>
      <c r="WDX3" s="89"/>
      <c r="WDY3" s="89"/>
      <c r="WDZ3" s="89"/>
      <c r="WEA3" s="89"/>
      <c r="WEB3" s="89"/>
      <c r="WEC3" s="89"/>
      <c r="WED3" s="89"/>
      <c r="WEE3" s="89"/>
      <c r="WEF3" s="89"/>
      <c r="WEG3" s="89"/>
      <c r="WEH3" s="89"/>
      <c r="WEI3" s="89"/>
      <c r="WEJ3" s="89"/>
      <c r="WEK3" s="89"/>
      <c r="WEL3" s="89"/>
      <c r="WEM3" s="89"/>
      <c r="WEN3" s="89"/>
      <c r="WEO3" s="89"/>
      <c r="WEP3" s="89"/>
      <c r="WEQ3" s="89"/>
      <c r="WER3" s="89"/>
      <c r="WES3" s="89"/>
      <c r="WET3" s="89"/>
      <c r="WEU3" s="89"/>
      <c r="WEV3" s="89"/>
      <c r="WEW3" s="89"/>
      <c r="WEX3" s="89"/>
      <c r="WEY3" s="89"/>
      <c r="WEZ3" s="89"/>
      <c r="WFA3" s="89"/>
      <c r="WFB3" s="89"/>
      <c r="WFC3" s="89"/>
      <c r="WFD3" s="89"/>
      <c r="WFE3" s="89"/>
      <c r="WFF3" s="89"/>
      <c r="WFG3" s="89"/>
      <c r="WFH3" s="89"/>
      <c r="WFI3" s="89"/>
      <c r="WFJ3" s="89"/>
      <c r="WFK3" s="89"/>
      <c r="WFL3" s="89"/>
      <c r="WFM3" s="89"/>
      <c r="WFN3" s="89"/>
      <c r="WFO3" s="89"/>
      <c r="WFP3" s="89"/>
      <c r="WFQ3" s="89"/>
      <c r="WFR3" s="89"/>
      <c r="WFS3" s="89"/>
      <c r="WFT3" s="89"/>
      <c r="WFU3" s="89"/>
      <c r="WFV3" s="89"/>
      <c r="WFW3" s="89"/>
      <c r="WFX3" s="89"/>
      <c r="WFY3" s="89"/>
      <c r="WFZ3" s="89"/>
      <c r="WGA3" s="89"/>
      <c r="WGB3" s="89"/>
      <c r="WGC3" s="89"/>
      <c r="WGD3" s="89"/>
      <c r="WGE3" s="89"/>
      <c r="WGF3" s="89"/>
      <c r="WGG3" s="89"/>
      <c r="WGH3" s="89"/>
      <c r="WGI3" s="89"/>
      <c r="WGJ3" s="89"/>
      <c r="WGK3" s="89"/>
      <c r="WGL3" s="89"/>
      <c r="WGM3" s="89"/>
      <c r="WGN3" s="89"/>
      <c r="WGO3" s="89"/>
      <c r="WGP3" s="89"/>
      <c r="WGQ3" s="89"/>
      <c r="WGR3" s="89"/>
      <c r="WGS3" s="89"/>
      <c r="WGT3" s="89"/>
      <c r="WGU3" s="89"/>
      <c r="WGV3" s="89"/>
      <c r="WGW3" s="89"/>
      <c r="WGX3" s="89"/>
      <c r="WGY3" s="89"/>
      <c r="WGZ3" s="89"/>
      <c r="WHA3" s="89"/>
      <c r="WHB3" s="89"/>
      <c r="WHC3" s="89"/>
      <c r="WHD3" s="89"/>
      <c r="WHE3" s="89"/>
      <c r="WHF3" s="89"/>
      <c r="WHG3" s="89"/>
      <c r="WHH3" s="89"/>
      <c r="WHI3" s="89"/>
      <c r="WHJ3" s="89"/>
      <c r="WHK3" s="89"/>
      <c r="WHL3" s="89"/>
      <c r="WHM3" s="89"/>
      <c r="WHN3" s="89"/>
      <c r="WHO3" s="89"/>
      <c r="WHP3" s="89"/>
      <c r="WHQ3" s="89"/>
      <c r="WHR3" s="89"/>
      <c r="WHS3" s="89"/>
      <c r="WHT3" s="89"/>
      <c r="WHU3" s="89"/>
      <c r="WHV3" s="89"/>
      <c r="WHW3" s="89"/>
      <c r="WHX3" s="89"/>
      <c r="WHY3" s="89"/>
      <c r="WHZ3" s="89"/>
      <c r="WIA3" s="89"/>
      <c r="WIB3" s="89"/>
      <c r="WIC3" s="89"/>
      <c r="WID3" s="89"/>
      <c r="WIE3" s="89"/>
      <c r="WIF3" s="89"/>
      <c r="WIG3" s="89"/>
      <c r="WIH3" s="89"/>
      <c r="WII3" s="89"/>
      <c r="WIJ3" s="89"/>
      <c r="WIK3" s="89"/>
      <c r="WIL3" s="89"/>
      <c r="WIM3" s="89"/>
      <c r="WIN3" s="89"/>
      <c r="WIO3" s="89"/>
      <c r="WIP3" s="89"/>
      <c r="WIQ3" s="89"/>
      <c r="WIR3" s="89"/>
      <c r="WIS3" s="89"/>
      <c r="WIT3" s="89"/>
      <c r="WIU3" s="89"/>
      <c r="WIV3" s="89"/>
      <c r="WIW3" s="89"/>
      <c r="WIX3" s="89"/>
      <c r="WIY3" s="89"/>
      <c r="WIZ3" s="89"/>
      <c r="WJA3" s="89"/>
      <c r="WJB3" s="89"/>
      <c r="WJC3" s="89"/>
      <c r="WJD3" s="89"/>
      <c r="WJE3" s="89"/>
      <c r="WJF3" s="89"/>
      <c r="WJG3" s="89"/>
      <c r="WJH3" s="89"/>
      <c r="WJI3" s="89"/>
      <c r="WJJ3" s="89"/>
      <c r="WJK3" s="89"/>
      <c r="WJL3" s="89"/>
      <c r="WJM3" s="89"/>
      <c r="WJN3" s="89"/>
      <c r="WJO3" s="89"/>
      <c r="WJP3" s="89"/>
      <c r="WJQ3" s="89"/>
      <c r="WJR3" s="89"/>
      <c r="WJS3" s="89"/>
      <c r="WJT3" s="89"/>
      <c r="WJU3" s="89"/>
      <c r="WJV3" s="89"/>
      <c r="WJW3" s="89"/>
      <c r="WJX3" s="89"/>
      <c r="WJY3" s="89"/>
      <c r="WJZ3" s="89"/>
      <c r="WKA3" s="89"/>
      <c r="WKB3" s="89"/>
      <c r="WKC3" s="89"/>
      <c r="WKD3" s="89"/>
      <c r="WKE3" s="89"/>
      <c r="WKF3" s="89"/>
      <c r="WKG3" s="89"/>
      <c r="WKH3" s="89"/>
      <c r="WKI3" s="89"/>
      <c r="WKJ3" s="89"/>
      <c r="WKK3" s="89"/>
      <c r="WKL3" s="89"/>
      <c r="WKM3" s="89"/>
      <c r="WKN3" s="89"/>
      <c r="WKO3" s="89"/>
      <c r="WKP3" s="89"/>
      <c r="WKQ3" s="89"/>
      <c r="WKR3" s="89"/>
      <c r="WKS3" s="89"/>
      <c r="WKT3" s="89"/>
      <c r="WKU3" s="89"/>
      <c r="WKV3" s="89"/>
      <c r="WKW3" s="89"/>
      <c r="WKX3" s="89"/>
      <c r="WKY3" s="89"/>
      <c r="WKZ3" s="89"/>
      <c r="WLA3" s="89"/>
      <c r="WLB3" s="89"/>
      <c r="WLC3" s="89"/>
      <c r="WLD3" s="89"/>
      <c r="WLE3" s="89"/>
      <c r="WLF3" s="89"/>
      <c r="WLG3" s="89"/>
      <c r="WLH3" s="89"/>
      <c r="WLI3" s="89"/>
      <c r="WLJ3" s="89"/>
      <c r="WLK3" s="89"/>
      <c r="WLL3" s="89"/>
      <c r="WLM3" s="89"/>
      <c r="WLN3" s="89"/>
      <c r="WLO3" s="89"/>
      <c r="WLP3" s="89"/>
      <c r="WLQ3" s="89"/>
      <c r="WLR3" s="89"/>
      <c r="WLS3" s="89"/>
      <c r="WLT3" s="89"/>
      <c r="WLU3" s="89"/>
      <c r="WLV3" s="89"/>
      <c r="WLW3" s="89"/>
      <c r="WLX3" s="89"/>
      <c r="WLY3" s="89"/>
      <c r="WLZ3" s="89"/>
      <c r="WMA3" s="89"/>
      <c r="WMB3" s="89"/>
      <c r="WMC3" s="89"/>
      <c r="WMD3" s="89"/>
      <c r="WME3" s="89"/>
      <c r="WMF3" s="89"/>
      <c r="WMG3" s="89"/>
      <c r="WMH3" s="89"/>
      <c r="WMI3" s="89"/>
      <c r="WMJ3" s="89"/>
      <c r="WMK3" s="89"/>
      <c r="WML3" s="89"/>
      <c r="WMM3" s="89"/>
      <c r="WMN3" s="89"/>
      <c r="WMO3" s="89"/>
      <c r="WMP3" s="89"/>
      <c r="WMQ3" s="89"/>
      <c r="WMR3" s="89"/>
      <c r="WMS3" s="89"/>
      <c r="WMT3" s="89"/>
      <c r="WMU3" s="89"/>
      <c r="WMV3" s="89"/>
      <c r="WMW3" s="89"/>
      <c r="WMX3" s="89"/>
      <c r="WMY3" s="89"/>
      <c r="WMZ3" s="89"/>
      <c r="WNA3" s="89"/>
      <c r="WNB3" s="89"/>
      <c r="WNC3" s="89"/>
      <c r="WND3" s="89"/>
      <c r="WNE3" s="89"/>
      <c r="WNF3" s="89"/>
      <c r="WNG3" s="89"/>
      <c r="WNH3" s="89"/>
      <c r="WNI3" s="89"/>
      <c r="WNJ3" s="89"/>
      <c r="WNK3" s="89"/>
      <c r="WNL3" s="89"/>
      <c r="WNM3" s="89"/>
      <c r="WNN3" s="89"/>
      <c r="WNO3" s="89"/>
      <c r="WNP3" s="89"/>
      <c r="WNQ3" s="89"/>
      <c r="WNR3" s="89"/>
      <c r="WNS3" s="89"/>
      <c r="WNT3" s="89"/>
      <c r="WNU3" s="89"/>
      <c r="WNV3" s="89"/>
      <c r="WNW3" s="89"/>
      <c r="WNX3" s="89"/>
      <c r="WNY3" s="89"/>
      <c r="WNZ3" s="89"/>
      <c r="WOA3" s="89"/>
      <c r="WOB3" s="89"/>
      <c r="WOC3" s="89"/>
      <c r="WOD3" s="89"/>
      <c r="WOE3" s="89"/>
      <c r="WOF3" s="89"/>
      <c r="WOG3" s="89"/>
      <c r="WOH3" s="89"/>
      <c r="WOI3" s="89"/>
      <c r="WOJ3" s="89"/>
      <c r="WOK3" s="89"/>
      <c r="WOL3" s="89"/>
      <c r="WOM3" s="89"/>
      <c r="WON3" s="89"/>
      <c r="WOO3" s="89"/>
      <c r="WOP3" s="89"/>
      <c r="WOQ3" s="89"/>
      <c r="WOR3" s="89"/>
      <c r="WOS3" s="89"/>
      <c r="WOT3" s="89"/>
      <c r="WOU3" s="89"/>
      <c r="WOV3" s="89"/>
      <c r="WOW3" s="89"/>
      <c r="WOX3" s="89"/>
      <c r="WOY3" s="89"/>
      <c r="WOZ3" s="89"/>
      <c r="WPA3" s="89"/>
      <c r="WPB3" s="89"/>
      <c r="WPC3" s="89"/>
      <c r="WPD3" s="89"/>
      <c r="WPE3" s="89"/>
      <c r="WPF3" s="89"/>
      <c r="WPG3" s="89"/>
      <c r="WPH3" s="89"/>
      <c r="WPI3" s="89"/>
      <c r="WPJ3" s="89"/>
      <c r="WPK3" s="89"/>
      <c r="WPL3" s="89"/>
      <c r="WPM3" s="89"/>
      <c r="WPN3" s="89"/>
      <c r="WPO3" s="89"/>
      <c r="WPP3" s="89"/>
      <c r="WPQ3" s="89"/>
      <c r="WPR3" s="89"/>
      <c r="WPS3" s="89"/>
      <c r="WPT3" s="89"/>
      <c r="WPU3" s="89"/>
      <c r="WPV3" s="89"/>
      <c r="WPW3" s="89"/>
      <c r="WPX3" s="89"/>
      <c r="WPY3" s="89"/>
      <c r="WPZ3" s="89"/>
      <c r="WQA3" s="89"/>
      <c r="WQB3" s="89"/>
      <c r="WQC3" s="89"/>
      <c r="WQD3" s="89"/>
      <c r="WQE3" s="89"/>
      <c r="WQF3" s="89"/>
      <c r="WQG3" s="89"/>
      <c r="WQH3" s="89"/>
      <c r="WQI3" s="89"/>
      <c r="WQJ3" s="89"/>
      <c r="WQK3" s="89"/>
      <c r="WQL3" s="89"/>
      <c r="WQM3" s="89"/>
      <c r="WQN3" s="89"/>
      <c r="WQO3" s="89"/>
      <c r="WQP3" s="89"/>
      <c r="WQQ3" s="89"/>
      <c r="WQR3" s="89"/>
      <c r="WQS3" s="89"/>
      <c r="WQT3" s="89"/>
      <c r="WQU3" s="89"/>
      <c r="WQV3" s="89"/>
      <c r="WQW3" s="89"/>
      <c r="WQX3" s="89"/>
      <c r="WQY3" s="89"/>
      <c r="WQZ3" s="89"/>
      <c r="WRA3" s="89"/>
      <c r="WRB3" s="89"/>
      <c r="WRC3" s="89"/>
      <c r="WRD3" s="89"/>
      <c r="WRE3" s="89"/>
      <c r="WRF3" s="89"/>
      <c r="WRG3" s="89"/>
      <c r="WRH3" s="89"/>
      <c r="WRI3" s="89"/>
      <c r="WRJ3" s="89"/>
      <c r="WRK3" s="89"/>
      <c r="WRL3" s="89"/>
      <c r="WRM3" s="89"/>
      <c r="WRN3" s="89"/>
      <c r="WRO3" s="89"/>
      <c r="WRP3" s="89"/>
      <c r="WRQ3" s="89"/>
      <c r="WRR3" s="89"/>
      <c r="WRS3" s="89"/>
      <c r="WRT3" s="89"/>
      <c r="WRU3" s="89"/>
      <c r="WRV3" s="89"/>
      <c r="WRW3" s="89"/>
      <c r="WRX3" s="89"/>
      <c r="WRY3" s="89"/>
      <c r="WRZ3" s="89"/>
      <c r="WSA3" s="89"/>
      <c r="WSB3" s="89"/>
      <c r="WSC3" s="89"/>
      <c r="WSD3" s="89"/>
      <c r="WSE3" s="89"/>
      <c r="WSF3" s="89"/>
      <c r="WSG3" s="89"/>
      <c r="WSH3" s="89"/>
      <c r="WSI3" s="89"/>
      <c r="WSJ3" s="89"/>
      <c r="WSK3" s="89"/>
      <c r="WSL3" s="89"/>
      <c r="WSM3" s="89"/>
      <c r="WSN3" s="89"/>
      <c r="WSO3" s="89"/>
      <c r="WSP3" s="89"/>
      <c r="WSQ3" s="89"/>
      <c r="WSR3" s="89"/>
      <c r="WSS3" s="89"/>
      <c r="WST3" s="89"/>
      <c r="WSU3" s="89"/>
      <c r="WSV3" s="89"/>
      <c r="WSW3" s="89"/>
      <c r="WSX3" s="89"/>
      <c r="WSY3" s="89"/>
      <c r="WSZ3" s="89"/>
      <c r="WTA3" s="89"/>
      <c r="WTB3" s="89"/>
      <c r="WTC3" s="89"/>
      <c r="WTD3" s="89"/>
      <c r="WTE3" s="89"/>
      <c r="WTF3" s="89"/>
      <c r="WTG3" s="89"/>
      <c r="WTH3" s="89"/>
      <c r="WTI3" s="89"/>
      <c r="WTJ3" s="89"/>
      <c r="WTK3" s="89"/>
      <c r="WTL3" s="89"/>
      <c r="WTM3" s="89"/>
      <c r="WTN3" s="89"/>
      <c r="WTO3" s="89"/>
      <c r="WTP3" s="89"/>
      <c r="WTQ3" s="89"/>
      <c r="WTR3" s="89"/>
      <c r="WTS3" s="89"/>
      <c r="WTT3" s="89"/>
      <c r="WTU3" s="89"/>
      <c r="WTV3" s="89"/>
      <c r="WTW3" s="89"/>
      <c r="WTX3" s="89"/>
      <c r="WTY3" s="89"/>
      <c r="WTZ3" s="89"/>
      <c r="WUA3" s="89"/>
      <c r="WUB3" s="89"/>
      <c r="WUC3" s="89"/>
      <c r="WUD3" s="89"/>
      <c r="WUE3" s="89"/>
      <c r="WUF3" s="89"/>
      <c r="WUG3" s="89"/>
      <c r="WUH3" s="89"/>
      <c r="WUI3" s="89"/>
      <c r="WUJ3" s="89"/>
      <c r="WUK3" s="89"/>
      <c r="WUL3" s="89"/>
      <c r="WUM3" s="89"/>
      <c r="WUN3" s="89"/>
      <c r="WUO3" s="89"/>
      <c r="WUP3" s="89"/>
      <c r="WUQ3" s="89"/>
      <c r="WUR3" s="89"/>
      <c r="WUS3" s="89"/>
      <c r="WUT3" s="89"/>
      <c r="WUU3" s="89"/>
      <c r="WUV3" s="89"/>
      <c r="WUW3" s="89"/>
      <c r="WUX3" s="89"/>
      <c r="WUY3" s="89"/>
      <c r="WUZ3" s="89"/>
      <c r="WVA3" s="89"/>
      <c r="WVB3" s="89"/>
      <c r="WVC3" s="89"/>
      <c r="WVD3" s="89"/>
      <c r="WVE3" s="89"/>
      <c r="WVF3" s="89"/>
      <c r="WVG3" s="89"/>
      <c r="WVH3" s="89"/>
      <c r="WVI3" s="89"/>
      <c r="WVJ3" s="89"/>
      <c r="WVK3" s="89"/>
      <c r="WVL3" s="89"/>
      <c r="WVM3" s="89"/>
      <c r="WVN3" s="89"/>
      <c r="WVO3" s="89"/>
      <c r="WVP3" s="89"/>
      <c r="WVQ3" s="89"/>
      <c r="WVR3" s="89"/>
      <c r="WVS3" s="89"/>
      <c r="WVT3" s="89"/>
      <c r="WVU3" s="89"/>
      <c r="WVV3" s="89"/>
      <c r="WVW3" s="89"/>
      <c r="WVX3" s="89"/>
      <c r="WVY3" s="89"/>
      <c r="WVZ3" s="89"/>
      <c r="WWA3" s="89"/>
      <c r="WWB3" s="89"/>
      <c r="WWC3" s="89"/>
      <c r="WWD3" s="89"/>
      <c r="WWE3" s="89"/>
      <c r="WWF3" s="89"/>
      <c r="WWG3" s="89"/>
      <c r="WWH3" s="89"/>
      <c r="WWI3" s="89"/>
      <c r="WWJ3" s="89"/>
      <c r="WWK3" s="89"/>
      <c r="WWL3" s="89"/>
      <c r="WWM3" s="89"/>
      <c r="WWN3" s="89"/>
      <c r="WWO3" s="89"/>
      <c r="WWP3" s="89"/>
      <c r="WWQ3" s="89"/>
      <c r="WWR3" s="89"/>
      <c r="WWS3" s="89"/>
      <c r="WWT3" s="89"/>
      <c r="WWU3" s="89"/>
      <c r="WWV3" s="89"/>
      <c r="WWW3" s="89"/>
      <c r="WWX3" s="89"/>
      <c r="WWY3" s="89"/>
      <c r="WWZ3" s="89"/>
      <c r="WXA3" s="89"/>
      <c r="WXB3" s="89"/>
      <c r="WXC3" s="89"/>
      <c r="WXD3" s="89"/>
      <c r="WXE3" s="89"/>
      <c r="WXF3" s="90"/>
      <c r="WXG3" s="90"/>
      <c r="WXH3" s="90"/>
      <c r="WXI3" s="90"/>
      <c r="WXJ3" s="90"/>
      <c r="WXK3" s="91"/>
      <c r="WXL3" s="91"/>
      <c r="WXM3" s="91"/>
      <c r="WXN3" s="91"/>
      <c r="WXO3" s="92"/>
      <c r="WXP3" s="92"/>
      <c r="WXQ3" s="92"/>
      <c r="WXR3" s="92"/>
      <c r="WXS3" s="92"/>
      <c r="WXT3" s="92"/>
      <c r="WXU3" s="92"/>
      <c r="WXV3" s="92"/>
      <c r="WXW3" s="92"/>
      <c r="WXX3" s="92"/>
      <c r="WXY3" s="92"/>
      <c r="WXZ3" s="92"/>
      <c r="WYA3" s="92"/>
      <c r="WYB3" s="92"/>
      <c r="WYC3" s="92"/>
      <c r="WYD3" s="92"/>
      <c r="WYE3" s="92"/>
      <c r="WYF3" s="92"/>
      <c r="WYG3" s="92"/>
      <c r="WYH3" s="92"/>
      <c r="WYI3" s="92"/>
      <c r="WYJ3" s="92"/>
      <c r="WYK3" s="92"/>
      <c r="WYL3" s="92"/>
      <c r="WYM3" s="92"/>
      <c r="WYN3" s="92"/>
      <c r="WYO3" s="92"/>
      <c r="WYP3" s="92"/>
      <c r="WYQ3" s="92"/>
      <c r="WYR3" s="92"/>
      <c r="WYS3" s="92"/>
      <c r="WYT3" s="92"/>
      <c r="WYU3" s="92"/>
      <c r="WYV3" s="92"/>
      <c r="WYW3" s="92"/>
      <c r="WYX3" s="92"/>
      <c r="WYY3" s="92"/>
      <c r="WYZ3" s="92"/>
      <c r="WZA3" s="92"/>
      <c r="WZB3" s="92"/>
      <c r="WZC3" s="92"/>
      <c r="WZD3" s="92"/>
      <c r="WZE3" s="92"/>
      <c r="WZF3" s="92"/>
      <c r="WZG3" s="92"/>
      <c r="WZH3" s="92"/>
      <c r="WZI3" s="92"/>
      <c r="WZJ3" s="92"/>
      <c r="WZK3" s="92"/>
      <c r="WZL3" s="92"/>
      <c r="WZM3" s="92"/>
      <c r="WZN3" s="92"/>
      <c r="WZO3" s="92"/>
      <c r="WZP3" s="92"/>
      <c r="WZQ3" s="92"/>
      <c r="WZR3" s="92"/>
      <c r="WZS3" s="92"/>
      <c r="WZT3" s="92"/>
      <c r="WZU3" s="92"/>
      <c r="WZV3" s="92"/>
      <c r="WZW3" s="92"/>
      <c r="WZX3" s="92"/>
      <c r="WZY3" s="92"/>
      <c r="WZZ3" s="92"/>
      <c r="XAA3" s="92"/>
      <c r="XAB3" s="92"/>
      <c r="XAC3" s="92"/>
      <c r="XAD3" s="92"/>
      <c r="XAE3" s="92"/>
      <c r="XAF3" s="92"/>
      <c r="XAG3" s="92"/>
      <c r="XAH3" s="92"/>
      <c r="XAI3" s="92"/>
      <c r="XAJ3" s="92"/>
      <c r="XAK3" s="92"/>
      <c r="XAL3" s="92"/>
      <c r="XAM3" s="92"/>
      <c r="XAN3" s="92"/>
      <c r="XAO3" s="92"/>
      <c r="XAP3" s="92"/>
      <c r="XAQ3" s="92"/>
      <c r="XAR3" s="92"/>
      <c r="XAS3" s="92"/>
      <c r="XAT3" s="92"/>
      <c r="XAU3" s="92"/>
      <c r="XAV3" s="92"/>
      <c r="XAW3" s="92"/>
      <c r="XAX3" s="92"/>
      <c r="XAY3" s="92"/>
      <c r="XAZ3" s="92"/>
      <c r="XBA3" s="92"/>
      <c r="XBB3" s="92"/>
      <c r="XBC3" s="92"/>
      <c r="XBD3" s="92"/>
      <c r="XBE3" s="92"/>
      <c r="XBF3" s="92"/>
      <c r="XBG3" s="92"/>
      <c r="XBH3" s="92"/>
      <c r="XBI3" s="92"/>
      <c r="XBJ3" s="92"/>
      <c r="XBK3" s="92"/>
      <c r="XBL3" s="92"/>
      <c r="XBM3" s="92"/>
      <c r="XBN3" s="92"/>
      <c r="XBO3" s="92"/>
      <c r="XBP3" s="92"/>
      <c r="XBQ3" s="92"/>
      <c r="XBR3" s="92"/>
      <c r="XBS3" s="92"/>
      <c r="XBT3" s="92"/>
      <c r="XBU3" s="92"/>
      <c r="XBV3" s="92"/>
      <c r="XBW3" s="92"/>
      <c r="XBX3" s="92"/>
      <c r="XBY3" s="92"/>
      <c r="XBZ3" s="92"/>
      <c r="XCA3" s="92"/>
      <c r="XCB3" s="92"/>
      <c r="XCC3" s="92"/>
      <c r="XCD3" s="92"/>
      <c r="XCE3" s="92"/>
      <c r="XCF3" s="92"/>
      <c r="XCG3" s="92"/>
      <c r="XCH3" s="92"/>
      <c r="XCI3" s="92"/>
      <c r="XCJ3" s="92"/>
      <c r="XCK3" s="92"/>
      <c r="XCL3" s="92"/>
      <c r="XCM3" s="92"/>
      <c r="XCN3" s="92"/>
      <c r="XCO3" s="92"/>
      <c r="XCP3" s="92"/>
      <c r="XCQ3" s="92"/>
      <c r="XCR3" s="92"/>
      <c r="XCS3" s="92"/>
      <c r="XCT3" s="92"/>
      <c r="XCU3" s="92"/>
      <c r="XCV3" s="92"/>
      <c r="XCW3" s="92"/>
      <c r="XCX3" s="92"/>
      <c r="XCY3" s="92"/>
      <c r="XCZ3" s="92"/>
      <c r="XDA3" s="92"/>
      <c r="XDB3" s="92"/>
      <c r="XDC3" s="92"/>
      <c r="XDD3" s="92"/>
      <c r="XDE3" s="92"/>
      <c r="XDF3" s="92"/>
      <c r="XDG3" s="92"/>
      <c r="XDH3" s="92"/>
      <c r="XDI3" s="92"/>
      <c r="XDJ3" s="92"/>
      <c r="XDK3" s="92"/>
      <c r="XDL3" s="92"/>
      <c r="XDM3" s="92"/>
      <c r="XDN3" s="92"/>
      <c r="XDO3" s="92"/>
      <c r="XDP3" s="92"/>
      <c r="XDQ3" s="92"/>
      <c r="XDR3" s="92"/>
      <c r="XDS3" s="92"/>
      <c r="XDT3" s="92"/>
      <c r="XDU3" s="92"/>
      <c r="XDV3" s="92"/>
      <c r="XDW3" s="92"/>
      <c r="XDX3" s="92"/>
      <c r="XDY3" s="92"/>
      <c r="XDZ3" s="92"/>
      <c r="XEA3" s="92"/>
      <c r="XEB3" s="92"/>
      <c r="XEC3" s="92"/>
      <c r="XED3" s="92"/>
      <c r="XEE3" s="92"/>
      <c r="XEF3" s="92"/>
      <c r="XEG3" s="92"/>
      <c r="XEH3" s="92"/>
      <c r="XEI3" s="92"/>
      <c r="XEJ3" s="92"/>
      <c r="XEK3" s="92"/>
      <c r="XEL3" s="92"/>
      <c r="XEM3" s="92"/>
      <c r="XEN3" s="92"/>
    </row>
    <row r="4" s="22" customFormat="1" ht="84" customHeight="1" spans="1:32">
      <c r="A4" s="34">
        <v>1</v>
      </c>
      <c r="B4" s="11" t="s">
        <v>33</v>
      </c>
      <c r="C4" s="34" t="s">
        <v>34</v>
      </c>
      <c r="D4" s="34" t="s">
        <v>35</v>
      </c>
      <c r="E4" s="48" t="s">
        <v>36</v>
      </c>
      <c r="F4" s="48" t="s">
        <v>37</v>
      </c>
      <c r="G4" s="34" t="s">
        <v>38</v>
      </c>
      <c r="H4" s="34" t="s">
        <v>39</v>
      </c>
      <c r="I4" s="15">
        <v>50</v>
      </c>
      <c r="J4" s="15">
        <v>45</v>
      </c>
      <c r="K4" s="52">
        <v>57.5</v>
      </c>
      <c r="L4" s="52">
        <v>50</v>
      </c>
      <c r="M4" s="52">
        <v>42.5</v>
      </c>
      <c r="N4" s="58">
        <v>50</v>
      </c>
      <c r="O4" s="58">
        <v>45</v>
      </c>
      <c r="P4" s="58">
        <v>39</v>
      </c>
      <c r="Q4" s="34" t="s">
        <v>40</v>
      </c>
      <c r="R4" s="34" t="s">
        <v>39</v>
      </c>
      <c r="S4" s="34" t="s">
        <v>39</v>
      </c>
      <c r="T4" s="52" t="s">
        <v>41</v>
      </c>
      <c r="U4" s="48" t="s">
        <v>42</v>
      </c>
      <c r="V4" s="34" t="s">
        <v>43</v>
      </c>
      <c r="W4" s="34">
        <v>310601005</v>
      </c>
      <c r="X4" s="34" t="s">
        <v>44</v>
      </c>
      <c r="Y4" s="12" t="s">
        <v>45</v>
      </c>
      <c r="Z4" s="12" t="s">
        <v>39</v>
      </c>
      <c r="AA4" s="14" t="s">
        <v>46</v>
      </c>
      <c r="AB4" s="12" t="s">
        <v>39</v>
      </c>
      <c r="AC4" s="18">
        <v>57.5</v>
      </c>
      <c r="AD4" s="18">
        <v>50</v>
      </c>
      <c r="AE4" s="18">
        <v>42.5</v>
      </c>
      <c r="AF4" s="14" t="s">
        <v>40</v>
      </c>
    </row>
    <row r="5" s="22" customFormat="1" ht="36" customHeight="1" spans="1:32">
      <c r="A5" s="35">
        <v>2</v>
      </c>
      <c r="B5" s="36" t="s">
        <v>47</v>
      </c>
      <c r="C5" s="34" t="s">
        <v>48</v>
      </c>
      <c r="D5" s="38" t="s">
        <v>35</v>
      </c>
      <c r="E5" s="48" t="s">
        <v>49</v>
      </c>
      <c r="F5" s="48" t="s">
        <v>37</v>
      </c>
      <c r="G5" s="34" t="s">
        <v>38</v>
      </c>
      <c r="H5" s="34" t="s">
        <v>50</v>
      </c>
      <c r="I5" s="15">
        <v>105</v>
      </c>
      <c r="J5" s="15">
        <v>95</v>
      </c>
      <c r="K5" s="53">
        <v>171.790459341631</v>
      </c>
      <c r="L5" s="53">
        <v>215.446492154311</v>
      </c>
      <c r="M5" s="53">
        <v>131.100517241379</v>
      </c>
      <c r="N5" s="58">
        <v>105</v>
      </c>
      <c r="O5" s="58">
        <v>95</v>
      </c>
      <c r="P5" s="58">
        <v>85</v>
      </c>
      <c r="Q5" s="62" t="s">
        <v>40</v>
      </c>
      <c r="R5" s="62" t="s">
        <v>39</v>
      </c>
      <c r="S5" s="62" t="s">
        <v>39</v>
      </c>
      <c r="T5" s="53" t="s">
        <v>41</v>
      </c>
      <c r="U5" s="67" t="s">
        <v>42</v>
      </c>
      <c r="V5" s="34" t="s">
        <v>51</v>
      </c>
      <c r="W5" s="34">
        <v>310601001</v>
      </c>
      <c r="X5" s="34" t="s">
        <v>52</v>
      </c>
      <c r="Y5" s="12" t="s">
        <v>53</v>
      </c>
      <c r="Z5" s="12" t="s">
        <v>39</v>
      </c>
      <c r="AA5" s="14" t="s">
        <v>38</v>
      </c>
      <c r="AB5" s="12" t="s">
        <v>54</v>
      </c>
      <c r="AC5" s="18">
        <v>74.8</v>
      </c>
      <c r="AD5" s="18">
        <v>65</v>
      </c>
      <c r="AE5" s="18">
        <v>55.3</v>
      </c>
      <c r="AF5" s="14" t="s">
        <v>40</v>
      </c>
    </row>
    <row r="6" s="22" customFormat="1" ht="28" customHeight="1" spans="1:33">
      <c r="A6" s="39"/>
      <c r="B6" s="40"/>
      <c r="C6" s="34"/>
      <c r="D6" s="38"/>
      <c r="E6" s="48"/>
      <c r="F6" s="48"/>
      <c r="G6" s="34"/>
      <c r="H6" s="34"/>
      <c r="I6" s="54"/>
      <c r="J6" s="54"/>
      <c r="K6" s="53"/>
      <c r="L6" s="53"/>
      <c r="M6" s="53"/>
      <c r="N6" s="58"/>
      <c r="O6" s="58"/>
      <c r="P6" s="58"/>
      <c r="Q6" s="62"/>
      <c r="R6" s="62"/>
      <c r="S6" s="62"/>
      <c r="T6" s="53"/>
      <c r="U6" s="67"/>
      <c r="V6" s="34" t="s">
        <v>55</v>
      </c>
      <c r="W6" s="34">
        <v>31060100101</v>
      </c>
      <c r="X6" s="34" t="s">
        <v>56</v>
      </c>
      <c r="Y6" s="12" t="s">
        <v>39</v>
      </c>
      <c r="Z6" s="12" t="s">
        <v>39</v>
      </c>
      <c r="AA6" s="14" t="s">
        <v>38</v>
      </c>
      <c r="AB6" s="12" t="s">
        <v>57</v>
      </c>
      <c r="AC6" s="18">
        <v>40.3</v>
      </c>
      <c r="AD6" s="18">
        <v>35</v>
      </c>
      <c r="AE6" s="18">
        <v>29.8</v>
      </c>
      <c r="AF6" s="14" t="s">
        <v>40</v>
      </c>
      <c r="AG6" s="23" t="s">
        <v>58</v>
      </c>
    </row>
    <row r="7" s="22" customFormat="1" ht="28" customHeight="1" spans="1:33">
      <c r="A7" s="39"/>
      <c r="B7" s="40"/>
      <c r="C7" s="34"/>
      <c r="D7" s="38"/>
      <c r="E7" s="48"/>
      <c r="F7" s="48"/>
      <c r="G7" s="34"/>
      <c r="H7" s="34"/>
      <c r="I7" s="54"/>
      <c r="J7" s="54"/>
      <c r="K7" s="53"/>
      <c r="L7" s="53"/>
      <c r="M7" s="53"/>
      <c r="N7" s="58"/>
      <c r="O7" s="58"/>
      <c r="P7" s="58"/>
      <c r="Q7" s="62"/>
      <c r="R7" s="62"/>
      <c r="S7" s="62"/>
      <c r="T7" s="53"/>
      <c r="U7" s="67"/>
      <c r="V7" s="34" t="s">
        <v>59</v>
      </c>
      <c r="W7" s="34">
        <v>310601008</v>
      </c>
      <c r="X7" s="34" t="s">
        <v>60</v>
      </c>
      <c r="Y7" s="12" t="s">
        <v>61</v>
      </c>
      <c r="Z7" s="12" t="s">
        <v>39</v>
      </c>
      <c r="AA7" s="14" t="s">
        <v>46</v>
      </c>
      <c r="AB7" s="12" t="s">
        <v>39</v>
      </c>
      <c r="AC7" s="18">
        <v>34.5</v>
      </c>
      <c r="AD7" s="18">
        <v>30</v>
      </c>
      <c r="AE7" s="18">
        <v>25.5</v>
      </c>
      <c r="AF7" s="14" t="s">
        <v>40</v>
      </c>
      <c r="AG7" s="23"/>
    </row>
    <row r="8" s="22" customFormat="1" ht="28" customHeight="1" spans="1:33">
      <c r="A8" s="39"/>
      <c r="B8" s="40"/>
      <c r="C8" s="34"/>
      <c r="D8" s="38"/>
      <c r="E8" s="48"/>
      <c r="F8" s="48"/>
      <c r="G8" s="34"/>
      <c r="H8" s="34"/>
      <c r="I8" s="54"/>
      <c r="J8" s="54"/>
      <c r="K8" s="53"/>
      <c r="L8" s="53"/>
      <c r="M8" s="53"/>
      <c r="N8" s="58"/>
      <c r="O8" s="58"/>
      <c r="P8" s="58"/>
      <c r="Q8" s="62"/>
      <c r="R8" s="62"/>
      <c r="S8" s="62"/>
      <c r="T8" s="53"/>
      <c r="U8" s="67"/>
      <c r="V8" s="34" t="s">
        <v>62</v>
      </c>
      <c r="W8" s="34">
        <v>310601009</v>
      </c>
      <c r="X8" s="34" t="s">
        <v>63</v>
      </c>
      <c r="Y8" s="12" t="s">
        <v>39</v>
      </c>
      <c r="Z8" s="12" t="s">
        <v>39</v>
      </c>
      <c r="AA8" s="14" t="s">
        <v>46</v>
      </c>
      <c r="AB8" s="12" t="s">
        <v>39</v>
      </c>
      <c r="AC8" s="18">
        <v>34.5</v>
      </c>
      <c r="AD8" s="18">
        <v>30</v>
      </c>
      <c r="AE8" s="18">
        <v>25.5</v>
      </c>
      <c r="AF8" s="14" t="s">
        <v>40</v>
      </c>
      <c r="AG8" s="23"/>
    </row>
    <row r="9" s="22" customFormat="1" ht="33" customHeight="1" spans="1:32">
      <c r="A9" s="41"/>
      <c r="B9" s="42"/>
      <c r="C9" s="34" t="s">
        <v>64</v>
      </c>
      <c r="D9" s="38"/>
      <c r="E9" s="48"/>
      <c r="F9" s="48"/>
      <c r="G9" s="34"/>
      <c r="H9" s="34"/>
      <c r="I9" s="15">
        <f>I5*2</f>
        <v>210</v>
      </c>
      <c r="J9" s="15">
        <f>J5*2</f>
        <v>190</v>
      </c>
      <c r="K9" s="52">
        <v>115</v>
      </c>
      <c r="L9" s="52">
        <v>100</v>
      </c>
      <c r="M9" s="52">
        <v>85</v>
      </c>
      <c r="N9" s="58">
        <v>210</v>
      </c>
      <c r="O9" s="58">
        <v>190</v>
      </c>
      <c r="P9" s="58">
        <v>170</v>
      </c>
      <c r="Q9" s="62"/>
      <c r="R9" s="62"/>
      <c r="S9" s="62"/>
      <c r="T9" s="52"/>
      <c r="U9" s="67" t="s">
        <v>50</v>
      </c>
      <c r="V9" s="34" t="s">
        <v>65</v>
      </c>
      <c r="W9" s="34">
        <v>310601012</v>
      </c>
      <c r="X9" s="34" t="s">
        <v>66</v>
      </c>
      <c r="Y9" s="12" t="s">
        <v>67</v>
      </c>
      <c r="Z9" s="12" t="s">
        <v>39</v>
      </c>
      <c r="AA9" s="14" t="s">
        <v>46</v>
      </c>
      <c r="AB9" s="12" t="s">
        <v>39</v>
      </c>
      <c r="AC9" s="18">
        <v>115</v>
      </c>
      <c r="AD9" s="18">
        <v>100</v>
      </c>
      <c r="AE9" s="18">
        <v>85</v>
      </c>
      <c r="AF9" s="14" t="s">
        <v>40</v>
      </c>
    </row>
    <row r="10" s="22" customFormat="1" ht="33" customHeight="1" spans="1:32">
      <c r="A10" s="34" t="s">
        <v>68</v>
      </c>
      <c r="B10" s="11" t="s">
        <v>69</v>
      </c>
      <c r="C10" s="34" t="s">
        <v>70</v>
      </c>
      <c r="D10" s="38" t="s">
        <v>35</v>
      </c>
      <c r="E10" s="48" t="s">
        <v>39</v>
      </c>
      <c r="F10" s="48" t="s">
        <v>39</v>
      </c>
      <c r="G10" s="34" t="s">
        <v>38</v>
      </c>
      <c r="H10" s="34" t="s">
        <v>39</v>
      </c>
      <c r="I10" s="15">
        <v>32</v>
      </c>
      <c r="J10" s="15">
        <v>29</v>
      </c>
      <c r="K10" s="52"/>
      <c r="L10" s="52"/>
      <c r="M10" s="52"/>
      <c r="N10" s="18">
        <v>32</v>
      </c>
      <c r="O10" s="18">
        <v>29</v>
      </c>
      <c r="P10" s="18">
        <v>26</v>
      </c>
      <c r="Q10" s="34" t="s">
        <v>40</v>
      </c>
      <c r="R10" s="34" t="s">
        <v>39</v>
      </c>
      <c r="S10" s="34" t="s">
        <v>39</v>
      </c>
      <c r="T10" s="52"/>
      <c r="U10" s="48" t="s">
        <v>71</v>
      </c>
      <c r="V10" s="34"/>
      <c r="W10" s="34"/>
      <c r="X10" s="34"/>
      <c r="Y10" s="12"/>
      <c r="Z10" s="12"/>
      <c r="AA10" s="14"/>
      <c r="AB10" s="12"/>
      <c r="AC10" s="72"/>
      <c r="AD10" s="72"/>
      <c r="AE10" s="72"/>
      <c r="AF10" s="14"/>
    </row>
    <row r="11" s="22" customFormat="1" ht="75" customHeight="1" spans="1:32">
      <c r="A11" s="34" t="s">
        <v>68</v>
      </c>
      <c r="B11" s="11" t="s">
        <v>72</v>
      </c>
      <c r="C11" s="34" t="s">
        <v>73</v>
      </c>
      <c r="D11" s="38" t="s">
        <v>35</v>
      </c>
      <c r="E11" s="48" t="s">
        <v>39</v>
      </c>
      <c r="F11" s="48" t="s">
        <v>39</v>
      </c>
      <c r="G11" s="34" t="s">
        <v>38</v>
      </c>
      <c r="H11" s="34" t="s">
        <v>39</v>
      </c>
      <c r="I11" s="15">
        <v>65</v>
      </c>
      <c r="J11" s="15">
        <v>59</v>
      </c>
      <c r="K11" s="52">
        <v>59</v>
      </c>
      <c r="L11" s="52">
        <v>55</v>
      </c>
      <c r="M11" s="52">
        <v>51</v>
      </c>
      <c r="N11" s="60">
        <v>65</v>
      </c>
      <c r="O11" s="60">
        <v>59</v>
      </c>
      <c r="P11" s="60">
        <v>51</v>
      </c>
      <c r="Q11" s="34" t="s">
        <v>40</v>
      </c>
      <c r="R11" s="34" t="s">
        <v>39</v>
      </c>
      <c r="S11" s="34" t="s">
        <v>39</v>
      </c>
      <c r="T11" s="52"/>
      <c r="U11" s="48" t="s">
        <v>74</v>
      </c>
      <c r="V11" s="34" t="s">
        <v>75</v>
      </c>
      <c r="W11" s="34">
        <v>310602001</v>
      </c>
      <c r="X11" s="34" t="s">
        <v>76</v>
      </c>
      <c r="Y11" s="12" t="s">
        <v>39</v>
      </c>
      <c r="Z11" s="12" t="s">
        <v>39</v>
      </c>
      <c r="AA11" s="14" t="s">
        <v>38</v>
      </c>
      <c r="AB11" s="12" t="s">
        <v>77</v>
      </c>
      <c r="AC11" s="18">
        <v>46</v>
      </c>
      <c r="AD11" s="18">
        <v>40</v>
      </c>
      <c r="AE11" s="18">
        <v>34</v>
      </c>
      <c r="AF11" s="14" t="s">
        <v>40</v>
      </c>
    </row>
    <row r="12" s="22" customFormat="1" ht="31" customHeight="1" spans="1:32">
      <c r="A12" s="34">
        <v>3</v>
      </c>
      <c r="B12" s="11" t="s">
        <v>78</v>
      </c>
      <c r="C12" s="34" t="s">
        <v>79</v>
      </c>
      <c r="D12" s="38" t="s">
        <v>35</v>
      </c>
      <c r="E12" s="48" t="s">
        <v>80</v>
      </c>
      <c r="F12" s="48" t="s">
        <v>37</v>
      </c>
      <c r="G12" s="34" t="s">
        <v>38</v>
      </c>
      <c r="H12" s="11"/>
      <c r="I12" s="15">
        <v>100</v>
      </c>
      <c r="J12" s="15">
        <v>90</v>
      </c>
      <c r="K12" s="52">
        <v>115</v>
      </c>
      <c r="L12" s="52">
        <v>100</v>
      </c>
      <c r="M12" s="52">
        <v>85</v>
      </c>
      <c r="N12" s="58">
        <v>100</v>
      </c>
      <c r="O12" s="58">
        <v>90</v>
      </c>
      <c r="P12" s="58">
        <v>77</v>
      </c>
      <c r="Q12" s="34" t="s">
        <v>40</v>
      </c>
      <c r="R12" s="34" t="s">
        <v>39</v>
      </c>
      <c r="S12" s="34" t="s">
        <v>39</v>
      </c>
      <c r="T12" s="52" t="s">
        <v>41</v>
      </c>
      <c r="U12" s="48" t="s">
        <v>42</v>
      </c>
      <c r="V12" s="34" t="s">
        <v>81</v>
      </c>
      <c r="W12" s="34">
        <v>310601010</v>
      </c>
      <c r="X12" s="34" t="s">
        <v>82</v>
      </c>
      <c r="Y12" s="12" t="s">
        <v>39</v>
      </c>
      <c r="Z12" s="12" t="s">
        <v>39</v>
      </c>
      <c r="AA12" s="14" t="s">
        <v>46</v>
      </c>
      <c r="AB12" s="12" t="s">
        <v>39</v>
      </c>
      <c r="AC12" s="18">
        <v>115</v>
      </c>
      <c r="AD12" s="18">
        <v>100</v>
      </c>
      <c r="AE12" s="18">
        <v>85</v>
      </c>
      <c r="AF12" s="14" t="s">
        <v>40</v>
      </c>
    </row>
    <row r="13" s="22" customFormat="1" ht="31" customHeight="1" spans="1:32">
      <c r="A13" s="34"/>
      <c r="B13" s="11"/>
      <c r="C13" s="34"/>
      <c r="D13" s="38"/>
      <c r="E13" s="48"/>
      <c r="F13" s="48"/>
      <c r="G13" s="34"/>
      <c r="H13" s="11"/>
      <c r="I13" s="54"/>
      <c r="J13" s="54"/>
      <c r="K13" s="52"/>
      <c r="L13" s="52"/>
      <c r="M13" s="52"/>
      <c r="N13" s="58"/>
      <c r="O13" s="58"/>
      <c r="P13" s="58"/>
      <c r="Q13" s="34"/>
      <c r="R13" s="34"/>
      <c r="S13" s="34"/>
      <c r="T13" s="52"/>
      <c r="U13" s="48"/>
      <c r="V13" s="34" t="s">
        <v>83</v>
      </c>
      <c r="W13" s="34">
        <v>310601011</v>
      </c>
      <c r="X13" s="34" t="s">
        <v>84</v>
      </c>
      <c r="Y13" s="12" t="s">
        <v>85</v>
      </c>
      <c r="Z13" s="12" t="s">
        <v>39</v>
      </c>
      <c r="AA13" s="14" t="s">
        <v>46</v>
      </c>
      <c r="AB13" s="12" t="s">
        <v>39</v>
      </c>
      <c r="AC13" s="18">
        <v>115</v>
      </c>
      <c r="AD13" s="18">
        <v>100</v>
      </c>
      <c r="AE13" s="18">
        <v>85</v>
      </c>
      <c r="AF13" s="14" t="s">
        <v>40</v>
      </c>
    </row>
    <row r="14" s="22" customFormat="1" ht="51" spans="1:32">
      <c r="A14" s="34">
        <v>4</v>
      </c>
      <c r="B14" s="11" t="s">
        <v>86</v>
      </c>
      <c r="C14" s="34" t="s">
        <v>87</v>
      </c>
      <c r="D14" s="38" t="s">
        <v>35</v>
      </c>
      <c r="E14" s="48" t="s">
        <v>88</v>
      </c>
      <c r="F14" s="48" t="s">
        <v>37</v>
      </c>
      <c r="G14" s="34" t="s">
        <v>38</v>
      </c>
      <c r="H14" s="34" t="s">
        <v>39</v>
      </c>
      <c r="I14" s="15">
        <v>60</v>
      </c>
      <c r="J14" s="15">
        <v>54</v>
      </c>
      <c r="K14" s="52">
        <v>69</v>
      </c>
      <c r="L14" s="52">
        <v>60</v>
      </c>
      <c r="M14" s="52">
        <v>51</v>
      </c>
      <c r="N14" s="58">
        <v>60</v>
      </c>
      <c r="O14" s="58">
        <v>54</v>
      </c>
      <c r="P14" s="58">
        <v>46</v>
      </c>
      <c r="Q14" s="34" t="s">
        <v>40</v>
      </c>
      <c r="R14" s="34" t="s">
        <v>39</v>
      </c>
      <c r="S14" s="34" t="s">
        <v>39</v>
      </c>
      <c r="T14" s="52" t="s">
        <v>41</v>
      </c>
      <c r="U14" s="48" t="s">
        <v>42</v>
      </c>
      <c r="V14" s="34" t="s">
        <v>89</v>
      </c>
      <c r="W14" s="34">
        <v>310601002</v>
      </c>
      <c r="X14" s="34" t="s">
        <v>90</v>
      </c>
      <c r="Y14" s="12" t="s">
        <v>91</v>
      </c>
      <c r="Z14" s="12" t="s">
        <v>39</v>
      </c>
      <c r="AA14" s="14" t="s">
        <v>46</v>
      </c>
      <c r="AB14" s="12" t="s">
        <v>39</v>
      </c>
      <c r="AC14" s="18">
        <v>69</v>
      </c>
      <c r="AD14" s="18">
        <v>60</v>
      </c>
      <c r="AE14" s="18">
        <v>51</v>
      </c>
      <c r="AF14" s="14" t="s">
        <v>40</v>
      </c>
    </row>
    <row r="15" s="22" customFormat="1" ht="49" customHeight="1" spans="1:32">
      <c r="A15" s="34">
        <v>5</v>
      </c>
      <c r="B15" s="11" t="s">
        <v>92</v>
      </c>
      <c r="C15" s="34" t="s">
        <v>93</v>
      </c>
      <c r="D15" s="38" t="s">
        <v>35</v>
      </c>
      <c r="E15" s="48" t="s">
        <v>94</v>
      </c>
      <c r="F15" s="48" t="s">
        <v>37</v>
      </c>
      <c r="G15" s="34" t="s">
        <v>38</v>
      </c>
      <c r="H15" s="34" t="s">
        <v>39</v>
      </c>
      <c r="I15" s="15">
        <v>110</v>
      </c>
      <c r="J15" s="15">
        <v>99</v>
      </c>
      <c r="K15" s="53">
        <v>99.9316369160653</v>
      </c>
      <c r="L15" s="53">
        <v>88.6980491942324</v>
      </c>
      <c r="M15" s="53">
        <v>76.3598901098901</v>
      </c>
      <c r="N15" s="18">
        <v>100</v>
      </c>
      <c r="O15" s="18">
        <v>90</v>
      </c>
      <c r="P15" s="18">
        <v>77</v>
      </c>
      <c r="Q15" s="34" t="s">
        <v>40</v>
      </c>
      <c r="R15" s="34" t="s">
        <v>39</v>
      </c>
      <c r="S15" s="34" t="s">
        <v>39</v>
      </c>
      <c r="T15" s="53" t="s">
        <v>95</v>
      </c>
      <c r="U15" s="48" t="s">
        <v>95</v>
      </c>
      <c r="V15" s="34" t="s">
        <v>96</v>
      </c>
      <c r="W15" s="34">
        <v>310601004</v>
      </c>
      <c r="X15" s="34" t="s">
        <v>97</v>
      </c>
      <c r="Y15" s="12" t="s">
        <v>98</v>
      </c>
      <c r="Z15" s="12" t="s">
        <v>39</v>
      </c>
      <c r="AA15" s="14" t="s">
        <v>46</v>
      </c>
      <c r="AB15" s="12" t="s">
        <v>39</v>
      </c>
      <c r="AC15" s="18">
        <v>57.5</v>
      </c>
      <c r="AD15" s="18">
        <v>50</v>
      </c>
      <c r="AE15" s="18">
        <v>42.5</v>
      </c>
      <c r="AF15" s="14" t="s">
        <v>40</v>
      </c>
    </row>
    <row r="16" s="22" customFormat="1" ht="49" customHeight="1" spans="1:32">
      <c r="A16" s="34"/>
      <c r="B16" s="11"/>
      <c r="C16" s="34"/>
      <c r="D16" s="38"/>
      <c r="E16" s="48"/>
      <c r="F16" s="48"/>
      <c r="G16" s="34"/>
      <c r="H16" s="34"/>
      <c r="I16" s="54"/>
      <c r="J16" s="54"/>
      <c r="K16" s="53"/>
      <c r="L16" s="53"/>
      <c r="M16" s="53"/>
      <c r="N16" s="18"/>
      <c r="O16" s="18"/>
      <c r="P16" s="18"/>
      <c r="Q16" s="34"/>
      <c r="R16" s="34"/>
      <c r="S16" s="34"/>
      <c r="T16" s="53"/>
      <c r="U16" s="48"/>
      <c r="V16" s="34" t="s">
        <v>99</v>
      </c>
      <c r="W16" s="34">
        <v>310601006</v>
      </c>
      <c r="X16" s="34" t="s">
        <v>100</v>
      </c>
      <c r="Y16" s="12" t="s">
        <v>39</v>
      </c>
      <c r="Z16" s="12" t="s">
        <v>39</v>
      </c>
      <c r="AA16" s="14" t="s">
        <v>46</v>
      </c>
      <c r="AB16" s="12" t="s">
        <v>39</v>
      </c>
      <c r="AC16" s="18">
        <v>115</v>
      </c>
      <c r="AD16" s="18">
        <v>100</v>
      </c>
      <c r="AE16" s="18">
        <v>85</v>
      </c>
      <c r="AF16" s="14" t="s">
        <v>40</v>
      </c>
    </row>
    <row r="17" s="22" customFormat="1" ht="49" customHeight="1" spans="1:33">
      <c r="A17" s="34"/>
      <c r="B17" s="11"/>
      <c r="C17" s="34"/>
      <c r="D17" s="38"/>
      <c r="E17" s="48"/>
      <c r="F17" s="48"/>
      <c r="G17" s="34"/>
      <c r="H17" s="34"/>
      <c r="I17" s="54"/>
      <c r="J17" s="54"/>
      <c r="K17" s="53"/>
      <c r="L17" s="53"/>
      <c r="M17" s="53"/>
      <c r="N17" s="18"/>
      <c r="O17" s="18"/>
      <c r="P17" s="18"/>
      <c r="Q17" s="34"/>
      <c r="R17" s="34"/>
      <c r="S17" s="34"/>
      <c r="T17" s="53"/>
      <c r="U17" s="48"/>
      <c r="V17" s="34" t="s">
        <v>101</v>
      </c>
      <c r="W17" s="34">
        <v>310601007</v>
      </c>
      <c r="X17" s="34" t="s">
        <v>102</v>
      </c>
      <c r="Y17" s="12" t="s">
        <v>39</v>
      </c>
      <c r="Z17" s="12" t="s">
        <v>39</v>
      </c>
      <c r="AA17" s="14" t="s">
        <v>46</v>
      </c>
      <c r="AB17" s="12" t="s">
        <v>39</v>
      </c>
      <c r="AC17" s="72" t="s">
        <v>39</v>
      </c>
      <c r="AD17" s="72" t="s">
        <v>39</v>
      </c>
      <c r="AE17" s="72" t="s">
        <v>39</v>
      </c>
      <c r="AF17" s="14" t="s">
        <v>39</v>
      </c>
      <c r="AG17" s="22" t="s">
        <v>58</v>
      </c>
    </row>
    <row r="18" s="22" customFormat="1" ht="75" customHeight="1" spans="1:32">
      <c r="A18" s="34">
        <v>6</v>
      </c>
      <c r="B18" s="11" t="s">
        <v>103</v>
      </c>
      <c r="C18" s="34" t="s">
        <v>104</v>
      </c>
      <c r="D18" s="38" t="s">
        <v>35</v>
      </c>
      <c r="E18" s="48" t="s">
        <v>105</v>
      </c>
      <c r="F18" s="48" t="s">
        <v>37</v>
      </c>
      <c r="G18" s="34" t="s">
        <v>38</v>
      </c>
      <c r="H18" s="34" t="s">
        <v>39</v>
      </c>
      <c r="I18" s="15">
        <v>160</v>
      </c>
      <c r="J18" s="15">
        <v>144</v>
      </c>
      <c r="K18" s="52">
        <v>184</v>
      </c>
      <c r="L18" s="52">
        <v>160</v>
      </c>
      <c r="M18" s="52">
        <v>136</v>
      </c>
      <c r="N18" s="58">
        <v>160</v>
      </c>
      <c r="O18" s="58">
        <v>144</v>
      </c>
      <c r="P18" s="58">
        <v>123</v>
      </c>
      <c r="Q18" s="34" t="s">
        <v>40</v>
      </c>
      <c r="R18" s="34" t="s">
        <v>39</v>
      </c>
      <c r="S18" s="34" t="s">
        <v>39</v>
      </c>
      <c r="T18" s="52" t="s">
        <v>41</v>
      </c>
      <c r="U18" s="48" t="s">
        <v>42</v>
      </c>
      <c r="V18" s="34" t="s">
        <v>106</v>
      </c>
      <c r="W18" s="34">
        <v>310601003</v>
      </c>
      <c r="X18" s="34" t="s">
        <v>107</v>
      </c>
      <c r="Y18" s="12" t="s">
        <v>108</v>
      </c>
      <c r="Z18" s="12" t="s">
        <v>39</v>
      </c>
      <c r="AA18" s="14" t="s">
        <v>46</v>
      </c>
      <c r="AB18" s="12" t="s">
        <v>109</v>
      </c>
      <c r="AC18" s="18">
        <v>184</v>
      </c>
      <c r="AD18" s="18">
        <v>160</v>
      </c>
      <c r="AE18" s="18">
        <v>136</v>
      </c>
      <c r="AF18" s="14" t="s">
        <v>40</v>
      </c>
    </row>
    <row r="19" s="22" customFormat="1" ht="75" customHeight="1" spans="1:32">
      <c r="A19" s="34">
        <v>7</v>
      </c>
      <c r="B19" s="11" t="s">
        <v>110</v>
      </c>
      <c r="C19" s="34" t="s">
        <v>111</v>
      </c>
      <c r="D19" s="38" t="s">
        <v>35</v>
      </c>
      <c r="E19" s="48" t="s">
        <v>112</v>
      </c>
      <c r="F19" s="48" t="s">
        <v>37</v>
      </c>
      <c r="G19" s="34" t="s">
        <v>38</v>
      </c>
      <c r="H19" s="34" t="s">
        <v>39</v>
      </c>
      <c r="I19" s="15">
        <v>12</v>
      </c>
      <c r="J19" s="15">
        <v>11</v>
      </c>
      <c r="K19" s="52">
        <v>11.5</v>
      </c>
      <c r="L19" s="52">
        <v>10</v>
      </c>
      <c r="M19" s="52">
        <v>8.5</v>
      </c>
      <c r="N19" s="18">
        <v>11.5</v>
      </c>
      <c r="O19" s="18">
        <v>10</v>
      </c>
      <c r="P19" s="18">
        <v>8.5</v>
      </c>
      <c r="Q19" s="34" t="s">
        <v>40</v>
      </c>
      <c r="R19" s="34" t="s">
        <v>39</v>
      </c>
      <c r="S19" s="34" t="s">
        <v>39</v>
      </c>
      <c r="T19" s="52" t="s">
        <v>113</v>
      </c>
      <c r="U19" s="48" t="s">
        <v>113</v>
      </c>
      <c r="V19" s="38" t="s">
        <v>114</v>
      </c>
      <c r="W19" s="11">
        <v>310602002</v>
      </c>
      <c r="X19" s="34" t="s">
        <v>115</v>
      </c>
      <c r="Y19" s="12"/>
      <c r="Z19" s="12"/>
      <c r="AA19" s="14"/>
      <c r="AB19" s="12"/>
      <c r="AC19" s="72">
        <v>11.5</v>
      </c>
      <c r="AD19" s="72">
        <v>10</v>
      </c>
      <c r="AE19" s="72">
        <v>8.5</v>
      </c>
      <c r="AF19" s="14"/>
    </row>
    <row r="20" s="22" customFormat="1" ht="75" customHeight="1" spans="1:32">
      <c r="A20" s="34">
        <v>8</v>
      </c>
      <c r="B20" s="11" t="s">
        <v>116</v>
      </c>
      <c r="C20" s="34" t="s">
        <v>117</v>
      </c>
      <c r="D20" s="38" t="s">
        <v>35</v>
      </c>
      <c r="E20" s="48" t="s">
        <v>118</v>
      </c>
      <c r="F20" s="48" t="s">
        <v>37</v>
      </c>
      <c r="G20" s="34" t="s">
        <v>38</v>
      </c>
      <c r="H20" s="34" t="s">
        <v>39</v>
      </c>
      <c r="I20" s="15">
        <v>160</v>
      </c>
      <c r="J20" s="15">
        <v>144</v>
      </c>
      <c r="K20" s="52"/>
      <c r="L20" s="52"/>
      <c r="M20" s="52"/>
      <c r="N20" s="81">
        <v>150</v>
      </c>
      <c r="O20" s="81">
        <v>135</v>
      </c>
      <c r="P20" s="81">
        <v>115</v>
      </c>
      <c r="Q20" s="82" t="s">
        <v>119</v>
      </c>
      <c r="R20" s="82" t="s">
        <v>39</v>
      </c>
      <c r="S20" s="82" t="s">
        <v>39</v>
      </c>
      <c r="T20" s="52" t="s">
        <v>120</v>
      </c>
      <c r="U20" s="83" t="s">
        <v>121</v>
      </c>
      <c r="V20" s="34"/>
      <c r="W20" s="34"/>
      <c r="X20" s="34"/>
      <c r="Y20" s="12"/>
      <c r="Z20" s="12"/>
      <c r="AA20" s="14"/>
      <c r="AB20" s="12"/>
      <c r="AC20" s="72"/>
      <c r="AD20" s="72"/>
      <c r="AE20" s="72"/>
      <c r="AF20" s="14"/>
    </row>
    <row r="21" s="22" customFormat="1" ht="54" customHeight="1" spans="1:32">
      <c r="A21" s="34">
        <v>9</v>
      </c>
      <c r="B21" s="11" t="s">
        <v>122</v>
      </c>
      <c r="C21" s="34" t="s">
        <v>123</v>
      </c>
      <c r="D21" s="38" t="s">
        <v>35</v>
      </c>
      <c r="E21" s="48" t="s">
        <v>124</v>
      </c>
      <c r="F21" s="48" t="s">
        <v>37</v>
      </c>
      <c r="G21" s="34" t="s">
        <v>38</v>
      </c>
      <c r="H21" s="34" t="s">
        <v>39</v>
      </c>
      <c r="I21" s="15">
        <v>60</v>
      </c>
      <c r="J21" s="15">
        <v>54</v>
      </c>
      <c r="K21" s="52">
        <v>69</v>
      </c>
      <c r="L21" s="52">
        <v>60</v>
      </c>
      <c r="M21" s="52">
        <v>51</v>
      </c>
      <c r="N21" s="58">
        <v>60</v>
      </c>
      <c r="O21" s="58">
        <v>54</v>
      </c>
      <c r="P21" s="58">
        <v>46</v>
      </c>
      <c r="Q21" s="34" t="s">
        <v>40</v>
      </c>
      <c r="R21" s="34" t="s">
        <v>39</v>
      </c>
      <c r="S21" s="34" t="s">
        <v>39</v>
      </c>
      <c r="T21" s="52" t="s">
        <v>41</v>
      </c>
      <c r="U21" s="48" t="s">
        <v>42</v>
      </c>
      <c r="V21" s="34" t="s">
        <v>125</v>
      </c>
      <c r="W21" s="34">
        <v>310602003</v>
      </c>
      <c r="X21" s="34" t="s">
        <v>126</v>
      </c>
      <c r="Y21" s="12" t="s">
        <v>127</v>
      </c>
      <c r="Z21" s="12" t="s">
        <v>39</v>
      </c>
      <c r="AA21" s="14" t="s">
        <v>38</v>
      </c>
      <c r="AB21" s="12" t="s">
        <v>39</v>
      </c>
      <c r="AC21" s="18">
        <v>69</v>
      </c>
      <c r="AD21" s="18">
        <v>60</v>
      </c>
      <c r="AE21" s="18">
        <v>51</v>
      </c>
      <c r="AF21" s="14" t="s">
        <v>40</v>
      </c>
    </row>
    <row r="22" s="22" customFormat="1" ht="54" customHeight="1" spans="1:32">
      <c r="A22" s="34">
        <v>10</v>
      </c>
      <c r="B22" s="11" t="s">
        <v>128</v>
      </c>
      <c r="C22" s="34" t="s">
        <v>129</v>
      </c>
      <c r="D22" s="38" t="s">
        <v>35</v>
      </c>
      <c r="E22" s="48" t="s">
        <v>130</v>
      </c>
      <c r="F22" s="48" t="s">
        <v>37</v>
      </c>
      <c r="G22" s="34" t="s">
        <v>38</v>
      </c>
      <c r="H22" s="34" t="s">
        <v>39</v>
      </c>
      <c r="I22" s="15">
        <v>60</v>
      </c>
      <c r="J22" s="15">
        <v>54</v>
      </c>
      <c r="K22" s="52">
        <v>69</v>
      </c>
      <c r="L22" s="52">
        <v>60</v>
      </c>
      <c r="M22" s="52">
        <v>51</v>
      </c>
      <c r="N22" s="58">
        <v>60</v>
      </c>
      <c r="O22" s="58">
        <v>54</v>
      </c>
      <c r="P22" s="58">
        <v>46</v>
      </c>
      <c r="Q22" s="34" t="s">
        <v>40</v>
      </c>
      <c r="R22" s="34" t="s">
        <v>39</v>
      </c>
      <c r="S22" s="34" t="s">
        <v>39</v>
      </c>
      <c r="T22" s="52" t="s">
        <v>41</v>
      </c>
      <c r="U22" s="48" t="s">
        <v>42</v>
      </c>
      <c r="V22" s="34" t="s">
        <v>125</v>
      </c>
      <c r="W22" s="34">
        <v>310602003</v>
      </c>
      <c r="X22" s="34" t="s">
        <v>126</v>
      </c>
      <c r="Y22" s="12" t="s">
        <v>127</v>
      </c>
      <c r="Z22" s="12" t="s">
        <v>39</v>
      </c>
      <c r="AA22" s="14" t="s">
        <v>38</v>
      </c>
      <c r="AB22" s="12" t="s">
        <v>39</v>
      </c>
      <c r="AC22" s="18">
        <v>69</v>
      </c>
      <c r="AD22" s="18">
        <v>60</v>
      </c>
      <c r="AE22" s="18">
        <v>51</v>
      </c>
      <c r="AF22" s="14" t="s">
        <v>40</v>
      </c>
    </row>
    <row r="23" s="22" customFormat="1" ht="108" customHeight="1" spans="1:32">
      <c r="A23" s="34">
        <v>11</v>
      </c>
      <c r="B23" s="11" t="s">
        <v>131</v>
      </c>
      <c r="C23" s="34" t="s">
        <v>132</v>
      </c>
      <c r="D23" s="38" t="s">
        <v>35</v>
      </c>
      <c r="E23" s="48" t="s">
        <v>133</v>
      </c>
      <c r="F23" s="48" t="s">
        <v>37</v>
      </c>
      <c r="G23" s="34" t="s">
        <v>38</v>
      </c>
      <c r="H23" s="34" t="s">
        <v>134</v>
      </c>
      <c r="I23" s="15">
        <v>400</v>
      </c>
      <c r="J23" s="15">
        <v>360</v>
      </c>
      <c r="K23" s="52">
        <v>379.5</v>
      </c>
      <c r="L23" s="52">
        <v>356.5</v>
      </c>
      <c r="M23" s="52">
        <v>333.5</v>
      </c>
      <c r="N23" s="18">
        <v>380</v>
      </c>
      <c r="O23" s="18">
        <v>357</v>
      </c>
      <c r="P23" s="18">
        <v>335</v>
      </c>
      <c r="Q23" s="34" t="s">
        <v>40</v>
      </c>
      <c r="R23" s="34" t="s">
        <v>39</v>
      </c>
      <c r="S23" s="34" t="s">
        <v>39</v>
      </c>
      <c r="T23" s="52" t="s">
        <v>95</v>
      </c>
      <c r="U23" s="48" t="s">
        <v>135</v>
      </c>
      <c r="V23" s="34" t="s">
        <v>136</v>
      </c>
      <c r="W23" s="34">
        <v>310604001</v>
      </c>
      <c r="X23" s="34" t="s">
        <v>137</v>
      </c>
      <c r="Y23" s="12" t="s">
        <v>138</v>
      </c>
      <c r="Z23" s="12" t="s">
        <v>39</v>
      </c>
      <c r="AA23" s="14" t="s">
        <v>139</v>
      </c>
      <c r="AB23" s="12" t="s">
        <v>39</v>
      </c>
      <c r="AC23" s="18">
        <v>33</v>
      </c>
      <c r="AD23" s="18">
        <v>31</v>
      </c>
      <c r="AE23" s="18">
        <v>29</v>
      </c>
      <c r="AF23" s="14" t="s">
        <v>40</v>
      </c>
    </row>
    <row r="24" s="22" customFormat="1" ht="33" customHeight="1" spans="1:32">
      <c r="A24" s="34" t="s">
        <v>68</v>
      </c>
      <c r="B24" s="38" t="s">
        <v>140</v>
      </c>
      <c r="C24" s="34" t="s">
        <v>141</v>
      </c>
      <c r="D24" s="38"/>
      <c r="E24" s="48" t="s">
        <v>39</v>
      </c>
      <c r="F24" s="48" t="s">
        <v>39</v>
      </c>
      <c r="G24" s="34" t="s">
        <v>38</v>
      </c>
      <c r="H24" s="34" t="s">
        <v>39</v>
      </c>
      <c r="I24" s="15">
        <v>277</v>
      </c>
      <c r="J24" s="15">
        <v>249</v>
      </c>
      <c r="K24" s="55">
        <v>230.5</v>
      </c>
      <c r="L24" s="55">
        <v>227</v>
      </c>
      <c r="M24" s="55">
        <v>224.5</v>
      </c>
      <c r="N24" s="18">
        <v>250</v>
      </c>
      <c r="O24" s="18">
        <v>242</v>
      </c>
      <c r="P24" s="18">
        <v>186</v>
      </c>
      <c r="Q24" s="34" t="s">
        <v>40</v>
      </c>
      <c r="R24" s="34" t="s">
        <v>39</v>
      </c>
      <c r="S24" s="34" t="s">
        <v>39</v>
      </c>
      <c r="T24" s="52"/>
      <c r="U24" s="68" t="s">
        <v>142</v>
      </c>
      <c r="V24" s="34" t="s">
        <v>143</v>
      </c>
      <c r="W24" s="34">
        <v>310602004</v>
      </c>
      <c r="X24" s="34" t="s">
        <v>144</v>
      </c>
      <c r="Y24" s="12" t="s">
        <v>39</v>
      </c>
      <c r="Z24" s="12" t="s">
        <v>39</v>
      </c>
      <c r="AA24" s="14" t="s">
        <v>38</v>
      </c>
      <c r="AB24" s="12" t="s">
        <v>39</v>
      </c>
      <c r="AC24" s="18">
        <v>115</v>
      </c>
      <c r="AD24" s="18">
        <v>100</v>
      </c>
      <c r="AE24" s="18">
        <v>85</v>
      </c>
      <c r="AF24" s="14" t="s">
        <v>40</v>
      </c>
    </row>
    <row r="25" s="22" customFormat="1" ht="35" customHeight="1" spans="1:32">
      <c r="A25" s="34"/>
      <c r="B25" s="43"/>
      <c r="C25" s="34"/>
      <c r="D25" s="43"/>
      <c r="E25" s="48"/>
      <c r="F25" s="48"/>
      <c r="G25" s="34"/>
      <c r="H25" s="34"/>
      <c r="I25" s="54"/>
      <c r="J25" s="54"/>
      <c r="K25" s="56"/>
      <c r="L25" s="56"/>
      <c r="M25" s="56"/>
      <c r="N25" s="18"/>
      <c r="O25" s="18"/>
      <c r="P25" s="18"/>
      <c r="Q25" s="34"/>
      <c r="R25" s="34"/>
      <c r="S25" s="34"/>
      <c r="T25" s="52"/>
      <c r="U25" s="68"/>
      <c r="V25" s="34" t="s">
        <v>145</v>
      </c>
      <c r="W25" s="34">
        <v>310604002</v>
      </c>
      <c r="X25" s="34" t="s">
        <v>146</v>
      </c>
      <c r="Y25" s="12" t="s">
        <v>147</v>
      </c>
      <c r="Z25" s="12" t="s">
        <v>39</v>
      </c>
      <c r="AA25" s="14" t="s">
        <v>38</v>
      </c>
      <c r="AB25" s="12" t="s">
        <v>39</v>
      </c>
      <c r="AC25" s="18">
        <v>149.5</v>
      </c>
      <c r="AD25" s="18">
        <v>130</v>
      </c>
      <c r="AE25" s="18">
        <v>110.5</v>
      </c>
      <c r="AF25" s="14" t="s">
        <v>39</v>
      </c>
    </row>
    <row r="26" s="22" customFormat="1" ht="69" customHeight="1" spans="1:32">
      <c r="A26" s="34">
        <v>12</v>
      </c>
      <c r="B26" s="11" t="s">
        <v>148</v>
      </c>
      <c r="C26" s="34" t="s">
        <v>149</v>
      </c>
      <c r="D26" s="38" t="s">
        <v>35</v>
      </c>
      <c r="E26" s="48" t="s">
        <v>150</v>
      </c>
      <c r="F26" s="48" t="s">
        <v>151</v>
      </c>
      <c r="G26" s="34" t="s">
        <v>139</v>
      </c>
      <c r="H26" s="48" t="s">
        <v>152</v>
      </c>
      <c r="I26" s="15">
        <v>15</v>
      </c>
      <c r="J26" s="15">
        <v>14</v>
      </c>
      <c r="K26" s="52"/>
      <c r="L26" s="52"/>
      <c r="M26" s="52"/>
      <c r="N26" s="18">
        <v>14</v>
      </c>
      <c r="O26" s="18">
        <v>13</v>
      </c>
      <c r="P26" s="18">
        <v>12</v>
      </c>
      <c r="Q26" s="34" t="s">
        <v>40</v>
      </c>
      <c r="R26" s="34" t="s">
        <v>39</v>
      </c>
      <c r="S26" s="34" t="s">
        <v>39</v>
      </c>
      <c r="T26" s="52" t="s">
        <v>120</v>
      </c>
      <c r="U26" s="80" t="s">
        <v>153</v>
      </c>
      <c r="V26" s="84"/>
      <c r="W26" s="84"/>
      <c r="X26" s="84"/>
      <c r="Y26" s="85" t="s">
        <v>154</v>
      </c>
      <c r="Z26" s="85" t="s">
        <v>39</v>
      </c>
      <c r="AA26" s="86"/>
      <c r="AB26" s="85" t="s">
        <v>39</v>
      </c>
      <c r="AC26" s="87"/>
      <c r="AD26" s="87"/>
      <c r="AE26" s="87"/>
      <c r="AF26" s="86"/>
    </row>
    <row r="27" s="22" customFormat="1" ht="30" customHeight="1" spans="1:32">
      <c r="A27" s="34">
        <v>13</v>
      </c>
      <c r="B27" s="11" t="s">
        <v>155</v>
      </c>
      <c r="C27" s="34" t="s">
        <v>156</v>
      </c>
      <c r="D27" s="38" t="s">
        <v>35</v>
      </c>
      <c r="E27" s="48" t="s">
        <v>157</v>
      </c>
      <c r="F27" s="48" t="s">
        <v>158</v>
      </c>
      <c r="G27" s="34" t="s">
        <v>38</v>
      </c>
      <c r="H27" s="34" t="s">
        <v>159</v>
      </c>
      <c r="I27" s="15">
        <v>250</v>
      </c>
      <c r="J27" s="15">
        <v>225</v>
      </c>
      <c r="K27" s="53">
        <v>239.439683911594</v>
      </c>
      <c r="L27" s="53">
        <v>215.611592021076</v>
      </c>
      <c r="M27" s="53">
        <v>192</v>
      </c>
      <c r="N27" s="18">
        <v>240</v>
      </c>
      <c r="O27" s="18">
        <v>216</v>
      </c>
      <c r="P27" s="18">
        <v>190</v>
      </c>
      <c r="Q27" s="34" t="s">
        <v>40</v>
      </c>
      <c r="R27" s="34" t="s">
        <v>39</v>
      </c>
      <c r="S27" s="63">
        <v>0.2</v>
      </c>
      <c r="T27" s="53" t="s">
        <v>95</v>
      </c>
      <c r="U27" s="48" t="s">
        <v>95</v>
      </c>
      <c r="V27" s="34" t="s">
        <v>160</v>
      </c>
      <c r="W27" s="34">
        <v>310605002</v>
      </c>
      <c r="X27" s="34" t="s">
        <v>161</v>
      </c>
      <c r="Y27" s="12" t="s">
        <v>162</v>
      </c>
      <c r="Z27" s="12" t="s">
        <v>163</v>
      </c>
      <c r="AA27" s="14" t="s">
        <v>38</v>
      </c>
      <c r="AB27" s="12" t="s">
        <v>39</v>
      </c>
      <c r="AC27" s="18">
        <v>138</v>
      </c>
      <c r="AD27" s="18">
        <v>120</v>
      </c>
      <c r="AE27" s="18">
        <v>102</v>
      </c>
      <c r="AF27" s="14" t="s">
        <v>40</v>
      </c>
    </row>
    <row r="28" s="22" customFormat="1" ht="30" customHeight="1" spans="1:32">
      <c r="A28" s="34"/>
      <c r="B28" s="11"/>
      <c r="C28" s="34"/>
      <c r="D28" s="38"/>
      <c r="E28" s="48"/>
      <c r="F28" s="48"/>
      <c r="G28" s="34"/>
      <c r="H28" s="34"/>
      <c r="I28" s="54"/>
      <c r="J28" s="54"/>
      <c r="K28" s="53"/>
      <c r="L28" s="53"/>
      <c r="M28" s="53"/>
      <c r="N28" s="18"/>
      <c r="O28" s="18"/>
      <c r="P28" s="18"/>
      <c r="Q28" s="34"/>
      <c r="R28" s="34"/>
      <c r="S28" s="63"/>
      <c r="T28" s="53"/>
      <c r="U28" s="48"/>
      <c r="V28" s="34" t="s">
        <v>164</v>
      </c>
      <c r="W28" s="34">
        <v>310605001</v>
      </c>
      <c r="X28" s="34" t="s">
        <v>165</v>
      </c>
      <c r="Y28" s="12" t="s">
        <v>39</v>
      </c>
      <c r="Z28" s="12" t="s">
        <v>39</v>
      </c>
      <c r="AA28" s="14" t="s">
        <v>38</v>
      </c>
      <c r="AB28" s="12" t="s">
        <v>39</v>
      </c>
      <c r="AC28" s="18">
        <v>115</v>
      </c>
      <c r="AD28" s="18">
        <v>100</v>
      </c>
      <c r="AE28" s="18">
        <v>85</v>
      </c>
      <c r="AF28" s="14" t="s">
        <v>40</v>
      </c>
    </row>
    <row r="29" s="22" customFormat="1" ht="30" customHeight="1" spans="1:33">
      <c r="A29" s="34"/>
      <c r="B29" s="11"/>
      <c r="C29" s="34"/>
      <c r="D29" s="38"/>
      <c r="E29" s="48"/>
      <c r="F29" s="48"/>
      <c r="G29" s="34"/>
      <c r="H29" s="34"/>
      <c r="I29" s="54"/>
      <c r="J29" s="54"/>
      <c r="K29" s="53"/>
      <c r="L29" s="53"/>
      <c r="M29" s="53"/>
      <c r="N29" s="18"/>
      <c r="O29" s="18"/>
      <c r="P29" s="18"/>
      <c r="Q29" s="34"/>
      <c r="R29" s="34"/>
      <c r="S29" s="63"/>
      <c r="T29" s="53"/>
      <c r="U29" s="48"/>
      <c r="V29" s="34" t="s">
        <v>166</v>
      </c>
      <c r="W29" s="34">
        <v>31060500002</v>
      </c>
      <c r="X29" s="34" t="s">
        <v>167</v>
      </c>
      <c r="Y29" s="12" t="s">
        <v>39</v>
      </c>
      <c r="Z29" s="12" t="s">
        <v>39</v>
      </c>
      <c r="AA29" s="14" t="s">
        <v>38</v>
      </c>
      <c r="AB29" s="12" t="s">
        <v>168</v>
      </c>
      <c r="AC29" s="18">
        <v>138</v>
      </c>
      <c r="AD29" s="18">
        <v>120</v>
      </c>
      <c r="AE29" s="18">
        <v>102</v>
      </c>
      <c r="AF29" s="14" t="s">
        <v>40</v>
      </c>
      <c r="AG29" s="22" t="s">
        <v>58</v>
      </c>
    </row>
    <row r="30" s="22" customFormat="1" ht="30" customHeight="1" spans="1:33">
      <c r="A30" s="34"/>
      <c r="B30" s="11"/>
      <c r="C30" s="34"/>
      <c r="D30" s="38"/>
      <c r="E30" s="48"/>
      <c r="F30" s="48"/>
      <c r="G30" s="34"/>
      <c r="H30" s="34"/>
      <c r="I30" s="54"/>
      <c r="J30" s="54"/>
      <c r="K30" s="53"/>
      <c r="L30" s="53"/>
      <c r="M30" s="53"/>
      <c r="N30" s="18"/>
      <c r="O30" s="18"/>
      <c r="P30" s="18"/>
      <c r="Q30" s="34"/>
      <c r="R30" s="34"/>
      <c r="S30" s="63"/>
      <c r="T30" s="53"/>
      <c r="U30" s="48"/>
      <c r="V30" s="34" t="s">
        <v>169</v>
      </c>
      <c r="W30" s="34">
        <v>31060500001</v>
      </c>
      <c r="X30" s="34" t="s">
        <v>170</v>
      </c>
      <c r="Y30" s="12" t="s">
        <v>39</v>
      </c>
      <c r="Z30" s="12" t="s">
        <v>39</v>
      </c>
      <c r="AA30" s="14" t="s">
        <v>38</v>
      </c>
      <c r="AB30" s="12" t="s">
        <v>171</v>
      </c>
      <c r="AC30" s="18">
        <v>115</v>
      </c>
      <c r="AD30" s="18">
        <v>100</v>
      </c>
      <c r="AE30" s="18">
        <v>85</v>
      </c>
      <c r="AF30" s="14" t="s">
        <v>40</v>
      </c>
      <c r="AG30" s="22" t="s">
        <v>58</v>
      </c>
    </row>
    <row r="31" s="22" customFormat="1" ht="36" customHeight="1" spans="1:32">
      <c r="A31" s="34" t="s">
        <v>68</v>
      </c>
      <c r="B31" s="11" t="s">
        <v>172</v>
      </c>
      <c r="C31" s="34" t="s">
        <v>173</v>
      </c>
      <c r="D31" s="38" t="s">
        <v>35</v>
      </c>
      <c r="E31" s="48" t="s">
        <v>39</v>
      </c>
      <c r="F31" s="48" t="s">
        <v>39</v>
      </c>
      <c r="G31" s="34" t="s">
        <v>38</v>
      </c>
      <c r="H31" s="34" t="s">
        <v>159</v>
      </c>
      <c r="I31" s="15">
        <v>85</v>
      </c>
      <c r="J31" s="15">
        <v>77</v>
      </c>
      <c r="K31" s="52"/>
      <c r="L31" s="52"/>
      <c r="M31" s="52"/>
      <c r="N31" s="18">
        <v>82</v>
      </c>
      <c r="O31" s="18">
        <v>74</v>
      </c>
      <c r="P31" s="18">
        <v>65</v>
      </c>
      <c r="Q31" s="34" t="s">
        <v>40</v>
      </c>
      <c r="R31" s="34" t="s">
        <v>39</v>
      </c>
      <c r="S31" s="63">
        <v>0.2</v>
      </c>
      <c r="T31" s="52"/>
      <c r="U31" s="48" t="s">
        <v>174</v>
      </c>
      <c r="V31" s="34"/>
      <c r="W31" s="34"/>
      <c r="X31" s="34"/>
      <c r="Y31" s="12"/>
      <c r="Z31" s="12"/>
      <c r="AA31" s="14"/>
      <c r="AB31" s="12"/>
      <c r="AC31" s="72"/>
      <c r="AD31" s="72"/>
      <c r="AE31" s="72"/>
      <c r="AF31" s="14"/>
    </row>
    <row r="32" s="22" customFormat="1" ht="66" customHeight="1" spans="1:32">
      <c r="A32" s="34">
        <v>14</v>
      </c>
      <c r="B32" s="11" t="s">
        <v>175</v>
      </c>
      <c r="C32" s="34" t="s">
        <v>176</v>
      </c>
      <c r="D32" s="38" t="s">
        <v>35</v>
      </c>
      <c r="E32" s="48" t="s">
        <v>177</v>
      </c>
      <c r="F32" s="48" t="s">
        <v>158</v>
      </c>
      <c r="G32" s="34" t="s">
        <v>38</v>
      </c>
      <c r="H32" s="34" t="s">
        <v>39</v>
      </c>
      <c r="I32" s="15">
        <v>650</v>
      </c>
      <c r="J32" s="15">
        <v>585</v>
      </c>
      <c r="K32" s="52">
        <v>585</v>
      </c>
      <c r="L32" s="52">
        <v>527</v>
      </c>
      <c r="M32" s="52">
        <v>448</v>
      </c>
      <c r="N32" s="18">
        <v>585</v>
      </c>
      <c r="O32" s="18">
        <v>527</v>
      </c>
      <c r="P32" s="18">
        <v>448</v>
      </c>
      <c r="Q32" s="34" t="s">
        <v>40</v>
      </c>
      <c r="R32" s="34" t="s">
        <v>39</v>
      </c>
      <c r="S32" s="63">
        <v>0.2</v>
      </c>
      <c r="T32" s="52" t="s">
        <v>113</v>
      </c>
      <c r="U32" s="48" t="s">
        <v>113</v>
      </c>
      <c r="V32" s="11" t="s">
        <v>178</v>
      </c>
      <c r="W32" s="11">
        <v>310605015</v>
      </c>
      <c r="X32" s="11" t="s">
        <v>179</v>
      </c>
      <c r="Y32" s="12" t="s">
        <v>180</v>
      </c>
      <c r="Z32" s="12" t="s">
        <v>181</v>
      </c>
      <c r="AA32" s="14" t="s">
        <v>38</v>
      </c>
      <c r="AB32" s="12" t="s">
        <v>39</v>
      </c>
      <c r="AC32" s="18">
        <v>585</v>
      </c>
      <c r="AD32" s="18">
        <v>527</v>
      </c>
      <c r="AE32" s="18">
        <v>448</v>
      </c>
      <c r="AF32" s="14" t="s">
        <v>40</v>
      </c>
    </row>
    <row r="33" s="22" customFormat="1" ht="66" customHeight="1" spans="1:32">
      <c r="A33" s="34">
        <v>15</v>
      </c>
      <c r="B33" s="11" t="s">
        <v>182</v>
      </c>
      <c r="C33" s="34" t="s">
        <v>183</v>
      </c>
      <c r="D33" s="38" t="s">
        <v>35</v>
      </c>
      <c r="E33" s="48" t="s">
        <v>184</v>
      </c>
      <c r="F33" s="48" t="s">
        <v>158</v>
      </c>
      <c r="G33" s="34" t="s">
        <v>38</v>
      </c>
      <c r="H33" s="34" t="s">
        <v>39</v>
      </c>
      <c r="I33" s="15">
        <v>695</v>
      </c>
      <c r="J33" s="15">
        <v>626</v>
      </c>
      <c r="K33" s="52"/>
      <c r="L33" s="52"/>
      <c r="M33" s="52"/>
      <c r="N33" s="18">
        <v>630</v>
      </c>
      <c r="O33" s="18">
        <v>570</v>
      </c>
      <c r="P33" s="18">
        <v>485</v>
      </c>
      <c r="Q33" s="34" t="s">
        <v>119</v>
      </c>
      <c r="R33" s="34" t="s">
        <v>39</v>
      </c>
      <c r="S33" s="63" t="s">
        <v>39</v>
      </c>
      <c r="T33" s="52" t="s">
        <v>120</v>
      </c>
      <c r="U33" s="48" t="s">
        <v>185</v>
      </c>
      <c r="V33" s="34"/>
      <c r="W33" s="34"/>
      <c r="X33" s="34"/>
      <c r="Y33" s="12"/>
      <c r="Z33" s="12"/>
      <c r="AA33" s="14"/>
      <c r="AB33" s="12"/>
      <c r="AC33" s="72"/>
      <c r="AD33" s="72"/>
      <c r="AE33" s="72"/>
      <c r="AF33" s="14"/>
    </row>
    <row r="34" s="22" customFormat="1" ht="66" customHeight="1" spans="1:32">
      <c r="A34" s="34">
        <v>16</v>
      </c>
      <c r="B34" s="11" t="s">
        <v>186</v>
      </c>
      <c r="C34" s="34" t="s">
        <v>187</v>
      </c>
      <c r="D34" s="38" t="s">
        <v>35</v>
      </c>
      <c r="E34" s="48" t="s">
        <v>188</v>
      </c>
      <c r="F34" s="48" t="s">
        <v>189</v>
      </c>
      <c r="G34" s="34" t="s">
        <v>38</v>
      </c>
      <c r="H34" s="34" t="s">
        <v>39</v>
      </c>
      <c r="I34" s="15">
        <v>594</v>
      </c>
      <c r="J34" s="15">
        <v>535</v>
      </c>
      <c r="K34" s="52"/>
      <c r="L34" s="52"/>
      <c r="M34" s="52"/>
      <c r="N34" s="18">
        <v>540</v>
      </c>
      <c r="O34" s="18">
        <v>490</v>
      </c>
      <c r="P34" s="18">
        <v>415</v>
      </c>
      <c r="Q34" s="34" t="s">
        <v>119</v>
      </c>
      <c r="R34" s="34" t="s">
        <v>39</v>
      </c>
      <c r="S34" s="63" t="s">
        <v>39</v>
      </c>
      <c r="T34" s="52" t="s">
        <v>120</v>
      </c>
      <c r="U34" s="48" t="s">
        <v>185</v>
      </c>
      <c r="V34" s="11"/>
      <c r="W34" s="11"/>
      <c r="X34" s="11"/>
      <c r="Y34" s="12"/>
      <c r="Z34" s="12"/>
      <c r="AA34" s="14"/>
      <c r="AB34" s="12"/>
      <c r="AC34" s="72"/>
      <c r="AD34" s="72"/>
      <c r="AE34" s="72"/>
      <c r="AF34" s="14"/>
    </row>
    <row r="35" s="22" customFormat="1" ht="66" customHeight="1" spans="1:32">
      <c r="A35" s="34">
        <v>17</v>
      </c>
      <c r="B35" s="11" t="s">
        <v>190</v>
      </c>
      <c r="C35" s="34" t="s">
        <v>191</v>
      </c>
      <c r="D35" s="38" t="s">
        <v>35</v>
      </c>
      <c r="E35" s="48" t="s">
        <v>192</v>
      </c>
      <c r="F35" s="48" t="s">
        <v>193</v>
      </c>
      <c r="G35" s="34" t="s">
        <v>38</v>
      </c>
      <c r="H35" s="34" t="s">
        <v>39</v>
      </c>
      <c r="I35" s="15">
        <v>550</v>
      </c>
      <c r="J35" s="15">
        <v>495</v>
      </c>
      <c r="K35" s="52">
        <v>575</v>
      </c>
      <c r="L35" s="52">
        <v>500</v>
      </c>
      <c r="M35" s="52">
        <v>425</v>
      </c>
      <c r="N35" s="58">
        <v>540</v>
      </c>
      <c r="O35" s="58">
        <v>490</v>
      </c>
      <c r="P35" s="58">
        <v>415</v>
      </c>
      <c r="Q35" s="62" t="s">
        <v>40</v>
      </c>
      <c r="R35" s="62" t="s">
        <v>39</v>
      </c>
      <c r="S35" s="64" t="s">
        <v>39</v>
      </c>
      <c r="T35" s="52" t="s">
        <v>41</v>
      </c>
      <c r="U35" s="48" t="s">
        <v>194</v>
      </c>
      <c r="V35" s="34" t="s">
        <v>195</v>
      </c>
      <c r="W35" s="34">
        <v>310605014</v>
      </c>
      <c r="X35" s="34" t="s">
        <v>196</v>
      </c>
      <c r="Y35" s="12" t="s">
        <v>197</v>
      </c>
      <c r="Z35" s="12" t="s">
        <v>39</v>
      </c>
      <c r="AA35" s="14" t="s">
        <v>38</v>
      </c>
      <c r="AB35" s="12" t="s">
        <v>39</v>
      </c>
      <c r="AC35" s="18">
        <v>575</v>
      </c>
      <c r="AD35" s="18">
        <v>500</v>
      </c>
      <c r="AE35" s="18">
        <v>425</v>
      </c>
      <c r="AF35" s="14" t="s">
        <v>40</v>
      </c>
    </row>
    <row r="36" s="22" customFormat="1" ht="66" customHeight="1" spans="1:32">
      <c r="A36" s="34">
        <v>18</v>
      </c>
      <c r="B36" s="11" t="s">
        <v>198</v>
      </c>
      <c r="C36" s="34" t="s">
        <v>199</v>
      </c>
      <c r="D36" s="38" t="s">
        <v>200</v>
      </c>
      <c r="E36" s="48" t="s">
        <v>201</v>
      </c>
      <c r="F36" s="48" t="s">
        <v>202</v>
      </c>
      <c r="G36" s="34" t="s">
        <v>38</v>
      </c>
      <c r="H36" s="34" t="s">
        <v>39</v>
      </c>
      <c r="I36" s="15">
        <v>15</v>
      </c>
      <c r="J36" s="15">
        <v>15</v>
      </c>
      <c r="K36" s="52">
        <v>17.3</v>
      </c>
      <c r="L36" s="52">
        <v>15</v>
      </c>
      <c r="M36" s="52">
        <v>12.8</v>
      </c>
      <c r="N36" s="18">
        <v>15</v>
      </c>
      <c r="O36" s="18">
        <v>14</v>
      </c>
      <c r="P36" s="18">
        <v>13</v>
      </c>
      <c r="Q36" s="34" t="s">
        <v>40</v>
      </c>
      <c r="R36" s="34" t="s">
        <v>39</v>
      </c>
      <c r="S36" s="63" t="s">
        <v>39</v>
      </c>
      <c r="T36" s="52" t="s">
        <v>41</v>
      </c>
      <c r="U36" s="48" t="s">
        <v>194</v>
      </c>
      <c r="V36" s="34" t="s">
        <v>203</v>
      </c>
      <c r="W36" s="34">
        <v>310603003</v>
      </c>
      <c r="X36" s="34" t="s">
        <v>204</v>
      </c>
      <c r="Y36" s="12" t="s">
        <v>39</v>
      </c>
      <c r="Z36" s="12" t="s">
        <v>39</v>
      </c>
      <c r="AA36" s="14" t="s">
        <v>38</v>
      </c>
      <c r="AB36" s="12" t="s">
        <v>39</v>
      </c>
      <c r="AC36" s="18">
        <v>17.3</v>
      </c>
      <c r="AD36" s="18">
        <v>15</v>
      </c>
      <c r="AE36" s="18">
        <v>12.8</v>
      </c>
      <c r="AF36" s="14" t="s">
        <v>40</v>
      </c>
    </row>
    <row r="37" s="22" customFormat="1" ht="66" customHeight="1" spans="1:32">
      <c r="A37" s="34">
        <v>19</v>
      </c>
      <c r="B37" s="11" t="s">
        <v>205</v>
      </c>
      <c r="C37" s="34" t="s">
        <v>206</v>
      </c>
      <c r="D37" s="38" t="s">
        <v>200</v>
      </c>
      <c r="E37" s="48" t="s">
        <v>207</v>
      </c>
      <c r="F37" s="48" t="s">
        <v>208</v>
      </c>
      <c r="G37" s="34" t="s">
        <v>139</v>
      </c>
      <c r="H37" s="34" t="s">
        <v>39</v>
      </c>
      <c r="I37" s="15">
        <v>50</v>
      </c>
      <c r="J37" s="15">
        <v>50</v>
      </c>
      <c r="K37" s="52">
        <v>9</v>
      </c>
      <c r="L37" s="52">
        <v>9</v>
      </c>
      <c r="M37" s="52">
        <v>9</v>
      </c>
      <c r="N37" s="58">
        <v>45</v>
      </c>
      <c r="O37" s="58">
        <v>45</v>
      </c>
      <c r="P37" s="58">
        <v>41</v>
      </c>
      <c r="Q37" s="62" t="s">
        <v>40</v>
      </c>
      <c r="R37" s="62" t="s">
        <v>39</v>
      </c>
      <c r="S37" s="64" t="s">
        <v>39</v>
      </c>
      <c r="T37" s="52" t="s">
        <v>209</v>
      </c>
      <c r="U37" s="48" t="s">
        <v>210</v>
      </c>
      <c r="V37" s="11" t="s">
        <v>211</v>
      </c>
      <c r="W37" s="11">
        <v>12030000140</v>
      </c>
      <c r="X37" s="11" t="s">
        <v>212</v>
      </c>
      <c r="Y37" s="12" t="s">
        <v>213</v>
      </c>
      <c r="Z37" s="12" t="s">
        <v>39</v>
      </c>
      <c r="AA37" s="14" t="s">
        <v>139</v>
      </c>
      <c r="AB37" s="12" t="s">
        <v>214</v>
      </c>
      <c r="AC37" s="18">
        <v>9</v>
      </c>
      <c r="AD37" s="18">
        <v>9</v>
      </c>
      <c r="AE37" s="18">
        <v>9</v>
      </c>
      <c r="AF37" s="14" t="s">
        <v>40</v>
      </c>
    </row>
    <row r="38" s="22" customFormat="1" ht="25.5" spans="1:32">
      <c r="A38" s="34">
        <v>20</v>
      </c>
      <c r="B38" s="11" t="s">
        <v>215</v>
      </c>
      <c r="C38" s="34" t="s">
        <v>216</v>
      </c>
      <c r="D38" s="38" t="s">
        <v>200</v>
      </c>
      <c r="E38" s="48" t="s">
        <v>217</v>
      </c>
      <c r="F38" s="48" t="s">
        <v>218</v>
      </c>
      <c r="G38" s="34" t="s">
        <v>38</v>
      </c>
      <c r="H38" s="34" t="s">
        <v>219</v>
      </c>
      <c r="I38" s="15">
        <v>15</v>
      </c>
      <c r="J38" s="15">
        <v>15</v>
      </c>
      <c r="K38" s="53">
        <v>12.2052789750484</v>
      </c>
      <c r="L38" s="53">
        <v>12.2028121411421</v>
      </c>
      <c r="M38" s="53">
        <v>11.5000049004386</v>
      </c>
      <c r="N38" s="18">
        <v>14</v>
      </c>
      <c r="O38" s="18">
        <v>13</v>
      </c>
      <c r="P38" s="18">
        <v>12</v>
      </c>
      <c r="Q38" s="34" t="s">
        <v>40</v>
      </c>
      <c r="R38" s="34" t="s">
        <v>39</v>
      </c>
      <c r="S38" s="63" t="s">
        <v>39</v>
      </c>
      <c r="T38" s="53" t="s">
        <v>209</v>
      </c>
      <c r="U38" s="48" t="s">
        <v>220</v>
      </c>
      <c r="V38" s="34" t="s">
        <v>221</v>
      </c>
      <c r="W38" s="34">
        <v>120700001</v>
      </c>
      <c r="X38" s="34" t="s">
        <v>222</v>
      </c>
      <c r="Y38" s="12" t="s">
        <v>223</v>
      </c>
      <c r="Z38" s="12" t="s">
        <v>224</v>
      </c>
      <c r="AA38" s="14" t="s">
        <v>38</v>
      </c>
      <c r="AB38" s="12" t="s">
        <v>39</v>
      </c>
      <c r="AC38" s="72" t="s">
        <v>39</v>
      </c>
      <c r="AD38" s="72" t="s">
        <v>39</v>
      </c>
      <c r="AE38" s="72" t="s">
        <v>39</v>
      </c>
      <c r="AF38" s="14" t="s">
        <v>40</v>
      </c>
    </row>
    <row r="39" s="22" customFormat="1" ht="25.5" spans="1:32">
      <c r="A39" s="34"/>
      <c r="B39" s="11"/>
      <c r="C39" s="34"/>
      <c r="D39" s="38"/>
      <c r="E39" s="48"/>
      <c r="F39" s="48"/>
      <c r="G39" s="34"/>
      <c r="H39" s="34"/>
      <c r="I39" s="54"/>
      <c r="J39" s="54"/>
      <c r="K39" s="53"/>
      <c r="L39" s="53"/>
      <c r="M39" s="53"/>
      <c r="N39" s="18"/>
      <c r="O39" s="18"/>
      <c r="P39" s="18"/>
      <c r="Q39" s="34"/>
      <c r="R39" s="34"/>
      <c r="S39" s="63"/>
      <c r="T39" s="53"/>
      <c r="U39" s="48"/>
      <c r="V39" s="34" t="s">
        <v>225</v>
      </c>
      <c r="W39" s="34">
        <v>12070000101</v>
      </c>
      <c r="X39" s="34" t="s">
        <v>226</v>
      </c>
      <c r="Y39" s="12" t="s">
        <v>39</v>
      </c>
      <c r="Z39" s="12" t="s">
        <v>39</v>
      </c>
      <c r="AA39" s="14" t="s">
        <v>38</v>
      </c>
      <c r="AB39" s="12" t="s">
        <v>39</v>
      </c>
      <c r="AC39" s="18">
        <v>5</v>
      </c>
      <c r="AD39" s="18">
        <v>5</v>
      </c>
      <c r="AE39" s="18">
        <v>4.3</v>
      </c>
      <c r="AF39" s="14" t="s">
        <v>40</v>
      </c>
    </row>
    <row r="40" s="22" customFormat="1" ht="25.5" spans="1:32">
      <c r="A40" s="34"/>
      <c r="B40" s="11"/>
      <c r="C40" s="34"/>
      <c r="D40" s="38"/>
      <c r="E40" s="48"/>
      <c r="F40" s="48"/>
      <c r="G40" s="34"/>
      <c r="H40" s="34"/>
      <c r="I40" s="54"/>
      <c r="J40" s="54"/>
      <c r="K40" s="53"/>
      <c r="L40" s="53"/>
      <c r="M40" s="53"/>
      <c r="N40" s="18"/>
      <c r="O40" s="18"/>
      <c r="P40" s="18"/>
      <c r="Q40" s="34"/>
      <c r="R40" s="34"/>
      <c r="S40" s="63"/>
      <c r="T40" s="53"/>
      <c r="U40" s="48"/>
      <c r="V40" s="34" t="s">
        <v>227</v>
      </c>
      <c r="W40" s="34">
        <v>12070000102</v>
      </c>
      <c r="X40" s="34" t="s">
        <v>228</v>
      </c>
      <c r="Y40" s="12" t="s">
        <v>39</v>
      </c>
      <c r="Z40" s="12" t="s">
        <v>39</v>
      </c>
      <c r="AA40" s="14" t="s">
        <v>38</v>
      </c>
      <c r="AB40" s="12" t="s">
        <v>39</v>
      </c>
      <c r="AC40" s="18">
        <v>5</v>
      </c>
      <c r="AD40" s="18">
        <v>5</v>
      </c>
      <c r="AE40" s="18">
        <v>4.3</v>
      </c>
      <c r="AF40" s="14" t="s">
        <v>40</v>
      </c>
    </row>
    <row r="41" s="22" customFormat="1" ht="25.5" spans="1:32">
      <c r="A41" s="34"/>
      <c r="B41" s="11"/>
      <c r="C41" s="34"/>
      <c r="D41" s="38"/>
      <c r="E41" s="48"/>
      <c r="F41" s="48"/>
      <c r="G41" s="34"/>
      <c r="H41" s="34"/>
      <c r="I41" s="54"/>
      <c r="J41" s="54"/>
      <c r="K41" s="53"/>
      <c r="L41" s="53"/>
      <c r="M41" s="53"/>
      <c r="N41" s="18"/>
      <c r="O41" s="18"/>
      <c r="P41" s="18"/>
      <c r="Q41" s="34"/>
      <c r="R41" s="34"/>
      <c r="S41" s="63"/>
      <c r="T41" s="53"/>
      <c r="U41" s="48"/>
      <c r="V41" s="34" t="s">
        <v>229</v>
      </c>
      <c r="W41" s="34">
        <v>12070000103</v>
      </c>
      <c r="X41" s="34" t="s">
        <v>230</v>
      </c>
      <c r="Y41" s="12" t="s">
        <v>39</v>
      </c>
      <c r="Z41" s="12" t="s">
        <v>39</v>
      </c>
      <c r="AA41" s="14" t="s">
        <v>38</v>
      </c>
      <c r="AB41" s="12" t="s">
        <v>39</v>
      </c>
      <c r="AC41" s="18">
        <v>5</v>
      </c>
      <c r="AD41" s="18">
        <v>5</v>
      </c>
      <c r="AE41" s="18">
        <v>4.3</v>
      </c>
      <c r="AF41" s="14" t="s">
        <v>40</v>
      </c>
    </row>
    <row r="42" s="22" customFormat="1" ht="25.5" spans="1:32">
      <c r="A42" s="34"/>
      <c r="B42" s="11"/>
      <c r="C42" s="34"/>
      <c r="D42" s="38"/>
      <c r="E42" s="48"/>
      <c r="F42" s="48"/>
      <c r="G42" s="34"/>
      <c r="H42" s="34"/>
      <c r="I42" s="54"/>
      <c r="J42" s="54"/>
      <c r="K42" s="53"/>
      <c r="L42" s="53"/>
      <c r="M42" s="53"/>
      <c r="N42" s="18"/>
      <c r="O42" s="18"/>
      <c r="P42" s="18"/>
      <c r="Q42" s="34"/>
      <c r="R42" s="34"/>
      <c r="S42" s="63"/>
      <c r="T42" s="53"/>
      <c r="U42" s="48"/>
      <c r="V42" s="34" t="s">
        <v>231</v>
      </c>
      <c r="W42" s="34">
        <v>12070000104</v>
      </c>
      <c r="X42" s="34" t="s">
        <v>232</v>
      </c>
      <c r="Y42" s="12" t="s">
        <v>39</v>
      </c>
      <c r="Z42" s="12" t="s">
        <v>39</v>
      </c>
      <c r="AA42" s="14" t="s">
        <v>38</v>
      </c>
      <c r="AB42" s="12" t="s">
        <v>39</v>
      </c>
      <c r="AC42" s="18">
        <v>5</v>
      </c>
      <c r="AD42" s="18">
        <v>5</v>
      </c>
      <c r="AE42" s="18">
        <v>4.3</v>
      </c>
      <c r="AF42" s="14" t="s">
        <v>40</v>
      </c>
    </row>
    <row r="43" s="22" customFormat="1" ht="25.5" spans="1:32">
      <c r="A43" s="34"/>
      <c r="B43" s="11"/>
      <c r="C43" s="34"/>
      <c r="D43" s="38"/>
      <c r="E43" s="48"/>
      <c r="F43" s="48"/>
      <c r="G43" s="34"/>
      <c r="H43" s="34"/>
      <c r="I43" s="54"/>
      <c r="J43" s="54"/>
      <c r="K43" s="53"/>
      <c r="L43" s="53"/>
      <c r="M43" s="53"/>
      <c r="N43" s="18"/>
      <c r="O43" s="18"/>
      <c r="P43" s="18"/>
      <c r="Q43" s="34"/>
      <c r="R43" s="34"/>
      <c r="S43" s="63"/>
      <c r="T43" s="53"/>
      <c r="U43" s="48"/>
      <c r="V43" s="34" t="s">
        <v>233</v>
      </c>
      <c r="W43" s="34">
        <v>12070000105</v>
      </c>
      <c r="X43" s="34" t="s">
        <v>234</v>
      </c>
      <c r="Y43" s="12" t="s">
        <v>39</v>
      </c>
      <c r="Z43" s="12" t="s">
        <v>39</v>
      </c>
      <c r="AA43" s="14" t="s">
        <v>38</v>
      </c>
      <c r="AB43" s="12" t="s">
        <v>39</v>
      </c>
      <c r="AC43" s="18">
        <v>5</v>
      </c>
      <c r="AD43" s="18">
        <v>5</v>
      </c>
      <c r="AE43" s="18">
        <v>4.3</v>
      </c>
      <c r="AF43" s="14" t="s">
        <v>40</v>
      </c>
    </row>
    <row r="44" s="22" customFormat="1" ht="25.5" spans="1:32">
      <c r="A44" s="34"/>
      <c r="B44" s="11"/>
      <c r="C44" s="34"/>
      <c r="D44" s="38"/>
      <c r="E44" s="48"/>
      <c r="F44" s="48"/>
      <c r="G44" s="34"/>
      <c r="H44" s="34"/>
      <c r="I44" s="54"/>
      <c r="J44" s="54"/>
      <c r="K44" s="53"/>
      <c r="L44" s="53"/>
      <c r="M44" s="53"/>
      <c r="N44" s="18"/>
      <c r="O44" s="18"/>
      <c r="P44" s="18"/>
      <c r="Q44" s="34"/>
      <c r="R44" s="34"/>
      <c r="S44" s="63"/>
      <c r="T44" s="53"/>
      <c r="U44" s="48"/>
      <c r="V44" s="11" t="s">
        <v>235</v>
      </c>
      <c r="W44" s="11">
        <v>12070000106</v>
      </c>
      <c r="X44" s="11" t="s">
        <v>236</v>
      </c>
      <c r="Y44" s="12" t="s">
        <v>39</v>
      </c>
      <c r="Z44" s="12" t="s">
        <v>39</v>
      </c>
      <c r="AA44" s="14" t="s">
        <v>38</v>
      </c>
      <c r="AB44" s="12" t="s">
        <v>39</v>
      </c>
      <c r="AC44" s="18">
        <v>6.5</v>
      </c>
      <c r="AD44" s="18">
        <v>6.5</v>
      </c>
      <c r="AE44" s="18">
        <v>5.6</v>
      </c>
      <c r="AF44" s="14" t="s">
        <v>40</v>
      </c>
    </row>
    <row r="45" s="22" customFormat="1" ht="80" customHeight="1" spans="1:32">
      <c r="A45" s="34">
        <v>21</v>
      </c>
      <c r="B45" s="11" t="s">
        <v>237</v>
      </c>
      <c r="C45" s="34" t="s">
        <v>238</v>
      </c>
      <c r="D45" s="38" t="s">
        <v>200</v>
      </c>
      <c r="E45" s="48" t="s">
        <v>239</v>
      </c>
      <c r="F45" s="48" t="s">
        <v>240</v>
      </c>
      <c r="G45" s="34" t="s">
        <v>241</v>
      </c>
      <c r="H45" s="34" t="s">
        <v>39</v>
      </c>
      <c r="I45" s="15">
        <v>1100</v>
      </c>
      <c r="J45" s="15">
        <v>990</v>
      </c>
      <c r="K45" s="52"/>
      <c r="L45" s="52"/>
      <c r="M45" s="52"/>
      <c r="N45" s="18">
        <v>1000</v>
      </c>
      <c r="O45" s="18">
        <v>900</v>
      </c>
      <c r="P45" s="18">
        <v>765</v>
      </c>
      <c r="Q45" s="34" t="s">
        <v>40</v>
      </c>
      <c r="R45" s="34" t="s">
        <v>39</v>
      </c>
      <c r="S45" s="63">
        <v>0.2</v>
      </c>
      <c r="T45" s="52" t="s">
        <v>120</v>
      </c>
      <c r="U45" s="48" t="s">
        <v>242</v>
      </c>
      <c r="V45" s="34"/>
      <c r="W45" s="34"/>
      <c r="X45" s="34"/>
      <c r="Y45" s="12"/>
      <c r="Z45" s="12"/>
      <c r="AA45" s="14"/>
      <c r="AB45" s="12"/>
      <c r="AC45" s="72"/>
      <c r="AD45" s="72"/>
      <c r="AE45" s="72"/>
      <c r="AF45" s="14"/>
    </row>
    <row r="46" s="22" customFormat="1" ht="90" customHeight="1" spans="1:32">
      <c r="A46" s="34">
        <v>22</v>
      </c>
      <c r="B46" s="11" t="s">
        <v>243</v>
      </c>
      <c r="C46" s="34" t="s">
        <v>244</v>
      </c>
      <c r="D46" s="38" t="s">
        <v>200</v>
      </c>
      <c r="E46" s="48" t="s">
        <v>245</v>
      </c>
      <c r="F46" s="48" t="s">
        <v>246</v>
      </c>
      <c r="G46" s="34" t="s">
        <v>38</v>
      </c>
      <c r="H46" s="34" t="s">
        <v>247</v>
      </c>
      <c r="I46" s="15">
        <v>110</v>
      </c>
      <c r="J46" s="15">
        <v>99</v>
      </c>
      <c r="K46" s="52">
        <v>115</v>
      </c>
      <c r="L46" s="52">
        <v>100</v>
      </c>
      <c r="M46" s="52">
        <v>85</v>
      </c>
      <c r="N46" s="58">
        <v>105</v>
      </c>
      <c r="O46" s="58">
        <v>95</v>
      </c>
      <c r="P46" s="58">
        <v>81</v>
      </c>
      <c r="Q46" s="62" t="s">
        <v>40</v>
      </c>
      <c r="R46" s="62" t="s">
        <v>39</v>
      </c>
      <c r="S46" s="64" t="s">
        <v>39</v>
      </c>
      <c r="T46" s="52" t="s">
        <v>41</v>
      </c>
      <c r="U46" s="67" t="s">
        <v>194</v>
      </c>
      <c r="V46" s="34" t="s">
        <v>248</v>
      </c>
      <c r="W46" s="34">
        <v>310605006</v>
      </c>
      <c r="X46" s="34" t="s">
        <v>249</v>
      </c>
      <c r="Y46" s="12" t="s">
        <v>250</v>
      </c>
      <c r="Z46" s="12" t="s">
        <v>39</v>
      </c>
      <c r="AA46" s="14" t="s">
        <v>251</v>
      </c>
      <c r="AB46" s="12" t="s">
        <v>39</v>
      </c>
      <c r="AC46" s="18">
        <v>115</v>
      </c>
      <c r="AD46" s="18">
        <v>100</v>
      </c>
      <c r="AE46" s="18">
        <v>85</v>
      </c>
      <c r="AF46" s="14" t="s">
        <v>40</v>
      </c>
    </row>
    <row r="47" s="22" customFormat="1" ht="66" customHeight="1" spans="1:32">
      <c r="A47" s="34">
        <v>23</v>
      </c>
      <c r="B47" s="11" t="s">
        <v>252</v>
      </c>
      <c r="C47" s="34" t="s">
        <v>253</v>
      </c>
      <c r="D47" s="38" t="s">
        <v>200</v>
      </c>
      <c r="E47" s="48" t="s">
        <v>254</v>
      </c>
      <c r="F47" s="48" t="s">
        <v>246</v>
      </c>
      <c r="G47" s="34" t="s">
        <v>38</v>
      </c>
      <c r="H47" s="11"/>
      <c r="I47" s="15">
        <v>180</v>
      </c>
      <c r="J47" s="15">
        <v>162</v>
      </c>
      <c r="K47" s="52">
        <v>149.5</v>
      </c>
      <c r="L47" s="52">
        <v>130</v>
      </c>
      <c r="M47" s="52">
        <v>110.5</v>
      </c>
      <c r="N47" s="58">
        <v>165</v>
      </c>
      <c r="O47" s="58">
        <v>150</v>
      </c>
      <c r="P47" s="58">
        <v>130</v>
      </c>
      <c r="Q47" s="62" t="s">
        <v>40</v>
      </c>
      <c r="R47" s="62" t="s">
        <v>39</v>
      </c>
      <c r="S47" s="64" t="s">
        <v>39</v>
      </c>
      <c r="T47" s="52" t="s">
        <v>209</v>
      </c>
      <c r="U47" s="67" t="s">
        <v>255</v>
      </c>
      <c r="V47" s="34" t="s">
        <v>256</v>
      </c>
      <c r="W47" s="34">
        <v>310605003</v>
      </c>
      <c r="X47" s="34" t="s">
        <v>257</v>
      </c>
      <c r="Y47" s="12" t="s">
        <v>258</v>
      </c>
      <c r="Z47" s="12" t="s">
        <v>259</v>
      </c>
      <c r="AA47" s="14" t="s">
        <v>38</v>
      </c>
      <c r="AB47" s="12" t="s">
        <v>260</v>
      </c>
      <c r="AC47" s="18">
        <v>149.5</v>
      </c>
      <c r="AD47" s="18">
        <v>130</v>
      </c>
      <c r="AE47" s="18">
        <v>110.5</v>
      </c>
      <c r="AF47" s="14" t="s">
        <v>40</v>
      </c>
    </row>
    <row r="48" s="22" customFormat="1" ht="51" spans="1:32">
      <c r="A48" s="34">
        <v>24</v>
      </c>
      <c r="B48" s="44" t="s">
        <v>261</v>
      </c>
      <c r="C48" s="62" t="s">
        <v>262</v>
      </c>
      <c r="D48" s="38" t="s">
        <v>200</v>
      </c>
      <c r="E48" s="48" t="s">
        <v>263</v>
      </c>
      <c r="F48" s="48" t="s">
        <v>246</v>
      </c>
      <c r="G48" s="34" t="s">
        <v>38</v>
      </c>
      <c r="H48" s="11"/>
      <c r="I48" s="15">
        <v>460</v>
      </c>
      <c r="J48" s="15">
        <v>414</v>
      </c>
      <c r="K48" s="53">
        <v>433.022900763359</v>
      </c>
      <c r="L48" s="53">
        <v>424.979079497908</v>
      </c>
      <c r="M48" s="53">
        <v>323.75</v>
      </c>
      <c r="N48" s="18">
        <v>435</v>
      </c>
      <c r="O48" s="58">
        <v>410</v>
      </c>
      <c r="P48" s="18">
        <v>350</v>
      </c>
      <c r="Q48" s="34" t="s">
        <v>40</v>
      </c>
      <c r="R48" s="34" t="s">
        <v>39</v>
      </c>
      <c r="S48" s="63" t="s">
        <v>39</v>
      </c>
      <c r="T48" s="53" t="s">
        <v>264</v>
      </c>
      <c r="U48" s="48" t="s">
        <v>265</v>
      </c>
      <c r="V48" s="34" t="s">
        <v>266</v>
      </c>
      <c r="W48" s="34">
        <v>310605008</v>
      </c>
      <c r="X48" s="34" t="s">
        <v>267</v>
      </c>
      <c r="Y48" s="12" t="s">
        <v>268</v>
      </c>
      <c r="Z48" s="12" t="s">
        <v>39</v>
      </c>
      <c r="AA48" s="14" t="s">
        <v>38</v>
      </c>
      <c r="AB48" s="12" t="s">
        <v>269</v>
      </c>
      <c r="AC48" s="18">
        <v>325</v>
      </c>
      <c r="AD48" s="18">
        <v>290</v>
      </c>
      <c r="AE48" s="18">
        <v>250</v>
      </c>
      <c r="AF48" s="14" t="s">
        <v>40</v>
      </c>
    </row>
    <row r="49" s="22" customFormat="1" ht="25.5" spans="1:32">
      <c r="A49" s="34"/>
      <c r="B49" s="11"/>
      <c r="C49" s="34"/>
      <c r="D49" s="38"/>
      <c r="E49" s="48"/>
      <c r="F49" s="48"/>
      <c r="G49" s="34"/>
      <c r="H49" s="11"/>
      <c r="I49" s="54"/>
      <c r="J49" s="54"/>
      <c r="K49" s="53"/>
      <c r="L49" s="53"/>
      <c r="M49" s="53"/>
      <c r="N49" s="18"/>
      <c r="O49" s="58"/>
      <c r="P49" s="18"/>
      <c r="Q49" s="34"/>
      <c r="R49" s="34"/>
      <c r="S49" s="63"/>
      <c r="T49" s="53"/>
      <c r="U49" s="48"/>
      <c r="V49" s="11" t="s">
        <v>270</v>
      </c>
      <c r="W49" s="11">
        <v>31060500801</v>
      </c>
      <c r="X49" s="11" t="s">
        <v>271</v>
      </c>
      <c r="Y49" s="12" t="s">
        <v>39</v>
      </c>
      <c r="Z49" s="12" t="s">
        <v>39</v>
      </c>
      <c r="AA49" s="14" t="s">
        <v>38</v>
      </c>
      <c r="AB49" s="12" t="s">
        <v>272</v>
      </c>
      <c r="AC49" s="18">
        <v>488</v>
      </c>
      <c r="AD49" s="18">
        <v>435</v>
      </c>
      <c r="AE49" s="18">
        <v>375</v>
      </c>
      <c r="AF49" s="14" t="s">
        <v>40</v>
      </c>
    </row>
    <row r="50" s="22" customFormat="1" ht="25.5" spans="1:32">
      <c r="A50" s="34"/>
      <c r="B50" s="11"/>
      <c r="C50" s="34"/>
      <c r="D50" s="38"/>
      <c r="E50" s="48"/>
      <c r="F50" s="48"/>
      <c r="G50" s="34"/>
      <c r="H50" s="11"/>
      <c r="I50" s="54"/>
      <c r="J50" s="54"/>
      <c r="K50" s="53"/>
      <c r="L50" s="53"/>
      <c r="M50" s="53"/>
      <c r="N50" s="18"/>
      <c r="O50" s="58"/>
      <c r="P50" s="18"/>
      <c r="Q50" s="34"/>
      <c r="R50" s="34"/>
      <c r="S50" s="63"/>
      <c r="T50" s="53"/>
      <c r="U50" s="48"/>
      <c r="V50" s="11" t="s">
        <v>273</v>
      </c>
      <c r="W50" s="11">
        <v>31060500802</v>
      </c>
      <c r="X50" s="11" t="s">
        <v>274</v>
      </c>
      <c r="Y50" s="12" t="s">
        <v>39</v>
      </c>
      <c r="Z50" s="12" t="s">
        <v>39</v>
      </c>
      <c r="AA50" s="14" t="s">
        <v>38</v>
      </c>
      <c r="AB50" s="12" t="s">
        <v>275</v>
      </c>
      <c r="AC50" s="18">
        <v>488</v>
      </c>
      <c r="AD50" s="18">
        <v>435</v>
      </c>
      <c r="AE50" s="18">
        <v>375</v>
      </c>
      <c r="AF50" s="14" t="s">
        <v>40</v>
      </c>
    </row>
    <row r="51" s="22" customFormat="1" ht="25.5" spans="1:32">
      <c r="A51" s="34"/>
      <c r="B51" s="11"/>
      <c r="C51" s="34"/>
      <c r="D51" s="38"/>
      <c r="E51" s="48"/>
      <c r="F51" s="48"/>
      <c r="G51" s="34"/>
      <c r="H51" s="11"/>
      <c r="I51" s="54"/>
      <c r="J51" s="54"/>
      <c r="K51" s="53"/>
      <c r="L51" s="53"/>
      <c r="M51" s="53"/>
      <c r="N51" s="18"/>
      <c r="O51" s="58"/>
      <c r="P51" s="18"/>
      <c r="Q51" s="34"/>
      <c r="R51" s="34"/>
      <c r="S51" s="63"/>
      <c r="T51" s="53"/>
      <c r="U51" s="48"/>
      <c r="V51" s="11" t="s">
        <v>276</v>
      </c>
      <c r="W51" s="11">
        <v>31060500803</v>
      </c>
      <c r="X51" s="11" t="s">
        <v>277</v>
      </c>
      <c r="Y51" s="12" t="s">
        <v>39</v>
      </c>
      <c r="Z51" s="12" t="s">
        <v>39</v>
      </c>
      <c r="AA51" s="14" t="s">
        <v>38</v>
      </c>
      <c r="AB51" s="12" t="s">
        <v>278</v>
      </c>
      <c r="AC51" s="18">
        <v>488</v>
      </c>
      <c r="AD51" s="18">
        <v>435</v>
      </c>
      <c r="AE51" s="18">
        <v>375</v>
      </c>
      <c r="AF51" s="14" t="s">
        <v>40</v>
      </c>
    </row>
    <row r="52" s="22" customFormat="1" ht="25.5" spans="1:32">
      <c r="A52" s="34"/>
      <c r="B52" s="11"/>
      <c r="C52" s="34"/>
      <c r="D52" s="38"/>
      <c r="E52" s="48"/>
      <c r="F52" s="48"/>
      <c r="G52" s="34"/>
      <c r="H52" s="11"/>
      <c r="I52" s="54"/>
      <c r="J52" s="54"/>
      <c r="K52" s="53"/>
      <c r="L52" s="53"/>
      <c r="M52" s="53"/>
      <c r="N52" s="18"/>
      <c r="O52" s="58"/>
      <c r="P52" s="18"/>
      <c r="Q52" s="34"/>
      <c r="R52" s="34"/>
      <c r="S52" s="63"/>
      <c r="T52" s="53"/>
      <c r="U52" s="48"/>
      <c r="V52" s="11" t="s">
        <v>279</v>
      </c>
      <c r="W52" s="11">
        <v>31060500804</v>
      </c>
      <c r="X52" s="11" t="s">
        <v>280</v>
      </c>
      <c r="Y52" s="12" t="s">
        <v>39</v>
      </c>
      <c r="Z52" s="12" t="s">
        <v>39</v>
      </c>
      <c r="AA52" s="14" t="s">
        <v>38</v>
      </c>
      <c r="AB52" s="12" t="s">
        <v>281</v>
      </c>
      <c r="AC52" s="18">
        <v>488</v>
      </c>
      <c r="AD52" s="18">
        <v>435</v>
      </c>
      <c r="AE52" s="18">
        <v>375</v>
      </c>
      <c r="AF52" s="14" t="s">
        <v>40</v>
      </c>
    </row>
    <row r="53" s="22" customFormat="1" ht="25.5" spans="1:32">
      <c r="A53" s="34"/>
      <c r="B53" s="11"/>
      <c r="C53" s="34"/>
      <c r="D53" s="38"/>
      <c r="E53" s="48"/>
      <c r="F53" s="48"/>
      <c r="G53" s="34"/>
      <c r="H53" s="11"/>
      <c r="I53" s="54"/>
      <c r="J53" s="54"/>
      <c r="K53" s="53"/>
      <c r="L53" s="53"/>
      <c r="M53" s="53"/>
      <c r="N53" s="18"/>
      <c r="O53" s="58"/>
      <c r="P53" s="18"/>
      <c r="Q53" s="34"/>
      <c r="R53" s="34"/>
      <c r="S53" s="63"/>
      <c r="T53" s="53"/>
      <c r="U53" s="48"/>
      <c r="V53" s="34" t="s">
        <v>282</v>
      </c>
      <c r="W53" s="34">
        <v>31060600101</v>
      </c>
      <c r="X53" s="34" t="s">
        <v>283</v>
      </c>
      <c r="Y53" s="12" t="s">
        <v>39</v>
      </c>
      <c r="Z53" s="12" t="s">
        <v>39</v>
      </c>
      <c r="AA53" s="14" t="s">
        <v>38</v>
      </c>
      <c r="AB53" s="12" t="s">
        <v>272</v>
      </c>
      <c r="AC53" s="18">
        <v>517.5</v>
      </c>
      <c r="AD53" s="18">
        <v>450</v>
      </c>
      <c r="AE53" s="18">
        <v>382.5</v>
      </c>
      <c r="AF53" s="14" t="s">
        <v>40</v>
      </c>
    </row>
    <row r="54" s="22" customFormat="1" ht="25.5" spans="1:32">
      <c r="A54" s="34"/>
      <c r="B54" s="11"/>
      <c r="C54" s="34"/>
      <c r="D54" s="38"/>
      <c r="E54" s="48"/>
      <c r="F54" s="48"/>
      <c r="G54" s="34"/>
      <c r="H54" s="11"/>
      <c r="I54" s="54"/>
      <c r="J54" s="54"/>
      <c r="K54" s="53"/>
      <c r="L54" s="53"/>
      <c r="M54" s="53"/>
      <c r="N54" s="18"/>
      <c r="O54" s="58"/>
      <c r="P54" s="18"/>
      <c r="Q54" s="34"/>
      <c r="R54" s="34"/>
      <c r="S54" s="63"/>
      <c r="T54" s="53"/>
      <c r="U54" s="48"/>
      <c r="V54" s="34" t="s">
        <v>284</v>
      </c>
      <c r="W54" s="34">
        <v>31060600102</v>
      </c>
      <c r="X54" s="34" t="s">
        <v>285</v>
      </c>
      <c r="Y54" s="12" t="s">
        <v>39</v>
      </c>
      <c r="Z54" s="12" t="s">
        <v>39</v>
      </c>
      <c r="AA54" s="14" t="s">
        <v>38</v>
      </c>
      <c r="AB54" s="12" t="s">
        <v>286</v>
      </c>
      <c r="AC54" s="18">
        <v>517.5</v>
      </c>
      <c r="AD54" s="18">
        <v>450</v>
      </c>
      <c r="AE54" s="18">
        <v>382.5</v>
      </c>
      <c r="AF54" s="14" t="s">
        <v>40</v>
      </c>
    </row>
    <row r="55" s="22" customFormat="1" ht="25.5" spans="1:32">
      <c r="A55" s="34"/>
      <c r="B55" s="11"/>
      <c r="C55" s="34"/>
      <c r="D55" s="38"/>
      <c r="E55" s="48"/>
      <c r="F55" s="48"/>
      <c r="G55" s="34"/>
      <c r="H55" s="11"/>
      <c r="I55" s="54"/>
      <c r="J55" s="54"/>
      <c r="K55" s="53"/>
      <c r="L55" s="53"/>
      <c r="M55" s="53"/>
      <c r="N55" s="18"/>
      <c r="O55" s="58"/>
      <c r="P55" s="18"/>
      <c r="Q55" s="34"/>
      <c r="R55" s="34"/>
      <c r="S55" s="63"/>
      <c r="T55" s="53"/>
      <c r="U55" s="48"/>
      <c r="V55" s="34" t="s">
        <v>287</v>
      </c>
      <c r="W55" s="34">
        <v>310606001</v>
      </c>
      <c r="X55" s="34" t="s">
        <v>288</v>
      </c>
      <c r="Y55" s="12" t="s">
        <v>289</v>
      </c>
      <c r="Z55" s="12" t="s">
        <v>290</v>
      </c>
      <c r="AA55" s="14" t="s">
        <v>38</v>
      </c>
      <c r="AB55" s="12" t="s">
        <v>291</v>
      </c>
      <c r="AC55" s="18">
        <v>345</v>
      </c>
      <c r="AD55" s="18">
        <v>300</v>
      </c>
      <c r="AE55" s="18">
        <v>255</v>
      </c>
      <c r="AF55" s="14" t="s">
        <v>40</v>
      </c>
    </row>
    <row r="56" s="22" customFormat="1" ht="25.5" spans="1:32">
      <c r="A56" s="34"/>
      <c r="B56" s="11"/>
      <c r="C56" s="34"/>
      <c r="D56" s="38"/>
      <c r="E56" s="48"/>
      <c r="F56" s="48"/>
      <c r="G56" s="34"/>
      <c r="H56" s="11"/>
      <c r="I56" s="54"/>
      <c r="J56" s="54"/>
      <c r="K56" s="53"/>
      <c r="L56" s="53"/>
      <c r="M56" s="53"/>
      <c r="N56" s="18"/>
      <c r="O56" s="58"/>
      <c r="P56" s="18"/>
      <c r="Q56" s="34"/>
      <c r="R56" s="34"/>
      <c r="S56" s="63"/>
      <c r="T56" s="53"/>
      <c r="U56" s="48"/>
      <c r="V56" s="34" t="s">
        <v>292</v>
      </c>
      <c r="W56" s="34">
        <v>310605009</v>
      </c>
      <c r="X56" s="34" t="s">
        <v>293</v>
      </c>
      <c r="Y56" s="12" t="s">
        <v>39</v>
      </c>
      <c r="Z56" s="12" t="s">
        <v>294</v>
      </c>
      <c r="AA56" s="14" t="s">
        <v>38</v>
      </c>
      <c r="AB56" s="12" t="s">
        <v>39</v>
      </c>
      <c r="AC56" s="18">
        <v>230</v>
      </c>
      <c r="AD56" s="18">
        <v>200</v>
      </c>
      <c r="AE56" s="18">
        <v>170</v>
      </c>
      <c r="AF56" s="14" t="s">
        <v>40</v>
      </c>
    </row>
    <row r="57" s="22" customFormat="1" ht="67" customHeight="1" spans="1:32">
      <c r="A57" s="34">
        <v>25</v>
      </c>
      <c r="B57" s="46" t="s">
        <v>295</v>
      </c>
      <c r="C57" s="37" t="s">
        <v>296</v>
      </c>
      <c r="D57" s="43" t="s">
        <v>297</v>
      </c>
      <c r="E57" s="48" t="s">
        <v>298</v>
      </c>
      <c r="F57" s="48" t="s">
        <v>299</v>
      </c>
      <c r="G57" s="37" t="s">
        <v>38</v>
      </c>
      <c r="H57" s="46"/>
      <c r="I57" s="15">
        <v>780</v>
      </c>
      <c r="J57" s="15">
        <v>702</v>
      </c>
      <c r="K57" s="52">
        <v>545</v>
      </c>
      <c r="L57" s="52">
        <v>490</v>
      </c>
      <c r="M57" s="52">
        <v>420</v>
      </c>
      <c r="N57" s="58">
        <v>710</v>
      </c>
      <c r="O57" s="58">
        <v>640</v>
      </c>
      <c r="P57" s="58">
        <v>545</v>
      </c>
      <c r="Q57" s="37" t="s">
        <v>40</v>
      </c>
      <c r="R57" s="37" t="s">
        <v>39</v>
      </c>
      <c r="S57" s="65" t="s">
        <v>39</v>
      </c>
      <c r="T57" s="52" t="s">
        <v>209</v>
      </c>
      <c r="U57" s="48" t="s">
        <v>300</v>
      </c>
      <c r="V57" s="34" t="s">
        <v>301</v>
      </c>
      <c r="W57" s="37">
        <v>310605010</v>
      </c>
      <c r="X57" s="37" t="s">
        <v>302</v>
      </c>
      <c r="Y57" s="12" t="s">
        <v>303</v>
      </c>
      <c r="Z57" s="12" t="s">
        <v>304</v>
      </c>
      <c r="AA57" s="14" t="s">
        <v>38</v>
      </c>
      <c r="AB57" s="12" t="s">
        <v>39</v>
      </c>
      <c r="AC57" s="18">
        <v>545</v>
      </c>
      <c r="AD57" s="18">
        <v>490</v>
      </c>
      <c r="AE57" s="18">
        <v>420</v>
      </c>
      <c r="AF57" s="14" t="s">
        <v>40</v>
      </c>
    </row>
    <row r="58" s="22" customFormat="1" ht="34" customHeight="1" spans="1:32">
      <c r="A58" s="34" t="s">
        <v>68</v>
      </c>
      <c r="B58" s="11" t="s">
        <v>305</v>
      </c>
      <c r="C58" s="34" t="s">
        <v>306</v>
      </c>
      <c r="D58" s="38" t="s">
        <v>297</v>
      </c>
      <c r="E58" s="48" t="s">
        <v>39</v>
      </c>
      <c r="F58" s="48" t="s">
        <v>39</v>
      </c>
      <c r="G58" s="34" t="s">
        <v>38</v>
      </c>
      <c r="H58" s="34" t="s">
        <v>39</v>
      </c>
      <c r="I58" s="15">
        <v>234</v>
      </c>
      <c r="J58" s="15">
        <v>211</v>
      </c>
      <c r="K58" s="52"/>
      <c r="L58" s="52"/>
      <c r="M58" s="52"/>
      <c r="N58" s="18">
        <v>215</v>
      </c>
      <c r="O58" s="18">
        <v>190</v>
      </c>
      <c r="P58" s="18">
        <v>165</v>
      </c>
      <c r="Q58" s="34" t="s">
        <v>40</v>
      </c>
      <c r="R58" s="34" t="s">
        <v>39</v>
      </c>
      <c r="S58" s="63" t="s">
        <v>39</v>
      </c>
      <c r="T58" s="52"/>
      <c r="U58" s="48" t="s">
        <v>71</v>
      </c>
      <c r="V58" s="34"/>
      <c r="W58" s="34"/>
      <c r="X58" s="34"/>
      <c r="Y58" s="12"/>
      <c r="Z58" s="12"/>
      <c r="AA58" s="14"/>
      <c r="AB58" s="12"/>
      <c r="AC58" s="72"/>
      <c r="AD58" s="72"/>
      <c r="AE58" s="72"/>
      <c r="AF58" s="14"/>
    </row>
    <row r="59" s="22" customFormat="1" ht="63" customHeight="1" spans="1:32">
      <c r="A59" s="34">
        <v>26</v>
      </c>
      <c r="B59" s="11" t="s">
        <v>307</v>
      </c>
      <c r="C59" s="34" t="s">
        <v>308</v>
      </c>
      <c r="D59" s="38" t="s">
        <v>297</v>
      </c>
      <c r="E59" s="48" t="s">
        <v>309</v>
      </c>
      <c r="F59" s="48" t="s">
        <v>310</v>
      </c>
      <c r="G59" s="34" t="s">
        <v>38</v>
      </c>
      <c r="H59" s="34" t="s">
        <v>39</v>
      </c>
      <c r="I59" s="15">
        <v>780</v>
      </c>
      <c r="J59" s="15">
        <v>702</v>
      </c>
      <c r="K59" s="52">
        <v>545</v>
      </c>
      <c r="L59" s="52">
        <v>490</v>
      </c>
      <c r="M59" s="52">
        <v>420</v>
      </c>
      <c r="N59" s="58">
        <v>710</v>
      </c>
      <c r="O59" s="58">
        <v>640</v>
      </c>
      <c r="P59" s="58">
        <v>545</v>
      </c>
      <c r="Q59" s="37" t="s">
        <v>40</v>
      </c>
      <c r="R59" s="37" t="s">
        <v>39</v>
      </c>
      <c r="S59" s="65" t="s">
        <v>39</v>
      </c>
      <c r="T59" s="52" t="s">
        <v>209</v>
      </c>
      <c r="U59" s="48" t="s">
        <v>300</v>
      </c>
      <c r="V59" s="34" t="s">
        <v>311</v>
      </c>
      <c r="W59" s="38">
        <v>31060501001</v>
      </c>
      <c r="X59" s="38" t="s">
        <v>312</v>
      </c>
      <c r="Y59" s="12" t="s">
        <v>39</v>
      </c>
      <c r="Z59" s="12" t="s">
        <v>39</v>
      </c>
      <c r="AA59" s="14" t="s">
        <v>38</v>
      </c>
      <c r="AB59" s="12" t="s">
        <v>39</v>
      </c>
      <c r="AC59" s="18">
        <v>545</v>
      </c>
      <c r="AD59" s="18">
        <v>490</v>
      </c>
      <c r="AE59" s="18">
        <v>420</v>
      </c>
      <c r="AF59" s="14" t="s">
        <v>40</v>
      </c>
    </row>
    <row r="60" s="22" customFormat="1" ht="38" customHeight="1" spans="1:32">
      <c r="A60" s="34" t="s">
        <v>68</v>
      </c>
      <c r="B60" s="11" t="s">
        <v>313</v>
      </c>
      <c r="C60" s="34" t="s">
        <v>314</v>
      </c>
      <c r="D60" s="38" t="s">
        <v>297</v>
      </c>
      <c r="E60" s="48" t="s">
        <v>39</v>
      </c>
      <c r="F60" s="48" t="s">
        <v>39</v>
      </c>
      <c r="G60" s="34" t="s">
        <v>38</v>
      </c>
      <c r="H60" s="34" t="s">
        <v>39</v>
      </c>
      <c r="I60" s="15">
        <v>234</v>
      </c>
      <c r="J60" s="15">
        <v>211</v>
      </c>
      <c r="K60" s="52"/>
      <c r="L60" s="52"/>
      <c r="M60" s="52"/>
      <c r="N60" s="18">
        <v>215</v>
      </c>
      <c r="O60" s="18">
        <v>190</v>
      </c>
      <c r="P60" s="18">
        <v>165</v>
      </c>
      <c r="Q60" s="34" t="s">
        <v>40</v>
      </c>
      <c r="R60" s="34" t="s">
        <v>39</v>
      </c>
      <c r="S60" s="63" t="s">
        <v>39</v>
      </c>
      <c r="T60" s="52"/>
      <c r="U60" s="48" t="s">
        <v>71</v>
      </c>
      <c r="V60" s="34"/>
      <c r="W60" s="38"/>
      <c r="X60" s="38"/>
      <c r="Y60" s="12"/>
      <c r="Z60" s="12"/>
      <c r="AA60" s="14"/>
      <c r="AB60" s="12"/>
      <c r="AC60" s="72"/>
      <c r="AD60" s="72"/>
      <c r="AE60" s="72"/>
      <c r="AF60" s="14"/>
    </row>
    <row r="61" s="22" customFormat="1" ht="72" customHeight="1" spans="1:32">
      <c r="A61" s="34">
        <v>27</v>
      </c>
      <c r="B61" s="11" t="s">
        <v>315</v>
      </c>
      <c r="C61" s="34" t="s">
        <v>316</v>
      </c>
      <c r="D61" s="38" t="s">
        <v>297</v>
      </c>
      <c r="E61" s="48" t="s">
        <v>317</v>
      </c>
      <c r="F61" s="48" t="s">
        <v>318</v>
      </c>
      <c r="G61" s="34" t="s">
        <v>38</v>
      </c>
      <c r="H61" s="34" t="s">
        <v>319</v>
      </c>
      <c r="I61" s="15">
        <v>1040</v>
      </c>
      <c r="J61" s="15">
        <v>936</v>
      </c>
      <c r="K61" s="52">
        <v>625</v>
      </c>
      <c r="L61" s="52">
        <v>600</v>
      </c>
      <c r="M61" s="52">
        <v>510</v>
      </c>
      <c r="N61" s="58">
        <v>950</v>
      </c>
      <c r="O61" s="58">
        <v>855</v>
      </c>
      <c r="P61" s="58">
        <v>725</v>
      </c>
      <c r="Q61" s="34" t="s">
        <v>40</v>
      </c>
      <c r="R61" s="34" t="s">
        <v>39</v>
      </c>
      <c r="S61" s="63" t="s">
        <v>39</v>
      </c>
      <c r="T61" s="52" t="s">
        <v>209</v>
      </c>
      <c r="U61" s="48" t="s">
        <v>300</v>
      </c>
      <c r="V61" s="34" t="s">
        <v>320</v>
      </c>
      <c r="W61" s="34">
        <v>330703024</v>
      </c>
      <c r="X61" s="34" t="s">
        <v>321</v>
      </c>
      <c r="Y61" s="12" t="s">
        <v>39</v>
      </c>
      <c r="Z61" s="12" t="s">
        <v>39</v>
      </c>
      <c r="AA61" s="14" t="s">
        <v>38</v>
      </c>
      <c r="AB61" s="12" t="s">
        <v>39</v>
      </c>
      <c r="AC61" s="18">
        <v>625</v>
      </c>
      <c r="AD61" s="18">
        <v>600</v>
      </c>
      <c r="AE61" s="18">
        <v>510</v>
      </c>
      <c r="AF61" s="14" t="s">
        <v>40</v>
      </c>
    </row>
    <row r="62" s="22" customFormat="1" ht="36" customHeight="1" spans="1:32">
      <c r="A62" s="34" t="s">
        <v>68</v>
      </c>
      <c r="B62" s="11" t="s">
        <v>322</v>
      </c>
      <c r="C62" s="34" t="s">
        <v>323</v>
      </c>
      <c r="D62" s="38" t="s">
        <v>297</v>
      </c>
      <c r="E62" s="48" t="s">
        <v>39</v>
      </c>
      <c r="F62" s="48" t="s">
        <v>39</v>
      </c>
      <c r="G62" s="34" t="s">
        <v>38</v>
      </c>
      <c r="H62" s="34" t="s">
        <v>39</v>
      </c>
      <c r="I62" s="15">
        <v>312</v>
      </c>
      <c r="J62" s="15">
        <v>281</v>
      </c>
      <c r="K62" s="52"/>
      <c r="L62" s="52"/>
      <c r="M62" s="52"/>
      <c r="N62" s="18">
        <v>285</v>
      </c>
      <c r="O62" s="18">
        <v>255</v>
      </c>
      <c r="P62" s="18">
        <v>215</v>
      </c>
      <c r="Q62" s="34" t="s">
        <v>40</v>
      </c>
      <c r="R62" s="34" t="s">
        <v>39</v>
      </c>
      <c r="S62" s="63" t="s">
        <v>39</v>
      </c>
      <c r="T62" s="52"/>
      <c r="U62" s="48" t="s">
        <v>71</v>
      </c>
      <c r="V62" s="11" t="s">
        <v>324</v>
      </c>
      <c r="W62" s="11">
        <v>33070302401</v>
      </c>
      <c r="X62" s="11" t="s">
        <v>325</v>
      </c>
      <c r="Y62" s="12" t="s">
        <v>39</v>
      </c>
      <c r="Z62" s="12" t="s">
        <v>39</v>
      </c>
      <c r="AA62" s="14" t="s">
        <v>38</v>
      </c>
      <c r="AB62" s="12" t="s">
        <v>39</v>
      </c>
      <c r="AC62" s="18">
        <v>815</v>
      </c>
      <c r="AD62" s="18">
        <v>780</v>
      </c>
      <c r="AE62" s="18">
        <v>665</v>
      </c>
      <c r="AF62" s="14" t="s">
        <v>40</v>
      </c>
    </row>
    <row r="63" s="22" customFormat="1" ht="55" customHeight="1" spans="1:32">
      <c r="A63" s="34">
        <v>28</v>
      </c>
      <c r="B63" s="11" t="s">
        <v>326</v>
      </c>
      <c r="C63" s="34" t="s">
        <v>327</v>
      </c>
      <c r="D63" s="38" t="s">
        <v>297</v>
      </c>
      <c r="E63" s="48" t="s">
        <v>328</v>
      </c>
      <c r="F63" s="48" t="s">
        <v>329</v>
      </c>
      <c r="G63" s="34" t="s">
        <v>38</v>
      </c>
      <c r="H63" s="34" t="s">
        <v>39</v>
      </c>
      <c r="I63" s="15">
        <v>1090</v>
      </c>
      <c r="J63" s="15">
        <v>981</v>
      </c>
      <c r="K63" s="52">
        <v>575</v>
      </c>
      <c r="L63" s="52">
        <v>500</v>
      </c>
      <c r="M63" s="52">
        <v>425</v>
      </c>
      <c r="N63" s="58">
        <v>1000</v>
      </c>
      <c r="O63" s="58">
        <v>900</v>
      </c>
      <c r="P63" s="58">
        <v>765</v>
      </c>
      <c r="Q63" s="34" t="s">
        <v>40</v>
      </c>
      <c r="R63" s="34" t="s">
        <v>39</v>
      </c>
      <c r="S63" s="63" t="s">
        <v>39</v>
      </c>
      <c r="T63" s="52" t="s">
        <v>209</v>
      </c>
      <c r="U63" s="48" t="s">
        <v>300</v>
      </c>
      <c r="V63" s="34" t="s">
        <v>330</v>
      </c>
      <c r="W63" s="34">
        <v>310605012</v>
      </c>
      <c r="X63" s="34" t="s">
        <v>331</v>
      </c>
      <c r="Y63" s="12" t="s">
        <v>39</v>
      </c>
      <c r="Z63" s="12" t="s">
        <v>39</v>
      </c>
      <c r="AA63" s="14" t="s">
        <v>38</v>
      </c>
      <c r="AB63" s="12" t="s">
        <v>39</v>
      </c>
      <c r="AC63" s="18">
        <v>575</v>
      </c>
      <c r="AD63" s="18">
        <v>500</v>
      </c>
      <c r="AE63" s="18">
        <v>425</v>
      </c>
      <c r="AF63" s="14" t="s">
        <v>40</v>
      </c>
    </row>
    <row r="64" s="22" customFormat="1" ht="36" customHeight="1" spans="1:32">
      <c r="A64" s="34" t="s">
        <v>68</v>
      </c>
      <c r="B64" s="11" t="s">
        <v>332</v>
      </c>
      <c r="C64" s="34" t="s">
        <v>333</v>
      </c>
      <c r="D64" s="38" t="s">
        <v>297</v>
      </c>
      <c r="E64" s="48" t="s">
        <v>39</v>
      </c>
      <c r="F64" s="48" t="s">
        <v>39</v>
      </c>
      <c r="G64" s="34" t="s">
        <v>38</v>
      </c>
      <c r="H64" s="34" t="s">
        <v>39</v>
      </c>
      <c r="I64" s="15">
        <v>327</v>
      </c>
      <c r="J64" s="15">
        <v>294</v>
      </c>
      <c r="K64" s="52"/>
      <c r="L64" s="52"/>
      <c r="M64" s="52"/>
      <c r="N64" s="18">
        <v>300</v>
      </c>
      <c r="O64" s="18">
        <v>270</v>
      </c>
      <c r="P64" s="18">
        <v>230</v>
      </c>
      <c r="Q64" s="34" t="s">
        <v>40</v>
      </c>
      <c r="R64" s="34" t="s">
        <v>39</v>
      </c>
      <c r="S64" s="63" t="s">
        <v>39</v>
      </c>
      <c r="T64" s="52"/>
      <c r="U64" s="48" t="s">
        <v>71</v>
      </c>
      <c r="V64" s="34"/>
      <c r="W64" s="34"/>
      <c r="X64" s="34"/>
      <c r="Y64" s="12"/>
      <c r="Z64" s="12"/>
      <c r="AA64" s="14"/>
      <c r="AB64" s="12"/>
      <c r="AC64" s="18"/>
      <c r="AD64" s="18"/>
      <c r="AE64" s="18"/>
      <c r="AF64" s="14"/>
    </row>
    <row r="65" s="22" customFormat="1" ht="63.75" spans="1:32">
      <c r="A65" s="34">
        <v>29</v>
      </c>
      <c r="B65" s="11" t="s">
        <v>334</v>
      </c>
      <c r="C65" s="34" t="s">
        <v>335</v>
      </c>
      <c r="D65" s="38" t="s">
        <v>297</v>
      </c>
      <c r="E65" s="48" t="s">
        <v>336</v>
      </c>
      <c r="F65" s="48" t="s">
        <v>337</v>
      </c>
      <c r="G65" s="34" t="s">
        <v>38</v>
      </c>
      <c r="H65" s="34" t="s">
        <v>39</v>
      </c>
      <c r="I65" s="15">
        <v>1016</v>
      </c>
      <c r="J65" s="15">
        <v>914</v>
      </c>
      <c r="K65" s="52"/>
      <c r="L65" s="52"/>
      <c r="M65" s="52"/>
      <c r="N65" s="18">
        <v>920</v>
      </c>
      <c r="O65" s="18">
        <v>830</v>
      </c>
      <c r="P65" s="18">
        <v>705</v>
      </c>
      <c r="Q65" s="34" t="s">
        <v>119</v>
      </c>
      <c r="R65" s="34" t="s">
        <v>39</v>
      </c>
      <c r="S65" s="63" t="s">
        <v>39</v>
      </c>
      <c r="T65" s="52" t="s">
        <v>120</v>
      </c>
      <c r="U65" s="48" t="s">
        <v>242</v>
      </c>
      <c r="V65" s="34"/>
      <c r="W65" s="34"/>
      <c r="X65" s="34"/>
      <c r="Y65" s="12"/>
      <c r="Z65" s="12"/>
      <c r="AA65" s="14"/>
      <c r="AB65" s="12"/>
      <c r="AC65" s="72"/>
      <c r="AD65" s="72"/>
      <c r="AE65" s="72"/>
      <c r="AF65" s="14"/>
    </row>
    <row r="66" s="22" customFormat="1" ht="25.5" spans="1:32">
      <c r="A66" s="34" t="s">
        <v>68</v>
      </c>
      <c r="B66" s="11" t="s">
        <v>338</v>
      </c>
      <c r="C66" s="34" t="s">
        <v>339</v>
      </c>
      <c r="D66" s="38" t="s">
        <v>297</v>
      </c>
      <c r="E66" s="48" t="s">
        <v>39</v>
      </c>
      <c r="F66" s="48" t="s">
        <v>39</v>
      </c>
      <c r="G66" s="34" t="s">
        <v>38</v>
      </c>
      <c r="H66" s="34" t="s">
        <v>39</v>
      </c>
      <c r="I66" s="15">
        <v>305</v>
      </c>
      <c r="J66" s="15">
        <v>274</v>
      </c>
      <c r="K66" s="52"/>
      <c r="L66" s="52"/>
      <c r="M66" s="52"/>
      <c r="N66" s="18">
        <v>275</v>
      </c>
      <c r="O66" s="18">
        <v>250</v>
      </c>
      <c r="P66" s="18">
        <v>210</v>
      </c>
      <c r="Q66" s="34" t="s">
        <v>119</v>
      </c>
      <c r="R66" s="34" t="s">
        <v>39</v>
      </c>
      <c r="S66" s="63" t="s">
        <v>39</v>
      </c>
      <c r="T66" s="52"/>
      <c r="U66" s="48"/>
      <c r="V66" s="34"/>
      <c r="W66" s="34"/>
      <c r="X66" s="34"/>
      <c r="Y66" s="12"/>
      <c r="Z66" s="12"/>
      <c r="AA66" s="14"/>
      <c r="AB66" s="12"/>
      <c r="AC66" s="72"/>
      <c r="AD66" s="72"/>
      <c r="AE66" s="72"/>
      <c r="AF66" s="14"/>
    </row>
    <row r="67" s="22" customFormat="1" ht="35" customHeight="1" spans="1:32">
      <c r="A67" s="34">
        <v>30</v>
      </c>
      <c r="B67" s="11" t="s">
        <v>340</v>
      </c>
      <c r="C67" s="34" t="s">
        <v>341</v>
      </c>
      <c r="D67" s="38" t="s">
        <v>297</v>
      </c>
      <c r="E67" s="48" t="s">
        <v>342</v>
      </c>
      <c r="F67" s="48" t="s">
        <v>343</v>
      </c>
      <c r="G67" s="34" t="s">
        <v>38</v>
      </c>
      <c r="H67" s="34" t="s">
        <v>39</v>
      </c>
      <c r="I67" s="15">
        <v>360</v>
      </c>
      <c r="J67" s="15">
        <v>324</v>
      </c>
      <c r="K67" s="52">
        <v>299</v>
      </c>
      <c r="L67" s="52">
        <v>260</v>
      </c>
      <c r="M67" s="52">
        <v>221</v>
      </c>
      <c r="N67" s="58">
        <v>330</v>
      </c>
      <c r="O67" s="58">
        <v>300</v>
      </c>
      <c r="P67" s="58">
        <v>260</v>
      </c>
      <c r="Q67" s="34" t="s">
        <v>40</v>
      </c>
      <c r="R67" s="34" t="s">
        <v>39</v>
      </c>
      <c r="S67" s="63" t="s">
        <v>39</v>
      </c>
      <c r="T67" s="52" t="s">
        <v>344</v>
      </c>
      <c r="U67" s="48" t="s">
        <v>345</v>
      </c>
      <c r="V67" s="34" t="s">
        <v>256</v>
      </c>
      <c r="W67" s="34">
        <v>310605003</v>
      </c>
      <c r="X67" s="34" t="s">
        <v>257</v>
      </c>
      <c r="Y67" s="12" t="s">
        <v>258</v>
      </c>
      <c r="Z67" s="12" t="s">
        <v>259</v>
      </c>
      <c r="AA67" s="14" t="s">
        <v>38</v>
      </c>
      <c r="AB67" s="12" t="s">
        <v>260</v>
      </c>
      <c r="AC67" s="18">
        <v>149.5</v>
      </c>
      <c r="AD67" s="18">
        <v>130</v>
      </c>
      <c r="AE67" s="18">
        <v>110.5</v>
      </c>
      <c r="AF67" s="14" t="s">
        <v>40</v>
      </c>
    </row>
    <row r="68" s="22" customFormat="1" ht="35" customHeight="1" spans="1:32">
      <c r="A68" s="34"/>
      <c r="B68" s="11"/>
      <c r="C68" s="34"/>
      <c r="D68" s="38"/>
      <c r="E68" s="48"/>
      <c r="F68" s="48"/>
      <c r="G68" s="34"/>
      <c r="H68" s="34"/>
      <c r="I68" s="54"/>
      <c r="J68" s="54"/>
      <c r="K68" s="52"/>
      <c r="L68" s="52"/>
      <c r="M68" s="52"/>
      <c r="N68" s="58"/>
      <c r="O68" s="58"/>
      <c r="P68" s="58"/>
      <c r="Q68" s="34"/>
      <c r="R68" s="34"/>
      <c r="S68" s="63"/>
      <c r="T68" s="52"/>
      <c r="U68" s="48"/>
      <c r="V68" s="34" t="s">
        <v>346</v>
      </c>
      <c r="W68" s="34">
        <v>31060500301</v>
      </c>
      <c r="X68" s="34" t="s">
        <v>347</v>
      </c>
      <c r="Y68" s="12" t="s">
        <v>39</v>
      </c>
      <c r="Z68" s="12" t="s">
        <v>39</v>
      </c>
      <c r="AA68" s="14" t="s">
        <v>38</v>
      </c>
      <c r="AB68" s="12" t="s">
        <v>348</v>
      </c>
      <c r="AC68" s="18">
        <v>149.5</v>
      </c>
      <c r="AD68" s="18">
        <v>130</v>
      </c>
      <c r="AE68" s="18">
        <v>110.5</v>
      </c>
      <c r="AF68" s="14" t="s">
        <v>40</v>
      </c>
    </row>
    <row r="69" s="22" customFormat="1" ht="33" customHeight="1" spans="1:32">
      <c r="A69" s="34" t="s">
        <v>68</v>
      </c>
      <c r="B69" s="11" t="s">
        <v>349</v>
      </c>
      <c r="C69" s="34" t="s">
        <v>350</v>
      </c>
      <c r="D69" s="38" t="s">
        <v>297</v>
      </c>
      <c r="E69" s="48" t="s">
        <v>39</v>
      </c>
      <c r="F69" s="48" t="s">
        <v>39</v>
      </c>
      <c r="G69" s="34" t="s">
        <v>38</v>
      </c>
      <c r="H69" s="34" t="s">
        <v>39</v>
      </c>
      <c r="I69" s="15">
        <v>108</v>
      </c>
      <c r="J69" s="15">
        <v>97</v>
      </c>
      <c r="K69" s="52"/>
      <c r="L69" s="52"/>
      <c r="M69" s="52"/>
      <c r="N69" s="18">
        <v>99</v>
      </c>
      <c r="O69" s="18">
        <v>90</v>
      </c>
      <c r="P69" s="18">
        <v>78</v>
      </c>
      <c r="Q69" s="34" t="s">
        <v>40</v>
      </c>
      <c r="R69" s="34" t="s">
        <v>39</v>
      </c>
      <c r="S69" s="63" t="s">
        <v>39</v>
      </c>
      <c r="T69" s="52"/>
      <c r="U69" s="48"/>
      <c r="V69" s="34"/>
      <c r="W69" s="34"/>
      <c r="X69" s="34"/>
      <c r="Y69" s="12"/>
      <c r="Z69" s="12"/>
      <c r="AA69" s="14"/>
      <c r="AB69" s="12"/>
      <c r="AC69" s="72"/>
      <c r="AD69" s="72"/>
      <c r="AE69" s="72"/>
      <c r="AF69" s="14"/>
    </row>
    <row r="70" s="22" customFormat="1" ht="38.25" spans="1:32">
      <c r="A70" s="34">
        <v>31</v>
      </c>
      <c r="B70" s="11" t="s">
        <v>351</v>
      </c>
      <c r="C70" s="34" t="s">
        <v>352</v>
      </c>
      <c r="D70" s="38" t="s">
        <v>297</v>
      </c>
      <c r="E70" s="48" t="s">
        <v>353</v>
      </c>
      <c r="F70" s="48" t="s">
        <v>354</v>
      </c>
      <c r="G70" s="34" t="s">
        <v>38</v>
      </c>
      <c r="H70" s="34" t="s">
        <v>39</v>
      </c>
      <c r="I70" s="15">
        <v>5274</v>
      </c>
      <c r="J70" s="15">
        <v>4747</v>
      </c>
      <c r="K70" s="52">
        <v>3930</v>
      </c>
      <c r="L70" s="52">
        <v>3540</v>
      </c>
      <c r="M70" s="52">
        <v>3010</v>
      </c>
      <c r="N70" s="58">
        <v>4750</v>
      </c>
      <c r="O70" s="58">
        <v>4300</v>
      </c>
      <c r="P70" s="58">
        <v>3650</v>
      </c>
      <c r="Q70" s="62" t="s">
        <v>40</v>
      </c>
      <c r="R70" s="62" t="s">
        <v>39</v>
      </c>
      <c r="S70" s="64" t="s">
        <v>39</v>
      </c>
      <c r="T70" s="52" t="s">
        <v>344</v>
      </c>
      <c r="U70" s="67" t="s">
        <v>355</v>
      </c>
      <c r="V70" s="34" t="s">
        <v>356</v>
      </c>
      <c r="W70" s="34">
        <v>330701042</v>
      </c>
      <c r="X70" s="34" t="s">
        <v>357</v>
      </c>
      <c r="Y70" s="12" t="s">
        <v>358</v>
      </c>
      <c r="Z70" s="12" t="s">
        <v>39</v>
      </c>
      <c r="AA70" s="14" t="s">
        <v>38</v>
      </c>
      <c r="AB70" s="12" t="s">
        <v>359</v>
      </c>
      <c r="AC70" s="18">
        <v>3930</v>
      </c>
      <c r="AD70" s="18">
        <v>3540</v>
      </c>
      <c r="AE70" s="18">
        <v>3010</v>
      </c>
      <c r="AF70" s="14" t="s">
        <v>40</v>
      </c>
    </row>
    <row r="71" s="22" customFormat="1" ht="25.5" spans="1:33">
      <c r="A71" s="34"/>
      <c r="B71" s="11"/>
      <c r="C71" s="34"/>
      <c r="D71" s="38"/>
      <c r="E71" s="48"/>
      <c r="F71" s="48"/>
      <c r="G71" s="34"/>
      <c r="H71" s="34"/>
      <c r="I71" s="54"/>
      <c r="J71" s="54"/>
      <c r="K71" s="52"/>
      <c r="L71" s="52"/>
      <c r="M71" s="52"/>
      <c r="N71" s="58"/>
      <c r="O71" s="58"/>
      <c r="P71" s="58"/>
      <c r="Q71" s="62"/>
      <c r="R71" s="62"/>
      <c r="S71" s="64"/>
      <c r="T71" s="52"/>
      <c r="U71" s="67"/>
      <c r="V71" s="11" t="s">
        <v>360</v>
      </c>
      <c r="W71" s="11">
        <v>33070104202</v>
      </c>
      <c r="X71" s="11" t="s">
        <v>361</v>
      </c>
      <c r="Y71" s="12" t="s">
        <v>39</v>
      </c>
      <c r="Z71" s="12" t="s">
        <v>39</v>
      </c>
      <c r="AA71" s="14" t="s">
        <v>38</v>
      </c>
      <c r="AB71" s="12" t="s">
        <v>39</v>
      </c>
      <c r="AC71" s="18">
        <v>1150</v>
      </c>
      <c r="AD71" s="18">
        <v>1040</v>
      </c>
      <c r="AE71" s="18">
        <v>885</v>
      </c>
      <c r="AF71" s="14" t="s">
        <v>40</v>
      </c>
      <c r="AG71" s="22" t="s">
        <v>58</v>
      </c>
    </row>
    <row r="72" s="22" customFormat="1" ht="25.5" spans="1:33">
      <c r="A72" s="34"/>
      <c r="B72" s="11"/>
      <c r="C72" s="34"/>
      <c r="D72" s="38"/>
      <c r="E72" s="48"/>
      <c r="F72" s="48"/>
      <c r="G72" s="34"/>
      <c r="H72" s="34"/>
      <c r="I72" s="54"/>
      <c r="J72" s="54"/>
      <c r="K72" s="52"/>
      <c r="L72" s="52"/>
      <c r="M72" s="52"/>
      <c r="N72" s="58"/>
      <c r="O72" s="58"/>
      <c r="P72" s="58"/>
      <c r="Q72" s="62"/>
      <c r="R72" s="62"/>
      <c r="S72" s="64"/>
      <c r="T72" s="52"/>
      <c r="U72" s="67"/>
      <c r="V72" s="34" t="s">
        <v>362</v>
      </c>
      <c r="W72" s="34">
        <v>330701039</v>
      </c>
      <c r="X72" s="34" t="s">
        <v>363</v>
      </c>
      <c r="Y72" s="12" t="s">
        <v>39</v>
      </c>
      <c r="Z72" s="12" t="s">
        <v>39</v>
      </c>
      <c r="AA72" s="14" t="s">
        <v>38</v>
      </c>
      <c r="AB72" s="12" t="s">
        <v>39</v>
      </c>
      <c r="AC72" s="18">
        <v>1625</v>
      </c>
      <c r="AD72" s="18">
        <v>1560</v>
      </c>
      <c r="AE72" s="18">
        <v>1326</v>
      </c>
      <c r="AF72" s="14" t="s">
        <v>40</v>
      </c>
      <c r="AG72" s="22" t="s">
        <v>58</v>
      </c>
    </row>
    <row r="73" s="22" customFormat="1" ht="25.5" spans="1:32">
      <c r="A73" s="34" t="s">
        <v>68</v>
      </c>
      <c r="B73" s="11" t="s">
        <v>364</v>
      </c>
      <c r="C73" s="34" t="s">
        <v>365</v>
      </c>
      <c r="D73" s="38" t="s">
        <v>297</v>
      </c>
      <c r="E73" s="48" t="s">
        <v>39</v>
      </c>
      <c r="F73" s="48" t="s">
        <v>39</v>
      </c>
      <c r="G73" s="34" t="s">
        <v>38</v>
      </c>
      <c r="H73" s="34" t="s">
        <v>39</v>
      </c>
      <c r="I73" s="15">
        <v>1582</v>
      </c>
      <c r="J73" s="15">
        <v>1424</v>
      </c>
      <c r="K73" s="52"/>
      <c r="L73" s="52"/>
      <c r="M73" s="52"/>
      <c r="N73" s="18">
        <v>1425</v>
      </c>
      <c r="O73" s="18">
        <v>1290</v>
      </c>
      <c r="P73" s="18">
        <v>1095</v>
      </c>
      <c r="Q73" s="34" t="s">
        <v>40</v>
      </c>
      <c r="R73" s="34" t="s">
        <v>39</v>
      </c>
      <c r="S73" s="63" t="s">
        <v>39</v>
      </c>
      <c r="T73" s="52"/>
      <c r="U73" s="48" t="s">
        <v>71</v>
      </c>
      <c r="V73" s="11" t="s">
        <v>366</v>
      </c>
      <c r="W73" s="11">
        <v>33070104201</v>
      </c>
      <c r="X73" s="11" t="s">
        <v>367</v>
      </c>
      <c r="Y73" s="12" t="s">
        <v>39</v>
      </c>
      <c r="Z73" s="12" t="s">
        <v>39</v>
      </c>
      <c r="AA73" s="14" t="s">
        <v>38</v>
      </c>
      <c r="AB73" s="12" t="s">
        <v>39</v>
      </c>
      <c r="AC73" s="18">
        <v>5110</v>
      </c>
      <c r="AD73" s="18">
        <v>4600</v>
      </c>
      <c r="AE73" s="18">
        <v>3910</v>
      </c>
      <c r="AF73" s="14" t="s">
        <v>40</v>
      </c>
    </row>
    <row r="74" s="22" customFormat="1" ht="25.5" spans="1:32">
      <c r="A74" s="34"/>
      <c r="B74" s="11"/>
      <c r="C74" s="34"/>
      <c r="D74" s="38"/>
      <c r="E74" s="48"/>
      <c r="F74" s="48"/>
      <c r="G74" s="34"/>
      <c r="H74" s="34"/>
      <c r="I74" s="54"/>
      <c r="J74" s="54"/>
      <c r="K74" s="52"/>
      <c r="L74" s="52"/>
      <c r="M74" s="52"/>
      <c r="N74" s="18"/>
      <c r="O74" s="18"/>
      <c r="P74" s="18"/>
      <c r="Q74" s="34"/>
      <c r="R74" s="34"/>
      <c r="S74" s="63"/>
      <c r="T74" s="52"/>
      <c r="U74" s="48"/>
      <c r="V74" s="11" t="s">
        <v>368</v>
      </c>
      <c r="W74" s="11">
        <v>33070104203</v>
      </c>
      <c r="X74" s="11" t="s">
        <v>369</v>
      </c>
      <c r="Y74" s="12" t="s">
        <v>39</v>
      </c>
      <c r="Z74" s="12" t="s">
        <v>39</v>
      </c>
      <c r="AA74" s="14" t="s">
        <v>38</v>
      </c>
      <c r="AB74" s="12" t="s">
        <v>39</v>
      </c>
      <c r="AC74" s="18">
        <v>1495</v>
      </c>
      <c r="AD74" s="18">
        <v>1350</v>
      </c>
      <c r="AE74" s="18">
        <v>1150</v>
      </c>
      <c r="AF74" s="14" t="s">
        <v>40</v>
      </c>
    </row>
    <row r="75" s="22" customFormat="1" ht="25.5" spans="1:32">
      <c r="A75" s="34"/>
      <c r="B75" s="11"/>
      <c r="C75" s="34"/>
      <c r="D75" s="38"/>
      <c r="E75" s="48"/>
      <c r="F75" s="48"/>
      <c r="G75" s="34"/>
      <c r="H75" s="34"/>
      <c r="I75" s="54"/>
      <c r="J75" s="54"/>
      <c r="K75" s="52"/>
      <c r="L75" s="52"/>
      <c r="M75" s="52"/>
      <c r="N75" s="18"/>
      <c r="O75" s="18"/>
      <c r="P75" s="18"/>
      <c r="Q75" s="34"/>
      <c r="R75" s="34"/>
      <c r="S75" s="63"/>
      <c r="T75" s="52"/>
      <c r="U75" s="48"/>
      <c r="V75" s="11" t="s">
        <v>370</v>
      </c>
      <c r="W75" s="11">
        <v>33070103901</v>
      </c>
      <c r="X75" s="11" t="s">
        <v>371</v>
      </c>
      <c r="Y75" s="12" t="s">
        <v>39</v>
      </c>
      <c r="Z75" s="12" t="s">
        <v>39</v>
      </c>
      <c r="AA75" s="14" t="s">
        <v>38</v>
      </c>
      <c r="AB75" s="12" t="s">
        <v>39</v>
      </c>
      <c r="AC75" s="18">
        <v>2115</v>
      </c>
      <c r="AD75" s="18">
        <v>2030</v>
      </c>
      <c r="AE75" s="18">
        <v>1725</v>
      </c>
      <c r="AF75" s="14" t="s">
        <v>40</v>
      </c>
    </row>
    <row r="76" s="22" customFormat="1" ht="27" customHeight="1" spans="1:33">
      <c r="A76" s="34">
        <v>32</v>
      </c>
      <c r="B76" s="11" t="s">
        <v>372</v>
      </c>
      <c r="C76" s="34" t="s">
        <v>373</v>
      </c>
      <c r="D76" s="38" t="s">
        <v>297</v>
      </c>
      <c r="E76" s="48" t="s">
        <v>374</v>
      </c>
      <c r="F76" s="48" t="s">
        <v>354</v>
      </c>
      <c r="G76" s="34" t="s">
        <v>38</v>
      </c>
      <c r="H76" s="34" t="s">
        <v>39</v>
      </c>
      <c r="I76" s="15">
        <v>5274</v>
      </c>
      <c r="J76" s="15">
        <v>4747</v>
      </c>
      <c r="K76" s="52">
        <v>3930</v>
      </c>
      <c r="L76" s="52">
        <v>3540</v>
      </c>
      <c r="M76" s="52">
        <v>3010</v>
      </c>
      <c r="N76" s="58">
        <v>4750</v>
      </c>
      <c r="O76" s="58">
        <v>4300</v>
      </c>
      <c r="P76" s="58">
        <v>3650</v>
      </c>
      <c r="Q76" s="62" t="s">
        <v>40</v>
      </c>
      <c r="R76" s="62" t="s">
        <v>39</v>
      </c>
      <c r="S76" s="64" t="s">
        <v>39</v>
      </c>
      <c r="T76" s="52" t="s">
        <v>344</v>
      </c>
      <c r="U76" s="67" t="s">
        <v>375</v>
      </c>
      <c r="V76" s="34" t="s">
        <v>356</v>
      </c>
      <c r="W76" s="34">
        <v>330701042</v>
      </c>
      <c r="X76" s="34" t="s">
        <v>357</v>
      </c>
      <c r="Y76" s="12" t="s">
        <v>358</v>
      </c>
      <c r="Z76" s="12" t="s">
        <v>39</v>
      </c>
      <c r="AA76" s="14" t="s">
        <v>38</v>
      </c>
      <c r="AB76" s="12" t="s">
        <v>359</v>
      </c>
      <c r="AC76" s="18">
        <v>3930</v>
      </c>
      <c r="AD76" s="18">
        <v>3540</v>
      </c>
      <c r="AE76" s="18">
        <v>3010</v>
      </c>
      <c r="AF76" s="14" t="s">
        <v>40</v>
      </c>
      <c r="AG76" s="95"/>
    </row>
    <row r="77" s="22" customFormat="1" ht="27" customHeight="1" spans="1:33">
      <c r="A77" s="34"/>
      <c r="B77" s="11"/>
      <c r="C77" s="34"/>
      <c r="D77" s="38"/>
      <c r="E77" s="48"/>
      <c r="F77" s="48"/>
      <c r="G77" s="34"/>
      <c r="H77" s="34"/>
      <c r="I77" s="54"/>
      <c r="J77" s="54"/>
      <c r="K77" s="52"/>
      <c r="L77" s="52"/>
      <c r="M77" s="52"/>
      <c r="N77" s="58"/>
      <c r="O77" s="58"/>
      <c r="P77" s="58"/>
      <c r="Q77" s="62"/>
      <c r="R77" s="62"/>
      <c r="S77" s="64"/>
      <c r="T77" s="52"/>
      <c r="U77" s="67"/>
      <c r="V77" s="11" t="s">
        <v>360</v>
      </c>
      <c r="W77" s="11">
        <v>33070104202</v>
      </c>
      <c r="X77" s="11" t="s">
        <v>361</v>
      </c>
      <c r="Y77" s="12" t="s">
        <v>39</v>
      </c>
      <c r="Z77" s="12" t="s">
        <v>39</v>
      </c>
      <c r="AA77" s="14" t="s">
        <v>38</v>
      </c>
      <c r="AB77" s="12" t="s">
        <v>39</v>
      </c>
      <c r="AC77" s="18">
        <v>1150</v>
      </c>
      <c r="AD77" s="18">
        <v>1040</v>
      </c>
      <c r="AE77" s="18">
        <v>885</v>
      </c>
      <c r="AF77" s="14" t="s">
        <v>40</v>
      </c>
      <c r="AG77" s="22" t="s">
        <v>58</v>
      </c>
    </row>
    <row r="78" s="22" customFormat="1" ht="27" customHeight="1" spans="1:33">
      <c r="A78" s="34"/>
      <c r="B78" s="11"/>
      <c r="C78" s="34"/>
      <c r="D78" s="38"/>
      <c r="E78" s="48"/>
      <c r="F78" s="48"/>
      <c r="G78" s="34"/>
      <c r="H78" s="34"/>
      <c r="I78" s="54"/>
      <c r="J78" s="54"/>
      <c r="K78" s="52"/>
      <c r="L78" s="52"/>
      <c r="M78" s="52"/>
      <c r="N78" s="58"/>
      <c r="O78" s="58"/>
      <c r="P78" s="58"/>
      <c r="Q78" s="62"/>
      <c r="R78" s="62"/>
      <c r="S78" s="64"/>
      <c r="T78" s="52"/>
      <c r="U78" s="67"/>
      <c r="V78" s="34" t="s">
        <v>362</v>
      </c>
      <c r="W78" s="34">
        <v>330701039</v>
      </c>
      <c r="X78" s="34" t="s">
        <v>363</v>
      </c>
      <c r="Y78" s="12" t="s">
        <v>39</v>
      </c>
      <c r="Z78" s="12" t="s">
        <v>39</v>
      </c>
      <c r="AA78" s="14" t="s">
        <v>38</v>
      </c>
      <c r="AB78" s="12" t="s">
        <v>39</v>
      </c>
      <c r="AC78" s="18">
        <v>1625</v>
      </c>
      <c r="AD78" s="18">
        <v>1560</v>
      </c>
      <c r="AE78" s="18">
        <v>1326</v>
      </c>
      <c r="AF78" s="14" t="s">
        <v>40</v>
      </c>
      <c r="AG78" s="22" t="s">
        <v>58</v>
      </c>
    </row>
    <row r="79" s="22" customFormat="1" ht="27" customHeight="1" spans="1:33">
      <c r="A79" s="34" t="s">
        <v>68</v>
      </c>
      <c r="B79" s="11" t="s">
        <v>376</v>
      </c>
      <c r="C79" s="34" t="s">
        <v>377</v>
      </c>
      <c r="D79" s="38" t="s">
        <v>297</v>
      </c>
      <c r="E79" s="48" t="s">
        <v>39</v>
      </c>
      <c r="F79" s="48" t="s">
        <v>39</v>
      </c>
      <c r="G79" s="34" t="s">
        <v>38</v>
      </c>
      <c r="H79" s="34" t="s">
        <v>39</v>
      </c>
      <c r="I79" s="15">
        <v>1582</v>
      </c>
      <c r="J79" s="15">
        <v>1424</v>
      </c>
      <c r="K79" s="52"/>
      <c r="L79" s="52"/>
      <c r="M79" s="52"/>
      <c r="N79" s="18">
        <v>1425</v>
      </c>
      <c r="O79" s="18">
        <v>1290</v>
      </c>
      <c r="P79" s="18">
        <v>1095</v>
      </c>
      <c r="Q79" s="34" t="s">
        <v>40</v>
      </c>
      <c r="R79" s="34" t="s">
        <v>39</v>
      </c>
      <c r="S79" s="63" t="s">
        <v>39</v>
      </c>
      <c r="T79" s="52"/>
      <c r="U79" s="48" t="s">
        <v>71</v>
      </c>
      <c r="V79" s="11" t="s">
        <v>366</v>
      </c>
      <c r="W79" s="11">
        <v>33070104201</v>
      </c>
      <c r="X79" s="11" t="s">
        <v>367</v>
      </c>
      <c r="Y79" s="12" t="s">
        <v>39</v>
      </c>
      <c r="Z79" s="12" t="s">
        <v>39</v>
      </c>
      <c r="AA79" s="14" t="s">
        <v>38</v>
      </c>
      <c r="AB79" s="12" t="s">
        <v>39</v>
      </c>
      <c r="AC79" s="18">
        <v>5110</v>
      </c>
      <c r="AD79" s="18">
        <v>4600</v>
      </c>
      <c r="AE79" s="18">
        <v>3910</v>
      </c>
      <c r="AF79" s="14" t="s">
        <v>40</v>
      </c>
      <c r="AG79" s="95"/>
    </row>
    <row r="80" s="22" customFormat="1" ht="27" customHeight="1" spans="1:33">
      <c r="A80" s="34"/>
      <c r="B80" s="11"/>
      <c r="C80" s="34"/>
      <c r="D80" s="38"/>
      <c r="E80" s="48"/>
      <c r="F80" s="48"/>
      <c r="G80" s="34"/>
      <c r="H80" s="34"/>
      <c r="I80" s="54"/>
      <c r="J80" s="54"/>
      <c r="K80" s="52"/>
      <c r="L80" s="52"/>
      <c r="M80" s="52"/>
      <c r="N80" s="18"/>
      <c r="O80" s="18"/>
      <c r="P80" s="18"/>
      <c r="Q80" s="34"/>
      <c r="R80" s="34"/>
      <c r="S80" s="63"/>
      <c r="T80" s="52"/>
      <c r="U80" s="48"/>
      <c r="V80" s="11" t="s">
        <v>368</v>
      </c>
      <c r="W80" s="11">
        <v>33070104203</v>
      </c>
      <c r="X80" s="11" t="s">
        <v>369</v>
      </c>
      <c r="Y80" s="12" t="s">
        <v>39</v>
      </c>
      <c r="Z80" s="12" t="s">
        <v>39</v>
      </c>
      <c r="AA80" s="14" t="s">
        <v>38</v>
      </c>
      <c r="AB80" s="12" t="s">
        <v>39</v>
      </c>
      <c r="AC80" s="18">
        <v>1495</v>
      </c>
      <c r="AD80" s="18">
        <v>1350</v>
      </c>
      <c r="AE80" s="18">
        <v>1150</v>
      </c>
      <c r="AF80" s="14" t="s">
        <v>40</v>
      </c>
      <c r="AG80" s="95"/>
    </row>
    <row r="81" s="22" customFormat="1" ht="27" customHeight="1" spans="1:33">
      <c r="A81" s="34"/>
      <c r="B81" s="11"/>
      <c r="C81" s="34"/>
      <c r="D81" s="38"/>
      <c r="E81" s="48"/>
      <c r="F81" s="48"/>
      <c r="G81" s="34"/>
      <c r="H81" s="34"/>
      <c r="I81" s="54"/>
      <c r="J81" s="54"/>
      <c r="K81" s="52"/>
      <c r="L81" s="52"/>
      <c r="M81" s="52"/>
      <c r="N81" s="18"/>
      <c r="O81" s="18"/>
      <c r="P81" s="18"/>
      <c r="Q81" s="34"/>
      <c r="R81" s="34"/>
      <c r="S81" s="63"/>
      <c r="T81" s="52"/>
      <c r="U81" s="48"/>
      <c r="V81" s="11" t="s">
        <v>370</v>
      </c>
      <c r="W81" s="11">
        <v>33070103901</v>
      </c>
      <c r="X81" s="11" t="s">
        <v>371</v>
      </c>
      <c r="Y81" s="12" t="s">
        <v>39</v>
      </c>
      <c r="Z81" s="12" t="s">
        <v>39</v>
      </c>
      <c r="AA81" s="14" t="s">
        <v>38</v>
      </c>
      <c r="AB81" s="12" t="s">
        <v>39</v>
      </c>
      <c r="AC81" s="18">
        <v>2115</v>
      </c>
      <c r="AD81" s="18">
        <v>2030</v>
      </c>
      <c r="AE81" s="18">
        <v>1725</v>
      </c>
      <c r="AF81" s="14" t="s">
        <v>40</v>
      </c>
      <c r="AG81" s="95"/>
    </row>
    <row r="82" s="22" customFormat="1" ht="63" customHeight="1" spans="1:33">
      <c r="A82" s="34">
        <v>33</v>
      </c>
      <c r="B82" s="11" t="s">
        <v>378</v>
      </c>
      <c r="C82" s="34" t="s">
        <v>379</v>
      </c>
      <c r="D82" s="38" t="s">
        <v>297</v>
      </c>
      <c r="E82" s="48" t="s">
        <v>380</v>
      </c>
      <c r="F82" s="48" t="s">
        <v>381</v>
      </c>
      <c r="G82" s="34" t="s">
        <v>38</v>
      </c>
      <c r="H82" s="34" t="s">
        <v>39</v>
      </c>
      <c r="I82" s="15">
        <v>3300</v>
      </c>
      <c r="J82" s="15">
        <v>2970</v>
      </c>
      <c r="K82" s="52"/>
      <c r="L82" s="52"/>
      <c r="M82" s="52"/>
      <c r="N82" s="18">
        <v>2985</v>
      </c>
      <c r="O82" s="18">
        <v>2685</v>
      </c>
      <c r="P82" s="18">
        <v>2285</v>
      </c>
      <c r="Q82" s="34" t="s">
        <v>40</v>
      </c>
      <c r="R82" s="34" t="s">
        <v>39</v>
      </c>
      <c r="S82" s="63" t="s">
        <v>39</v>
      </c>
      <c r="T82" s="52" t="s">
        <v>264</v>
      </c>
      <c r="U82" s="48" t="s">
        <v>382</v>
      </c>
      <c r="V82" s="62"/>
      <c r="W82" s="62"/>
      <c r="X82" s="62"/>
      <c r="Y82" s="93" t="s">
        <v>39</v>
      </c>
      <c r="Z82" s="93" t="s">
        <v>39</v>
      </c>
      <c r="AA82" s="94"/>
      <c r="AB82" s="93" t="s">
        <v>39</v>
      </c>
      <c r="AC82" s="44"/>
      <c r="AD82" s="44"/>
      <c r="AE82" s="44"/>
      <c r="AF82" s="94"/>
      <c r="AG82" s="95"/>
    </row>
    <row r="83" s="22" customFormat="1" ht="37" customHeight="1" spans="1:33">
      <c r="A83" s="34" t="s">
        <v>68</v>
      </c>
      <c r="B83" s="11" t="s">
        <v>383</v>
      </c>
      <c r="C83" s="34" t="s">
        <v>384</v>
      </c>
      <c r="D83" s="38" t="s">
        <v>297</v>
      </c>
      <c r="E83" s="48" t="s">
        <v>39</v>
      </c>
      <c r="F83" s="48" t="s">
        <v>39</v>
      </c>
      <c r="G83" s="34" t="s">
        <v>38</v>
      </c>
      <c r="H83" s="34" t="s">
        <v>39</v>
      </c>
      <c r="I83" s="15">
        <v>990</v>
      </c>
      <c r="J83" s="15">
        <v>891</v>
      </c>
      <c r="K83" s="52"/>
      <c r="L83" s="52"/>
      <c r="M83" s="52"/>
      <c r="N83" s="18">
        <v>895</v>
      </c>
      <c r="O83" s="18">
        <v>805</v>
      </c>
      <c r="P83" s="18">
        <v>685</v>
      </c>
      <c r="Q83" s="34" t="s">
        <v>40</v>
      </c>
      <c r="R83" s="34" t="s">
        <v>39</v>
      </c>
      <c r="S83" s="63" t="s">
        <v>39</v>
      </c>
      <c r="T83" s="52"/>
      <c r="U83" s="48" t="s">
        <v>71</v>
      </c>
      <c r="V83" s="44"/>
      <c r="W83" s="44"/>
      <c r="X83" s="44"/>
      <c r="Y83" s="93" t="s">
        <v>39</v>
      </c>
      <c r="Z83" s="93" t="s">
        <v>39</v>
      </c>
      <c r="AA83" s="94"/>
      <c r="AB83" s="93" t="s">
        <v>39</v>
      </c>
      <c r="AC83" s="44"/>
      <c r="AD83" s="44"/>
      <c r="AE83" s="44"/>
      <c r="AF83" s="94"/>
      <c r="AG83" s="95"/>
    </row>
    <row r="84" s="22" customFormat="1" ht="61" customHeight="1" spans="1:32">
      <c r="A84" s="34">
        <v>34</v>
      </c>
      <c r="B84" s="11" t="s">
        <v>385</v>
      </c>
      <c r="C84" s="34" t="s">
        <v>386</v>
      </c>
      <c r="D84" s="38" t="s">
        <v>297</v>
      </c>
      <c r="E84" s="48" t="s">
        <v>387</v>
      </c>
      <c r="F84" s="48" t="s">
        <v>381</v>
      </c>
      <c r="G84" s="34" t="s">
        <v>38</v>
      </c>
      <c r="H84" s="48" t="s">
        <v>388</v>
      </c>
      <c r="I84" s="15">
        <v>4300</v>
      </c>
      <c r="J84" s="15">
        <v>3870</v>
      </c>
      <c r="K84" s="52">
        <v>3880</v>
      </c>
      <c r="L84" s="52">
        <v>3490</v>
      </c>
      <c r="M84" s="52">
        <v>2970</v>
      </c>
      <c r="N84" s="18">
        <v>3880</v>
      </c>
      <c r="O84" s="18">
        <v>3490</v>
      </c>
      <c r="P84" s="18">
        <v>2970</v>
      </c>
      <c r="Q84" s="34" t="s">
        <v>40</v>
      </c>
      <c r="R84" s="34" t="s">
        <v>39</v>
      </c>
      <c r="S84" s="63" t="s">
        <v>39</v>
      </c>
      <c r="T84" s="52" t="s">
        <v>113</v>
      </c>
      <c r="U84" s="48" t="s">
        <v>113</v>
      </c>
      <c r="V84" s="34" t="s">
        <v>389</v>
      </c>
      <c r="W84" s="34">
        <v>330701043</v>
      </c>
      <c r="X84" s="34" t="s">
        <v>390</v>
      </c>
      <c r="Y84" s="12" t="s">
        <v>39</v>
      </c>
      <c r="Z84" s="12" t="s">
        <v>39</v>
      </c>
      <c r="AA84" s="14" t="s">
        <v>38</v>
      </c>
      <c r="AB84" s="12" t="s">
        <v>39</v>
      </c>
      <c r="AC84" s="18">
        <v>3880</v>
      </c>
      <c r="AD84" s="18">
        <v>3490</v>
      </c>
      <c r="AE84" s="18">
        <v>2970</v>
      </c>
      <c r="AF84" s="14" t="s">
        <v>40</v>
      </c>
    </row>
    <row r="85" s="22" customFormat="1" ht="50" customHeight="1" spans="1:32">
      <c r="A85" s="34" t="s">
        <v>68</v>
      </c>
      <c r="B85" s="11" t="s">
        <v>391</v>
      </c>
      <c r="C85" s="34" t="s">
        <v>392</v>
      </c>
      <c r="D85" s="38" t="s">
        <v>297</v>
      </c>
      <c r="E85" s="48" t="s">
        <v>39</v>
      </c>
      <c r="F85" s="48" t="s">
        <v>39</v>
      </c>
      <c r="G85" s="34" t="s">
        <v>38</v>
      </c>
      <c r="H85" s="34" t="s">
        <v>39</v>
      </c>
      <c r="I85" s="15">
        <v>1290</v>
      </c>
      <c r="J85" s="15">
        <v>1161</v>
      </c>
      <c r="K85" s="52"/>
      <c r="L85" s="52"/>
      <c r="M85" s="52"/>
      <c r="N85" s="18">
        <v>1165</v>
      </c>
      <c r="O85" s="18">
        <v>1047</v>
      </c>
      <c r="P85" s="18">
        <v>890</v>
      </c>
      <c r="Q85" s="34" t="s">
        <v>40</v>
      </c>
      <c r="R85" s="34" t="s">
        <v>39</v>
      </c>
      <c r="S85" s="63" t="s">
        <v>39</v>
      </c>
      <c r="T85" s="52"/>
      <c r="U85" s="48" t="s">
        <v>71</v>
      </c>
      <c r="V85" s="11" t="s">
        <v>393</v>
      </c>
      <c r="W85" s="11">
        <v>33070104301</v>
      </c>
      <c r="X85" s="11" t="s">
        <v>394</v>
      </c>
      <c r="Y85" s="12" t="s">
        <v>39</v>
      </c>
      <c r="Z85" s="12" t="s">
        <v>39</v>
      </c>
      <c r="AA85" s="14" t="s">
        <v>38</v>
      </c>
      <c r="AB85" s="12" t="s">
        <v>39</v>
      </c>
      <c r="AC85" s="18">
        <v>5045</v>
      </c>
      <c r="AD85" s="18">
        <v>4535</v>
      </c>
      <c r="AE85" s="18">
        <v>3855</v>
      </c>
      <c r="AF85" s="14" t="s">
        <v>40</v>
      </c>
    </row>
    <row r="86" s="22" customFormat="1" ht="38.25" spans="1:32">
      <c r="A86" s="34">
        <v>35</v>
      </c>
      <c r="B86" s="11" t="s">
        <v>395</v>
      </c>
      <c r="C86" s="34" t="s">
        <v>396</v>
      </c>
      <c r="D86" s="38" t="s">
        <v>297</v>
      </c>
      <c r="E86" s="48" t="s">
        <v>397</v>
      </c>
      <c r="F86" s="48" t="s">
        <v>398</v>
      </c>
      <c r="G86" s="34" t="s">
        <v>38</v>
      </c>
      <c r="H86" s="34" t="s">
        <v>39</v>
      </c>
      <c r="I86" s="15">
        <v>2095</v>
      </c>
      <c r="J86" s="15">
        <v>1886</v>
      </c>
      <c r="K86" s="52"/>
      <c r="L86" s="52"/>
      <c r="M86" s="52"/>
      <c r="N86" s="18">
        <v>1900</v>
      </c>
      <c r="O86" s="18">
        <v>1750</v>
      </c>
      <c r="P86" s="18">
        <v>1500</v>
      </c>
      <c r="Q86" s="34" t="s">
        <v>40</v>
      </c>
      <c r="R86" s="34" t="s">
        <v>39</v>
      </c>
      <c r="S86" s="63" t="s">
        <v>39</v>
      </c>
      <c r="T86" s="52" t="s">
        <v>264</v>
      </c>
      <c r="U86" s="48" t="s">
        <v>399</v>
      </c>
      <c r="V86" s="34" t="s">
        <v>400</v>
      </c>
      <c r="W86" s="34">
        <v>330701041</v>
      </c>
      <c r="X86" s="34" t="s">
        <v>401</v>
      </c>
      <c r="Y86" s="12" t="s">
        <v>402</v>
      </c>
      <c r="Z86" s="12" t="s">
        <v>39</v>
      </c>
      <c r="AA86" s="14" t="s">
        <v>38</v>
      </c>
      <c r="AB86" s="12" t="s">
        <v>403</v>
      </c>
      <c r="AC86" s="18">
        <v>4220</v>
      </c>
      <c r="AD86" s="18">
        <v>3800</v>
      </c>
      <c r="AE86" s="18">
        <v>3230</v>
      </c>
      <c r="AF86" s="14" t="s">
        <v>40</v>
      </c>
    </row>
    <row r="87" s="22" customFormat="1" ht="25.5" spans="1:32">
      <c r="A87" s="34"/>
      <c r="B87" s="11"/>
      <c r="C87" s="34"/>
      <c r="D87" s="38"/>
      <c r="E87" s="48"/>
      <c r="F87" s="48"/>
      <c r="G87" s="34"/>
      <c r="H87" s="34"/>
      <c r="I87" s="15"/>
      <c r="J87" s="15"/>
      <c r="K87" s="52"/>
      <c r="L87" s="52"/>
      <c r="M87" s="52"/>
      <c r="N87" s="18"/>
      <c r="O87" s="18"/>
      <c r="P87" s="18"/>
      <c r="Q87" s="34"/>
      <c r="R87" s="34"/>
      <c r="S87" s="63"/>
      <c r="T87" s="52"/>
      <c r="U87" s="48"/>
      <c r="V87" s="34" t="s">
        <v>404</v>
      </c>
      <c r="W87" s="34">
        <v>33070104101</v>
      </c>
      <c r="X87" s="34" t="s">
        <v>405</v>
      </c>
      <c r="Y87" s="12" t="s">
        <v>39</v>
      </c>
      <c r="Z87" s="12" t="s">
        <v>39</v>
      </c>
      <c r="AA87" s="14" t="s">
        <v>38</v>
      </c>
      <c r="AB87" s="12" t="s">
        <v>406</v>
      </c>
      <c r="AC87" s="18">
        <v>4510</v>
      </c>
      <c r="AD87" s="18">
        <v>4060</v>
      </c>
      <c r="AE87" s="18">
        <v>3450</v>
      </c>
      <c r="AF87" s="14" t="s">
        <v>40</v>
      </c>
    </row>
    <row r="88" s="22" customFormat="1" ht="25.5" spans="1:32">
      <c r="A88" s="34"/>
      <c r="B88" s="11"/>
      <c r="C88" s="34"/>
      <c r="D88" s="38"/>
      <c r="E88" s="48"/>
      <c r="F88" s="48"/>
      <c r="G88" s="34"/>
      <c r="H88" s="34"/>
      <c r="I88" s="54"/>
      <c r="J88" s="54"/>
      <c r="K88" s="52"/>
      <c r="L88" s="52"/>
      <c r="M88" s="52"/>
      <c r="N88" s="18"/>
      <c r="O88" s="18"/>
      <c r="P88" s="18"/>
      <c r="Q88" s="34"/>
      <c r="R88" s="34"/>
      <c r="S88" s="63"/>
      <c r="T88" s="52"/>
      <c r="U88" s="48"/>
      <c r="V88" s="34" t="s">
        <v>407</v>
      </c>
      <c r="W88" s="34">
        <v>330701044</v>
      </c>
      <c r="X88" s="34" t="s">
        <v>408</v>
      </c>
      <c r="Y88" s="12" t="s">
        <v>39</v>
      </c>
      <c r="Z88" s="12" t="s">
        <v>39</v>
      </c>
      <c r="AA88" s="14" t="s">
        <v>38</v>
      </c>
      <c r="AB88" s="12" t="s">
        <v>39</v>
      </c>
      <c r="AC88" s="18">
        <v>1000</v>
      </c>
      <c r="AD88" s="18">
        <v>960</v>
      </c>
      <c r="AE88" s="18">
        <v>816</v>
      </c>
      <c r="AF88" s="14" t="s">
        <v>40</v>
      </c>
    </row>
    <row r="89" s="22" customFormat="1" ht="25.5" spans="1:32">
      <c r="A89" s="34" t="s">
        <v>68</v>
      </c>
      <c r="B89" s="11" t="s">
        <v>409</v>
      </c>
      <c r="C89" s="34" t="s">
        <v>410</v>
      </c>
      <c r="D89" s="38" t="s">
        <v>297</v>
      </c>
      <c r="E89" s="48" t="s">
        <v>39</v>
      </c>
      <c r="F89" s="48" t="s">
        <v>39</v>
      </c>
      <c r="G89" s="34" t="s">
        <v>38</v>
      </c>
      <c r="H89" s="34" t="s">
        <v>39</v>
      </c>
      <c r="I89" s="15">
        <v>629</v>
      </c>
      <c r="J89" s="15">
        <v>566</v>
      </c>
      <c r="K89" s="52"/>
      <c r="L89" s="52"/>
      <c r="M89" s="52"/>
      <c r="N89" s="18">
        <v>570</v>
      </c>
      <c r="O89" s="18">
        <v>525</v>
      </c>
      <c r="P89" s="18">
        <v>450</v>
      </c>
      <c r="Q89" s="34" t="s">
        <v>40</v>
      </c>
      <c r="R89" s="34" t="s">
        <v>39</v>
      </c>
      <c r="S89" s="63" t="s">
        <v>39</v>
      </c>
      <c r="T89" s="52"/>
      <c r="U89" s="48" t="s">
        <v>71</v>
      </c>
      <c r="V89" s="11" t="s">
        <v>411</v>
      </c>
      <c r="W89" s="11">
        <v>33070104102</v>
      </c>
      <c r="X89" s="11" t="s">
        <v>412</v>
      </c>
      <c r="Y89" s="12" t="s">
        <v>39</v>
      </c>
      <c r="Z89" s="12" t="s">
        <v>39</v>
      </c>
      <c r="AA89" s="14" t="s">
        <v>38</v>
      </c>
      <c r="AB89" s="12" t="s">
        <v>39</v>
      </c>
      <c r="AC89" s="18">
        <v>5485</v>
      </c>
      <c r="AD89" s="18">
        <v>4940</v>
      </c>
      <c r="AE89" s="18">
        <v>4200</v>
      </c>
      <c r="AF89" s="14" t="s">
        <v>40</v>
      </c>
    </row>
    <row r="90" s="22" customFormat="1" ht="25.5" spans="1:32">
      <c r="A90" s="34"/>
      <c r="B90" s="11"/>
      <c r="C90" s="34"/>
      <c r="D90" s="38"/>
      <c r="E90" s="48"/>
      <c r="F90" s="48"/>
      <c r="G90" s="34"/>
      <c r="H90" s="34"/>
      <c r="I90" s="15"/>
      <c r="J90" s="15"/>
      <c r="K90" s="52"/>
      <c r="L90" s="52"/>
      <c r="M90" s="52"/>
      <c r="N90" s="18"/>
      <c r="O90" s="18"/>
      <c r="P90" s="18"/>
      <c r="Q90" s="34"/>
      <c r="R90" s="34"/>
      <c r="S90" s="63"/>
      <c r="T90" s="52"/>
      <c r="U90" s="48"/>
      <c r="V90" s="11" t="s">
        <v>413</v>
      </c>
      <c r="W90" s="11">
        <v>33070104103</v>
      </c>
      <c r="X90" s="11" t="s">
        <v>414</v>
      </c>
      <c r="Y90" s="12" t="s">
        <v>39</v>
      </c>
      <c r="Z90" s="12" t="s">
        <v>39</v>
      </c>
      <c r="AA90" s="14" t="s">
        <v>38</v>
      </c>
      <c r="AB90" s="12" t="s">
        <v>406</v>
      </c>
      <c r="AC90" s="18">
        <v>5865</v>
      </c>
      <c r="AD90" s="18">
        <v>5280</v>
      </c>
      <c r="AE90" s="18">
        <v>4490</v>
      </c>
      <c r="AF90" s="14" t="s">
        <v>40</v>
      </c>
    </row>
    <row r="91" s="22" customFormat="1" ht="25.5" spans="1:32">
      <c r="A91" s="34"/>
      <c r="B91" s="11"/>
      <c r="C91" s="34"/>
      <c r="D91" s="38"/>
      <c r="E91" s="48"/>
      <c r="F91" s="48"/>
      <c r="G91" s="34"/>
      <c r="H91" s="34"/>
      <c r="I91" s="54"/>
      <c r="J91" s="54"/>
      <c r="K91" s="52"/>
      <c r="L91" s="52"/>
      <c r="M91" s="52"/>
      <c r="N91" s="18"/>
      <c r="O91" s="18"/>
      <c r="P91" s="18"/>
      <c r="Q91" s="34"/>
      <c r="R91" s="34"/>
      <c r="S91" s="63"/>
      <c r="T91" s="52"/>
      <c r="U91" s="48"/>
      <c r="V91" s="11" t="s">
        <v>415</v>
      </c>
      <c r="W91" s="11">
        <v>33070104401</v>
      </c>
      <c r="X91" s="11" t="s">
        <v>416</v>
      </c>
      <c r="Y91" s="12" t="s">
        <v>39</v>
      </c>
      <c r="Z91" s="12" t="s">
        <v>39</v>
      </c>
      <c r="AA91" s="14" t="s">
        <v>38</v>
      </c>
      <c r="AB91" s="12" t="s">
        <v>39</v>
      </c>
      <c r="AC91" s="18">
        <v>1300</v>
      </c>
      <c r="AD91" s="18">
        <v>1250</v>
      </c>
      <c r="AE91" s="18">
        <v>1065</v>
      </c>
      <c r="AF91" s="14" t="s">
        <v>40</v>
      </c>
    </row>
    <row r="92" s="22" customFormat="1" ht="62" customHeight="1" spans="1:32">
      <c r="A92" s="34">
        <v>36</v>
      </c>
      <c r="B92" s="11" t="s">
        <v>417</v>
      </c>
      <c r="C92" s="34" t="s">
        <v>418</v>
      </c>
      <c r="D92" s="38" t="s">
        <v>297</v>
      </c>
      <c r="E92" s="48" t="s">
        <v>419</v>
      </c>
      <c r="F92" s="48" t="s">
        <v>398</v>
      </c>
      <c r="G92" s="34" t="s">
        <v>38</v>
      </c>
      <c r="H92" s="34" t="s">
        <v>39</v>
      </c>
      <c r="I92" s="15">
        <v>2095</v>
      </c>
      <c r="J92" s="15">
        <v>1886</v>
      </c>
      <c r="K92" s="52"/>
      <c r="L92" s="52"/>
      <c r="M92" s="52"/>
      <c r="N92" s="18">
        <v>1900</v>
      </c>
      <c r="O92" s="18">
        <v>1700</v>
      </c>
      <c r="P92" s="18">
        <v>1500</v>
      </c>
      <c r="Q92" s="34" t="s">
        <v>40</v>
      </c>
      <c r="R92" s="34" t="s">
        <v>39</v>
      </c>
      <c r="S92" s="63" t="s">
        <v>39</v>
      </c>
      <c r="T92" s="52" t="s">
        <v>120</v>
      </c>
      <c r="U92" s="48" t="s">
        <v>242</v>
      </c>
      <c r="V92" s="34"/>
      <c r="W92" s="34"/>
      <c r="X92" s="34"/>
      <c r="Y92" s="12"/>
      <c r="Z92" s="12"/>
      <c r="AA92" s="14"/>
      <c r="AB92" s="12"/>
      <c r="AC92" s="18"/>
      <c r="AD92" s="18"/>
      <c r="AE92" s="18"/>
      <c r="AF92" s="14"/>
    </row>
    <row r="93" s="22" customFormat="1" ht="35" customHeight="1" spans="1:32">
      <c r="A93" s="34" t="s">
        <v>68</v>
      </c>
      <c r="B93" s="11" t="s">
        <v>420</v>
      </c>
      <c r="C93" s="34" t="s">
        <v>421</v>
      </c>
      <c r="D93" s="38" t="s">
        <v>297</v>
      </c>
      <c r="E93" s="48" t="s">
        <v>39</v>
      </c>
      <c r="F93" s="48" t="s">
        <v>39</v>
      </c>
      <c r="G93" s="34" t="s">
        <v>38</v>
      </c>
      <c r="H93" s="34" t="s">
        <v>39</v>
      </c>
      <c r="I93" s="15">
        <v>629</v>
      </c>
      <c r="J93" s="15">
        <v>566</v>
      </c>
      <c r="K93" s="52"/>
      <c r="L93" s="52"/>
      <c r="M93" s="52"/>
      <c r="N93" s="18">
        <v>570</v>
      </c>
      <c r="O93" s="18">
        <v>510</v>
      </c>
      <c r="P93" s="18">
        <v>450</v>
      </c>
      <c r="Q93" s="34" t="s">
        <v>40</v>
      </c>
      <c r="R93" s="34" t="s">
        <v>39</v>
      </c>
      <c r="S93" s="63" t="s">
        <v>39</v>
      </c>
      <c r="T93" s="52"/>
      <c r="U93" s="48"/>
      <c r="V93" s="34"/>
      <c r="W93" s="34"/>
      <c r="X93" s="34"/>
      <c r="Y93" s="12"/>
      <c r="Z93" s="12"/>
      <c r="AA93" s="14"/>
      <c r="AB93" s="12"/>
      <c r="AC93" s="18"/>
      <c r="AD93" s="18"/>
      <c r="AE93" s="18"/>
      <c r="AF93" s="14"/>
    </row>
    <row r="94" s="22" customFormat="1" ht="25.5" spans="1:32">
      <c r="A94" s="34">
        <v>37</v>
      </c>
      <c r="B94" s="44" t="s">
        <v>422</v>
      </c>
      <c r="C94" s="62" t="s">
        <v>423</v>
      </c>
      <c r="D94" s="38" t="s">
        <v>297</v>
      </c>
      <c r="E94" s="48" t="s">
        <v>424</v>
      </c>
      <c r="F94" s="48" t="s">
        <v>425</v>
      </c>
      <c r="G94" s="34" t="s">
        <v>38</v>
      </c>
      <c r="H94" s="34" t="s">
        <v>426</v>
      </c>
      <c r="I94" s="15">
        <v>1800</v>
      </c>
      <c r="J94" s="15">
        <v>1620</v>
      </c>
      <c r="K94" s="53">
        <v>2058.54430379747</v>
      </c>
      <c r="L94" s="53">
        <v>2079.75609756098</v>
      </c>
      <c r="M94" s="53">
        <v>1836</v>
      </c>
      <c r="N94" s="58">
        <v>1750</v>
      </c>
      <c r="O94" s="58">
        <v>1620</v>
      </c>
      <c r="P94" s="58">
        <v>1450</v>
      </c>
      <c r="Q94" s="62" t="s">
        <v>40</v>
      </c>
      <c r="R94" s="62" t="s">
        <v>39</v>
      </c>
      <c r="S94" s="64" t="s">
        <v>39</v>
      </c>
      <c r="T94" s="53" t="s">
        <v>41</v>
      </c>
      <c r="U94" s="67" t="s">
        <v>194</v>
      </c>
      <c r="V94" s="34" t="s">
        <v>427</v>
      </c>
      <c r="W94" s="34">
        <v>330703003</v>
      </c>
      <c r="X94" s="34" t="s">
        <v>428</v>
      </c>
      <c r="Y94" s="12" t="s">
        <v>39</v>
      </c>
      <c r="Z94" s="12" t="s">
        <v>39</v>
      </c>
      <c r="AA94" s="14" t="s">
        <v>38</v>
      </c>
      <c r="AB94" s="12" t="s">
        <v>39</v>
      </c>
      <c r="AC94" s="18">
        <v>1520</v>
      </c>
      <c r="AD94" s="18">
        <v>1370</v>
      </c>
      <c r="AE94" s="18">
        <v>1160</v>
      </c>
      <c r="AF94" s="14" t="s">
        <v>40</v>
      </c>
    </row>
    <row r="95" s="22" customFormat="1" ht="25.5" spans="1:32">
      <c r="A95" s="34"/>
      <c r="B95" s="11"/>
      <c r="C95" s="34"/>
      <c r="D95" s="38"/>
      <c r="E95" s="48"/>
      <c r="F95" s="48"/>
      <c r="G95" s="34"/>
      <c r="H95" s="34"/>
      <c r="I95" s="54"/>
      <c r="J95" s="54"/>
      <c r="K95" s="53"/>
      <c r="L95" s="53"/>
      <c r="M95" s="53"/>
      <c r="N95" s="58"/>
      <c r="O95" s="58"/>
      <c r="P95" s="58"/>
      <c r="Q95" s="62"/>
      <c r="R95" s="62"/>
      <c r="S95" s="64"/>
      <c r="T95" s="53"/>
      <c r="U95" s="67"/>
      <c r="V95" s="34" t="s">
        <v>429</v>
      </c>
      <c r="W95" s="34">
        <v>33070300302</v>
      </c>
      <c r="X95" s="34" t="s">
        <v>430</v>
      </c>
      <c r="Y95" s="12" t="s">
        <v>39</v>
      </c>
      <c r="Z95" s="12" t="s">
        <v>39</v>
      </c>
      <c r="AA95" s="14" t="s">
        <v>38</v>
      </c>
      <c r="AB95" s="12" t="s">
        <v>39</v>
      </c>
      <c r="AC95" s="18">
        <v>2145</v>
      </c>
      <c r="AD95" s="18">
        <v>1970</v>
      </c>
      <c r="AE95" s="18">
        <v>1670</v>
      </c>
      <c r="AF95" s="14" t="s">
        <v>40</v>
      </c>
    </row>
    <row r="96" s="22" customFormat="1" ht="25.5" spans="1:32">
      <c r="A96" s="34"/>
      <c r="B96" s="11"/>
      <c r="C96" s="34"/>
      <c r="D96" s="38"/>
      <c r="E96" s="48"/>
      <c r="F96" s="48"/>
      <c r="G96" s="34"/>
      <c r="H96" s="34"/>
      <c r="I96" s="54"/>
      <c r="J96" s="54"/>
      <c r="K96" s="53"/>
      <c r="L96" s="53"/>
      <c r="M96" s="53"/>
      <c r="N96" s="58"/>
      <c r="O96" s="58"/>
      <c r="P96" s="58"/>
      <c r="Q96" s="62"/>
      <c r="R96" s="62"/>
      <c r="S96" s="64"/>
      <c r="T96" s="53"/>
      <c r="U96" s="67"/>
      <c r="V96" s="34" t="s">
        <v>431</v>
      </c>
      <c r="W96" s="34">
        <v>330703004</v>
      </c>
      <c r="X96" s="34" t="s">
        <v>432</v>
      </c>
      <c r="Y96" s="12" t="s">
        <v>39</v>
      </c>
      <c r="Z96" s="12" t="s">
        <v>39</v>
      </c>
      <c r="AA96" s="14" t="s">
        <v>38</v>
      </c>
      <c r="AB96" s="12" t="s">
        <v>39</v>
      </c>
      <c r="AC96" s="18">
        <v>1625</v>
      </c>
      <c r="AD96" s="18">
        <v>1560</v>
      </c>
      <c r="AE96" s="18">
        <v>1326</v>
      </c>
      <c r="AF96" s="14" t="s">
        <v>40</v>
      </c>
    </row>
    <row r="97" s="22" customFormat="1" ht="25.5" spans="1:32">
      <c r="A97" s="34"/>
      <c r="B97" s="11"/>
      <c r="C97" s="34"/>
      <c r="D97" s="38"/>
      <c r="E97" s="48"/>
      <c r="F97" s="48"/>
      <c r="G97" s="34"/>
      <c r="H97" s="34"/>
      <c r="I97" s="54"/>
      <c r="J97" s="54"/>
      <c r="K97" s="53"/>
      <c r="L97" s="53"/>
      <c r="M97" s="53"/>
      <c r="N97" s="58"/>
      <c r="O97" s="58"/>
      <c r="P97" s="58"/>
      <c r="Q97" s="62"/>
      <c r="R97" s="62"/>
      <c r="S97" s="64"/>
      <c r="T97" s="53"/>
      <c r="U97" s="67"/>
      <c r="V97" s="11" t="s">
        <v>433</v>
      </c>
      <c r="W97" s="11">
        <v>33070300402</v>
      </c>
      <c r="X97" s="11" t="s">
        <v>434</v>
      </c>
      <c r="Y97" s="12" t="s">
        <v>39</v>
      </c>
      <c r="Z97" s="12" t="s">
        <v>39</v>
      </c>
      <c r="AA97" s="14" t="s">
        <v>38</v>
      </c>
      <c r="AB97" s="12" t="s">
        <v>39</v>
      </c>
      <c r="AC97" s="18">
        <v>2250</v>
      </c>
      <c r="AD97" s="18">
        <v>2160</v>
      </c>
      <c r="AE97" s="18">
        <v>1836</v>
      </c>
      <c r="AF97" s="14" t="s">
        <v>40</v>
      </c>
    </row>
    <row r="98" s="22" customFormat="1" ht="25.5" spans="1:32">
      <c r="A98" s="34" t="s">
        <v>68</v>
      </c>
      <c r="B98" s="44" t="s">
        <v>435</v>
      </c>
      <c r="C98" s="62" t="s">
        <v>436</v>
      </c>
      <c r="D98" s="38" t="s">
        <v>297</v>
      </c>
      <c r="E98" s="48" t="s">
        <v>39</v>
      </c>
      <c r="F98" s="48" t="s">
        <v>39</v>
      </c>
      <c r="G98" s="34" t="s">
        <v>38</v>
      </c>
      <c r="H98" s="34" t="s">
        <v>39</v>
      </c>
      <c r="I98" s="15">
        <v>540</v>
      </c>
      <c r="J98" s="15">
        <v>486</v>
      </c>
      <c r="K98" s="52"/>
      <c r="L98" s="52"/>
      <c r="M98" s="52"/>
      <c r="N98" s="18">
        <v>525</v>
      </c>
      <c r="O98" s="18">
        <v>485</v>
      </c>
      <c r="P98" s="18">
        <v>435</v>
      </c>
      <c r="Q98" s="34" t="s">
        <v>40</v>
      </c>
      <c r="R98" s="34" t="s">
        <v>39</v>
      </c>
      <c r="S98" s="63" t="s">
        <v>39</v>
      </c>
      <c r="T98" s="52"/>
      <c r="U98" s="48" t="s">
        <v>71</v>
      </c>
      <c r="V98" s="11" t="s">
        <v>437</v>
      </c>
      <c r="W98" s="11">
        <v>33070300301</v>
      </c>
      <c r="X98" s="11" t="s">
        <v>438</v>
      </c>
      <c r="Y98" s="12" t="s">
        <v>39</v>
      </c>
      <c r="Z98" s="12" t="s">
        <v>39</v>
      </c>
      <c r="AA98" s="14" t="s">
        <v>38</v>
      </c>
      <c r="AB98" s="12" t="s">
        <v>39</v>
      </c>
      <c r="AC98" s="18">
        <v>1975</v>
      </c>
      <c r="AD98" s="18">
        <v>1780</v>
      </c>
      <c r="AE98" s="18">
        <v>1515</v>
      </c>
      <c r="AF98" s="14" t="s">
        <v>40</v>
      </c>
    </row>
    <row r="99" s="22" customFormat="1" ht="25.5" spans="1:32">
      <c r="A99" s="34"/>
      <c r="B99" s="11"/>
      <c r="C99" s="34"/>
      <c r="D99" s="38"/>
      <c r="E99" s="48"/>
      <c r="F99" s="48"/>
      <c r="G99" s="34"/>
      <c r="H99" s="34"/>
      <c r="I99" s="54"/>
      <c r="J99" s="54"/>
      <c r="K99" s="52"/>
      <c r="L99" s="52"/>
      <c r="M99" s="52"/>
      <c r="N99" s="18"/>
      <c r="O99" s="18"/>
      <c r="P99" s="18"/>
      <c r="Q99" s="34"/>
      <c r="R99" s="34"/>
      <c r="S99" s="63"/>
      <c r="T99" s="52"/>
      <c r="U99" s="48"/>
      <c r="V99" s="11" t="s">
        <v>439</v>
      </c>
      <c r="W99" s="11">
        <v>33070300303</v>
      </c>
      <c r="X99" s="11" t="s">
        <v>440</v>
      </c>
      <c r="Y99" s="12" t="s">
        <v>39</v>
      </c>
      <c r="Z99" s="12" t="s">
        <v>39</v>
      </c>
      <c r="AA99" s="14" t="s">
        <v>38</v>
      </c>
      <c r="AB99" s="12" t="s">
        <v>39</v>
      </c>
      <c r="AC99" s="18">
        <v>2600</v>
      </c>
      <c r="AD99" s="18">
        <v>2380</v>
      </c>
      <c r="AE99" s="18">
        <v>2025</v>
      </c>
      <c r="AF99" s="14" t="s">
        <v>40</v>
      </c>
    </row>
    <row r="100" s="22" customFormat="1" ht="25.5" spans="1:32">
      <c r="A100" s="34"/>
      <c r="B100" s="11"/>
      <c r="C100" s="34"/>
      <c r="D100" s="38"/>
      <c r="E100" s="48"/>
      <c r="F100" s="48"/>
      <c r="G100" s="34"/>
      <c r="H100" s="34"/>
      <c r="I100" s="54"/>
      <c r="J100" s="54"/>
      <c r="K100" s="52"/>
      <c r="L100" s="52"/>
      <c r="M100" s="52"/>
      <c r="N100" s="18"/>
      <c r="O100" s="18"/>
      <c r="P100" s="18"/>
      <c r="Q100" s="34"/>
      <c r="R100" s="34"/>
      <c r="S100" s="63"/>
      <c r="T100" s="52"/>
      <c r="U100" s="48"/>
      <c r="V100" s="11" t="s">
        <v>441</v>
      </c>
      <c r="W100" s="11">
        <v>33070300401</v>
      </c>
      <c r="X100" s="11" t="s">
        <v>442</v>
      </c>
      <c r="Y100" s="12" t="s">
        <v>39</v>
      </c>
      <c r="Z100" s="12" t="s">
        <v>39</v>
      </c>
      <c r="AA100" s="14" t="s">
        <v>38</v>
      </c>
      <c r="AB100" s="12" t="s">
        <v>39</v>
      </c>
      <c r="AC100" s="18">
        <v>2115</v>
      </c>
      <c r="AD100" s="18">
        <v>2030</v>
      </c>
      <c r="AE100" s="18">
        <v>1725</v>
      </c>
      <c r="AF100" s="14" t="s">
        <v>40</v>
      </c>
    </row>
    <row r="101" s="22" customFormat="1" ht="25.5" spans="1:32">
      <c r="A101" s="34"/>
      <c r="B101" s="11"/>
      <c r="C101" s="34"/>
      <c r="D101" s="38"/>
      <c r="E101" s="48"/>
      <c r="F101" s="48"/>
      <c r="G101" s="34"/>
      <c r="H101" s="34"/>
      <c r="I101" s="54"/>
      <c r="J101" s="54"/>
      <c r="K101" s="52"/>
      <c r="L101" s="52"/>
      <c r="M101" s="52"/>
      <c r="N101" s="18"/>
      <c r="O101" s="18"/>
      <c r="P101" s="18"/>
      <c r="Q101" s="34"/>
      <c r="R101" s="34"/>
      <c r="S101" s="63"/>
      <c r="T101" s="52"/>
      <c r="U101" s="48"/>
      <c r="V101" s="11" t="s">
        <v>443</v>
      </c>
      <c r="W101" s="11">
        <v>33070300403</v>
      </c>
      <c r="X101" s="11" t="s">
        <v>444</v>
      </c>
      <c r="Y101" s="12" t="s">
        <v>39</v>
      </c>
      <c r="Z101" s="12" t="s">
        <v>39</v>
      </c>
      <c r="AA101" s="14" t="s">
        <v>38</v>
      </c>
      <c r="AB101" s="12" t="s">
        <v>39</v>
      </c>
      <c r="AC101" s="18">
        <v>2740</v>
      </c>
      <c r="AD101" s="18">
        <v>2630</v>
      </c>
      <c r="AE101" s="18">
        <v>2235</v>
      </c>
      <c r="AF101" s="14" t="s">
        <v>40</v>
      </c>
    </row>
    <row r="102" s="22" customFormat="1" ht="33" customHeight="1" spans="1:32">
      <c r="A102" s="34">
        <v>38</v>
      </c>
      <c r="B102" s="11" t="s">
        <v>445</v>
      </c>
      <c r="C102" s="34" t="s">
        <v>446</v>
      </c>
      <c r="D102" s="38" t="s">
        <v>297</v>
      </c>
      <c r="E102" s="48" t="s">
        <v>447</v>
      </c>
      <c r="F102" s="48" t="s">
        <v>448</v>
      </c>
      <c r="G102" s="34" t="s">
        <v>38</v>
      </c>
      <c r="H102" s="34" t="s">
        <v>449</v>
      </c>
      <c r="I102" s="15">
        <v>4156</v>
      </c>
      <c r="J102" s="15">
        <v>3740</v>
      </c>
      <c r="K102" s="52">
        <v>3665</v>
      </c>
      <c r="L102" s="52"/>
      <c r="M102" s="52"/>
      <c r="N102" s="18">
        <v>3700</v>
      </c>
      <c r="O102" s="18">
        <v>3350</v>
      </c>
      <c r="P102" s="18">
        <v>2850</v>
      </c>
      <c r="Q102" s="34" t="s">
        <v>40</v>
      </c>
      <c r="R102" s="34" t="s">
        <v>39</v>
      </c>
      <c r="S102" s="63" t="s">
        <v>39</v>
      </c>
      <c r="T102" s="52" t="s">
        <v>344</v>
      </c>
      <c r="U102" s="48" t="s">
        <v>450</v>
      </c>
      <c r="V102" s="34" t="s">
        <v>451</v>
      </c>
      <c r="W102" s="34">
        <v>330703030</v>
      </c>
      <c r="X102" s="34" t="s">
        <v>452</v>
      </c>
      <c r="Y102" s="12" t="s">
        <v>39</v>
      </c>
      <c r="Z102" s="12" t="s">
        <v>453</v>
      </c>
      <c r="AA102" s="14" t="s">
        <v>38</v>
      </c>
      <c r="AB102" s="12" t="s">
        <v>39</v>
      </c>
      <c r="AC102" s="18">
        <v>3040</v>
      </c>
      <c r="AD102" s="18">
        <v>2740</v>
      </c>
      <c r="AE102" s="18">
        <v>2330</v>
      </c>
      <c r="AF102" s="14" t="s">
        <v>40</v>
      </c>
    </row>
    <row r="103" s="22" customFormat="1" ht="33" customHeight="1" spans="1:32">
      <c r="A103" s="34"/>
      <c r="B103" s="11"/>
      <c r="C103" s="34"/>
      <c r="D103" s="38"/>
      <c r="E103" s="48"/>
      <c r="F103" s="48"/>
      <c r="G103" s="34"/>
      <c r="H103" s="34"/>
      <c r="I103" s="54"/>
      <c r="J103" s="54"/>
      <c r="K103" s="52"/>
      <c r="L103" s="52"/>
      <c r="M103" s="52"/>
      <c r="N103" s="18"/>
      <c r="O103" s="18"/>
      <c r="P103" s="18"/>
      <c r="Q103" s="34"/>
      <c r="R103" s="34"/>
      <c r="S103" s="63"/>
      <c r="T103" s="52"/>
      <c r="U103" s="48"/>
      <c r="V103" s="11" t="s">
        <v>454</v>
      </c>
      <c r="W103" s="11">
        <v>33070303002</v>
      </c>
      <c r="X103" s="11" t="s">
        <v>455</v>
      </c>
      <c r="Y103" s="12" t="s">
        <v>39</v>
      </c>
      <c r="Z103" s="12" t="s">
        <v>39</v>
      </c>
      <c r="AA103" s="14" t="s">
        <v>38</v>
      </c>
      <c r="AB103" s="12" t="s">
        <v>39</v>
      </c>
      <c r="AC103" s="18">
        <v>3665</v>
      </c>
      <c r="AD103" s="18">
        <v>3340</v>
      </c>
      <c r="AE103" s="18">
        <v>2840</v>
      </c>
      <c r="AF103" s="14" t="s">
        <v>40</v>
      </c>
    </row>
    <row r="104" s="22" customFormat="1" ht="28" customHeight="1" spans="1:32">
      <c r="A104" s="34" t="s">
        <v>68</v>
      </c>
      <c r="B104" s="11" t="s">
        <v>456</v>
      </c>
      <c r="C104" s="34" t="s">
        <v>457</v>
      </c>
      <c r="D104" s="38" t="s">
        <v>297</v>
      </c>
      <c r="E104" s="48" t="s">
        <v>39</v>
      </c>
      <c r="F104" s="48" t="s">
        <v>39</v>
      </c>
      <c r="G104" s="34" t="s">
        <v>38</v>
      </c>
      <c r="H104" s="34" t="s">
        <v>39</v>
      </c>
      <c r="I104" s="15">
        <v>1247</v>
      </c>
      <c r="J104" s="15">
        <v>1122</v>
      </c>
      <c r="K104" s="52"/>
      <c r="L104" s="52"/>
      <c r="M104" s="52"/>
      <c r="N104" s="18">
        <v>1110</v>
      </c>
      <c r="O104" s="18">
        <v>1005</v>
      </c>
      <c r="P104" s="18">
        <v>855</v>
      </c>
      <c r="Q104" s="34" t="s">
        <v>40</v>
      </c>
      <c r="R104" s="34" t="s">
        <v>39</v>
      </c>
      <c r="S104" s="63" t="s">
        <v>39</v>
      </c>
      <c r="T104" s="52"/>
      <c r="U104" s="48" t="s">
        <v>71</v>
      </c>
      <c r="V104" s="11" t="s">
        <v>458</v>
      </c>
      <c r="W104" s="11">
        <v>33070303001</v>
      </c>
      <c r="X104" s="11" t="s">
        <v>459</v>
      </c>
      <c r="Y104" s="12" t="s">
        <v>39</v>
      </c>
      <c r="Z104" s="12" t="s">
        <v>39</v>
      </c>
      <c r="AA104" s="14" t="s">
        <v>38</v>
      </c>
      <c r="AB104" s="12" t="s">
        <v>39</v>
      </c>
      <c r="AC104" s="18">
        <v>3950</v>
      </c>
      <c r="AD104" s="18">
        <v>3560</v>
      </c>
      <c r="AE104" s="18">
        <v>3025</v>
      </c>
      <c r="AF104" s="14" t="s">
        <v>40</v>
      </c>
    </row>
    <row r="105" s="22" customFormat="1" ht="28" customHeight="1" spans="1:32">
      <c r="A105" s="34"/>
      <c r="B105" s="11"/>
      <c r="C105" s="34"/>
      <c r="D105" s="38"/>
      <c r="E105" s="48"/>
      <c r="F105" s="48"/>
      <c r="G105" s="34"/>
      <c r="H105" s="34"/>
      <c r="I105" s="54"/>
      <c r="J105" s="54"/>
      <c r="K105" s="52"/>
      <c r="L105" s="52"/>
      <c r="M105" s="52"/>
      <c r="N105" s="18"/>
      <c r="O105" s="18"/>
      <c r="P105" s="18"/>
      <c r="Q105" s="34"/>
      <c r="R105" s="34"/>
      <c r="S105" s="63"/>
      <c r="T105" s="52"/>
      <c r="U105" s="48"/>
      <c r="V105" s="11" t="s">
        <v>460</v>
      </c>
      <c r="W105" s="11">
        <v>33070303003</v>
      </c>
      <c r="X105" s="11" t="s">
        <v>461</v>
      </c>
      <c r="Y105" s="12" t="s">
        <v>39</v>
      </c>
      <c r="Z105" s="12" t="s">
        <v>39</v>
      </c>
      <c r="AA105" s="14" t="s">
        <v>38</v>
      </c>
      <c r="AB105" s="12" t="s">
        <v>39</v>
      </c>
      <c r="AC105" s="18">
        <v>4575</v>
      </c>
      <c r="AD105" s="18">
        <v>4160</v>
      </c>
      <c r="AE105" s="18">
        <v>3535</v>
      </c>
      <c r="AF105" s="14" t="s">
        <v>40</v>
      </c>
    </row>
    <row r="106" s="22" customFormat="1" ht="24" customHeight="1" spans="1:32">
      <c r="A106" s="34">
        <v>39</v>
      </c>
      <c r="B106" s="11" t="s">
        <v>462</v>
      </c>
      <c r="C106" s="34" t="s">
        <v>463</v>
      </c>
      <c r="D106" s="38" t="s">
        <v>297</v>
      </c>
      <c r="E106" s="48" t="s">
        <v>464</v>
      </c>
      <c r="F106" s="48" t="s">
        <v>398</v>
      </c>
      <c r="G106" s="34" t="s">
        <v>241</v>
      </c>
      <c r="H106" s="34" t="s">
        <v>39</v>
      </c>
      <c r="I106" s="15">
        <v>4800</v>
      </c>
      <c r="J106" s="15">
        <v>4320</v>
      </c>
      <c r="K106" s="53">
        <v>4703.57685810811</v>
      </c>
      <c r="L106" s="53">
        <v>4316.26423690205</v>
      </c>
      <c r="M106" s="53">
        <v>3861.11111111111</v>
      </c>
      <c r="N106" s="58">
        <v>4700</v>
      </c>
      <c r="O106" s="58">
        <v>4300</v>
      </c>
      <c r="P106" s="58">
        <v>3800</v>
      </c>
      <c r="Q106" s="62" t="s">
        <v>40</v>
      </c>
      <c r="R106" s="62" t="s">
        <v>39</v>
      </c>
      <c r="S106" s="64" t="s">
        <v>39</v>
      </c>
      <c r="T106" s="53" t="s">
        <v>95</v>
      </c>
      <c r="U106" s="67" t="s">
        <v>465</v>
      </c>
      <c r="V106" s="34" t="s">
        <v>466</v>
      </c>
      <c r="W106" s="34">
        <v>330702005</v>
      </c>
      <c r="X106" s="34" t="s">
        <v>467</v>
      </c>
      <c r="Y106" s="12" t="s">
        <v>39</v>
      </c>
      <c r="Z106" s="12" t="s">
        <v>39</v>
      </c>
      <c r="AA106" s="14" t="s">
        <v>38</v>
      </c>
      <c r="AB106" s="12" t="s">
        <v>468</v>
      </c>
      <c r="AC106" s="18">
        <v>2185</v>
      </c>
      <c r="AD106" s="18">
        <v>1965</v>
      </c>
      <c r="AE106" s="18">
        <v>1570</v>
      </c>
      <c r="AF106" s="14" t="s">
        <v>40</v>
      </c>
    </row>
    <row r="107" s="22" customFormat="1" ht="24" customHeight="1" spans="1:32">
      <c r="A107" s="34"/>
      <c r="B107" s="11"/>
      <c r="C107" s="34"/>
      <c r="D107" s="38"/>
      <c r="E107" s="48"/>
      <c r="F107" s="48"/>
      <c r="G107" s="34"/>
      <c r="H107" s="34"/>
      <c r="I107" s="54"/>
      <c r="J107" s="54"/>
      <c r="K107" s="53"/>
      <c r="L107" s="53"/>
      <c r="M107" s="53"/>
      <c r="N107" s="58"/>
      <c r="O107" s="58"/>
      <c r="P107" s="58"/>
      <c r="Q107" s="62"/>
      <c r="R107" s="62"/>
      <c r="S107" s="64"/>
      <c r="T107" s="53"/>
      <c r="U107" s="67"/>
      <c r="V107" s="34" t="s">
        <v>469</v>
      </c>
      <c r="W107" s="34">
        <v>33070200504</v>
      </c>
      <c r="X107" s="34" t="s">
        <v>470</v>
      </c>
      <c r="Y107" s="12" t="s">
        <v>39</v>
      </c>
      <c r="Z107" s="12" t="s">
        <v>39</v>
      </c>
      <c r="AA107" s="14" t="s">
        <v>38</v>
      </c>
      <c r="AB107" s="12" t="s">
        <v>39</v>
      </c>
      <c r="AC107" s="18">
        <v>2810</v>
      </c>
      <c r="AD107" s="18">
        <v>2565</v>
      </c>
      <c r="AE107" s="18">
        <v>2080</v>
      </c>
      <c r="AF107" s="14" t="s">
        <v>40</v>
      </c>
    </row>
    <row r="108" s="22" customFormat="1" ht="24" customHeight="1" spans="1:32">
      <c r="A108" s="34"/>
      <c r="B108" s="11"/>
      <c r="C108" s="34"/>
      <c r="D108" s="38"/>
      <c r="E108" s="48"/>
      <c r="F108" s="48"/>
      <c r="G108" s="34"/>
      <c r="H108" s="34"/>
      <c r="I108" s="54"/>
      <c r="J108" s="54"/>
      <c r="K108" s="53"/>
      <c r="L108" s="53"/>
      <c r="M108" s="53"/>
      <c r="N108" s="58"/>
      <c r="O108" s="58"/>
      <c r="P108" s="58"/>
      <c r="Q108" s="62"/>
      <c r="R108" s="62"/>
      <c r="S108" s="64"/>
      <c r="T108" s="53"/>
      <c r="U108" s="67"/>
      <c r="V108" s="34" t="s">
        <v>471</v>
      </c>
      <c r="W108" s="34">
        <v>330702004</v>
      </c>
      <c r="X108" s="73" t="s">
        <v>472</v>
      </c>
      <c r="Y108" s="12" t="s">
        <v>473</v>
      </c>
      <c r="Z108" s="12" t="s">
        <v>39</v>
      </c>
      <c r="AA108" s="14" t="s">
        <v>38</v>
      </c>
      <c r="AB108" s="12" t="s">
        <v>474</v>
      </c>
      <c r="AC108" s="18">
        <v>3380</v>
      </c>
      <c r="AD108" s="18">
        <v>3040</v>
      </c>
      <c r="AE108" s="18">
        <v>2580</v>
      </c>
      <c r="AF108" s="14" t="s">
        <v>40</v>
      </c>
    </row>
    <row r="109" s="22" customFormat="1" ht="24" customHeight="1" spans="1:32">
      <c r="A109" s="34"/>
      <c r="B109" s="11"/>
      <c r="C109" s="34"/>
      <c r="D109" s="38"/>
      <c r="E109" s="48"/>
      <c r="F109" s="48"/>
      <c r="G109" s="34"/>
      <c r="H109" s="34"/>
      <c r="I109" s="54"/>
      <c r="J109" s="54"/>
      <c r="K109" s="53"/>
      <c r="L109" s="53"/>
      <c r="M109" s="53"/>
      <c r="N109" s="58"/>
      <c r="O109" s="58"/>
      <c r="P109" s="58"/>
      <c r="Q109" s="62"/>
      <c r="R109" s="62"/>
      <c r="S109" s="64"/>
      <c r="T109" s="53"/>
      <c r="U109" s="67"/>
      <c r="V109" s="11" t="s">
        <v>475</v>
      </c>
      <c r="W109" s="11">
        <v>33070200404</v>
      </c>
      <c r="X109" s="18" t="s">
        <v>476</v>
      </c>
      <c r="Y109" s="12" t="s">
        <v>39</v>
      </c>
      <c r="Z109" s="12" t="s">
        <v>39</v>
      </c>
      <c r="AA109" s="14" t="s">
        <v>38</v>
      </c>
      <c r="AB109" s="12" t="s">
        <v>39</v>
      </c>
      <c r="AC109" s="18">
        <v>4005</v>
      </c>
      <c r="AD109" s="18">
        <v>3640</v>
      </c>
      <c r="AE109" s="18">
        <v>3090</v>
      </c>
      <c r="AF109" s="14" t="s">
        <v>40</v>
      </c>
    </row>
    <row r="110" s="22" customFormat="1" ht="24" customHeight="1" spans="1:32">
      <c r="A110" s="34"/>
      <c r="B110" s="11"/>
      <c r="C110" s="34"/>
      <c r="D110" s="38"/>
      <c r="E110" s="48"/>
      <c r="F110" s="48"/>
      <c r="G110" s="34"/>
      <c r="H110" s="34"/>
      <c r="I110" s="54"/>
      <c r="J110" s="54"/>
      <c r="K110" s="53"/>
      <c r="L110" s="53"/>
      <c r="M110" s="53"/>
      <c r="N110" s="58"/>
      <c r="O110" s="58"/>
      <c r="P110" s="58"/>
      <c r="Q110" s="62"/>
      <c r="R110" s="62"/>
      <c r="S110" s="64"/>
      <c r="T110" s="53"/>
      <c r="U110" s="67"/>
      <c r="V110" s="34" t="s">
        <v>477</v>
      </c>
      <c r="W110" s="34">
        <v>330702009</v>
      </c>
      <c r="X110" s="34" t="s">
        <v>478</v>
      </c>
      <c r="Y110" s="12" t="s">
        <v>479</v>
      </c>
      <c r="Z110" s="12" t="s">
        <v>39</v>
      </c>
      <c r="AA110" s="14" t="s">
        <v>38</v>
      </c>
      <c r="AB110" s="12" t="s">
        <v>480</v>
      </c>
      <c r="AC110" s="18">
        <v>1875</v>
      </c>
      <c r="AD110" s="18">
        <v>1800</v>
      </c>
      <c r="AE110" s="18">
        <v>1530</v>
      </c>
      <c r="AF110" s="14" t="s">
        <v>40</v>
      </c>
    </row>
    <row r="111" s="22" customFormat="1" ht="24" customHeight="1" spans="1:32">
      <c r="A111" s="34"/>
      <c r="B111" s="11"/>
      <c r="C111" s="34"/>
      <c r="D111" s="38"/>
      <c r="E111" s="48"/>
      <c r="F111" s="48"/>
      <c r="G111" s="34"/>
      <c r="H111" s="34"/>
      <c r="I111" s="54"/>
      <c r="J111" s="54"/>
      <c r="K111" s="53"/>
      <c r="L111" s="53"/>
      <c r="M111" s="53"/>
      <c r="N111" s="58"/>
      <c r="O111" s="58"/>
      <c r="P111" s="58"/>
      <c r="Q111" s="62"/>
      <c r="R111" s="62"/>
      <c r="S111" s="64"/>
      <c r="T111" s="53"/>
      <c r="U111" s="67"/>
      <c r="V111" s="34" t="s">
        <v>481</v>
      </c>
      <c r="W111" s="34">
        <v>33070200904</v>
      </c>
      <c r="X111" s="34" t="s">
        <v>482</v>
      </c>
      <c r="Y111" s="12" t="s">
        <v>39</v>
      </c>
      <c r="Z111" s="12" t="s">
        <v>39</v>
      </c>
      <c r="AA111" s="14" t="s">
        <v>38</v>
      </c>
      <c r="AB111" s="12" t="s">
        <v>39</v>
      </c>
      <c r="AC111" s="18">
        <v>2500</v>
      </c>
      <c r="AD111" s="18">
        <v>2400</v>
      </c>
      <c r="AE111" s="18">
        <v>2040</v>
      </c>
      <c r="AF111" s="14" t="s">
        <v>40</v>
      </c>
    </row>
    <row r="112" s="22" customFormat="1" ht="24" customHeight="1" spans="1:32">
      <c r="A112" s="34"/>
      <c r="B112" s="11"/>
      <c r="C112" s="34"/>
      <c r="D112" s="38"/>
      <c r="E112" s="48"/>
      <c r="F112" s="48"/>
      <c r="G112" s="34"/>
      <c r="H112" s="34"/>
      <c r="I112" s="54"/>
      <c r="J112" s="54"/>
      <c r="K112" s="53"/>
      <c r="L112" s="53"/>
      <c r="M112" s="53"/>
      <c r="N112" s="58"/>
      <c r="O112" s="58"/>
      <c r="P112" s="58"/>
      <c r="Q112" s="62"/>
      <c r="R112" s="62"/>
      <c r="S112" s="64"/>
      <c r="T112" s="53"/>
      <c r="U112" s="67"/>
      <c r="V112" s="34" t="s">
        <v>483</v>
      </c>
      <c r="W112" s="34">
        <v>330702015</v>
      </c>
      <c r="X112" s="34" t="s">
        <v>484</v>
      </c>
      <c r="Y112" s="12" t="s">
        <v>485</v>
      </c>
      <c r="Z112" s="12" t="s">
        <v>39</v>
      </c>
      <c r="AA112" s="14" t="s">
        <v>38</v>
      </c>
      <c r="AB112" s="12" t="s">
        <v>486</v>
      </c>
      <c r="AC112" s="18">
        <v>3040</v>
      </c>
      <c r="AD112" s="18">
        <v>2740</v>
      </c>
      <c r="AE112" s="18">
        <v>2330</v>
      </c>
      <c r="AF112" s="14" t="s">
        <v>40</v>
      </c>
    </row>
    <row r="113" s="22" customFormat="1" ht="24" customHeight="1" spans="1:32">
      <c r="A113" s="34"/>
      <c r="B113" s="11"/>
      <c r="C113" s="34"/>
      <c r="D113" s="38"/>
      <c r="E113" s="48"/>
      <c r="F113" s="48"/>
      <c r="G113" s="34"/>
      <c r="H113" s="34"/>
      <c r="I113" s="54"/>
      <c r="J113" s="54"/>
      <c r="K113" s="53"/>
      <c r="L113" s="53"/>
      <c r="M113" s="53"/>
      <c r="N113" s="58"/>
      <c r="O113" s="58"/>
      <c r="P113" s="58"/>
      <c r="Q113" s="62"/>
      <c r="R113" s="62"/>
      <c r="S113" s="64"/>
      <c r="T113" s="53"/>
      <c r="U113" s="67"/>
      <c r="V113" s="34" t="s">
        <v>487</v>
      </c>
      <c r="W113" s="34">
        <v>33070201504</v>
      </c>
      <c r="X113" s="34" t="s">
        <v>488</v>
      </c>
      <c r="Y113" s="12" t="s">
        <v>39</v>
      </c>
      <c r="Z113" s="12" t="s">
        <v>39</v>
      </c>
      <c r="AA113" s="14" t="s">
        <v>38</v>
      </c>
      <c r="AB113" s="12" t="s">
        <v>39</v>
      </c>
      <c r="AC113" s="18">
        <v>3665</v>
      </c>
      <c r="AD113" s="18">
        <v>3340</v>
      </c>
      <c r="AE113" s="18">
        <v>2840</v>
      </c>
      <c r="AF113" s="14" t="s">
        <v>40</v>
      </c>
    </row>
    <row r="114" s="22" customFormat="1" ht="24" customHeight="1" spans="1:33">
      <c r="A114" s="34"/>
      <c r="B114" s="11"/>
      <c r="C114" s="34"/>
      <c r="D114" s="38"/>
      <c r="E114" s="48"/>
      <c r="F114" s="48"/>
      <c r="G114" s="34"/>
      <c r="H114" s="34"/>
      <c r="I114" s="54"/>
      <c r="J114" s="54"/>
      <c r="K114" s="53"/>
      <c r="L114" s="53"/>
      <c r="M114" s="53"/>
      <c r="N114" s="58"/>
      <c r="O114" s="58"/>
      <c r="P114" s="58"/>
      <c r="Q114" s="62"/>
      <c r="R114" s="62"/>
      <c r="S114" s="64"/>
      <c r="T114" s="53"/>
      <c r="U114" s="67"/>
      <c r="V114" s="74" t="s">
        <v>489</v>
      </c>
      <c r="W114" s="74">
        <v>330702002</v>
      </c>
      <c r="X114" s="74" t="s">
        <v>490</v>
      </c>
      <c r="Y114" s="76" t="s">
        <v>491</v>
      </c>
      <c r="Z114" s="76" t="s">
        <v>39</v>
      </c>
      <c r="AA114" s="77" t="s">
        <v>38</v>
      </c>
      <c r="AB114" s="76" t="s">
        <v>492</v>
      </c>
      <c r="AC114" s="78">
        <v>7980</v>
      </c>
      <c r="AD114" s="78">
        <v>7180</v>
      </c>
      <c r="AE114" s="78">
        <v>5745</v>
      </c>
      <c r="AF114" s="77" t="s">
        <v>40</v>
      </c>
      <c r="AG114" s="96"/>
    </row>
    <row r="115" s="22" customFormat="1" ht="24" customHeight="1" spans="1:33">
      <c r="A115" s="34"/>
      <c r="B115" s="11"/>
      <c r="C115" s="34"/>
      <c r="D115" s="38"/>
      <c r="E115" s="48"/>
      <c r="F115" s="48"/>
      <c r="G115" s="34"/>
      <c r="H115" s="34"/>
      <c r="I115" s="54"/>
      <c r="J115" s="54"/>
      <c r="K115" s="53"/>
      <c r="L115" s="53"/>
      <c r="M115" s="53"/>
      <c r="N115" s="58"/>
      <c r="O115" s="58"/>
      <c r="P115" s="58"/>
      <c r="Q115" s="62"/>
      <c r="R115" s="62"/>
      <c r="S115" s="64"/>
      <c r="T115" s="53"/>
      <c r="U115" s="67"/>
      <c r="V115" s="74" t="s">
        <v>493</v>
      </c>
      <c r="W115" s="74">
        <v>33070200204</v>
      </c>
      <c r="X115" s="74" t="s">
        <v>494</v>
      </c>
      <c r="Y115" s="76" t="s">
        <v>39</v>
      </c>
      <c r="Z115" s="76" t="s">
        <v>39</v>
      </c>
      <c r="AA115" s="77" t="s">
        <v>38</v>
      </c>
      <c r="AB115" s="76" t="s">
        <v>39</v>
      </c>
      <c r="AC115" s="78">
        <v>8605</v>
      </c>
      <c r="AD115" s="78">
        <v>7780</v>
      </c>
      <c r="AE115" s="78">
        <v>6255</v>
      </c>
      <c r="AF115" s="77" t="s">
        <v>40</v>
      </c>
      <c r="AG115" s="96"/>
    </row>
    <row r="116" s="22" customFormat="1" ht="25" customHeight="1" spans="1:33">
      <c r="A116" s="34" t="s">
        <v>68</v>
      </c>
      <c r="B116" s="34" t="s">
        <v>495</v>
      </c>
      <c r="C116" s="34" t="s">
        <v>496</v>
      </c>
      <c r="D116" s="34" t="s">
        <v>297</v>
      </c>
      <c r="E116" s="48" t="s">
        <v>39</v>
      </c>
      <c r="F116" s="48" t="s">
        <v>39</v>
      </c>
      <c r="G116" s="34" t="s">
        <v>241</v>
      </c>
      <c r="H116" s="34" t="s">
        <v>39</v>
      </c>
      <c r="I116" s="15">
        <v>1440</v>
      </c>
      <c r="J116" s="15">
        <v>1296</v>
      </c>
      <c r="K116" s="52"/>
      <c r="L116" s="52"/>
      <c r="M116" s="52"/>
      <c r="N116" s="18">
        <v>1410</v>
      </c>
      <c r="O116" s="18">
        <v>1290</v>
      </c>
      <c r="P116" s="18">
        <v>1140</v>
      </c>
      <c r="Q116" s="34" t="s">
        <v>40</v>
      </c>
      <c r="R116" s="34" t="s">
        <v>39</v>
      </c>
      <c r="S116" s="63" t="s">
        <v>39</v>
      </c>
      <c r="T116" s="52"/>
      <c r="U116" s="48" t="s">
        <v>71</v>
      </c>
      <c r="V116" s="11" t="s">
        <v>497</v>
      </c>
      <c r="W116" s="11">
        <v>33070200502</v>
      </c>
      <c r="X116" s="11" t="s">
        <v>498</v>
      </c>
      <c r="Y116" s="12" t="s">
        <v>39</v>
      </c>
      <c r="Z116" s="12" t="s">
        <v>39</v>
      </c>
      <c r="AA116" s="14" t="s">
        <v>38</v>
      </c>
      <c r="AB116" s="12" t="s">
        <v>39</v>
      </c>
      <c r="AC116" s="18">
        <v>2840</v>
      </c>
      <c r="AD116" s="18">
        <v>2555</v>
      </c>
      <c r="AE116" s="18">
        <v>2040</v>
      </c>
      <c r="AF116" s="14" t="s">
        <v>40</v>
      </c>
      <c r="AG116" s="23"/>
    </row>
    <row r="117" s="22" customFormat="1" ht="25" customHeight="1" spans="1:32">
      <c r="A117" s="34"/>
      <c r="B117" s="34"/>
      <c r="C117" s="34"/>
      <c r="D117" s="34"/>
      <c r="E117" s="48"/>
      <c r="F117" s="48"/>
      <c r="G117" s="34"/>
      <c r="H117" s="34"/>
      <c r="I117" s="54"/>
      <c r="J117" s="54"/>
      <c r="K117" s="52"/>
      <c r="L117" s="52"/>
      <c r="M117" s="52"/>
      <c r="N117" s="18"/>
      <c r="O117" s="18"/>
      <c r="P117" s="18"/>
      <c r="Q117" s="34"/>
      <c r="R117" s="34"/>
      <c r="S117" s="63"/>
      <c r="T117" s="52"/>
      <c r="U117" s="48"/>
      <c r="V117" s="11" t="s">
        <v>499</v>
      </c>
      <c r="W117" s="11">
        <v>33070200402</v>
      </c>
      <c r="X117" s="11" t="s">
        <v>500</v>
      </c>
      <c r="Y117" s="12" t="s">
        <v>39</v>
      </c>
      <c r="Z117" s="12" t="s">
        <v>39</v>
      </c>
      <c r="AA117" s="14" t="s">
        <v>38</v>
      </c>
      <c r="AB117" s="12" t="s">
        <v>39</v>
      </c>
      <c r="AC117" s="18">
        <v>4395</v>
      </c>
      <c r="AD117" s="18">
        <v>3950</v>
      </c>
      <c r="AE117" s="18">
        <v>3360</v>
      </c>
      <c r="AF117" s="14" t="s">
        <v>40</v>
      </c>
    </row>
    <row r="118" s="22" customFormat="1" ht="25" customHeight="1" spans="1:32">
      <c r="A118" s="34"/>
      <c r="B118" s="34"/>
      <c r="C118" s="34"/>
      <c r="D118" s="34"/>
      <c r="E118" s="48"/>
      <c r="F118" s="48"/>
      <c r="G118" s="34"/>
      <c r="H118" s="34"/>
      <c r="I118" s="54"/>
      <c r="J118" s="54"/>
      <c r="K118" s="52"/>
      <c r="L118" s="52"/>
      <c r="M118" s="52"/>
      <c r="N118" s="18"/>
      <c r="O118" s="18"/>
      <c r="P118" s="18"/>
      <c r="Q118" s="34"/>
      <c r="R118" s="34"/>
      <c r="S118" s="63"/>
      <c r="T118" s="52"/>
      <c r="U118" s="48"/>
      <c r="V118" s="11" t="s">
        <v>501</v>
      </c>
      <c r="W118" s="11">
        <v>33070200902</v>
      </c>
      <c r="X118" s="11" t="s">
        <v>502</v>
      </c>
      <c r="Y118" s="12" t="s">
        <v>39</v>
      </c>
      <c r="Z118" s="12" t="s">
        <v>39</v>
      </c>
      <c r="AA118" s="14" t="s">
        <v>38</v>
      </c>
      <c r="AB118" s="12" t="s">
        <v>39</v>
      </c>
      <c r="AC118" s="18">
        <v>2440</v>
      </c>
      <c r="AD118" s="18">
        <v>2340</v>
      </c>
      <c r="AE118" s="18">
        <v>1990</v>
      </c>
      <c r="AF118" s="14" t="s">
        <v>40</v>
      </c>
    </row>
    <row r="119" s="22" customFormat="1" ht="25" customHeight="1" spans="1:32">
      <c r="A119" s="34"/>
      <c r="B119" s="34"/>
      <c r="C119" s="34"/>
      <c r="D119" s="34"/>
      <c r="E119" s="48"/>
      <c r="F119" s="48"/>
      <c r="G119" s="34"/>
      <c r="H119" s="34"/>
      <c r="I119" s="54"/>
      <c r="J119" s="54"/>
      <c r="K119" s="52"/>
      <c r="L119" s="52"/>
      <c r="M119" s="52"/>
      <c r="N119" s="18"/>
      <c r="O119" s="18"/>
      <c r="P119" s="18"/>
      <c r="Q119" s="34"/>
      <c r="R119" s="34"/>
      <c r="S119" s="63"/>
      <c r="T119" s="52"/>
      <c r="U119" s="48"/>
      <c r="V119" s="11" t="s">
        <v>503</v>
      </c>
      <c r="W119" s="11">
        <v>33070201502</v>
      </c>
      <c r="X119" s="11" t="s">
        <v>504</v>
      </c>
      <c r="Y119" s="12" t="s">
        <v>39</v>
      </c>
      <c r="Z119" s="12" t="s">
        <v>39</v>
      </c>
      <c r="AA119" s="14" t="s">
        <v>38</v>
      </c>
      <c r="AB119" s="12" t="s">
        <v>39</v>
      </c>
      <c r="AC119" s="18">
        <v>3950</v>
      </c>
      <c r="AD119" s="18">
        <v>3560</v>
      </c>
      <c r="AE119" s="18">
        <v>3025</v>
      </c>
      <c r="AF119" s="14" t="s">
        <v>40</v>
      </c>
    </row>
    <row r="120" s="22" customFormat="1" ht="25" customHeight="1" spans="1:32">
      <c r="A120" s="34"/>
      <c r="B120" s="34"/>
      <c r="C120" s="34"/>
      <c r="D120" s="34"/>
      <c r="E120" s="48"/>
      <c r="F120" s="48"/>
      <c r="G120" s="34"/>
      <c r="H120" s="34"/>
      <c r="I120" s="54"/>
      <c r="J120" s="54"/>
      <c r="K120" s="52"/>
      <c r="L120" s="52"/>
      <c r="M120" s="52"/>
      <c r="N120" s="18"/>
      <c r="O120" s="18"/>
      <c r="P120" s="18"/>
      <c r="Q120" s="34"/>
      <c r="R120" s="34"/>
      <c r="S120" s="63"/>
      <c r="T120" s="52"/>
      <c r="U120" s="48"/>
      <c r="V120" s="11" t="s">
        <v>505</v>
      </c>
      <c r="W120" s="11">
        <v>33070200406</v>
      </c>
      <c r="X120" s="11" t="s">
        <v>506</v>
      </c>
      <c r="Y120" s="12" t="s">
        <v>39</v>
      </c>
      <c r="Z120" s="12" t="s">
        <v>39</v>
      </c>
      <c r="AA120" s="14" t="s">
        <v>38</v>
      </c>
      <c r="AB120" s="12" t="s">
        <v>39</v>
      </c>
      <c r="AC120" s="18">
        <v>5020</v>
      </c>
      <c r="AD120" s="18">
        <v>4550</v>
      </c>
      <c r="AE120" s="18">
        <v>3870</v>
      </c>
      <c r="AF120" s="14" t="s">
        <v>40</v>
      </c>
    </row>
    <row r="121" s="22" customFormat="1" ht="25" customHeight="1" spans="1:32">
      <c r="A121" s="34"/>
      <c r="B121" s="34"/>
      <c r="C121" s="34"/>
      <c r="D121" s="34"/>
      <c r="E121" s="48"/>
      <c r="F121" s="48"/>
      <c r="G121" s="34"/>
      <c r="H121" s="34"/>
      <c r="I121" s="54"/>
      <c r="J121" s="54"/>
      <c r="K121" s="52"/>
      <c r="L121" s="52"/>
      <c r="M121" s="52"/>
      <c r="N121" s="18"/>
      <c r="O121" s="18"/>
      <c r="P121" s="18"/>
      <c r="Q121" s="34"/>
      <c r="R121" s="34"/>
      <c r="S121" s="63"/>
      <c r="T121" s="52"/>
      <c r="U121" s="48"/>
      <c r="V121" s="11" t="s">
        <v>507</v>
      </c>
      <c r="W121" s="11">
        <v>33070200506</v>
      </c>
      <c r="X121" s="11" t="s">
        <v>508</v>
      </c>
      <c r="Y121" s="12" t="s">
        <v>39</v>
      </c>
      <c r="Z121" s="12" t="s">
        <v>39</v>
      </c>
      <c r="AA121" s="14" t="s">
        <v>38</v>
      </c>
      <c r="AB121" s="12" t="s">
        <v>39</v>
      </c>
      <c r="AC121" s="18">
        <v>3465</v>
      </c>
      <c r="AD121" s="18">
        <v>3155</v>
      </c>
      <c r="AE121" s="18">
        <v>2550</v>
      </c>
      <c r="AF121" s="14" t="s">
        <v>40</v>
      </c>
    </row>
    <row r="122" s="22" customFormat="1" ht="25" customHeight="1" spans="1:32">
      <c r="A122" s="34"/>
      <c r="B122" s="34"/>
      <c r="C122" s="34"/>
      <c r="D122" s="34"/>
      <c r="E122" s="48"/>
      <c r="F122" s="48"/>
      <c r="G122" s="34"/>
      <c r="H122" s="34"/>
      <c r="I122" s="54"/>
      <c r="J122" s="54"/>
      <c r="K122" s="52"/>
      <c r="L122" s="52"/>
      <c r="M122" s="52"/>
      <c r="N122" s="18"/>
      <c r="O122" s="18"/>
      <c r="P122" s="18"/>
      <c r="Q122" s="34"/>
      <c r="R122" s="34"/>
      <c r="S122" s="63"/>
      <c r="T122" s="52"/>
      <c r="U122" s="48"/>
      <c r="V122" s="11" t="s">
        <v>509</v>
      </c>
      <c r="W122" s="11">
        <v>33070200906</v>
      </c>
      <c r="X122" s="11" t="s">
        <v>510</v>
      </c>
      <c r="Y122" s="12" t="s">
        <v>39</v>
      </c>
      <c r="Z122" s="12" t="s">
        <v>39</v>
      </c>
      <c r="AA122" s="14" t="s">
        <v>38</v>
      </c>
      <c r="AB122" s="12" t="s">
        <v>39</v>
      </c>
      <c r="AC122" s="18">
        <v>3065</v>
      </c>
      <c r="AD122" s="18">
        <v>2940</v>
      </c>
      <c r="AE122" s="18">
        <v>2500</v>
      </c>
      <c r="AF122" s="14" t="s">
        <v>40</v>
      </c>
    </row>
    <row r="123" s="22" customFormat="1" ht="25" customHeight="1" spans="1:32">
      <c r="A123" s="34"/>
      <c r="B123" s="34"/>
      <c r="C123" s="34"/>
      <c r="D123" s="34"/>
      <c r="E123" s="48"/>
      <c r="F123" s="48"/>
      <c r="G123" s="34"/>
      <c r="H123" s="34"/>
      <c r="I123" s="54"/>
      <c r="J123" s="54"/>
      <c r="K123" s="52"/>
      <c r="L123" s="52"/>
      <c r="M123" s="52"/>
      <c r="N123" s="18"/>
      <c r="O123" s="18"/>
      <c r="P123" s="18"/>
      <c r="Q123" s="34"/>
      <c r="R123" s="34"/>
      <c r="S123" s="63"/>
      <c r="T123" s="52"/>
      <c r="U123" s="48"/>
      <c r="V123" s="11" t="s">
        <v>511</v>
      </c>
      <c r="W123" s="11">
        <v>33070201505</v>
      </c>
      <c r="X123" s="11" t="s">
        <v>512</v>
      </c>
      <c r="Y123" s="12" t="s">
        <v>39</v>
      </c>
      <c r="Z123" s="12" t="s">
        <v>39</v>
      </c>
      <c r="AA123" s="14" t="s">
        <v>38</v>
      </c>
      <c r="AB123" s="12" t="s">
        <v>39</v>
      </c>
      <c r="AC123" s="18">
        <v>4575</v>
      </c>
      <c r="AD123" s="18">
        <v>4160</v>
      </c>
      <c r="AE123" s="18">
        <v>3535</v>
      </c>
      <c r="AF123" s="14" t="s">
        <v>40</v>
      </c>
    </row>
    <row r="124" s="22" customFormat="1" ht="25" customHeight="1" spans="1:32">
      <c r="A124" s="34"/>
      <c r="B124" s="34"/>
      <c r="C124" s="34"/>
      <c r="D124" s="34"/>
      <c r="E124" s="48"/>
      <c r="F124" s="48"/>
      <c r="G124" s="34"/>
      <c r="H124" s="34"/>
      <c r="I124" s="54"/>
      <c r="J124" s="54"/>
      <c r="K124" s="52"/>
      <c r="L124" s="52"/>
      <c r="M124" s="52"/>
      <c r="N124" s="18"/>
      <c r="O124" s="18"/>
      <c r="P124" s="18"/>
      <c r="Q124" s="34"/>
      <c r="R124" s="34"/>
      <c r="S124" s="63"/>
      <c r="T124" s="52"/>
      <c r="U124" s="48"/>
      <c r="V124" s="11" t="s">
        <v>513</v>
      </c>
      <c r="W124" s="11">
        <v>33070200202</v>
      </c>
      <c r="X124" s="11" t="s">
        <v>514</v>
      </c>
      <c r="Y124" s="12" t="s">
        <v>39</v>
      </c>
      <c r="Z124" s="12" t="s">
        <v>39</v>
      </c>
      <c r="AA124" s="14" t="s">
        <v>38</v>
      </c>
      <c r="AB124" s="12" t="s">
        <v>39</v>
      </c>
      <c r="AC124" s="18">
        <v>10375</v>
      </c>
      <c r="AD124" s="18">
        <v>9335</v>
      </c>
      <c r="AE124" s="18">
        <v>7470</v>
      </c>
      <c r="AF124" s="14" t="s">
        <v>40</v>
      </c>
    </row>
    <row r="125" s="22" customFormat="1" ht="25" customHeight="1" spans="1:32">
      <c r="A125" s="34"/>
      <c r="B125" s="34"/>
      <c r="C125" s="34"/>
      <c r="D125" s="34"/>
      <c r="E125" s="48"/>
      <c r="F125" s="48"/>
      <c r="G125" s="34"/>
      <c r="H125" s="34"/>
      <c r="I125" s="54"/>
      <c r="J125" s="54"/>
      <c r="K125" s="52"/>
      <c r="L125" s="52"/>
      <c r="M125" s="52"/>
      <c r="N125" s="18"/>
      <c r="O125" s="18"/>
      <c r="P125" s="18"/>
      <c r="Q125" s="34"/>
      <c r="R125" s="34"/>
      <c r="S125" s="63"/>
      <c r="T125" s="52"/>
      <c r="U125" s="48"/>
      <c r="V125" s="11" t="s">
        <v>515</v>
      </c>
      <c r="W125" s="11">
        <v>33070200206</v>
      </c>
      <c r="X125" s="11" t="s">
        <v>516</v>
      </c>
      <c r="Y125" s="12" t="s">
        <v>39</v>
      </c>
      <c r="Z125" s="12" t="s">
        <v>39</v>
      </c>
      <c r="AA125" s="14" t="s">
        <v>38</v>
      </c>
      <c r="AB125" s="12" t="s">
        <v>39</v>
      </c>
      <c r="AC125" s="18">
        <v>11000</v>
      </c>
      <c r="AD125" s="18">
        <v>9935</v>
      </c>
      <c r="AE125" s="18">
        <v>7980</v>
      </c>
      <c r="AF125" s="14" t="s">
        <v>40</v>
      </c>
    </row>
    <row r="126" s="22" customFormat="1" ht="24" customHeight="1" spans="1:32">
      <c r="A126" s="34">
        <v>40</v>
      </c>
      <c r="B126" s="11" t="s">
        <v>517</v>
      </c>
      <c r="C126" s="34" t="s">
        <v>518</v>
      </c>
      <c r="D126" s="34" t="s">
        <v>297</v>
      </c>
      <c r="E126" s="48" t="s">
        <v>519</v>
      </c>
      <c r="F126" s="48" t="s">
        <v>398</v>
      </c>
      <c r="G126" s="34" t="s">
        <v>241</v>
      </c>
      <c r="H126" s="34" t="s">
        <v>39</v>
      </c>
      <c r="I126" s="15">
        <v>6300</v>
      </c>
      <c r="J126" s="15">
        <v>5670</v>
      </c>
      <c r="K126" s="53">
        <v>6094.77707006369</v>
      </c>
      <c r="L126" s="53">
        <v>5830.6976744186</v>
      </c>
      <c r="M126" s="52"/>
      <c r="N126" s="58">
        <v>6100</v>
      </c>
      <c r="O126" s="58">
        <v>5650</v>
      </c>
      <c r="P126" s="58">
        <v>4800</v>
      </c>
      <c r="Q126" s="62" t="s">
        <v>40</v>
      </c>
      <c r="R126" s="62" t="s">
        <v>39</v>
      </c>
      <c r="S126" s="64" t="s">
        <v>39</v>
      </c>
      <c r="T126" s="52" t="s">
        <v>95</v>
      </c>
      <c r="U126" s="67" t="s">
        <v>465</v>
      </c>
      <c r="V126" s="34" t="s">
        <v>520</v>
      </c>
      <c r="W126" s="34">
        <v>330702006</v>
      </c>
      <c r="X126" s="34" t="s">
        <v>521</v>
      </c>
      <c r="Y126" s="12" t="s">
        <v>522</v>
      </c>
      <c r="Z126" s="12" t="s">
        <v>39</v>
      </c>
      <c r="AA126" s="14" t="s">
        <v>38</v>
      </c>
      <c r="AB126" s="12" t="s">
        <v>523</v>
      </c>
      <c r="AC126" s="18">
        <v>3110</v>
      </c>
      <c r="AD126" s="18">
        <v>2800</v>
      </c>
      <c r="AE126" s="18">
        <v>2380</v>
      </c>
      <c r="AF126" s="14" t="s">
        <v>40</v>
      </c>
    </row>
    <row r="127" s="22" customFormat="1" ht="24" customHeight="1" spans="1:32">
      <c r="A127" s="34"/>
      <c r="B127" s="11"/>
      <c r="C127" s="34"/>
      <c r="D127" s="34"/>
      <c r="E127" s="48"/>
      <c r="F127" s="48"/>
      <c r="G127" s="34"/>
      <c r="H127" s="34"/>
      <c r="I127" s="54"/>
      <c r="J127" s="54"/>
      <c r="K127" s="53"/>
      <c r="L127" s="53"/>
      <c r="M127" s="52"/>
      <c r="N127" s="58"/>
      <c r="O127" s="58"/>
      <c r="P127" s="58"/>
      <c r="Q127" s="62"/>
      <c r="R127" s="62"/>
      <c r="S127" s="64"/>
      <c r="T127" s="52"/>
      <c r="U127" s="67"/>
      <c r="V127" s="11" t="s">
        <v>524</v>
      </c>
      <c r="W127" s="11">
        <v>33070200604</v>
      </c>
      <c r="X127" s="11" t="s">
        <v>525</v>
      </c>
      <c r="Y127" s="12" t="s">
        <v>39</v>
      </c>
      <c r="Z127" s="12" t="s">
        <v>39</v>
      </c>
      <c r="AA127" s="14" t="s">
        <v>38</v>
      </c>
      <c r="AB127" s="12" t="s">
        <v>39</v>
      </c>
      <c r="AC127" s="18">
        <v>3735</v>
      </c>
      <c r="AD127" s="18">
        <v>3400</v>
      </c>
      <c r="AE127" s="18">
        <v>2890</v>
      </c>
      <c r="AF127" s="14" t="s">
        <v>40</v>
      </c>
    </row>
    <row r="128" s="22" customFormat="1" ht="24" customHeight="1" spans="1:33">
      <c r="A128" s="34"/>
      <c r="B128" s="11"/>
      <c r="C128" s="34"/>
      <c r="D128" s="34"/>
      <c r="E128" s="48"/>
      <c r="F128" s="48"/>
      <c r="G128" s="34"/>
      <c r="H128" s="34"/>
      <c r="I128" s="54"/>
      <c r="J128" s="54"/>
      <c r="K128" s="53"/>
      <c r="L128" s="53"/>
      <c r="M128" s="52"/>
      <c r="N128" s="58"/>
      <c r="O128" s="58"/>
      <c r="P128" s="58"/>
      <c r="Q128" s="62"/>
      <c r="R128" s="62"/>
      <c r="S128" s="64"/>
      <c r="T128" s="52"/>
      <c r="U128" s="67"/>
      <c r="V128" s="74" t="s">
        <v>489</v>
      </c>
      <c r="W128" s="74">
        <v>330702002</v>
      </c>
      <c r="X128" s="74" t="s">
        <v>490</v>
      </c>
      <c r="Y128" s="76" t="s">
        <v>491</v>
      </c>
      <c r="Z128" s="76" t="s">
        <v>39</v>
      </c>
      <c r="AA128" s="77" t="s">
        <v>38</v>
      </c>
      <c r="AB128" s="76" t="s">
        <v>492</v>
      </c>
      <c r="AC128" s="78">
        <v>7980</v>
      </c>
      <c r="AD128" s="78">
        <v>7180</v>
      </c>
      <c r="AE128" s="78">
        <v>5745</v>
      </c>
      <c r="AF128" s="77" t="s">
        <v>40</v>
      </c>
      <c r="AG128" s="97"/>
    </row>
    <row r="129" s="22" customFormat="1" ht="24" customHeight="1" spans="1:33">
      <c r="A129" s="34"/>
      <c r="B129" s="11"/>
      <c r="C129" s="34"/>
      <c r="D129" s="34"/>
      <c r="E129" s="48"/>
      <c r="F129" s="48"/>
      <c r="G129" s="34"/>
      <c r="H129" s="34"/>
      <c r="I129" s="54"/>
      <c r="J129" s="54"/>
      <c r="K129" s="53"/>
      <c r="L129" s="53"/>
      <c r="M129" s="52"/>
      <c r="N129" s="58"/>
      <c r="O129" s="58"/>
      <c r="P129" s="58"/>
      <c r="Q129" s="62"/>
      <c r="R129" s="62"/>
      <c r="S129" s="64"/>
      <c r="T129" s="52"/>
      <c r="U129" s="67"/>
      <c r="V129" s="74" t="s">
        <v>493</v>
      </c>
      <c r="W129" s="74">
        <v>33070200204</v>
      </c>
      <c r="X129" s="74" t="s">
        <v>494</v>
      </c>
      <c r="Y129" s="76" t="s">
        <v>39</v>
      </c>
      <c r="Z129" s="76" t="s">
        <v>39</v>
      </c>
      <c r="AA129" s="77" t="s">
        <v>38</v>
      </c>
      <c r="AB129" s="76" t="s">
        <v>39</v>
      </c>
      <c r="AC129" s="78">
        <v>8605</v>
      </c>
      <c r="AD129" s="78">
        <v>7780</v>
      </c>
      <c r="AE129" s="78">
        <v>6255</v>
      </c>
      <c r="AF129" s="77" t="s">
        <v>40</v>
      </c>
      <c r="AG129" s="97"/>
    </row>
    <row r="130" s="22" customFormat="1" ht="27" customHeight="1" spans="1:32">
      <c r="A130" s="34" t="s">
        <v>68</v>
      </c>
      <c r="B130" s="34" t="s">
        <v>526</v>
      </c>
      <c r="C130" s="34" t="s">
        <v>527</v>
      </c>
      <c r="D130" s="34" t="s">
        <v>297</v>
      </c>
      <c r="E130" s="48" t="s">
        <v>39</v>
      </c>
      <c r="F130" s="48" t="s">
        <v>39</v>
      </c>
      <c r="G130" s="34" t="s">
        <v>241</v>
      </c>
      <c r="H130" s="34" t="s">
        <v>39</v>
      </c>
      <c r="I130" s="15">
        <v>1890</v>
      </c>
      <c r="J130" s="15">
        <v>1701</v>
      </c>
      <c r="K130" s="52"/>
      <c r="L130" s="52"/>
      <c r="M130" s="52"/>
      <c r="N130" s="18">
        <v>1830</v>
      </c>
      <c r="O130" s="18">
        <v>1695</v>
      </c>
      <c r="P130" s="18">
        <v>1440</v>
      </c>
      <c r="Q130" s="34" t="s">
        <v>40</v>
      </c>
      <c r="R130" s="34" t="s">
        <v>39</v>
      </c>
      <c r="S130" s="63" t="s">
        <v>39</v>
      </c>
      <c r="T130" s="52"/>
      <c r="U130" s="48" t="s">
        <v>71</v>
      </c>
      <c r="V130" s="11" t="s">
        <v>528</v>
      </c>
      <c r="W130" s="11">
        <v>33070200602</v>
      </c>
      <c r="X130" s="11" t="s">
        <v>529</v>
      </c>
      <c r="Y130" s="12" t="s">
        <v>39</v>
      </c>
      <c r="Z130" s="12" t="s">
        <v>39</v>
      </c>
      <c r="AA130" s="14" t="s">
        <v>38</v>
      </c>
      <c r="AB130" s="12" t="s">
        <v>39</v>
      </c>
      <c r="AC130" s="18">
        <v>4045</v>
      </c>
      <c r="AD130" s="18">
        <v>3640</v>
      </c>
      <c r="AE130" s="18">
        <v>3095</v>
      </c>
      <c r="AF130" s="14" t="s">
        <v>40</v>
      </c>
    </row>
    <row r="131" s="22" customFormat="1" ht="27" customHeight="1" spans="1:32">
      <c r="A131" s="34"/>
      <c r="B131" s="34"/>
      <c r="C131" s="34"/>
      <c r="D131" s="34"/>
      <c r="E131" s="48"/>
      <c r="F131" s="48"/>
      <c r="G131" s="34"/>
      <c r="H131" s="34"/>
      <c r="I131" s="54"/>
      <c r="J131" s="54"/>
      <c r="K131" s="52"/>
      <c r="L131" s="52"/>
      <c r="M131" s="52"/>
      <c r="N131" s="18"/>
      <c r="O131" s="18"/>
      <c r="P131" s="18"/>
      <c r="Q131" s="34"/>
      <c r="R131" s="34"/>
      <c r="S131" s="63"/>
      <c r="T131" s="52"/>
      <c r="U131" s="48"/>
      <c r="V131" s="11" t="s">
        <v>530</v>
      </c>
      <c r="W131" s="11">
        <v>33070200606</v>
      </c>
      <c r="X131" s="11" t="s">
        <v>531</v>
      </c>
      <c r="Y131" s="12" t="s">
        <v>39</v>
      </c>
      <c r="Z131" s="12" t="s">
        <v>39</v>
      </c>
      <c r="AA131" s="14" t="s">
        <v>38</v>
      </c>
      <c r="AB131" s="12" t="s">
        <v>39</v>
      </c>
      <c r="AC131" s="18">
        <v>4670</v>
      </c>
      <c r="AD131" s="18">
        <v>4240</v>
      </c>
      <c r="AE131" s="18">
        <v>3605</v>
      </c>
      <c r="AF131" s="14" t="s">
        <v>40</v>
      </c>
    </row>
    <row r="132" s="22" customFormat="1" ht="27" customHeight="1" spans="1:32">
      <c r="A132" s="34"/>
      <c r="B132" s="34"/>
      <c r="C132" s="34"/>
      <c r="D132" s="34"/>
      <c r="E132" s="48"/>
      <c r="F132" s="48"/>
      <c r="G132" s="34"/>
      <c r="H132" s="34"/>
      <c r="I132" s="54"/>
      <c r="J132" s="54"/>
      <c r="K132" s="52"/>
      <c r="L132" s="52"/>
      <c r="M132" s="52"/>
      <c r="N132" s="18"/>
      <c r="O132" s="18"/>
      <c r="P132" s="18"/>
      <c r="Q132" s="34"/>
      <c r="R132" s="34"/>
      <c r="S132" s="63"/>
      <c r="T132" s="52"/>
      <c r="U132" s="48"/>
      <c r="V132" s="11" t="s">
        <v>513</v>
      </c>
      <c r="W132" s="11">
        <v>33070200202</v>
      </c>
      <c r="X132" s="11" t="s">
        <v>514</v>
      </c>
      <c r="Y132" s="12" t="s">
        <v>39</v>
      </c>
      <c r="Z132" s="12" t="s">
        <v>39</v>
      </c>
      <c r="AA132" s="14" t="s">
        <v>38</v>
      </c>
      <c r="AB132" s="12" t="s">
        <v>39</v>
      </c>
      <c r="AC132" s="18">
        <v>10375</v>
      </c>
      <c r="AD132" s="18">
        <v>9335</v>
      </c>
      <c r="AE132" s="18">
        <v>7470</v>
      </c>
      <c r="AF132" s="14" t="s">
        <v>40</v>
      </c>
    </row>
    <row r="133" s="22" customFormat="1" ht="27" customHeight="1" spans="1:32">
      <c r="A133" s="34"/>
      <c r="B133" s="34"/>
      <c r="C133" s="34"/>
      <c r="D133" s="34"/>
      <c r="E133" s="48"/>
      <c r="F133" s="48"/>
      <c r="G133" s="34"/>
      <c r="H133" s="34"/>
      <c r="I133" s="54"/>
      <c r="J133" s="54"/>
      <c r="K133" s="52"/>
      <c r="L133" s="52"/>
      <c r="M133" s="52"/>
      <c r="N133" s="18"/>
      <c r="O133" s="18"/>
      <c r="P133" s="18"/>
      <c r="Q133" s="34"/>
      <c r="R133" s="34"/>
      <c r="S133" s="63"/>
      <c r="T133" s="52"/>
      <c r="U133" s="48"/>
      <c r="V133" s="11" t="s">
        <v>515</v>
      </c>
      <c r="W133" s="11">
        <v>33070200206</v>
      </c>
      <c r="X133" s="11" t="s">
        <v>516</v>
      </c>
      <c r="Y133" s="12" t="s">
        <v>39</v>
      </c>
      <c r="Z133" s="12" t="s">
        <v>39</v>
      </c>
      <c r="AA133" s="14" t="s">
        <v>38</v>
      </c>
      <c r="AB133" s="12" t="s">
        <v>39</v>
      </c>
      <c r="AC133" s="18">
        <v>11000</v>
      </c>
      <c r="AD133" s="18">
        <v>9935</v>
      </c>
      <c r="AE133" s="18">
        <v>7980</v>
      </c>
      <c r="AF133" s="14" t="s">
        <v>40</v>
      </c>
    </row>
    <row r="134" s="22" customFormat="1" ht="24" customHeight="1" spans="1:32">
      <c r="A134" s="34">
        <v>41</v>
      </c>
      <c r="B134" s="11" t="s">
        <v>532</v>
      </c>
      <c r="C134" s="34" t="s">
        <v>533</v>
      </c>
      <c r="D134" s="34" t="s">
        <v>297</v>
      </c>
      <c r="E134" s="48" t="s">
        <v>534</v>
      </c>
      <c r="F134" s="48" t="s">
        <v>398</v>
      </c>
      <c r="G134" s="34" t="s">
        <v>241</v>
      </c>
      <c r="H134" s="48" t="s">
        <v>535</v>
      </c>
      <c r="I134" s="15">
        <v>7500</v>
      </c>
      <c r="J134" s="15">
        <v>6750</v>
      </c>
      <c r="K134" s="52"/>
      <c r="L134" s="52"/>
      <c r="M134" s="52"/>
      <c r="N134" s="18">
        <v>7400</v>
      </c>
      <c r="O134" s="18">
        <v>6750</v>
      </c>
      <c r="P134" s="18">
        <v>6000</v>
      </c>
      <c r="Q134" s="34" t="s">
        <v>40</v>
      </c>
      <c r="R134" s="34" t="s">
        <v>39</v>
      </c>
      <c r="S134" s="63" t="s">
        <v>39</v>
      </c>
      <c r="T134" s="52" t="s">
        <v>264</v>
      </c>
      <c r="U134" s="75" t="s">
        <v>536</v>
      </c>
      <c r="V134" s="34" t="s">
        <v>537</v>
      </c>
      <c r="W134" s="34">
        <v>330702007</v>
      </c>
      <c r="X134" s="34" t="s">
        <v>538</v>
      </c>
      <c r="Y134" s="12" t="s">
        <v>539</v>
      </c>
      <c r="Z134" s="12" t="s">
        <v>39</v>
      </c>
      <c r="AA134" s="14" t="s">
        <v>38</v>
      </c>
      <c r="AB134" s="12" t="s">
        <v>540</v>
      </c>
      <c r="AC134" s="18">
        <v>5800</v>
      </c>
      <c r="AD134" s="18">
        <v>5200</v>
      </c>
      <c r="AE134" s="18">
        <v>4700</v>
      </c>
      <c r="AF134" s="14" t="s">
        <v>40</v>
      </c>
    </row>
    <row r="135" s="22" customFormat="1" ht="24" customHeight="1" spans="1:32">
      <c r="A135" s="34"/>
      <c r="B135" s="11"/>
      <c r="C135" s="34"/>
      <c r="D135" s="34"/>
      <c r="E135" s="48"/>
      <c r="F135" s="48"/>
      <c r="G135" s="34"/>
      <c r="H135" s="48"/>
      <c r="I135" s="54"/>
      <c r="J135" s="54"/>
      <c r="K135" s="52"/>
      <c r="L135" s="52"/>
      <c r="M135" s="52"/>
      <c r="N135" s="18"/>
      <c r="O135" s="18"/>
      <c r="P135" s="18"/>
      <c r="Q135" s="34"/>
      <c r="R135" s="34"/>
      <c r="S135" s="63"/>
      <c r="T135" s="52"/>
      <c r="U135" s="75"/>
      <c r="V135" s="11" t="s">
        <v>541</v>
      </c>
      <c r="W135" s="11">
        <v>33070200704</v>
      </c>
      <c r="X135" s="11" t="s">
        <v>542</v>
      </c>
      <c r="Y135" s="12" t="s">
        <v>39</v>
      </c>
      <c r="Z135" s="12" t="s">
        <v>39</v>
      </c>
      <c r="AA135" s="14" t="s">
        <v>38</v>
      </c>
      <c r="AB135" s="12" t="s">
        <v>39</v>
      </c>
      <c r="AC135" s="18">
        <v>6425</v>
      </c>
      <c r="AD135" s="18">
        <v>5800</v>
      </c>
      <c r="AE135" s="18">
        <v>5210</v>
      </c>
      <c r="AF135" s="14" t="s">
        <v>40</v>
      </c>
    </row>
    <row r="136" s="22" customFormat="1" ht="24" customHeight="1" spans="1:33">
      <c r="A136" s="34"/>
      <c r="B136" s="11"/>
      <c r="C136" s="34"/>
      <c r="D136" s="34"/>
      <c r="E136" s="48"/>
      <c r="F136" s="48"/>
      <c r="G136" s="34"/>
      <c r="H136" s="48"/>
      <c r="I136" s="54"/>
      <c r="J136" s="54"/>
      <c r="K136" s="52"/>
      <c r="L136" s="52"/>
      <c r="M136" s="52"/>
      <c r="N136" s="18"/>
      <c r="O136" s="18"/>
      <c r="P136" s="18"/>
      <c r="Q136" s="34"/>
      <c r="R136" s="34"/>
      <c r="S136" s="63"/>
      <c r="T136" s="52"/>
      <c r="U136" s="75"/>
      <c r="V136" s="74" t="s">
        <v>489</v>
      </c>
      <c r="W136" s="74">
        <v>330702002</v>
      </c>
      <c r="X136" s="74" t="s">
        <v>490</v>
      </c>
      <c r="Y136" s="76" t="s">
        <v>491</v>
      </c>
      <c r="Z136" s="76" t="s">
        <v>39</v>
      </c>
      <c r="AA136" s="77" t="s">
        <v>38</v>
      </c>
      <c r="AB136" s="76" t="s">
        <v>492</v>
      </c>
      <c r="AC136" s="78">
        <v>7980</v>
      </c>
      <c r="AD136" s="78">
        <v>7180</v>
      </c>
      <c r="AE136" s="78">
        <v>5745</v>
      </c>
      <c r="AF136" s="77" t="s">
        <v>40</v>
      </c>
      <c r="AG136" s="97"/>
    </row>
    <row r="137" s="22" customFormat="1" ht="24" customHeight="1" spans="1:33">
      <c r="A137" s="34"/>
      <c r="B137" s="11"/>
      <c r="C137" s="34"/>
      <c r="D137" s="34"/>
      <c r="E137" s="48"/>
      <c r="F137" s="48"/>
      <c r="G137" s="34"/>
      <c r="H137" s="48"/>
      <c r="I137" s="54"/>
      <c r="J137" s="54"/>
      <c r="K137" s="52"/>
      <c r="L137" s="52"/>
      <c r="M137" s="52"/>
      <c r="N137" s="18"/>
      <c r="O137" s="18"/>
      <c r="P137" s="18"/>
      <c r="Q137" s="34"/>
      <c r="R137" s="34"/>
      <c r="S137" s="63"/>
      <c r="T137" s="52"/>
      <c r="U137" s="75"/>
      <c r="V137" s="74" t="s">
        <v>493</v>
      </c>
      <c r="W137" s="74">
        <v>33070200204</v>
      </c>
      <c r="X137" s="74" t="s">
        <v>494</v>
      </c>
      <c r="Y137" s="76" t="s">
        <v>39</v>
      </c>
      <c r="Z137" s="76" t="s">
        <v>39</v>
      </c>
      <c r="AA137" s="77" t="s">
        <v>38</v>
      </c>
      <c r="AB137" s="76" t="s">
        <v>39</v>
      </c>
      <c r="AC137" s="78">
        <v>8605</v>
      </c>
      <c r="AD137" s="78">
        <v>7780</v>
      </c>
      <c r="AE137" s="78">
        <v>6255</v>
      </c>
      <c r="AF137" s="77" t="s">
        <v>40</v>
      </c>
      <c r="AG137" s="97"/>
    </row>
    <row r="138" s="22" customFormat="1" ht="24" customHeight="1" spans="1:32">
      <c r="A138" s="34" t="s">
        <v>68</v>
      </c>
      <c r="B138" s="34" t="s">
        <v>543</v>
      </c>
      <c r="C138" s="34" t="s">
        <v>544</v>
      </c>
      <c r="D138" s="34" t="s">
        <v>297</v>
      </c>
      <c r="E138" s="48" t="s">
        <v>39</v>
      </c>
      <c r="F138" s="48" t="s">
        <v>39</v>
      </c>
      <c r="G138" s="34" t="s">
        <v>241</v>
      </c>
      <c r="H138" s="34" t="s">
        <v>39</v>
      </c>
      <c r="I138" s="15">
        <v>2250</v>
      </c>
      <c r="J138" s="15">
        <v>2025</v>
      </c>
      <c r="K138" s="52"/>
      <c r="L138" s="52"/>
      <c r="M138" s="52"/>
      <c r="N138" s="18">
        <v>2220</v>
      </c>
      <c r="O138" s="18">
        <v>2025</v>
      </c>
      <c r="P138" s="18">
        <v>1800</v>
      </c>
      <c r="Q138" s="34" t="s">
        <v>40</v>
      </c>
      <c r="R138" s="34" t="s">
        <v>39</v>
      </c>
      <c r="S138" s="63" t="s">
        <v>39</v>
      </c>
      <c r="T138" s="52"/>
      <c r="U138" s="48" t="s">
        <v>71</v>
      </c>
      <c r="V138" s="11" t="s">
        <v>545</v>
      </c>
      <c r="W138" s="11">
        <v>33070200702</v>
      </c>
      <c r="X138" s="11" t="s">
        <v>546</v>
      </c>
      <c r="Y138" s="12" t="s">
        <v>39</v>
      </c>
      <c r="Z138" s="12" t="s">
        <v>39</v>
      </c>
      <c r="AA138" s="14" t="s">
        <v>38</v>
      </c>
      <c r="AB138" s="12" t="s">
        <v>39</v>
      </c>
      <c r="AC138" s="18">
        <v>7540</v>
      </c>
      <c r="AD138" s="18">
        <v>6760</v>
      </c>
      <c r="AE138" s="18">
        <v>6110</v>
      </c>
      <c r="AF138" s="14" t="s">
        <v>40</v>
      </c>
    </row>
    <row r="139" s="22" customFormat="1" ht="24" customHeight="1" spans="1:32">
      <c r="A139" s="34"/>
      <c r="B139" s="34"/>
      <c r="C139" s="34"/>
      <c r="D139" s="34"/>
      <c r="E139" s="48"/>
      <c r="F139" s="48"/>
      <c r="G139" s="34"/>
      <c r="H139" s="34"/>
      <c r="I139" s="54"/>
      <c r="J139" s="54"/>
      <c r="K139" s="52"/>
      <c r="L139" s="52"/>
      <c r="M139" s="52"/>
      <c r="N139" s="18"/>
      <c r="O139" s="18"/>
      <c r="P139" s="18"/>
      <c r="Q139" s="34"/>
      <c r="R139" s="34"/>
      <c r="S139" s="63"/>
      <c r="T139" s="52"/>
      <c r="U139" s="48"/>
      <c r="V139" s="11" t="s">
        <v>547</v>
      </c>
      <c r="W139" s="11">
        <v>33070200706</v>
      </c>
      <c r="X139" s="11" t="s">
        <v>548</v>
      </c>
      <c r="Y139" s="12" t="s">
        <v>39</v>
      </c>
      <c r="Z139" s="12" t="s">
        <v>39</v>
      </c>
      <c r="AA139" s="14" t="s">
        <v>38</v>
      </c>
      <c r="AB139" s="12" t="s">
        <v>39</v>
      </c>
      <c r="AC139" s="18">
        <v>8165</v>
      </c>
      <c r="AD139" s="18">
        <v>7360</v>
      </c>
      <c r="AE139" s="18">
        <v>6620</v>
      </c>
      <c r="AF139" s="14" t="s">
        <v>40</v>
      </c>
    </row>
    <row r="140" s="22" customFormat="1" ht="24" customHeight="1" spans="1:32">
      <c r="A140" s="34"/>
      <c r="B140" s="34"/>
      <c r="C140" s="34"/>
      <c r="D140" s="34"/>
      <c r="E140" s="48"/>
      <c r="F140" s="48"/>
      <c r="G140" s="34"/>
      <c r="H140" s="34"/>
      <c r="I140" s="54"/>
      <c r="J140" s="54"/>
      <c r="K140" s="52"/>
      <c r="L140" s="52"/>
      <c r="M140" s="52"/>
      <c r="N140" s="18"/>
      <c r="O140" s="18"/>
      <c r="P140" s="18"/>
      <c r="Q140" s="34"/>
      <c r="R140" s="34"/>
      <c r="S140" s="63"/>
      <c r="T140" s="52"/>
      <c r="U140" s="48"/>
      <c r="V140" s="11" t="s">
        <v>513</v>
      </c>
      <c r="W140" s="11">
        <v>33070200202</v>
      </c>
      <c r="X140" s="11" t="s">
        <v>514</v>
      </c>
      <c r="Y140" s="12" t="s">
        <v>39</v>
      </c>
      <c r="Z140" s="12" t="s">
        <v>39</v>
      </c>
      <c r="AA140" s="14" t="s">
        <v>38</v>
      </c>
      <c r="AB140" s="12" t="s">
        <v>39</v>
      </c>
      <c r="AC140" s="18">
        <v>10375</v>
      </c>
      <c r="AD140" s="18">
        <v>9335</v>
      </c>
      <c r="AE140" s="18">
        <v>7470</v>
      </c>
      <c r="AF140" s="14" t="s">
        <v>40</v>
      </c>
    </row>
    <row r="141" s="22" customFormat="1" ht="24" customHeight="1" spans="1:32">
      <c r="A141" s="34"/>
      <c r="B141" s="34"/>
      <c r="C141" s="34"/>
      <c r="D141" s="34"/>
      <c r="E141" s="48"/>
      <c r="F141" s="48"/>
      <c r="G141" s="34"/>
      <c r="H141" s="34"/>
      <c r="I141" s="54"/>
      <c r="J141" s="54"/>
      <c r="K141" s="52"/>
      <c r="L141" s="52"/>
      <c r="M141" s="52"/>
      <c r="N141" s="18"/>
      <c r="O141" s="18"/>
      <c r="P141" s="18"/>
      <c r="Q141" s="34"/>
      <c r="R141" s="34"/>
      <c r="S141" s="63"/>
      <c r="T141" s="52"/>
      <c r="U141" s="48"/>
      <c r="V141" s="11" t="s">
        <v>515</v>
      </c>
      <c r="W141" s="11">
        <v>33070200206</v>
      </c>
      <c r="X141" s="11" t="s">
        <v>516</v>
      </c>
      <c r="Y141" s="12" t="s">
        <v>39</v>
      </c>
      <c r="Z141" s="12" t="s">
        <v>39</v>
      </c>
      <c r="AA141" s="14" t="s">
        <v>38</v>
      </c>
      <c r="AB141" s="12" t="s">
        <v>39</v>
      </c>
      <c r="AC141" s="18">
        <v>11000</v>
      </c>
      <c r="AD141" s="18">
        <v>9935</v>
      </c>
      <c r="AE141" s="18">
        <v>7980</v>
      </c>
      <c r="AF141" s="14" t="s">
        <v>40</v>
      </c>
    </row>
    <row r="142" s="22" customFormat="1" ht="25" customHeight="1" spans="1:32">
      <c r="A142" s="34">
        <v>42</v>
      </c>
      <c r="B142" s="11" t="s">
        <v>549</v>
      </c>
      <c r="C142" s="34" t="s">
        <v>550</v>
      </c>
      <c r="D142" s="34" t="s">
        <v>297</v>
      </c>
      <c r="E142" s="48" t="s">
        <v>551</v>
      </c>
      <c r="F142" s="48" t="s">
        <v>398</v>
      </c>
      <c r="G142" s="34" t="s">
        <v>241</v>
      </c>
      <c r="H142" s="11"/>
      <c r="I142" s="15">
        <v>6600</v>
      </c>
      <c r="J142" s="15">
        <v>5940</v>
      </c>
      <c r="K142" s="52"/>
      <c r="L142" s="52"/>
      <c r="M142" s="52"/>
      <c r="N142" s="18">
        <v>6500</v>
      </c>
      <c r="O142" s="18">
        <v>5900</v>
      </c>
      <c r="P142" s="18">
        <v>5200</v>
      </c>
      <c r="Q142" s="34" t="s">
        <v>40</v>
      </c>
      <c r="R142" s="34" t="s">
        <v>39</v>
      </c>
      <c r="S142" s="63" t="s">
        <v>39</v>
      </c>
      <c r="T142" s="52" t="s">
        <v>264</v>
      </c>
      <c r="U142" s="48" t="s">
        <v>552</v>
      </c>
      <c r="V142" s="34" t="s">
        <v>553</v>
      </c>
      <c r="W142" s="34">
        <v>330702003</v>
      </c>
      <c r="X142" s="34" t="s">
        <v>554</v>
      </c>
      <c r="Y142" s="12" t="s">
        <v>39</v>
      </c>
      <c r="Z142" s="12" t="s">
        <v>39</v>
      </c>
      <c r="AA142" s="14" t="s">
        <v>38</v>
      </c>
      <c r="AB142" s="12" t="s">
        <v>555</v>
      </c>
      <c r="AC142" s="18">
        <v>3710</v>
      </c>
      <c r="AD142" s="18">
        <v>3340</v>
      </c>
      <c r="AE142" s="18">
        <v>2840</v>
      </c>
      <c r="AF142" s="14" t="s">
        <v>40</v>
      </c>
    </row>
    <row r="143" s="22" customFormat="1" ht="25" customHeight="1" spans="1:32">
      <c r="A143" s="34"/>
      <c r="B143" s="11"/>
      <c r="C143" s="34"/>
      <c r="D143" s="34"/>
      <c r="E143" s="48"/>
      <c r="F143" s="48"/>
      <c r="G143" s="34"/>
      <c r="H143" s="11"/>
      <c r="I143" s="54"/>
      <c r="J143" s="54"/>
      <c r="K143" s="52"/>
      <c r="L143" s="52"/>
      <c r="M143" s="52"/>
      <c r="N143" s="18"/>
      <c r="O143" s="18"/>
      <c r="P143" s="18"/>
      <c r="Q143" s="34"/>
      <c r="R143" s="34"/>
      <c r="S143" s="63"/>
      <c r="T143" s="52"/>
      <c r="U143" s="48"/>
      <c r="V143" s="11" t="s">
        <v>556</v>
      </c>
      <c r="W143" s="11">
        <v>33070200304</v>
      </c>
      <c r="X143" s="11" t="s">
        <v>557</v>
      </c>
      <c r="Y143" s="12" t="s">
        <v>39</v>
      </c>
      <c r="Z143" s="12" t="s">
        <v>39</v>
      </c>
      <c r="AA143" s="14" t="s">
        <v>38</v>
      </c>
      <c r="AB143" s="12" t="s">
        <v>39</v>
      </c>
      <c r="AC143" s="18">
        <v>4335</v>
      </c>
      <c r="AD143" s="18">
        <v>3940</v>
      </c>
      <c r="AE143" s="18">
        <v>3350</v>
      </c>
      <c r="AF143" s="14" t="s">
        <v>40</v>
      </c>
    </row>
    <row r="144" s="22" customFormat="1" ht="25" customHeight="1" spans="1:33">
      <c r="A144" s="34"/>
      <c r="B144" s="11"/>
      <c r="C144" s="34"/>
      <c r="D144" s="34"/>
      <c r="E144" s="48"/>
      <c r="F144" s="48"/>
      <c r="G144" s="34"/>
      <c r="H144" s="11"/>
      <c r="I144" s="54"/>
      <c r="J144" s="54"/>
      <c r="K144" s="52"/>
      <c r="L144" s="52"/>
      <c r="M144" s="52"/>
      <c r="N144" s="18"/>
      <c r="O144" s="18"/>
      <c r="P144" s="18"/>
      <c r="Q144" s="34"/>
      <c r="R144" s="34"/>
      <c r="S144" s="63"/>
      <c r="T144" s="52"/>
      <c r="U144" s="48"/>
      <c r="V144" s="74" t="s">
        <v>489</v>
      </c>
      <c r="W144" s="74">
        <v>330702002</v>
      </c>
      <c r="X144" s="74" t="s">
        <v>490</v>
      </c>
      <c r="Y144" s="76" t="s">
        <v>491</v>
      </c>
      <c r="Z144" s="76" t="s">
        <v>39</v>
      </c>
      <c r="AA144" s="77" t="s">
        <v>38</v>
      </c>
      <c r="AB144" s="76" t="s">
        <v>492</v>
      </c>
      <c r="AC144" s="78">
        <v>7980</v>
      </c>
      <c r="AD144" s="78">
        <v>7180</v>
      </c>
      <c r="AE144" s="78">
        <v>5745</v>
      </c>
      <c r="AF144" s="77" t="s">
        <v>40</v>
      </c>
      <c r="AG144" s="97"/>
    </row>
    <row r="145" s="22" customFormat="1" ht="25" customHeight="1" spans="1:33">
      <c r="A145" s="34"/>
      <c r="B145" s="11"/>
      <c r="C145" s="34"/>
      <c r="D145" s="34"/>
      <c r="E145" s="48"/>
      <c r="F145" s="48"/>
      <c r="G145" s="34"/>
      <c r="H145" s="11"/>
      <c r="I145" s="54"/>
      <c r="J145" s="54"/>
      <c r="K145" s="52"/>
      <c r="L145" s="52"/>
      <c r="M145" s="52"/>
      <c r="N145" s="18"/>
      <c r="O145" s="18"/>
      <c r="P145" s="18"/>
      <c r="Q145" s="34"/>
      <c r="R145" s="34"/>
      <c r="S145" s="63"/>
      <c r="T145" s="52"/>
      <c r="U145" s="48"/>
      <c r="V145" s="74" t="s">
        <v>493</v>
      </c>
      <c r="W145" s="74">
        <v>33070200204</v>
      </c>
      <c r="X145" s="74" t="s">
        <v>494</v>
      </c>
      <c r="Y145" s="76" t="s">
        <v>39</v>
      </c>
      <c r="Z145" s="76" t="s">
        <v>39</v>
      </c>
      <c r="AA145" s="77" t="s">
        <v>38</v>
      </c>
      <c r="AB145" s="76" t="s">
        <v>39</v>
      </c>
      <c r="AC145" s="78">
        <v>8605</v>
      </c>
      <c r="AD145" s="78">
        <v>7780</v>
      </c>
      <c r="AE145" s="78">
        <v>6255</v>
      </c>
      <c r="AF145" s="77" t="s">
        <v>40</v>
      </c>
      <c r="AG145" s="97"/>
    </row>
    <row r="146" s="22" customFormat="1" ht="25.5" spans="1:32">
      <c r="A146" s="34" t="s">
        <v>68</v>
      </c>
      <c r="B146" s="34" t="s">
        <v>558</v>
      </c>
      <c r="C146" s="34" t="s">
        <v>559</v>
      </c>
      <c r="D146" s="34" t="s">
        <v>297</v>
      </c>
      <c r="E146" s="48" t="s">
        <v>39</v>
      </c>
      <c r="F146" s="48" t="s">
        <v>39</v>
      </c>
      <c r="G146" s="34" t="s">
        <v>241</v>
      </c>
      <c r="H146" s="34" t="s">
        <v>39</v>
      </c>
      <c r="I146" s="15">
        <v>1980</v>
      </c>
      <c r="J146" s="15">
        <v>1782</v>
      </c>
      <c r="K146" s="52"/>
      <c r="L146" s="52"/>
      <c r="M146" s="52"/>
      <c r="N146" s="18">
        <v>1950</v>
      </c>
      <c r="O146" s="18">
        <v>1770</v>
      </c>
      <c r="P146" s="18">
        <v>1560</v>
      </c>
      <c r="Q146" s="34" t="s">
        <v>40</v>
      </c>
      <c r="R146" s="34" t="s">
        <v>39</v>
      </c>
      <c r="S146" s="63" t="s">
        <v>39</v>
      </c>
      <c r="T146" s="52"/>
      <c r="U146" s="75" t="s">
        <v>71</v>
      </c>
      <c r="V146" s="11" t="s">
        <v>560</v>
      </c>
      <c r="W146" s="11">
        <v>33070200302</v>
      </c>
      <c r="X146" s="11" t="s">
        <v>561</v>
      </c>
      <c r="Y146" s="12" t="s">
        <v>39</v>
      </c>
      <c r="Z146" s="12" t="s">
        <v>39</v>
      </c>
      <c r="AA146" s="14" t="s">
        <v>38</v>
      </c>
      <c r="AB146" s="12" t="s">
        <v>39</v>
      </c>
      <c r="AC146" s="18">
        <v>4825</v>
      </c>
      <c r="AD146" s="18">
        <v>4340</v>
      </c>
      <c r="AE146" s="18">
        <v>3690</v>
      </c>
      <c r="AF146" s="14" t="s">
        <v>40</v>
      </c>
    </row>
    <row r="147" s="22" customFormat="1" ht="25.5" spans="1:32">
      <c r="A147" s="34"/>
      <c r="B147" s="34"/>
      <c r="C147" s="34"/>
      <c r="D147" s="34"/>
      <c r="E147" s="48"/>
      <c r="F147" s="48"/>
      <c r="G147" s="34"/>
      <c r="H147" s="34"/>
      <c r="I147" s="54"/>
      <c r="J147" s="54"/>
      <c r="K147" s="52"/>
      <c r="L147" s="52"/>
      <c r="M147" s="52"/>
      <c r="N147" s="18"/>
      <c r="O147" s="18"/>
      <c r="P147" s="18"/>
      <c r="Q147" s="34"/>
      <c r="R147" s="34"/>
      <c r="S147" s="63"/>
      <c r="T147" s="52"/>
      <c r="U147" s="75"/>
      <c r="V147" s="11" t="s">
        <v>562</v>
      </c>
      <c r="W147" s="11">
        <v>33070200306</v>
      </c>
      <c r="X147" s="11" t="s">
        <v>563</v>
      </c>
      <c r="Y147" s="12" t="s">
        <v>39</v>
      </c>
      <c r="Z147" s="12" t="s">
        <v>39</v>
      </c>
      <c r="AA147" s="14" t="s">
        <v>38</v>
      </c>
      <c r="AB147" s="12" t="s">
        <v>39</v>
      </c>
      <c r="AC147" s="18">
        <v>5450</v>
      </c>
      <c r="AD147" s="18">
        <v>4940</v>
      </c>
      <c r="AE147" s="18">
        <v>4200</v>
      </c>
      <c r="AF147" s="14" t="s">
        <v>40</v>
      </c>
    </row>
    <row r="148" s="22" customFormat="1" ht="25.5" spans="1:32">
      <c r="A148" s="34"/>
      <c r="B148" s="34"/>
      <c r="C148" s="34"/>
      <c r="D148" s="34"/>
      <c r="E148" s="48"/>
      <c r="F148" s="48"/>
      <c r="G148" s="34"/>
      <c r="H148" s="34"/>
      <c r="I148" s="54"/>
      <c r="J148" s="54"/>
      <c r="K148" s="52"/>
      <c r="L148" s="52"/>
      <c r="M148" s="52"/>
      <c r="N148" s="18"/>
      <c r="O148" s="18"/>
      <c r="P148" s="18"/>
      <c r="Q148" s="34"/>
      <c r="R148" s="34"/>
      <c r="S148" s="63"/>
      <c r="T148" s="52"/>
      <c r="U148" s="75"/>
      <c r="V148" s="11" t="s">
        <v>513</v>
      </c>
      <c r="W148" s="11">
        <v>33070200202</v>
      </c>
      <c r="X148" s="11" t="s">
        <v>514</v>
      </c>
      <c r="Y148" s="12" t="s">
        <v>39</v>
      </c>
      <c r="Z148" s="12" t="s">
        <v>39</v>
      </c>
      <c r="AA148" s="14" t="s">
        <v>38</v>
      </c>
      <c r="AB148" s="12" t="s">
        <v>39</v>
      </c>
      <c r="AC148" s="18">
        <v>10375</v>
      </c>
      <c r="AD148" s="18">
        <v>9335</v>
      </c>
      <c r="AE148" s="18">
        <v>7470</v>
      </c>
      <c r="AF148" s="14" t="s">
        <v>40</v>
      </c>
    </row>
    <row r="149" s="22" customFormat="1" ht="25.5" spans="1:32">
      <c r="A149" s="34"/>
      <c r="B149" s="34"/>
      <c r="C149" s="34"/>
      <c r="D149" s="34"/>
      <c r="E149" s="48"/>
      <c r="F149" s="48"/>
      <c r="G149" s="34"/>
      <c r="H149" s="34"/>
      <c r="I149" s="54"/>
      <c r="J149" s="54"/>
      <c r="K149" s="52"/>
      <c r="L149" s="52"/>
      <c r="M149" s="52"/>
      <c r="N149" s="18"/>
      <c r="O149" s="18"/>
      <c r="P149" s="18"/>
      <c r="Q149" s="34"/>
      <c r="R149" s="34"/>
      <c r="S149" s="63"/>
      <c r="T149" s="52"/>
      <c r="U149" s="75"/>
      <c r="V149" s="11" t="s">
        <v>515</v>
      </c>
      <c r="W149" s="11">
        <v>33070200206</v>
      </c>
      <c r="X149" s="11" t="s">
        <v>516</v>
      </c>
      <c r="Y149" s="12" t="s">
        <v>39</v>
      </c>
      <c r="Z149" s="12" t="s">
        <v>39</v>
      </c>
      <c r="AA149" s="14" t="s">
        <v>38</v>
      </c>
      <c r="AB149" s="12" t="s">
        <v>39</v>
      </c>
      <c r="AC149" s="18">
        <v>11000</v>
      </c>
      <c r="AD149" s="18">
        <v>9935</v>
      </c>
      <c r="AE149" s="18">
        <v>7980</v>
      </c>
      <c r="AF149" s="14" t="s">
        <v>40</v>
      </c>
    </row>
    <row r="150" s="22" customFormat="1" ht="29" customHeight="1" spans="1:32">
      <c r="A150" s="34">
        <v>43</v>
      </c>
      <c r="B150" s="11" t="s">
        <v>564</v>
      </c>
      <c r="C150" s="34" t="s">
        <v>565</v>
      </c>
      <c r="D150" s="11" t="s">
        <v>297</v>
      </c>
      <c r="E150" s="48" t="s">
        <v>566</v>
      </c>
      <c r="F150" s="48" t="s">
        <v>398</v>
      </c>
      <c r="G150" s="34" t="s">
        <v>241</v>
      </c>
      <c r="H150" s="34" t="s">
        <v>567</v>
      </c>
      <c r="I150" s="15">
        <v>7500</v>
      </c>
      <c r="J150" s="15">
        <v>6750</v>
      </c>
      <c r="K150" s="53">
        <v>7942.41379310345</v>
      </c>
      <c r="L150" s="53">
        <v>7278.49710982659</v>
      </c>
      <c r="M150" s="52">
        <v>6255</v>
      </c>
      <c r="N150" s="58">
        <v>7400</v>
      </c>
      <c r="O150" s="58">
        <v>6750</v>
      </c>
      <c r="P150" s="58">
        <v>6000</v>
      </c>
      <c r="Q150" s="62" t="s">
        <v>40</v>
      </c>
      <c r="R150" s="62" t="s">
        <v>39</v>
      </c>
      <c r="S150" s="64" t="s">
        <v>39</v>
      </c>
      <c r="T150" s="52" t="s">
        <v>41</v>
      </c>
      <c r="U150" s="67" t="s">
        <v>465</v>
      </c>
      <c r="V150" s="34" t="s">
        <v>553</v>
      </c>
      <c r="W150" s="34">
        <v>330702003</v>
      </c>
      <c r="X150" s="34" t="s">
        <v>554</v>
      </c>
      <c r="Y150" s="12" t="s">
        <v>39</v>
      </c>
      <c r="Z150" s="12" t="s">
        <v>39</v>
      </c>
      <c r="AA150" s="14" t="s">
        <v>38</v>
      </c>
      <c r="AB150" s="12" t="s">
        <v>555</v>
      </c>
      <c r="AC150" s="18">
        <v>3710</v>
      </c>
      <c r="AD150" s="18">
        <v>3340</v>
      </c>
      <c r="AE150" s="18">
        <v>2840</v>
      </c>
      <c r="AF150" s="14" t="s">
        <v>40</v>
      </c>
    </row>
    <row r="151" s="22" customFormat="1" ht="29" customHeight="1" spans="1:32">
      <c r="A151" s="34"/>
      <c r="B151" s="11"/>
      <c r="C151" s="34"/>
      <c r="D151" s="11"/>
      <c r="E151" s="48"/>
      <c r="F151" s="48"/>
      <c r="G151" s="34"/>
      <c r="H151" s="34"/>
      <c r="I151" s="54"/>
      <c r="J151" s="54"/>
      <c r="K151" s="53"/>
      <c r="L151" s="53"/>
      <c r="M151" s="52"/>
      <c r="N151" s="58"/>
      <c r="O151" s="58"/>
      <c r="P151" s="58"/>
      <c r="Q151" s="62"/>
      <c r="R151" s="62"/>
      <c r="S151" s="64"/>
      <c r="T151" s="52"/>
      <c r="U151" s="67"/>
      <c r="V151" s="11" t="s">
        <v>556</v>
      </c>
      <c r="W151" s="11">
        <v>33070200304</v>
      </c>
      <c r="X151" s="11" t="s">
        <v>557</v>
      </c>
      <c r="Y151" s="12" t="s">
        <v>39</v>
      </c>
      <c r="Z151" s="12" t="s">
        <v>39</v>
      </c>
      <c r="AA151" s="14" t="s">
        <v>38</v>
      </c>
      <c r="AB151" s="12" t="s">
        <v>39</v>
      </c>
      <c r="AC151" s="18">
        <v>4335</v>
      </c>
      <c r="AD151" s="18">
        <v>3940</v>
      </c>
      <c r="AE151" s="18">
        <v>3350</v>
      </c>
      <c r="AF151" s="14" t="s">
        <v>40</v>
      </c>
    </row>
    <row r="152" s="22" customFormat="1" ht="29" customHeight="1" spans="1:32">
      <c r="A152" s="34"/>
      <c r="B152" s="11"/>
      <c r="C152" s="34"/>
      <c r="D152" s="11"/>
      <c r="E152" s="48"/>
      <c r="F152" s="48"/>
      <c r="G152" s="34"/>
      <c r="H152" s="34"/>
      <c r="I152" s="54"/>
      <c r="J152" s="54"/>
      <c r="K152" s="53"/>
      <c r="L152" s="53"/>
      <c r="M152" s="52"/>
      <c r="N152" s="58"/>
      <c r="O152" s="58"/>
      <c r="P152" s="58"/>
      <c r="Q152" s="62"/>
      <c r="R152" s="62"/>
      <c r="S152" s="64"/>
      <c r="T152" s="52"/>
      <c r="U152" s="67"/>
      <c r="V152" s="74" t="s">
        <v>489</v>
      </c>
      <c r="W152" s="74">
        <v>330702002</v>
      </c>
      <c r="X152" s="74" t="s">
        <v>490</v>
      </c>
      <c r="Y152" s="76" t="s">
        <v>491</v>
      </c>
      <c r="Z152" s="76" t="s">
        <v>39</v>
      </c>
      <c r="AA152" s="77" t="s">
        <v>38</v>
      </c>
      <c r="AB152" s="76" t="s">
        <v>492</v>
      </c>
      <c r="AC152" s="78">
        <v>7980</v>
      </c>
      <c r="AD152" s="78">
        <v>7180</v>
      </c>
      <c r="AE152" s="78">
        <v>5745</v>
      </c>
      <c r="AF152" s="77" t="s">
        <v>40</v>
      </c>
    </row>
    <row r="153" s="22" customFormat="1" ht="29" customHeight="1" spans="1:32">
      <c r="A153" s="34"/>
      <c r="B153" s="11"/>
      <c r="C153" s="34"/>
      <c r="D153" s="11"/>
      <c r="E153" s="48"/>
      <c r="F153" s="48"/>
      <c r="G153" s="34"/>
      <c r="H153" s="34"/>
      <c r="I153" s="54"/>
      <c r="J153" s="54"/>
      <c r="K153" s="53"/>
      <c r="L153" s="53"/>
      <c r="M153" s="52"/>
      <c r="N153" s="58"/>
      <c r="O153" s="58"/>
      <c r="P153" s="58"/>
      <c r="Q153" s="62"/>
      <c r="R153" s="62"/>
      <c r="S153" s="64"/>
      <c r="T153" s="52"/>
      <c r="U153" s="67"/>
      <c r="V153" s="74" t="s">
        <v>493</v>
      </c>
      <c r="W153" s="74">
        <v>33070200204</v>
      </c>
      <c r="X153" s="74" t="s">
        <v>494</v>
      </c>
      <c r="Y153" s="76" t="s">
        <v>39</v>
      </c>
      <c r="Z153" s="76" t="s">
        <v>39</v>
      </c>
      <c r="AA153" s="77" t="s">
        <v>38</v>
      </c>
      <c r="AB153" s="76" t="s">
        <v>39</v>
      </c>
      <c r="AC153" s="78">
        <v>8605</v>
      </c>
      <c r="AD153" s="78">
        <v>7780</v>
      </c>
      <c r="AE153" s="78">
        <v>6255</v>
      </c>
      <c r="AF153" s="77" t="s">
        <v>40</v>
      </c>
    </row>
    <row r="154" s="22" customFormat="1" ht="32" customHeight="1" spans="1:32">
      <c r="A154" s="34" t="s">
        <v>68</v>
      </c>
      <c r="B154" s="34" t="s">
        <v>568</v>
      </c>
      <c r="C154" s="34" t="s">
        <v>569</v>
      </c>
      <c r="D154" s="34" t="s">
        <v>297</v>
      </c>
      <c r="E154" s="48" t="s">
        <v>39</v>
      </c>
      <c r="F154" s="48" t="s">
        <v>39</v>
      </c>
      <c r="G154" s="34" t="s">
        <v>241</v>
      </c>
      <c r="H154" s="34" t="s">
        <v>39</v>
      </c>
      <c r="I154" s="15">
        <v>2250</v>
      </c>
      <c r="J154" s="15">
        <v>2025</v>
      </c>
      <c r="K154" s="52"/>
      <c r="L154" s="52"/>
      <c r="M154" s="52"/>
      <c r="N154" s="18">
        <v>2220</v>
      </c>
      <c r="O154" s="18">
        <v>2025</v>
      </c>
      <c r="P154" s="18">
        <v>1800</v>
      </c>
      <c r="Q154" s="34" t="s">
        <v>40</v>
      </c>
      <c r="R154" s="34" t="s">
        <v>39</v>
      </c>
      <c r="S154" s="63" t="s">
        <v>39</v>
      </c>
      <c r="T154" s="52"/>
      <c r="U154" s="48" t="s">
        <v>71</v>
      </c>
      <c r="V154" s="11" t="s">
        <v>560</v>
      </c>
      <c r="W154" s="11">
        <v>33070200302</v>
      </c>
      <c r="X154" s="11" t="s">
        <v>561</v>
      </c>
      <c r="Y154" s="12" t="s">
        <v>39</v>
      </c>
      <c r="Z154" s="12" t="s">
        <v>39</v>
      </c>
      <c r="AA154" s="14" t="s">
        <v>38</v>
      </c>
      <c r="AB154" s="12" t="s">
        <v>39</v>
      </c>
      <c r="AC154" s="18">
        <v>4825</v>
      </c>
      <c r="AD154" s="18">
        <v>4340</v>
      </c>
      <c r="AE154" s="18">
        <v>3690</v>
      </c>
      <c r="AF154" s="14" t="s">
        <v>40</v>
      </c>
    </row>
    <row r="155" s="22" customFormat="1" ht="32" customHeight="1" spans="1:32">
      <c r="A155" s="34"/>
      <c r="B155" s="34"/>
      <c r="C155" s="34"/>
      <c r="D155" s="34"/>
      <c r="E155" s="48"/>
      <c r="F155" s="48"/>
      <c r="G155" s="34"/>
      <c r="H155" s="34"/>
      <c r="I155" s="54"/>
      <c r="J155" s="54"/>
      <c r="K155" s="52"/>
      <c r="L155" s="52"/>
      <c r="M155" s="52"/>
      <c r="N155" s="18"/>
      <c r="O155" s="18"/>
      <c r="P155" s="18"/>
      <c r="Q155" s="34"/>
      <c r="R155" s="34"/>
      <c r="S155" s="63"/>
      <c r="T155" s="52"/>
      <c r="U155" s="48"/>
      <c r="V155" s="11" t="s">
        <v>562</v>
      </c>
      <c r="W155" s="11">
        <v>33070200306</v>
      </c>
      <c r="X155" s="11" t="s">
        <v>563</v>
      </c>
      <c r="Y155" s="12" t="s">
        <v>39</v>
      </c>
      <c r="Z155" s="12" t="s">
        <v>39</v>
      </c>
      <c r="AA155" s="14" t="s">
        <v>38</v>
      </c>
      <c r="AB155" s="12" t="s">
        <v>39</v>
      </c>
      <c r="AC155" s="18">
        <v>5450</v>
      </c>
      <c r="AD155" s="18">
        <v>4940</v>
      </c>
      <c r="AE155" s="18">
        <v>4200</v>
      </c>
      <c r="AF155" s="14" t="s">
        <v>40</v>
      </c>
    </row>
    <row r="156" s="22" customFormat="1" ht="32" customHeight="1" spans="1:32">
      <c r="A156" s="34"/>
      <c r="B156" s="34"/>
      <c r="C156" s="34"/>
      <c r="D156" s="34"/>
      <c r="E156" s="48"/>
      <c r="F156" s="48"/>
      <c r="G156" s="34"/>
      <c r="H156" s="34"/>
      <c r="I156" s="54"/>
      <c r="J156" s="54"/>
      <c r="K156" s="52"/>
      <c r="L156" s="52"/>
      <c r="M156" s="52"/>
      <c r="N156" s="18"/>
      <c r="O156" s="18"/>
      <c r="P156" s="18"/>
      <c r="Q156" s="34"/>
      <c r="R156" s="34"/>
      <c r="S156" s="63"/>
      <c r="T156" s="52"/>
      <c r="U156" s="48"/>
      <c r="V156" s="11" t="s">
        <v>513</v>
      </c>
      <c r="W156" s="11">
        <v>33070200202</v>
      </c>
      <c r="X156" s="11" t="s">
        <v>514</v>
      </c>
      <c r="Y156" s="12" t="s">
        <v>39</v>
      </c>
      <c r="Z156" s="12" t="s">
        <v>39</v>
      </c>
      <c r="AA156" s="14" t="s">
        <v>38</v>
      </c>
      <c r="AB156" s="12" t="s">
        <v>39</v>
      </c>
      <c r="AC156" s="18">
        <v>10375</v>
      </c>
      <c r="AD156" s="18">
        <v>9335</v>
      </c>
      <c r="AE156" s="18">
        <v>7470</v>
      </c>
      <c r="AF156" s="14" t="s">
        <v>40</v>
      </c>
    </row>
    <row r="157" s="22" customFormat="1" ht="32" customHeight="1" spans="1:32">
      <c r="A157" s="34"/>
      <c r="B157" s="34"/>
      <c r="C157" s="34"/>
      <c r="D157" s="34"/>
      <c r="E157" s="48"/>
      <c r="F157" s="48"/>
      <c r="G157" s="34"/>
      <c r="H157" s="34"/>
      <c r="I157" s="54"/>
      <c r="J157" s="54"/>
      <c r="K157" s="52"/>
      <c r="L157" s="52"/>
      <c r="M157" s="52"/>
      <c r="N157" s="18"/>
      <c r="O157" s="18"/>
      <c r="P157" s="18"/>
      <c r="Q157" s="34"/>
      <c r="R157" s="34"/>
      <c r="S157" s="63"/>
      <c r="T157" s="52"/>
      <c r="U157" s="48"/>
      <c r="V157" s="11" t="s">
        <v>515</v>
      </c>
      <c r="W157" s="11">
        <v>33070200206</v>
      </c>
      <c r="X157" s="11" t="s">
        <v>516</v>
      </c>
      <c r="Y157" s="12" t="s">
        <v>39</v>
      </c>
      <c r="Z157" s="12" t="s">
        <v>39</v>
      </c>
      <c r="AA157" s="14" t="s">
        <v>38</v>
      </c>
      <c r="AB157" s="12" t="s">
        <v>39</v>
      </c>
      <c r="AC157" s="18">
        <v>11000</v>
      </c>
      <c r="AD157" s="18">
        <v>9935</v>
      </c>
      <c r="AE157" s="18">
        <v>7980</v>
      </c>
      <c r="AF157" s="14" t="s">
        <v>40</v>
      </c>
    </row>
    <row r="158" s="22" customFormat="1" ht="27" customHeight="1" spans="1:32">
      <c r="A158" s="34">
        <v>44</v>
      </c>
      <c r="B158" s="11" t="s">
        <v>570</v>
      </c>
      <c r="C158" s="34" t="s">
        <v>571</v>
      </c>
      <c r="D158" s="34" t="s">
        <v>297</v>
      </c>
      <c r="E158" s="48" t="s">
        <v>572</v>
      </c>
      <c r="F158" s="48" t="s">
        <v>398</v>
      </c>
      <c r="G158" s="34" t="s">
        <v>241</v>
      </c>
      <c r="H158" s="11"/>
      <c r="I158" s="15">
        <v>6500</v>
      </c>
      <c r="J158" s="15">
        <v>5850</v>
      </c>
      <c r="K158" s="52"/>
      <c r="L158" s="52"/>
      <c r="M158" s="52"/>
      <c r="N158" s="58">
        <v>6300</v>
      </c>
      <c r="O158" s="58">
        <v>5800</v>
      </c>
      <c r="P158" s="58">
        <v>5000</v>
      </c>
      <c r="Q158" s="62" t="s">
        <v>40</v>
      </c>
      <c r="R158" s="62" t="s">
        <v>39</v>
      </c>
      <c r="S158" s="64" t="s">
        <v>39</v>
      </c>
      <c r="T158" s="52" t="s">
        <v>264</v>
      </c>
      <c r="U158" s="67" t="s">
        <v>573</v>
      </c>
      <c r="V158" s="34" t="s">
        <v>574</v>
      </c>
      <c r="W158" s="34">
        <v>330702008</v>
      </c>
      <c r="X158" s="34" t="s">
        <v>575</v>
      </c>
      <c r="Y158" s="12" t="s">
        <v>39</v>
      </c>
      <c r="Z158" s="12" t="s">
        <v>39</v>
      </c>
      <c r="AA158" s="14" t="s">
        <v>38</v>
      </c>
      <c r="AB158" s="12" t="s">
        <v>576</v>
      </c>
      <c r="AC158" s="18">
        <v>4330</v>
      </c>
      <c r="AD158" s="18">
        <v>3900</v>
      </c>
      <c r="AE158" s="18">
        <v>3320</v>
      </c>
      <c r="AF158" s="14" t="s">
        <v>40</v>
      </c>
    </row>
    <row r="159" s="22" customFormat="1" ht="27" customHeight="1" spans="1:32">
      <c r="A159" s="34"/>
      <c r="B159" s="11"/>
      <c r="C159" s="34"/>
      <c r="D159" s="34"/>
      <c r="E159" s="48"/>
      <c r="F159" s="48"/>
      <c r="G159" s="34"/>
      <c r="H159" s="11"/>
      <c r="I159" s="54"/>
      <c r="J159" s="54"/>
      <c r="K159" s="52"/>
      <c r="L159" s="52"/>
      <c r="M159" s="52"/>
      <c r="N159" s="58"/>
      <c r="O159" s="58"/>
      <c r="P159" s="58"/>
      <c r="Q159" s="62"/>
      <c r="R159" s="62"/>
      <c r="S159" s="64"/>
      <c r="T159" s="52"/>
      <c r="U159" s="67"/>
      <c r="V159" s="34" t="s">
        <v>577</v>
      </c>
      <c r="W159" s="34">
        <v>33070200806</v>
      </c>
      <c r="X159" s="34" t="s">
        <v>578</v>
      </c>
      <c r="Y159" s="12" t="s">
        <v>39</v>
      </c>
      <c r="Z159" s="12" t="s">
        <v>39</v>
      </c>
      <c r="AA159" s="14" t="s">
        <v>38</v>
      </c>
      <c r="AB159" s="12" t="s">
        <v>39</v>
      </c>
      <c r="AC159" s="18">
        <v>4955</v>
      </c>
      <c r="AD159" s="18">
        <v>4500</v>
      </c>
      <c r="AE159" s="18">
        <v>3830</v>
      </c>
      <c r="AF159" s="14" t="s">
        <v>40</v>
      </c>
    </row>
    <row r="160" s="22" customFormat="1" ht="27" customHeight="1" spans="1:32">
      <c r="A160" s="34"/>
      <c r="B160" s="11"/>
      <c r="C160" s="34"/>
      <c r="D160" s="34"/>
      <c r="E160" s="48"/>
      <c r="F160" s="48"/>
      <c r="G160" s="34"/>
      <c r="H160" s="11"/>
      <c r="I160" s="54"/>
      <c r="J160" s="54"/>
      <c r="K160" s="52"/>
      <c r="L160" s="52"/>
      <c r="M160" s="52"/>
      <c r="N160" s="58"/>
      <c r="O160" s="58"/>
      <c r="P160" s="58"/>
      <c r="Q160" s="62"/>
      <c r="R160" s="62"/>
      <c r="S160" s="64"/>
      <c r="T160" s="52"/>
      <c r="U160" s="67"/>
      <c r="V160" s="34" t="s">
        <v>489</v>
      </c>
      <c r="W160" s="34">
        <v>330702002</v>
      </c>
      <c r="X160" s="34" t="s">
        <v>490</v>
      </c>
      <c r="Y160" s="12" t="s">
        <v>491</v>
      </c>
      <c r="Z160" s="12" t="s">
        <v>39</v>
      </c>
      <c r="AA160" s="14" t="s">
        <v>38</v>
      </c>
      <c r="AB160" s="12" t="s">
        <v>492</v>
      </c>
      <c r="AC160" s="18">
        <v>7980</v>
      </c>
      <c r="AD160" s="18">
        <v>7180</v>
      </c>
      <c r="AE160" s="18">
        <v>5745</v>
      </c>
      <c r="AF160" s="14" t="s">
        <v>40</v>
      </c>
    </row>
    <row r="161" s="22" customFormat="1" ht="27" customHeight="1" spans="1:32">
      <c r="A161" s="34"/>
      <c r="B161" s="11"/>
      <c r="C161" s="34"/>
      <c r="D161" s="34"/>
      <c r="E161" s="48"/>
      <c r="F161" s="48"/>
      <c r="G161" s="34"/>
      <c r="H161" s="11"/>
      <c r="I161" s="54"/>
      <c r="J161" s="54"/>
      <c r="K161" s="52"/>
      <c r="L161" s="52"/>
      <c r="M161" s="52"/>
      <c r="N161" s="58"/>
      <c r="O161" s="58"/>
      <c r="P161" s="58"/>
      <c r="Q161" s="62"/>
      <c r="R161" s="62"/>
      <c r="S161" s="64"/>
      <c r="T161" s="52"/>
      <c r="U161" s="67"/>
      <c r="V161" s="34" t="s">
        <v>493</v>
      </c>
      <c r="W161" s="34">
        <v>33070200204</v>
      </c>
      <c r="X161" s="34" t="s">
        <v>494</v>
      </c>
      <c r="Y161" s="12" t="s">
        <v>39</v>
      </c>
      <c r="Z161" s="12" t="s">
        <v>39</v>
      </c>
      <c r="AA161" s="14" t="s">
        <v>38</v>
      </c>
      <c r="AB161" s="12" t="s">
        <v>39</v>
      </c>
      <c r="AC161" s="18">
        <v>8605</v>
      </c>
      <c r="AD161" s="18">
        <v>7780</v>
      </c>
      <c r="AE161" s="18">
        <v>6255</v>
      </c>
      <c r="AF161" s="14" t="s">
        <v>40</v>
      </c>
    </row>
    <row r="162" s="22" customFormat="1" ht="27" customHeight="1" spans="1:32">
      <c r="A162" s="34" t="s">
        <v>68</v>
      </c>
      <c r="B162" s="34" t="s">
        <v>579</v>
      </c>
      <c r="C162" s="34" t="s">
        <v>580</v>
      </c>
      <c r="D162" s="34" t="s">
        <v>297</v>
      </c>
      <c r="E162" s="48" t="s">
        <v>39</v>
      </c>
      <c r="F162" s="48" t="s">
        <v>39</v>
      </c>
      <c r="G162" s="34" t="s">
        <v>241</v>
      </c>
      <c r="H162" s="34" t="s">
        <v>39</v>
      </c>
      <c r="I162" s="15">
        <v>1950</v>
      </c>
      <c r="J162" s="15">
        <v>1755</v>
      </c>
      <c r="K162" s="52"/>
      <c r="L162" s="52"/>
      <c r="M162" s="52"/>
      <c r="N162" s="18">
        <v>1890</v>
      </c>
      <c r="O162" s="18">
        <v>1740</v>
      </c>
      <c r="P162" s="18">
        <v>1500</v>
      </c>
      <c r="Q162" s="34" t="s">
        <v>40</v>
      </c>
      <c r="R162" s="34" t="s">
        <v>39</v>
      </c>
      <c r="S162" s="63" t="s">
        <v>39</v>
      </c>
      <c r="T162" s="52"/>
      <c r="U162" s="48" t="s">
        <v>71</v>
      </c>
      <c r="V162" s="11" t="s">
        <v>581</v>
      </c>
      <c r="W162" s="11">
        <v>33070200803</v>
      </c>
      <c r="X162" s="11" t="s">
        <v>582</v>
      </c>
      <c r="Y162" s="12" t="s">
        <v>39</v>
      </c>
      <c r="Z162" s="12" t="s">
        <v>39</v>
      </c>
      <c r="AA162" s="14" t="s">
        <v>38</v>
      </c>
      <c r="AB162" s="12" t="s">
        <v>39</v>
      </c>
      <c r="AC162" s="18">
        <v>5630</v>
      </c>
      <c r="AD162" s="18">
        <v>5070</v>
      </c>
      <c r="AE162" s="18">
        <v>4310</v>
      </c>
      <c r="AF162" s="14" t="s">
        <v>40</v>
      </c>
    </row>
    <row r="163" s="22" customFormat="1" ht="27" customHeight="1" spans="1:32">
      <c r="A163" s="34"/>
      <c r="B163" s="34"/>
      <c r="C163" s="34"/>
      <c r="D163" s="34"/>
      <c r="E163" s="48"/>
      <c r="F163" s="48"/>
      <c r="G163" s="34"/>
      <c r="H163" s="34"/>
      <c r="I163" s="54"/>
      <c r="J163" s="54"/>
      <c r="K163" s="52"/>
      <c r="L163" s="52"/>
      <c r="M163" s="52"/>
      <c r="N163" s="18"/>
      <c r="O163" s="18"/>
      <c r="P163" s="18"/>
      <c r="Q163" s="34"/>
      <c r="R163" s="34"/>
      <c r="S163" s="63"/>
      <c r="T163" s="52"/>
      <c r="U163" s="48"/>
      <c r="V163" s="11" t="s">
        <v>583</v>
      </c>
      <c r="W163" s="11">
        <v>33070200809</v>
      </c>
      <c r="X163" s="11" t="s">
        <v>584</v>
      </c>
      <c r="Y163" s="12" t="s">
        <v>39</v>
      </c>
      <c r="Z163" s="12" t="s">
        <v>39</v>
      </c>
      <c r="AA163" s="14" t="s">
        <v>38</v>
      </c>
      <c r="AB163" s="12" t="s">
        <v>39</v>
      </c>
      <c r="AC163" s="18">
        <v>6255</v>
      </c>
      <c r="AD163" s="18">
        <v>5670</v>
      </c>
      <c r="AE163" s="18">
        <v>4820</v>
      </c>
      <c r="AF163" s="14" t="s">
        <v>40</v>
      </c>
    </row>
    <row r="164" s="22" customFormat="1" ht="27" customHeight="1" spans="1:32">
      <c r="A164" s="34"/>
      <c r="B164" s="34"/>
      <c r="C164" s="34"/>
      <c r="D164" s="34"/>
      <c r="E164" s="48"/>
      <c r="F164" s="48"/>
      <c r="G164" s="34"/>
      <c r="H164" s="34"/>
      <c r="I164" s="54"/>
      <c r="J164" s="54"/>
      <c r="K164" s="52"/>
      <c r="L164" s="52"/>
      <c r="M164" s="52"/>
      <c r="N164" s="18"/>
      <c r="O164" s="18"/>
      <c r="P164" s="18"/>
      <c r="Q164" s="34"/>
      <c r="R164" s="34"/>
      <c r="S164" s="63"/>
      <c r="T164" s="52"/>
      <c r="U164" s="48"/>
      <c r="V164" s="11" t="s">
        <v>513</v>
      </c>
      <c r="W164" s="11">
        <v>33070200202</v>
      </c>
      <c r="X164" s="11" t="s">
        <v>514</v>
      </c>
      <c r="Y164" s="12" t="s">
        <v>39</v>
      </c>
      <c r="Z164" s="12" t="s">
        <v>39</v>
      </c>
      <c r="AA164" s="14" t="s">
        <v>38</v>
      </c>
      <c r="AB164" s="12" t="s">
        <v>39</v>
      </c>
      <c r="AC164" s="18">
        <v>10375</v>
      </c>
      <c r="AD164" s="18">
        <v>9335</v>
      </c>
      <c r="AE164" s="18">
        <v>7470</v>
      </c>
      <c r="AF164" s="14" t="s">
        <v>40</v>
      </c>
    </row>
    <row r="165" s="22" customFormat="1" ht="27" customHeight="1" spans="1:32">
      <c r="A165" s="34"/>
      <c r="B165" s="34"/>
      <c r="C165" s="34"/>
      <c r="D165" s="34"/>
      <c r="E165" s="48"/>
      <c r="F165" s="48"/>
      <c r="G165" s="34"/>
      <c r="H165" s="34"/>
      <c r="I165" s="54"/>
      <c r="J165" s="54"/>
      <c r="K165" s="52"/>
      <c r="L165" s="52"/>
      <c r="M165" s="52"/>
      <c r="N165" s="18"/>
      <c r="O165" s="18"/>
      <c r="P165" s="18"/>
      <c r="Q165" s="34"/>
      <c r="R165" s="34"/>
      <c r="S165" s="63"/>
      <c r="T165" s="52"/>
      <c r="U165" s="48"/>
      <c r="V165" s="11" t="s">
        <v>515</v>
      </c>
      <c r="W165" s="11">
        <v>33070200206</v>
      </c>
      <c r="X165" s="11" t="s">
        <v>516</v>
      </c>
      <c r="Y165" s="12" t="s">
        <v>39</v>
      </c>
      <c r="Z165" s="12" t="s">
        <v>39</v>
      </c>
      <c r="AA165" s="14" t="s">
        <v>38</v>
      </c>
      <c r="AB165" s="12" t="s">
        <v>39</v>
      </c>
      <c r="AC165" s="18">
        <v>11000</v>
      </c>
      <c r="AD165" s="18">
        <v>9935</v>
      </c>
      <c r="AE165" s="18">
        <v>7980</v>
      </c>
      <c r="AF165" s="14" t="s">
        <v>40</v>
      </c>
    </row>
    <row r="166" s="22" customFormat="1" ht="25" customHeight="1" spans="1:32">
      <c r="A166" s="34">
        <v>45</v>
      </c>
      <c r="B166" s="11" t="s">
        <v>585</v>
      </c>
      <c r="C166" s="34" t="s">
        <v>586</v>
      </c>
      <c r="D166" s="34" t="s">
        <v>297</v>
      </c>
      <c r="E166" s="48" t="s">
        <v>587</v>
      </c>
      <c r="F166" s="48" t="s">
        <v>398</v>
      </c>
      <c r="G166" s="34" t="s">
        <v>241</v>
      </c>
      <c r="H166" s="34" t="s">
        <v>588</v>
      </c>
      <c r="I166" s="15">
        <v>7000</v>
      </c>
      <c r="J166" s="15">
        <v>6300</v>
      </c>
      <c r="K166" s="52"/>
      <c r="L166" s="52"/>
      <c r="M166" s="52"/>
      <c r="N166" s="58">
        <v>6800</v>
      </c>
      <c r="O166" s="58">
        <v>6300</v>
      </c>
      <c r="P166" s="58">
        <v>5400</v>
      </c>
      <c r="Q166" s="62" t="s">
        <v>40</v>
      </c>
      <c r="R166" s="62" t="s">
        <v>39</v>
      </c>
      <c r="S166" s="64" t="s">
        <v>39</v>
      </c>
      <c r="T166" s="52" t="s">
        <v>264</v>
      </c>
      <c r="U166" s="67" t="s">
        <v>573</v>
      </c>
      <c r="V166" s="34" t="s">
        <v>589</v>
      </c>
      <c r="W166" s="34">
        <v>33070200802</v>
      </c>
      <c r="X166" s="34" t="s">
        <v>590</v>
      </c>
      <c r="Y166" s="12" t="s">
        <v>39</v>
      </c>
      <c r="Z166" s="12" t="s">
        <v>39</v>
      </c>
      <c r="AA166" s="14" t="s">
        <v>38</v>
      </c>
      <c r="AB166" s="12" t="s">
        <v>591</v>
      </c>
      <c r="AC166" s="18">
        <v>4870</v>
      </c>
      <c r="AD166" s="18">
        <v>4385</v>
      </c>
      <c r="AE166" s="18">
        <v>3735</v>
      </c>
      <c r="AF166" s="14" t="s">
        <v>40</v>
      </c>
    </row>
    <row r="167" s="22" customFormat="1" ht="25" customHeight="1" spans="1:32">
      <c r="A167" s="34"/>
      <c r="B167" s="11"/>
      <c r="C167" s="34"/>
      <c r="D167" s="34"/>
      <c r="E167" s="48"/>
      <c r="F167" s="48"/>
      <c r="G167" s="34"/>
      <c r="H167" s="34"/>
      <c r="I167" s="54"/>
      <c r="J167" s="54"/>
      <c r="K167" s="52"/>
      <c r="L167" s="52"/>
      <c r="M167" s="52"/>
      <c r="N167" s="58"/>
      <c r="O167" s="58"/>
      <c r="P167" s="58"/>
      <c r="Q167" s="62"/>
      <c r="R167" s="62"/>
      <c r="S167" s="64"/>
      <c r="T167" s="52"/>
      <c r="U167" s="67"/>
      <c r="V167" s="11" t="s">
        <v>592</v>
      </c>
      <c r="W167" s="11">
        <v>33070200808</v>
      </c>
      <c r="X167" s="11" t="s">
        <v>593</v>
      </c>
      <c r="Y167" s="12" t="s">
        <v>39</v>
      </c>
      <c r="Z167" s="12" t="s">
        <v>39</v>
      </c>
      <c r="AA167" s="14" t="s">
        <v>38</v>
      </c>
      <c r="AB167" s="12" t="s">
        <v>591</v>
      </c>
      <c r="AC167" s="18">
        <v>5495</v>
      </c>
      <c r="AD167" s="18">
        <v>4985</v>
      </c>
      <c r="AE167" s="18">
        <v>4245</v>
      </c>
      <c r="AF167" s="14" t="s">
        <v>40</v>
      </c>
    </row>
    <row r="168" s="22" customFormat="1" ht="25" customHeight="1" spans="1:32">
      <c r="A168" s="34"/>
      <c r="B168" s="11"/>
      <c r="C168" s="34"/>
      <c r="D168" s="34"/>
      <c r="E168" s="48"/>
      <c r="F168" s="48"/>
      <c r="G168" s="34"/>
      <c r="H168" s="34"/>
      <c r="I168" s="54"/>
      <c r="J168" s="54"/>
      <c r="K168" s="52"/>
      <c r="L168" s="52"/>
      <c r="M168" s="52"/>
      <c r="N168" s="58"/>
      <c r="O168" s="58"/>
      <c r="P168" s="58"/>
      <c r="Q168" s="62"/>
      <c r="R168" s="62"/>
      <c r="S168" s="64"/>
      <c r="T168" s="52"/>
      <c r="U168" s="67"/>
      <c r="V168" s="34" t="s">
        <v>594</v>
      </c>
      <c r="W168" s="34">
        <v>330702010</v>
      </c>
      <c r="X168" s="34" t="s">
        <v>595</v>
      </c>
      <c r="Y168" s="12" t="s">
        <v>39</v>
      </c>
      <c r="Z168" s="12" t="s">
        <v>39</v>
      </c>
      <c r="AA168" s="14" t="s">
        <v>38</v>
      </c>
      <c r="AB168" s="12" t="s">
        <v>596</v>
      </c>
      <c r="AC168" s="18">
        <v>4220</v>
      </c>
      <c r="AD168" s="18">
        <v>3800</v>
      </c>
      <c r="AE168" s="18">
        <v>3230</v>
      </c>
      <c r="AF168" s="14" t="s">
        <v>40</v>
      </c>
    </row>
    <row r="169" s="22" customFormat="1" ht="25" customHeight="1" spans="1:32">
      <c r="A169" s="34"/>
      <c r="B169" s="11"/>
      <c r="C169" s="34"/>
      <c r="D169" s="34"/>
      <c r="E169" s="48"/>
      <c r="F169" s="48"/>
      <c r="G169" s="34"/>
      <c r="H169" s="34"/>
      <c r="I169" s="54"/>
      <c r="J169" s="54"/>
      <c r="K169" s="52"/>
      <c r="L169" s="52"/>
      <c r="M169" s="52"/>
      <c r="N169" s="58"/>
      <c r="O169" s="58"/>
      <c r="P169" s="58"/>
      <c r="Q169" s="62"/>
      <c r="R169" s="62"/>
      <c r="S169" s="64"/>
      <c r="T169" s="52"/>
      <c r="U169" s="67"/>
      <c r="V169" s="11" t="s">
        <v>597</v>
      </c>
      <c r="W169" s="11">
        <v>33070201004</v>
      </c>
      <c r="X169" s="11" t="s">
        <v>598</v>
      </c>
      <c r="Y169" s="12" t="s">
        <v>39</v>
      </c>
      <c r="Z169" s="12" t="s">
        <v>39</v>
      </c>
      <c r="AA169" s="14" t="s">
        <v>38</v>
      </c>
      <c r="AB169" s="12" t="s">
        <v>39</v>
      </c>
      <c r="AC169" s="18">
        <v>4845</v>
      </c>
      <c r="AD169" s="18">
        <v>4400</v>
      </c>
      <c r="AE169" s="18">
        <v>3740</v>
      </c>
      <c r="AF169" s="14" t="s">
        <v>40</v>
      </c>
    </row>
    <row r="170" s="22" customFormat="1" ht="25" customHeight="1" spans="1:32">
      <c r="A170" s="34"/>
      <c r="B170" s="11"/>
      <c r="C170" s="34"/>
      <c r="D170" s="34"/>
      <c r="E170" s="48"/>
      <c r="F170" s="48"/>
      <c r="G170" s="34"/>
      <c r="H170" s="34"/>
      <c r="I170" s="54"/>
      <c r="J170" s="54"/>
      <c r="K170" s="52"/>
      <c r="L170" s="52"/>
      <c r="M170" s="52"/>
      <c r="N170" s="58"/>
      <c r="O170" s="58"/>
      <c r="P170" s="58"/>
      <c r="Q170" s="62"/>
      <c r="R170" s="62"/>
      <c r="S170" s="64"/>
      <c r="T170" s="52"/>
      <c r="U170" s="67"/>
      <c r="V170" s="34" t="s">
        <v>489</v>
      </c>
      <c r="W170" s="34">
        <v>330702002</v>
      </c>
      <c r="X170" s="34" t="s">
        <v>490</v>
      </c>
      <c r="Y170" s="12" t="s">
        <v>491</v>
      </c>
      <c r="Z170" s="12" t="s">
        <v>39</v>
      </c>
      <c r="AA170" s="14" t="s">
        <v>38</v>
      </c>
      <c r="AB170" s="12" t="s">
        <v>492</v>
      </c>
      <c r="AC170" s="18">
        <v>7980</v>
      </c>
      <c r="AD170" s="18">
        <v>7180</v>
      </c>
      <c r="AE170" s="18">
        <v>5745</v>
      </c>
      <c r="AF170" s="14" t="s">
        <v>40</v>
      </c>
    </row>
    <row r="171" s="22" customFormat="1" ht="25" customHeight="1" spans="1:32">
      <c r="A171" s="34"/>
      <c r="B171" s="11"/>
      <c r="C171" s="34"/>
      <c r="D171" s="34"/>
      <c r="E171" s="48"/>
      <c r="F171" s="48"/>
      <c r="G171" s="34"/>
      <c r="H171" s="34"/>
      <c r="I171" s="54"/>
      <c r="J171" s="54"/>
      <c r="K171" s="52"/>
      <c r="L171" s="52"/>
      <c r="M171" s="52"/>
      <c r="N171" s="58"/>
      <c r="O171" s="58"/>
      <c r="P171" s="58"/>
      <c r="Q171" s="62"/>
      <c r="R171" s="62"/>
      <c r="S171" s="64"/>
      <c r="T171" s="52"/>
      <c r="U171" s="67"/>
      <c r="V171" s="34" t="s">
        <v>493</v>
      </c>
      <c r="W171" s="34">
        <v>33070200204</v>
      </c>
      <c r="X171" s="34" t="s">
        <v>494</v>
      </c>
      <c r="Y171" s="12" t="s">
        <v>39</v>
      </c>
      <c r="Z171" s="12" t="s">
        <v>39</v>
      </c>
      <c r="AA171" s="14" t="s">
        <v>38</v>
      </c>
      <c r="AB171" s="12" t="s">
        <v>39</v>
      </c>
      <c r="AC171" s="18">
        <v>8605</v>
      </c>
      <c r="AD171" s="18">
        <v>7780</v>
      </c>
      <c r="AE171" s="18">
        <v>6255</v>
      </c>
      <c r="AF171" s="14" t="s">
        <v>40</v>
      </c>
    </row>
    <row r="172" s="22" customFormat="1" ht="25.5" spans="1:32">
      <c r="A172" s="34" t="s">
        <v>68</v>
      </c>
      <c r="B172" s="34" t="s">
        <v>599</v>
      </c>
      <c r="C172" s="34" t="s">
        <v>600</v>
      </c>
      <c r="D172" s="34" t="s">
        <v>297</v>
      </c>
      <c r="E172" s="48" t="s">
        <v>39</v>
      </c>
      <c r="F172" s="48" t="s">
        <v>39</v>
      </c>
      <c r="G172" s="34" t="s">
        <v>241</v>
      </c>
      <c r="H172" s="34" t="s">
        <v>39</v>
      </c>
      <c r="I172" s="15">
        <v>2100</v>
      </c>
      <c r="J172" s="15">
        <v>1890</v>
      </c>
      <c r="K172" s="52"/>
      <c r="L172" s="52"/>
      <c r="M172" s="52"/>
      <c r="N172" s="18">
        <v>2040</v>
      </c>
      <c r="O172" s="18">
        <v>1890</v>
      </c>
      <c r="P172" s="18">
        <v>1620</v>
      </c>
      <c r="Q172" s="34" t="s">
        <v>40</v>
      </c>
      <c r="R172" s="34" t="s">
        <v>39</v>
      </c>
      <c r="S172" s="63" t="s">
        <v>39</v>
      </c>
      <c r="T172" s="52"/>
      <c r="U172" s="48" t="s">
        <v>71</v>
      </c>
      <c r="V172" s="11" t="s">
        <v>601</v>
      </c>
      <c r="W172" s="11">
        <v>33070200805</v>
      </c>
      <c r="X172" s="11" t="s">
        <v>602</v>
      </c>
      <c r="Y172" s="12" t="s">
        <v>39</v>
      </c>
      <c r="Z172" s="12" t="s">
        <v>39</v>
      </c>
      <c r="AA172" s="14" t="s">
        <v>38</v>
      </c>
      <c r="AB172" s="12" t="s">
        <v>591</v>
      </c>
      <c r="AC172" s="18">
        <v>6330</v>
      </c>
      <c r="AD172" s="18">
        <v>5700</v>
      </c>
      <c r="AE172" s="18">
        <v>4845</v>
      </c>
      <c r="AF172" s="14" t="s">
        <v>40</v>
      </c>
    </row>
    <row r="173" s="22" customFormat="1" ht="25.5" spans="1:32">
      <c r="A173" s="34"/>
      <c r="B173" s="34"/>
      <c r="C173" s="34"/>
      <c r="D173" s="34"/>
      <c r="E173" s="48"/>
      <c r="F173" s="48"/>
      <c r="G173" s="34"/>
      <c r="H173" s="34"/>
      <c r="I173" s="54"/>
      <c r="J173" s="54"/>
      <c r="K173" s="52"/>
      <c r="L173" s="52"/>
      <c r="M173" s="52"/>
      <c r="N173" s="18"/>
      <c r="O173" s="18"/>
      <c r="P173" s="18"/>
      <c r="Q173" s="34"/>
      <c r="R173" s="34"/>
      <c r="S173" s="63"/>
      <c r="T173" s="52"/>
      <c r="U173" s="48"/>
      <c r="V173" s="11" t="s">
        <v>603</v>
      </c>
      <c r="W173" s="11">
        <v>33070200811</v>
      </c>
      <c r="X173" s="11" t="s">
        <v>604</v>
      </c>
      <c r="Y173" s="12" t="s">
        <v>39</v>
      </c>
      <c r="Z173" s="12" t="s">
        <v>39</v>
      </c>
      <c r="AA173" s="14" t="s">
        <v>38</v>
      </c>
      <c r="AB173" s="12" t="s">
        <v>591</v>
      </c>
      <c r="AC173" s="18">
        <v>6955</v>
      </c>
      <c r="AD173" s="18">
        <v>6300</v>
      </c>
      <c r="AE173" s="18">
        <v>5355</v>
      </c>
      <c r="AF173" s="14" t="s">
        <v>40</v>
      </c>
    </row>
    <row r="174" s="22" customFormat="1" ht="25.5" spans="1:32">
      <c r="A174" s="34"/>
      <c r="B174" s="34"/>
      <c r="C174" s="34"/>
      <c r="D174" s="34"/>
      <c r="E174" s="48"/>
      <c r="F174" s="48"/>
      <c r="G174" s="34"/>
      <c r="H174" s="34"/>
      <c r="I174" s="54"/>
      <c r="J174" s="54"/>
      <c r="K174" s="52"/>
      <c r="L174" s="52"/>
      <c r="M174" s="52"/>
      <c r="N174" s="18"/>
      <c r="O174" s="18"/>
      <c r="P174" s="18"/>
      <c r="Q174" s="34"/>
      <c r="R174" s="34"/>
      <c r="S174" s="63"/>
      <c r="T174" s="52"/>
      <c r="U174" s="48"/>
      <c r="V174" s="11" t="s">
        <v>605</v>
      </c>
      <c r="W174" s="11">
        <v>33070201002</v>
      </c>
      <c r="X174" s="11" t="s">
        <v>606</v>
      </c>
      <c r="Y174" s="12" t="s">
        <v>39</v>
      </c>
      <c r="Z174" s="12" t="s">
        <v>39</v>
      </c>
      <c r="AA174" s="14" t="s">
        <v>38</v>
      </c>
      <c r="AB174" s="12" t="s">
        <v>39</v>
      </c>
      <c r="AC174" s="18">
        <v>5485</v>
      </c>
      <c r="AD174" s="18">
        <v>4940</v>
      </c>
      <c r="AE174" s="18">
        <v>4200</v>
      </c>
      <c r="AF174" s="14" t="s">
        <v>40</v>
      </c>
    </row>
    <row r="175" s="22" customFormat="1" ht="25.5" spans="1:32">
      <c r="A175" s="34"/>
      <c r="B175" s="34"/>
      <c r="C175" s="34"/>
      <c r="D175" s="34"/>
      <c r="E175" s="48"/>
      <c r="F175" s="48"/>
      <c r="G175" s="34"/>
      <c r="H175" s="34"/>
      <c r="I175" s="54"/>
      <c r="J175" s="54"/>
      <c r="K175" s="52"/>
      <c r="L175" s="52"/>
      <c r="M175" s="52"/>
      <c r="N175" s="18"/>
      <c r="O175" s="18"/>
      <c r="P175" s="18"/>
      <c r="Q175" s="34"/>
      <c r="R175" s="34"/>
      <c r="S175" s="63"/>
      <c r="T175" s="52"/>
      <c r="U175" s="48"/>
      <c r="V175" s="11" t="s">
        <v>607</v>
      </c>
      <c r="W175" s="11">
        <v>33070201006</v>
      </c>
      <c r="X175" s="11" t="s">
        <v>608</v>
      </c>
      <c r="Y175" s="12" t="s">
        <v>39</v>
      </c>
      <c r="Z175" s="12" t="s">
        <v>39</v>
      </c>
      <c r="AA175" s="14" t="s">
        <v>38</v>
      </c>
      <c r="AB175" s="12" t="s">
        <v>39</v>
      </c>
      <c r="AC175" s="18">
        <v>6110</v>
      </c>
      <c r="AD175" s="18">
        <v>5540</v>
      </c>
      <c r="AE175" s="18">
        <v>4710</v>
      </c>
      <c r="AF175" s="14" t="s">
        <v>40</v>
      </c>
    </row>
    <row r="176" s="22" customFormat="1" ht="25.5" spans="1:32">
      <c r="A176" s="34"/>
      <c r="B176" s="34"/>
      <c r="C176" s="34"/>
      <c r="D176" s="34"/>
      <c r="E176" s="48"/>
      <c r="F176" s="48"/>
      <c r="G176" s="34"/>
      <c r="H176" s="34"/>
      <c r="I176" s="54"/>
      <c r="J176" s="54"/>
      <c r="K176" s="52"/>
      <c r="L176" s="52"/>
      <c r="M176" s="52"/>
      <c r="N176" s="18"/>
      <c r="O176" s="18"/>
      <c r="P176" s="18"/>
      <c r="Q176" s="34"/>
      <c r="R176" s="34"/>
      <c r="S176" s="63"/>
      <c r="T176" s="52"/>
      <c r="U176" s="48"/>
      <c r="V176" s="11" t="s">
        <v>513</v>
      </c>
      <c r="W176" s="11">
        <v>33070200202</v>
      </c>
      <c r="X176" s="11" t="s">
        <v>514</v>
      </c>
      <c r="Y176" s="12" t="s">
        <v>39</v>
      </c>
      <c r="Z176" s="12" t="s">
        <v>39</v>
      </c>
      <c r="AA176" s="14" t="s">
        <v>38</v>
      </c>
      <c r="AB176" s="12" t="s">
        <v>39</v>
      </c>
      <c r="AC176" s="18">
        <v>10375</v>
      </c>
      <c r="AD176" s="18">
        <v>9335</v>
      </c>
      <c r="AE176" s="18">
        <v>7470</v>
      </c>
      <c r="AF176" s="14" t="s">
        <v>40</v>
      </c>
    </row>
    <row r="177" s="22" customFormat="1" ht="25.5" spans="1:32">
      <c r="A177" s="34"/>
      <c r="B177" s="34"/>
      <c r="C177" s="34"/>
      <c r="D177" s="34"/>
      <c r="E177" s="48"/>
      <c r="F177" s="48"/>
      <c r="G177" s="34"/>
      <c r="H177" s="34"/>
      <c r="I177" s="54"/>
      <c r="J177" s="54"/>
      <c r="K177" s="52"/>
      <c r="L177" s="52"/>
      <c r="M177" s="52"/>
      <c r="N177" s="18"/>
      <c r="O177" s="18"/>
      <c r="P177" s="18"/>
      <c r="Q177" s="34"/>
      <c r="R177" s="34"/>
      <c r="S177" s="63"/>
      <c r="T177" s="52"/>
      <c r="U177" s="48"/>
      <c r="V177" s="11" t="s">
        <v>515</v>
      </c>
      <c r="W177" s="11">
        <v>33070200206</v>
      </c>
      <c r="X177" s="11" t="s">
        <v>516</v>
      </c>
      <c r="Y177" s="12" t="s">
        <v>39</v>
      </c>
      <c r="Z177" s="12" t="s">
        <v>39</v>
      </c>
      <c r="AA177" s="14" t="s">
        <v>38</v>
      </c>
      <c r="AB177" s="12" t="s">
        <v>39</v>
      </c>
      <c r="AC177" s="18">
        <v>11000</v>
      </c>
      <c r="AD177" s="18">
        <v>9935</v>
      </c>
      <c r="AE177" s="18">
        <v>7980</v>
      </c>
      <c r="AF177" s="14" t="s">
        <v>40</v>
      </c>
    </row>
    <row r="178" s="22" customFormat="1" ht="30" customHeight="1" spans="1:32">
      <c r="A178" s="34">
        <v>46</v>
      </c>
      <c r="B178" s="11" t="s">
        <v>609</v>
      </c>
      <c r="C178" s="34" t="s">
        <v>610</v>
      </c>
      <c r="D178" s="34" t="s">
        <v>297</v>
      </c>
      <c r="E178" s="48" t="s">
        <v>611</v>
      </c>
      <c r="F178" s="48" t="s">
        <v>612</v>
      </c>
      <c r="G178" s="34" t="s">
        <v>241</v>
      </c>
      <c r="H178" s="34" t="s">
        <v>39</v>
      </c>
      <c r="I178" s="15">
        <v>3000</v>
      </c>
      <c r="J178" s="15">
        <v>2700</v>
      </c>
      <c r="K178" s="53">
        <v>2020.83333333333</v>
      </c>
      <c r="L178" s="53">
        <v>1993.84615384615</v>
      </c>
      <c r="M178" s="53">
        <v>1394</v>
      </c>
      <c r="N178" s="58">
        <v>2700</v>
      </c>
      <c r="O178" s="58">
        <v>2450</v>
      </c>
      <c r="P178" s="58">
        <v>2100</v>
      </c>
      <c r="Q178" s="62" t="s">
        <v>40</v>
      </c>
      <c r="R178" s="62" t="s">
        <v>39</v>
      </c>
      <c r="S178" s="64" t="s">
        <v>39</v>
      </c>
      <c r="T178" s="53" t="s">
        <v>209</v>
      </c>
      <c r="U178" s="67" t="s">
        <v>613</v>
      </c>
      <c r="V178" s="11" t="s">
        <v>614</v>
      </c>
      <c r="W178" s="11">
        <v>330702011</v>
      </c>
      <c r="X178" s="11" t="s">
        <v>615</v>
      </c>
      <c r="Y178" s="12" t="s">
        <v>39</v>
      </c>
      <c r="Z178" s="12" t="s">
        <v>39</v>
      </c>
      <c r="AA178" s="14" t="s">
        <v>38</v>
      </c>
      <c r="AB178" s="12" t="s">
        <v>480</v>
      </c>
      <c r="AC178" s="18">
        <v>1500</v>
      </c>
      <c r="AD178" s="18">
        <v>1440</v>
      </c>
      <c r="AE178" s="18">
        <v>1224</v>
      </c>
      <c r="AF178" s="14" t="s">
        <v>40</v>
      </c>
    </row>
    <row r="179" s="22" customFormat="1" ht="30" customHeight="1" spans="1:32">
      <c r="A179" s="34"/>
      <c r="B179" s="11"/>
      <c r="C179" s="34"/>
      <c r="D179" s="34"/>
      <c r="E179" s="48"/>
      <c r="F179" s="48"/>
      <c r="G179" s="34"/>
      <c r="H179" s="34"/>
      <c r="I179" s="54"/>
      <c r="J179" s="54"/>
      <c r="K179" s="53"/>
      <c r="L179" s="53"/>
      <c r="M179" s="53"/>
      <c r="N179" s="58"/>
      <c r="O179" s="58"/>
      <c r="P179" s="58"/>
      <c r="Q179" s="62"/>
      <c r="R179" s="62"/>
      <c r="S179" s="64"/>
      <c r="T179" s="53"/>
      <c r="U179" s="67"/>
      <c r="V179" s="11" t="s">
        <v>616</v>
      </c>
      <c r="W179" s="11">
        <v>33070201104</v>
      </c>
      <c r="X179" s="11" t="s">
        <v>617</v>
      </c>
      <c r="Y179" s="12" t="s">
        <v>39</v>
      </c>
      <c r="Z179" s="12" t="s">
        <v>39</v>
      </c>
      <c r="AA179" s="14" t="s">
        <v>38</v>
      </c>
      <c r="AB179" s="12" t="s">
        <v>39</v>
      </c>
      <c r="AC179" s="18">
        <v>2125</v>
      </c>
      <c r="AD179" s="18">
        <v>2040</v>
      </c>
      <c r="AE179" s="18">
        <v>1734</v>
      </c>
      <c r="AF179" s="14" t="s">
        <v>40</v>
      </c>
    </row>
    <row r="180" s="22" customFormat="1" ht="25.5" spans="1:32">
      <c r="A180" s="34" t="s">
        <v>68</v>
      </c>
      <c r="B180" s="34" t="s">
        <v>618</v>
      </c>
      <c r="C180" s="34" t="s">
        <v>619</v>
      </c>
      <c r="D180" s="34" t="s">
        <v>297</v>
      </c>
      <c r="E180" s="48" t="s">
        <v>39</v>
      </c>
      <c r="F180" s="48" t="s">
        <v>39</v>
      </c>
      <c r="G180" s="34" t="s">
        <v>241</v>
      </c>
      <c r="H180" s="34" t="s">
        <v>39</v>
      </c>
      <c r="I180" s="15">
        <v>900</v>
      </c>
      <c r="J180" s="15">
        <v>810</v>
      </c>
      <c r="K180" s="52"/>
      <c r="L180" s="52"/>
      <c r="M180" s="52"/>
      <c r="N180" s="18">
        <v>810</v>
      </c>
      <c r="O180" s="18">
        <v>735</v>
      </c>
      <c r="P180" s="18">
        <v>630</v>
      </c>
      <c r="Q180" s="34" t="s">
        <v>40</v>
      </c>
      <c r="R180" s="34" t="s">
        <v>39</v>
      </c>
      <c r="S180" s="63" t="s">
        <v>39</v>
      </c>
      <c r="T180" s="52"/>
      <c r="U180" s="48"/>
      <c r="V180" s="11" t="s">
        <v>620</v>
      </c>
      <c r="W180" s="11">
        <v>33070201102</v>
      </c>
      <c r="X180" s="11" t="s">
        <v>621</v>
      </c>
      <c r="Y180" s="12" t="s">
        <v>39</v>
      </c>
      <c r="Z180" s="12" t="s">
        <v>39</v>
      </c>
      <c r="AA180" s="14" t="s">
        <v>38</v>
      </c>
      <c r="AB180" s="12" t="s">
        <v>39</v>
      </c>
      <c r="AC180" s="18">
        <v>1950</v>
      </c>
      <c r="AD180" s="18">
        <v>1870</v>
      </c>
      <c r="AE180" s="18">
        <v>1590</v>
      </c>
      <c r="AF180" s="14" t="s">
        <v>40</v>
      </c>
    </row>
    <row r="181" s="22" customFormat="1" ht="25.5" spans="1:32">
      <c r="A181" s="34"/>
      <c r="B181" s="34"/>
      <c r="C181" s="34"/>
      <c r="D181" s="34"/>
      <c r="E181" s="48"/>
      <c r="F181" s="48"/>
      <c r="G181" s="34"/>
      <c r="H181" s="34"/>
      <c r="I181" s="54"/>
      <c r="J181" s="54"/>
      <c r="K181" s="52"/>
      <c r="L181" s="52"/>
      <c r="M181" s="52"/>
      <c r="N181" s="18"/>
      <c r="O181" s="18"/>
      <c r="P181" s="18"/>
      <c r="Q181" s="34"/>
      <c r="R181" s="34"/>
      <c r="S181" s="63"/>
      <c r="T181" s="52"/>
      <c r="U181" s="48"/>
      <c r="V181" s="11" t="s">
        <v>622</v>
      </c>
      <c r="W181" s="11">
        <v>33070201106</v>
      </c>
      <c r="X181" s="11" t="s">
        <v>623</v>
      </c>
      <c r="Y181" s="12" t="s">
        <v>39</v>
      </c>
      <c r="Z181" s="12" t="s">
        <v>39</v>
      </c>
      <c r="AA181" s="14" t="s">
        <v>38</v>
      </c>
      <c r="AB181" s="12" t="s">
        <v>39</v>
      </c>
      <c r="AC181" s="18">
        <v>2575</v>
      </c>
      <c r="AD181" s="18">
        <v>2470</v>
      </c>
      <c r="AE181" s="18">
        <v>2100</v>
      </c>
      <c r="AF181" s="14" t="s">
        <v>40</v>
      </c>
    </row>
    <row r="182" s="22" customFormat="1" ht="31" customHeight="1" spans="1:32">
      <c r="A182" s="34">
        <v>47</v>
      </c>
      <c r="B182" s="11" t="s">
        <v>624</v>
      </c>
      <c r="C182" s="34" t="s">
        <v>625</v>
      </c>
      <c r="D182" s="34" t="s">
        <v>297</v>
      </c>
      <c r="E182" s="48" t="s">
        <v>626</v>
      </c>
      <c r="F182" s="48" t="s">
        <v>398</v>
      </c>
      <c r="G182" s="34" t="s">
        <v>38</v>
      </c>
      <c r="H182" s="34" t="s">
        <v>39</v>
      </c>
      <c r="I182" s="15">
        <v>4536</v>
      </c>
      <c r="J182" s="15">
        <v>4082</v>
      </c>
      <c r="K182" s="53">
        <v>3986.61764705882</v>
      </c>
      <c r="L182" s="53">
        <v>3569.41176470588</v>
      </c>
      <c r="M182" s="53">
        <v>3090</v>
      </c>
      <c r="N182" s="18">
        <v>4000</v>
      </c>
      <c r="O182" s="18">
        <v>3600</v>
      </c>
      <c r="P182" s="18">
        <v>3100</v>
      </c>
      <c r="Q182" s="34" t="s">
        <v>40</v>
      </c>
      <c r="R182" s="34" t="s">
        <v>39</v>
      </c>
      <c r="S182" s="63" t="s">
        <v>39</v>
      </c>
      <c r="T182" s="53" t="s">
        <v>264</v>
      </c>
      <c r="U182" s="48" t="s">
        <v>627</v>
      </c>
      <c r="V182" s="34" t="s">
        <v>628</v>
      </c>
      <c r="W182" s="34">
        <v>330300018</v>
      </c>
      <c r="X182" s="34" t="s">
        <v>629</v>
      </c>
      <c r="Y182" s="12" t="s">
        <v>630</v>
      </c>
      <c r="Z182" s="12" t="s">
        <v>39</v>
      </c>
      <c r="AA182" s="14" t="s">
        <v>38</v>
      </c>
      <c r="AB182" s="12" t="s">
        <v>39</v>
      </c>
      <c r="AC182" s="18">
        <v>3380</v>
      </c>
      <c r="AD182" s="18">
        <v>3040</v>
      </c>
      <c r="AE182" s="18">
        <v>2580</v>
      </c>
      <c r="AF182" s="14" t="s">
        <v>40</v>
      </c>
    </row>
    <row r="183" s="22" customFormat="1" ht="31" customHeight="1" spans="1:32">
      <c r="A183" s="34"/>
      <c r="B183" s="11"/>
      <c r="C183" s="34"/>
      <c r="D183" s="34"/>
      <c r="E183" s="48"/>
      <c r="F183" s="48"/>
      <c r="G183" s="34"/>
      <c r="H183" s="34"/>
      <c r="I183" s="54"/>
      <c r="J183" s="54"/>
      <c r="K183" s="53"/>
      <c r="L183" s="53"/>
      <c r="M183" s="53"/>
      <c r="N183" s="18"/>
      <c r="O183" s="18"/>
      <c r="P183" s="18"/>
      <c r="Q183" s="34"/>
      <c r="R183" s="34"/>
      <c r="S183" s="63"/>
      <c r="T183" s="53"/>
      <c r="U183" s="48"/>
      <c r="V183" s="34" t="s">
        <v>631</v>
      </c>
      <c r="W183" s="34">
        <v>33030001802</v>
      </c>
      <c r="X183" s="34" t="s">
        <v>632</v>
      </c>
      <c r="Y183" s="12" t="s">
        <v>39</v>
      </c>
      <c r="Z183" s="12" t="s">
        <v>39</v>
      </c>
      <c r="AA183" s="14" t="s">
        <v>38</v>
      </c>
      <c r="AB183" s="12" t="s">
        <v>39</v>
      </c>
      <c r="AC183" s="18">
        <v>4005</v>
      </c>
      <c r="AD183" s="18">
        <v>3640</v>
      </c>
      <c r="AE183" s="18">
        <v>3090</v>
      </c>
      <c r="AF183" s="14" t="s">
        <v>40</v>
      </c>
    </row>
    <row r="184" s="22" customFormat="1" ht="25.5" spans="1:32">
      <c r="A184" s="34" t="s">
        <v>68</v>
      </c>
      <c r="B184" s="11" t="s">
        <v>633</v>
      </c>
      <c r="C184" s="34" t="s">
        <v>634</v>
      </c>
      <c r="D184" s="38" t="s">
        <v>297</v>
      </c>
      <c r="E184" s="48" t="s">
        <v>39</v>
      </c>
      <c r="F184" s="48" t="s">
        <v>39</v>
      </c>
      <c r="G184" s="34" t="s">
        <v>38</v>
      </c>
      <c r="H184" s="34" t="s">
        <v>39</v>
      </c>
      <c r="I184" s="15">
        <v>1361</v>
      </c>
      <c r="J184" s="15">
        <v>1225</v>
      </c>
      <c r="K184" s="52"/>
      <c r="L184" s="52"/>
      <c r="M184" s="52"/>
      <c r="N184" s="18">
        <v>1200</v>
      </c>
      <c r="O184" s="18">
        <v>1080</v>
      </c>
      <c r="P184" s="18">
        <v>930</v>
      </c>
      <c r="Q184" s="34" t="s">
        <v>40</v>
      </c>
      <c r="R184" s="34" t="s">
        <v>39</v>
      </c>
      <c r="S184" s="63" t="s">
        <v>39</v>
      </c>
      <c r="T184" s="52"/>
      <c r="U184" s="48"/>
      <c r="V184" s="11" t="s">
        <v>635</v>
      </c>
      <c r="W184" s="11">
        <v>33030001801</v>
      </c>
      <c r="X184" s="11" t="s">
        <v>636</v>
      </c>
      <c r="Y184" s="12" t="s">
        <v>39</v>
      </c>
      <c r="Z184" s="12" t="s">
        <v>39</v>
      </c>
      <c r="AA184" s="14" t="s">
        <v>38</v>
      </c>
      <c r="AB184" s="12" t="s">
        <v>39</v>
      </c>
      <c r="AC184" s="18">
        <v>4395</v>
      </c>
      <c r="AD184" s="18">
        <v>3950</v>
      </c>
      <c r="AE184" s="18">
        <v>3360</v>
      </c>
      <c r="AF184" s="14" t="s">
        <v>40</v>
      </c>
    </row>
    <row r="185" s="22" customFormat="1" ht="25.5" spans="1:32">
      <c r="A185" s="34"/>
      <c r="B185" s="11"/>
      <c r="C185" s="34"/>
      <c r="D185" s="38"/>
      <c r="E185" s="48"/>
      <c r="F185" s="48"/>
      <c r="G185" s="34"/>
      <c r="H185" s="34"/>
      <c r="I185" s="54"/>
      <c r="J185" s="54"/>
      <c r="K185" s="52"/>
      <c r="L185" s="52"/>
      <c r="M185" s="52"/>
      <c r="N185" s="18"/>
      <c r="O185" s="18"/>
      <c r="P185" s="18"/>
      <c r="Q185" s="34"/>
      <c r="R185" s="34"/>
      <c r="S185" s="63"/>
      <c r="T185" s="52"/>
      <c r="U185" s="48"/>
      <c r="V185" s="11" t="s">
        <v>637</v>
      </c>
      <c r="W185" s="11">
        <v>33030001803</v>
      </c>
      <c r="X185" s="11" t="s">
        <v>638</v>
      </c>
      <c r="Y185" s="12" t="s">
        <v>39</v>
      </c>
      <c r="Z185" s="12" t="s">
        <v>39</v>
      </c>
      <c r="AA185" s="14" t="s">
        <v>38</v>
      </c>
      <c r="AB185" s="12" t="s">
        <v>39</v>
      </c>
      <c r="AC185" s="18">
        <v>5020</v>
      </c>
      <c r="AD185" s="18">
        <v>4550</v>
      </c>
      <c r="AE185" s="18">
        <v>3870</v>
      </c>
      <c r="AF185" s="14" t="s">
        <v>40</v>
      </c>
    </row>
    <row r="186" s="22" customFormat="1" ht="25.5" spans="1:32">
      <c r="A186" s="34">
        <v>48</v>
      </c>
      <c r="B186" s="11" t="s">
        <v>639</v>
      </c>
      <c r="C186" s="34" t="s">
        <v>640</v>
      </c>
      <c r="D186" s="34" t="s">
        <v>297</v>
      </c>
      <c r="E186" s="48" t="s">
        <v>641</v>
      </c>
      <c r="F186" s="48" t="s">
        <v>642</v>
      </c>
      <c r="G186" s="34" t="s">
        <v>38</v>
      </c>
      <c r="H186" s="34" t="s">
        <v>39</v>
      </c>
      <c r="I186" s="15">
        <v>2500</v>
      </c>
      <c r="J186" s="15">
        <v>2250</v>
      </c>
      <c r="K186" s="53">
        <v>2215.65934065934</v>
      </c>
      <c r="L186" s="53">
        <v>2015.22388059701</v>
      </c>
      <c r="M186" s="53">
        <v>1743.27272727273</v>
      </c>
      <c r="N186" s="58">
        <v>2250</v>
      </c>
      <c r="O186" s="58">
        <v>2050</v>
      </c>
      <c r="P186" s="58">
        <v>1750</v>
      </c>
      <c r="Q186" s="62" t="s">
        <v>40</v>
      </c>
      <c r="R186" s="62" t="s">
        <v>39</v>
      </c>
      <c r="S186" s="64" t="s">
        <v>39</v>
      </c>
      <c r="T186" s="53" t="s">
        <v>344</v>
      </c>
      <c r="U186" s="67" t="s">
        <v>643</v>
      </c>
      <c r="V186" s="34" t="s">
        <v>644</v>
      </c>
      <c r="W186" s="34">
        <v>330703012</v>
      </c>
      <c r="X186" s="34" t="s">
        <v>645</v>
      </c>
      <c r="Y186" s="12" t="s">
        <v>646</v>
      </c>
      <c r="Z186" s="12" t="s">
        <v>39</v>
      </c>
      <c r="AA186" s="14" t="s">
        <v>38</v>
      </c>
      <c r="AB186" s="12" t="s">
        <v>39</v>
      </c>
      <c r="AC186" s="18">
        <v>1625</v>
      </c>
      <c r="AD186" s="18">
        <v>1560</v>
      </c>
      <c r="AE186" s="18">
        <v>1326</v>
      </c>
      <c r="AF186" s="14" t="s">
        <v>40</v>
      </c>
    </row>
    <row r="187" s="22" customFormat="1" ht="25.5" spans="1:32">
      <c r="A187" s="34"/>
      <c r="B187" s="11"/>
      <c r="C187" s="34"/>
      <c r="D187" s="34"/>
      <c r="E187" s="48"/>
      <c r="F187" s="48"/>
      <c r="G187" s="34"/>
      <c r="H187" s="34"/>
      <c r="I187" s="54"/>
      <c r="J187" s="54"/>
      <c r="K187" s="53"/>
      <c r="L187" s="53"/>
      <c r="M187" s="53"/>
      <c r="N187" s="58"/>
      <c r="O187" s="58"/>
      <c r="P187" s="58"/>
      <c r="Q187" s="62"/>
      <c r="R187" s="62"/>
      <c r="S187" s="64"/>
      <c r="T187" s="53"/>
      <c r="U187" s="67"/>
      <c r="V187" s="11" t="s">
        <v>647</v>
      </c>
      <c r="W187" s="11">
        <v>33070301202</v>
      </c>
      <c r="X187" s="11" t="s">
        <v>648</v>
      </c>
      <c r="Y187" s="12" t="s">
        <v>39</v>
      </c>
      <c r="Z187" s="12" t="s">
        <v>39</v>
      </c>
      <c r="AA187" s="14" t="s">
        <v>38</v>
      </c>
      <c r="AB187" s="12" t="s">
        <v>39</v>
      </c>
      <c r="AC187" s="18">
        <v>2250</v>
      </c>
      <c r="AD187" s="18">
        <v>2160</v>
      </c>
      <c r="AE187" s="18">
        <v>1836</v>
      </c>
      <c r="AF187" s="14" t="s">
        <v>40</v>
      </c>
    </row>
    <row r="188" s="22" customFormat="1" ht="25.5" spans="1:32">
      <c r="A188" s="34"/>
      <c r="B188" s="11"/>
      <c r="C188" s="34"/>
      <c r="D188" s="34"/>
      <c r="E188" s="48"/>
      <c r="F188" s="48"/>
      <c r="G188" s="34"/>
      <c r="H188" s="34"/>
      <c r="I188" s="54"/>
      <c r="J188" s="54"/>
      <c r="K188" s="53"/>
      <c r="L188" s="53"/>
      <c r="M188" s="53"/>
      <c r="N188" s="58"/>
      <c r="O188" s="58"/>
      <c r="P188" s="58"/>
      <c r="Q188" s="62"/>
      <c r="R188" s="62"/>
      <c r="S188" s="64"/>
      <c r="T188" s="53"/>
      <c r="U188" s="67"/>
      <c r="V188" s="11" t="s">
        <v>649</v>
      </c>
      <c r="W188" s="11">
        <v>330703008</v>
      </c>
      <c r="X188" s="11" t="s">
        <v>650</v>
      </c>
      <c r="Y188" s="12" t="s">
        <v>651</v>
      </c>
      <c r="Z188" s="12" t="s">
        <v>39</v>
      </c>
      <c r="AA188" s="14" t="s">
        <v>38</v>
      </c>
      <c r="AB188" s="12" t="s">
        <v>39</v>
      </c>
      <c r="AC188" s="18">
        <v>1625</v>
      </c>
      <c r="AD188" s="18">
        <v>1560</v>
      </c>
      <c r="AE188" s="18">
        <v>1326</v>
      </c>
      <c r="AF188" s="14" t="s">
        <v>40</v>
      </c>
    </row>
    <row r="189" s="23" customFormat="1" ht="25.5" spans="1:32">
      <c r="A189" s="34"/>
      <c r="B189" s="11"/>
      <c r="C189" s="34"/>
      <c r="D189" s="34"/>
      <c r="E189" s="48"/>
      <c r="F189" s="48"/>
      <c r="G189" s="34"/>
      <c r="H189" s="34"/>
      <c r="I189" s="54"/>
      <c r="J189" s="54"/>
      <c r="K189" s="53"/>
      <c r="L189" s="53"/>
      <c r="M189" s="53"/>
      <c r="N189" s="58"/>
      <c r="O189" s="58"/>
      <c r="P189" s="58"/>
      <c r="Q189" s="62"/>
      <c r="R189" s="62"/>
      <c r="S189" s="64"/>
      <c r="T189" s="53"/>
      <c r="U189" s="67"/>
      <c r="V189" s="11" t="s">
        <v>652</v>
      </c>
      <c r="W189" s="11">
        <v>33070300802</v>
      </c>
      <c r="X189" s="11" t="s">
        <v>653</v>
      </c>
      <c r="Y189" s="12" t="s">
        <v>39</v>
      </c>
      <c r="Z189" s="12" t="s">
        <v>39</v>
      </c>
      <c r="AA189" s="14" t="s">
        <v>38</v>
      </c>
      <c r="AB189" s="12" t="s">
        <v>39</v>
      </c>
      <c r="AC189" s="18">
        <v>2250</v>
      </c>
      <c r="AD189" s="18">
        <v>2160</v>
      </c>
      <c r="AE189" s="18">
        <v>1836</v>
      </c>
      <c r="AF189" s="14" t="s">
        <v>40</v>
      </c>
    </row>
    <row r="190" s="23" customFormat="1" ht="25.5" spans="1:32">
      <c r="A190" s="34" t="s">
        <v>68</v>
      </c>
      <c r="B190" s="34" t="s">
        <v>654</v>
      </c>
      <c r="C190" s="34" t="s">
        <v>655</v>
      </c>
      <c r="D190" s="34" t="s">
        <v>297</v>
      </c>
      <c r="E190" s="48" t="s">
        <v>39</v>
      </c>
      <c r="F190" s="48" t="s">
        <v>39</v>
      </c>
      <c r="G190" s="34" t="s">
        <v>38</v>
      </c>
      <c r="H190" s="34" t="s">
        <v>39</v>
      </c>
      <c r="I190" s="15">
        <v>750</v>
      </c>
      <c r="J190" s="15">
        <v>675</v>
      </c>
      <c r="K190" s="52"/>
      <c r="L190" s="52"/>
      <c r="M190" s="52"/>
      <c r="N190" s="18">
        <v>675</v>
      </c>
      <c r="O190" s="18">
        <v>615</v>
      </c>
      <c r="P190" s="18">
        <v>525</v>
      </c>
      <c r="Q190" s="34" t="s">
        <v>40</v>
      </c>
      <c r="R190" s="34" t="s">
        <v>39</v>
      </c>
      <c r="S190" s="63" t="s">
        <v>39</v>
      </c>
      <c r="T190" s="52"/>
      <c r="U190" s="48" t="s">
        <v>71</v>
      </c>
      <c r="V190" s="11" t="s">
        <v>656</v>
      </c>
      <c r="W190" s="11">
        <v>33070301201</v>
      </c>
      <c r="X190" s="11" t="s">
        <v>657</v>
      </c>
      <c r="Y190" s="12" t="s">
        <v>39</v>
      </c>
      <c r="Z190" s="12" t="s">
        <v>39</v>
      </c>
      <c r="AA190" s="14" t="s">
        <v>38</v>
      </c>
      <c r="AB190" s="12" t="s">
        <v>39</v>
      </c>
      <c r="AC190" s="18">
        <v>2115</v>
      </c>
      <c r="AD190" s="18">
        <v>2030</v>
      </c>
      <c r="AE190" s="18">
        <v>1725</v>
      </c>
      <c r="AF190" s="14" t="s">
        <v>40</v>
      </c>
    </row>
    <row r="191" s="23" customFormat="1" ht="25.5" spans="1:32">
      <c r="A191" s="34"/>
      <c r="B191" s="34"/>
      <c r="C191" s="34"/>
      <c r="D191" s="34"/>
      <c r="E191" s="48"/>
      <c r="F191" s="48"/>
      <c r="G191" s="34"/>
      <c r="H191" s="34"/>
      <c r="I191" s="54"/>
      <c r="J191" s="54"/>
      <c r="K191" s="52"/>
      <c r="L191" s="52"/>
      <c r="M191" s="52"/>
      <c r="N191" s="18"/>
      <c r="O191" s="18"/>
      <c r="P191" s="18"/>
      <c r="Q191" s="34"/>
      <c r="R191" s="34"/>
      <c r="S191" s="63"/>
      <c r="T191" s="52"/>
      <c r="U191" s="48"/>
      <c r="V191" s="11" t="s">
        <v>658</v>
      </c>
      <c r="W191" s="11">
        <v>33070301203</v>
      </c>
      <c r="X191" s="11" t="s">
        <v>659</v>
      </c>
      <c r="Y191" s="12" t="s">
        <v>39</v>
      </c>
      <c r="Z191" s="12" t="s">
        <v>39</v>
      </c>
      <c r="AA191" s="14" t="s">
        <v>38</v>
      </c>
      <c r="AB191" s="12" t="s">
        <v>39</v>
      </c>
      <c r="AC191" s="18">
        <v>2740</v>
      </c>
      <c r="AD191" s="18">
        <v>2630</v>
      </c>
      <c r="AE191" s="18">
        <v>2235</v>
      </c>
      <c r="AF191" s="14" t="s">
        <v>40</v>
      </c>
    </row>
    <row r="192" s="23" customFormat="1" ht="25.5" spans="1:32">
      <c r="A192" s="34"/>
      <c r="B192" s="34"/>
      <c r="C192" s="34"/>
      <c r="D192" s="34"/>
      <c r="E192" s="48"/>
      <c r="F192" s="48"/>
      <c r="G192" s="34"/>
      <c r="H192" s="34"/>
      <c r="I192" s="54"/>
      <c r="J192" s="54"/>
      <c r="K192" s="52"/>
      <c r="L192" s="52"/>
      <c r="M192" s="52"/>
      <c r="N192" s="18"/>
      <c r="O192" s="18"/>
      <c r="P192" s="18"/>
      <c r="Q192" s="34"/>
      <c r="R192" s="34"/>
      <c r="S192" s="63"/>
      <c r="T192" s="52"/>
      <c r="U192" s="48"/>
      <c r="V192" s="11" t="s">
        <v>660</v>
      </c>
      <c r="W192" s="11">
        <v>33070300801</v>
      </c>
      <c r="X192" s="11" t="s">
        <v>661</v>
      </c>
      <c r="Y192" s="12" t="s">
        <v>39</v>
      </c>
      <c r="Z192" s="12" t="s">
        <v>39</v>
      </c>
      <c r="AA192" s="14" t="s">
        <v>38</v>
      </c>
      <c r="AB192" s="12" t="s">
        <v>39</v>
      </c>
      <c r="AC192" s="18">
        <v>2115</v>
      </c>
      <c r="AD192" s="18">
        <v>2030</v>
      </c>
      <c r="AE192" s="18">
        <v>1725</v>
      </c>
      <c r="AF192" s="14" t="s">
        <v>40</v>
      </c>
    </row>
    <row r="193" s="23" customFormat="1" ht="25.5" spans="1:32">
      <c r="A193" s="34"/>
      <c r="B193" s="34"/>
      <c r="C193" s="34"/>
      <c r="D193" s="34"/>
      <c r="E193" s="48"/>
      <c r="F193" s="48"/>
      <c r="G193" s="34"/>
      <c r="H193" s="34"/>
      <c r="I193" s="54"/>
      <c r="J193" s="54"/>
      <c r="K193" s="52"/>
      <c r="L193" s="52"/>
      <c r="M193" s="52"/>
      <c r="N193" s="18"/>
      <c r="O193" s="18"/>
      <c r="P193" s="18"/>
      <c r="Q193" s="34"/>
      <c r="R193" s="34"/>
      <c r="S193" s="63"/>
      <c r="T193" s="52"/>
      <c r="U193" s="48"/>
      <c r="V193" s="11" t="s">
        <v>662</v>
      </c>
      <c r="W193" s="11">
        <v>33070300803</v>
      </c>
      <c r="X193" s="11" t="s">
        <v>663</v>
      </c>
      <c r="Y193" s="12" t="s">
        <v>39</v>
      </c>
      <c r="Z193" s="12" t="s">
        <v>39</v>
      </c>
      <c r="AA193" s="14" t="s">
        <v>38</v>
      </c>
      <c r="AB193" s="12" t="s">
        <v>39</v>
      </c>
      <c r="AC193" s="18">
        <v>2740</v>
      </c>
      <c r="AD193" s="18">
        <v>2630</v>
      </c>
      <c r="AE193" s="18">
        <v>2235</v>
      </c>
      <c r="AF193" s="14" t="s">
        <v>40</v>
      </c>
    </row>
    <row r="194" s="24" customFormat="1" ht="25.5" spans="1:32">
      <c r="A194" s="34">
        <v>49</v>
      </c>
      <c r="B194" s="11" t="s">
        <v>664</v>
      </c>
      <c r="C194" s="34" t="s">
        <v>665</v>
      </c>
      <c r="D194" s="34" t="s">
        <v>297</v>
      </c>
      <c r="E194" s="48" t="s">
        <v>666</v>
      </c>
      <c r="F194" s="48" t="s">
        <v>667</v>
      </c>
      <c r="G194" s="34" t="s">
        <v>38</v>
      </c>
      <c r="H194" s="34" t="s">
        <v>39</v>
      </c>
      <c r="I194" s="15">
        <v>1265</v>
      </c>
      <c r="J194" s="15">
        <v>1139</v>
      </c>
      <c r="K194" s="53">
        <v>1145.83333333333</v>
      </c>
      <c r="L194" s="53">
        <v>1027.51842751843</v>
      </c>
      <c r="M194" s="53"/>
      <c r="N194" s="58">
        <v>1150</v>
      </c>
      <c r="O194" s="58">
        <v>1030</v>
      </c>
      <c r="P194" s="58">
        <v>880</v>
      </c>
      <c r="Q194" s="62" t="s">
        <v>40</v>
      </c>
      <c r="R194" s="62" t="s">
        <v>39</v>
      </c>
      <c r="S194" s="64" t="s">
        <v>39</v>
      </c>
      <c r="T194" s="53" t="s">
        <v>95</v>
      </c>
      <c r="U194" s="67" t="s">
        <v>643</v>
      </c>
      <c r="V194" s="34" t="s">
        <v>668</v>
      </c>
      <c r="W194" s="34">
        <v>330703013</v>
      </c>
      <c r="X194" s="34" t="s">
        <v>669</v>
      </c>
      <c r="Y194" s="12" t="s">
        <v>670</v>
      </c>
      <c r="Z194" s="12" t="s">
        <v>671</v>
      </c>
      <c r="AA194" s="14" t="s">
        <v>241</v>
      </c>
      <c r="AB194" s="12" t="s">
        <v>39</v>
      </c>
      <c r="AC194" s="18">
        <v>1875</v>
      </c>
      <c r="AD194" s="18">
        <v>1800</v>
      </c>
      <c r="AE194" s="18">
        <v>1530</v>
      </c>
      <c r="AF194" s="14" t="s">
        <v>40</v>
      </c>
    </row>
    <row r="195" s="23" customFormat="1" ht="25.5" spans="1:32">
      <c r="A195" s="34"/>
      <c r="B195" s="11"/>
      <c r="C195" s="34"/>
      <c r="D195" s="34"/>
      <c r="E195" s="48"/>
      <c r="F195" s="48"/>
      <c r="G195" s="34"/>
      <c r="H195" s="34"/>
      <c r="I195" s="54"/>
      <c r="J195" s="54"/>
      <c r="K195" s="53"/>
      <c r="L195" s="53"/>
      <c r="M195" s="53"/>
      <c r="N195" s="58"/>
      <c r="O195" s="58"/>
      <c r="P195" s="58"/>
      <c r="Q195" s="62"/>
      <c r="R195" s="62"/>
      <c r="S195" s="64"/>
      <c r="T195" s="53"/>
      <c r="U195" s="67"/>
      <c r="V195" s="11" t="s">
        <v>672</v>
      </c>
      <c r="W195" s="11">
        <v>33070301302</v>
      </c>
      <c r="X195" s="11" t="s">
        <v>673</v>
      </c>
      <c r="Y195" s="12" t="s">
        <v>39</v>
      </c>
      <c r="Z195" s="12" t="s">
        <v>39</v>
      </c>
      <c r="AA195" s="14" t="s">
        <v>38</v>
      </c>
      <c r="AB195" s="12" t="s">
        <v>39</v>
      </c>
      <c r="AC195" s="18">
        <v>2500</v>
      </c>
      <c r="AD195" s="18">
        <v>2400</v>
      </c>
      <c r="AE195" s="18">
        <v>2040</v>
      </c>
      <c r="AF195" s="14" t="s">
        <v>40</v>
      </c>
    </row>
    <row r="196" s="22" customFormat="1" ht="25.5" spans="1:32">
      <c r="A196" s="34"/>
      <c r="B196" s="11"/>
      <c r="C196" s="34"/>
      <c r="D196" s="34"/>
      <c r="E196" s="48"/>
      <c r="F196" s="48"/>
      <c r="G196" s="34"/>
      <c r="H196" s="34"/>
      <c r="I196" s="54"/>
      <c r="J196" s="54"/>
      <c r="K196" s="53"/>
      <c r="L196" s="53"/>
      <c r="M196" s="53"/>
      <c r="N196" s="58"/>
      <c r="O196" s="58"/>
      <c r="P196" s="58"/>
      <c r="Q196" s="62"/>
      <c r="R196" s="62"/>
      <c r="S196" s="64"/>
      <c r="T196" s="53"/>
      <c r="U196" s="67"/>
      <c r="V196" s="34" t="s">
        <v>674</v>
      </c>
      <c r="W196" s="34">
        <v>330703011</v>
      </c>
      <c r="X196" s="34" t="s">
        <v>675</v>
      </c>
      <c r="Y196" s="12" t="s">
        <v>676</v>
      </c>
      <c r="Z196" s="12" t="s">
        <v>39</v>
      </c>
      <c r="AA196" s="14" t="s">
        <v>38</v>
      </c>
      <c r="AB196" s="12" t="s">
        <v>39</v>
      </c>
      <c r="AC196" s="18">
        <v>625</v>
      </c>
      <c r="AD196" s="18">
        <v>600</v>
      </c>
      <c r="AE196" s="18">
        <v>510</v>
      </c>
      <c r="AF196" s="14" t="s">
        <v>40</v>
      </c>
    </row>
    <row r="197" s="22" customFormat="1" ht="25.5" spans="1:32">
      <c r="A197" s="34"/>
      <c r="B197" s="11"/>
      <c r="C197" s="34"/>
      <c r="D197" s="34"/>
      <c r="E197" s="48"/>
      <c r="F197" s="48"/>
      <c r="G197" s="34"/>
      <c r="H197" s="34"/>
      <c r="I197" s="54"/>
      <c r="J197" s="54"/>
      <c r="K197" s="53"/>
      <c r="L197" s="53"/>
      <c r="M197" s="53"/>
      <c r="N197" s="58"/>
      <c r="O197" s="58"/>
      <c r="P197" s="58"/>
      <c r="Q197" s="62"/>
      <c r="R197" s="62"/>
      <c r="S197" s="64"/>
      <c r="T197" s="53"/>
      <c r="U197" s="67"/>
      <c r="V197" s="11" t="s">
        <v>677</v>
      </c>
      <c r="W197" s="11">
        <v>33070301102</v>
      </c>
      <c r="X197" s="11" t="s">
        <v>678</v>
      </c>
      <c r="Y197" s="12" t="s">
        <v>39</v>
      </c>
      <c r="Z197" s="12" t="s">
        <v>39</v>
      </c>
      <c r="AA197" s="14" t="s">
        <v>38</v>
      </c>
      <c r="AB197" s="12" t="s">
        <v>39</v>
      </c>
      <c r="AC197" s="18">
        <v>1250</v>
      </c>
      <c r="AD197" s="18">
        <v>1200</v>
      </c>
      <c r="AE197" s="18">
        <v>1020</v>
      </c>
      <c r="AF197" s="14" t="s">
        <v>40</v>
      </c>
    </row>
    <row r="198" s="22" customFormat="1" ht="25.5" spans="1:32">
      <c r="A198" s="34" t="s">
        <v>68</v>
      </c>
      <c r="B198" s="34" t="s">
        <v>679</v>
      </c>
      <c r="C198" s="34" t="s">
        <v>680</v>
      </c>
      <c r="D198" s="34" t="s">
        <v>297</v>
      </c>
      <c r="E198" s="48" t="s">
        <v>39</v>
      </c>
      <c r="F198" s="48" t="s">
        <v>39</v>
      </c>
      <c r="G198" s="34" t="s">
        <v>38</v>
      </c>
      <c r="H198" s="34" t="s">
        <v>39</v>
      </c>
      <c r="I198" s="15">
        <v>380</v>
      </c>
      <c r="J198" s="15">
        <v>342</v>
      </c>
      <c r="K198" s="52"/>
      <c r="L198" s="52"/>
      <c r="M198" s="52"/>
      <c r="N198" s="18">
        <v>345</v>
      </c>
      <c r="O198" s="18">
        <v>310</v>
      </c>
      <c r="P198" s="18">
        <v>265</v>
      </c>
      <c r="Q198" s="34" t="s">
        <v>40</v>
      </c>
      <c r="R198" s="34" t="s">
        <v>39</v>
      </c>
      <c r="S198" s="63" t="s">
        <v>39</v>
      </c>
      <c r="T198" s="52"/>
      <c r="U198" s="48" t="s">
        <v>71</v>
      </c>
      <c r="V198" s="34" t="s">
        <v>681</v>
      </c>
      <c r="W198" s="34">
        <v>33070301301</v>
      </c>
      <c r="X198" s="34" t="s">
        <v>682</v>
      </c>
      <c r="Y198" s="12" t="s">
        <v>39</v>
      </c>
      <c r="Z198" s="12" t="s">
        <v>39</v>
      </c>
      <c r="AA198" s="14" t="s">
        <v>241</v>
      </c>
      <c r="AB198" s="12" t="s">
        <v>39</v>
      </c>
      <c r="AC198" s="18">
        <v>2440</v>
      </c>
      <c r="AD198" s="18">
        <v>2340</v>
      </c>
      <c r="AE198" s="18">
        <v>1990</v>
      </c>
      <c r="AF198" s="14" t="s">
        <v>40</v>
      </c>
    </row>
    <row r="199" s="22" customFormat="1" ht="25.5" spans="1:32">
      <c r="A199" s="34"/>
      <c r="B199" s="34"/>
      <c r="C199" s="34"/>
      <c r="D199" s="34"/>
      <c r="E199" s="48"/>
      <c r="F199" s="48"/>
      <c r="G199" s="34"/>
      <c r="H199" s="34"/>
      <c r="I199" s="54"/>
      <c r="J199" s="54"/>
      <c r="K199" s="52"/>
      <c r="L199" s="52"/>
      <c r="M199" s="52"/>
      <c r="N199" s="18"/>
      <c r="O199" s="18"/>
      <c r="P199" s="18"/>
      <c r="Q199" s="34"/>
      <c r="R199" s="34"/>
      <c r="S199" s="63"/>
      <c r="T199" s="52"/>
      <c r="U199" s="48"/>
      <c r="V199" s="34" t="s">
        <v>683</v>
      </c>
      <c r="W199" s="34">
        <v>33070301303</v>
      </c>
      <c r="X199" s="34" t="s">
        <v>684</v>
      </c>
      <c r="Y199" s="12" t="s">
        <v>39</v>
      </c>
      <c r="Z199" s="12" t="s">
        <v>39</v>
      </c>
      <c r="AA199" s="14" t="s">
        <v>38</v>
      </c>
      <c r="AB199" s="12" t="s">
        <v>39</v>
      </c>
      <c r="AC199" s="18">
        <v>3065</v>
      </c>
      <c r="AD199" s="18">
        <v>2940</v>
      </c>
      <c r="AE199" s="18">
        <v>2500</v>
      </c>
      <c r="AF199" s="14" t="s">
        <v>40</v>
      </c>
    </row>
    <row r="200" s="22" customFormat="1" ht="25.5" spans="1:32">
      <c r="A200" s="34"/>
      <c r="B200" s="34"/>
      <c r="C200" s="34"/>
      <c r="D200" s="34"/>
      <c r="E200" s="48"/>
      <c r="F200" s="48"/>
      <c r="G200" s="34"/>
      <c r="H200" s="34"/>
      <c r="I200" s="54"/>
      <c r="J200" s="54"/>
      <c r="K200" s="52"/>
      <c r="L200" s="52"/>
      <c r="M200" s="52"/>
      <c r="N200" s="18"/>
      <c r="O200" s="18"/>
      <c r="P200" s="18"/>
      <c r="Q200" s="34"/>
      <c r="R200" s="34"/>
      <c r="S200" s="63"/>
      <c r="T200" s="52"/>
      <c r="U200" s="48"/>
      <c r="V200" s="34" t="s">
        <v>685</v>
      </c>
      <c r="W200" s="34">
        <v>33070301101</v>
      </c>
      <c r="X200" s="34" t="s">
        <v>686</v>
      </c>
      <c r="Y200" s="12" t="s">
        <v>39</v>
      </c>
      <c r="Z200" s="12" t="s">
        <v>39</v>
      </c>
      <c r="AA200" s="14" t="s">
        <v>38</v>
      </c>
      <c r="AB200" s="12" t="s">
        <v>39</v>
      </c>
      <c r="AC200" s="18">
        <v>815</v>
      </c>
      <c r="AD200" s="18">
        <v>780</v>
      </c>
      <c r="AE200" s="18">
        <v>665</v>
      </c>
      <c r="AF200" s="14" t="s">
        <v>40</v>
      </c>
    </row>
    <row r="201" s="22" customFormat="1" ht="25.5" spans="1:32">
      <c r="A201" s="34"/>
      <c r="B201" s="34"/>
      <c r="C201" s="34"/>
      <c r="D201" s="34"/>
      <c r="E201" s="48"/>
      <c r="F201" s="48"/>
      <c r="G201" s="34"/>
      <c r="H201" s="34"/>
      <c r="I201" s="54"/>
      <c r="J201" s="54"/>
      <c r="K201" s="52"/>
      <c r="L201" s="52"/>
      <c r="M201" s="52"/>
      <c r="N201" s="18"/>
      <c r="O201" s="18"/>
      <c r="P201" s="18"/>
      <c r="Q201" s="34"/>
      <c r="R201" s="34"/>
      <c r="S201" s="63"/>
      <c r="T201" s="52"/>
      <c r="U201" s="48"/>
      <c r="V201" s="34" t="s">
        <v>687</v>
      </c>
      <c r="W201" s="34">
        <v>33070301103</v>
      </c>
      <c r="X201" s="34" t="s">
        <v>688</v>
      </c>
      <c r="Y201" s="12" t="s">
        <v>39</v>
      </c>
      <c r="Z201" s="12" t="s">
        <v>39</v>
      </c>
      <c r="AA201" s="14" t="s">
        <v>38</v>
      </c>
      <c r="AB201" s="12" t="s">
        <v>39</v>
      </c>
      <c r="AC201" s="18">
        <v>1440</v>
      </c>
      <c r="AD201" s="18">
        <v>1380</v>
      </c>
      <c r="AE201" s="18">
        <v>1175</v>
      </c>
      <c r="AF201" s="14" t="s">
        <v>40</v>
      </c>
    </row>
    <row r="202" s="22" customFormat="1" ht="25.5" spans="1:32">
      <c r="A202" s="34">
        <v>50</v>
      </c>
      <c r="B202" s="11" t="s">
        <v>689</v>
      </c>
      <c r="C202" s="34" t="s">
        <v>690</v>
      </c>
      <c r="D202" s="34" t="s">
        <v>297</v>
      </c>
      <c r="E202" s="48" t="s">
        <v>691</v>
      </c>
      <c r="F202" s="48" t="s">
        <v>667</v>
      </c>
      <c r="G202" s="34" t="s">
        <v>38</v>
      </c>
      <c r="H202" s="34" t="s">
        <v>692</v>
      </c>
      <c r="I202" s="15">
        <v>1787</v>
      </c>
      <c r="J202" s="15">
        <v>1608</v>
      </c>
      <c r="K202" s="52"/>
      <c r="L202" s="52"/>
      <c r="M202" s="52"/>
      <c r="N202" s="18">
        <v>1610</v>
      </c>
      <c r="O202" s="18">
        <v>1450</v>
      </c>
      <c r="P202" s="18">
        <v>1250</v>
      </c>
      <c r="Q202" s="34" t="s">
        <v>40</v>
      </c>
      <c r="R202" s="34" t="s">
        <v>39</v>
      </c>
      <c r="S202" s="63" t="s">
        <v>39</v>
      </c>
      <c r="T202" s="52" t="s">
        <v>264</v>
      </c>
      <c r="U202" s="48" t="s">
        <v>693</v>
      </c>
      <c r="V202" s="34" t="s">
        <v>668</v>
      </c>
      <c r="W202" s="34">
        <v>330703013</v>
      </c>
      <c r="X202" s="34" t="s">
        <v>669</v>
      </c>
      <c r="Y202" s="12" t="s">
        <v>670</v>
      </c>
      <c r="Z202" s="12" t="s">
        <v>671</v>
      </c>
      <c r="AA202" s="14" t="s">
        <v>241</v>
      </c>
      <c r="AB202" s="12" t="s">
        <v>39</v>
      </c>
      <c r="AC202" s="18">
        <v>1875</v>
      </c>
      <c r="AD202" s="18">
        <v>1800</v>
      </c>
      <c r="AE202" s="18">
        <v>1530</v>
      </c>
      <c r="AF202" s="14" t="s">
        <v>40</v>
      </c>
    </row>
    <row r="203" s="22" customFormat="1" ht="25.5" spans="1:32">
      <c r="A203" s="34"/>
      <c r="B203" s="11"/>
      <c r="C203" s="34"/>
      <c r="D203" s="34"/>
      <c r="E203" s="48"/>
      <c r="F203" s="48"/>
      <c r="G203" s="34"/>
      <c r="H203" s="34"/>
      <c r="I203" s="54"/>
      <c r="J203" s="54"/>
      <c r="K203" s="52"/>
      <c r="L203" s="52"/>
      <c r="M203" s="52"/>
      <c r="N203" s="18"/>
      <c r="O203" s="18"/>
      <c r="P203" s="18"/>
      <c r="Q203" s="34"/>
      <c r="R203" s="34"/>
      <c r="S203" s="63"/>
      <c r="T203" s="52"/>
      <c r="U203" s="48"/>
      <c r="V203" s="34" t="s">
        <v>672</v>
      </c>
      <c r="W203" s="34">
        <v>33070301302</v>
      </c>
      <c r="X203" s="34" t="s">
        <v>673</v>
      </c>
      <c r="Y203" s="12" t="s">
        <v>39</v>
      </c>
      <c r="Z203" s="12" t="s">
        <v>39</v>
      </c>
      <c r="AA203" s="14" t="s">
        <v>38</v>
      </c>
      <c r="AB203" s="12" t="s">
        <v>39</v>
      </c>
      <c r="AC203" s="18">
        <v>2500</v>
      </c>
      <c r="AD203" s="18">
        <v>2400</v>
      </c>
      <c r="AE203" s="18">
        <v>2040</v>
      </c>
      <c r="AF203" s="14" t="s">
        <v>40</v>
      </c>
    </row>
    <row r="204" s="22" customFormat="1" ht="25.5" spans="1:32">
      <c r="A204" s="34"/>
      <c r="B204" s="11"/>
      <c r="C204" s="34"/>
      <c r="D204" s="34"/>
      <c r="E204" s="48"/>
      <c r="F204" s="48"/>
      <c r="G204" s="34"/>
      <c r="H204" s="34"/>
      <c r="I204" s="54"/>
      <c r="J204" s="54"/>
      <c r="K204" s="52"/>
      <c r="L204" s="52"/>
      <c r="M204" s="52"/>
      <c r="N204" s="18"/>
      <c r="O204" s="18"/>
      <c r="P204" s="18"/>
      <c r="Q204" s="34"/>
      <c r="R204" s="34"/>
      <c r="S204" s="63"/>
      <c r="T204" s="52"/>
      <c r="U204" s="48"/>
      <c r="V204" s="34" t="s">
        <v>674</v>
      </c>
      <c r="W204" s="34">
        <v>330703011</v>
      </c>
      <c r="X204" s="34" t="s">
        <v>675</v>
      </c>
      <c r="Y204" s="12" t="s">
        <v>676</v>
      </c>
      <c r="Z204" s="12" t="s">
        <v>39</v>
      </c>
      <c r="AA204" s="14" t="s">
        <v>38</v>
      </c>
      <c r="AB204" s="12" t="s">
        <v>39</v>
      </c>
      <c r="AC204" s="18">
        <v>625</v>
      </c>
      <c r="AD204" s="18">
        <v>600</v>
      </c>
      <c r="AE204" s="18">
        <v>510</v>
      </c>
      <c r="AF204" s="14" t="s">
        <v>40</v>
      </c>
    </row>
    <row r="205" s="22" customFormat="1" ht="25.5" spans="1:32">
      <c r="A205" s="34"/>
      <c r="B205" s="11"/>
      <c r="C205" s="34"/>
      <c r="D205" s="34"/>
      <c r="E205" s="48"/>
      <c r="F205" s="48"/>
      <c r="G205" s="34"/>
      <c r="H205" s="34"/>
      <c r="I205" s="54"/>
      <c r="J205" s="54"/>
      <c r="K205" s="52"/>
      <c r="L205" s="52"/>
      <c r="M205" s="52"/>
      <c r="N205" s="18"/>
      <c r="O205" s="18"/>
      <c r="P205" s="18"/>
      <c r="Q205" s="34"/>
      <c r="R205" s="34"/>
      <c r="S205" s="63"/>
      <c r="T205" s="52"/>
      <c r="U205" s="48"/>
      <c r="V205" s="11" t="s">
        <v>677</v>
      </c>
      <c r="W205" s="11">
        <v>33070301102</v>
      </c>
      <c r="X205" s="11" t="s">
        <v>678</v>
      </c>
      <c r="Y205" s="12" t="s">
        <v>39</v>
      </c>
      <c r="Z205" s="12" t="s">
        <v>39</v>
      </c>
      <c r="AA205" s="14" t="s">
        <v>38</v>
      </c>
      <c r="AB205" s="12" t="s">
        <v>39</v>
      </c>
      <c r="AC205" s="18">
        <v>1250</v>
      </c>
      <c r="AD205" s="18">
        <v>1200</v>
      </c>
      <c r="AE205" s="18">
        <v>1020</v>
      </c>
      <c r="AF205" s="14" t="s">
        <v>40</v>
      </c>
    </row>
    <row r="206" s="22" customFormat="1" ht="25.5" spans="1:32">
      <c r="A206" s="34" t="s">
        <v>68</v>
      </c>
      <c r="B206" s="34" t="s">
        <v>694</v>
      </c>
      <c r="C206" s="34" t="s">
        <v>695</v>
      </c>
      <c r="D206" s="34" t="s">
        <v>297</v>
      </c>
      <c r="E206" s="48" t="s">
        <v>39</v>
      </c>
      <c r="F206" s="48" t="s">
        <v>39</v>
      </c>
      <c r="G206" s="34" t="s">
        <v>38</v>
      </c>
      <c r="H206" s="34" t="s">
        <v>39</v>
      </c>
      <c r="I206" s="15">
        <v>536</v>
      </c>
      <c r="J206" s="15">
        <v>482</v>
      </c>
      <c r="K206" s="52"/>
      <c r="L206" s="52"/>
      <c r="M206" s="52"/>
      <c r="N206" s="18">
        <v>485</v>
      </c>
      <c r="O206" s="18">
        <v>435</v>
      </c>
      <c r="P206" s="18">
        <v>375</v>
      </c>
      <c r="Q206" s="34" t="s">
        <v>40</v>
      </c>
      <c r="R206" s="34" t="s">
        <v>39</v>
      </c>
      <c r="S206" s="63" t="s">
        <v>39</v>
      </c>
      <c r="T206" s="52"/>
      <c r="U206" s="48" t="s">
        <v>71</v>
      </c>
      <c r="V206" s="34" t="s">
        <v>681</v>
      </c>
      <c r="W206" s="34">
        <v>33070301301</v>
      </c>
      <c r="X206" s="34" t="s">
        <v>682</v>
      </c>
      <c r="Y206" s="12" t="s">
        <v>39</v>
      </c>
      <c r="Z206" s="12" t="s">
        <v>39</v>
      </c>
      <c r="AA206" s="14" t="s">
        <v>241</v>
      </c>
      <c r="AB206" s="12" t="s">
        <v>39</v>
      </c>
      <c r="AC206" s="18">
        <v>2440</v>
      </c>
      <c r="AD206" s="18">
        <v>2340</v>
      </c>
      <c r="AE206" s="18">
        <v>1990</v>
      </c>
      <c r="AF206" s="14" t="s">
        <v>40</v>
      </c>
    </row>
    <row r="207" s="22" customFormat="1" ht="25.5" spans="1:32">
      <c r="A207" s="34"/>
      <c r="B207" s="34"/>
      <c r="C207" s="34"/>
      <c r="D207" s="34"/>
      <c r="E207" s="48"/>
      <c r="F207" s="48"/>
      <c r="G207" s="34"/>
      <c r="H207" s="34"/>
      <c r="I207" s="54"/>
      <c r="J207" s="54"/>
      <c r="K207" s="52"/>
      <c r="L207" s="52"/>
      <c r="M207" s="52"/>
      <c r="N207" s="18"/>
      <c r="O207" s="18"/>
      <c r="P207" s="18"/>
      <c r="Q207" s="34"/>
      <c r="R207" s="34"/>
      <c r="S207" s="63"/>
      <c r="T207" s="52"/>
      <c r="U207" s="48"/>
      <c r="V207" s="34" t="s">
        <v>683</v>
      </c>
      <c r="W207" s="34">
        <v>33070301303</v>
      </c>
      <c r="X207" s="34" t="s">
        <v>684</v>
      </c>
      <c r="Y207" s="12" t="s">
        <v>39</v>
      </c>
      <c r="Z207" s="12" t="s">
        <v>39</v>
      </c>
      <c r="AA207" s="14" t="s">
        <v>38</v>
      </c>
      <c r="AB207" s="12" t="s">
        <v>39</v>
      </c>
      <c r="AC207" s="18">
        <v>3065</v>
      </c>
      <c r="AD207" s="18">
        <v>2940</v>
      </c>
      <c r="AE207" s="18">
        <v>2500</v>
      </c>
      <c r="AF207" s="14" t="s">
        <v>40</v>
      </c>
    </row>
    <row r="208" s="22" customFormat="1" ht="25.5" spans="1:32">
      <c r="A208" s="34"/>
      <c r="B208" s="34"/>
      <c r="C208" s="34"/>
      <c r="D208" s="34"/>
      <c r="E208" s="48"/>
      <c r="F208" s="48"/>
      <c r="G208" s="34"/>
      <c r="H208" s="34"/>
      <c r="I208" s="54"/>
      <c r="J208" s="54"/>
      <c r="K208" s="52"/>
      <c r="L208" s="52"/>
      <c r="M208" s="52"/>
      <c r="N208" s="18"/>
      <c r="O208" s="18"/>
      <c r="P208" s="18"/>
      <c r="Q208" s="34"/>
      <c r="R208" s="34"/>
      <c r="S208" s="63"/>
      <c r="T208" s="52"/>
      <c r="U208" s="48"/>
      <c r="V208" s="34" t="s">
        <v>685</v>
      </c>
      <c r="W208" s="34">
        <v>33070301101</v>
      </c>
      <c r="X208" s="34" t="s">
        <v>686</v>
      </c>
      <c r="Y208" s="12" t="s">
        <v>39</v>
      </c>
      <c r="Z208" s="12" t="s">
        <v>39</v>
      </c>
      <c r="AA208" s="14" t="s">
        <v>38</v>
      </c>
      <c r="AB208" s="12" t="s">
        <v>39</v>
      </c>
      <c r="AC208" s="18">
        <v>815</v>
      </c>
      <c r="AD208" s="18">
        <v>780</v>
      </c>
      <c r="AE208" s="18">
        <v>665</v>
      </c>
      <c r="AF208" s="14" t="s">
        <v>40</v>
      </c>
    </row>
    <row r="209" s="22" customFormat="1" ht="25.5" spans="1:32">
      <c r="A209" s="34"/>
      <c r="B209" s="34"/>
      <c r="C209" s="34"/>
      <c r="D209" s="34"/>
      <c r="E209" s="48"/>
      <c r="F209" s="48"/>
      <c r="G209" s="34"/>
      <c r="H209" s="34"/>
      <c r="I209" s="54"/>
      <c r="J209" s="54"/>
      <c r="K209" s="52"/>
      <c r="L209" s="52"/>
      <c r="M209" s="52"/>
      <c r="N209" s="18"/>
      <c r="O209" s="18"/>
      <c r="P209" s="18"/>
      <c r="Q209" s="34"/>
      <c r="R209" s="34"/>
      <c r="S209" s="63"/>
      <c r="T209" s="52"/>
      <c r="U209" s="48"/>
      <c r="V209" s="34" t="s">
        <v>687</v>
      </c>
      <c r="W209" s="34">
        <v>33070301103</v>
      </c>
      <c r="X209" s="34" t="s">
        <v>688</v>
      </c>
      <c r="Y209" s="12" t="s">
        <v>39</v>
      </c>
      <c r="Z209" s="12" t="s">
        <v>39</v>
      </c>
      <c r="AA209" s="14" t="s">
        <v>38</v>
      </c>
      <c r="AB209" s="12" t="s">
        <v>39</v>
      </c>
      <c r="AC209" s="18">
        <v>1440</v>
      </c>
      <c r="AD209" s="18">
        <v>1380</v>
      </c>
      <c r="AE209" s="18">
        <v>1175</v>
      </c>
      <c r="AF209" s="14" t="s">
        <v>40</v>
      </c>
    </row>
    <row r="210" s="22" customFormat="1" ht="33" customHeight="1" spans="1:32">
      <c r="A210" s="34">
        <v>51</v>
      </c>
      <c r="B210" s="11" t="s">
        <v>696</v>
      </c>
      <c r="C210" s="34" t="s">
        <v>697</v>
      </c>
      <c r="D210" s="34" t="s">
        <v>297</v>
      </c>
      <c r="E210" s="48" t="s">
        <v>698</v>
      </c>
      <c r="F210" s="48" t="s">
        <v>699</v>
      </c>
      <c r="G210" s="34" t="s">
        <v>38</v>
      </c>
      <c r="H210" s="34" t="s">
        <v>700</v>
      </c>
      <c r="I210" s="15">
        <v>2726</v>
      </c>
      <c r="J210" s="15">
        <v>2453</v>
      </c>
      <c r="K210" s="52">
        <v>2500</v>
      </c>
      <c r="L210" s="52">
        <v>2400</v>
      </c>
      <c r="M210" s="52"/>
      <c r="N210" s="18">
        <v>2500</v>
      </c>
      <c r="O210" s="18">
        <v>2300</v>
      </c>
      <c r="P210" s="18">
        <v>1950</v>
      </c>
      <c r="Q210" s="34" t="s">
        <v>40</v>
      </c>
      <c r="R210" s="34" t="s">
        <v>39</v>
      </c>
      <c r="S210" s="63" t="s">
        <v>39</v>
      </c>
      <c r="T210" s="52" t="s">
        <v>264</v>
      </c>
      <c r="U210" s="48" t="s">
        <v>701</v>
      </c>
      <c r="V210" s="34" t="s">
        <v>702</v>
      </c>
      <c r="W210" s="34">
        <v>330703009</v>
      </c>
      <c r="X210" s="34" t="s">
        <v>703</v>
      </c>
      <c r="Y210" s="12" t="s">
        <v>704</v>
      </c>
      <c r="Z210" s="12" t="s">
        <v>39</v>
      </c>
      <c r="AA210" s="14" t="s">
        <v>38</v>
      </c>
      <c r="AB210" s="12" t="s">
        <v>39</v>
      </c>
      <c r="AC210" s="18">
        <v>1875</v>
      </c>
      <c r="AD210" s="18">
        <v>1800</v>
      </c>
      <c r="AE210" s="18">
        <v>1530</v>
      </c>
      <c r="AF210" s="14" t="s">
        <v>40</v>
      </c>
    </row>
    <row r="211" s="22" customFormat="1" ht="33" customHeight="1" spans="1:32">
      <c r="A211" s="34"/>
      <c r="B211" s="11"/>
      <c r="C211" s="34"/>
      <c r="D211" s="34"/>
      <c r="E211" s="48"/>
      <c r="F211" s="48"/>
      <c r="G211" s="34"/>
      <c r="H211" s="34"/>
      <c r="I211" s="54"/>
      <c r="J211" s="54"/>
      <c r="K211" s="52"/>
      <c r="L211" s="52"/>
      <c r="M211" s="52"/>
      <c r="N211" s="18"/>
      <c r="O211" s="18"/>
      <c r="P211" s="18"/>
      <c r="Q211" s="34"/>
      <c r="R211" s="34"/>
      <c r="S211" s="63"/>
      <c r="T211" s="52"/>
      <c r="U211" s="48"/>
      <c r="V211" s="11" t="s">
        <v>705</v>
      </c>
      <c r="W211" s="11">
        <v>33070300902</v>
      </c>
      <c r="X211" s="11" t="s">
        <v>706</v>
      </c>
      <c r="Y211" s="12" t="s">
        <v>39</v>
      </c>
      <c r="Z211" s="12" t="s">
        <v>39</v>
      </c>
      <c r="AA211" s="14" t="s">
        <v>38</v>
      </c>
      <c r="AB211" s="12" t="s">
        <v>39</v>
      </c>
      <c r="AC211" s="18">
        <v>2500</v>
      </c>
      <c r="AD211" s="18">
        <v>2400</v>
      </c>
      <c r="AE211" s="18">
        <v>2040</v>
      </c>
      <c r="AF211" s="14" t="s">
        <v>40</v>
      </c>
    </row>
    <row r="212" s="22" customFormat="1" ht="25.5" spans="1:32">
      <c r="A212" s="34" t="s">
        <v>68</v>
      </c>
      <c r="B212" s="34" t="s">
        <v>707</v>
      </c>
      <c r="C212" s="34" t="s">
        <v>708</v>
      </c>
      <c r="D212" s="34" t="s">
        <v>297</v>
      </c>
      <c r="E212" s="48" t="s">
        <v>39</v>
      </c>
      <c r="F212" s="48" t="s">
        <v>39</v>
      </c>
      <c r="G212" s="34" t="s">
        <v>38</v>
      </c>
      <c r="H212" s="34" t="s">
        <v>39</v>
      </c>
      <c r="I212" s="15">
        <v>818</v>
      </c>
      <c r="J212" s="15">
        <v>736</v>
      </c>
      <c r="K212" s="52"/>
      <c r="L212" s="52"/>
      <c r="M212" s="52"/>
      <c r="N212" s="18">
        <v>750</v>
      </c>
      <c r="O212" s="18">
        <v>690</v>
      </c>
      <c r="P212" s="18">
        <v>585</v>
      </c>
      <c r="Q212" s="34" t="s">
        <v>40</v>
      </c>
      <c r="R212" s="34" t="s">
        <v>39</v>
      </c>
      <c r="S212" s="63" t="s">
        <v>39</v>
      </c>
      <c r="T212" s="52"/>
      <c r="U212" s="48" t="s">
        <v>71</v>
      </c>
      <c r="V212" s="11" t="s">
        <v>709</v>
      </c>
      <c r="W212" s="11">
        <v>33070300901</v>
      </c>
      <c r="X212" s="11" t="s">
        <v>710</v>
      </c>
      <c r="Y212" s="12" t="s">
        <v>39</v>
      </c>
      <c r="Z212" s="12" t="s">
        <v>39</v>
      </c>
      <c r="AA212" s="14" t="s">
        <v>38</v>
      </c>
      <c r="AB212" s="12" t="s">
        <v>39</v>
      </c>
      <c r="AC212" s="18">
        <v>2440</v>
      </c>
      <c r="AD212" s="18">
        <v>2340</v>
      </c>
      <c r="AE212" s="18">
        <v>1990</v>
      </c>
      <c r="AF212" s="14" t="s">
        <v>40</v>
      </c>
    </row>
    <row r="213" s="22" customFormat="1" ht="25.5" spans="1:32">
      <c r="A213" s="34"/>
      <c r="B213" s="34"/>
      <c r="C213" s="34"/>
      <c r="D213" s="34"/>
      <c r="E213" s="48"/>
      <c r="F213" s="48"/>
      <c r="G213" s="34"/>
      <c r="H213" s="34"/>
      <c r="I213" s="54"/>
      <c r="J213" s="54"/>
      <c r="K213" s="52"/>
      <c r="L213" s="52"/>
      <c r="M213" s="52"/>
      <c r="N213" s="18"/>
      <c r="O213" s="18"/>
      <c r="P213" s="18"/>
      <c r="Q213" s="34"/>
      <c r="R213" s="34"/>
      <c r="S213" s="63"/>
      <c r="T213" s="52"/>
      <c r="U213" s="48"/>
      <c r="V213" s="11" t="s">
        <v>711</v>
      </c>
      <c r="W213" s="11">
        <v>33070300903</v>
      </c>
      <c r="X213" s="11" t="s">
        <v>712</v>
      </c>
      <c r="Y213" s="12" t="s">
        <v>39</v>
      </c>
      <c r="Z213" s="12" t="s">
        <v>39</v>
      </c>
      <c r="AA213" s="14" t="s">
        <v>38</v>
      </c>
      <c r="AB213" s="12" t="s">
        <v>39</v>
      </c>
      <c r="AC213" s="18">
        <v>3065</v>
      </c>
      <c r="AD213" s="18">
        <v>2940</v>
      </c>
      <c r="AE213" s="18">
        <v>2500</v>
      </c>
      <c r="AF213" s="14" t="s">
        <v>40</v>
      </c>
    </row>
    <row r="214" s="22" customFormat="1" ht="25.5" spans="1:32">
      <c r="A214" s="34">
        <v>52</v>
      </c>
      <c r="B214" s="11" t="s">
        <v>713</v>
      </c>
      <c r="C214" s="34" t="s">
        <v>714</v>
      </c>
      <c r="D214" s="34" t="s">
        <v>297</v>
      </c>
      <c r="E214" s="48" t="s">
        <v>715</v>
      </c>
      <c r="F214" s="48" t="s">
        <v>699</v>
      </c>
      <c r="G214" s="34" t="s">
        <v>38</v>
      </c>
      <c r="H214" s="34" t="s">
        <v>716</v>
      </c>
      <c r="I214" s="15">
        <v>3500</v>
      </c>
      <c r="J214" s="15">
        <v>3150</v>
      </c>
      <c r="K214" s="52">
        <v>2375</v>
      </c>
      <c r="L214" s="52"/>
      <c r="M214" s="52"/>
      <c r="N214" s="58">
        <v>3200</v>
      </c>
      <c r="O214" s="58">
        <v>2900</v>
      </c>
      <c r="P214" s="58">
        <v>2470</v>
      </c>
      <c r="Q214" s="62" t="s">
        <v>40</v>
      </c>
      <c r="R214" s="62" t="s">
        <v>39</v>
      </c>
      <c r="S214" s="64" t="s">
        <v>39</v>
      </c>
      <c r="T214" s="52" t="s">
        <v>209</v>
      </c>
      <c r="U214" s="67" t="s">
        <v>717</v>
      </c>
      <c r="V214" s="34" t="s">
        <v>718</v>
      </c>
      <c r="W214" s="34">
        <v>330703014</v>
      </c>
      <c r="X214" s="34" t="s">
        <v>719</v>
      </c>
      <c r="Y214" s="12" t="s">
        <v>720</v>
      </c>
      <c r="Z214" s="12" t="s">
        <v>39</v>
      </c>
      <c r="AA214" s="14" t="s">
        <v>38</v>
      </c>
      <c r="AB214" s="12" t="s">
        <v>39</v>
      </c>
      <c r="AC214" s="18">
        <v>1750</v>
      </c>
      <c r="AD214" s="18">
        <v>1680</v>
      </c>
      <c r="AE214" s="18">
        <v>1428</v>
      </c>
      <c r="AF214" s="14" t="s">
        <v>40</v>
      </c>
    </row>
    <row r="215" s="22" customFormat="1" ht="25.5" spans="1:32">
      <c r="A215" s="34"/>
      <c r="B215" s="11"/>
      <c r="C215" s="34"/>
      <c r="D215" s="34"/>
      <c r="E215" s="48"/>
      <c r="F215" s="48"/>
      <c r="G215" s="34"/>
      <c r="H215" s="34"/>
      <c r="I215" s="54"/>
      <c r="J215" s="54"/>
      <c r="K215" s="52"/>
      <c r="L215" s="52"/>
      <c r="M215" s="52"/>
      <c r="N215" s="58"/>
      <c r="O215" s="58"/>
      <c r="P215" s="58"/>
      <c r="Q215" s="62"/>
      <c r="R215" s="62"/>
      <c r="S215" s="64"/>
      <c r="T215" s="52"/>
      <c r="U215" s="67"/>
      <c r="V215" s="11" t="s">
        <v>721</v>
      </c>
      <c r="W215" s="11">
        <v>33070301402</v>
      </c>
      <c r="X215" s="11" t="s">
        <v>722</v>
      </c>
      <c r="Y215" s="12" t="s">
        <v>39</v>
      </c>
      <c r="Z215" s="12" t="s">
        <v>39</v>
      </c>
      <c r="AA215" s="14" t="s">
        <v>38</v>
      </c>
      <c r="AB215" s="12" t="s">
        <v>39</v>
      </c>
      <c r="AC215" s="18">
        <v>2375</v>
      </c>
      <c r="AD215" s="18">
        <v>2280</v>
      </c>
      <c r="AE215" s="18">
        <v>1836</v>
      </c>
      <c r="AF215" s="14" t="s">
        <v>40</v>
      </c>
    </row>
    <row r="216" s="22" customFormat="1" ht="25.5" spans="1:33">
      <c r="A216" s="34"/>
      <c r="B216" s="11"/>
      <c r="C216" s="34"/>
      <c r="D216" s="34"/>
      <c r="E216" s="48"/>
      <c r="F216" s="48"/>
      <c r="G216" s="34"/>
      <c r="H216" s="34"/>
      <c r="I216" s="54"/>
      <c r="J216" s="54"/>
      <c r="K216" s="52"/>
      <c r="L216" s="52"/>
      <c r="M216" s="52"/>
      <c r="N216" s="58"/>
      <c r="O216" s="58"/>
      <c r="P216" s="58"/>
      <c r="Q216" s="62"/>
      <c r="R216" s="62"/>
      <c r="S216" s="64"/>
      <c r="T216" s="52"/>
      <c r="U216" s="67"/>
      <c r="V216" s="11" t="s">
        <v>723</v>
      </c>
      <c r="W216" s="11">
        <v>330703015</v>
      </c>
      <c r="X216" s="11" t="s">
        <v>724</v>
      </c>
      <c r="Y216" s="12" t="s">
        <v>725</v>
      </c>
      <c r="Z216" s="12" t="s">
        <v>726</v>
      </c>
      <c r="AA216" s="14" t="s">
        <v>38</v>
      </c>
      <c r="AB216" s="12" t="s">
        <v>727</v>
      </c>
      <c r="AC216" s="18">
        <v>1875</v>
      </c>
      <c r="AD216" s="18">
        <v>1800</v>
      </c>
      <c r="AE216" s="18">
        <v>1530</v>
      </c>
      <c r="AF216" s="14" t="s">
        <v>40</v>
      </c>
      <c r="AG216" s="22" t="s">
        <v>58</v>
      </c>
    </row>
    <row r="217" s="22" customFormat="1" ht="25.5" spans="1:33">
      <c r="A217" s="34"/>
      <c r="B217" s="11"/>
      <c r="C217" s="34"/>
      <c r="D217" s="34"/>
      <c r="E217" s="48"/>
      <c r="F217" s="48"/>
      <c r="G217" s="34"/>
      <c r="H217" s="34"/>
      <c r="I217" s="54"/>
      <c r="J217" s="54"/>
      <c r="K217" s="52"/>
      <c r="L217" s="52"/>
      <c r="M217" s="52"/>
      <c r="N217" s="58"/>
      <c r="O217" s="58"/>
      <c r="P217" s="58"/>
      <c r="Q217" s="62"/>
      <c r="R217" s="62"/>
      <c r="S217" s="64"/>
      <c r="T217" s="52"/>
      <c r="U217" s="67"/>
      <c r="V217" s="11" t="s">
        <v>728</v>
      </c>
      <c r="W217" s="11">
        <v>33070301501</v>
      </c>
      <c r="X217" s="11" t="s">
        <v>729</v>
      </c>
      <c r="Y217" s="12" t="s">
        <v>39</v>
      </c>
      <c r="Z217" s="12" t="s">
        <v>39</v>
      </c>
      <c r="AA217" s="14" t="s">
        <v>38</v>
      </c>
      <c r="AB217" s="12" t="s">
        <v>727</v>
      </c>
      <c r="AC217" s="18">
        <v>2500</v>
      </c>
      <c r="AD217" s="18">
        <v>2400</v>
      </c>
      <c r="AE217" s="18">
        <v>2040</v>
      </c>
      <c r="AF217" s="14" t="s">
        <v>40</v>
      </c>
      <c r="AG217" s="22" t="s">
        <v>58</v>
      </c>
    </row>
    <row r="218" s="22" customFormat="1" ht="25.5" spans="1:32">
      <c r="A218" s="34" t="s">
        <v>68</v>
      </c>
      <c r="B218" s="34" t="s">
        <v>730</v>
      </c>
      <c r="C218" s="34" t="s">
        <v>731</v>
      </c>
      <c r="D218" s="34" t="s">
        <v>297</v>
      </c>
      <c r="E218" s="48" t="s">
        <v>39</v>
      </c>
      <c r="F218" s="48" t="s">
        <v>39</v>
      </c>
      <c r="G218" s="34" t="s">
        <v>38</v>
      </c>
      <c r="H218" s="34" t="s">
        <v>39</v>
      </c>
      <c r="I218" s="15">
        <v>1050</v>
      </c>
      <c r="J218" s="15">
        <v>945</v>
      </c>
      <c r="K218" s="52"/>
      <c r="L218" s="52"/>
      <c r="M218" s="52"/>
      <c r="N218" s="18">
        <v>960</v>
      </c>
      <c r="O218" s="18">
        <v>870</v>
      </c>
      <c r="P218" s="18">
        <v>740</v>
      </c>
      <c r="Q218" s="34" t="s">
        <v>40</v>
      </c>
      <c r="R218" s="34" t="s">
        <v>39</v>
      </c>
      <c r="S218" s="63" t="s">
        <v>39</v>
      </c>
      <c r="T218" s="52"/>
      <c r="U218" s="48" t="s">
        <v>71</v>
      </c>
      <c r="V218" s="34" t="s">
        <v>732</v>
      </c>
      <c r="W218" s="34">
        <v>33070301401</v>
      </c>
      <c r="X218" s="34" t="s">
        <v>733</v>
      </c>
      <c r="Y218" s="12" t="s">
        <v>39</v>
      </c>
      <c r="Z218" s="12" t="s">
        <v>39</v>
      </c>
      <c r="AA218" s="14" t="s">
        <v>38</v>
      </c>
      <c r="AB218" s="12" t="s">
        <v>39</v>
      </c>
      <c r="AC218" s="18">
        <v>2275</v>
      </c>
      <c r="AD218" s="18">
        <v>2185</v>
      </c>
      <c r="AE218" s="18">
        <v>1855</v>
      </c>
      <c r="AF218" s="14" t="s">
        <v>40</v>
      </c>
    </row>
    <row r="219" s="22" customFormat="1" ht="25.5" spans="1:32">
      <c r="A219" s="34"/>
      <c r="B219" s="34"/>
      <c r="C219" s="34"/>
      <c r="D219" s="34"/>
      <c r="E219" s="48"/>
      <c r="F219" s="48"/>
      <c r="G219" s="34"/>
      <c r="H219" s="34"/>
      <c r="I219" s="54"/>
      <c r="J219" s="54"/>
      <c r="K219" s="52"/>
      <c r="L219" s="52"/>
      <c r="M219" s="52"/>
      <c r="N219" s="18"/>
      <c r="O219" s="18"/>
      <c r="P219" s="18"/>
      <c r="Q219" s="34"/>
      <c r="R219" s="34"/>
      <c r="S219" s="63"/>
      <c r="T219" s="52"/>
      <c r="U219" s="48"/>
      <c r="V219" s="34" t="s">
        <v>734</v>
      </c>
      <c r="W219" s="34">
        <v>33070301403</v>
      </c>
      <c r="X219" s="34" t="s">
        <v>735</v>
      </c>
      <c r="Y219" s="12" t="s">
        <v>39</v>
      </c>
      <c r="Z219" s="12" t="s">
        <v>39</v>
      </c>
      <c r="AA219" s="14" t="s">
        <v>38</v>
      </c>
      <c r="AB219" s="12" t="s">
        <v>39</v>
      </c>
      <c r="AC219" s="18">
        <v>2900</v>
      </c>
      <c r="AD219" s="18">
        <v>2785</v>
      </c>
      <c r="AE219" s="18">
        <v>2365</v>
      </c>
      <c r="AF219" s="14" t="s">
        <v>40</v>
      </c>
    </row>
    <row r="220" s="22" customFormat="1" ht="25.5" spans="1:33">
      <c r="A220" s="34"/>
      <c r="B220" s="34"/>
      <c r="C220" s="34"/>
      <c r="D220" s="34"/>
      <c r="E220" s="48"/>
      <c r="F220" s="48"/>
      <c r="G220" s="34"/>
      <c r="H220" s="34"/>
      <c r="I220" s="54"/>
      <c r="J220" s="54"/>
      <c r="K220" s="52"/>
      <c r="L220" s="52"/>
      <c r="M220" s="52"/>
      <c r="N220" s="18"/>
      <c r="O220" s="18"/>
      <c r="P220" s="18"/>
      <c r="Q220" s="34"/>
      <c r="R220" s="34"/>
      <c r="S220" s="63"/>
      <c r="T220" s="52"/>
      <c r="U220" s="48"/>
      <c r="V220" s="11" t="s">
        <v>723</v>
      </c>
      <c r="W220" s="11">
        <v>330703015</v>
      </c>
      <c r="X220" s="11" t="s">
        <v>724</v>
      </c>
      <c r="Y220" s="12" t="s">
        <v>725</v>
      </c>
      <c r="Z220" s="12" t="s">
        <v>726</v>
      </c>
      <c r="AA220" s="14" t="s">
        <v>38</v>
      </c>
      <c r="AB220" s="12" t="s">
        <v>727</v>
      </c>
      <c r="AC220" s="18">
        <v>1875</v>
      </c>
      <c r="AD220" s="18">
        <v>1800</v>
      </c>
      <c r="AE220" s="18">
        <v>1530</v>
      </c>
      <c r="AF220" s="14" t="s">
        <v>40</v>
      </c>
      <c r="AG220" s="22" t="s">
        <v>58</v>
      </c>
    </row>
    <row r="221" s="22" customFormat="1" ht="25.5" spans="1:33">
      <c r="A221" s="34"/>
      <c r="B221" s="34"/>
      <c r="C221" s="34"/>
      <c r="D221" s="34"/>
      <c r="E221" s="48"/>
      <c r="F221" s="48"/>
      <c r="G221" s="34"/>
      <c r="H221" s="34"/>
      <c r="I221" s="54"/>
      <c r="J221" s="54"/>
      <c r="K221" s="52"/>
      <c r="L221" s="52"/>
      <c r="M221" s="52"/>
      <c r="N221" s="18"/>
      <c r="O221" s="18"/>
      <c r="P221" s="18"/>
      <c r="Q221" s="34"/>
      <c r="R221" s="34"/>
      <c r="S221" s="63"/>
      <c r="T221" s="52"/>
      <c r="U221" s="48"/>
      <c r="V221" s="11" t="s">
        <v>728</v>
      </c>
      <c r="W221" s="11">
        <v>33070301501</v>
      </c>
      <c r="X221" s="11" t="s">
        <v>729</v>
      </c>
      <c r="Y221" s="12" t="s">
        <v>39</v>
      </c>
      <c r="Z221" s="12" t="s">
        <v>39</v>
      </c>
      <c r="AA221" s="14" t="s">
        <v>38</v>
      </c>
      <c r="AB221" s="12" t="s">
        <v>727</v>
      </c>
      <c r="AC221" s="18">
        <v>2500</v>
      </c>
      <c r="AD221" s="18">
        <v>2400</v>
      </c>
      <c r="AE221" s="18">
        <v>2040</v>
      </c>
      <c r="AF221" s="14" t="s">
        <v>40</v>
      </c>
      <c r="AG221" s="22" t="s">
        <v>58</v>
      </c>
    </row>
    <row r="222" s="24" customFormat="1" ht="64" customHeight="1" spans="1:32">
      <c r="A222" s="34">
        <v>53</v>
      </c>
      <c r="B222" s="11" t="s">
        <v>736</v>
      </c>
      <c r="C222" s="34" t="s">
        <v>737</v>
      </c>
      <c r="D222" s="34" t="s">
        <v>297</v>
      </c>
      <c r="E222" s="48" t="s">
        <v>738</v>
      </c>
      <c r="F222" s="48" t="s">
        <v>739</v>
      </c>
      <c r="G222" s="34" t="s">
        <v>38</v>
      </c>
      <c r="H222" s="34" t="s">
        <v>39</v>
      </c>
      <c r="I222" s="15">
        <v>1750</v>
      </c>
      <c r="J222" s="15">
        <v>1575</v>
      </c>
      <c r="K222" s="52">
        <v>875</v>
      </c>
      <c r="L222" s="52">
        <v>840</v>
      </c>
      <c r="M222" s="52">
        <v>714</v>
      </c>
      <c r="N222" s="58">
        <v>1600</v>
      </c>
      <c r="O222" s="58">
        <v>1440</v>
      </c>
      <c r="P222" s="58">
        <v>1225</v>
      </c>
      <c r="Q222" s="62" t="s">
        <v>40</v>
      </c>
      <c r="R222" s="62" t="s">
        <v>39</v>
      </c>
      <c r="S222" s="64" t="s">
        <v>39</v>
      </c>
      <c r="T222" s="52" t="s">
        <v>209</v>
      </c>
      <c r="U222" s="67" t="s">
        <v>613</v>
      </c>
      <c r="V222" s="34" t="s">
        <v>740</v>
      </c>
      <c r="W222" s="34">
        <v>330703020</v>
      </c>
      <c r="X222" s="34" t="s">
        <v>741</v>
      </c>
      <c r="Y222" s="12" t="s">
        <v>742</v>
      </c>
      <c r="Z222" s="12" t="s">
        <v>39</v>
      </c>
      <c r="AA222" s="14" t="s">
        <v>38</v>
      </c>
      <c r="AB222" s="12" t="s">
        <v>39</v>
      </c>
      <c r="AC222" s="18">
        <v>875</v>
      </c>
      <c r="AD222" s="18">
        <v>840</v>
      </c>
      <c r="AE222" s="18">
        <v>714</v>
      </c>
      <c r="AF222" s="14" t="s">
        <v>40</v>
      </c>
    </row>
    <row r="223" s="22" customFormat="1" ht="38" customHeight="1" spans="1:32">
      <c r="A223" s="34" t="s">
        <v>68</v>
      </c>
      <c r="B223" s="11" t="s">
        <v>743</v>
      </c>
      <c r="C223" s="34" t="s">
        <v>744</v>
      </c>
      <c r="D223" s="38" t="s">
        <v>297</v>
      </c>
      <c r="E223" s="48" t="s">
        <v>39</v>
      </c>
      <c r="F223" s="48" t="s">
        <v>39</v>
      </c>
      <c r="G223" s="34" t="s">
        <v>38</v>
      </c>
      <c r="H223" s="34" t="s">
        <v>39</v>
      </c>
      <c r="I223" s="15">
        <v>525</v>
      </c>
      <c r="J223" s="15">
        <v>473</v>
      </c>
      <c r="K223" s="52"/>
      <c r="L223" s="52"/>
      <c r="M223" s="52"/>
      <c r="N223" s="18">
        <v>480</v>
      </c>
      <c r="O223" s="18">
        <v>430</v>
      </c>
      <c r="P223" s="18">
        <v>365</v>
      </c>
      <c r="Q223" s="34" t="s">
        <v>40</v>
      </c>
      <c r="R223" s="34" t="s">
        <v>39</v>
      </c>
      <c r="S223" s="63" t="s">
        <v>39</v>
      </c>
      <c r="T223" s="52"/>
      <c r="U223" s="48" t="s">
        <v>71</v>
      </c>
      <c r="V223" s="34" t="s">
        <v>745</v>
      </c>
      <c r="W223" s="34">
        <v>33070302001</v>
      </c>
      <c r="X223" s="34" t="s">
        <v>746</v>
      </c>
      <c r="Y223" s="12" t="s">
        <v>39</v>
      </c>
      <c r="Z223" s="12" t="s">
        <v>39</v>
      </c>
      <c r="AA223" s="14" t="s">
        <v>38</v>
      </c>
      <c r="AB223" s="12" t="s">
        <v>39</v>
      </c>
      <c r="AC223" s="18">
        <v>1140</v>
      </c>
      <c r="AD223" s="18">
        <v>1090</v>
      </c>
      <c r="AE223" s="18">
        <v>925</v>
      </c>
      <c r="AF223" s="14" t="s">
        <v>40</v>
      </c>
    </row>
    <row r="224" s="22" customFormat="1" ht="37" customHeight="1" spans="1:33">
      <c r="A224" s="34">
        <v>54</v>
      </c>
      <c r="B224" s="11" t="s">
        <v>747</v>
      </c>
      <c r="C224" s="34" t="s">
        <v>748</v>
      </c>
      <c r="D224" s="34" t="s">
        <v>297</v>
      </c>
      <c r="E224" s="48" t="s">
        <v>749</v>
      </c>
      <c r="F224" s="48" t="s">
        <v>750</v>
      </c>
      <c r="G224" s="34" t="s">
        <v>38</v>
      </c>
      <c r="H224" s="34" t="s">
        <v>388</v>
      </c>
      <c r="I224" s="15">
        <v>2750</v>
      </c>
      <c r="J224" s="15">
        <v>2475</v>
      </c>
      <c r="K224" s="52"/>
      <c r="L224" s="52"/>
      <c r="M224" s="52"/>
      <c r="N224" s="18">
        <v>2500</v>
      </c>
      <c r="O224" s="18">
        <v>2300</v>
      </c>
      <c r="P224" s="18">
        <v>1950</v>
      </c>
      <c r="Q224" s="34" t="s">
        <v>40</v>
      </c>
      <c r="R224" s="34" t="s">
        <v>39</v>
      </c>
      <c r="S224" s="63" t="s">
        <v>39</v>
      </c>
      <c r="T224" s="52" t="s">
        <v>264</v>
      </c>
      <c r="U224" s="48" t="s">
        <v>399</v>
      </c>
      <c r="V224" s="34" t="s">
        <v>751</v>
      </c>
      <c r="W224" s="34">
        <v>330703018</v>
      </c>
      <c r="X224" s="34" t="s">
        <v>752</v>
      </c>
      <c r="Y224" s="12" t="s">
        <v>753</v>
      </c>
      <c r="Z224" s="12" t="s">
        <v>39</v>
      </c>
      <c r="AA224" s="14" t="s">
        <v>38</v>
      </c>
      <c r="AB224" s="12" t="s">
        <v>39</v>
      </c>
      <c r="AC224" s="18">
        <v>1625</v>
      </c>
      <c r="AD224" s="18">
        <v>1560</v>
      </c>
      <c r="AE224" s="18">
        <v>1326</v>
      </c>
      <c r="AF224" s="14" t="s">
        <v>40</v>
      </c>
      <c r="AG224" s="22" t="s">
        <v>58</v>
      </c>
    </row>
    <row r="225" s="22" customFormat="1" ht="37" customHeight="1" spans="1:33">
      <c r="A225" s="34"/>
      <c r="B225" s="11"/>
      <c r="C225" s="34"/>
      <c r="D225" s="34"/>
      <c r="E225" s="48"/>
      <c r="F225" s="48"/>
      <c r="G225" s="34"/>
      <c r="H225" s="34"/>
      <c r="I225" s="54"/>
      <c r="J225" s="54"/>
      <c r="K225" s="52"/>
      <c r="L225" s="52"/>
      <c r="M225" s="52"/>
      <c r="N225" s="18"/>
      <c r="O225" s="18"/>
      <c r="P225" s="18"/>
      <c r="Q225" s="34"/>
      <c r="R225" s="34"/>
      <c r="S225" s="63"/>
      <c r="T225" s="52"/>
      <c r="U225" s="48"/>
      <c r="V225" s="34" t="s">
        <v>754</v>
      </c>
      <c r="W225" s="34">
        <v>33070301802</v>
      </c>
      <c r="X225" s="34" t="s">
        <v>755</v>
      </c>
      <c r="Y225" s="12" t="s">
        <v>39</v>
      </c>
      <c r="Z225" s="12" t="s">
        <v>39</v>
      </c>
      <c r="AA225" s="14" t="s">
        <v>38</v>
      </c>
      <c r="AB225" s="12" t="s">
        <v>39</v>
      </c>
      <c r="AC225" s="18">
        <v>2250</v>
      </c>
      <c r="AD225" s="18">
        <v>2160</v>
      </c>
      <c r="AE225" s="18">
        <v>1836</v>
      </c>
      <c r="AF225" s="14" t="s">
        <v>40</v>
      </c>
      <c r="AG225" s="22" t="s">
        <v>58</v>
      </c>
    </row>
    <row r="226" s="22" customFormat="1" ht="25.5" spans="1:32">
      <c r="A226" s="34" t="s">
        <v>68</v>
      </c>
      <c r="B226" s="34" t="s">
        <v>756</v>
      </c>
      <c r="C226" s="34" t="s">
        <v>757</v>
      </c>
      <c r="D226" s="34" t="s">
        <v>297</v>
      </c>
      <c r="E226" s="48" t="s">
        <v>39</v>
      </c>
      <c r="F226" s="48" t="s">
        <v>39</v>
      </c>
      <c r="G226" s="34" t="s">
        <v>38</v>
      </c>
      <c r="H226" s="34" t="s">
        <v>39</v>
      </c>
      <c r="I226" s="15">
        <v>825</v>
      </c>
      <c r="J226" s="15">
        <v>743</v>
      </c>
      <c r="K226" s="52"/>
      <c r="L226" s="52"/>
      <c r="M226" s="52"/>
      <c r="N226" s="18">
        <v>750</v>
      </c>
      <c r="O226" s="18">
        <v>690</v>
      </c>
      <c r="P226" s="18">
        <v>585</v>
      </c>
      <c r="Q226" s="34" t="s">
        <v>40</v>
      </c>
      <c r="R226" s="34" t="s">
        <v>39</v>
      </c>
      <c r="S226" s="63" t="s">
        <v>39</v>
      </c>
      <c r="T226" s="52"/>
      <c r="U226" s="48" t="s">
        <v>71</v>
      </c>
      <c r="V226" s="11" t="s">
        <v>758</v>
      </c>
      <c r="W226" s="11">
        <v>33070301801</v>
      </c>
      <c r="X226" s="11" t="s">
        <v>759</v>
      </c>
      <c r="Y226" s="12" t="s">
        <v>39</v>
      </c>
      <c r="Z226" s="12" t="s">
        <v>39</v>
      </c>
      <c r="AA226" s="14" t="s">
        <v>38</v>
      </c>
      <c r="AB226" s="12" t="s">
        <v>39</v>
      </c>
      <c r="AC226" s="18">
        <v>2115</v>
      </c>
      <c r="AD226" s="18">
        <v>2030</v>
      </c>
      <c r="AE226" s="18">
        <v>1725</v>
      </c>
      <c r="AF226" s="14" t="s">
        <v>40</v>
      </c>
    </row>
    <row r="227" s="22" customFormat="1" ht="25.5" spans="1:32">
      <c r="A227" s="34"/>
      <c r="B227" s="34"/>
      <c r="C227" s="34"/>
      <c r="D227" s="34"/>
      <c r="E227" s="48"/>
      <c r="F227" s="48"/>
      <c r="G227" s="34"/>
      <c r="H227" s="34"/>
      <c r="I227" s="54"/>
      <c r="J227" s="54"/>
      <c r="K227" s="52"/>
      <c r="L227" s="52"/>
      <c r="M227" s="52"/>
      <c r="N227" s="18"/>
      <c r="O227" s="18"/>
      <c r="P227" s="18"/>
      <c r="Q227" s="34"/>
      <c r="R227" s="34"/>
      <c r="S227" s="63"/>
      <c r="T227" s="52"/>
      <c r="U227" s="48"/>
      <c r="V227" s="11" t="s">
        <v>760</v>
      </c>
      <c r="W227" s="11">
        <v>33070301803</v>
      </c>
      <c r="X227" s="11" t="s">
        <v>761</v>
      </c>
      <c r="Y227" s="12" t="s">
        <v>39</v>
      </c>
      <c r="Z227" s="12" t="s">
        <v>39</v>
      </c>
      <c r="AA227" s="14" t="s">
        <v>38</v>
      </c>
      <c r="AB227" s="12" t="s">
        <v>39</v>
      </c>
      <c r="AC227" s="18">
        <v>2740</v>
      </c>
      <c r="AD227" s="18">
        <v>2630</v>
      </c>
      <c r="AE227" s="18">
        <v>2235</v>
      </c>
      <c r="AF227" s="14" t="s">
        <v>40</v>
      </c>
    </row>
    <row r="228" s="22" customFormat="1" ht="25.5" spans="1:32">
      <c r="A228" s="34">
        <v>55</v>
      </c>
      <c r="B228" s="11" t="s">
        <v>762</v>
      </c>
      <c r="C228" s="34" t="s">
        <v>763</v>
      </c>
      <c r="D228" s="34" t="s">
        <v>297</v>
      </c>
      <c r="E228" s="48" t="s">
        <v>764</v>
      </c>
      <c r="F228" s="48" t="s">
        <v>765</v>
      </c>
      <c r="G228" s="34" t="s">
        <v>38</v>
      </c>
      <c r="H228" s="34" t="s">
        <v>39</v>
      </c>
      <c r="I228" s="15">
        <v>2700</v>
      </c>
      <c r="J228" s="15">
        <v>2430</v>
      </c>
      <c r="K228" s="52"/>
      <c r="L228" s="52"/>
      <c r="M228" s="52"/>
      <c r="N228" s="18">
        <v>2450</v>
      </c>
      <c r="O228" s="18">
        <v>2200</v>
      </c>
      <c r="P228" s="18">
        <v>1900</v>
      </c>
      <c r="Q228" s="34" t="s">
        <v>40</v>
      </c>
      <c r="R228" s="34" t="s">
        <v>39</v>
      </c>
      <c r="S228" s="63" t="s">
        <v>39</v>
      </c>
      <c r="T228" s="52" t="s">
        <v>264</v>
      </c>
      <c r="U228" s="48" t="s">
        <v>399</v>
      </c>
      <c r="V228" s="34" t="s">
        <v>766</v>
      </c>
      <c r="W228" s="34">
        <v>330703019</v>
      </c>
      <c r="X228" s="34" t="s">
        <v>767</v>
      </c>
      <c r="Y228" s="12" t="s">
        <v>768</v>
      </c>
      <c r="Z228" s="12" t="s">
        <v>39</v>
      </c>
      <c r="AA228" s="14" t="s">
        <v>38</v>
      </c>
      <c r="AB228" s="12" t="s">
        <v>39</v>
      </c>
      <c r="AC228" s="18">
        <v>1875</v>
      </c>
      <c r="AD228" s="18">
        <v>1800</v>
      </c>
      <c r="AE228" s="18">
        <v>1530</v>
      </c>
      <c r="AF228" s="14" t="s">
        <v>40</v>
      </c>
    </row>
    <row r="229" s="22" customFormat="1" ht="25.5" spans="1:32">
      <c r="A229" s="34"/>
      <c r="B229" s="11"/>
      <c r="C229" s="34"/>
      <c r="D229" s="34"/>
      <c r="E229" s="48"/>
      <c r="F229" s="48"/>
      <c r="G229" s="34"/>
      <c r="H229" s="34"/>
      <c r="I229" s="54"/>
      <c r="J229" s="54"/>
      <c r="K229" s="52"/>
      <c r="L229" s="52"/>
      <c r="M229" s="52"/>
      <c r="N229" s="18"/>
      <c r="O229" s="18"/>
      <c r="P229" s="18"/>
      <c r="Q229" s="34"/>
      <c r="R229" s="34"/>
      <c r="S229" s="63"/>
      <c r="T229" s="52"/>
      <c r="U229" s="48"/>
      <c r="V229" s="11" t="s">
        <v>769</v>
      </c>
      <c r="W229" s="11">
        <v>33070301902</v>
      </c>
      <c r="X229" s="11" t="s">
        <v>770</v>
      </c>
      <c r="Y229" s="12" t="s">
        <v>39</v>
      </c>
      <c r="Z229" s="12" t="s">
        <v>39</v>
      </c>
      <c r="AA229" s="14" t="s">
        <v>38</v>
      </c>
      <c r="AB229" s="12" t="s">
        <v>39</v>
      </c>
      <c r="AC229" s="18">
        <v>2500</v>
      </c>
      <c r="AD229" s="18">
        <v>2400</v>
      </c>
      <c r="AE229" s="18">
        <v>2040</v>
      </c>
      <c r="AF229" s="14" t="s">
        <v>40</v>
      </c>
    </row>
    <row r="230" s="22" customFormat="1" ht="25.5" spans="1:32">
      <c r="A230" s="34" t="s">
        <v>68</v>
      </c>
      <c r="B230" s="34" t="s">
        <v>771</v>
      </c>
      <c r="C230" s="34" t="s">
        <v>772</v>
      </c>
      <c r="D230" s="34" t="s">
        <v>297</v>
      </c>
      <c r="E230" s="48" t="s">
        <v>39</v>
      </c>
      <c r="F230" s="48" t="s">
        <v>39</v>
      </c>
      <c r="G230" s="34" t="s">
        <v>38</v>
      </c>
      <c r="H230" s="34" t="s">
        <v>39</v>
      </c>
      <c r="I230" s="15">
        <v>810</v>
      </c>
      <c r="J230" s="15">
        <v>729</v>
      </c>
      <c r="K230" s="52"/>
      <c r="L230" s="52"/>
      <c r="M230" s="52"/>
      <c r="N230" s="18">
        <v>735</v>
      </c>
      <c r="O230" s="18">
        <v>660</v>
      </c>
      <c r="P230" s="18">
        <v>570</v>
      </c>
      <c r="Q230" s="34" t="s">
        <v>40</v>
      </c>
      <c r="R230" s="34" t="s">
        <v>39</v>
      </c>
      <c r="S230" s="63" t="s">
        <v>39</v>
      </c>
      <c r="T230" s="52"/>
      <c r="U230" s="48" t="s">
        <v>71</v>
      </c>
      <c r="V230" s="34" t="s">
        <v>773</v>
      </c>
      <c r="W230" s="34">
        <v>33070301901</v>
      </c>
      <c r="X230" s="34" t="s">
        <v>774</v>
      </c>
      <c r="Y230" s="12" t="s">
        <v>39</v>
      </c>
      <c r="Z230" s="12" t="s">
        <v>39</v>
      </c>
      <c r="AA230" s="14" t="s">
        <v>38</v>
      </c>
      <c r="AB230" s="12" t="s">
        <v>39</v>
      </c>
      <c r="AC230" s="18">
        <v>2440</v>
      </c>
      <c r="AD230" s="18">
        <v>2340</v>
      </c>
      <c r="AE230" s="18">
        <v>1990</v>
      </c>
      <c r="AF230" s="14" t="s">
        <v>40</v>
      </c>
    </row>
    <row r="231" s="22" customFormat="1" ht="25.5" spans="1:32">
      <c r="A231" s="34"/>
      <c r="B231" s="34"/>
      <c r="C231" s="34"/>
      <c r="D231" s="34"/>
      <c r="E231" s="48"/>
      <c r="F231" s="48"/>
      <c r="G231" s="34"/>
      <c r="H231" s="34"/>
      <c r="I231" s="54"/>
      <c r="J231" s="54"/>
      <c r="K231" s="52"/>
      <c r="L231" s="52"/>
      <c r="M231" s="52"/>
      <c r="N231" s="18"/>
      <c r="O231" s="18"/>
      <c r="P231" s="18"/>
      <c r="Q231" s="34"/>
      <c r="R231" s="34"/>
      <c r="S231" s="63"/>
      <c r="T231" s="52"/>
      <c r="U231" s="48"/>
      <c r="V231" s="34" t="s">
        <v>775</v>
      </c>
      <c r="W231" s="34">
        <v>33070301903</v>
      </c>
      <c r="X231" s="34" t="s">
        <v>776</v>
      </c>
      <c r="Y231" s="12" t="s">
        <v>39</v>
      </c>
      <c r="Z231" s="12" t="s">
        <v>39</v>
      </c>
      <c r="AA231" s="14" t="s">
        <v>38</v>
      </c>
      <c r="AB231" s="12" t="s">
        <v>39</v>
      </c>
      <c r="AC231" s="18">
        <v>3065</v>
      </c>
      <c r="AD231" s="18">
        <v>2940</v>
      </c>
      <c r="AE231" s="18">
        <v>2500</v>
      </c>
      <c r="AF231" s="14" t="s">
        <v>40</v>
      </c>
    </row>
    <row r="232" s="22" customFormat="1" ht="25.5" spans="1:32">
      <c r="A232" s="34">
        <v>56</v>
      </c>
      <c r="B232" s="11" t="s">
        <v>777</v>
      </c>
      <c r="C232" s="34" t="s">
        <v>778</v>
      </c>
      <c r="D232" s="34" t="s">
        <v>297</v>
      </c>
      <c r="E232" s="48" t="s">
        <v>779</v>
      </c>
      <c r="F232" s="48" t="s">
        <v>780</v>
      </c>
      <c r="G232" s="34" t="s">
        <v>38</v>
      </c>
      <c r="H232" s="34" t="s">
        <v>39</v>
      </c>
      <c r="I232" s="15">
        <v>2000</v>
      </c>
      <c r="J232" s="15">
        <v>1800</v>
      </c>
      <c r="K232" s="53">
        <v>1181.03448275862</v>
      </c>
      <c r="L232" s="53">
        <v>1120</v>
      </c>
      <c r="M232" s="53"/>
      <c r="N232" s="58">
        <v>1800</v>
      </c>
      <c r="O232" s="58">
        <v>1620</v>
      </c>
      <c r="P232" s="58">
        <v>1380</v>
      </c>
      <c r="Q232" s="62" t="s">
        <v>40</v>
      </c>
      <c r="R232" s="62" t="s">
        <v>39</v>
      </c>
      <c r="S232" s="64" t="s">
        <v>39</v>
      </c>
      <c r="T232" s="53" t="s">
        <v>209</v>
      </c>
      <c r="U232" s="67" t="s">
        <v>613</v>
      </c>
      <c r="V232" s="11" t="s">
        <v>781</v>
      </c>
      <c r="W232" s="11">
        <v>330703023</v>
      </c>
      <c r="X232" s="11" t="s">
        <v>782</v>
      </c>
      <c r="Y232" s="12" t="s">
        <v>783</v>
      </c>
      <c r="Z232" s="12" t="s">
        <v>39</v>
      </c>
      <c r="AA232" s="14" t="s">
        <v>38</v>
      </c>
      <c r="AB232" s="12" t="s">
        <v>39</v>
      </c>
      <c r="AC232" s="18">
        <v>750</v>
      </c>
      <c r="AD232" s="18">
        <v>720</v>
      </c>
      <c r="AE232" s="18">
        <v>612</v>
      </c>
      <c r="AF232" s="14" t="s">
        <v>40</v>
      </c>
    </row>
    <row r="233" s="22" customFormat="1" ht="25.5" spans="1:32">
      <c r="A233" s="34"/>
      <c r="B233" s="11"/>
      <c r="C233" s="34"/>
      <c r="D233" s="34"/>
      <c r="E233" s="48"/>
      <c r="F233" s="48"/>
      <c r="G233" s="34"/>
      <c r="H233" s="34"/>
      <c r="I233" s="54"/>
      <c r="J233" s="54"/>
      <c r="K233" s="53"/>
      <c r="L233" s="53"/>
      <c r="M233" s="53"/>
      <c r="N233" s="58"/>
      <c r="O233" s="58"/>
      <c r="P233" s="58"/>
      <c r="Q233" s="62"/>
      <c r="R233" s="62"/>
      <c r="S233" s="64"/>
      <c r="T233" s="53"/>
      <c r="U233" s="67"/>
      <c r="V233" s="11" t="s">
        <v>784</v>
      </c>
      <c r="W233" s="11">
        <v>33070302302</v>
      </c>
      <c r="X233" s="11" t="s">
        <v>785</v>
      </c>
      <c r="Y233" s="12" t="s">
        <v>39</v>
      </c>
      <c r="Z233" s="12" t="s">
        <v>39</v>
      </c>
      <c r="AA233" s="14" t="s">
        <v>38</v>
      </c>
      <c r="AB233" s="12" t="s">
        <v>39</v>
      </c>
      <c r="AC233" s="18">
        <v>1375</v>
      </c>
      <c r="AD233" s="18">
        <v>1320</v>
      </c>
      <c r="AE233" s="18">
        <v>1122</v>
      </c>
      <c r="AF233" s="14" t="s">
        <v>40</v>
      </c>
    </row>
    <row r="234" s="22" customFormat="1" ht="25.5" spans="1:32">
      <c r="A234" s="34" t="s">
        <v>68</v>
      </c>
      <c r="B234" s="34" t="s">
        <v>786</v>
      </c>
      <c r="C234" s="34" t="s">
        <v>787</v>
      </c>
      <c r="D234" s="34" t="s">
        <v>297</v>
      </c>
      <c r="E234" s="48" t="s">
        <v>39</v>
      </c>
      <c r="F234" s="48" t="s">
        <v>39</v>
      </c>
      <c r="G234" s="34" t="s">
        <v>38</v>
      </c>
      <c r="H234" s="34" t="s">
        <v>39</v>
      </c>
      <c r="I234" s="15">
        <v>600</v>
      </c>
      <c r="J234" s="15">
        <v>540</v>
      </c>
      <c r="K234" s="52"/>
      <c r="L234" s="52"/>
      <c r="M234" s="52"/>
      <c r="N234" s="18">
        <v>540</v>
      </c>
      <c r="O234" s="18">
        <v>485</v>
      </c>
      <c r="P234" s="18">
        <v>415</v>
      </c>
      <c r="Q234" s="34" t="s">
        <v>40</v>
      </c>
      <c r="R234" s="34" t="s">
        <v>39</v>
      </c>
      <c r="S234" s="63" t="s">
        <v>39</v>
      </c>
      <c r="T234" s="52"/>
      <c r="U234" s="48" t="s">
        <v>71</v>
      </c>
      <c r="V234" s="11" t="s">
        <v>788</v>
      </c>
      <c r="W234" s="11">
        <v>33070302301</v>
      </c>
      <c r="X234" s="11" t="s">
        <v>789</v>
      </c>
      <c r="Y234" s="12" t="s">
        <v>39</v>
      </c>
      <c r="Z234" s="12" t="s">
        <v>39</v>
      </c>
      <c r="AA234" s="14" t="s">
        <v>38</v>
      </c>
      <c r="AB234" s="12" t="s">
        <v>39</v>
      </c>
      <c r="AC234" s="18">
        <v>975</v>
      </c>
      <c r="AD234" s="18">
        <v>935</v>
      </c>
      <c r="AE234" s="18">
        <v>795</v>
      </c>
      <c r="AF234" s="14" t="s">
        <v>40</v>
      </c>
    </row>
    <row r="235" s="22" customFormat="1" ht="25.5" spans="1:32">
      <c r="A235" s="34"/>
      <c r="B235" s="34"/>
      <c r="C235" s="34"/>
      <c r="D235" s="34"/>
      <c r="E235" s="48"/>
      <c r="F235" s="48"/>
      <c r="G235" s="34"/>
      <c r="H235" s="34"/>
      <c r="I235" s="54"/>
      <c r="J235" s="54"/>
      <c r="K235" s="52"/>
      <c r="L235" s="52"/>
      <c r="M235" s="52"/>
      <c r="N235" s="18"/>
      <c r="O235" s="18"/>
      <c r="P235" s="18"/>
      <c r="Q235" s="34"/>
      <c r="R235" s="34"/>
      <c r="S235" s="63"/>
      <c r="T235" s="52"/>
      <c r="U235" s="48"/>
      <c r="V235" s="11" t="s">
        <v>790</v>
      </c>
      <c r="W235" s="11">
        <v>33070302303</v>
      </c>
      <c r="X235" s="11" t="s">
        <v>791</v>
      </c>
      <c r="Y235" s="12" t="s">
        <v>39</v>
      </c>
      <c r="Z235" s="12" t="s">
        <v>39</v>
      </c>
      <c r="AA235" s="14" t="s">
        <v>38</v>
      </c>
      <c r="AB235" s="12" t="s">
        <v>39</v>
      </c>
      <c r="AC235" s="18">
        <v>1600</v>
      </c>
      <c r="AD235" s="18">
        <v>1535</v>
      </c>
      <c r="AE235" s="18">
        <v>1305</v>
      </c>
      <c r="AF235" s="14" t="s">
        <v>40</v>
      </c>
    </row>
    <row r="236" s="22" customFormat="1" ht="25.5" spans="1:32">
      <c r="A236" s="34">
        <v>57</v>
      </c>
      <c r="B236" s="11" t="s">
        <v>792</v>
      </c>
      <c r="C236" s="34" t="s">
        <v>793</v>
      </c>
      <c r="D236" s="11" t="s">
        <v>297</v>
      </c>
      <c r="E236" s="48" t="s">
        <v>794</v>
      </c>
      <c r="F236" s="48" t="s">
        <v>795</v>
      </c>
      <c r="G236" s="34" t="s">
        <v>38</v>
      </c>
      <c r="H236" s="34" t="s">
        <v>39</v>
      </c>
      <c r="I236" s="15">
        <v>2236</v>
      </c>
      <c r="J236" s="15">
        <v>2012</v>
      </c>
      <c r="K236" s="52"/>
      <c r="L236" s="52"/>
      <c r="M236" s="52"/>
      <c r="N236" s="18">
        <v>2000</v>
      </c>
      <c r="O236" s="18">
        <v>1800</v>
      </c>
      <c r="P236" s="18">
        <v>1550</v>
      </c>
      <c r="Q236" s="34" t="s">
        <v>40</v>
      </c>
      <c r="R236" s="34" t="s">
        <v>39</v>
      </c>
      <c r="S236" s="63" t="s">
        <v>39</v>
      </c>
      <c r="T236" s="52" t="s">
        <v>264</v>
      </c>
      <c r="U236" s="48" t="s">
        <v>399</v>
      </c>
      <c r="V236" s="34" t="s">
        <v>796</v>
      </c>
      <c r="W236" s="34">
        <v>330703016</v>
      </c>
      <c r="X236" s="34" t="s">
        <v>797</v>
      </c>
      <c r="Y236" s="12" t="s">
        <v>39</v>
      </c>
      <c r="Z236" s="12" t="s">
        <v>39</v>
      </c>
      <c r="AA236" s="14" t="s">
        <v>38</v>
      </c>
      <c r="AB236" s="12" t="s">
        <v>39</v>
      </c>
      <c r="AC236" s="18">
        <v>1625</v>
      </c>
      <c r="AD236" s="18">
        <v>1560</v>
      </c>
      <c r="AE236" s="18">
        <v>1326</v>
      </c>
      <c r="AF236" s="14" t="s">
        <v>40</v>
      </c>
    </row>
    <row r="237" s="22" customFormat="1" ht="38.25" spans="1:32">
      <c r="A237" s="34"/>
      <c r="B237" s="11"/>
      <c r="C237" s="34"/>
      <c r="D237" s="11"/>
      <c r="E237" s="48"/>
      <c r="F237" s="48"/>
      <c r="G237" s="34"/>
      <c r="H237" s="34"/>
      <c r="I237" s="54"/>
      <c r="J237" s="54"/>
      <c r="K237" s="52"/>
      <c r="L237" s="52"/>
      <c r="M237" s="52"/>
      <c r="N237" s="18"/>
      <c r="O237" s="18"/>
      <c r="P237" s="18"/>
      <c r="Q237" s="34"/>
      <c r="R237" s="34"/>
      <c r="S237" s="63"/>
      <c r="T237" s="52"/>
      <c r="U237" s="48"/>
      <c r="V237" s="34" t="s">
        <v>798</v>
      </c>
      <c r="W237" s="34">
        <v>330702001</v>
      </c>
      <c r="X237" s="34" t="s">
        <v>799</v>
      </c>
      <c r="Y237" s="12" t="s">
        <v>39</v>
      </c>
      <c r="Z237" s="12" t="s">
        <v>39</v>
      </c>
      <c r="AA237" s="14" t="s">
        <v>38</v>
      </c>
      <c r="AB237" s="12" t="s">
        <v>800</v>
      </c>
      <c r="AC237" s="18">
        <v>2700</v>
      </c>
      <c r="AD237" s="18">
        <v>2430</v>
      </c>
      <c r="AE237" s="18">
        <v>2070</v>
      </c>
      <c r="AF237" s="14" t="s">
        <v>40</v>
      </c>
    </row>
    <row r="238" s="22" customFormat="1" ht="25.5" spans="1:32">
      <c r="A238" s="34"/>
      <c r="B238" s="11"/>
      <c r="C238" s="34"/>
      <c r="D238" s="11"/>
      <c r="E238" s="48"/>
      <c r="F238" s="48"/>
      <c r="G238" s="34"/>
      <c r="H238" s="34"/>
      <c r="I238" s="54"/>
      <c r="J238" s="54"/>
      <c r="K238" s="52"/>
      <c r="L238" s="52"/>
      <c r="M238" s="52"/>
      <c r="N238" s="18"/>
      <c r="O238" s="18"/>
      <c r="P238" s="18"/>
      <c r="Q238" s="34"/>
      <c r="R238" s="34"/>
      <c r="S238" s="63"/>
      <c r="T238" s="52"/>
      <c r="U238" s="48"/>
      <c r="V238" s="11" t="s">
        <v>801</v>
      </c>
      <c r="W238" s="11">
        <v>33070200101</v>
      </c>
      <c r="X238" s="11" t="s">
        <v>802</v>
      </c>
      <c r="Y238" s="12" t="s">
        <v>39</v>
      </c>
      <c r="Z238" s="12" t="s">
        <v>39</v>
      </c>
      <c r="AA238" s="14" t="s">
        <v>38</v>
      </c>
      <c r="AB238" s="12" t="s">
        <v>803</v>
      </c>
      <c r="AC238" s="18">
        <v>3460</v>
      </c>
      <c r="AD238" s="18">
        <v>3110</v>
      </c>
      <c r="AE238" s="18">
        <v>2640</v>
      </c>
      <c r="AF238" s="14" t="s">
        <v>40</v>
      </c>
    </row>
    <row r="239" s="22" customFormat="1" ht="25.5" spans="1:32">
      <c r="A239" s="34"/>
      <c r="B239" s="11"/>
      <c r="C239" s="34"/>
      <c r="D239" s="11"/>
      <c r="E239" s="48"/>
      <c r="F239" s="48"/>
      <c r="G239" s="34"/>
      <c r="H239" s="34"/>
      <c r="I239" s="54"/>
      <c r="J239" s="54"/>
      <c r="K239" s="52"/>
      <c r="L239" s="52"/>
      <c r="M239" s="52"/>
      <c r="N239" s="18"/>
      <c r="O239" s="18"/>
      <c r="P239" s="18"/>
      <c r="Q239" s="34"/>
      <c r="R239" s="34"/>
      <c r="S239" s="63"/>
      <c r="T239" s="52"/>
      <c r="U239" s="48"/>
      <c r="V239" s="11" t="s">
        <v>804</v>
      </c>
      <c r="W239" s="11">
        <v>33070301602</v>
      </c>
      <c r="X239" s="11" t="s">
        <v>805</v>
      </c>
      <c r="Y239" s="12" t="s">
        <v>39</v>
      </c>
      <c r="Z239" s="12" t="s">
        <v>39</v>
      </c>
      <c r="AA239" s="14" t="s">
        <v>38</v>
      </c>
      <c r="AB239" s="12" t="s">
        <v>39</v>
      </c>
      <c r="AC239" s="18">
        <v>2250</v>
      </c>
      <c r="AD239" s="18">
        <v>2160</v>
      </c>
      <c r="AE239" s="18">
        <v>1836</v>
      </c>
      <c r="AF239" s="14" t="s">
        <v>40</v>
      </c>
    </row>
    <row r="240" s="22" customFormat="1" ht="25.5" spans="1:32">
      <c r="A240" s="34"/>
      <c r="B240" s="11"/>
      <c r="C240" s="34"/>
      <c r="D240" s="11"/>
      <c r="E240" s="48"/>
      <c r="F240" s="48"/>
      <c r="G240" s="34"/>
      <c r="H240" s="34"/>
      <c r="I240" s="54"/>
      <c r="J240" s="54"/>
      <c r="K240" s="52"/>
      <c r="L240" s="52"/>
      <c r="M240" s="52"/>
      <c r="N240" s="18"/>
      <c r="O240" s="18"/>
      <c r="P240" s="18"/>
      <c r="Q240" s="34"/>
      <c r="R240" s="34"/>
      <c r="S240" s="63"/>
      <c r="T240" s="52"/>
      <c r="U240" s="48"/>
      <c r="V240" s="34" t="s">
        <v>806</v>
      </c>
      <c r="W240" s="34">
        <v>33070200104</v>
      </c>
      <c r="X240" s="34" t="s">
        <v>807</v>
      </c>
      <c r="Y240" s="12" t="s">
        <v>39</v>
      </c>
      <c r="Z240" s="12" t="s">
        <v>39</v>
      </c>
      <c r="AA240" s="14" t="s">
        <v>38</v>
      </c>
      <c r="AB240" s="12" t="s">
        <v>39</v>
      </c>
      <c r="AC240" s="18">
        <v>3325</v>
      </c>
      <c r="AD240" s="18">
        <v>3030</v>
      </c>
      <c r="AE240" s="18">
        <v>2580</v>
      </c>
      <c r="AF240" s="14" t="s">
        <v>40</v>
      </c>
    </row>
    <row r="241" s="22" customFormat="1" ht="25.5" spans="1:32">
      <c r="A241" s="34"/>
      <c r="B241" s="11"/>
      <c r="C241" s="34"/>
      <c r="D241" s="11"/>
      <c r="E241" s="48"/>
      <c r="F241" s="48"/>
      <c r="G241" s="34"/>
      <c r="H241" s="34"/>
      <c r="I241" s="54"/>
      <c r="J241" s="54"/>
      <c r="K241" s="52"/>
      <c r="L241" s="52"/>
      <c r="M241" s="52"/>
      <c r="N241" s="18"/>
      <c r="O241" s="18"/>
      <c r="P241" s="18"/>
      <c r="Q241" s="34"/>
      <c r="R241" s="34"/>
      <c r="S241" s="63"/>
      <c r="T241" s="52"/>
      <c r="U241" s="48"/>
      <c r="V241" s="11" t="s">
        <v>808</v>
      </c>
      <c r="W241" s="11">
        <v>33070200105</v>
      </c>
      <c r="X241" s="11" t="s">
        <v>809</v>
      </c>
      <c r="Y241" s="12" t="s">
        <v>39</v>
      </c>
      <c r="Z241" s="12" t="s">
        <v>39</v>
      </c>
      <c r="AA241" s="14" t="s">
        <v>38</v>
      </c>
      <c r="AB241" s="12" t="s">
        <v>803</v>
      </c>
      <c r="AC241" s="18">
        <v>4085</v>
      </c>
      <c r="AD241" s="18">
        <v>3710</v>
      </c>
      <c r="AE241" s="18">
        <v>3150</v>
      </c>
      <c r="AF241" s="14" t="s">
        <v>40</v>
      </c>
    </row>
    <row r="242" s="22" customFormat="1" ht="25.5" spans="1:32">
      <c r="A242" s="34" t="s">
        <v>68</v>
      </c>
      <c r="B242" s="34" t="s">
        <v>810</v>
      </c>
      <c r="C242" s="34" t="s">
        <v>811</v>
      </c>
      <c r="D242" s="34" t="s">
        <v>297</v>
      </c>
      <c r="E242" s="48" t="s">
        <v>39</v>
      </c>
      <c r="F242" s="48" t="s">
        <v>39</v>
      </c>
      <c r="G242" s="34" t="s">
        <v>38</v>
      </c>
      <c r="H242" s="34" t="s">
        <v>39</v>
      </c>
      <c r="I242" s="15">
        <v>671</v>
      </c>
      <c r="J242" s="15">
        <v>604</v>
      </c>
      <c r="K242" s="52"/>
      <c r="L242" s="52"/>
      <c r="M242" s="52"/>
      <c r="N242" s="18">
        <v>600</v>
      </c>
      <c r="O242" s="18">
        <v>540</v>
      </c>
      <c r="P242" s="18">
        <v>465</v>
      </c>
      <c r="Q242" s="34" t="s">
        <v>40</v>
      </c>
      <c r="R242" s="34" t="s">
        <v>39</v>
      </c>
      <c r="S242" s="63" t="s">
        <v>39</v>
      </c>
      <c r="T242" s="52"/>
      <c r="U242" s="48" t="s">
        <v>71</v>
      </c>
      <c r="V242" s="11" t="s">
        <v>812</v>
      </c>
      <c r="W242" s="11">
        <v>33070301601</v>
      </c>
      <c r="X242" s="11" t="s">
        <v>813</v>
      </c>
      <c r="Y242" s="12" t="s">
        <v>39</v>
      </c>
      <c r="Z242" s="12" t="s">
        <v>39</v>
      </c>
      <c r="AA242" s="14" t="s">
        <v>38</v>
      </c>
      <c r="AB242" s="12" t="s">
        <v>39</v>
      </c>
      <c r="AC242" s="18">
        <v>2115</v>
      </c>
      <c r="AD242" s="18">
        <v>2030</v>
      </c>
      <c r="AE242" s="18">
        <v>1725</v>
      </c>
      <c r="AF242" s="14" t="s">
        <v>40</v>
      </c>
    </row>
    <row r="243" s="22" customFormat="1" ht="25.5" spans="1:32">
      <c r="A243" s="34"/>
      <c r="B243" s="34"/>
      <c r="C243" s="34"/>
      <c r="D243" s="34"/>
      <c r="E243" s="48"/>
      <c r="F243" s="48"/>
      <c r="G243" s="34"/>
      <c r="H243" s="34"/>
      <c r="I243" s="54"/>
      <c r="J243" s="54"/>
      <c r="K243" s="52"/>
      <c r="L243" s="52"/>
      <c r="M243" s="52"/>
      <c r="N243" s="18"/>
      <c r="O243" s="18"/>
      <c r="P243" s="18"/>
      <c r="Q243" s="34"/>
      <c r="R243" s="34"/>
      <c r="S243" s="63"/>
      <c r="T243" s="52"/>
      <c r="U243" s="48"/>
      <c r="V243" s="11" t="s">
        <v>814</v>
      </c>
      <c r="W243" s="11">
        <v>33070200102</v>
      </c>
      <c r="X243" s="11" t="s">
        <v>815</v>
      </c>
      <c r="Y243" s="12" t="s">
        <v>39</v>
      </c>
      <c r="Z243" s="12" t="s">
        <v>39</v>
      </c>
      <c r="AA243" s="14" t="s">
        <v>38</v>
      </c>
      <c r="AB243" s="12" t="s">
        <v>39</v>
      </c>
      <c r="AC243" s="18">
        <v>3510</v>
      </c>
      <c r="AD243" s="18">
        <v>3160</v>
      </c>
      <c r="AE243" s="18">
        <v>2685</v>
      </c>
      <c r="AF243" s="14" t="s">
        <v>40</v>
      </c>
    </row>
    <row r="244" s="22" customFormat="1" ht="25.5" spans="1:32">
      <c r="A244" s="34"/>
      <c r="B244" s="34"/>
      <c r="C244" s="34"/>
      <c r="D244" s="34"/>
      <c r="E244" s="48"/>
      <c r="F244" s="48"/>
      <c r="G244" s="34"/>
      <c r="H244" s="34"/>
      <c r="I244" s="54"/>
      <c r="J244" s="54"/>
      <c r="K244" s="52"/>
      <c r="L244" s="52"/>
      <c r="M244" s="52"/>
      <c r="N244" s="18"/>
      <c r="O244" s="18"/>
      <c r="P244" s="18"/>
      <c r="Q244" s="34"/>
      <c r="R244" s="34"/>
      <c r="S244" s="63"/>
      <c r="T244" s="52"/>
      <c r="U244" s="48"/>
      <c r="V244" s="11" t="s">
        <v>816</v>
      </c>
      <c r="W244" s="11">
        <v>33070200103</v>
      </c>
      <c r="X244" s="11" t="s">
        <v>817</v>
      </c>
      <c r="Y244" s="12" t="s">
        <v>39</v>
      </c>
      <c r="Z244" s="12" t="s">
        <v>39</v>
      </c>
      <c r="AA244" s="14" t="s">
        <v>38</v>
      </c>
      <c r="AB244" s="12" t="s">
        <v>803</v>
      </c>
      <c r="AC244" s="18">
        <v>4500</v>
      </c>
      <c r="AD244" s="18">
        <v>4045</v>
      </c>
      <c r="AE244" s="18">
        <v>3440</v>
      </c>
      <c r="AF244" s="14" t="s">
        <v>40</v>
      </c>
    </row>
    <row r="245" s="22" customFormat="1" ht="25.5" spans="1:32">
      <c r="A245" s="34"/>
      <c r="B245" s="34"/>
      <c r="C245" s="34"/>
      <c r="D245" s="34"/>
      <c r="E245" s="48"/>
      <c r="F245" s="48"/>
      <c r="G245" s="34"/>
      <c r="H245" s="34"/>
      <c r="I245" s="54"/>
      <c r="J245" s="54"/>
      <c r="K245" s="52"/>
      <c r="L245" s="52"/>
      <c r="M245" s="52"/>
      <c r="N245" s="18"/>
      <c r="O245" s="18"/>
      <c r="P245" s="18"/>
      <c r="Q245" s="34"/>
      <c r="R245" s="34"/>
      <c r="S245" s="63"/>
      <c r="T245" s="52"/>
      <c r="U245" s="48"/>
      <c r="V245" s="11" t="s">
        <v>818</v>
      </c>
      <c r="W245" s="11">
        <v>33070301603</v>
      </c>
      <c r="X245" s="11" t="s">
        <v>819</v>
      </c>
      <c r="Y245" s="12" t="s">
        <v>39</v>
      </c>
      <c r="Z245" s="12" t="s">
        <v>39</v>
      </c>
      <c r="AA245" s="14" t="s">
        <v>38</v>
      </c>
      <c r="AB245" s="12" t="s">
        <v>39</v>
      </c>
      <c r="AC245" s="18">
        <v>2740</v>
      </c>
      <c r="AD245" s="18">
        <v>2630</v>
      </c>
      <c r="AE245" s="18">
        <v>2235</v>
      </c>
      <c r="AF245" s="14" t="s">
        <v>40</v>
      </c>
    </row>
    <row r="246" s="22" customFormat="1" ht="25.5" spans="1:32">
      <c r="A246" s="34"/>
      <c r="B246" s="34"/>
      <c r="C246" s="34"/>
      <c r="D246" s="34"/>
      <c r="E246" s="48"/>
      <c r="F246" s="48"/>
      <c r="G246" s="34"/>
      <c r="H246" s="34"/>
      <c r="I246" s="54"/>
      <c r="J246" s="54"/>
      <c r="K246" s="52"/>
      <c r="L246" s="52"/>
      <c r="M246" s="52"/>
      <c r="N246" s="18"/>
      <c r="O246" s="18"/>
      <c r="P246" s="18"/>
      <c r="Q246" s="34"/>
      <c r="R246" s="34"/>
      <c r="S246" s="63"/>
      <c r="T246" s="52"/>
      <c r="U246" s="48"/>
      <c r="V246" s="11" t="s">
        <v>820</v>
      </c>
      <c r="W246" s="11">
        <v>33070200106</v>
      </c>
      <c r="X246" s="11" t="s">
        <v>821</v>
      </c>
      <c r="Y246" s="12" t="s">
        <v>39</v>
      </c>
      <c r="Z246" s="12" t="s">
        <v>39</v>
      </c>
      <c r="AA246" s="14" t="s">
        <v>38</v>
      </c>
      <c r="AB246" s="12" t="s">
        <v>39</v>
      </c>
      <c r="AC246" s="18">
        <v>4135</v>
      </c>
      <c r="AD246" s="18">
        <v>3760</v>
      </c>
      <c r="AE246" s="18">
        <v>3195</v>
      </c>
      <c r="AF246" s="14" t="s">
        <v>40</v>
      </c>
    </row>
    <row r="247" s="22" customFormat="1" ht="25.5" spans="1:32">
      <c r="A247" s="34"/>
      <c r="B247" s="34"/>
      <c r="C247" s="34"/>
      <c r="D247" s="34"/>
      <c r="E247" s="48"/>
      <c r="F247" s="48"/>
      <c r="G247" s="34"/>
      <c r="H247" s="34"/>
      <c r="I247" s="54"/>
      <c r="J247" s="54"/>
      <c r="K247" s="52"/>
      <c r="L247" s="52"/>
      <c r="M247" s="52"/>
      <c r="N247" s="18"/>
      <c r="O247" s="18"/>
      <c r="P247" s="18"/>
      <c r="Q247" s="34"/>
      <c r="R247" s="34"/>
      <c r="S247" s="63"/>
      <c r="T247" s="52"/>
      <c r="U247" s="48"/>
      <c r="V247" s="11" t="s">
        <v>822</v>
      </c>
      <c r="W247" s="11">
        <v>33070200107</v>
      </c>
      <c r="X247" s="11" t="s">
        <v>823</v>
      </c>
      <c r="Y247" s="12" t="s">
        <v>39</v>
      </c>
      <c r="Z247" s="12" t="s">
        <v>39</v>
      </c>
      <c r="AA247" s="14" t="s">
        <v>38</v>
      </c>
      <c r="AB247" s="12" t="s">
        <v>803</v>
      </c>
      <c r="AC247" s="18">
        <v>5125</v>
      </c>
      <c r="AD247" s="18">
        <v>4645</v>
      </c>
      <c r="AE247" s="18">
        <v>3950</v>
      </c>
      <c r="AF247" s="14" t="s">
        <v>40</v>
      </c>
    </row>
    <row r="248" s="22" customFormat="1" ht="38.25" spans="1:32">
      <c r="A248" s="34">
        <v>58</v>
      </c>
      <c r="B248" s="11" t="s">
        <v>824</v>
      </c>
      <c r="C248" s="34" t="s">
        <v>825</v>
      </c>
      <c r="D248" s="11" t="s">
        <v>297</v>
      </c>
      <c r="E248" s="48" t="s">
        <v>826</v>
      </c>
      <c r="F248" s="48" t="s">
        <v>398</v>
      </c>
      <c r="G248" s="34" t="s">
        <v>38</v>
      </c>
      <c r="H248" s="34" t="s">
        <v>39</v>
      </c>
      <c r="I248" s="15">
        <v>4000</v>
      </c>
      <c r="J248" s="15">
        <v>3600</v>
      </c>
      <c r="K248" s="53">
        <v>3049.52934662237</v>
      </c>
      <c r="L248" s="53">
        <v>2953.07692307692</v>
      </c>
      <c r="M248" s="53">
        <v>2580</v>
      </c>
      <c r="N248" s="18">
        <v>3600</v>
      </c>
      <c r="O248" s="18">
        <v>3250</v>
      </c>
      <c r="P248" s="18">
        <v>2760</v>
      </c>
      <c r="Q248" s="34" t="s">
        <v>40</v>
      </c>
      <c r="R248" s="34" t="s">
        <v>39</v>
      </c>
      <c r="S248" s="63" t="s">
        <v>39</v>
      </c>
      <c r="T248" s="53" t="s">
        <v>209</v>
      </c>
      <c r="U248" s="48" t="s">
        <v>613</v>
      </c>
      <c r="V248" s="34" t="s">
        <v>827</v>
      </c>
      <c r="W248" s="34">
        <v>330703026</v>
      </c>
      <c r="X248" s="34" t="s">
        <v>828</v>
      </c>
      <c r="Y248" s="12" t="s">
        <v>829</v>
      </c>
      <c r="Z248" s="12" t="s">
        <v>830</v>
      </c>
      <c r="AA248" s="14" t="s">
        <v>38</v>
      </c>
      <c r="AB248" s="12" t="s">
        <v>39</v>
      </c>
      <c r="AC248" s="18">
        <v>2700</v>
      </c>
      <c r="AD248" s="18">
        <v>2430</v>
      </c>
      <c r="AE248" s="18">
        <v>2070</v>
      </c>
      <c r="AF248" s="14" t="s">
        <v>40</v>
      </c>
    </row>
    <row r="249" s="22" customFormat="1" ht="25.5" spans="1:32">
      <c r="A249" s="34"/>
      <c r="B249" s="11"/>
      <c r="C249" s="34"/>
      <c r="D249" s="11"/>
      <c r="E249" s="48"/>
      <c r="F249" s="48"/>
      <c r="G249" s="34"/>
      <c r="H249" s="34"/>
      <c r="I249" s="54"/>
      <c r="J249" s="54"/>
      <c r="K249" s="53"/>
      <c r="L249" s="53"/>
      <c r="M249" s="53"/>
      <c r="N249" s="18"/>
      <c r="O249" s="18"/>
      <c r="P249" s="18"/>
      <c r="Q249" s="34"/>
      <c r="R249" s="34"/>
      <c r="S249" s="63"/>
      <c r="T249" s="53"/>
      <c r="U249" s="48"/>
      <c r="V249" s="11" t="s">
        <v>831</v>
      </c>
      <c r="W249" s="11">
        <v>33070302602</v>
      </c>
      <c r="X249" s="11" t="s">
        <v>832</v>
      </c>
      <c r="Y249" s="12" t="s">
        <v>39</v>
      </c>
      <c r="Z249" s="12" t="s">
        <v>39</v>
      </c>
      <c r="AA249" s="14" t="s">
        <v>38</v>
      </c>
      <c r="AB249" s="12" t="s">
        <v>39</v>
      </c>
      <c r="AC249" s="18">
        <v>3325</v>
      </c>
      <c r="AD249" s="18">
        <v>3030</v>
      </c>
      <c r="AE249" s="18">
        <v>2580</v>
      </c>
      <c r="AF249" s="14" t="s">
        <v>40</v>
      </c>
    </row>
    <row r="250" s="22" customFormat="1" ht="25.5" spans="1:32">
      <c r="A250" s="34" t="s">
        <v>68</v>
      </c>
      <c r="B250" s="34" t="s">
        <v>833</v>
      </c>
      <c r="C250" s="34" t="s">
        <v>834</v>
      </c>
      <c r="D250" s="34" t="s">
        <v>297</v>
      </c>
      <c r="E250" s="48" t="s">
        <v>39</v>
      </c>
      <c r="F250" s="48" t="s">
        <v>39</v>
      </c>
      <c r="G250" s="34" t="s">
        <v>38</v>
      </c>
      <c r="H250" s="34" t="s">
        <v>39</v>
      </c>
      <c r="I250" s="15">
        <v>1200</v>
      </c>
      <c r="J250" s="15">
        <v>1080</v>
      </c>
      <c r="K250" s="52"/>
      <c r="L250" s="52"/>
      <c r="M250" s="52"/>
      <c r="N250" s="18">
        <v>1080</v>
      </c>
      <c r="O250" s="18">
        <v>975</v>
      </c>
      <c r="P250" s="18">
        <v>830</v>
      </c>
      <c r="Q250" s="34" t="s">
        <v>40</v>
      </c>
      <c r="R250" s="34" t="s">
        <v>39</v>
      </c>
      <c r="S250" s="63" t="s">
        <v>39</v>
      </c>
      <c r="T250" s="52"/>
      <c r="U250" s="48" t="s">
        <v>71</v>
      </c>
      <c r="V250" s="34" t="s">
        <v>835</v>
      </c>
      <c r="W250" s="34">
        <v>33070302601</v>
      </c>
      <c r="X250" s="34" t="s">
        <v>836</v>
      </c>
      <c r="Y250" s="12" t="s">
        <v>39</v>
      </c>
      <c r="Z250" s="12" t="s">
        <v>39</v>
      </c>
      <c r="AA250" s="14" t="s">
        <v>38</v>
      </c>
      <c r="AB250" s="12" t="s">
        <v>39</v>
      </c>
      <c r="AC250" s="18">
        <v>3510</v>
      </c>
      <c r="AD250" s="18">
        <v>3160</v>
      </c>
      <c r="AE250" s="18">
        <v>2685</v>
      </c>
      <c r="AF250" s="14" t="s">
        <v>40</v>
      </c>
    </row>
    <row r="251" s="22" customFormat="1" ht="25.5" spans="1:32">
      <c r="A251" s="34"/>
      <c r="B251" s="34"/>
      <c r="C251" s="34"/>
      <c r="D251" s="34"/>
      <c r="E251" s="48"/>
      <c r="F251" s="48"/>
      <c r="G251" s="34"/>
      <c r="H251" s="34"/>
      <c r="I251" s="54"/>
      <c r="J251" s="54"/>
      <c r="K251" s="52"/>
      <c r="L251" s="52"/>
      <c r="M251" s="52"/>
      <c r="N251" s="18"/>
      <c r="O251" s="18"/>
      <c r="P251" s="18"/>
      <c r="Q251" s="34"/>
      <c r="R251" s="34"/>
      <c r="S251" s="63"/>
      <c r="T251" s="52"/>
      <c r="U251" s="48"/>
      <c r="V251" s="34" t="s">
        <v>837</v>
      </c>
      <c r="W251" s="34">
        <v>33070302603</v>
      </c>
      <c r="X251" s="34" t="s">
        <v>838</v>
      </c>
      <c r="Y251" s="12" t="s">
        <v>39</v>
      </c>
      <c r="Z251" s="12" t="s">
        <v>39</v>
      </c>
      <c r="AA251" s="14" t="s">
        <v>38</v>
      </c>
      <c r="AB251" s="12" t="s">
        <v>39</v>
      </c>
      <c r="AC251" s="18">
        <v>4135</v>
      </c>
      <c r="AD251" s="18">
        <v>3760</v>
      </c>
      <c r="AE251" s="18">
        <v>3195</v>
      </c>
      <c r="AF251" s="14" t="s">
        <v>40</v>
      </c>
    </row>
    <row r="252" s="22" customFormat="1" ht="60" customHeight="1" spans="1:32">
      <c r="A252" s="34" t="s">
        <v>839</v>
      </c>
      <c r="B252" s="11" t="s">
        <v>840</v>
      </c>
      <c r="C252" s="34" t="s">
        <v>841</v>
      </c>
      <c r="D252" s="34" t="s">
        <v>297</v>
      </c>
      <c r="E252" s="48" t="s">
        <v>842</v>
      </c>
      <c r="F252" s="48" t="s">
        <v>398</v>
      </c>
      <c r="G252" s="34" t="s">
        <v>38</v>
      </c>
      <c r="H252" s="34" t="s">
        <v>843</v>
      </c>
      <c r="I252" s="15">
        <v>4600</v>
      </c>
      <c r="J252" s="15">
        <v>4140</v>
      </c>
      <c r="K252" s="52"/>
      <c r="L252" s="52"/>
      <c r="M252" s="52"/>
      <c r="N252" s="18">
        <v>4150</v>
      </c>
      <c r="O252" s="18">
        <v>3750</v>
      </c>
      <c r="P252" s="18">
        <v>3200</v>
      </c>
      <c r="Q252" s="34" t="s">
        <v>40</v>
      </c>
      <c r="R252" s="34" t="s">
        <v>39</v>
      </c>
      <c r="S252" s="63" t="s">
        <v>39</v>
      </c>
      <c r="T252" s="52"/>
      <c r="U252" s="48" t="s">
        <v>693</v>
      </c>
      <c r="V252" s="34"/>
      <c r="W252" s="34"/>
      <c r="X252" s="34"/>
      <c r="Y252" s="12" t="s">
        <v>829</v>
      </c>
      <c r="Z252" s="12" t="s">
        <v>830</v>
      </c>
      <c r="AA252" s="14"/>
      <c r="AB252" s="12" t="s">
        <v>39</v>
      </c>
      <c r="AC252" s="11"/>
      <c r="AD252" s="11"/>
      <c r="AE252" s="11"/>
      <c r="AF252" s="14"/>
    </row>
    <row r="253" s="22" customFormat="1" ht="32" customHeight="1" spans="1:32">
      <c r="A253" s="34" t="s">
        <v>68</v>
      </c>
      <c r="B253" s="11" t="s">
        <v>844</v>
      </c>
      <c r="C253" s="34" t="s">
        <v>845</v>
      </c>
      <c r="D253" s="38" t="s">
        <v>297</v>
      </c>
      <c r="E253" s="48" t="s">
        <v>39</v>
      </c>
      <c r="F253" s="48" t="s">
        <v>39</v>
      </c>
      <c r="G253" s="34" t="s">
        <v>38</v>
      </c>
      <c r="H253" s="34" t="s">
        <v>39</v>
      </c>
      <c r="I253" s="15">
        <v>1380</v>
      </c>
      <c r="J253" s="15">
        <v>1242</v>
      </c>
      <c r="K253" s="52"/>
      <c r="L253" s="52"/>
      <c r="M253" s="52"/>
      <c r="N253" s="18">
        <v>1245</v>
      </c>
      <c r="O253" s="18">
        <v>1125</v>
      </c>
      <c r="P253" s="18">
        <v>960</v>
      </c>
      <c r="Q253" s="34" t="s">
        <v>40</v>
      </c>
      <c r="R253" s="34" t="s">
        <v>39</v>
      </c>
      <c r="S253" s="63" t="s">
        <v>39</v>
      </c>
      <c r="T253" s="52"/>
      <c r="U253" s="48" t="s">
        <v>71</v>
      </c>
      <c r="V253" s="11"/>
      <c r="W253" s="11"/>
      <c r="X253" s="11"/>
      <c r="Y253" s="12" t="s">
        <v>39</v>
      </c>
      <c r="Z253" s="12" t="s">
        <v>39</v>
      </c>
      <c r="AA253" s="14"/>
      <c r="AB253" s="12" t="s">
        <v>39</v>
      </c>
      <c r="AC253" s="11"/>
      <c r="AD253" s="11"/>
      <c r="AE253" s="11"/>
      <c r="AF253" s="14"/>
    </row>
    <row r="254" s="22" customFormat="1" ht="25.5" spans="1:32">
      <c r="A254" s="34">
        <v>60</v>
      </c>
      <c r="B254" s="11" t="s">
        <v>846</v>
      </c>
      <c r="C254" s="34" t="s">
        <v>847</v>
      </c>
      <c r="D254" s="34" t="s">
        <v>297</v>
      </c>
      <c r="E254" s="48" t="s">
        <v>848</v>
      </c>
      <c r="F254" s="48" t="s">
        <v>849</v>
      </c>
      <c r="G254" s="34" t="s">
        <v>38</v>
      </c>
      <c r="H254" s="34" t="s">
        <v>39</v>
      </c>
      <c r="I254" s="15">
        <v>1100</v>
      </c>
      <c r="J254" s="15">
        <v>990</v>
      </c>
      <c r="K254" s="52"/>
      <c r="L254" s="52"/>
      <c r="M254" s="52"/>
      <c r="N254" s="18">
        <v>1000</v>
      </c>
      <c r="O254" s="18">
        <v>900</v>
      </c>
      <c r="P254" s="18">
        <v>765</v>
      </c>
      <c r="Q254" s="34" t="s">
        <v>40</v>
      </c>
      <c r="R254" s="34" t="s">
        <v>39</v>
      </c>
      <c r="S254" s="63" t="s">
        <v>39</v>
      </c>
      <c r="T254" s="52" t="s">
        <v>264</v>
      </c>
      <c r="U254" s="48" t="s">
        <v>399</v>
      </c>
      <c r="V254" s="34" t="s">
        <v>850</v>
      </c>
      <c r="W254" s="34">
        <v>330703027</v>
      </c>
      <c r="X254" s="34" t="s">
        <v>851</v>
      </c>
      <c r="Y254" s="12" t="s">
        <v>852</v>
      </c>
      <c r="Z254" s="12" t="s">
        <v>39</v>
      </c>
      <c r="AA254" s="14" t="s">
        <v>38</v>
      </c>
      <c r="AB254" s="12" t="s">
        <v>39</v>
      </c>
      <c r="AC254" s="18">
        <v>625</v>
      </c>
      <c r="AD254" s="18">
        <v>600</v>
      </c>
      <c r="AE254" s="18">
        <v>510</v>
      </c>
      <c r="AF254" s="14" t="s">
        <v>40</v>
      </c>
    </row>
    <row r="255" s="22" customFormat="1" ht="25.5" spans="1:32">
      <c r="A255" s="34"/>
      <c r="B255" s="11"/>
      <c r="C255" s="34"/>
      <c r="D255" s="34"/>
      <c r="E255" s="48"/>
      <c r="F255" s="48"/>
      <c r="G255" s="34"/>
      <c r="H255" s="34"/>
      <c r="I255" s="54"/>
      <c r="J255" s="54"/>
      <c r="K255" s="52"/>
      <c r="L255" s="52"/>
      <c r="M255" s="52"/>
      <c r="N255" s="18"/>
      <c r="O255" s="18"/>
      <c r="P255" s="18"/>
      <c r="Q255" s="34"/>
      <c r="R255" s="34"/>
      <c r="S255" s="63"/>
      <c r="T255" s="52"/>
      <c r="U255" s="48"/>
      <c r="V255" s="11" t="s">
        <v>853</v>
      </c>
      <c r="W255" s="11">
        <v>33070302702</v>
      </c>
      <c r="X255" s="11" t="s">
        <v>854</v>
      </c>
      <c r="Y255" s="12" t="s">
        <v>39</v>
      </c>
      <c r="Z255" s="12" t="s">
        <v>39</v>
      </c>
      <c r="AA255" s="14" t="s">
        <v>38</v>
      </c>
      <c r="AB255" s="12" t="s">
        <v>39</v>
      </c>
      <c r="AC255" s="18">
        <v>1250</v>
      </c>
      <c r="AD255" s="18">
        <v>1200</v>
      </c>
      <c r="AE255" s="18">
        <v>1020</v>
      </c>
      <c r="AF255" s="14" t="s">
        <v>40</v>
      </c>
    </row>
    <row r="256" s="22" customFormat="1" ht="25.5" spans="1:32">
      <c r="A256" s="34" t="s">
        <v>68</v>
      </c>
      <c r="B256" s="34" t="s">
        <v>855</v>
      </c>
      <c r="C256" s="34" t="s">
        <v>856</v>
      </c>
      <c r="D256" s="34" t="s">
        <v>297</v>
      </c>
      <c r="E256" s="48" t="s">
        <v>39</v>
      </c>
      <c r="F256" s="48" t="s">
        <v>39</v>
      </c>
      <c r="G256" s="34" t="s">
        <v>38</v>
      </c>
      <c r="H256" s="34" t="s">
        <v>39</v>
      </c>
      <c r="I256" s="15">
        <v>330</v>
      </c>
      <c r="J256" s="15">
        <v>297</v>
      </c>
      <c r="K256" s="52"/>
      <c r="L256" s="52"/>
      <c r="M256" s="52"/>
      <c r="N256" s="18">
        <v>300</v>
      </c>
      <c r="O256" s="18">
        <v>270</v>
      </c>
      <c r="P256" s="18">
        <v>230</v>
      </c>
      <c r="Q256" s="34" t="s">
        <v>40</v>
      </c>
      <c r="R256" s="34" t="s">
        <v>39</v>
      </c>
      <c r="S256" s="63" t="s">
        <v>39</v>
      </c>
      <c r="T256" s="52"/>
      <c r="U256" s="48" t="s">
        <v>71</v>
      </c>
      <c r="V256" s="34" t="s">
        <v>857</v>
      </c>
      <c r="W256" s="34">
        <v>33070302701</v>
      </c>
      <c r="X256" s="34" t="s">
        <v>858</v>
      </c>
      <c r="Y256" s="12" t="s">
        <v>39</v>
      </c>
      <c r="Z256" s="12" t="s">
        <v>39</v>
      </c>
      <c r="AA256" s="14" t="s">
        <v>38</v>
      </c>
      <c r="AB256" s="12" t="s">
        <v>39</v>
      </c>
      <c r="AC256" s="18">
        <v>815</v>
      </c>
      <c r="AD256" s="18">
        <v>780</v>
      </c>
      <c r="AE256" s="18">
        <v>665</v>
      </c>
      <c r="AF256" s="14" t="s">
        <v>40</v>
      </c>
    </row>
    <row r="257" s="22" customFormat="1" ht="25.5" spans="1:32">
      <c r="A257" s="34"/>
      <c r="B257" s="34"/>
      <c r="C257" s="34"/>
      <c r="D257" s="34"/>
      <c r="E257" s="48"/>
      <c r="F257" s="48"/>
      <c r="G257" s="34"/>
      <c r="H257" s="34"/>
      <c r="I257" s="54"/>
      <c r="J257" s="54"/>
      <c r="K257" s="52"/>
      <c r="L257" s="52"/>
      <c r="M257" s="52"/>
      <c r="N257" s="18"/>
      <c r="O257" s="18"/>
      <c r="P257" s="18"/>
      <c r="Q257" s="34"/>
      <c r="R257" s="34"/>
      <c r="S257" s="63"/>
      <c r="T257" s="52"/>
      <c r="U257" s="48"/>
      <c r="V257" s="34" t="s">
        <v>859</v>
      </c>
      <c r="W257" s="34">
        <v>33070302703</v>
      </c>
      <c r="X257" s="34" t="s">
        <v>860</v>
      </c>
      <c r="Y257" s="12" t="s">
        <v>39</v>
      </c>
      <c r="Z257" s="12" t="s">
        <v>39</v>
      </c>
      <c r="AA257" s="14" t="s">
        <v>38</v>
      </c>
      <c r="AB257" s="12" t="s">
        <v>39</v>
      </c>
      <c r="AC257" s="18">
        <v>1440</v>
      </c>
      <c r="AD257" s="18">
        <v>1380</v>
      </c>
      <c r="AE257" s="18">
        <v>1175</v>
      </c>
      <c r="AF257" s="14" t="s">
        <v>40</v>
      </c>
    </row>
    <row r="258" s="22" customFormat="1" ht="25.5" spans="1:32">
      <c r="A258" s="34">
        <v>61</v>
      </c>
      <c r="B258" s="11" t="s">
        <v>861</v>
      </c>
      <c r="C258" s="34" t="s">
        <v>862</v>
      </c>
      <c r="D258" s="34" t="s">
        <v>297</v>
      </c>
      <c r="E258" s="48" t="s">
        <v>863</v>
      </c>
      <c r="F258" s="48" t="s">
        <v>864</v>
      </c>
      <c r="G258" s="34" t="s">
        <v>38</v>
      </c>
      <c r="H258" s="34" t="s">
        <v>865</v>
      </c>
      <c r="I258" s="15">
        <v>1794</v>
      </c>
      <c r="J258" s="15">
        <v>1615</v>
      </c>
      <c r="K258" s="53">
        <v>1777.77777777778</v>
      </c>
      <c r="L258" s="52"/>
      <c r="M258" s="52"/>
      <c r="N258" s="58">
        <v>1750</v>
      </c>
      <c r="O258" s="58">
        <v>1580</v>
      </c>
      <c r="P258" s="58">
        <v>1340</v>
      </c>
      <c r="Q258" s="62" t="s">
        <v>40</v>
      </c>
      <c r="R258" s="62" t="s">
        <v>39</v>
      </c>
      <c r="S258" s="64" t="s">
        <v>39</v>
      </c>
      <c r="T258" s="52" t="s">
        <v>41</v>
      </c>
      <c r="U258" s="67" t="s">
        <v>866</v>
      </c>
      <c r="V258" s="11" t="s">
        <v>867</v>
      </c>
      <c r="W258" s="11">
        <v>330703025</v>
      </c>
      <c r="X258" s="11" t="s">
        <v>868</v>
      </c>
      <c r="Y258" s="12" t="s">
        <v>869</v>
      </c>
      <c r="Z258" s="12" t="s">
        <v>39</v>
      </c>
      <c r="AA258" s="14" t="s">
        <v>38</v>
      </c>
      <c r="AB258" s="12" t="s">
        <v>39</v>
      </c>
      <c r="AC258" s="18">
        <v>1500</v>
      </c>
      <c r="AD258" s="18">
        <v>1440</v>
      </c>
      <c r="AE258" s="18">
        <v>1224</v>
      </c>
      <c r="AF258" s="14" t="s">
        <v>40</v>
      </c>
    </row>
    <row r="259" s="22" customFormat="1" ht="25.5" spans="1:32">
      <c r="A259" s="34"/>
      <c r="B259" s="11"/>
      <c r="C259" s="34"/>
      <c r="D259" s="34"/>
      <c r="E259" s="48"/>
      <c r="F259" s="48"/>
      <c r="G259" s="34"/>
      <c r="H259" s="34"/>
      <c r="I259" s="54"/>
      <c r="J259" s="54"/>
      <c r="K259" s="53"/>
      <c r="L259" s="52"/>
      <c r="M259" s="52"/>
      <c r="N259" s="58"/>
      <c r="O259" s="58"/>
      <c r="P259" s="58"/>
      <c r="Q259" s="62"/>
      <c r="R259" s="62"/>
      <c r="S259" s="64"/>
      <c r="T259" s="52"/>
      <c r="U259" s="67"/>
      <c r="V259" s="11" t="s">
        <v>870</v>
      </c>
      <c r="W259" s="11">
        <v>33070302502</v>
      </c>
      <c r="X259" s="11" t="s">
        <v>871</v>
      </c>
      <c r="Y259" s="12" t="s">
        <v>39</v>
      </c>
      <c r="Z259" s="12" t="s">
        <v>39</v>
      </c>
      <c r="AA259" s="14" t="s">
        <v>38</v>
      </c>
      <c r="AB259" s="12" t="s">
        <v>39</v>
      </c>
      <c r="AC259" s="18">
        <v>2125</v>
      </c>
      <c r="AD259" s="18">
        <v>2040</v>
      </c>
      <c r="AE259" s="18">
        <v>1734</v>
      </c>
      <c r="AF259" s="14" t="s">
        <v>40</v>
      </c>
    </row>
    <row r="260" s="22" customFormat="1" ht="25.5" spans="1:32">
      <c r="A260" s="34" t="s">
        <v>68</v>
      </c>
      <c r="B260" s="34" t="s">
        <v>872</v>
      </c>
      <c r="C260" s="34" t="s">
        <v>873</v>
      </c>
      <c r="D260" s="34" t="s">
        <v>297</v>
      </c>
      <c r="E260" s="48" t="s">
        <v>39</v>
      </c>
      <c r="F260" s="48" t="s">
        <v>39</v>
      </c>
      <c r="G260" s="34" t="s">
        <v>38</v>
      </c>
      <c r="H260" s="34" t="s">
        <v>39</v>
      </c>
      <c r="I260" s="15">
        <v>538</v>
      </c>
      <c r="J260" s="15">
        <v>484</v>
      </c>
      <c r="K260" s="52"/>
      <c r="L260" s="52"/>
      <c r="M260" s="52"/>
      <c r="N260" s="18">
        <v>525</v>
      </c>
      <c r="O260" s="18">
        <v>475</v>
      </c>
      <c r="P260" s="18">
        <v>400</v>
      </c>
      <c r="Q260" s="34" t="s">
        <v>40</v>
      </c>
      <c r="R260" s="34" t="s">
        <v>39</v>
      </c>
      <c r="S260" s="63" t="s">
        <v>39</v>
      </c>
      <c r="T260" s="52"/>
      <c r="U260" s="48" t="s">
        <v>71</v>
      </c>
      <c r="V260" s="34" t="s">
        <v>874</v>
      </c>
      <c r="W260" s="34">
        <v>33070302501</v>
      </c>
      <c r="X260" s="34" t="s">
        <v>875</v>
      </c>
      <c r="Y260" s="12" t="s">
        <v>39</v>
      </c>
      <c r="Z260" s="12" t="s">
        <v>39</v>
      </c>
      <c r="AA260" s="14" t="s">
        <v>38</v>
      </c>
      <c r="AB260" s="12" t="s">
        <v>39</v>
      </c>
      <c r="AC260" s="18">
        <v>1950</v>
      </c>
      <c r="AD260" s="18">
        <v>1870</v>
      </c>
      <c r="AE260" s="18">
        <v>1590</v>
      </c>
      <c r="AF260" s="14" t="s">
        <v>40</v>
      </c>
    </row>
    <row r="261" s="22" customFormat="1" ht="25.5" spans="1:32">
      <c r="A261" s="34"/>
      <c r="B261" s="34"/>
      <c r="C261" s="34"/>
      <c r="D261" s="34"/>
      <c r="E261" s="48"/>
      <c r="F261" s="48"/>
      <c r="G261" s="34"/>
      <c r="H261" s="34"/>
      <c r="I261" s="54"/>
      <c r="J261" s="54"/>
      <c r="K261" s="52"/>
      <c r="L261" s="52"/>
      <c r="M261" s="52"/>
      <c r="N261" s="18"/>
      <c r="O261" s="18"/>
      <c r="P261" s="18"/>
      <c r="Q261" s="34"/>
      <c r="R261" s="34"/>
      <c r="S261" s="63"/>
      <c r="T261" s="52"/>
      <c r="U261" s="48"/>
      <c r="V261" s="34" t="s">
        <v>876</v>
      </c>
      <c r="W261" s="34">
        <v>33070302503</v>
      </c>
      <c r="X261" s="34" t="s">
        <v>877</v>
      </c>
      <c r="Y261" s="12" t="s">
        <v>39</v>
      </c>
      <c r="Z261" s="12" t="s">
        <v>39</v>
      </c>
      <c r="AA261" s="14" t="s">
        <v>38</v>
      </c>
      <c r="AB261" s="12" t="s">
        <v>39</v>
      </c>
      <c r="AC261" s="18">
        <v>2575</v>
      </c>
      <c r="AD261" s="18">
        <v>2470</v>
      </c>
      <c r="AE261" s="18">
        <v>2100</v>
      </c>
      <c r="AF261" s="14" t="s">
        <v>40</v>
      </c>
    </row>
    <row r="262" s="22" customFormat="1" ht="25.5" spans="1:32">
      <c r="A262" s="34">
        <v>62</v>
      </c>
      <c r="B262" s="11" t="s">
        <v>878</v>
      </c>
      <c r="C262" s="34" t="s">
        <v>879</v>
      </c>
      <c r="D262" s="34" t="s">
        <v>297</v>
      </c>
      <c r="E262" s="48" t="s">
        <v>880</v>
      </c>
      <c r="F262" s="48" t="s">
        <v>612</v>
      </c>
      <c r="G262" s="34" t="s">
        <v>38</v>
      </c>
      <c r="H262" s="34" t="s">
        <v>39</v>
      </c>
      <c r="I262" s="15">
        <v>2979</v>
      </c>
      <c r="J262" s="15">
        <v>2681</v>
      </c>
      <c r="K262" s="52">
        <v>2647.05882352941</v>
      </c>
      <c r="L262" s="52">
        <v>2340</v>
      </c>
      <c r="M262" s="52"/>
      <c r="N262" s="18">
        <v>2650</v>
      </c>
      <c r="O262" s="18">
        <v>2350</v>
      </c>
      <c r="P262" s="18">
        <v>2000</v>
      </c>
      <c r="Q262" s="34" t="s">
        <v>40</v>
      </c>
      <c r="R262" s="34" t="s">
        <v>39</v>
      </c>
      <c r="S262" s="63" t="s">
        <v>39</v>
      </c>
      <c r="T262" s="52" t="s">
        <v>95</v>
      </c>
      <c r="U262" s="48" t="s">
        <v>881</v>
      </c>
      <c r="V262" s="34" t="s">
        <v>882</v>
      </c>
      <c r="W262" s="34">
        <v>330703028</v>
      </c>
      <c r="X262" s="34" t="s">
        <v>883</v>
      </c>
      <c r="Y262" s="12" t="s">
        <v>884</v>
      </c>
      <c r="Z262" s="12" t="s">
        <v>885</v>
      </c>
      <c r="AA262" s="14" t="s">
        <v>38</v>
      </c>
      <c r="AB262" s="12" t="s">
        <v>39</v>
      </c>
      <c r="AC262" s="18">
        <v>2125</v>
      </c>
      <c r="AD262" s="18">
        <v>2040</v>
      </c>
      <c r="AE262" s="18">
        <v>1734</v>
      </c>
      <c r="AF262" s="14" t="s">
        <v>40</v>
      </c>
    </row>
    <row r="263" s="22" customFormat="1" ht="25.5" spans="1:32">
      <c r="A263" s="34"/>
      <c r="B263" s="11"/>
      <c r="C263" s="34"/>
      <c r="D263" s="34"/>
      <c r="E263" s="48"/>
      <c r="F263" s="48"/>
      <c r="G263" s="34"/>
      <c r="H263" s="34"/>
      <c r="I263" s="54"/>
      <c r="J263" s="54"/>
      <c r="K263" s="52"/>
      <c r="L263" s="52"/>
      <c r="M263" s="52"/>
      <c r="N263" s="18"/>
      <c r="O263" s="18"/>
      <c r="P263" s="18"/>
      <c r="Q263" s="34"/>
      <c r="R263" s="34"/>
      <c r="S263" s="63"/>
      <c r="T263" s="52"/>
      <c r="U263" s="48"/>
      <c r="V263" s="11" t="s">
        <v>886</v>
      </c>
      <c r="W263" s="11">
        <v>33070302802</v>
      </c>
      <c r="X263" s="11" t="s">
        <v>887</v>
      </c>
      <c r="Y263" s="12" t="s">
        <v>39</v>
      </c>
      <c r="Z263" s="12" t="s">
        <v>39</v>
      </c>
      <c r="AA263" s="14" t="s">
        <v>38</v>
      </c>
      <c r="AB263" s="12" t="s">
        <v>39</v>
      </c>
      <c r="AC263" s="18">
        <v>2750</v>
      </c>
      <c r="AD263" s="18">
        <v>2640</v>
      </c>
      <c r="AE263" s="18">
        <v>2244</v>
      </c>
      <c r="AF263" s="14" t="s">
        <v>40</v>
      </c>
    </row>
    <row r="264" s="22" customFormat="1" ht="25.5" spans="1:32">
      <c r="A264" s="34"/>
      <c r="B264" s="11"/>
      <c r="C264" s="34"/>
      <c r="D264" s="34"/>
      <c r="E264" s="48"/>
      <c r="F264" s="48"/>
      <c r="G264" s="34"/>
      <c r="H264" s="34"/>
      <c r="I264" s="54"/>
      <c r="J264" s="54"/>
      <c r="K264" s="52"/>
      <c r="L264" s="52"/>
      <c r="M264" s="52"/>
      <c r="N264" s="18"/>
      <c r="O264" s="18"/>
      <c r="P264" s="18"/>
      <c r="Q264" s="34"/>
      <c r="R264" s="34"/>
      <c r="S264" s="63"/>
      <c r="T264" s="52"/>
      <c r="U264" s="48"/>
      <c r="V264" s="11" t="s">
        <v>888</v>
      </c>
      <c r="W264" s="11">
        <v>330703032</v>
      </c>
      <c r="X264" s="11" t="s">
        <v>889</v>
      </c>
      <c r="Y264" s="12" t="s">
        <v>890</v>
      </c>
      <c r="Z264" s="12" t="s">
        <v>39</v>
      </c>
      <c r="AA264" s="14" t="s">
        <v>38</v>
      </c>
      <c r="AB264" s="12" t="s">
        <v>891</v>
      </c>
      <c r="AC264" s="18">
        <v>1625</v>
      </c>
      <c r="AD264" s="18">
        <v>1560</v>
      </c>
      <c r="AE264" s="18">
        <v>1326</v>
      </c>
      <c r="AF264" s="14" t="s">
        <v>40</v>
      </c>
    </row>
    <row r="265" s="22" customFormat="1" ht="25.5" spans="1:32">
      <c r="A265" s="34"/>
      <c r="B265" s="11"/>
      <c r="C265" s="34"/>
      <c r="D265" s="34"/>
      <c r="E265" s="48"/>
      <c r="F265" s="48"/>
      <c r="G265" s="34"/>
      <c r="H265" s="34"/>
      <c r="I265" s="54"/>
      <c r="J265" s="54"/>
      <c r="K265" s="52"/>
      <c r="L265" s="52"/>
      <c r="M265" s="52"/>
      <c r="N265" s="18"/>
      <c r="O265" s="18"/>
      <c r="P265" s="18"/>
      <c r="Q265" s="34"/>
      <c r="R265" s="34"/>
      <c r="S265" s="63"/>
      <c r="T265" s="52"/>
      <c r="U265" s="48"/>
      <c r="V265" s="11" t="s">
        <v>892</v>
      </c>
      <c r="W265" s="11">
        <v>33070303201</v>
      </c>
      <c r="X265" s="11" t="s">
        <v>893</v>
      </c>
      <c r="Y265" s="12" t="s">
        <v>39</v>
      </c>
      <c r="Z265" s="12" t="s">
        <v>39</v>
      </c>
      <c r="AA265" s="14" t="s">
        <v>38</v>
      </c>
      <c r="AB265" s="12" t="s">
        <v>894</v>
      </c>
      <c r="AC265" s="18">
        <v>1950</v>
      </c>
      <c r="AD265" s="18">
        <v>1870</v>
      </c>
      <c r="AE265" s="18">
        <v>1590</v>
      </c>
      <c r="AF265" s="14" t="s">
        <v>40</v>
      </c>
    </row>
    <row r="266" s="22" customFormat="1" ht="25.5" spans="1:32">
      <c r="A266" s="34"/>
      <c r="B266" s="11"/>
      <c r="C266" s="34"/>
      <c r="D266" s="34"/>
      <c r="E266" s="48"/>
      <c r="F266" s="48"/>
      <c r="G266" s="34"/>
      <c r="H266" s="34"/>
      <c r="I266" s="54"/>
      <c r="J266" s="54"/>
      <c r="K266" s="52"/>
      <c r="L266" s="52"/>
      <c r="M266" s="52"/>
      <c r="N266" s="18"/>
      <c r="O266" s="18"/>
      <c r="P266" s="18"/>
      <c r="Q266" s="34"/>
      <c r="R266" s="34"/>
      <c r="S266" s="63"/>
      <c r="T266" s="52"/>
      <c r="U266" s="48"/>
      <c r="V266" s="11" t="s">
        <v>895</v>
      </c>
      <c r="W266" s="11">
        <v>33070303204</v>
      </c>
      <c r="X266" s="11" t="s">
        <v>896</v>
      </c>
      <c r="Y266" s="12" t="s">
        <v>39</v>
      </c>
      <c r="Z266" s="12" t="s">
        <v>39</v>
      </c>
      <c r="AA266" s="14" t="s">
        <v>38</v>
      </c>
      <c r="AB266" s="12" t="s">
        <v>39</v>
      </c>
      <c r="AC266" s="18">
        <v>2250</v>
      </c>
      <c r="AD266" s="18">
        <v>2160</v>
      </c>
      <c r="AE266" s="18">
        <v>1836</v>
      </c>
      <c r="AF266" s="14" t="s">
        <v>40</v>
      </c>
    </row>
    <row r="267" s="22" customFormat="1" ht="25.5" spans="1:32">
      <c r="A267" s="34"/>
      <c r="B267" s="11"/>
      <c r="C267" s="34"/>
      <c r="D267" s="34"/>
      <c r="E267" s="48"/>
      <c r="F267" s="48"/>
      <c r="G267" s="34"/>
      <c r="H267" s="34"/>
      <c r="I267" s="54"/>
      <c r="J267" s="54"/>
      <c r="K267" s="52"/>
      <c r="L267" s="52"/>
      <c r="M267" s="52"/>
      <c r="N267" s="18"/>
      <c r="O267" s="18"/>
      <c r="P267" s="18"/>
      <c r="Q267" s="34"/>
      <c r="R267" s="34"/>
      <c r="S267" s="63"/>
      <c r="T267" s="52"/>
      <c r="U267" s="48"/>
      <c r="V267" s="11" t="s">
        <v>897</v>
      </c>
      <c r="W267" s="11">
        <v>33070303205</v>
      </c>
      <c r="X267" s="11" t="s">
        <v>898</v>
      </c>
      <c r="Y267" s="12" t="s">
        <v>39</v>
      </c>
      <c r="Z267" s="12" t="s">
        <v>39</v>
      </c>
      <c r="AA267" s="14" t="s">
        <v>38</v>
      </c>
      <c r="AB267" s="12" t="s">
        <v>894</v>
      </c>
      <c r="AC267" s="18">
        <v>2575</v>
      </c>
      <c r="AD267" s="18">
        <v>2470</v>
      </c>
      <c r="AE267" s="18">
        <v>2100</v>
      </c>
      <c r="AF267" s="14" t="s">
        <v>40</v>
      </c>
    </row>
    <row r="268" s="22" customFormat="1" ht="25.5" spans="1:32">
      <c r="A268" s="34" t="s">
        <v>68</v>
      </c>
      <c r="B268" s="34" t="s">
        <v>899</v>
      </c>
      <c r="C268" s="34" t="s">
        <v>900</v>
      </c>
      <c r="D268" s="34" t="s">
        <v>297</v>
      </c>
      <c r="E268" s="48" t="s">
        <v>39</v>
      </c>
      <c r="F268" s="48" t="s">
        <v>39</v>
      </c>
      <c r="G268" s="34" t="s">
        <v>38</v>
      </c>
      <c r="H268" s="34" t="s">
        <v>39</v>
      </c>
      <c r="I268" s="15">
        <v>894</v>
      </c>
      <c r="J268" s="15">
        <v>804</v>
      </c>
      <c r="K268" s="79">
        <v>490</v>
      </c>
      <c r="L268" s="52"/>
      <c r="M268" s="52"/>
      <c r="N268" s="18">
        <v>795</v>
      </c>
      <c r="O268" s="18">
        <v>705</v>
      </c>
      <c r="P268" s="18">
        <v>600</v>
      </c>
      <c r="Q268" s="34" t="s">
        <v>40</v>
      </c>
      <c r="R268" s="34" t="s">
        <v>39</v>
      </c>
      <c r="S268" s="63" t="s">
        <v>39</v>
      </c>
      <c r="T268" s="52"/>
      <c r="U268" s="48" t="s">
        <v>71</v>
      </c>
      <c r="V268" s="11" t="s">
        <v>901</v>
      </c>
      <c r="W268" s="11">
        <v>33070302801</v>
      </c>
      <c r="X268" s="11" t="s">
        <v>902</v>
      </c>
      <c r="Y268" s="12" t="s">
        <v>39</v>
      </c>
      <c r="Z268" s="12" t="s">
        <v>39</v>
      </c>
      <c r="AA268" s="14" t="s">
        <v>38</v>
      </c>
      <c r="AB268" s="12" t="s">
        <v>39</v>
      </c>
      <c r="AC268" s="18">
        <v>2765</v>
      </c>
      <c r="AD268" s="18">
        <v>2650</v>
      </c>
      <c r="AE268" s="18">
        <v>2255</v>
      </c>
      <c r="AF268" s="14" t="s">
        <v>40</v>
      </c>
    </row>
    <row r="269" s="22" customFormat="1" ht="25.5" spans="1:32">
      <c r="A269" s="34"/>
      <c r="B269" s="34"/>
      <c r="C269" s="34"/>
      <c r="D269" s="34"/>
      <c r="E269" s="48"/>
      <c r="F269" s="48"/>
      <c r="G269" s="34"/>
      <c r="H269" s="34"/>
      <c r="I269" s="54"/>
      <c r="J269" s="54"/>
      <c r="K269" s="79"/>
      <c r="L269" s="52"/>
      <c r="M269" s="52"/>
      <c r="N269" s="18"/>
      <c r="O269" s="18"/>
      <c r="P269" s="18"/>
      <c r="Q269" s="34"/>
      <c r="R269" s="34"/>
      <c r="S269" s="63"/>
      <c r="T269" s="52"/>
      <c r="U269" s="48"/>
      <c r="V269" s="11" t="s">
        <v>903</v>
      </c>
      <c r="W269" s="11">
        <v>33070302803</v>
      </c>
      <c r="X269" s="11" t="s">
        <v>904</v>
      </c>
      <c r="Y269" s="12" t="s">
        <v>39</v>
      </c>
      <c r="Z269" s="12" t="s">
        <v>39</v>
      </c>
      <c r="AA269" s="14" t="s">
        <v>38</v>
      </c>
      <c r="AB269" s="12" t="s">
        <v>39</v>
      </c>
      <c r="AC269" s="18">
        <v>3390</v>
      </c>
      <c r="AD269" s="18">
        <v>3250</v>
      </c>
      <c r="AE269" s="18">
        <v>2765</v>
      </c>
      <c r="AF269" s="14" t="s">
        <v>40</v>
      </c>
    </row>
    <row r="270" s="22" customFormat="1" ht="25.5" spans="1:32">
      <c r="A270" s="34"/>
      <c r="B270" s="34"/>
      <c r="C270" s="34"/>
      <c r="D270" s="34"/>
      <c r="E270" s="48"/>
      <c r="F270" s="48"/>
      <c r="G270" s="34"/>
      <c r="H270" s="34"/>
      <c r="I270" s="54"/>
      <c r="J270" s="54"/>
      <c r="K270" s="79"/>
      <c r="L270" s="52"/>
      <c r="M270" s="52"/>
      <c r="N270" s="18"/>
      <c r="O270" s="18"/>
      <c r="P270" s="18"/>
      <c r="Q270" s="34"/>
      <c r="R270" s="34"/>
      <c r="S270" s="63"/>
      <c r="T270" s="52"/>
      <c r="U270" s="48"/>
      <c r="V270" s="11" t="s">
        <v>905</v>
      </c>
      <c r="W270" s="11">
        <v>33070303202</v>
      </c>
      <c r="X270" s="11" t="s">
        <v>906</v>
      </c>
      <c r="Y270" s="12" t="s">
        <v>39</v>
      </c>
      <c r="Z270" s="12" t="s">
        <v>39</v>
      </c>
      <c r="AA270" s="14" t="s">
        <v>38</v>
      </c>
      <c r="AB270" s="12" t="s">
        <v>39</v>
      </c>
      <c r="AC270" s="18">
        <v>2115</v>
      </c>
      <c r="AD270" s="18">
        <v>2030</v>
      </c>
      <c r="AE270" s="18">
        <v>1725</v>
      </c>
      <c r="AF270" s="14" t="s">
        <v>40</v>
      </c>
    </row>
    <row r="271" s="22" customFormat="1" ht="25.5" spans="1:32">
      <c r="A271" s="34"/>
      <c r="B271" s="34"/>
      <c r="C271" s="34"/>
      <c r="D271" s="34"/>
      <c r="E271" s="48"/>
      <c r="F271" s="48"/>
      <c r="G271" s="34"/>
      <c r="H271" s="34"/>
      <c r="I271" s="54"/>
      <c r="J271" s="54"/>
      <c r="K271" s="79"/>
      <c r="L271" s="52"/>
      <c r="M271" s="52"/>
      <c r="N271" s="18"/>
      <c r="O271" s="18"/>
      <c r="P271" s="18"/>
      <c r="Q271" s="34"/>
      <c r="R271" s="34"/>
      <c r="S271" s="63"/>
      <c r="T271" s="52"/>
      <c r="U271" s="48"/>
      <c r="V271" s="11" t="s">
        <v>907</v>
      </c>
      <c r="W271" s="11">
        <v>33070303203</v>
      </c>
      <c r="X271" s="11" t="s">
        <v>908</v>
      </c>
      <c r="Y271" s="12" t="s">
        <v>39</v>
      </c>
      <c r="Z271" s="12" t="s">
        <v>39</v>
      </c>
      <c r="AA271" s="14" t="s">
        <v>38</v>
      </c>
      <c r="AB271" s="12" t="s">
        <v>894</v>
      </c>
      <c r="AC271" s="18">
        <v>2535</v>
      </c>
      <c r="AD271" s="18">
        <v>2430</v>
      </c>
      <c r="AE271" s="18">
        <v>2065</v>
      </c>
      <c r="AF271" s="14" t="s">
        <v>40</v>
      </c>
    </row>
    <row r="272" s="22" customFormat="1" ht="25.5" spans="1:32">
      <c r="A272" s="34"/>
      <c r="B272" s="34"/>
      <c r="C272" s="34"/>
      <c r="D272" s="34"/>
      <c r="E272" s="48"/>
      <c r="F272" s="48"/>
      <c r="G272" s="34"/>
      <c r="H272" s="34"/>
      <c r="I272" s="54"/>
      <c r="J272" s="54"/>
      <c r="K272" s="79"/>
      <c r="L272" s="52"/>
      <c r="M272" s="52"/>
      <c r="N272" s="18"/>
      <c r="O272" s="18"/>
      <c r="P272" s="18"/>
      <c r="Q272" s="34"/>
      <c r="R272" s="34"/>
      <c r="S272" s="63"/>
      <c r="T272" s="52"/>
      <c r="U272" s="48"/>
      <c r="V272" s="11" t="s">
        <v>909</v>
      </c>
      <c r="W272" s="11">
        <v>33070303206</v>
      </c>
      <c r="X272" s="11" t="s">
        <v>910</v>
      </c>
      <c r="Y272" s="12" t="s">
        <v>39</v>
      </c>
      <c r="Z272" s="12" t="s">
        <v>39</v>
      </c>
      <c r="AA272" s="14" t="s">
        <v>38</v>
      </c>
      <c r="AB272" s="12" t="s">
        <v>39</v>
      </c>
      <c r="AC272" s="18">
        <v>2740</v>
      </c>
      <c r="AD272" s="18">
        <v>2630</v>
      </c>
      <c r="AE272" s="18">
        <v>2235</v>
      </c>
      <c r="AF272" s="14" t="s">
        <v>40</v>
      </c>
    </row>
    <row r="273" s="22" customFormat="1" ht="25.5" spans="1:32">
      <c r="A273" s="34"/>
      <c r="B273" s="34"/>
      <c r="C273" s="34"/>
      <c r="D273" s="34"/>
      <c r="E273" s="48"/>
      <c r="F273" s="48"/>
      <c r="G273" s="34"/>
      <c r="H273" s="34"/>
      <c r="I273" s="54"/>
      <c r="J273" s="54"/>
      <c r="K273" s="79"/>
      <c r="L273" s="52"/>
      <c r="M273" s="52"/>
      <c r="N273" s="18"/>
      <c r="O273" s="18"/>
      <c r="P273" s="18"/>
      <c r="Q273" s="34"/>
      <c r="R273" s="34"/>
      <c r="S273" s="63"/>
      <c r="T273" s="52"/>
      <c r="U273" s="48"/>
      <c r="V273" s="11" t="s">
        <v>911</v>
      </c>
      <c r="W273" s="11">
        <v>33070303207</v>
      </c>
      <c r="X273" s="11" t="s">
        <v>912</v>
      </c>
      <c r="Y273" s="12" t="s">
        <v>39</v>
      </c>
      <c r="Z273" s="12" t="s">
        <v>39</v>
      </c>
      <c r="AA273" s="14" t="s">
        <v>38</v>
      </c>
      <c r="AB273" s="12" t="s">
        <v>894</v>
      </c>
      <c r="AC273" s="18">
        <v>3160</v>
      </c>
      <c r="AD273" s="18">
        <v>3030</v>
      </c>
      <c r="AE273" s="18">
        <v>2575</v>
      </c>
      <c r="AF273" s="14" t="s">
        <v>40</v>
      </c>
    </row>
    <row r="274" s="22" customFormat="1" ht="25.5" spans="1:32">
      <c r="A274" s="34">
        <v>63</v>
      </c>
      <c r="B274" s="11" t="s">
        <v>913</v>
      </c>
      <c r="C274" s="34" t="s">
        <v>914</v>
      </c>
      <c r="D274" s="34" t="s">
        <v>297</v>
      </c>
      <c r="E274" s="48" t="s">
        <v>915</v>
      </c>
      <c r="F274" s="48" t="s">
        <v>916</v>
      </c>
      <c r="G274" s="34" t="s">
        <v>38</v>
      </c>
      <c r="H274" s="34" t="s">
        <v>39</v>
      </c>
      <c r="I274" s="15">
        <v>2726</v>
      </c>
      <c r="J274" s="15">
        <v>2453</v>
      </c>
      <c r="K274" s="52"/>
      <c r="L274" s="52"/>
      <c r="M274" s="52"/>
      <c r="N274" s="18">
        <v>2450</v>
      </c>
      <c r="O274" s="18">
        <v>2200</v>
      </c>
      <c r="P274" s="18">
        <v>1900</v>
      </c>
      <c r="Q274" s="34" t="s">
        <v>40</v>
      </c>
      <c r="R274" s="34" t="s">
        <v>39</v>
      </c>
      <c r="S274" s="63" t="s">
        <v>39</v>
      </c>
      <c r="T274" s="52" t="s">
        <v>264</v>
      </c>
      <c r="U274" s="48" t="s">
        <v>399</v>
      </c>
      <c r="V274" s="34" t="s">
        <v>917</v>
      </c>
      <c r="W274" s="34">
        <v>330703029</v>
      </c>
      <c r="X274" s="34" t="s">
        <v>918</v>
      </c>
      <c r="Y274" s="12" t="s">
        <v>919</v>
      </c>
      <c r="Z274" s="12" t="s">
        <v>39</v>
      </c>
      <c r="AA274" s="14" t="s">
        <v>38</v>
      </c>
      <c r="AB274" s="12" t="s">
        <v>39</v>
      </c>
      <c r="AC274" s="18">
        <v>1875</v>
      </c>
      <c r="AD274" s="18">
        <v>1800</v>
      </c>
      <c r="AE274" s="18">
        <v>1530</v>
      </c>
      <c r="AF274" s="14" t="s">
        <v>40</v>
      </c>
    </row>
    <row r="275" s="22" customFormat="1" ht="25.5" spans="1:32">
      <c r="A275" s="34"/>
      <c r="B275" s="11"/>
      <c r="C275" s="34"/>
      <c r="D275" s="34"/>
      <c r="E275" s="48"/>
      <c r="F275" s="48"/>
      <c r="G275" s="34"/>
      <c r="H275" s="34"/>
      <c r="I275" s="54"/>
      <c r="J275" s="54"/>
      <c r="K275" s="52"/>
      <c r="L275" s="52"/>
      <c r="M275" s="52"/>
      <c r="N275" s="18"/>
      <c r="O275" s="18"/>
      <c r="P275" s="18"/>
      <c r="Q275" s="34"/>
      <c r="R275" s="34"/>
      <c r="S275" s="63"/>
      <c r="T275" s="52"/>
      <c r="U275" s="48"/>
      <c r="V275" s="11" t="s">
        <v>920</v>
      </c>
      <c r="W275" s="11">
        <v>33070302902</v>
      </c>
      <c r="X275" s="11" t="s">
        <v>921</v>
      </c>
      <c r="Y275" s="12" t="s">
        <v>39</v>
      </c>
      <c r="Z275" s="12" t="s">
        <v>39</v>
      </c>
      <c r="AA275" s="14" t="s">
        <v>38</v>
      </c>
      <c r="AB275" s="12" t="s">
        <v>39</v>
      </c>
      <c r="AC275" s="18">
        <v>2500</v>
      </c>
      <c r="AD275" s="18">
        <v>2400</v>
      </c>
      <c r="AE275" s="18">
        <v>2040</v>
      </c>
      <c r="AF275" s="14" t="s">
        <v>40</v>
      </c>
    </row>
    <row r="276" s="22" customFormat="1" ht="25.5" spans="1:32">
      <c r="A276" s="34" t="s">
        <v>68</v>
      </c>
      <c r="B276" s="34" t="s">
        <v>922</v>
      </c>
      <c r="C276" s="34" t="s">
        <v>923</v>
      </c>
      <c r="D276" s="34" t="s">
        <v>297</v>
      </c>
      <c r="E276" s="48" t="s">
        <v>39</v>
      </c>
      <c r="F276" s="48" t="s">
        <v>39</v>
      </c>
      <c r="G276" s="34" t="s">
        <v>38</v>
      </c>
      <c r="H276" s="34" t="s">
        <v>39</v>
      </c>
      <c r="I276" s="15">
        <v>818</v>
      </c>
      <c r="J276" s="15">
        <v>736</v>
      </c>
      <c r="K276" s="52"/>
      <c r="L276" s="52"/>
      <c r="M276" s="52"/>
      <c r="N276" s="18">
        <v>735</v>
      </c>
      <c r="O276" s="18">
        <v>660</v>
      </c>
      <c r="P276" s="18">
        <v>570</v>
      </c>
      <c r="Q276" s="34" t="s">
        <v>40</v>
      </c>
      <c r="R276" s="34" t="s">
        <v>39</v>
      </c>
      <c r="S276" s="63" t="s">
        <v>39</v>
      </c>
      <c r="T276" s="52"/>
      <c r="U276" s="48" t="s">
        <v>71</v>
      </c>
      <c r="V276" s="11" t="s">
        <v>924</v>
      </c>
      <c r="W276" s="11">
        <v>33070302901</v>
      </c>
      <c r="X276" s="11" t="s">
        <v>925</v>
      </c>
      <c r="Y276" s="12" t="s">
        <v>39</v>
      </c>
      <c r="Z276" s="12" t="s">
        <v>39</v>
      </c>
      <c r="AA276" s="14" t="s">
        <v>38</v>
      </c>
      <c r="AB276" s="12" t="s">
        <v>39</v>
      </c>
      <c r="AC276" s="18">
        <v>2440</v>
      </c>
      <c r="AD276" s="18">
        <v>2340</v>
      </c>
      <c r="AE276" s="18">
        <v>1990</v>
      </c>
      <c r="AF276" s="14" t="s">
        <v>40</v>
      </c>
    </row>
    <row r="277" s="22" customFormat="1" ht="25.5" spans="1:32">
      <c r="A277" s="34"/>
      <c r="B277" s="34"/>
      <c r="C277" s="34"/>
      <c r="D277" s="34"/>
      <c r="E277" s="48"/>
      <c r="F277" s="48"/>
      <c r="G277" s="34"/>
      <c r="H277" s="34"/>
      <c r="I277" s="54"/>
      <c r="J277" s="54"/>
      <c r="K277" s="52"/>
      <c r="L277" s="52"/>
      <c r="M277" s="52"/>
      <c r="N277" s="18"/>
      <c r="O277" s="18"/>
      <c r="P277" s="18"/>
      <c r="Q277" s="34"/>
      <c r="R277" s="34"/>
      <c r="S277" s="63"/>
      <c r="T277" s="52"/>
      <c r="U277" s="48"/>
      <c r="V277" s="11" t="s">
        <v>926</v>
      </c>
      <c r="W277" s="11">
        <v>33070302903</v>
      </c>
      <c r="X277" s="11" t="s">
        <v>927</v>
      </c>
      <c r="Y277" s="12" t="s">
        <v>39</v>
      </c>
      <c r="Z277" s="12" t="s">
        <v>39</v>
      </c>
      <c r="AA277" s="14" t="s">
        <v>38</v>
      </c>
      <c r="AB277" s="12" t="s">
        <v>39</v>
      </c>
      <c r="AC277" s="18">
        <v>3065</v>
      </c>
      <c r="AD277" s="18">
        <v>2940</v>
      </c>
      <c r="AE277" s="18">
        <v>2500</v>
      </c>
      <c r="AF277" s="14" t="s">
        <v>40</v>
      </c>
    </row>
    <row r="278" s="22" customFormat="1" ht="51" spans="1:32">
      <c r="A278" s="34">
        <v>64</v>
      </c>
      <c r="B278" s="11" t="s">
        <v>928</v>
      </c>
      <c r="C278" s="34" t="s">
        <v>929</v>
      </c>
      <c r="D278" s="38" t="s">
        <v>297</v>
      </c>
      <c r="E278" s="48" t="s">
        <v>930</v>
      </c>
      <c r="F278" s="48" t="s">
        <v>931</v>
      </c>
      <c r="G278" s="34" t="s">
        <v>38</v>
      </c>
      <c r="H278" s="34" t="s">
        <v>39</v>
      </c>
      <c r="I278" s="15">
        <v>1544</v>
      </c>
      <c r="J278" s="15">
        <v>1390</v>
      </c>
      <c r="K278" s="52"/>
      <c r="L278" s="52"/>
      <c r="M278" s="52"/>
      <c r="N278" s="18">
        <v>1400</v>
      </c>
      <c r="O278" s="18">
        <v>1260</v>
      </c>
      <c r="P278" s="18">
        <v>1070</v>
      </c>
      <c r="Q278" s="34" t="s">
        <v>40</v>
      </c>
      <c r="R278" s="34" t="s">
        <v>39</v>
      </c>
      <c r="S278" s="63">
        <v>0.2</v>
      </c>
      <c r="T278" s="52" t="s">
        <v>120</v>
      </c>
      <c r="U278" s="48" t="s">
        <v>242</v>
      </c>
      <c r="V278" s="34"/>
      <c r="W278" s="34"/>
      <c r="X278" s="34"/>
      <c r="Y278" s="12"/>
      <c r="Z278" s="12"/>
      <c r="AA278" s="14"/>
      <c r="AB278" s="12"/>
      <c r="AC278" s="72"/>
      <c r="AD278" s="72"/>
      <c r="AE278" s="72"/>
      <c r="AF278" s="14"/>
    </row>
    <row r="279" s="22" customFormat="1" ht="25.5" spans="1:32">
      <c r="A279" s="34" t="s">
        <v>68</v>
      </c>
      <c r="B279" s="11" t="s">
        <v>932</v>
      </c>
      <c r="C279" s="34" t="s">
        <v>933</v>
      </c>
      <c r="D279" s="38" t="s">
        <v>297</v>
      </c>
      <c r="E279" s="48" t="s">
        <v>39</v>
      </c>
      <c r="F279" s="48" t="s">
        <v>39</v>
      </c>
      <c r="G279" s="34" t="s">
        <v>38</v>
      </c>
      <c r="H279" s="34" t="s">
        <v>39</v>
      </c>
      <c r="I279" s="15">
        <v>463</v>
      </c>
      <c r="J279" s="15">
        <v>417</v>
      </c>
      <c r="K279" s="52"/>
      <c r="L279" s="52"/>
      <c r="M279" s="52"/>
      <c r="N279" s="18">
        <v>420</v>
      </c>
      <c r="O279" s="18">
        <v>380</v>
      </c>
      <c r="P279" s="18">
        <v>320</v>
      </c>
      <c r="Q279" s="34" t="s">
        <v>40</v>
      </c>
      <c r="R279" s="34" t="s">
        <v>39</v>
      </c>
      <c r="S279" s="63">
        <v>0.2</v>
      </c>
      <c r="T279" s="52"/>
      <c r="U279" s="48" t="s">
        <v>71</v>
      </c>
      <c r="V279" s="34"/>
      <c r="W279" s="34"/>
      <c r="X279" s="34"/>
      <c r="Y279" s="12"/>
      <c r="Z279" s="12"/>
      <c r="AA279" s="14"/>
      <c r="AB279" s="12"/>
      <c r="AC279" s="72"/>
      <c r="AD279" s="72"/>
      <c r="AE279" s="72"/>
      <c r="AF279" s="14"/>
    </row>
    <row r="280" s="22" customFormat="1" ht="51" spans="1:32">
      <c r="A280" s="34">
        <v>65</v>
      </c>
      <c r="B280" s="11" t="s">
        <v>934</v>
      </c>
      <c r="C280" s="34" t="s">
        <v>935</v>
      </c>
      <c r="D280" s="38" t="s">
        <v>297</v>
      </c>
      <c r="E280" s="48" t="s">
        <v>936</v>
      </c>
      <c r="F280" s="48" t="s">
        <v>937</v>
      </c>
      <c r="G280" s="34" t="s">
        <v>38</v>
      </c>
      <c r="H280" s="34" t="s">
        <v>39</v>
      </c>
      <c r="I280" s="15">
        <v>3600</v>
      </c>
      <c r="J280" s="15">
        <v>3240</v>
      </c>
      <c r="K280" s="52"/>
      <c r="L280" s="52"/>
      <c r="M280" s="52"/>
      <c r="N280" s="18">
        <v>3250</v>
      </c>
      <c r="O280" s="18">
        <v>2950</v>
      </c>
      <c r="P280" s="18">
        <v>2500</v>
      </c>
      <c r="Q280" s="34" t="s">
        <v>119</v>
      </c>
      <c r="R280" s="34" t="s">
        <v>39</v>
      </c>
      <c r="S280" s="34" t="s">
        <v>39</v>
      </c>
      <c r="T280" s="52" t="s">
        <v>120</v>
      </c>
      <c r="U280" s="48" t="s">
        <v>242</v>
      </c>
      <c r="V280" s="34"/>
      <c r="W280" s="34"/>
      <c r="X280" s="34"/>
      <c r="Y280" s="12"/>
      <c r="Z280" s="12"/>
      <c r="AA280" s="14"/>
      <c r="AB280" s="12"/>
      <c r="AC280" s="72"/>
      <c r="AD280" s="72"/>
      <c r="AE280" s="72"/>
      <c r="AF280" s="14"/>
    </row>
    <row r="281" s="22" customFormat="1" ht="39" customHeight="1" spans="1:32">
      <c r="A281" s="34" t="s">
        <v>68</v>
      </c>
      <c r="B281" s="11" t="s">
        <v>938</v>
      </c>
      <c r="C281" s="34" t="s">
        <v>939</v>
      </c>
      <c r="D281" s="38" t="s">
        <v>297</v>
      </c>
      <c r="E281" s="48" t="s">
        <v>39</v>
      </c>
      <c r="F281" s="48" t="s">
        <v>39</v>
      </c>
      <c r="G281" s="34" t="s">
        <v>38</v>
      </c>
      <c r="H281" s="34" t="s">
        <v>39</v>
      </c>
      <c r="I281" s="15">
        <v>1080</v>
      </c>
      <c r="J281" s="15">
        <v>972</v>
      </c>
      <c r="K281" s="52"/>
      <c r="L281" s="52"/>
      <c r="M281" s="52"/>
      <c r="N281" s="18">
        <v>975</v>
      </c>
      <c r="O281" s="18">
        <v>885</v>
      </c>
      <c r="P281" s="18">
        <v>750</v>
      </c>
      <c r="Q281" s="34" t="s">
        <v>119</v>
      </c>
      <c r="R281" s="34" t="s">
        <v>39</v>
      </c>
      <c r="S281" s="34" t="s">
        <v>39</v>
      </c>
      <c r="T281" s="52"/>
      <c r="U281" s="48" t="s">
        <v>71</v>
      </c>
      <c r="V281" s="34"/>
      <c r="W281" s="34"/>
      <c r="X281" s="34"/>
      <c r="Y281" s="12"/>
      <c r="Z281" s="12"/>
      <c r="AA281" s="14"/>
      <c r="AB281" s="12"/>
      <c r="AC281" s="72"/>
      <c r="AD281" s="72"/>
      <c r="AE281" s="72"/>
      <c r="AF281" s="14"/>
    </row>
    <row r="282" s="22" customFormat="1" ht="58" customHeight="1" spans="1:32">
      <c r="A282" s="34">
        <v>66</v>
      </c>
      <c r="B282" s="11" t="s">
        <v>940</v>
      </c>
      <c r="C282" s="34" t="s">
        <v>941</v>
      </c>
      <c r="D282" s="38" t="s">
        <v>297</v>
      </c>
      <c r="E282" s="48" t="s">
        <v>942</v>
      </c>
      <c r="F282" s="48" t="s">
        <v>943</v>
      </c>
      <c r="G282" s="34" t="s">
        <v>38</v>
      </c>
      <c r="H282" s="34" t="s">
        <v>944</v>
      </c>
      <c r="I282" s="15">
        <v>2190</v>
      </c>
      <c r="J282" s="15">
        <v>1971</v>
      </c>
      <c r="K282" s="52">
        <v>2530</v>
      </c>
      <c r="L282" s="52">
        <v>2280</v>
      </c>
      <c r="M282" s="52">
        <v>1940</v>
      </c>
      <c r="N282" s="18">
        <v>2000</v>
      </c>
      <c r="O282" s="18">
        <v>1800</v>
      </c>
      <c r="P282" s="18">
        <v>1550</v>
      </c>
      <c r="Q282" s="34" t="s">
        <v>40</v>
      </c>
      <c r="R282" s="34" t="s">
        <v>39</v>
      </c>
      <c r="S282" s="34" t="s">
        <v>39</v>
      </c>
      <c r="T282" s="52" t="s">
        <v>41</v>
      </c>
      <c r="U282" s="48" t="s">
        <v>945</v>
      </c>
      <c r="V282" s="34" t="s">
        <v>946</v>
      </c>
      <c r="W282" s="34">
        <v>330900010</v>
      </c>
      <c r="X282" s="34" t="s">
        <v>947</v>
      </c>
      <c r="Y282" s="12" t="s">
        <v>39</v>
      </c>
      <c r="Z282" s="12" t="s">
        <v>39</v>
      </c>
      <c r="AA282" s="14" t="s">
        <v>38</v>
      </c>
      <c r="AB282" s="12" t="s">
        <v>39</v>
      </c>
      <c r="AC282" s="18">
        <v>2530</v>
      </c>
      <c r="AD282" s="18">
        <v>2280</v>
      </c>
      <c r="AE282" s="18">
        <v>1940</v>
      </c>
      <c r="AF282" s="14" t="s">
        <v>40</v>
      </c>
    </row>
    <row r="283" s="22" customFormat="1" ht="38" customHeight="1" spans="1:32">
      <c r="A283" s="34" t="s">
        <v>68</v>
      </c>
      <c r="B283" s="11" t="s">
        <v>948</v>
      </c>
      <c r="C283" s="34" t="s">
        <v>949</v>
      </c>
      <c r="D283" s="38" t="s">
        <v>297</v>
      </c>
      <c r="E283" s="48" t="s">
        <v>39</v>
      </c>
      <c r="F283" s="48" t="s">
        <v>39</v>
      </c>
      <c r="G283" s="34" t="s">
        <v>38</v>
      </c>
      <c r="H283" s="34" t="s">
        <v>39</v>
      </c>
      <c r="I283" s="15">
        <v>657</v>
      </c>
      <c r="J283" s="15">
        <v>591</v>
      </c>
      <c r="K283" s="52"/>
      <c r="L283" s="52"/>
      <c r="M283" s="52"/>
      <c r="N283" s="18">
        <v>600</v>
      </c>
      <c r="O283" s="18">
        <v>540</v>
      </c>
      <c r="P283" s="18">
        <v>460</v>
      </c>
      <c r="Q283" s="34" t="s">
        <v>40</v>
      </c>
      <c r="R283" s="34" t="s">
        <v>39</v>
      </c>
      <c r="S283" s="34" t="s">
        <v>39</v>
      </c>
      <c r="T283" s="52"/>
      <c r="U283" s="48" t="s">
        <v>71</v>
      </c>
      <c r="V283" s="34" t="s">
        <v>950</v>
      </c>
      <c r="W283" s="34">
        <v>33090001001</v>
      </c>
      <c r="X283" s="34" t="s">
        <v>951</v>
      </c>
      <c r="Y283" s="12" t="s">
        <v>39</v>
      </c>
      <c r="Z283" s="12" t="s">
        <v>39</v>
      </c>
      <c r="AA283" s="14" t="s">
        <v>38</v>
      </c>
      <c r="AB283" s="12" t="s">
        <v>39</v>
      </c>
      <c r="AC283" s="18">
        <v>3290</v>
      </c>
      <c r="AD283" s="18">
        <v>2965</v>
      </c>
      <c r="AE283" s="18">
        <v>2520</v>
      </c>
      <c r="AF283" s="14" t="s">
        <v>40</v>
      </c>
    </row>
    <row r="284" s="22" customFormat="1" ht="38" customHeight="1" spans="1:32">
      <c r="A284" s="34" t="s">
        <v>68</v>
      </c>
      <c r="B284" s="11" t="s">
        <v>952</v>
      </c>
      <c r="C284" s="34" t="s">
        <v>953</v>
      </c>
      <c r="D284" s="38" t="s">
        <v>297</v>
      </c>
      <c r="E284" s="48" t="s">
        <v>39</v>
      </c>
      <c r="F284" s="48" t="s">
        <v>39</v>
      </c>
      <c r="G284" s="34" t="s">
        <v>38</v>
      </c>
      <c r="H284" s="34" t="s">
        <v>39</v>
      </c>
      <c r="I284" s="15">
        <v>2190</v>
      </c>
      <c r="J284" s="15">
        <v>1971</v>
      </c>
      <c r="K284" s="52"/>
      <c r="L284" s="52"/>
      <c r="M284" s="52"/>
      <c r="N284" s="18">
        <v>2000</v>
      </c>
      <c r="O284" s="18">
        <v>1800</v>
      </c>
      <c r="P284" s="18">
        <v>1550</v>
      </c>
      <c r="Q284" s="34" t="s">
        <v>40</v>
      </c>
      <c r="R284" s="34" t="s">
        <v>39</v>
      </c>
      <c r="S284" s="34" t="s">
        <v>39</v>
      </c>
      <c r="T284" s="52"/>
      <c r="U284" s="48" t="s">
        <v>954</v>
      </c>
      <c r="V284" s="34"/>
      <c r="W284" s="34"/>
      <c r="X284" s="34"/>
      <c r="Y284" s="12"/>
      <c r="Z284" s="12"/>
      <c r="AA284" s="14"/>
      <c r="AB284" s="12"/>
      <c r="AC284" s="72"/>
      <c r="AD284" s="72"/>
      <c r="AE284" s="72"/>
      <c r="AF284" s="14"/>
    </row>
    <row r="285" s="22" customFormat="1" ht="62" customHeight="1" spans="1:32">
      <c r="A285" s="34">
        <v>67</v>
      </c>
      <c r="B285" s="11" t="s">
        <v>955</v>
      </c>
      <c r="C285" s="34" t="s">
        <v>956</v>
      </c>
      <c r="D285" s="38" t="s">
        <v>297</v>
      </c>
      <c r="E285" s="48" t="s">
        <v>957</v>
      </c>
      <c r="F285" s="48" t="s">
        <v>958</v>
      </c>
      <c r="G285" s="34" t="s">
        <v>38</v>
      </c>
      <c r="H285" s="34" t="s">
        <v>39</v>
      </c>
      <c r="I285" s="15">
        <v>1674</v>
      </c>
      <c r="J285" s="15">
        <v>1507</v>
      </c>
      <c r="K285" s="52">
        <v>1500</v>
      </c>
      <c r="L285" s="52">
        <v>1440</v>
      </c>
      <c r="M285" s="52">
        <v>1224</v>
      </c>
      <c r="N285" s="18">
        <v>1500</v>
      </c>
      <c r="O285" s="18">
        <v>1440</v>
      </c>
      <c r="P285" s="18">
        <v>1224</v>
      </c>
      <c r="Q285" s="34" t="s">
        <v>40</v>
      </c>
      <c r="R285" s="34" t="s">
        <v>39</v>
      </c>
      <c r="S285" s="34" t="s">
        <v>39</v>
      </c>
      <c r="T285" s="52" t="s">
        <v>113</v>
      </c>
      <c r="U285" s="48" t="s">
        <v>113</v>
      </c>
      <c r="V285" s="34" t="s">
        <v>959</v>
      </c>
      <c r="W285" s="34">
        <v>330703022</v>
      </c>
      <c r="X285" s="34" t="s">
        <v>960</v>
      </c>
      <c r="Y285" s="12" t="s">
        <v>39</v>
      </c>
      <c r="Z285" s="12" t="s">
        <v>39</v>
      </c>
      <c r="AA285" s="14" t="s">
        <v>38</v>
      </c>
      <c r="AB285" s="12" t="s">
        <v>39</v>
      </c>
      <c r="AC285" s="18">
        <v>1500</v>
      </c>
      <c r="AD285" s="18">
        <v>1440</v>
      </c>
      <c r="AE285" s="18">
        <v>1224</v>
      </c>
      <c r="AF285" s="14" t="s">
        <v>40</v>
      </c>
    </row>
    <row r="286" s="22" customFormat="1" ht="36" customHeight="1" spans="1:32">
      <c r="A286" s="34" t="s">
        <v>68</v>
      </c>
      <c r="B286" s="11" t="s">
        <v>961</v>
      </c>
      <c r="C286" s="34" t="s">
        <v>962</v>
      </c>
      <c r="D286" s="38" t="s">
        <v>297</v>
      </c>
      <c r="E286" s="48" t="s">
        <v>39</v>
      </c>
      <c r="F286" s="48" t="s">
        <v>39</v>
      </c>
      <c r="G286" s="34" t="s">
        <v>38</v>
      </c>
      <c r="H286" s="34" t="s">
        <v>39</v>
      </c>
      <c r="I286" s="15">
        <v>502</v>
      </c>
      <c r="J286" s="15">
        <v>452</v>
      </c>
      <c r="K286" s="52"/>
      <c r="L286" s="52"/>
      <c r="M286" s="52"/>
      <c r="N286" s="18">
        <v>450</v>
      </c>
      <c r="O286" s="18">
        <v>430</v>
      </c>
      <c r="P286" s="18">
        <v>365</v>
      </c>
      <c r="Q286" s="34" t="s">
        <v>40</v>
      </c>
      <c r="R286" s="34" t="s">
        <v>39</v>
      </c>
      <c r="S286" s="34" t="s">
        <v>39</v>
      </c>
      <c r="T286" s="52"/>
      <c r="U286" s="48" t="s">
        <v>71</v>
      </c>
      <c r="V286" s="34" t="s">
        <v>963</v>
      </c>
      <c r="W286" s="34">
        <v>33070302201</v>
      </c>
      <c r="X286" s="34" t="s">
        <v>964</v>
      </c>
      <c r="Y286" s="12" t="s">
        <v>39</v>
      </c>
      <c r="Z286" s="12" t="s">
        <v>39</v>
      </c>
      <c r="AA286" s="14" t="s">
        <v>38</v>
      </c>
      <c r="AB286" s="12" t="s">
        <v>39</v>
      </c>
      <c r="AC286" s="18">
        <v>1950</v>
      </c>
      <c r="AD286" s="18">
        <v>1870</v>
      </c>
      <c r="AE286" s="18">
        <v>1590</v>
      </c>
      <c r="AF286" s="14" t="s">
        <v>40</v>
      </c>
    </row>
    <row r="287" s="22" customFormat="1" ht="33" customHeight="1" spans="1:32">
      <c r="A287" s="34">
        <v>68</v>
      </c>
      <c r="B287" s="11" t="s">
        <v>965</v>
      </c>
      <c r="C287" s="34" t="s">
        <v>966</v>
      </c>
      <c r="D287" s="11" t="s">
        <v>297</v>
      </c>
      <c r="E287" s="48" t="s">
        <v>967</v>
      </c>
      <c r="F287" s="48" t="s">
        <v>398</v>
      </c>
      <c r="G287" s="34" t="s">
        <v>38</v>
      </c>
      <c r="H287" s="34" t="s">
        <v>39</v>
      </c>
      <c r="I287" s="15">
        <v>5866</v>
      </c>
      <c r="J287" s="15">
        <v>5279</v>
      </c>
      <c r="K287" s="53">
        <v>4505.71428571429</v>
      </c>
      <c r="L287" s="53">
        <v>3973.90728476821</v>
      </c>
      <c r="M287" s="53">
        <v>3495</v>
      </c>
      <c r="N287" s="58">
        <v>5200</v>
      </c>
      <c r="O287" s="58">
        <v>4700</v>
      </c>
      <c r="P287" s="58">
        <v>4000</v>
      </c>
      <c r="Q287" s="62" t="s">
        <v>40</v>
      </c>
      <c r="R287" s="62" t="s">
        <v>39</v>
      </c>
      <c r="S287" s="62" t="s">
        <v>39</v>
      </c>
      <c r="T287" s="53" t="s">
        <v>209</v>
      </c>
      <c r="U287" s="68" t="s">
        <v>968</v>
      </c>
      <c r="V287" s="34" t="s">
        <v>969</v>
      </c>
      <c r="W287" s="34">
        <v>330204016</v>
      </c>
      <c r="X287" s="34" t="s">
        <v>970</v>
      </c>
      <c r="Y287" s="12" t="s">
        <v>39</v>
      </c>
      <c r="Z287" s="12" t="s">
        <v>39</v>
      </c>
      <c r="AA287" s="14" t="s">
        <v>241</v>
      </c>
      <c r="AB287" s="12" t="s">
        <v>971</v>
      </c>
      <c r="AC287" s="18">
        <v>3040</v>
      </c>
      <c r="AD287" s="18">
        <v>2740</v>
      </c>
      <c r="AE287" s="18">
        <v>2330</v>
      </c>
      <c r="AF287" s="14" t="s">
        <v>40</v>
      </c>
    </row>
    <row r="288" s="25" customFormat="1" ht="33" customHeight="1" spans="1:16177">
      <c r="A288" s="34"/>
      <c r="B288" s="11"/>
      <c r="C288" s="34"/>
      <c r="D288" s="11"/>
      <c r="E288" s="48"/>
      <c r="F288" s="48"/>
      <c r="G288" s="34"/>
      <c r="H288" s="34"/>
      <c r="I288" s="54"/>
      <c r="J288" s="54"/>
      <c r="K288" s="53"/>
      <c r="L288" s="53"/>
      <c r="M288" s="53"/>
      <c r="N288" s="58"/>
      <c r="O288" s="58"/>
      <c r="P288" s="58"/>
      <c r="Q288" s="62"/>
      <c r="R288" s="62"/>
      <c r="S288" s="62"/>
      <c r="T288" s="53"/>
      <c r="U288" s="68"/>
      <c r="V288" s="11" t="s">
        <v>972</v>
      </c>
      <c r="W288" s="11">
        <v>33020401602</v>
      </c>
      <c r="X288" s="11" t="s">
        <v>970</v>
      </c>
      <c r="Y288" s="12" t="s">
        <v>39</v>
      </c>
      <c r="Z288" s="12" t="s">
        <v>39</v>
      </c>
      <c r="AA288" s="14" t="s">
        <v>803</v>
      </c>
      <c r="AB288" s="12" t="s">
        <v>39</v>
      </c>
      <c r="AC288" s="18">
        <v>4560</v>
      </c>
      <c r="AD288" s="18">
        <v>4110</v>
      </c>
      <c r="AE288" s="18">
        <v>3495</v>
      </c>
      <c r="AF288" s="14" t="s">
        <v>40</v>
      </c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2"/>
      <c r="CA288" s="22"/>
      <c r="CB288" s="22"/>
      <c r="CC288" s="22"/>
      <c r="CD288" s="22"/>
      <c r="CE288" s="22"/>
      <c r="CF288" s="22"/>
      <c r="CG288" s="22"/>
      <c r="CH288" s="22"/>
      <c r="CI288" s="22"/>
      <c r="CJ288" s="22"/>
      <c r="CK288" s="22"/>
      <c r="CL288" s="22"/>
      <c r="CM288" s="22"/>
      <c r="CN288" s="22"/>
      <c r="CO288" s="22"/>
      <c r="CP288" s="22"/>
      <c r="CQ288" s="22"/>
      <c r="CR288" s="22"/>
      <c r="CS288" s="22"/>
      <c r="CT288" s="22"/>
      <c r="CU288" s="22"/>
      <c r="CV288" s="22"/>
      <c r="CW288" s="22"/>
      <c r="CX288" s="22"/>
      <c r="CY288" s="22"/>
      <c r="CZ288" s="22"/>
      <c r="DA288" s="22"/>
      <c r="DB288" s="22"/>
      <c r="DC288" s="22"/>
      <c r="DD288" s="22"/>
      <c r="DE288" s="22"/>
      <c r="DF288" s="22"/>
      <c r="DG288" s="22"/>
      <c r="DH288" s="22"/>
      <c r="DI288" s="22"/>
      <c r="DJ288" s="22"/>
      <c r="DK288" s="22"/>
      <c r="DL288" s="22"/>
      <c r="DM288" s="22"/>
      <c r="DN288" s="22"/>
      <c r="DO288" s="22"/>
      <c r="DP288" s="22"/>
      <c r="DQ288" s="22"/>
      <c r="DR288" s="22"/>
      <c r="DS288" s="22"/>
      <c r="DT288" s="22"/>
      <c r="DU288" s="22"/>
      <c r="DV288" s="22"/>
      <c r="DW288" s="22"/>
      <c r="DX288" s="22"/>
      <c r="DY288" s="22"/>
      <c r="DZ288" s="22"/>
      <c r="EA288" s="22"/>
      <c r="EB288" s="22"/>
      <c r="EC288" s="22"/>
      <c r="ED288" s="22"/>
      <c r="EE288" s="22"/>
      <c r="EF288" s="22"/>
      <c r="EG288" s="22"/>
      <c r="EH288" s="22"/>
      <c r="EI288" s="22"/>
      <c r="EJ288" s="22"/>
      <c r="EK288" s="22"/>
      <c r="EL288" s="22"/>
      <c r="EM288" s="22"/>
      <c r="EN288" s="22"/>
      <c r="EO288" s="22"/>
      <c r="EP288" s="22"/>
      <c r="EQ288" s="22"/>
      <c r="ER288" s="22"/>
      <c r="ES288" s="22"/>
      <c r="ET288" s="22"/>
      <c r="EU288" s="22"/>
      <c r="EV288" s="22"/>
      <c r="EW288" s="22"/>
      <c r="EX288" s="22"/>
      <c r="EY288" s="22"/>
      <c r="EZ288" s="22"/>
      <c r="FA288" s="22"/>
      <c r="FB288" s="22"/>
      <c r="FC288" s="22"/>
      <c r="FD288" s="22"/>
      <c r="FE288" s="22"/>
      <c r="FF288" s="22"/>
      <c r="FG288" s="22"/>
      <c r="FH288" s="22"/>
      <c r="FI288" s="22"/>
      <c r="FJ288" s="22"/>
      <c r="FK288" s="22"/>
      <c r="FL288" s="22"/>
      <c r="FM288" s="22"/>
      <c r="FN288" s="22"/>
      <c r="FO288" s="22"/>
      <c r="FP288" s="22"/>
      <c r="FQ288" s="22"/>
      <c r="FR288" s="22"/>
      <c r="FS288" s="22"/>
      <c r="FT288" s="22"/>
      <c r="FU288" s="22"/>
      <c r="FV288" s="22"/>
      <c r="FW288" s="22"/>
      <c r="FX288" s="22"/>
      <c r="FY288" s="22"/>
      <c r="FZ288" s="22"/>
      <c r="GA288" s="22"/>
      <c r="GB288" s="22"/>
      <c r="GC288" s="22"/>
      <c r="GD288" s="22"/>
      <c r="GE288" s="22"/>
      <c r="GF288" s="22"/>
      <c r="GG288" s="22"/>
      <c r="GH288" s="22"/>
      <c r="GI288" s="22"/>
      <c r="GJ288" s="22"/>
      <c r="GK288" s="22"/>
      <c r="GL288" s="22"/>
      <c r="GM288" s="22"/>
      <c r="GN288" s="22"/>
      <c r="GO288" s="22"/>
      <c r="GP288" s="22"/>
      <c r="GQ288" s="22"/>
      <c r="GR288" s="22"/>
      <c r="GS288" s="22"/>
      <c r="GT288" s="22"/>
      <c r="GU288" s="22"/>
      <c r="GV288" s="22"/>
      <c r="GW288" s="22"/>
      <c r="GX288" s="22"/>
      <c r="GY288" s="22"/>
      <c r="GZ288" s="22"/>
      <c r="HA288" s="22"/>
      <c r="HB288" s="22"/>
      <c r="HC288" s="22"/>
      <c r="HD288" s="22"/>
      <c r="HE288" s="22"/>
      <c r="HF288" s="22"/>
      <c r="HG288" s="22"/>
      <c r="HH288" s="22"/>
      <c r="HI288" s="22"/>
      <c r="HJ288" s="22"/>
      <c r="HK288" s="22"/>
      <c r="HL288" s="22"/>
      <c r="HM288" s="22"/>
      <c r="HN288" s="22"/>
      <c r="HO288" s="22"/>
      <c r="HP288" s="22"/>
      <c r="HQ288" s="22"/>
      <c r="HR288" s="22"/>
      <c r="HS288" s="22"/>
      <c r="HT288" s="22"/>
      <c r="HU288" s="22"/>
      <c r="HV288" s="22"/>
      <c r="HW288" s="22"/>
      <c r="HX288" s="22"/>
      <c r="HY288" s="22"/>
      <c r="HZ288" s="22"/>
      <c r="IA288" s="22"/>
      <c r="IB288" s="22"/>
      <c r="IC288" s="22"/>
      <c r="ID288" s="22"/>
      <c r="IE288" s="22"/>
      <c r="IF288" s="22"/>
      <c r="IG288" s="22"/>
      <c r="IH288" s="22"/>
      <c r="II288" s="22"/>
      <c r="IJ288" s="22"/>
      <c r="IK288" s="22"/>
      <c r="IL288" s="22"/>
      <c r="IM288" s="22"/>
      <c r="IN288" s="22"/>
      <c r="IO288" s="22"/>
      <c r="IP288" s="22"/>
      <c r="IQ288" s="22"/>
      <c r="IR288" s="22"/>
      <c r="IS288" s="22"/>
      <c r="IT288" s="22"/>
      <c r="IU288" s="22"/>
      <c r="IV288" s="22"/>
      <c r="IW288" s="22"/>
      <c r="IX288" s="22"/>
      <c r="IY288" s="22"/>
      <c r="IZ288" s="22"/>
      <c r="JA288" s="22"/>
      <c r="JB288" s="22"/>
      <c r="JC288" s="22"/>
      <c r="JD288" s="22"/>
      <c r="JE288" s="22"/>
      <c r="JF288" s="22"/>
      <c r="JG288" s="22"/>
      <c r="JH288" s="22"/>
      <c r="JI288" s="22"/>
      <c r="JJ288" s="22"/>
      <c r="JK288" s="22"/>
      <c r="JL288" s="22"/>
      <c r="JM288" s="22"/>
      <c r="JN288" s="22"/>
      <c r="JO288" s="22"/>
      <c r="JP288" s="22"/>
      <c r="JQ288" s="22"/>
      <c r="JR288" s="22"/>
      <c r="JS288" s="22"/>
      <c r="JT288" s="22"/>
      <c r="JU288" s="22"/>
      <c r="JV288" s="22"/>
      <c r="JW288" s="22"/>
      <c r="JX288" s="22"/>
      <c r="JY288" s="22"/>
      <c r="JZ288" s="22"/>
      <c r="KA288" s="22"/>
      <c r="KB288" s="22"/>
      <c r="KC288" s="22"/>
      <c r="KD288" s="22"/>
      <c r="KE288" s="22"/>
      <c r="KF288" s="22"/>
      <c r="KG288" s="22"/>
      <c r="KH288" s="22"/>
      <c r="KI288" s="22"/>
      <c r="KJ288" s="22"/>
      <c r="KK288" s="22"/>
      <c r="KL288" s="22"/>
      <c r="KM288" s="22"/>
      <c r="KN288" s="22"/>
      <c r="KO288" s="22"/>
      <c r="KP288" s="22"/>
      <c r="KQ288" s="22"/>
      <c r="KR288" s="22"/>
      <c r="KS288" s="22"/>
      <c r="KT288" s="22"/>
      <c r="KU288" s="22"/>
      <c r="KV288" s="22"/>
      <c r="KW288" s="22"/>
      <c r="KX288" s="22"/>
      <c r="KY288" s="22"/>
      <c r="KZ288" s="22"/>
      <c r="LA288" s="22"/>
      <c r="LB288" s="22"/>
      <c r="LC288" s="22"/>
      <c r="LD288" s="22"/>
      <c r="LE288" s="22"/>
      <c r="LF288" s="22"/>
      <c r="LG288" s="22"/>
      <c r="LH288" s="22"/>
      <c r="LI288" s="22"/>
      <c r="LJ288" s="22"/>
      <c r="LK288" s="22"/>
      <c r="LL288" s="22"/>
      <c r="LM288" s="22"/>
      <c r="LN288" s="22"/>
      <c r="LO288" s="22"/>
      <c r="LP288" s="22"/>
      <c r="LQ288" s="22"/>
      <c r="LR288" s="22"/>
      <c r="LS288" s="22"/>
      <c r="LT288" s="22"/>
      <c r="LU288" s="22"/>
      <c r="LV288" s="22"/>
      <c r="LW288" s="22"/>
      <c r="LX288" s="22"/>
      <c r="LY288" s="22"/>
      <c r="LZ288" s="22"/>
      <c r="MA288" s="22"/>
      <c r="MB288" s="22"/>
      <c r="MC288" s="22"/>
      <c r="MD288" s="22"/>
      <c r="ME288" s="22"/>
      <c r="MF288" s="22"/>
      <c r="MG288" s="22"/>
      <c r="MH288" s="22"/>
      <c r="MI288" s="22"/>
      <c r="MJ288" s="22"/>
      <c r="MK288" s="22"/>
      <c r="ML288" s="22"/>
      <c r="MM288" s="22"/>
      <c r="MN288" s="22"/>
      <c r="MO288" s="22"/>
      <c r="MP288" s="22"/>
      <c r="MQ288" s="22"/>
      <c r="MR288" s="22"/>
      <c r="MS288" s="22"/>
      <c r="MT288" s="22"/>
      <c r="MU288" s="22"/>
      <c r="MV288" s="22"/>
      <c r="MW288" s="22"/>
      <c r="MX288" s="22"/>
      <c r="MY288" s="22"/>
      <c r="MZ288" s="22"/>
      <c r="NA288" s="22"/>
      <c r="NB288" s="22"/>
      <c r="NC288" s="22"/>
      <c r="ND288" s="22"/>
      <c r="NE288" s="22"/>
      <c r="NF288" s="22"/>
      <c r="NG288" s="22"/>
      <c r="NH288" s="22"/>
      <c r="NI288" s="22"/>
      <c r="NJ288" s="22"/>
      <c r="NK288" s="22"/>
      <c r="NL288" s="22"/>
      <c r="NM288" s="22"/>
      <c r="NN288" s="22"/>
      <c r="NO288" s="22"/>
      <c r="NP288" s="22"/>
      <c r="NQ288" s="22"/>
      <c r="NR288" s="22"/>
      <c r="NS288" s="22"/>
      <c r="NT288" s="22"/>
      <c r="NU288" s="22"/>
      <c r="NV288" s="22"/>
      <c r="NW288" s="22"/>
      <c r="NX288" s="22"/>
      <c r="NY288" s="22"/>
      <c r="NZ288" s="22"/>
      <c r="OA288" s="22"/>
      <c r="OB288" s="22"/>
      <c r="OC288" s="22"/>
      <c r="OD288" s="22"/>
      <c r="OE288" s="22"/>
      <c r="OF288" s="22"/>
      <c r="OG288" s="22"/>
      <c r="OH288" s="22"/>
      <c r="OI288" s="22"/>
      <c r="OJ288" s="22"/>
      <c r="OK288" s="22"/>
      <c r="OL288" s="22"/>
      <c r="OM288" s="22"/>
      <c r="ON288" s="22"/>
      <c r="OO288" s="22"/>
      <c r="OP288" s="22"/>
      <c r="OQ288" s="22"/>
      <c r="OR288" s="22"/>
      <c r="OS288" s="22"/>
      <c r="OT288" s="22"/>
      <c r="OU288" s="22"/>
      <c r="OV288" s="22"/>
      <c r="OW288" s="22"/>
      <c r="OX288" s="22"/>
      <c r="OY288" s="22"/>
      <c r="OZ288" s="22"/>
      <c r="PA288" s="22"/>
      <c r="PB288" s="22"/>
      <c r="PC288" s="22"/>
      <c r="PD288" s="22"/>
      <c r="PE288" s="22"/>
      <c r="PF288" s="22"/>
      <c r="PG288" s="22"/>
      <c r="PH288" s="22"/>
      <c r="PI288" s="22"/>
      <c r="PJ288" s="22"/>
      <c r="PK288" s="22"/>
      <c r="PL288" s="22"/>
      <c r="PM288" s="22"/>
      <c r="PN288" s="22"/>
      <c r="PO288" s="22"/>
      <c r="PP288" s="22"/>
      <c r="PQ288" s="22"/>
      <c r="PR288" s="22"/>
      <c r="PS288" s="22"/>
      <c r="PT288" s="22"/>
      <c r="PU288" s="22"/>
      <c r="PV288" s="22"/>
      <c r="PW288" s="22"/>
      <c r="PX288" s="22"/>
      <c r="PY288" s="22"/>
      <c r="PZ288" s="22"/>
      <c r="QA288" s="22"/>
      <c r="QB288" s="22"/>
      <c r="QC288" s="22"/>
      <c r="QD288" s="22"/>
      <c r="QE288" s="22"/>
      <c r="QF288" s="22"/>
      <c r="QG288" s="22"/>
      <c r="QH288" s="22"/>
      <c r="QI288" s="22"/>
      <c r="QJ288" s="22"/>
      <c r="QK288" s="22"/>
      <c r="QL288" s="22"/>
      <c r="QM288" s="22"/>
      <c r="QN288" s="22"/>
      <c r="QO288" s="22"/>
      <c r="QP288" s="22"/>
      <c r="QQ288" s="22"/>
      <c r="QR288" s="22"/>
      <c r="QS288" s="22"/>
      <c r="QT288" s="22"/>
      <c r="QU288" s="22"/>
      <c r="QV288" s="22"/>
      <c r="QW288" s="22"/>
      <c r="QX288" s="22"/>
      <c r="QY288" s="22"/>
      <c r="QZ288" s="22"/>
      <c r="RA288" s="22"/>
      <c r="RB288" s="22"/>
      <c r="RC288" s="22"/>
      <c r="RD288" s="22"/>
      <c r="RE288" s="22"/>
      <c r="RF288" s="22"/>
      <c r="RG288" s="22"/>
      <c r="RH288" s="22"/>
      <c r="RI288" s="22"/>
      <c r="RJ288" s="22"/>
      <c r="RK288" s="22"/>
      <c r="RL288" s="22"/>
      <c r="RM288" s="22"/>
      <c r="RN288" s="22"/>
      <c r="RO288" s="22"/>
      <c r="RP288" s="22"/>
      <c r="RQ288" s="22"/>
      <c r="RR288" s="22"/>
      <c r="RS288" s="22"/>
      <c r="RT288" s="22"/>
      <c r="RU288" s="22"/>
      <c r="RV288" s="22"/>
      <c r="RW288" s="22"/>
      <c r="RX288" s="22"/>
      <c r="RY288" s="22"/>
      <c r="RZ288" s="22"/>
      <c r="SA288" s="22"/>
      <c r="SB288" s="22"/>
      <c r="SC288" s="22"/>
      <c r="SD288" s="22"/>
      <c r="SE288" s="22"/>
      <c r="SF288" s="22"/>
      <c r="SG288" s="22"/>
      <c r="SH288" s="22"/>
      <c r="SI288" s="22"/>
      <c r="SJ288" s="22"/>
      <c r="SK288" s="22"/>
      <c r="SL288" s="22"/>
      <c r="SM288" s="22"/>
      <c r="SN288" s="22"/>
      <c r="SO288" s="22"/>
      <c r="SP288" s="22"/>
      <c r="SQ288" s="22"/>
      <c r="SR288" s="22"/>
      <c r="SS288" s="22"/>
      <c r="ST288" s="22"/>
      <c r="SU288" s="22"/>
      <c r="SV288" s="22"/>
      <c r="SW288" s="22"/>
      <c r="SX288" s="22"/>
      <c r="SY288" s="22"/>
      <c r="SZ288" s="22"/>
      <c r="TA288" s="22"/>
      <c r="TB288" s="22"/>
      <c r="TC288" s="22"/>
      <c r="TD288" s="22"/>
      <c r="TE288" s="22"/>
      <c r="TF288" s="22"/>
      <c r="TG288" s="22"/>
      <c r="TH288" s="22"/>
      <c r="TI288" s="22"/>
      <c r="TJ288" s="22"/>
      <c r="TK288" s="22"/>
      <c r="TL288" s="22"/>
      <c r="TM288" s="22"/>
      <c r="TN288" s="22"/>
      <c r="TO288" s="22"/>
      <c r="TP288" s="22"/>
      <c r="TQ288" s="22"/>
      <c r="TR288" s="22"/>
      <c r="TS288" s="22"/>
      <c r="TT288" s="22"/>
      <c r="TU288" s="22"/>
      <c r="TV288" s="22"/>
      <c r="TW288" s="22"/>
      <c r="TX288" s="22"/>
      <c r="TY288" s="22"/>
      <c r="TZ288" s="22"/>
      <c r="UA288" s="22"/>
      <c r="UB288" s="22"/>
      <c r="UC288" s="22"/>
      <c r="UD288" s="22"/>
      <c r="UE288" s="22"/>
      <c r="UF288" s="22"/>
      <c r="UG288" s="22"/>
      <c r="UH288" s="22"/>
      <c r="UI288" s="22"/>
      <c r="UJ288" s="22"/>
      <c r="UK288" s="22"/>
      <c r="UL288" s="22"/>
      <c r="UM288" s="22"/>
      <c r="UN288" s="22"/>
      <c r="UO288" s="22"/>
      <c r="UP288" s="22"/>
      <c r="UQ288" s="22"/>
      <c r="UR288" s="22"/>
      <c r="US288" s="22"/>
      <c r="UT288" s="22"/>
      <c r="UU288" s="22"/>
      <c r="UV288" s="22"/>
      <c r="UW288" s="22"/>
      <c r="UX288" s="22"/>
      <c r="UY288" s="22"/>
      <c r="UZ288" s="22"/>
      <c r="VA288" s="22"/>
      <c r="VB288" s="22"/>
      <c r="VC288" s="22"/>
      <c r="VD288" s="22"/>
      <c r="VE288" s="22"/>
      <c r="VF288" s="22"/>
      <c r="VG288" s="22"/>
      <c r="VH288" s="22"/>
      <c r="VI288" s="22"/>
      <c r="VJ288" s="22"/>
      <c r="VK288" s="22"/>
      <c r="VL288" s="22"/>
      <c r="VM288" s="22"/>
      <c r="VN288" s="22"/>
      <c r="VO288" s="22"/>
      <c r="VP288" s="22"/>
      <c r="VQ288" s="22"/>
      <c r="VR288" s="22"/>
      <c r="VS288" s="22"/>
      <c r="VT288" s="22"/>
      <c r="VU288" s="22"/>
      <c r="VV288" s="22"/>
      <c r="VW288" s="22"/>
      <c r="VX288" s="22"/>
      <c r="VY288" s="22"/>
      <c r="VZ288" s="22"/>
      <c r="WA288" s="22"/>
      <c r="WB288" s="22"/>
      <c r="WC288" s="22"/>
      <c r="WD288" s="22"/>
      <c r="WE288" s="22"/>
      <c r="WF288" s="22"/>
      <c r="WG288" s="22"/>
      <c r="WH288" s="22"/>
      <c r="WI288" s="22"/>
      <c r="WJ288" s="22"/>
      <c r="WK288" s="22"/>
      <c r="WL288" s="22"/>
      <c r="WM288" s="22"/>
      <c r="WN288" s="22"/>
      <c r="WO288" s="22"/>
      <c r="WP288" s="22"/>
      <c r="WQ288" s="22"/>
      <c r="WR288" s="22"/>
      <c r="WS288" s="22"/>
      <c r="WT288" s="22"/>
      <c r="WU288" s="22"/>
      <c r="WV288" s="22"/>
      <c r="WW288" s="22"/>
      <c r="WX288" s="22"/>
      <c r="WY288" s="22"/>
      <c r="WZ288" s="22"/>
      <c r="XA288" s="22"/>
      <c r="XB288" s="22"/>
      <c r="XC288" s="22"/>
      <c r="XD288" s="22"/>
      <c r="XE288" s="22"/>
      <c r="XF288" s="22"/>
      <c r="XG288" s="22"/>
      <c r="XH288" s="22"/>
      <c r="XI288" s="22"/>
      <c r="XJ288" s="22"/>
      <c r="XK288" s="22"/>
      <c r="XL288" s="22"/>
      <c r="XM288" s="22"/>
      <c r="XN288" s="22"/>
      <c r="XO288" s="22"/>
      <c r="XP288" s="22"/>
      <c r="XQ288" s="22"/>
      <c r="XR288" s="22"/>
      <c r="XS288" s="22"/>
      <c r="XT288" s="22"/>
      <c r="XU288" s="22"/>
      <c r="XV288" s="22"/>
      <c r="XW288" s="22"/>
      <c r="XX288" s="22"/>
      <c r="XY288" s="22"/>
      <c r="XZ288" s="22"/>
      <c r="YA288" s="22"/>
      <c r="YB288" s="22"/>
      <c r="YC288" s="22"/>
      <c r="YD288" s="22"/>
      <c r="YE288" s="22"/>
      <c r="YF288" s="22"/>
      <c r="YG288" s="22"/>
      <c r="YH288" s="22"/>
      <c r="YI288" s="22"/>
      <c r="YJ288" s="22"/>
      <c r="YK288" s="22"/>
      <c r="YL288" s="22"/>
      <c r="YM288" s="22"/>
      <c r="YN288" s="22"/>
      <c r="YO288" s="22"/>
      <c r="YP288" s="22"/>
      <c r="YQ288" s="22"/>
      <c r="YR288" s="22"/>
      <c r="YS288" s="22"/>
      <c r="YT288" s="22"/>
      <c r="YU288" s="22"/>
      <c r="YV288" s="22"/>
      <c r="YW288" s="22"/>
      <c r="YX288" s="22"/>
      <c r="YY288" s="22"/>
      <c r="YZ288" s="22"/>
      <c r="ZA288" s="22"/>
      <c r="ZB288" s="22"/>
      <c r="ZC288" s="22"/>
      <c r="ZD288" s="22"/>
      <c r="ZE288" s="22"/>
      <c r="ZF288" s="22"/>
      <c r="ZG288" s="22"/>
      <c r="ZH288" s="22"/>
      <c r="ZI288" s="22"/>
      <c r="ZJ288" s="22"/>
      <c r="ZK288" s="22"/>
      <c r="ZL288" s="22"/>
      <c r="ZM288" s="22"/>
      <c r="ZN288" s="22"/>
      <c r="ZO288" s="22"/>
      <c r="ZP288" s="22"/>
      <c r="ZQ288" s="22"/>
      <c r="ZR288" s="22"/>
      <c r="ZS288" s="22"/>
      <c r="ZT288" s="22"/>
      <c r="ZU288" s="22"/>
      <c r="ZV288" s="22"/>
      <c r="ZW288" s="22"/>
      <c r="ZX288" s="22"/>
      <c r="ZY288" s="22"/>
      <c r="ZZ288" s="22"/>
      <c r="AAA288" s="22"/>
      <c r="AAB288" s="22"/>
      <c r="AAC288" s="22"/>
      <c r="AAD288" s="22"/>
      <c r="AAE288" s="22"/>
      <c r="AAF288" s="22"/>
      <c r="AAG288" s="22"/>
      <c r="AAH288" s="22"/>
      <c r="AAI288" s="22"/>
      <c r="AAJ288" s="22"/>
      <c r="AAK288" s="22"/>
      <c r="AAL288" s="22"/>
      <c r="AAM288" s="22"/>
      <c r="AAN288" s="22"/>
      <c r="AAO288" s="22"/>
      <c r="AAP288" s="22"/>
      <c r="AAQ288" s="22"/>
      <c r="AAR288" s="22"/>
      <c r="AAS288" s="22"/>
      <c r="AAT288" s="22"/>
      <c r="AAU288" s="22"/>
      <c r="AAV288" s="22"/>
      <c r="AAW288" s="22"/>
      <c r="AAX288" s="22"/>
      <c r="AAY288" s="22"/>
      <c r="AAZ288" s="22"/>
      <c r="ABA288" s="22"/>
      <c r="ABB288" s="22"/>
      <c r="ABC288" s="22"/>
      <c r="ABD288" s="22"/>
      <c r="ABE288" s="22"/>
      <c r="ABF288" s="22"/>
      <c r="ABG288" s="22"/>
      <c r="ABH288" s="22"/>
      <c r="ABI288" s="22"/>
      <c r="ABJ288" s="22"/>
      <c r="ABK288" s="22"/>
      <c r="ABL288" s="22"/>
      <c r="ABM288" s="22"/>
      <c r="ABN288" s="22"/>
      <c r="ABO288" s="22"/>
      <c r="ABP288" s="22"/>
      <c r="ABQ288" s="22"/>
      <c r="ABR288" s="22"/>
      <c r="ABS288" s="22"/>
      <c r="ABT288" s="22"/>
      <c r="ABU288" s="22"/>
      <c r="ABV288" s="22"/>
      <c r="ABW288" s="22"/>
      <c r="ABX288" s="22"/>
      <c r="ABY288" s="22"/>
      <c r="ABZ288" s="22"/>
      <c r="ACA288" s="22"/>
      <c r="ACB288" s="22"/>
      <c r="ACC288" s="22"/>
      <c r="ACD288" s="22"/>
      <c r="ACE288" s="22"/>
      <c r="ACF288" s="22"/>
      <c r="ACG288" s="22"/>
      <c r="ACH288" s="22"/>
      <c r="ACI288" s="22"/>
      <c r="ACJ288" s="22"/>
      <c r="ACK288" s="22"/>
      <c r="ACL288" s="22"/>
      <c r="ACM288" s="22"/>
      <c r="ACN288" s="22"/>
      <c r="ACO288" s="22"/>
      <c r="ACP288" s="22"/>
      <c r="ACQ288" s="22"/>
      <c r="ACR288" s="22"/>
      <c r="ACS288" s="22"/>
      <c r="ACT288" s="22"/>
      <c r="ACU288" s="22"/>
      <c r="ACV288" s="22"/>
      <c r="ACW288" s="22"/>
      <c r="ACX288" s="22"/>
      <c r="ACY288" s="22"/>
      <c r="ACZ288" s="22"/>
      <c r="ADA288" s="22"/>
      <c r="ADB288" s="22"/>
      <c r="ADC288" s="22"/>
      <c r="ADD288" s="22"/>
      <c r="ADE288" s="22"/>
      <c r="ADF288" s="22"/>
      <c r="ADG288" s="22"/>
      <c r="ADH288" s="22"/>
      <c r="ADI288" s="22"/>
      <c r="ADJ288" s="22"/>
      <c r="ADK288" s="22"/>
      <c r="ADL288" s="22"/>
      <c r="ADM288" s="22"/>
      <c r="ADN288" s="22"/>
      <c r="ADO288" s="22"/>
      <c r="ADP288" s="22"/>
      <c r="ADQ288" s="22"/>
      <c r="ADR288" s="22"/>
      <c r="ADS288" s="22"/>
      <c r="ADT288" s="22"/>
      <c r="ADU288" s="22"/>
      <c r="ADV288" s="22"/>
      <c r="ADW288" s="22"/>
      <c r="ADX288" s="22"/>
      <c r="ADY288" s="22"/>
      <c r="ADZ288" s="22"/>
      <c r="AEA288" s="22"/>
      <c r="AEB288" s="22"/>
      <c r="AEC288" s="22"/>
      <c r="AED288" s="22"/>
      <c r="AEE288" s="22"/>
      <c r="AEF288" s="22"/>
      <c r="AEG288" s="22"/>
      <c r="AEH288" s="22"/>
      <c r="AEI288" s="22"/>
      <c r="AEJ288" s="22"/>
      <c r="AEK288" s="22"/>
      <c r="AEL288" s="22"/>
      <c r="AEM288" s="22"/>
      <c r="AEN288" s="22"/>
      <c r="AEO288" s="22"/>
      <c r="AEP288" s="22"/>
      <c r="AEQ288" s="22"/>
      <c r="AER288" s="22"/>
      <c r="AES288" s="22"/>
      <c r="AET288" s="22"/>
      <c r="AEU288" s="22"/>
      <c r="AEV288" s="22"/>
      <c r="AEW288" s="22"/>
      <c r="AEX288" s="22"/>
      <c r="AEY288" s="22"/>
      <c r="AEZ288" s="22"/>
      <c r="AFA288" s="22"/>
      <c r="AFB288" s="22"/>
      <c r="AFC288" s="22"/>
      <c r="AFD288" s="22"/>
      <c r="AFE288" s="22"/>
      <c r="AFF288" s="22"/>
      <c r="AFG288" s="22"/>
      <c r="AFH288" s="22"/>
      <c r="AFI288" s="22"/>
      <c r="AFJ288" s="22"/>
      <c r="AFK288" s="22"/>
      <c r="AFL288" s="22"/>
      <c r="AFM288" s="22"/>
      <c r="AFN288" s="22"/>
      <c r="AFO288" s="22"/>
      <c r="AFP288" s="22"/>
      <c r="AFQ288" s="22"/>
      <c r="AFR288" s="22"/>
      <c r="AFS288" s="22"/>
      <c r="AFT288" s="22"/>
      <c r="AFU288" s="22"/>
      <c r="AFV288" s="22"/>
      <c r="AFW288" s="22"/>
      <c r="AFX288" s="22"/>
      <c r="AFY288" s="22"/>
      <c r="AFZ288" s="22"/>
      <c r="AGA288" s="22"/>
      <c r="AGB288" s="22"/>
      <c r="AGC288" s="22"/>
      <c r="AGD288" s="22"/>
      <c r="AGE288" s="22"/>
      <c r="AGF288" s="22"/>
      <c r="AGG288" s="22"/>
      <c r="AGH288" s="22"/>
      <c r="AGI288" s="22"/>
      <c r="AGJ288" s="22"/>
      <c r="AGK288" s="22"/>
      <c r="AGL288" s="22"/>
      <c r="AGM288" s="22"/>
      <c r="AGN288" s="22"/>
      <c r="AGO288" s="22"/>
      <c r="AGP288" s="22"/>
      <c r="AGQ288" s="22"/>
      <c r="AGR288" s="22"/>
      <c r="AGS288" s="22"/>
      <c r="AGT288" s="22"/>
      <c r="AGU288" s="22"/>
      <c r="AGV288" s="22"/>
      <c r="AGW288" s="22"/>
      <c r="AGX288" s="22"/>
      <c r="AGY288" s="22"/>
      <c r="AGZ288" s="22"/>
      <c r="AHA288" s="22"/>
      <c r="AHB288" s="22"/>
      <c r="AHC288" s="22"/>
      <c r="AHD288" s="22"/>
      <c r="AHE288" s="22"/>
      <c r="AHF288" s="22"/>
      <c r="AHG288" s="22"/>
      <c r="AHH288" s="22"/>
      <c r="AHI288" s="22"/>
      <c r="AHJ288" s="22"/>
      <c r="AHK288" s="22"/>
      <c r="AHL288" s="22"/>
      <c r="AHM288" s="22"/>
      <c r="AHN288" s="22"/>
      <c r="AHO288" s="22"/>
      <c r="AHP288" s="22"/>
      <c r="AHQ288" s="22"/>
      <c r="AHR288" s="22"/>
      <c r="AHS288" s="22"/>
      <c r="AHT288" s="22"/>
      <c r="AHU288" s="22"/>
      <c r="AHV288" s="22"/>
      <c r="AHW288" s="22"/>
      <c r="AHX288" s="22"/>
      <c r="AHY288" s="22"/>
      <c r="AHZ288" s="22"/>
      <c r="AIA288" s="22"/>
      <c r="AIB288" s="22"/>
      <c r="AIC288" s="22"/>
      <c r="AID288" s="22"/>
      <c r="AIE288" s="22"/>
      <c r="AIF288" s="22"/>
      <c r="AIG288" s="22"/>
      <c r="AIH288" s="22"/>
      <c r="AII288" s="22"/>
      <c r="AIJ288" s="22"/>
      <c r="AIK288" s="22"/>
      <c r="AIL288" s="22"/>
      <c r="AIM288" s="22"/>
      <c r="AIN288" s="22"/>
      <c r="AIO288" s="22"/>
      <c r="AIP288" s="22"/>
      <c r="AIQ288" s="22"/>
      <c r="AIR288" s="22"/>
      <c r="AIS288" s="22"/>
      <c r="AIT288" s="22"/>
      <c r="AIU288" s="22"/>
      <c r="AIV288" s="22"/>
      <c r="AIW288" s="22"/>
      <c r="AIX288" s="22"/>
      <c r="AIY288" s="22"/>
      <c r="AIZ288" s="22"/>
      <c r="AJA288" s="22"/>
      <c r="AJB288" s="22"/>
      <c r="AJC288" s="22"/>
      <c r="AJD288" s="22"/>
      <c r="AJE288" s="22"/>
      <c r="AJF288" s="22"/>
      <c r="AJG288" s="22"/>
      <c r="AJH288" s="22"/>
      <c r="AJI288" s="22"/>
      <c r="AJJ288" s="22"/>
      <c r="AJK288" s="22"/>
      <c r="AJL288" s="22"/>
      <c r="AJM288" s="22"/>
      <c r="AJN288" s="22"/>
      <c r="AJO288" s="22"/>
      <c r="AJP288" s="22"/>
      <c r="AJQ288" s="22"/>
      <c r="AJR288" s="22"/>
      <c r="AJS288" s="22"/>
      <c r="AJT288" s="22"/>
      <c r="AJU288" s="22"/>
      <c r="AJV288" s="22"/>
      <c r="AJW288" s="22"/>
      <c r="AJX288" s="22"/>
      <c r="AJY288" s="22"/>
      <c r="AJZ288" s="22"/>
      <c r="AKA288" s="22"/>
      <c r="AKB288" s="22"/>
      <c r="AKC288" s="22"/>
      <c r="AKD288" s="22"/>
      <c r="AKE288" s="22"/>
      <c r="AKF288" s="22"/>
      <c r="AKG288" s="22"/>
      <c r="AKH288" s="22"/>
      <c r="AKI288" s="22"/>
      <c r="AKJ288" s="22"/>
      <c r="AKK288" s="22"/>
      <c r="AKL288" s="22"/>
      <c r="AKM288" s="22"/>
      <c r="AKN288" s="22"/>
      <c r="AKO288" s="22"/>
      <c r="AKP288" s="22"/>
      <c r="AKQ288" s="22"/>
      <c r="AKR288" s="22"/>
      <c r="AKS288" s="22"/>
      <c r="AKT288" s="22"/>
      <c r="AKU288" s="22"/>
      <c r="AKV288" s="22"/>
      <c r="AKW288" s="22"/>
      <c r="AKX288" s="22"/>
      <c r="AKY288" s="22"/>
      <c r="AKZ288" s="22"/>
      <c r="ALA288" s="22"/>
      <c r="ALB288" s="22"/>
      <c r="ALC288" s="22"/>
      <c r="ALD288" s="22"/>
      <c r="ALE288" s="22"/>
      <c r="ALF288" s="22"/>
      <c r="ALG288" s="22"/>
      <c r="ALH288" s="22"/>
      <c r="ALI288" s="22"/>
      <c r="ALJ288" s="22"/>
      <c r="ALK288" s="22"/>
      <c r="ALL288" s="22"/>
      <c r="ALM288" s="22"/>
      <c r="ALN288" s="22"/>
      <c r="ALO288" s="22"/>
      <c r="ALP288" s="22"/>
      <c r="ALQ288" s="22"/>
      <c r="ALR288" s="22"/>
      <c r="ALS288" s="22"/>
      <c r="ALT288" s="22"/>
      <c r="ALU288" s="22"/>
      <c r="ALV288" s="22"/>
      <c r="ALW288" s="22"/>
      <c r="ALX288" s="22"/>
      <c r="ALY288" s="22"/>
      <c r="ALZ288" s="22"/>
      <c r="AMA288" s="22"/>
      <c r="AMB288" s="22"/>
      <c r="AMC288" s="22"/>
      <c r="AMD288" s="22"/>
      <c r="AME288" s="22"/>
      <c r="AMF288" s="22"/>
      <c r="AMG288" s="22"/>
      <c r="AMH288" s="22"/>
      <c r="AMI288" s="22"/>
      <c r="AMJ288" s="22"/>
      <c r="AMK288" s="22"/>
      <c r="AML288" s="22"/>
      <c r="AMM288" s="22"/>
      <c r="AMN288" s="22"/>
      <c r="AMO288" s="22"/>
      <c r="AMP288" s="22"/>
      <c r="AMQ288" s="22"/>
      <c r="AMR288" s="22"/>
      <c r="AMS288" s="22"/>
      <c r="AMT288" s="22"/>
      <c r="AMU288" s="22"/>
      <c r="AMV288" s="22"/>
      <c r="AMW288" s="22"/>
      <c r="AMX288" s="22"/>
      <c r="AMY288" s="22"/>
      <c r="AMZ288" s="22"/>
      <c r="ANA288" s="22"/>
      <c r="ANB288" s="22"/>
      <c r="ANC288" s="22"/>
      <c r="AND288" s="22"/>
      <c r="ANE288" s="22"/>
      <c r="ANF288" s="22"/>
      <c r="ANG288" s="22"/>
      <c r="ANH288" s="22"/>
      <c r="ANI288" s="22"/>
      <c r="ANJ288" s="22"/>
      <c r="ANK288" s="22"/>
      <c r="ANL288" s="22"/>
      <c r="ANM288" s="22"/>
      <c r="ANN288" s="22"/>
      <c r="ANO288" s="22"/>
      <c r="ANP288" s="22"/>
      <c r="ANQ288" s="22"/>
      <c r="ANR288" s="22"/>
      <c r="ANS288" s="22"/>
      <c r="ANT288" s="22"/>
      <c r="ANU288" s="22"/>
      <c r="ANV288" s="22"/>
      <c r="ANW288" s="22"/>
      <c r="ANX288" s="22"/>
      <c r="ANY288" s="22"/>
      <c r="ANZ288" s="22"/>
      <c r="AOA288" s="22"/>
      <c r="AOB288" s="22"/>
      <c r="AOC288" s="22"/>
      <c r="AOD288" s="22"/>
      <c r="AOE288" s="22"/>
      <c r="AOF288" s="22"/>
      <c r="AOG288" s="22"/>
      <c r="AOH288" s="22"/>
      <c r="AOI288" s="22"/>
      <c r="AOJ288" s="22"/>
      <c r="AOK288" s="22"/>
      <c r="AOL288" s="22"/>
      <c r="AOM288" s="22"/>
      <c r="AON288" s="22"/>
      <c r="AOO288" s="22"/>
      <c r="AOP288" s="22"/>
      <c r="AOQ288" s="22"/>
      <c r="AOR288" s="22"/>
      <c r="AOS288" s="22"/>
      <c r="AOT288" s="22"/>
      <c r="AOU288" s="22"/>
      <c r="AOV288" s="22"/>
      <c r="AOW288" s="22"/>
      <c r="AOX288" s="22"/>
      <c r="AOY288" s="22"/>
      <c r="AOZ288" s="22"/>
      <c r="APA288" s="22"/>
      <c r="APB288" s="22"/>
      <c r="APC288" s="22"/>
      <c r="APD288" s="22"/>
      <c r="APE288" s="22"/>
      <c r="APF288" s="22"/>
      <c r="APG288" s="22"/>
      <c r="APH288" s="22"/>
      <c r="API288" s="22"/>
      <c r="APJ288" s="22"/>
      <c r="APK288" s="22"/>
      <c r="APL288" s="22"/>
      <c r="APM288" s="22"/>
      <c r="APN288" s="22"/>
      <c r="APO288" s="22"/>
      <c r="APP288" s="22"/>
      <c r="APQ288" s="22"/>
      <c r="APR288" s="22"/>
      <c r="APS288" s="22"/>
      <c r="APT288" s="22"/>
      <c r="APU288" s="22"/>
      <c r="APV288" s="22"/>
      <c r="APW288" s="22"/>
      <c r="APX288" s="22"/>
      <c r="APY288" s="22"/>
      <c r="APZ288" s="22"/>
      <c r="AQA288" s="22"/>
      <c r="AQB288" s="22"/>
      <c r="AQC288" s="22"/>
      <c r="AQD288" s="22"/>
      <c r="AQE288" s="22"/>
      <c r="AQF288" s="22"/>
      <c r="AQG288" s="22"/>
      <c r="AQH288" s="22"/>
      <c r="AQI288" s="22"/>
      <c r="AQJ288" s="22"/>
      <c r="AQK288" s="22"/>
      <c r="AQL288" s="22"/>
      <c r="AQM288" s="22"/>
      <c r="AQN288" s="22"/>
      <c r="AQO288" s="22"/>
      <c r="AQP288" s="22"/>
      <c r="AQQ288" s="22"/>
      <c r="AQR288" s="22"/>
      <c r="AQS288" s="22"/>
      <c r="AQT288" s="22"/>
      <c r="AQU288" s="22"/>
      <c r="AQV288" s="22"/>
      <c r="AQW288" s="22"/>
      <c r="AQX288" s="22"/>
      <c r="AQY288" s="22"/>
      <c r="AQZ288" s="22"/>
      <c r="ARA288" s="22"/>
      <c r="ARB288" s="22"/>
      <c r="ARC288" s="22"/>
      <c r="ARD288" s="22"/>
      <c r="ARE288" s="22"/>
      <c r="ARF288" s="22"/>
      <c r="ARG288" s="22"/>
      <c r="ARH288" s="22"/>
      <c r="ARI288" s="22"/>
      <c r="ARJ288" s="22"/>
      <c r="ARK288" s="22"/>
      <c r="ARL288" s="22"/>
      <c r="ARM288" s="22"/>
      <c r="ARN288" s="22"/>
      <c r="ARO288" s="22"/>
      <c r="ARP288" s="22"/>
      <c r="ARQ288" s="22"/>
      <c r="ARR288" s="22"/>
      <c r="ARS288" s="22"/>
      <c r="ART288" s="22"/>
      <c r="ARU288" s="22"/>
      <c r="ARV288" s="22"/>
      <c r="ARW288" s="22"/>
      <c r="ARX288" s="22"/>
      <c r="ARY288" s="22"/>
      <c r="ARZ288" s="22"/>
      <c r="ASA288" s="22"/>
      <c r="ASB288" s="22"/>
      <c r="ASC288" s="22"/>
      <c r="ASD288" s="22"/>
      <c r="ASE288" s="22"/>
      <c r="ASF288" s="22"/>
      <c r="ASG288" s="22"/>
      <c r="ASH288" s="22"/>
      <c r="ASI288" s="22"/>
      <c r="ASJ288" s="22"/>
      <c r="ASK288" s="22"/>
      <c r="ASL288" s="22"/>
      <c r="ASM288" s="22"/>
      <c r="ASN288" s="22"/>
      <c r="ASO288" s="22"/>
      <c r="ASP288" s="22"/>
      <c r="ASQ288" s="22"/>
      <c r="ASR288" s="22"/>
      <c r="ASS288" s="22"/>
      <c r="AST288" s="22"/>
      <c r="ASU288" s="22"/>
      <c r="ASV288" s="22"/>
      <c r="ASW288" s="22"/>
      <c r="ASX288" s="22"/>
      <c r="ASY288" s="22"/>
      <c r="ASZ288" s="22"/>
      <c r="ATA288" s="22"/>
      <c r="ATB288" s="22"/>
      <c r="ATC288" s="22"/>
      <c r="ATD288" s="22"/>
      <c r="ATE288" s="22"/>
      <c r="ATF288" s="22"/>
      <c r="ATG288" s="22"/>
      <c r="ATH288" s="22"/>
      <c r="ATI288" s="22"/>
      <c r="ATJ288" s="22"/>
      <c r="ATK288" s="22"/>
      <c r="ATL288" s="22"/>
      <c r="ATM288" s="22"/>
      <c r="ATN288" s="22"/>
      <c r="ATO288" s="22"/>
      <c r="ATP288" s="22"/>
      <c r="ATQ288" s="22"/>
      <c r="ATR288" s="22"/>
      <c r="ATS288" s="22"/>
      <c r="ATT288" s="22"/>
      <c r="ATU288" s="22"/>
      <c r="ATV288" s="22"/>
      <c r="ATW288" s="22"/>
      <c r="ATX288" s="22"/>
      <c r="ATY288" s="22"/>
      <c r="ATZ288" s="22"/>
      <c r="AUA288" s="22"/>
      <c r="AUB288" s="22"/>
      <c r="AUC288" s="22"/>
      <c r="AUD288" s="22"/>
      <c r="AUE288" s="22"/>
      <c r="AUF288" s="22"/>
      <c r="AUG288" s="22"/>
      <c r="AUH288" s="22"/>
      <c r="AUI288" s="22"/>
      <c r="AUJ288" s="22"/>
      <c r="AUK288" s="22"/>
      <c r="AUL288" s="22"/>
      <c r="AUM288" s="22"/>
      <c r="AUN288" s="22"/>
      <c r="AUO288" s="22"/>
      <c r="AUP288" s="22"/>
      <c r="AUQ288" s="22"/>
      <c r="AUR288" s="22"/>
      <c r="AUS288" s="22"/>
      <c r="AUT288" s="22"/>
      <c r="AUU288" s="22"/>
      <c r="AUV288" s="22"/>
      <c r="AUW288" s="22"/>
      <c r="AUX288" s="22"/>
      <c r="AUY288" s="22"/>
      <c r="AUZ288" s="22"/>
      <c r="AVA288" s="22"/>
      <c r="AVB288" s="22"/>
      <c r="AVC288" s="22"/>
      <c r="AVD288" s="22"/>
      <c r="AVE288" s="22"/>
      <c r="AVF288" s="22"/>
      <c r="AVG288" s="22"/>
      <c r="AVH288" s="22"/>
      <c r="AVI288" s="22"/>
      <c r="AVJ288" s="22"/>
      <c r="AVK288" s="22"/>
      <c r="AVL288" s="22"/>
      <c r="AVM288" s="22"/>
      <c r="AVN288" s="22"/>
      <c r="AVO288" s="22"/>
      <c r="AVP288" s="22"/>
      <c r="AVQ288" s="22"/>
      <c r="AVR288" s="22"/>
      <c r="AVS288" s="22"/>
      <c r="AVT288" s="22"/>
      <c r="AVU288" s="22"/>
      <c r="AVV288" s="22"/>
      <c r="AVW288" s="22"/>
      <c r="AVX288" s="22"/>
      <c r="AVY288" s="22"/>
      <c r="AVZ288" s="22"/>
      <c r="AWA288" s="22"/>
      <c r="AWB288" s="22"/>
      <c r="AWC288" s="22"/>
      <c r="AWD288" s="22"/>
      <c r="AWE288" s="22"/>
      <c r="AWF288" s="22"/>
      <c r="AWG288" s="22"/>
      <c r="AWH288" s="22"/>
      <c r="AWI288" s="22"/>
      <c r="AWJ288" s="22"/>
      <c r="AWK288" s="22"/>
      <c r="AWL288" s="22"/>
      <c r="AWM288" s="22"/>
      <c r="AWN288" s="22"/>
      <c r="AWO288" s="22"/>
      <c r="AWP288" s="22"/>
      <c r="AWQ288" s="22"/>
      <c r="AWR288" s="22"/>
      <c r="AWS288" s="22"/>
      <c r="AWT288" s="22"/>
      <c r="AWU288" s="22"/>
      <c r="AWV288" s="22"/>
      <c r="AWW288" s="22"/>
      <c r="AWX288" s="22"/>
      <c r="AWY288" s="22"/>
      <c r="AWZ288" s="22"/>
      <c r="AXA288" s="22"/>
      <c r="AXB288" s="22"/>
      <c r="AXC288" s="22"/>
      <c r="AXD288" s="22"/>
      <c r="AXE288" s="22"/>
      <c r="AXF288" s="22"/>
      <c r="AXG288" s="22"/>
      <c r="AXH288" s="22"/>
      <c r="AXI288" s="22"/>
      <c r="AXJ288" s="22"/>
      <c r="AXK288" s="22"/>
      <c r="AXL288" s="22"/>
      <c r="AXM288" s="22"/>
      <c r="AXN288" s="22"/>
      <c r="AXO288" s="22"/>
      <c r="AXP288" s="22"/>
      <c r="AXQ288" s="22"/>
      <c r="AXR288" s="22"/>
      <c r="AXS288" s="22"/>
      <c r="AXT288" s="22"/>
      <c r="AXU288" s="22"/>
      <c r="AXV288" s="22"/>
      <c r="AXW288" s="22"/>
      <c r="AXX288" s="22"/>
      <c r="AXY288" s="22"/>
      <c r="AXZ288" s="22"/>
      <c r="AYA288" s="22"/>
      <c r="AYB288" s="22"/>
      <c r="AYC288" s="22"/>
      <c r="AYD288" s="22"/>
      <c r="AYE288" s="22"/>
      <c r="AYF288" s="22"/>
      <c r="AYG288" s="22"/>
      <c r="AYH288" s="22"/>
      <c r="AYI288" s="22"/>
      <c r="AYJ288" s="22"/>
      <c r="AYK288" s="22"/>
      <c r="AYL288" s="22"/>
      <c r="AYM288" s="22"/>
      <c r="AYN288" s="22"/>
      <c r="AYO288" s="22"/>
      <c r="AYP288" s="22"/>
      <c r="AYQ288" s="22"/>
      <c r="AYR288" s="22"/>
      <c r="AYS288" s="22"/>
      <c r="AYT288" s="22"/>
      <c r="AYU288" s="22"/>
      <c r="AYV288" s="22"/>
      <c r="AYW288" s="22"/>
      <c r="AYX288" s="22"/>
      <c r="AYY288" s="22"/>
      <c r="AYZ288" s="22"/>
      <c r="AZA288" s="22"/>
      <c r="AZB288" s="22"/>
      <c r="AZC288" s="22"/>
      <c r="AZD288" s="22"/>
      <c r="AZE288" s="22"/>
      <c r="AZF288" s="22"/>
      <c r="AZG288" s="22"/>
      <c r="AZH288" s="22"/>
      <c r="AZI288" s="22"/>
      <c r="AZJ288" s="22"/>
      <c r="AZK288" s="22"/>
      <c r="AZL288" s="22"/>
      <c r="AZM288" s="22"/>
      <c r="AZN288" s="22"/>
      <c r="AZO288" s="22"/>
      <c r="AZP288" s="22"/>
      <c r="AZQ288" s="22"/>
      <c r="AZR288" s="22"/>
      <c r="AZS288" s="22"/>
      <c r="AZT288" s="22"/>
      <c r="AZU288" s="22"/>
      <c r="AZV288" s="22"/>
      <c r="AZW288" s="22"/>
      <c r="AZX288" s="22"/>
      <c r="AZY288" s="22"/>
      <c r="AZZ288" s="22"/>
      <c r="BAA288" s="22"/>
      <c r="BAB288" s="22"/>
      <c r="BAC288" s="22"/>
      <c r="BAD288" s="22"/>
      <c r="BAE288" s="22"/>
      <c r="BAF288" s="22"/>
      <c r="BAG288" s="22"/>
      <c r="BAH288" s="22"/>
      <c r="BAI288" s="22"/>
      <c r="BAJ288" s="22"/>
      <c r="BAK288" s="22"/>
      <c r="BAL288" s="22"/>
      <c r="BAM288" s="22"/>
      <c r="BAN288" s="22"/>
      <c r="BAO288" s="22"/>
      <c r="BAP288" s="22"/>
      <c r="BAQ288" s="22"/>
      <c r="BAR288" s="22"/>
      <c r="BAS288" s="22"/>
      <c r="BAT288" s="22"/>
      <c r="BAU288" s="22"/>
      <c r="BAV288" s="22"/>
      <c r="BAW288" s="22"/>
      <c r="BAX288" s="22"/>
      <c r="BAY288" s="22"/>
      <c r="BAZ288" s="22"/>
      <c r="BBA288" s="22"/>
      <c r="BBB288" s="22"/>
      <c r="BBC288" s="22"/>
      <c r="BBD288" s="22"/>
      <c r="BBE288" s="22"/>
      <c r="BBF288" s="22"/>
      <c r="BBG288" s="22"/>
      <c r="BBH288" s="22"/>
      <c r="BBI288" s="22"/>
      <c r="BBJ288" s="22"/>
      <c r="BBK288" s="22"/>
      <c r="BBL288" s="22"/>
      <c r="BBM288" s="22"/>
      <c r="BBN288" s="22"/>
      <c r="BBO288" s="22"/>
      <c r="BBP288" s="22"/>
      <c r="BBQ288" s="22"/>
      <c r="BBR288" s="22"/>
      <c r="BBS288" s="22"/>
      <c r="BBT288" s="22"/>
      <c r="BBU288" s="22"/>
      <c r="BBV288" s="22"/>
      <c r="BBW288" s="22"/>
      <c r="BBX288" s="22"/>
      <c r="BBY288" s="22"/>
      <c r="BBZ288" s="22"/>
      <c r="BCA288" s="22"/>
      <c r="BCB288" s="22"/>
      <c r="BCC288" s="22"/>
      <c r="BCD288" s="22"/>
      <c r="BCE288" s="22"/>
      <c r="BCF288" s="22"/>
      <c r="BCG288" s="22"/>
      <c r="BCH288" s="22"/>
      <c r="BCI288" s="22"/>
      <c r="BCJ288" s="22"/>
      <c r="BCK288" s="22"/>
      <c r="BCL288" s="22"/>
      <c r="BCM288" s="22"/>
      <c r="BCN288" s="22"/>
      <c r="BCO288" s="22"/>
      <c r="BCP288" s="22"/>
      <c r="BCQ288" s="22"/>
      <c r="BCR288" s="22"/>
      <c r="BCS288" s="22"/>
      <c r="BCT288" s="22"/>
      <c r="BCU288" s="22"/>
      <c r="BCV288" s="22"/>
      <c r="BCW288" s="22"/>
      <c r="BCX288" s="22"/>
      <c r="BCY288" s="22"/>
      <c r="BCZ288" s="22"/>
      <c r="BDA288" s="22"/>
      <c r="BDB288" s="22"/>
      <c r="BDC288" s="22"/>
      <c r="BDD288" s="22"/>
      <c r="BDE288" s="22"/>
      <c r="BDF288" s="22"/>
      <c r="BDG288" s="22"/>
      <c r="BDH288" s="22"/>
      <c r="BDI288" s="22"/>
      <c r="BDJ288" s="22"/>
      <c r="BDK288" s="22"/>
      <c r="BDL288" s="22"/>
      <c r="BDM288" s="22"/>
      <c r="BDN288" s="22"/>
      <c r="BDO288" s="22"/>
      <c r="BDP288" s="22"/>
      <c r="BDQ288" s="22"/>
      <c r="BDR288" s="22"/>
      <c r="BDS288" s="22"/>
      <c r="BDT288" s="22"/>
      <c r="BDU288" s="22"/>
      <c r="BDV288" s="22"/>
      <c r="BDW288" s="22"/>
      <c r="BDX288" s="22"/>
      <c r="BDY288" s="22"/>
      <c r="BDZ288" s="22"/>
      <c r="BEA288" s="22"/>
      <c r="BEB288" s="22"/>
      <c r="BEC288" s="22"/>
      <c r="BED288" s="22"/>
      <c r="BEE288" s="22"/>
      <c r="BEF288" s="22"/>
      <c r="BEG288" s="22"/>
      <c r="BEH288" s="22"/>
      <c r="BEI288" s="22"/>
      <c r="BEJ288" s="22"/>
      <c r="BEK288" s="22"/>
      <c r="BEL288" s="22"/>
      <c r="BEM288" s="22"/>
      <c r="BEN288" s="22"/>
      <c r="BEO288" s="22"/>
      <c r="BEP288" s="22"/>
      <c r="BEQ288" s="22"/>
      <c r="BER288" s="22"/>
      <c r="BES288" s="22"/>
      <c r="BET288" s="22"/>
      <c r="BEU288" s="22"/>
      <c r="BEV288" s="22"/>
      <c r="BEW288" s="22"/>
      <c r="BEX288" s="22"/>
      <c r="BEY288" s="22"/>
      <c r="BEZ288" s="22"/>
      <c r="BFA288" s="22"/>
      <c r="BFB288" s="22"/>
      <c r="BFC288" s="22"/>
      <c r="BFD288" s="22"/>
      <c r="BFE288" s="22"/>
      <c r="BFF288" s="22"/>
      <c r="BFG288" s="22"/>
      <c r="BFH288" s="22"/>
      <c r="BFI288" s="22"/>
      <c r="BFJ288" s="22"/>
      <c r="BFK288" s="22"/>
      <c r="BFL288" s="22"/>
      <c r="BFM288" s="22"/>
      <c r="BFN288" s="22"/>
      <c r="BFO288" s="22"/>
      <c r="BFP288" s="22"/>
      <c r="BFQ288" s="22"/>
      <c r="BFR288" s="22"/>
      <c r="BFS288" s="22"/>
      <c r="BFT288" s="22"/>
      <c r="BFU288" s="22"/>
      <c r="BFV288" s="22"/>
      <c r="BFW288" s="22"/>
      <c r="BFX288" s="22"/>
      <c r="BFY288" s="22"/>
      <c r="BFZ288" s="22"/>
      <c r="BGA288" s="22"/>
      <c r="BGB288" s="22"/>
      <c r="BGC288" s="22"/>
      <c r="BGD288" s="22"/>
      <c r="BGE288" s="22"/>
      <c r="BGF288" s="22"/>
      <c r="BGG288" s="22"/>
      <c r="BGH288" s="22"/>
      <c r="BGI288" s="22"/>
      <c r="BGJ288" s="22"/>
      <c r="BGK288" s="22"/>
      <c r="BGL288" s="22"/>
      <c r="BGM288" s="22"/>
      <c r="BGN288" s="22"/>
      <c r="BGO288" s="22"/>
      <c r="BGP288" s="22"/>
      <c r="BGQ288" s="22"/>
      <c r="BGR288" s="22"/>
      <c r="BGS288" s="22"/>
      <c r="BGT288" s="22"/>
      <c r="BGU288" s="22"/>
      <c r="BGV288" s="22"/>
      <c r="BGW288" s="22"/>
      <c r="BGX288" s="22"/>
      <c r="BGY288" s="22"/>
      <c r="BGZ288" s="22"/>
      <c r="BHA288" s="22"/>
      <c r="BHB288" s="22"/>
      <c r="BHC288" s="22"/>
      <c r="BHD288" s="22"/>
      <c r="BHE288" s="22"/>
      <c r="BHF288" s="22"/>
      <c r="BHG288" s="22"/>
      <c r="BHH288" s="22"/>
      <c r="BHI288" s="22"/>
      <c r="BHJ288" s="22"/>
      <c r="BHK288" s="22"/>
      <c r="BHL288" s="22"/>
      <c r="BHM288" s="22"/>
      <c r="BHN288" s="22"/>
      <c r="BHO288" s="22"/>
      <c r="BHP288" s="22"/>
      <c r="BHQ288" s="22"/>
      <c r="BHR288" s="22"/>
      <c r="BHS288" s="22"/>
      <c r="BHT288" s="22"/>
      <c r="BHU288" s="22"/>
      <c r="BHV288" s="22"/>
      <c r="BHW288" s="22"/>
      <c r="BHX288" s="22"/>
      <c r="BHY288" s="22"/>
      <c r="BHZ288" s="22"/>
      <c r="BIA288" s="22"/>
      <c r="BIB288" s="22"/>
      <c r="BIC288" s="22"/>
      <c r="BID288" s="22"/>
      <c r="BIE288" s="22"/>
      <c r="BIF288" s="22"/>
      <c r="BIG288" s="22"/>
      <c r="BIH288" s="22"/>
      <c r="BII288" s="22"/>
      <c r="BIJ288" s="22"/>
      <c r="BIK288" s="22"/>
      <c r="BIL288" s="22"/>
      <c r="BIM288" s="22"/>
      <c r="BIN288" s="22"/>
      <c r="BIO288" s="22"/>
      <c r="BIP288" s="22"/>
      <c r="BIQ288" s="22"/>
      <c r="BIR288" s="22"/>
      <c r="BIS288" s="22"/>
      <c r="BIT288" s="22"/>
      <c r="BIU288" s="22"/>
      <c r="BIV288" s="22"/>
      <c r="BIW288" s="22"/>
      <c r="BIX288" s="22"/>
      <c r="BIY288" s="22"/>
      <c r="BIZ288" s="22"/>
      <c r="BJA288" s="22"/>
      <c r="BJB288" s="22"/>
      <c r="BJC288" s="22"/>
      <c r="BJD288" s="22"/>
      <c r="BJE288" s="22"/>
      <c r="BJF288" s="22"/>
      <c r="BJG288" s="22"/>
      <c r="BJH288" s="22"/>
      <c r="BJI288" s="22"/>
      <c r="BJJ288" s="22"/>
      <c r="BJK288" s="22"/>
      <c r="BJL288" s="22"/>
      <c r="BJM288" s="22"/>
      <c r="BJN288" s="22"/>
      <c r="BJO288" s="22"/>
      <c r="BJP288" s="22"/>
      <c r="BJQ288" s="22"/>
      <c r="BJR288" s="22"/>
      <c r="BJS288" s="22"/>
      <c r="BJT288" s="22"/>
      <c r="BJU288" s="22"/>
      <c r="BJV288" s="22"/>
      <c r="BJW288" s="22"/>
      <c r="BJX288" s="22"/>
      <c r="BJY288" s="22"/>
      <c r="BJZ288" s="22"/>
      <c r="BKA288" s="22"/>
      <c r="BKB288" s="22"/>
      <c r="BKC288" s="22"/>
      <c r="BKD288" s="22"/>
      <c r="BKE288" s="22"/>
      <c r="BKF288" s="22"/>
      <c r="BKG288" s="22"/>
      <c r="BKH288" s="22"/>
      <c r="BKI288" s="22"/>
      <c r="BKJ288" s="22"/>
      <c r="BKK288" s="22"/>
      <c r="BKL288" s="22"/>
      <c r="BKM288" s="22"/>
      <c r="BKN288" s="22"/>
      <c r="BKO288" s="22"/>
      <c r="BKP288" s="22"/>
      <c r="BKQ288" s="22"/>
      <c r="BKR288" s="22"/>
      <c r="BKS288" s="22"/>
      <c r="BKT288" s="22"/>
      <c r="BKU288" s="22"/>
      <c r="BKV288" s="22"/>
      <c r="BKW288" s="22"/>
      <c r="BKX288" s="22"/>
      <c r="BKY288" s="22"/>
      <c r="BKZ288" s="22"/>
      <c r="BLA288" s="22"/>
      <c r="BLB288" s="22"/>
      <c r="BLC288" s="22"/>
      <c r="BLD288" s="22"/>
      <c r="BLE288" s="22"/>
      <c r="BLF288" s="22"/>
      <c r="BLG288" s="22"/>
      <c r="BLH288" s="22"/>
      <c r="BLI288" s="22"/>
      <c r="BLJ288" s="22"/>
      <c r="BLK288" s="22"/>
      <c r="BLL288" s="22"/>
      <c r="BLM288" s="22"/>
      <c r="BLN288" s="22"/>
      <c r="BLO288" s="22"/>
      <c r="BLP288" s="22"/>
      <c r="BLQ288" s="22"/>
      <c r="BLR288" s="22"/>
      <c r="BLS288" s="22"/>
      <c r="BLT288" s="22"/>
      <c r="BLU288" s="22"/>
      <c r="BLV288" s="22"/>
      <c r="BLW288" s="22"/>
      <c r="BLX288" s="22"/>
      <c r="BLY288" s="22"/>
      <c r="BLZ288" s="22"/>
      <c r="BMA288" s="22"/>
      <c r="BMB288" s="22"/>
      <c r="BMC288" s="22"/>
      <c r="BMD288" s="22"/>
      <c r="BME288" s="22"/>
      <c r="BMF288" s="22"/>
      <c r="BMG288" s="22"/>
      <c r="BMH288" s="22"/>
      <c r="BMI288" s="22"/>
      <c r="BMJ288" s="22"/>
      <c r="BMK288" s="22"/>
      <c r="BML288" s="22"/>
      <c r="BMM288" s="22"/>
      <c r="BMN288" s="22"/>
      <c r="BMO288" s="22"/>
      <c r="BMP288" s="22"/>
      <c r="BMQ288" s="22"/>
      <c r="BMR288" s="22"/>
      <c r="BMS288" s="22"/>
      <c r="BMT288" s="22"/>
      <c r="BMU288" s="22"/>
      <c r="BMV288" s="22"/>
      <c r="BMW288" s="22"/>
      <c r="BMX288" s="22"/>
      <c r="BMY288" s="22"/>
      <c r="BMZ288" s="22"/>
      <c r="BNA288" s="22"/>
      <c r="BNB288" s="22"/>
      <c r="BNC288" s="22"/>
      <c r="BND288" s="22"/>
      <c r="BNE288" s="22"/>
      <c r="BNF288" s="22"/>
      <c r="BNG288" s="22"/>
      <c r="BNH288" s="22"/>
      <c r="BNI288" s="22"/>
      <c r="BNJ288" s="22"/>
      <c r="BNK288" s="22"/>
      <c r="BNL288" s="22"/>
      <c r="BNM288" s="22"/>
      <c r="BNN288" s="22"/>
      <c r="BNO288" s="22"/>
      <c r="BNP288" s="22"/>
      <c r="BNQ288" s="22"/>
      <c r="BNR288" s="22"/>
      <c r="BNS288" s="22"/>
      <c r="BNT288" s="22"/>
      <c r="BNU288" s="22"/>
      <c r="BNV288" s="22"/>
      <c r="BNW288" s="22"/>
      <c r="BNX288" s="22"/>
      <c r="BNY288" s="22"/>
      <c r="BNZ288" s="22"/>
      <c r="BOA288" s="22"/>
      <c r="BOB288" s="22"/>
      <c r="BOC288" s="22"/>
      <c r="BOD288" s="22"/>
      <c r="BOE288" s="22"/>
      <c r="BOF288" s="22"/>
      <c r="BOG288" s="22"/>
      <c r="BOH288" s="22"/>
      <c r="BOI288" s="22"/>
      <c r="BOJ288" s="22"/>
      <c r="BOK288" s="22"/>
      <c r="BOL288" s="22"/>
      <c r="BOM288" s="22"/>
      <c r="BON288" s="22"/>
      <c r="BOO288" s="22"/>
      <c r="BOP288" s="22"/>
      <c r="BOQ288" s="22"/>
      <c r="BOR288" s="22"/>
      <c r="BOS288" s="22"/>
      <c r="BOT288" s="22"/>
      <c r="BOU288" s="22"/>
      <c r="BOV288" s="22"/>
      <c r="BOW288" s="22"/>
      <c r="BOX288" s="22"/>
      <c r="BOY288" s="22"/>
      <c r="BOZ288" s="22"/>
      <c r="BPA288" s="22"/>
      <c r="BPB288" s="22"/>
      <c r="BPC288" s="22"/>
      <c r="BPD288" s="22"/>
      <c r="BPE288" s="22"/>
      <c r="BPF288" s="22"/>
      <c r="BPG288" s="22"/>
      <c r="BPH288" s="22"/>
      <c r="BPI288" s="22"/>
      <c r="BPJ288" s="22"/>
      <c r="BPK288" s="22"/>
      <c r="BPL288" s="22"/>
      <c r="BPM288" s="22"/>
      <c r="BPN288" s="22"/>
      <c r="BPO288" s="22"/>
      <c r="BPP288" s="22"/>
      <c r="BPQ288" s="22"/>
      <c r="BPR288" s="22"/>
      <c r="BPS288" s="22"/>
      <c r="BPT288" s="22"/>
      <c r="BPU288" s="22"/>
      <c r="BPV288" s="22"/>
      <c r="BPW288" s="22"/>
      <c r="BPX288" s="22"/>
      <c r="BPY288" s="22"/>
      <c r="BPZ288" s="22"/>
      <c r="BQA288" s="22"/>
      <c r="BQB288" s="22"/>
      <c r="BQC288" s="22"/>
      <c r="BQD288" s="22"/>
      <c r="BQE288" s="22"/>
      <c r="BQF288" s="22"/>
      <c r="BQG288" s="22"/>
      <c r="BQH288" s="22"/>
      <c r="BQI288" s="22"/>
      <c r="BQJ288" s="22"/>
      <c r="BQK288" s="22"/>
      <c r="BQL288" s="22"/>
      <c r="BQM288" s="22"/>
      <c r="BQN288" s="22"/>
      <c r="BQO288" s="22"/>
      <c r="BQP288" s="22"/>
      <c r="BQQ288" s="22"/>
      <c r="BQR288" s="22"/>
      <c r="BQS288" s="22"/>
      <c r="BQT288" s="22"/>
      <c r="BQU288" s="22"/>
      <c r="BQV288" s="22"/>
      <c r="BQW288" s="22"/>
      <c r="BQX288" s="22"/>
      <c r="BQY288" s="22"/>
      <c r="BQZ288" s="22"/>
      <c r="BRA288" s="22"/>
      <c r="BRB288" s="22"/>
      <c r="BRC288" s="22"/>
      <c r="BRD288" s="22"/>
      <c r="BRE288" s="22"/>
      <c r="BRF288" s="22"/>
      <c r="BRG288" s="22"/>
      <c r="BRH288" s="22"/>
      <c r="BRI288" s="22"/>
      <c r="BRJ288" s="22"/>
      <c r="BRK288" s="22"/>
      <c r="BRL288" s="22"/>
      <c r="BRM288" s="22"/>
      <c r="BRN288" s="22"/>
      <c r="BRO288" s="22"/>
      <c r="BRP288" s="22"/>
      <c r="BRQ288" s="22"/>
      <c r="BRR288" s="22"/>
      <c r="BRS288" s="22"/>
      <c r="BRT288" s="22"/>
      <c r="BRU288" s="22"/>
      <c r="BRV288" s="22"/>
      <c r="BRW288" s="22"/>
      <c r="BRX288" s="22"/>
      <c r="BRY288" s="22"/>
      <c r="BRZ288" s="22"/>
      <c r="BSA288" s="22"/>
      <c r="BSB288" s="22"/>
      <c r="BSC288" s="22"/>
      <c r="BSD288" s="22"/>
      <c r="BSE288" s="22"/>
      <c r="BSF288" s="22"/>
      <c r="BSG288" s="22"/>
      <c r="BSH288" s="22"/>
      <c r="BSI288" s="22"/>
      <c r="BSJ288" s="22"/>
      <c r="BSK288" s="22"/>
      <c r="BSL288" s="22"/>
      <c r="BSM288" s="22"/>
      <c r="BSN288" s="22"/>
      <c r="BSO288" s="22"/>
      <c r="BSP288" s="22"/>
      <c r="BSQ288" s="22"/>
      <c r="BSR288" s="22"/>
      <c r="BSS288" s="22"/>
      <c r="BST288" s="22"/>
      <c r="BSU288" s="22"/>
      <c r="BSV288" s="22"/>
      <c r="BSW288" s="22"/>
      <c r="BSX288" s="22"/>
      <c r="BSY288" s="22"/>
      <c r="BSZ288" s="22"/>
      <c r="BTA288" s="22"/>
      <c r="BTB288" s="22"/>
      <c r="BTC288" s="22"/>
      <c r="BTD288" s="22"/>
      <c r="BTE288" s="22"/>
      <c r="BTF288" s="22"/>
      <c r="BTG288" s="22"/>
      <c r="BTH288" s="22"/>
      <c r="BTI288" s="22"/>
      <c r="BTJ288" s="22"/>
      <c r="BTK288" s="22"/>
      <c r="BTL288" s="22"/>
      <c r="BTM288" s="22"/>
      <c r="BTN288" s="22"/>
      <c r="BTO288" s="22"/>
      <c r="BTP288" s="22"/>
      <c r="BTQ288" s="22"/>
      <c r="BTR288" s="22"/>
      <c r="BTS288" s="22"/>
      <c r="BTT288" s="22"/>
      <c r="BTU288" s="22"/>
      <c r="BTV288" s="22"/>
      <c r="BTW288" s="22"/>
      <c r="BTX288" s="22"/>
      <c r="BTY288" s="22"/>
      <c r="BTZ288" s="22"/>
      <c r="BUA288" s="22"/>
      <c r="BUB288" s="22"/>
      <c r="BUC288" s="22"/>
      <c r="BUD288" s="22"/>
      <c r="BUE288" s="22"/>
      <c r="BUF288" s="22"/>
      <c r="BUG288" s="22"/>
      <c r="BUH288" s="22"/>
      <c r="BUI288" s="22"/>
      <c r="BUJ288" s="22"/>
      <c r="BUK288" s="22"/>
      <c r="BUL288" s="22"/>
      <c r="BUM288" s="22"/>
      <c r="BUN288" s="22"/>
      <c r="BUO288" s="22"/>
      <c r="BUP288" s="22"/>
      <c r="BUQ288" s="22"/>
      <c r="BUR288" s="22"/>
      <c r="BUS288" s="22"/>
      <c r="BUT288" s="22"/>
      <c r="BUU288" s="22"/>
      <c r="BUV288" s="22"/>
      <c r="BUW288" s="22"/>
      <c r="BUX288" s="22"/>
      <c r="BUY288" s="22"/>
      <c r="BUZ288" s="22"/>
      <c r="BVA288" s="22"/>
      <c r="BVB288" s="22"/>
      <c r="BVC288" s="22"/>
      <c r="BVD288" s="22"/>
      <c r="BVE288" s="22"/>
      <c r="BVF288" s="22"/>
      <c r="BVG288" s="22"/>
      <c r="BVH288" s="22"/>
      <c r="BVI288" s="22"/>
      <c r="BVJ288" s="22"/>
      <c r="BVK288" s="22"/>
      <c r="BVL288" s="22"/>
      <c r="BVM288" s="22"/>
      <c r="BVN288" s="22"/>
      <c r="BVO288" s="22"/>
      <c r="BVP288" s="22"/>
      <c r="BVQ288" s="22"/>
      <c r="BVR288" s="22"/>
      <c r="BVS288" s="22"/>
      <c r="BVT288" s="22"/>
      <c r="BVU288" s="22"/>
      <c r="BVV288" s="22"/>
      <c r="BVW288" s="22"/>
      <c r="BVX288" s="22"/>
      <c r="BVY288" s="22"/>
      <c r="BVZ288" s="22"/>
      <c r="BWA288" s="22"/>
      <c r="BWB288" s="22"/>
      <c r="BWC288" s="22"/>
      <c r="BWD288" s="22"/>
      <c r="BWE288" s="22"/>
      <c r="BWF288" s="22"/>
      <c r="BWG288" s="22"/>
      <c r="BWH288" s="22"/>
      <c r="BWI288" s="22"/>
      <c r="BWJ288" s="22"/>
      <c r="BWK288" s="22"/>
      <c r="BWL288" s="22"/>
      <c r="BWM288" s="22"/>
      <c r="BWN288" s="22"/>
      <c r="BWO288" s="22"/>
      <c r="BWP288" s="22"/>
      <c r="BWQ288" s="22"/>
      <c r="BWR288" s="22"/>
      <c r="BWS288" s="22"/>
      <c r="BWT288" s="22"/>
      <c r="BWU288" s="22"/>
      <c r="BWV288" s="22"/>
      <c r="BWW288" s="22"/>
      <c r="BWX288" s="22"/>
      <c r="BWY288" s="22"/>
      <c r="BWZ288" s="22"/>
      <c r="BXA288" s="22"/>
      <c r="BXB288" s="22"/>
      <c r="BXC288" s="22"/>
      <c r="BXD288" s="22"/>
      <c r="BXE288" s="22"/>
      <c r="BXF288" s="22"/>
      <c r="BXG288" s="22"/>
      <c r="BXH288" s="22"/>
      <c r="BXI288" s="22"/>
      <c r="BXJ288" s="22"/>
      <c r="BXK288" s="22"/>
      <c r="BXL288" s="22"/>
      <c r="BXM288" s="22"/>
      <c r="BXN288" s="22"/>
      <c r="BXO288" s="22"/>
      <c r="BXP288" s="22"/>
      <c r="BXQ288" s="22"/>
      <c r="BXR288" s="22"/>
      <c r="BXS288" s="22"/>
      <c r="BXT288" s="22"/>
      <c r="BXU288" s="22"/>
      <c r="BXV288" s="22"/>
      <c r="BXW288" s="22"/>
      <c r="BXX288" s="22"/>
      <c r="BXY288" s="22"/>
      <c r="BXZ288" s="22"/>
      <c r="BYA288" s="22"/>
      <c r="BYB288" s="22"/>
      <c r="BYC288" s="22"/>
      <c r="BYD288" s="22"/>
      <c r="BYE288" s="22"/>
      <c r="BYF288" s="22"/>
      <c r="BYG288" s="22"/>
      <c r="BYH288" s="22"/>
      <c r="BYI288" s="22"/>
      <c r="BYJ288" s="22"/>
      <c r="BYK288" s="22"/>
      <c r="BYL288" s="22"/>
      <c r="BYM288" s="22"/>
      <c r="BYN288" s="22"/>
      <c r="BYO288" s="22"/>
      <c r="BYP288" s="22"/>
      <c r="BYQ288" s="22"/>
      <c r="BYR288" s="22"/>
      <c r="BYS288" s="22"/>
      <c r="BYT288" s="22"/>
      <c r="BYU288" s="22"/>
      <c r="BYV288" s="22"/>
      <c r="BYW288" s="22"/>
      <c r="BYX288" s="22"/>
      <c r="BYY288" s="22"/>
      <c r="BYZ288" s="22"/>
      <c r="BZA288" s="22"/>
      <c r="BZB288" s="22"/>
      <c r="BZC288" s="22"/>
      <c r="BZD288" s="22"/>
      <c r="BZE288" s="22"/>
      <c r="BZF288" s="22"/>
      <c r="BZG288" s="22"/>
      <c r="BZH288" s="22"/>
      <c r="BZI288" s="22"/>
      <c r="BZJ288" s="22"/>
      <c r="BZK288" s="22"/>
      <c r="BZL288" s="22"/>
      <c r="BZM288" s="22"/>
      <c r="BZN288" s="22"/>
      <c r="BZO288" s="22"/>
      <c r="BZP288" s="22"/>
      <c r="BZQ288" s="22"/>
      <c r="BZR288" s="22"/>
      <c r="BZS288" s="22"/>
      <c r="BZT288" s="22"/>
      <c r="BZU288" s="22"/>
      <c r="BZV288" s="22"/>
      <c r="BZW288" s="22"/>
      <c r="BZX288" s="22"/>
      <c r="BZY288" s="22"/>
      <c r="BZZ288" s="22"/>
      <c r="CAA288" s="22"/>
      <c r="CAB288" s="22"/>
      <c r="CAC288" s="22"/>
      <c r="CAD288" s="22"/>
      <c r="CAE288" s="22"/>
      <c r="CAF288" s="22"/>
      <c r="CAG288" s="22"/>
      <c r="CAH288" s="22"/>
      <c r="CAI288" s="22"/>
      <c r="CAJ288" s="22"/>
      <c r="CAK288" s="22"/>
      <c r="CAL288" s="22"/>
      <c r="CAM288" s="22"/>
      <c r="CAN288" s="22"/>
      <c r="CAO288" s="22"/>
      <c r="CAP288" s="22"/>
      <c r="CAQ288" s="22"/>
      <c r="CAR288" s="22"/>
      <c r="CAS288" s="22"/>
      <c r="CAT288" s="22"/>
      <c r="CAU288" s="22"/>
      <c r="CAV288" s="22"/>
      <c r="CAW288" s="22"/>
      <c r="CAX288" s="22"/>
      <c r="CAY288" s="22"/>
      <c r="CAZ288" s="22"/>
      <c r="CBA288" s="22"/>
      <c r="CBB288" s="22"/>
      <c r="CBC288" s="22"/>
      <c r="CBD288" s="22"/>
      <c r="CBE288" s="22"/>
      <c r="CBF288" s="22"/>
      <c r="CBG288" s="22"/>
      <c r="CBH288" s="22"/>
      <c r="CBI288" s="22"/>
      <c r="CBJ288" s="22"/>
      <c r="CBK288" s="22"/>
      <c r="CBL288" s="22"/>
      <c r="CBM288" s="22"/>
      <c r="CBN288" s="22"/>
      <c r="CBO288" s="22"/>
      <c r="CBP288" s="22"/>
      <c r="CBQ288" s="22"/>
      <c r="CBR288" s="22"/>
      <c r="CBS288" s="22"/>
      <c r="CBT288" s="22"/>
      <c r="CBU288" s="22"/>
      <c r="CBV288" s="22"/>
      <c r="CBW288" s="22"/>
      <c r="CBX288" s="22"/>
      <c r="CBY288" s="22"/>
      <c r="CBZ288" s="22"/>
      <c r="CCA288" s="22"/>
      <c r="CCB288" s="22"/>
      <c r="CCC288" s="22"/>
      <c r="CCD288" s="22"/>
      <c r="CCE288" s="22"/>
      <c r="CCF288" s="22"/>
      <c r="CCG288" s="22"/>
      <c r="CCH288" s="22"/>
      <c r="CCI288" s="22"/>
      <c r="CCJ288" s="22"/>
      <c r="CCK288" s="22"/>
      <c r="CCL288" s="22"/>
      <c r="CCM288" s="22"/>
      <c r="CCN288" s="22"/>
      <c r="CCO288" s="22"/>
      <c r="CCP288" s="22"/>
      <c r="CCQ288" s="22"/>
      <c r="CCR288" s="22"/>
      <c r="CCS288" s="22"/>
      <c r="CCT288" s="22"/>
      <c r="CCU288" s="22"/>
      <c r="CCV288" s="22"/>
      <c r="CCW288" s="22"/>
      <c r="CCX288" s="22"/>
      <c r="CCY288" s="22"/>
      <c r="CCZ288" s="22"/>
      <c r="CDA288" s="22"/>
      <c r="CDB288" s="22"/>
      <c r="CDC288" s="22"/>
      <c r="CDD288" s="22"/>
      <c r="CDE288" s="22"/>
      <c r="CDF288" s="22"/>
      <c r="CDG288" s="22"/>
      <c r="CDH288" s="22"/>
      <c r="CDI288" s="22"/>
      <c r="CDJ288" s="22"/>
      <c r="CDK288" s="22"/>
      <c r="CDL288" s="22"/>
      <c r="CDM288" s="22"/>
      <c r="CDN288" s="22"/>
      <c r="CDO288" s="22"/>
      <c r="CDP288" s="22"/>
      <c r="CDQ288" s="22"/>
      <c r="CDR288" s="22"/>
      <c r="CDS288" s="22"/>
      <c r="CDT288" s="22"/>
      <c r="CDU288" s="22"/>
      <c r="CDV288" s="22"/>
      <c r="CDW288" s="22"/>
      <c r="CDX288" s="22"/>
      <c r="CDY288" s="22"/>
      <c r="CDZ288" s="22"/>
      <c r="CEA288" s="22"/>
      <c r="CEB288" s="22"/>
      <c r="CEC288" s="22"/>
      <c r="CED288" s="22"/>
      <c r="CEE288" s="22"/>
      <c r="CEF288" s="22"/>
      <c r="CEG288" s="22"/>
      <c r="CEH288" s="22"/>
      <c r="CEI288" s="22"/>
      <c r="CEJ288" s="22"/>
      <c r="CEK288" s="22"/>
      <c r="CEL288" s="22"/>
      <c r="CEM288" s="22"/>
      <c r="CEN288" s="22"/>
      <c r="CEO288" s="22"/>
      <c r="CEP288" s="22"/>
      <c r="CEQ288" s="22"/>
      <c r="CER288" s="22"/>
      <c r="CES288" s="22"/>
      <c r="CET288" s="22"/>
      <c r="CEU288" s="22"/>
      <c r="CEV288" s="22"/>
      <c r="CEW288" s="22"/>
      <c r="CEX288" s="22"/>
      <c r="CEY288" s="22"/>
      <c r="CEZ288" s="22"/>
      <c r="CFA288" s="22"/>
      <c r="CFB288" s="22"/>
      <c r="CFC288" s="22"/>
      <c r="CFD288" s="22"/>
      <c r="CFE288" s="22"/>
      <c r="CFF288" s="22"/>
      <c r="CFG288" s="22"/>
      <c r="CFH288" s="22"/>
      <c r="CFI288" s="22"/>
      <c r="CFJ288" s="22"/>
      <c r="CFK288" s="22"/>
      <c r="CFL288" s="22"/>
      <c r="CFM288" s="22"/>
      <c r="CFN288" s="22"/>
      <c r="CFO288" s="22"/>
      <c r="CFP288" s="22"/>
      <c r="CFQ288" s="22"/>
      <c r="CFR288" s="22"/>
      <c r="CFS288" s="22"/>
      <c r="CFT288" s="22"/>
      <c r="CFU288" s="22"/>
      <c r="CFV288" s="22"/>
      <c r="CFW288" s="22"/>
      <c r="CFX288" s="22"/>
      <c r="CFY288" s="22"/>
      <c r="CFZ288" s="22"/>
      <c r="CGA288" s="22"/>
      <c r="CGB288" s="22"/>
      <c r="CGC288" s="22"/>
      <c r="CGD288" s="22"/>
      <c r="CGE288" s="22"/>
      <c r="CGF288" s="22"/>
      <c r="CGG288" s="22"/>
      <c r="CGH288" s="22"/>
      <c r="CGI288" s="22"/>
      <c r="CGJ288" s="22"/>
      <c r="CGK288" s="22"/>
      <c r="CGL288" s="22"/>
      <c r="CGM288" s="22"/>
      <c r="CGN288" s="22"/>
      <c r="CGO288" s="22"/>
      <c r="CGP288" s="22"/>
      <c r="CGQ288" s="22"/>
      <c r="CGR288" s="22"/>
      <c r="CGS288" s="22"/>
      <c r="CGT288" s="22"/>
      <c r="CGU288" s="22"/>
      <c r="CGV288" s="22"/>
      <c r="CGW288" s="22"/>
      <c r="CGX288" s="22"/>
      <c r="CGY288" s="22"/>
      <c r="CGZ288" s="22"/>
      <c r="CHA288" s="22"/>
      <c r="CHB288" s="22"/>
      <c r="CHC288" s="22"/>
      <c r="CHD288" s="22"/>
      <c r="CHE288" s="22"/>
      <c r="CHF288" s="22"/>
      <c r="CHG288" s="22"/>
      <c r="CHH288" s="22"/>
      <c r="CHI288" s="22"/>
      <c r="CHJ288" s="22"/>
      <c r="CHK288" s="22"/>
      <c r="CHL288" s="22"/>
      <c r="CHM288" s="22"/>
      <c r="CHN288" s="22"/>
      <c r="CHO288" s="22"/>
      <c r="CHP288" s="22"/>
      <c r="CHQ288" s="22"/>
      <c r="CHR288" s="22"/>
      <c r="CHS288" s="22"/>
      <c r="CHT288" s="22"/>
      <c r="CHU288" s="22"/>
      <c r="CHV288" s="22"/>
      <c r="CHW288" s="22"/>
      <c r="CHX288" s="22"/>
      <c r="CHY288" s="22"/>
      <c r="CHZ288" s="22"/>
      <c r="CIA288" s="22"/>
      <c r="CIB288" s="22"/>
      <c r="CIC288" s="22"/>
      <c r="CID288" s="22"/>
      <c r="CIE288" s="22"/>
      <c r="CIF288" s="22"/>
      <c r="CIG288" s="22"/>
      <c r="CIH288" s="22"/>
      <c r="CII288" s="22"/>
      <c r="CIJ288" s="22"/>
      <c r="CIK288" s="22"/>
      <c r="CIL288" s="22"/>
      <c r="CIM288" s="22"/>
      <c r="CIN288" s="22"/>
      <c r="CIO288" s="22"/>
      <c r="CIP288" s="22"/>
      <c r="CIQ288" s="22"/>
      <c r="CIR288" s="22"/>
      <c r="CIS288" s="22"/>
      <c r="CIT288" s="22"/>
      <c r="CIU288" s="22"/>
      <c r="CIV288" s="22"/>
      <c r="CIW288" s="22"/>
      <c r="CIX288" s="22"/>
      <c r="CIY288" s="22"/>
      <c r="CIZ288" s="22"/>
      <c r="CJA288" s="22"/>
      <c r="CJB288" s="22"/>
      <c r="CJC288" s="22"/>
      <c r="CJD288" s="22"/>
      <c r="CJE288" s="22"/>
      <c r="CJF288" s="22"/>
      <c r="CJG288" s="22"/>
      <c r="CJH288" s="22"/>
      <c r="CJI288" s="22"/>
      <c r="CJJ288" s="22"/>
      <c r="CJK288" s="22"/>
      <c r="CJL288" s="22"/>
      <c r="CJM288" s="22"/>
      <c r="CJN288" s="22"/>
      <c r="CJO288" s="22"/>
      <c r="CJP288" s="22"/>
      <c r="CJQ288" s="22"/>
      <c r="CJR288" s="22"/>
      <c r="CJS288" s="22"/>
      <c r="CJT288" s="22"/>
      <c r="CJU288" s="22"/>
      <c r="CJV288" s="22"/>
      <c r="CJW288" s="22"/>
      <c r="CJX288" s="22"/>
      <c r="CJY288" s="22"/>
      <c r="CJZ288" s="22"/>
      <c r="CKA288" s="22"/>
      <c r="CKB288" s="22"/>
      <c r="CKC288" s="22"/>
      <c r="CKD288" s="22"/>
      <c r="CKE288" s="22"/>
      <c r="CKF288" s="22"/>
      <c r="CKG288" s="22"/>
      <c r="CKH288" s="22"/>
      <c r="CKI288" s="22"/>
      <c r="CKJ288" s="22"/>
      <c r="CKK288" s="22"/>
      <c r="CKL288" s="22"/>
      <c r="CKM288" s="22"/>
      <c r="CKN288" s="22"/>
      <c r="CKO288" s="22"/>
      <c r="CKP288" s="22"/>
      <c r="CKQ288" s="22"/>
      <c r="CKR288" s="22"/>
      <c r="CKS288" s="22"/>
      <c r="CKT288" s="22"/>
      <c r="CKU288" s="22"/>
      <c r="CKV288" s="22"/>
      <c r="CKW288" s="22"/>
      <c r="CKX288" s="22"/>
      <c r="CKY288" s="22"/>
      <c r="CKZ288" s="22"/>
      <c r="CLA288" s="22"/>
      <c r="CLB288" s="22"/>
      <c r="CLC288" s="22"/>
      <c r="CLD288" s="22"/>
      <c r="CLE288" s="22"/>
      <c r="CLF288" s="22"/>
      <c r="CLG288" s="22"/>
      <c r="CLH288" s="22"/>
      <c r="CLI288" s="22"/>
      <c r="CLJ288" s="22"/>
      <c r="CLK288" s="22"/>
      <c r="CLL288" s="22"/>
      <c r="CLM288" s="22"/>
      <c r="CLN288" s="22"/>
      <c r="CLO288" s="22"/>
      <c r="CLP288" s="22"/>
      <c r="CLQ288" s="22"/>
      <c r="CLR288" s="22"/>
      <c r="CLS288" s="22"/>
      <c r="CLT288" s="22"/>
      <c r="CLU288" s="22"/>
      <c r="CLV288" s="22"/>
      <c r="CLW288" s="22"/>
      <c r="CLX288" s="22"/>
      <c r="CLY288" s="22"/>
      <c r="CLZ288" s="22"/>
      <c r="CMA288" s="22"/>
      <c r="CMB288" s="22"/>
      <c r="CMC288" s="22"/>
      <c r="CMD288" s="22"/>
      <c r="CME288" s="22"/>
      <c r="CMF288" s="22"/>
      <c r="CMG288" s="22"/>
      <c r="CMH288" s="22"/>
      <c r="CMI288" s="22"/>
      <c r="CMJ288" s="22"/>
      <c r="CMK288" s="22"/>
      <c r="CML288" s="22"/>
      <c r="CMM288" s="22"/>
      <c r="CMN288" s="22"/>
      <c r="CMO288" s="22"/>
      <c r="CMP288" s="22"/>
      <c r="CMQ288" s="22"/>
      <c r="CMR288" s="22"/>
      <c r="CMS288" s="22"/>
      <c r="CMT288" s="22"/>
      <c r="CMU288" s="22"/>
      <c r="CMV288" s="22"/>
      <c r="CMW288" s="22"/>
      <c r="CMX288" s="22"/>
      <c r="CMY288" s="22"/>
      <c r="CMZ288" s="22"/>
      <c r="CNA288" s="22"/>
      <c r="CNB288" s="22"/>
      <c r="CNC288" s="22"/>
      <c r="CND288" s="22"/>
      <c r="CNE288" s="22"/>
      <c r="CNF288" s="22"/>
      <c r="CNG288" s="22"/>
      <c r="CNH288" s="22"/>
      <c r="CNI288" s="22"/>
      <c r="CNJ288" s="22"/>
      <c r="CNK288" s="22"/>
      <c r="CNL288" s="22"/>
      <c r="CNM288" s="22"/>
      <c r="CNN288" s="22"/>
      <c r="CNO288" s="22"/>
      <c r="CNP288" s="22"/>
      <c r="CNQ288" s="22"/>
      <c r="CNR288" s="22"/>
      <c r="CNS288" s="22"/>
      <c r="CNT288" s="22"/>
      <c r="CNU288" s="22"/>
      <c r="CNV288" s="22"/>
      <c r="CNW288" s="22"/>
      <c r="CNX288" s="22"/>
      <c r="CNY288" s="22"/>
      <c r="CNZ288" s="22"/>
      <c r="COA288" s="22"/>
      <c r="COB288" s="22"/>
      <c r="COC288" s="22"/>
      <c r="COD288" s="22"/>
      <c r="COE288" s="22"/>
      <c r="COF288" s="22"/>
      <c r="COG288" s="22"/>
      <c r="COH288" s="22"/>
      <c r="COI288" s="22"/>
      <c r="COJ288" s="22"/>
      <c r="COK288" s="22"/>
      <c r="COL288" s="22"/>
      <c r="COM288" s="22"/>
      <c r="CON288" s="22"/>
      <c r="COO288" s="22"/>
      <c r="COP288" s="22"/>
      <c r="COQ288" s="22"/>
      <c r="COR288" s="22"/>
      <c r="COS288" s="22"/>
      <c r="COT288" s="22"/>
      <c r="COU288" s="22"/>
      <c r="COV288" s="22"/>
      <c r="COW288" s="22"/>
      <c r="COX288" s="22"/>
      <c r="COY288" s="22"/>
      <c r="COZ288" s="22"/>
      <c r="CPA288" s="22"/>
      <c r="CPB288" s="22"/>
      <c r="CPC288" s="22"/>
      <c r="CPD288" s="22"/>
      <c r="CPE288" s="22"/>
      <c r="CPF288" s="22"/>
      <c r="CPG288" s="22"/>
      <c r="CPH288" s="22"/>
      <c r="CPI288" s="22"/>
      <c r="CPJ288" s="22"/>
      <c r="CPK288" s="22"/>
      <c r="CPL288" s="22"/>
      <c r="CPM288" s="22"/>
      <c r="CPN288" s="22"/>
      <c r="CPO288" s="22"/>
      <c r="CPP288" s="22"/>
      <c r="CPQ288" s="22"/>
      <c r="CPR288" s="22"/>
      <c r="CPS288" s="22"/>
      <c r="CPT288" s="22"/>
      <c r="CPU288" s="22"/>
      <c r="CPV288" s="22"/>
      <c r="CPW288" s="22"/>
      <c r="CPX288" s="22"/>
      <c r="CPY288" s="22"/>
      <c r="CPZ288" s="22"/>
      <c r="CQA288" s="22"/>
      <c r="CQB288" s="22"/>
      <c r="CQC288" s="22"/>
      <c r="CQD288" s="22"/>
      <c r="CQE288" s="22"/>
      <c r="CQF288" s="22"/>
      <c r="CQG288" s="22"/>
      <c r="CQH288" s="22"/>
      <c r="CQI288" s="22"/>
      <c r="CQJ288" s="22"/>
      <c r="CQK288" s="22"/>
      <c r="CQL288" s="22"/>
      <c r="CQM288" s="22"/>
      <c r="CQN288" s="22"/>
      <c r="CQO288" s="22"/>
      <c r="CQP288" s="22"/>
      <c r="CQQ288" s="22"/>
      <c r="CQR288" s="22"/>
      <c r="CQS288" s="22"/>
      <c r="CQT288" s="22"/>
      <c r="CQU288" s="22"/>
      <c r="CQV288" s="22"/>
      <c r="CQW288" s="22"/>
      <c r="CQX288" s="22"/>
      <c r="CQY288" s="22"/>
      <c r="CQZ288" s="22"/>
      <c r="CRA288" s="22"/>
      <c r="CRB288" s="22"/>
      <c r="CRC288" s="22"/>
      <c r="CRD288" s="22"/>
      <c r="CRE288" s="22"/>
      <c r="CRF288" s="22"/>
      <c r="CRG288" s="22"/>
      <c r="CRH288" s="22"/>
      <c r="CRI288" s="22"/>
      <c r="CRJ288" s="22"/>
      <c r="CRK288" s="22"/>
      <c r="CRL288" s="22"/>
      <c r="CRM288" s="22"/>
      <c r="CRN288" s="22"/>
      <c r="CRO288" s="22"/>
      <c r="CRP288" s="22"/>
      <c r="CRQ288" s="22"/>
      <c r="CRR288" s="22"/>
      <c r="CRS288" s="22"/>
      <c r="CRT288" s="22"/>
      <c r="CRU288" s="22"/>
      <c r="CRV288" s="22"/>
      <c r="CRW288" s="22"/>
      <c r="CRX288" s="22"/>
      <c r="CRY288" s="22"/>
      <c r="CRZ288" s="22"/>
      <c r="CSA288" s="22"/>
      <c r="CSB288" s="22"/>
      <c r="CSC288" s="22"/>
      <c r="CSD288" s="22"/>
      <c r="CSE288" s="22"/>
      <c r="CSF288" s="22"/>
      <c r="CSG288" s="22"/>
      <c r="CSH288" s="22"/>
      <c r="CSI288" s="22"/>
      <c r="CSJ288" s="22"/>
      <c r="CSK288" s="22"/>
      <c r="CSL288" s="22"/>
      <c r="CSM288" s="22"/>
      <c r="CSN288" s="22"/>
      <c r="CSO288" s="22"/>
      <c r="CSP288" s="22"/>
      <c r="CSQ288" s="22"/>
      <c r="CSR288" s="22"/>
      <c r="CSS288" s="22"/>
      <c r="CST288" s="22"/>
      <c r="CSU288" s="22"/>
      <c r="CSV288" s="22"/>
      <c r="CSW288" s="22"/>
      <c r="CSX288" s="22"/>
      <c r="CSY288" s="22"/>
      <c r="CSZ288" s="22"/>
      <c r="CTA288" s="22"/>
      <c r="CTB288" s="22"/>
      <c r="CTC288" s="22"/>
      <c r="CTD288" s="22"/>
      <c r="CTE288" s="22"/>
      <c r="CTF288" s="22"/>
      <c r="CTG288" s="22"/>
      <c r="CTH288" s="22"/>
      <c r="CTI288" s="22"/>
      <c r="CTJ288" s="22"/>
      <c r="CTK288" s="22"/>
      <c r="CTL288" s="22"/>
      <c r="CTM288" s="22"/>
      <c r="CTN288" s="22"/>
      <c r="CTO288" s="22"/>
      <c r="CTP288" s="22"/>
      <c r="CTQ288" s="22"/>
      <c r="CTR288" s="22"/>
      <c r="CTS288" s="22"/>
      <c r="CTT288" s="22"/>
      <c r="CTU288" s="22"/>
      <c r="CTV288" s="22"/>
      <c r="CTW288" s="22"/>
      <c r="CTX288" s="22"/>
      <c r="CTY288" s="22"/>
      <c r="CTZ288" s="22"/>
      <c r="CUA288" s="22"/>
      <c r="CUB288" s="22"/>
      <c r="CUC288" s="22"/>
      <c r="CUD288" s="22"/>
      <c r="CUE288" s="22"/>
      <c r="CUF288" s="22"/>
      <c r="CUG288" s="22"/>
      <c r="CUH288" s="22"/>
      <c r="CUI288" s="22"/>
      <c r="CUJ288" s="22"/>
      <c r="CUK288" s="22"/>
      <c r="CUL288" s="22"/>
      <c r="CUM288" s="22"/>
      <c r="CUN288" s="22"/>
      <c r="CUO288" s="22"/>
      <c r="CUP288" s="22"/>
      <c r="CUQ288" s="22"/>
      <c r="CUR288" s="22"/>
      <c r="CUS288" s="22"/>
      <c r="CUT288" s="22"/>
      <c r="CUU288" s="22"/>
      <c r="CUV288" s="22"/>
      <c r="CUW288" s="22"/>
      <c r="CUX288" s="22"/>
      <c r="CUY288" s="22"/>
      <c r="CUZ288" s="22"/>
      <c r="CVA288" s="22"/>
      <c r="CVB288" s="22"/>
      <c r="CVC288" s="22"/>
      <c r="CVD288" s="22"/>
      <c r="CVE288" s="22"/>
      <c r="CVF288" s="22"/>
      <c r="CVG288" s="22"/>
      <c r="CVH288" s="22"/>
      <c r="CVI288" s="22"/>
      <c r="CVJ288" s="22"/>
      <c r="CVK288" s="22"/>
      <c r="CVL288" s="22"/>
      <c r="CVM288" s="22"/>
      <c r="CVN288" s="22"/>
      <c r="CVO288" s="22"/>
      <c r="CVP288" s="22"/>
      <c r="CVQ288" s="22"/>
      <c r="CVR288" s="22"/>
      <c r="CVS288" s="22"/>
      <c r="CVT288" s="22"/>
      <c r="CVU288" s="22"/>
      <c r="CVV288" s="22"/>
      <c r="CVW288" s="22"/>
      <c r="CVX288" s="22"/>
      <c r="CVY288" s="22"/>
      <c r="CVZ288" s="22"/>
      <c r="CWA288" s="22"/>
      <c r="CWB288" s="22"/>
      <c r="CWC288" s="22"/>
      <c r="CWD288" s="22"/>
      <c r="CWE288" s="22"/>
      <c r="CWF288" s="22"/>
      <c r="CWG288" s="22"/>
      <c r="CWH288" s="22"/>
      <c r="CWI288" s="22"/>
      <c r="CWJ288" s="22"/>
      <c r="CWK288" s="22"/>
      <c r="CWL288" s="22"/>
      <c r="CWM288" s="22"/>
      <c r="CWN288" s="22"/>
      <c r="CWO288" s="22"/>
      <c r="CWP288" s="22"/>
      <c r="CWQ288" s="22"/>
      <c r="CWR288" s="22"/>
      <c r="CWS288" s="22"/>
      <c r="CWT288" s="22"/>
      <c r="CWU288" s="22"/>
      <c r="CWV288" s="22"/>
      <c r="CWW288" s="22"/>
      <c r="CWX288" s="22"/>
      <c r="CWY288" s="22"/>
      <c r="CWZ288" s="22"/>
      <c r="CXA288" s="22"/>
      <c r="CXB288" s="22"/>
      <c r="CXC288" s="22"/>
      <c r="CXD288" s="22"/>
      <c r="CXE288" s="22"/>
      <c r="CXF288" s="22"/>
      <c r="CXG288" s="22"/>
      <c r="CXH288" s="22"/>
      <c r="CXI288" s="22"/>
      <c r="CXJ288" s="22"/>
      <c r="CXK288" s="22"/>
      <c r="CXL288" s="22"/>
      <c r="CXM288" s="22"/>
      <c r="CXN288" s="22"/>
      <c r="CXO288" s="22"/>
      <c r="CXP288" s="22"/>
      <c r="CXQ288" s="22"/>
      <c r="CXR288" s="22"/>
      <c r="CXS288" s="22"/>
      <c r="CXT288" s="22"/>
      <c r="CXU288" s="22"/>
      <c r="CXV288" s="22"/>
      <c r="CXW288" s="22"/>
      <c r="CXX288" s="22"/>
      <c r="CXY288" s="22"/>
      <c r="CXZ288" s="22"/>
      <c r="CYA288" s="22"/>
      <c r="CYB288" s="22"/>
      <c r="CYC288" s="22"/>
      <c r="CYD288" s="22"/>
      <c r="CYE288" s="22"/>
      <c r="CYF288" s="22"/>
      <c r="CYG288" s="22"/>
      <c r="CYH288" s="22"/>
      <c r="CYI288" s="22"/>
      <c r="CYJ288" s="22"/>
      <c r="CYK288" s="22"/>
      <c r="CYL288" s="22"/>
      <c r="CYM288" s="22"/>
      <c r="CYN288" s="22"/>
      <c r="CYO288" s="22"/>
      <c r="CYP288" s="22"/>
      <c r="CYQ288" s="22"/>
      <c r="CYR288" s="22"/>
      <c r="CYS288" s="22"/>
      <c r="CYT288" s="22"/>
      <c r="CYU288" s="22"/>
      <c r="CYV288" s="22"/>
      <c r="CYW288" s="22"/>
      <c r="CYX288" s="22"/>
      <c r="CYY288" s="22"/>
      <c r="CYZ288" s="22"/>
      <c r="CZA288" s="22"/>
      <c r="CZB288" s="22"/>
      <c r="CZC288" s="22"/>
      <c r="CZD288" s="22"/>
      <c r="CZE288" s="22"/>
      <c r="CZF288" s="22"/>
      <c r="CZG288" s="22"/>
      <c r="CZH288" s="22"/>
      <c r="CZI288" s="22"/>
      <c r="CZJ288" s="22"/>
      <c r="CZK288" s="22"/>
      <c r="CZL288" s="22"/>
      <c r="CZM288" s="22"/>
      <c r="CZN288" s="22"/>
      <c r="CZO288" s="22"/>
      <c r="CZP288" s="22"/>
      <c r="CZQ288" s="22"/>
      <c r="CZR288" s="22"/>
      <c r="CZS288" s="22"/>
      <c r="CZT288" s="22"/>
      <c r="CZU288" s="22"/>
      <c r="CZV288" s="22"/>
      <c r="CZW288" s="22"/>
      <c r="CZX288" s="22"/>
      <c r="CZY288" s="22"/>
      <c r="CZZ288" s="22"/>
      <c r="DAA288" s="22"/>
      <c r="DAB288" s="22"/>
      <c r="DAC288" s="22"/>
      <c r="DAD288" s="22"/>
      <c r="DAE288" s="22"/>
      <c r="DAF288" s="22"/>
      <c r="DAG288" s="22"/>
      <c r="DAH288" s="22"/>
      <c r="DAI288" s="22"/>
      <c r="DAJ288" s="22"/>
      <c r="DAK288" s="22"/>
      <c r="DAL288" s="22"/>
      <c r="DAM288" s="22"/>
      <c r="DAN288" s="22"/>
      <c r="DAO288" s="22"/>
      <c r="DAP288" s="22"/>
      <c r="DAQ288" s="22"/>
      <c r="DAR288" s="22"/>
      <c r="DAS288" s="22"/>
      <c r="DAT288" s="22"/>
      <c r="DAU288" s="22"/>
      <c r="DAV288" s="22"/>
      <c r="DAW288" s="22"/>
      <c r="DAX288" s="22"/>
      <c r="DAY288" s="22"/>
      <c r="DAZ288" s="22"/>
      <c r="DBA288" s="22"/>
      <c r="DBB288" s="22"/>
      <c r="DBC288" s="22"/>
      <c r="DBD288" s="22"/>
      <c r="DBE288" s="22"/>
      <c r="DBF288" s="22"/>
      <c r="DBG288" s="22"/>
      <c r="DBH288" s="22"/>
      <c r="DBI288" s="22"/>
      <c r="DBJ288" s="22"/>
      <c r="DBK288" s="22"/>
      <c r="DBL288" s="22"/>
      <c r="DBM288" s="22"/>
      <c r="DBN288" s="22"/>
      <c r="DBO288" s="22"/>
      <c r="DBP288" s="22"/>
      <c r="DBQ288" s="22"/>
      <c r="DBR288" s="22"/>
      <c r="DBS288" s="22"/>
      <c r="DBT288" s="22"/>
      <c r="DBU288" s="22"/>
      <c r="DBV288" s="22"/>
      <c r="DBW288" s="22"/>
      <c r="DBX288" s="22"/>
      <c r="DBY288" s="22"/>
      <c r="DBZ288" s="22"/>
      <c r="DCA288" s="22"/>
      <c r="DCB288" s="22"/>
      <c r="DCC288" s="22"/>
      <c r="DCD288" s="22"/>
      <c r="DCE288" s="22"/>
      <c r="DCF288" s="22"/>
      <c r="DCG288" s="22"/>
      <c r="DCH288" s="22"/>
      <c r="DCI288" s="22"/>
      <c r="DCJ288" s="22"/>
      <c r="DCK288" s="22"/>
      <c r="DCL288" s="22"/>
      <c r="DCM288" s="22"/>
      <c r="DCN288" s="22"/>
      <c r="DCO288" s="22"/>
      <c r="DCP288" s="22"/>
      <c r="DCQ288" s="22"/>
      <c r="DCR288" s="22"/>
      <c r="DCS288" s="22"/>
      <c r="DCT288" s="22"/>
      <c r="DCU288" s="22"/>
      <c r="DCV288" s="22"/>
      <c r="DCW288" s="22"/>
      <c r="DCX288" s="22"/>
      <c r="DCY288" s="22"/>
      <c r="DCZ288" s="22"/>
      <c r="DDA288" s="22"/>
      <c r="DDB288" s="22"/>
      <c r="DDC288" s="22"/>
      <c r="DDD288" s="22"/>
      <c r="DDE288" s="22"/>
      <c r="DDF288" s="22"/>
      <c r="DDG288" s="22"/>
      <c r="DDH288" s="22"/>
      <c r="DDI288" s="22"/>
      <c r="DDJ288" s="22"/>
      <c r="DDK288" s="22"/>
      <c r="DDL288" s="22"/>
      <c r="DDM288" s="22"/>
      <c r="DDN288" s="22"/>
      <c r="DDO288" s="22"/>
      <c r="DDP288" s="22"/>
      <c r="DDQ288" s="22"/>
      <c r="DDR288" s="22"/>
      <c r="DDS288" s="22"/>
      <c r="DDT288" s="22"/>
      <c r="DDU288" s="22"/>
      <c r="DDV288" s="22"/>
      <c r="DDW288" s="22"/>
      <c r="DDX288" s="22"/>
      <c r="DDY288" s="22"/>
      <c r="DDZ288" s="22"/>
      <c r="DEA288" s="22"/>
      <c r="DEB288" s="22"/>
      <c r="DEC288" s="22"/>
      <c r="DED288" s="22"/>
      <c r="DEE288" s="22"/>
      <c r="DEF288" s="22"/>
      <c r="DEG288" s="22"/>
      <c r="DEH288" s="22"/>
      <c r="DEI288" s="22"/>
      <c r="DEJ288" s="22"/>
      <c r="DEK288" s="22"/>
      <c r="DEL288" s="22"/>
      <c r="DEM288" s="22"/>
      <c r="DEN288" s="22"/>
      <c r="DEO288" s="22"/>
      <c r="DEP288" s="22"/>
      <c r="DEQ288" s="22"/>
      <c r="DER288" s="22"/>
      <c r="DES288" s="22"/>
      <c r="DET288" s="22"/>
      <c r="DEU288" s="22"/>
      <c r="DEV288" s="22"/>
      <c r="DEW288" s="22"/>
      <c r="DEX288" s="22"/>
      <c r="DEY288" s="22"/>
      <c r="DEZ288" s="22"/>
      <c r="DFA288" s="22"/>
      <c r="DFB288" s="22"/>
      <c r="DFC288" s="22"/>
      <c r="DFD288" s="22"/>
      <c r="DFE288" s="22"/>
      <c r="DFF288" s="22"/>
      <c r="DFG288" s="22"/>
      <c r="DFH288" s="22"/>
      <c r="DFI288" s="22"/>
      <c r="DFJ288" s="22"/>
      <c r="DFK288" s="22"/>
      <c r="DFL288" s="22"/>
      <c r="DFM288" s="22"/>
      <c r="DFN288" s="22"/>
      <c r="DFO288" s="22"/>
      <c r="DFP288" s="22"/>
      <c r="DFQ288" s="22"/>
      <c r="DFR288" s="22"/>
      <c r="DFS288" s="22"/>
      <c r="DFT288" s="22"/>
      <c r="DFU288" s="22"/>
      <c r="DFV288" s="22"/>
      <c r="DFW288" s="22"/>
      <c r="DFX288" s="22"/>
      <c r="DFY288" s="22"/>
      <c r="DFZ288" s="22"/>
      <c r="DGA288" s="22"/>
      <c r="DGB288" s="22"/>
      <c r="DGC288" s="22"/>
      <c r="DGD288" s="22"/>
      <c r="DGE288" s="22"/>
      <c r="DGF288" s="22"/>
      <c r="DGG288" s="22"/>
      <c r="DGH288" s="22"/>
      <c r="DGI288" s="22"/>
      <c r="DGJ288" s="22"/>
      <c r="DGK288" s="22"/>
      <c r="DGL288" s="22"/>
      <c r="DGM288" s="22"/>
      <c r="DGN288" s="22"/>
      <c r="DGO288" s="22"/>
      <c r="DGP288" s="22"/>
      <c r="DGQ288" s="22"/>
      <c r="DGR288" s="22"/>
      <c r="DGS288" s="22"/>
      <c r="DGT288" s="22"/>
      <c r="DGU288" s="22"/>
      <c r="DGV288" s="22"/>
      <c r="DGW288" s="22"/>
      <c r="DGX288" s="22"/>
      <c r="DGY288" s="22"/>
      <c r="DGZ288" s="22"/>
      <c r="DHA288" s="22"/>
      <c r="DHB288" s="22"/>
      <c r="DHC288" s="22"/>
      <c r="DHD288" s="22"/>
      <c r="DHE288" s="22"/>
      <c r="DHF288" s="22"/>
      <c r="DHG288" s="22"/>
      <c r="DHH288" s="22"/>
      <c r="DHI288" s="22"/>
      <c r="DHJ288" s="22"/>
      <c r="DHK288" s="22"/>
      <c r="DHL288" s="22"/>
      <c r="DHM288" s="22"/>
      <c r="DHN288" s="22"/>
      <c r="DHO288" s="22"/>
      <c r="DHP288" s="22"/>
      <c r="DHQ288" s="22"/>
      <c r="DHR288" s="22"/>
      <c r="DHS288" s="22"/>
      <c r="DHT288" s="22"/>
      <c r="DHU288" s="22"/>
      <c r="DHV288" s="22"/>
      <c r="DHW288" s="22"/>
      <c r="DHX288" s="22"/>
      <c r="DHY288" s="22"/>
      <c r="DHZ288" s="22"/>
      <c r="DIA288" s="22"/>
      <c r="DIB288" s="22"/>
      <c r="DIC288" s="22"/>
      <c r="DID288" s="22"/>
      <c r="DIE288" s="22"/>
      <c r="DIF288" s="22"/>
      <c r="DIG288" s="22"/>
      <c r="DIH288" s="22"/>
      <c r="DII288" s="22"/>
      <c r="DIJ288" s="22"/>
      <c r="DIK288" s="22"/>
      <c r="DIL288" s="22"/>
      <c r="DIM288" s="22"/>
      <c r="DIN288" s="22"/>
      <c r="DIO288" s="22"/>
      <c r="DIP288" s="22"/>
      <c r="DIQ288" s="22"/>
      <c r="DIR288" s="22"/>
      <c r="DIS288" s="22"/>
      <c r="DIT288" s="22"/>
      <c r="DIU288" s="22"/>
      <c r="DIV288" s="22"/>
      <c r="DIW288" s="22"/>
      <c r="DIX288" s="22"/>
      <c r="DIY288" s="22"/>
      <c r="DIZ288" s="22"/>
      <c r="DJA288" s="22"/>
      <c r="DJB288" s="22"/>
      <c r="DJC288" s="22"/>
      <c r="DJD288" s="22"/>
      <c r="DJE288" s="22"/>
      <c r="DJF288" s="22"/>
      <c r="DJG288" s="22"/>
      <c r="DJH288" s="22"/>
      <c r="DJI288" s="22"/>
      <c r="DJJ288" s="22"/>
      <c r="DJK288" s="22"/>
      <c r="DJL288" s="22"/>
      <c r="DJM288" s="22"/>
      <c r="DJN288" s="22"/>
      <c r="DJO288" s="22"/>
      <c r="DJP288" s="22"/>
      <c r="DJQ288" s="22"/>
      <c r="DJR288" s="22"/>
      <c r="DJS288" s="22"/>
      <c r="DJT288" s="22"/>
      <c r="DJU288" s="22"/>
      <c r="DJV288" s="22"/>
      <c r="DJW288" s="22"/>
      <c r="DJX288" s="22"/>
      <c r="DJY288" s="22"/>
      <c r="DJZ288" s="22"/>
      <c r="DKA288" s="22"/>
      <c r="DKB288" s="22"/>
      <c r="DKC288" s="22"/>
      <c r="DKD288" s="22"/>
      <c r="DKE288" s="22"/>
      <c r="DKF288" s="22"/>
      <c r="DKG288" s="22"/>
      <c r="DKH288" s="22"/>
      <c r="DKI288" s="22"/>
      <c r="DKJ288" s="22"/>
      <c r="DKK288" s="22"/>
      <c r="DKL288" s="22"/>
      <c r="DKM288" s="22"/>
      <c r="DKN288" s="22"/>
      <c r="DKO288" s="22"/>
      <c r="DKP288" s="22"/>
      <c r="DKQ288" s="22"/>
      <c r="DKR288" s="22"/>
      <c r="DKS288" s="22"/>
      <c r="DKT288" s="22"/>
      <c r="DKU288" s="22"/>
      <c r="DKV288" s="22"/>
      <c r="DKW288" s="22"/>
      <c r="DKX288" s="22"/>
      <c r="DKY288" s="22"/>
      <c r="DKZ288" s="22"/>
      <c r="DLA288" s="22"/>
      <c r="DLB288" s="22"/>
      <c r="DLC288" s="22"/>
      <c r="DLD288" s="22"/>
      <c r="DLE288" s="22"/>
      <c r="DLF288" s="22"/>
      <c r="DLG288" s="22"/>
      <c r="DLH288" s="22"/>
      <c r="DLI288" s="22"/>
      <c r="DLJ288" s="22"/>
      <c r="DLK288" s="22"/>
      <c r="DLL288" s="22"/>
      <c r="DLM288" s="22"/>
      <c r="DLN288" s="22"/>
      <c r="DLO288" s="22"/>
      <c r="DLP288" s="22"/>
      <c r="DLQ288" s="22"/>
      <c r="DLR288" s="22"/>
      <c r="DLS288" s="22"/>
      <c r="DLT288" s="22"/>
      <c r="DLU288" s="22"/>
      <c r="DLV288" s="22"/>
      <c r="DLW288" s="22"/>
      <c r="DLX288" s="22"/>
      <c r="DLY288" s="22"/>
      <c r="DLZ288" s="22"/>
      <c r="DMA288" s="22"/>
      <c r="DMB288" s="22"/>
      <c r="DMC288" s="22"/>
      <c r="DMD288" s="22"/>
      <c r="DME288" s="22"/>
      <c r="DMF288" s="22"/>
      <c r="DMG288" s="22"/>
      <c r="DMH288" s="22"/>
      <c r="DMI288" s="22"/>
      <c r="DMJ288" s="22"/>
      <c r="DMK288" s="22"/>
      <c r="DML288" s="22"/>
      <c r="DMM288" s="22"/>
      <c r="DMN288" s="22"/>
      <c r="DMO288" s="22"/>
      <c r="DMP288" s="22"/>
      <c r="DMQ288" s="22"/>
      <c r="DMR288" s="22"/>
      <c r="DMS288" s="22"/>
      <c r="DMT288" s="22"/>
      <c r="DMU288" s="22"/>
      <c r="DMV288" s="22"/>
      <c r="DMW288" s="22"/>
      <c r="DMX288" s="22"/>
      <c r="DMY288" s="22"/>
      <c r="DMZ288" s="22"/>
      <c r="DNA288" s="22"/>
      <c r="DNB288" s="22"/>
      <c r="DNC288" s="22"/>
      <c r="DND288" s="22"/>
      <c r="DNE288" s="22"/>
      <c r="DNF288" s="22"/>
      <c r="DNG288" s="22"/>
      <c r="DNH288" s="22"/>
      <c r="DNI288" s="22"/>
      <c r="DNJ288" s="22"/>
      <c r="DNK288" s="22"/>
      <c r="DNL288" s="22"/>
      <c r="DNM288" s="22"/>
      <c r="DNN288" s="22"/>
      <c r="DNO288" s="22"/>
      <c r="DNP288" s="22"/>
      <c r="DNQ288" s="22"/>
      <c r="DNR288" s="22"/>
      <c r="DNS288" s="22"/>
      <c r="DNT288" s="22"/>
      <c r="DNU288" s="22"/>
      <c r="DNV288" s="22"/>
      <c r="DNW288" s="22"/>
      <c r="DNX288" s="22"/>
      <c r="DNY288" s="22"/>
      <c r="DNZ288" s="22"/>
      <c r="DOA288" s="22"/>
      <c r="DOB288" s="22"/>
      <c r="DOC288" s="22"/>
      <c r="DOD288" s="22"/>
      <c r="DOE288" s="22"/>
      <c r="DOF288" s="22"/>
      <c r="DOG288" s="22"/>
      <c r="DOH288" s="22"/>
      <c r="DOI288" s="22"/>
      <c r="DOJ288" s="22"/>
      <c r="DOK288" s="22"/>
      <c r="DOL288" s="22"/>
      <c r="DOM288" s="22"/>
      <c r="DON288" s="22"/>
      <c r="DOO288" s="22"/>
      <c r="DOP288" s="22"/>
      <c r="DOQ288" s="22"/>
      <c r="DOR288" s="22"/>
      <c r="DOS288" s="22"/>
      <c r="DOT288" s="22"/>
      <c r="DOU288" s="22"/>
      <c r="DOV288" s="22"/>
      <c r="DOW288" s="22"/>
      <c r="DOX288" s="22"/>
      <c r="DOY288" s="22"/>
      <c r="DOZ288" s="22"/>
      <c r="DPA288" s="22"/>
      <c r="DPB288" s="22"/>
      <c r="DPC288" s="22"/>
      <c r="DPD288" s="22"/>
      <c r="DPE288" s="22"/>
      <c r="DPF288" s="22"/>
      <c r="DPG288" s="22"/>
      <c r="DPH288" s="22"/>
      <c r="DPI288" s="22"/>
      <c r="DPJ288" s="22"/>
      <c r="DPK288" s="22"/>
      <c r="DPL288" s="22"/>
      <c r="DPM288" s="22"/>
      <c r="DPN288" s="22"/>
      <c r="DPO288" s="22"/>
      <c r="DPP288" s="22"/>
      <c r="DPQ288" s="22"/>
      <c r="DPR288" s="22"/>
      <c r="DPS288" s="22"/>
      <c r="DPT288" s="22"/>
      <c r="DPU288" s="22"/>
      <c r="DPV288" s="22"/>
      <c r="DPW288" s="22"/>
      <c r="DPX288" s="22"/>
      <c r="DPY288" s="22"/>
      <c r="DPZ288" s="22"/>
      <c r="DQA288" s="22"/>
      <c r="DQB288" s="22"/>
      <c r="DQC288" s="22"/>
      <c r="DQD288" s="22"/>
      <c r="DQE288" s="22"/>
      <c r="DQF288" s="22"/>
      <c r="DQG288" s="22"/>
      <c r="DQH288" s="22"/>
      <c r="DQI288" s="22"/>
      <c r="DQJ288" s="22"/>
      <c r="DQK288" s="22"/>
      <c r="DQL288" s="22"/>
      <c r="DQM288" s="22"/>
      <c r="DQN288" s="22"/>
      <c r="DQO288" s="22"/>
      <c r="DQP288" s="22"/>
      <c r="DQQ288" s="22"/>
      <c r="DQR288" s="22"/>
      <c r="DQS288" s="22"/>
      <c r="DQT288" s="22"/>
      <c r="DQU288" s="22"/>
      <c r="DQV288" s="22"/>
      <c r="DQW288" s="22"/>
      <c r="DQX288" s="22"/>
      <c r="DQY288" s="22"/>
      <c r="DQZ288" s="22"/>
      <c r="DRA288" s="22"/>
      <c r="DRB288" s="22"/>
      <c r="DRC288" s="22"/>
      <c r="DRD288" s="22"/>
      <c r="DRE288" s="22"/>
      <c r="DRF288" s="22"/>
      <c r="DRG288" s="22"/>
      <c r="DRH288" s="22"/>
      <c r="DRI288" s="22"/>
      <c r="DRJ288" s="22"/>
      <c r="DRK288" s="22"/>
      <c r="DRL288" s="22"/>
      <c r="DRM288" s="22"/>
      <c r="DRN288" s="22"/>
      <c r="DRO288" s="22"/>
      <c r="DRP288" s="22"/>
      <c r="DRQ288" s="22"/>
      <c r="DRR288" s="22"/>
      <c r="DRS288" s="22"/>
      <c r="DRT288" s="22"/>
      <c r="DRU288" s="22"/>
      <c r="DRV288" s="22"/>
      <c r="DRW288" s="22"/>
      <c r="DRX288" s="22"/>
      <c r="DRY288" s="22"/>
      <c r="DRZ288" s="22"/>
      <c r="DSA288" s="22"/>
      <c r="DSB288" s="22"/>
      <c r="DSC288" s="22"/>
      <c r="DSD288" s="22"/>
      <c r="DSE288" s="22"/>
      <c r="DSF288" s="22"/>
      <c r="DSG288" s="22"/>
      <c r="DSH288" s="22"/>
      <c r="DSI288" s="22"/>
      <c r="DSJ288" s="22"/>
      <c r="DSK288" s="22"/>
      <c r="DSL288" s="22"/>
      <c r="DSM288" s="22"/>
      <c r="DSN288" s="22"/>
      <c r="DSO288" s="22"/>
      <c r="DSP288" s="22"/>
      <c r="DSQ288" s="22"/>
      <c r="DSR288" s="22"/>
      <c r="DSS288" s="22"/>
      <c r="DST288" s="22"/>
      <c r="DSU288" s="22"/>
      <c r="DSV288" s="22"/>
      <c r="DSW288" s="22"/>
      <c r="DSX288" s="22"/>
      <c r="DSY288" s="22"/>
      <c r="DSZ288" s="22"/>
      <c r="DTA288" s="22"/>
      <c r="DTB288" s="22"/>
      <c r="DTC288" s="22"/>
      <c r="DTD288" s="22"/>
      <c r="DTE288" s="22"/>
      <c r="DTF288" s="22"/>
      <c r="DTG288" s="22"/>
      <c r="DTH288" s="22"/>
      <c r="DTI288" s="22"/>
      <c r="DTJ288" s="22"/>
      <c r="DTK288" s="22"/>
      <c r="DTL288" s="22"/>
      <c r="DTM288" s="22"/>
      <c r="DTN288" s="22"/>
      <c r="DTO288" s="22"/>
      <c r="DTP288" s="22"/>
      <c r="DTQ288" s="22"/>
      <c r="DTR288" s="22"/>
      <c r="DTS288" s="22"/>
      <c r="DTT288" s="22"/>
      <c r="DTU288" s="22"/>
      <c r="DTV288" s="22"/>
      <c r="DTW288" s="22"/>
      <c r="DTX288" s="22"/>
      <c r="DTY288" s="22"/>
      <c r="DTZ288" s="22"/>
      <c r="DUA288" s="22"/>
      <c r="DUB288" s="22"/>
      <c r="DUC288" s="22"/>
      <c r="DUD288" s="22"/>
      <c r="DUE288" s="22"/>
      <c r="DUF288" s="22"/>
      <c r="DUG288" s="22"/>
      <c r="DUH288" s="22"/>
      <c r="DUI288" s="22"/>
      <c r="DUJ288" s="22"/>
      <c r="DUK288" s="22"/>
      <c r="DUL288" s="22"/>
      <c r="DUM288" s="22"/>
      <c r="DUN288" s="22"/>
      <c r="DUO288" s="22"/>
      <c r="DUP288" s="22"/>
      <c r="DUQ288" s="22"/>
      <c r="DUR288" s="22"/>
      <c r="DUS288" s="22"/>
      <c r="DUT288" s="22"/>
      <c r="DUU288" s="22"/>
      <c r="DUV288" s="22"/>
      <c r="DUW288" s="22"/>
      <c r="DUX288" s="22"/>
      <c r="DUY288" s="22"/>
      <c r="DUZ288" s="22"/>
      <c r="DVA288" s="22"/>
      <c r="DVB288" s="22"/>
      <c r="DVC288" s="22"/>
      <c r="DVD288" s="22"/>
      <c r="DVE288" s="22"/>
      <c r="DVF288" s="22"/>
      <c r="DVG288" s="22"/>
      <c r="DVH288" s="22"/>
      <c r="DVI288" s="22"/>
      <c r="DVJ288" s="22"/>
      <c r="DVK288" s="22"/>
      <c r="DVL288" s="22"/>
      <c r="DVM288" s="22"/>
      <c r="DVN288" s="22"/>
      <c r="DVO288" s="22"/>
      <c r="DVP288" s="22"/>
      <c r="DVQ288" s="22"/>
      <c r="DVR288" s="22"/>
      <c r="DVS288" s="22"/>
      <c r="DVT288" s="22"/>
      <c r="DVU288" s="22"/>
      <c r="DVV288" s="22"/>
      <c r="DVW288" s="22"/>
      <c r="DVX288" s="22"/>
      <c r="DVY288" s="22"/>
      <c r="DVZ288" s="22"/>
      <c r="DWA288" s="22"/>
      <c r="DWB288" s="22"/>
      <c r="DWC288" s="22"/>
      <c r="DWD288" s="22"/>
      <c r="DWE288" s="22"/>
      <c r="DWF288" s="22"/>
      <c r="DWG288" s="22"/>
      <c r="DWH288" s="22"/>
      <c r="DWI288" s="22"/>
      <c r="DWJ288" s="22"/>
      <c r="DWK288" s="22"/>
      <c r="DWL288" s="22"/>
      <c r="DWM288" s="22"/>
      <c r="DWN288" s="22"/>
      <c r="DWO288" s="22"/>
      <c r="DWP288" s="22"/>
      <c r="DWQ288" s="22"/>
      <c r="DWR288" s="22"/>
      <c r="DWS288" s="22"/>
      <c r="DWT288" s="22"/>
      <c r="DWU288" s="22"/>
      <c r="DWV288" s="22"/>
      <c r="DWW288" s="22"/>
      <c r="DWX288" s="22"/>
      <c r="DWY288" s="22"/>
      <c r="DWZ288" s="22"/>
      <c r="DXA288" s="22"/>
      <c r="DXB288" s="22"/>
      <c r="DXC288" s="22"/>
      <c r="DXD288" s="22"/>
      <c r="DXE288" s="22"/>
      <c r="DXF288" s="22"/>
      <c r="DXG288" s="22"/>
      <c r="DXH288" s="22"/>
      <c r="DXI288" s="22"/>
      <c r="DXJ288" s="22"/>
      <c r="DXK288" s="22"/>
      <c r="DXL288" s="22"/>
      <c r="DXM288" s="22"/>
      <c r="DXN288" s="22"/>
      <c r="DXO288" s="22"/>
      <c r="DXP288" s="22"/>
      <c r="DXQ288" s="22"/>
      <c r="DXR288" s="22"/>
      <c r="DXS288" s="22"/>
      <c r="DXT288" s="22"/>
      <c r="DXU288" s="22"/>
      <c r="DXV288" s="22"/>
      <c r="DXW288" s="22"/>
      <c r="DXX288" s="22"/>
      <c r="DXY288" s="22"/>
      <c r="DXZ288" s="22"/>
      <c r="DYA288" s="22"/>
      <c r="DYB288" s="22"/>
      <c r="DYC288" s="22"/>
      <c r="DYD288" s="22"/>
      <c r="DYE288" s="22"/>
      <c r="DYF288" s="22"/>
      <c r="DYG288" s="22"/>
      <c r="DYH288" s="22"/>
      <c r="DYI288" s="22"/>
      <c r="DYJ288" s="22"/>
      <c r="DYK288" s="22"/>
      <c r="DYL288" s="22"/>
      <c r="DYM288" s="22"/>
      <c r="DYN288" s="22"/>
      <c r="DYO288" s="22"/>
      <c r="DYP288" s="22"/>
      <c r="DYQ288" s="22"/>
      <c r="DYR288" s="22"/>
      <c r="DYS288" s="22"/>
      <c r="DYT288" s="22"/>
      <c r="DYU288" s="22"/>
      <c r="DYV288" s="22"/>
      <c r="DYW288" s="22"/>
      <c r="DYX288" s="22"/>
      <c r="DYY288" s="22"/>
      <c r="DYZ288" s="22"/>
      <c r="DZA288" s="22"/>
      <c r="DZB288" s="22"/>
      <c r="DZC288" s="22"/>
      <c r="DZD288" s="22"/>
      <c r="DZE288" s="22"/>
      <c r="DZF288" s="22"/>
      <c r="DZG288" s="22"/>
      <c r="DZH288" s="22"/>
      <c r="DZI288" s="22"/>
      <c r="DZJ288" s="22"/>
      <c r="DZK288" s="22"/>
      <c r="DZL288" s="22"/>
      <c r="DZM288" s="22"/>
      <c r="DZN288" s="22"/>
      <c r="DZO288" s="22"/>
      <c r="DZP288" s="22"/>
      <c r="DZQ288" s="22"/>
      <c r="DZR288" s="22"/>
      <c r="DZS288" s="22"/>
      <c r="DZT288" s="22"/>
      <c r="DZU288" s="22"/>
      <c r="DZV288" s="22"/>
      <c r="DZW288" s="22"/>
      <c r="DZX288" s="22"/>
      <c r="DZY288" s="22"/>
      <c r="DZZ288" s="22"/>
      <c r="EAA288" s="22"/>
      <c r="EAB288" s="22"/>
      <c r="EAC288" s="22"/>
      <c r="EAD288" s="22"/>
      <c r="EAE288" s="22"/>
      <c r="EAF288" s="22"/>
      <c r="EAG288" s="22"/>
      <c r="EAH288" s="22"/>
      <c r="EAI288" s="22"/>
      <c r="EAJ288" s="22"/>
      <c r="EAK288" s="22"/>
      <c r="EAL288" s="22"/>
      <c r="EAM288" s="22"/>
      <c r="EAN288" s="22"/>
      <c r="EAO288" s="22"/>
      <c r="EAP288" s="22"/>
      <c r="EAQ288" s="22"/>
      <c r="EAR288" s="22"/>
      <c r="EAS288" s="22"/>
      <c r="EAT288" s="22"/>
      <c r="EAU288" s="22"/>
      <c r="EAV288" s="22"/>
      <c r="EAW288" s="22"/>
      <c r="EAX288" s="22"/>
      <c r="EAY288" s="22"/>
      <c r="EAZ288" s="22"/>
      <c r="EBA288" s="22"/>
      <c r="EBB288" s="22"/>
      <c r="EBC288" s="22"/>
      <c r="EBD288" s="22"/>
      <c r="EBE288" s="22"/>
      <c r="EBF288" s="22"/>
      <c r="EBG288" s="22"/>
      <c r="EBH288" s="22"/>
      <c r="EBI288" s="22"/>
      <c r="EBJ288" s="22"/>
      <c r="EBK288" s="22"/>
      <c r="EBL288" s="22"/>
      <c r="EBM288" s="22"/>
      <c r="EBN288" s="22"/>
      <c r="EBO288" s="22"/>
      <c r="EBP288" s="22"/>
      <c r="EBQ288" s="22"/>
      <c r="EBR288" s="22"/>
      <c r="EBS288" s="22"/>
      <c r="EBT288" s="22"/>
      <c r="EBU288" s="22"/>
      <c r="EBV288" s="22"/>
      <c r="EBW288" s="22"/>
      <c r="EBX288" s="22"/>
      <c r="EBY288" s="22"/>
      <c r="EBZ288" s="22"/>
      <c r="ECA288" s="22"/>
      <c r="ECB288" s="22"/>
      <c r="ECC288" s="22"/>
      <c r="ECD288" s="22"/>
      <c r="ECE288" s="22"/>
      <c r="ECF288" s="22"/>
      <c r="ECG288" s="22"/>
      <c r="ECH288" s="22"/>
      <c r="ECI288" s="22"/>
      <c r="ECJ288" s="22"/>
      <c r="ECK288" s="22"/>
      <c r="ECL288" s="22"/>
      <c r="ECM288" s="22"/>
      <c r="ECN288" s="22"/>
      <c r="ECO288" s="22"/>
      <c r="ECP288" s="22"/>
      <c r="ECQ288" s="22"/>
      <c r="ECR288" s="22"/>
      <c r="ECS288" s="22"/>
      <c r="ECT288" s="22"/>
      <c r="ECU288" s="22"/>
      <c r="ECV288" s="22"/>
      <c r="ECW288" s="22"/>
      <c r="ECX288" s="22"/>
      <c r="ECY288" s="22"/>
      <c r="ECZ288" s="22"/>
      <c r="EDA288" s="22"/>
      <c r="EDB288" s="22"/>
      <c r="EDC288" s="22"/>
      <c r="EDD288" s="22"/>
      <c r="EDE288" s="22"/>
      <c r="EDF288" s="22"/>
      <c r="EDG288" s="22"/>
      <c r="EDH288" s="22"/>
      <c r="EDI288" s="22"/>
      <c r="EDJ288" s="22"/>
      <c r="EDK288" s="22"/>
      <c r="EDL288" s="22"/>
      <c r="EDM288" s="22"/>
      <c r="EDN288" s="22"/>
      <c r="EDO288" s="22"/>
      <c r="EDP288" s="22"/>
      <c r="EDQ288" s="22"/>
      <c r="EDR288" s="22"/>
      <c r="EDS288" s="22"/>
      <c r="EDT288" s="22"/>
      <c r="EDU288" s="22"/>
      <c r="EDV288" s="22"/>
      <c r="EDW288" s="22"/>
      <c r="EDX288" s="22"/>
      <c r="EDY288" s="22"/>
      <c r="EDZ288" s="22"/>
      <c r="EEA288" s="22"/>
      <c r="EEB288" s="22"/>
      <c r="EEC288" s="22"/>
      <c r="EED288" s="22"/>
      <c r="EEE288" s="22"/>
      <c r="EEF288" s="22"/>
      <c r="EEG288" s="22"/>
      <c r="EEH288" s="22"/>
      <c r="EEI288" s="22"/>
      <c r="EEJ288" s="22"/>
      <c r="EEK288" s="22"/>
      <c r="EEL288" s="22"/>
      <c r="EEM288" s="22"/>
      <c r="EEN288" s="22"/>
      <c r="EEO288" s="22"/>
      <c r="EEP288" s="22"/>
      <c r="EEQ288" s="22"/>
      <c r="EER288" s="22"/>
      <c r="EES288" s="22"/>
      <c r="EET288" s="22"/>
      <c r="EEU288" s="22"/>
      <c r="EEV288" s="22"/>
      <c r="EEW288" s="22"/>
      <c r="EEX288" s="22"/>
      <c r="EEY288" s="22"/>
      <c r="EEZ288" s="22"/>
      <c r="EFA288" s="22"/>
      <c r="EFB288" s="22"/>
      <c r="EFC288" s="22"/>
      <c r="EFD288" s="22"/>
      <c r="EFE288" s="22"/>
      <c r="EFF288" s="22"/>
      <c r="EFG288" s="22"/>
      <c r="EFH288" s="22"/>
      <c r="EFI288" s="22"/>
      <c r="EFJ288" s="22"/>
      <c r="EFK288" s="22"/>
      <c r="EFL288" s="22"/>
      <c r="EFM288" s="22"/>
      <c r="EFN288" s="22"/>
      <c r="EFO288" s="22"/>
      <c r="EFP288" s="22"/>
      <c r="EFQ288" s="22"/>
      <c r="EFR288" s="22"/>
      <c r="EFS288" s="22"/>
      <c r="EFT288" s="22"/>
      <c r="EFU288" s="22"/>
      <c r="EFV288" s="22"/>
      <c r="EFW288" s="22"/>
      <c r="EFX288" s="22"/>
      <c r="EFY288" s="22"/>
      <c r="EFZ288" s="22"/>
      <c r="EGA288" s="22"/>
      <c r="EGB288" s="22"/>
      <c r="EGC288" s="22"/>
      <c r="EGD288" s="22"/>
      <c r="EGE288" s="22"/>
      <c r="EGF288" s="22"/>
      <c r="EGG288" s="22"/>
      <c r="EGH288" s="22"/>
      <c r="EGI288" s="22"/>
      <c r="EGJ288" s="22"/>
      <c r="EGK288" s="22"/>
      <c r="EGL288" s="22"/>
      <c r="EGM288" s="22"/>
      <c r="EGN288" s="22"/>
      <c r="EGO288" s="22"/>
      <c r="EGP288" s="22"/>
      <c r="EGQ288" s="22"/>
      <c r="EGR288" s="22"/>
      <c r="EGS288" s="22"/>
      <c r="EGT288" s="22"/>
      <c r="EGU288" s="22"/>
      <c r="EGV288" s="22"/>
      <c r="EGW288" s="22"/>
      <c r="EGX288" s="22"/>
      <c r="EGY288" s="22"/>
      <c r="EGZ288" s="22"/>
      <c r="EHA288" s="22"/>
      <c r="EHB288" s="22"/>
      <c r="EHC288" s="22"/>
      <c r="EHD288" s="22"/>
      <c r="EHE288" s="22"/>
      <c r="EHF288" s="22"/>
      <c r="EHG288" s="22"/>
      <c r="EHH288" s="22"/>
      <c r="EHI288" s="22"/>
      <c r="EHJ288" s="22"/>
      <c r="EHK288" s="22"/>
      <c r="EHL288" s="22"/>
      <c r="EHM288" s="22"/>
      <c r="EHN288" s="22"/>
      <c r="EHO288" s="22"/>
      <c r="EHP288" s="22"/>
      <c r="EHQ288" s="22"/>
      <c r="EHR288" s="22"/>
      <c r="EHS288" s="22"/>
      <c r="EHT288" s="22"/>
      <c r="EHU288" s="22"/>
      <c r="EHV288" s="22"/>
      <c r="EHW288" s="22"/>
      <c r="EHX288" s="22"/>
      <c r="EHY288" s="22"/>
      <c r="EHZ288" s="22"/>
      <c r="EIA288" s="22"/>
      <c r="EIB288" s="22"/>
      <c r="EIC288" s="22"/>
      <c r="EID288" s="22"/>
      <c r="EIE288" s="22"/>
      <c r="EIF288" s="22"/>
      <c r="EIG288" s="22"/>
      <c r="EIH288" s="22"/>
      <c r="EII288" s="22"/>
      <c r="EIJ288" s="22"/>
      <c r="EIK288" s="22"/>
      <c r="EIL288" s="22"/>
      <c r="EIM288" s="22"/>
      <c r="EIN288" s="22"/>
      <c r="EIO288" s="22"/>
      <c r="EIP288" s="22"/>
      <c r="EIQ288" s="22"/>
      <c r="EIR288" s="22"/>
      <c r="EIS288" s="22"/>
      <c r="EIT288" s="22"/>
      <c r="EIU288" s="22"/>
      <c r="EIV288" s="22"/>
      <c r="EIW288" s="22"/>
      <c r="EIX288" s="22"/>
      <c r="EIY288" s="22"/>
      <c r="EIZ288" s="22"/>
      <c r="EJA288" s="22"/>
      <c r="EJB288" s="22"/>
      <c r="EJC288" s="22"/>
      <c r="EJD288" s="22"/>
      <c r="EJE288" s="22"/>
      <c r="EJF288" s="22"/>
      <c r="EJG288" s="22"/>
      <c r="EJH288" s="22"/>
      <c r="EJI288" s="22"/>
      <c r="EJJ288" s="22"/>
      <c r="EJK288" s="22"/>
      <c r="EJL288" s="22"/>
      <c r="EJM288" s="22"/>
      <c r="EJN288" s="22"/>
      <c r="EJO288" s="22"/>
      <c r="EJP288" s="22"/>
      <c r="EJQ288" s="22"/>
      <c r="EJR288" s="22"/>
      <c r="EJS288" s="22"/>
      <c r="EJT288" s="22"/>
      <c r="EJU288" s="22"/>
      <c r="EJV288" s="22"/>
      <c r="EJW288" s="22"/>
      <c r="EJX288" s="22"/>
      <c r="EJY288" s="22"/>
      <c r="EJZ288" s="22"/>
      <c r="EKA288" s="22"/>
      <c r="EKB288" s="22"/>
      <c r="EKC288" s="22"/>
      <c r="EKD288" s="22"/>
      <c r="EKE288" s="22"/>
      <c r="EKF288" s="22"/>
      <c r="EKG288" s="22"/>
      <c r="EKH288" s="22"/>
      <c r="EKI288" s="22"/>
      <c r="EKJ288" s="22"/>
      <c r="EKK288" s="22"/>
      <c r="EKL288" s="22"/>
      <c r="EKM288" s="22"/>
      <c r="EKN288" s="22"/>
      <c r="EKO288" s="22"/>
      <c r="EKP288" s="22"/>
      <c r="EKQ288" s="22"/>
      <c r="EKR288" s="22"/>
      <c r="EKS288" s="22"/>
      <c r="EKT288" s="22"/>
      <c r="EKU288" s="22"/>
      <c r="EKV288" s="22"/>
      <c r="EKW288" s="22"/>
      <c r="EKX288" s="22"/>
      <c r="EKY288" s="22"/>
      <c r="EKZ288" s="22"/>
      <c r="ELA288" s="22"/>
      <c r="ELB288" s="22"/>
      <c r="ELC288" s="22"/>
      <c r="ELD288" s="22"/>
      <c r="ELE288" s="22"/>
      <c r="ELF288" s="22"/>
      <c r="ELG288" s="22"/>
      <c r="ELH288" s="22"/>
      <c r="ELI288" s="22"/>
      <c r="ELJ288" s="22"/>
      <c r="ELK288" s="22"/>
      <c r="ELL288" s="22"/>
      <c r="ELM288" s="22"/>
      <c r="ELN288" s="22"/>
      <c r="ELO288" s="22"/>
      <c r="ELP288" s="22"/>
      <c r="ELQ288" s="22"/>
      <c r="ELR288" s="22"/>
      <c r="ELS288" s="22"/>
      <c r="ELT288" s="22"/>
      <c r="ELU288" s="22"/>
      <c r="ELV288" s="22"/>
      <c r="ELW288" s="22"/>
      <c r="ELX288" s="22"/>
      <c r="ELY288" s="22"/>
      <c r="ELZ288" s="22"/>
      <c r="EMA288" s="22"/>
      <c r="EMB288" s="22"/>
      <c r="EMC288" s="22"/>
      <c r="EMD288" s="22"/>
      <c r="EME288" s="22"/>
      <c r="EMF288" s="22"/>
      <c r="EMG288" s="22"/>
      <c r="EMH288" s="22"/>
      <c r="EMI288" s="22"/>
      <c r="EMJ288" s="22"/>
      <c r="EMK288" s="22"/>
      <c r="EML288" s="22"/>
      <c r="EMM288" s="22"/>
      <c r="EMN288" s="22"/>
      <c r="EMO288" s="22"/>
      <c r="EMP288" s="22"/>
      <c r="EMQ288" s="22"/>
      <c r="EMR288" s="22"/>
      <c r="EMS288" s="22"/>
      <c r="EMT288" s="22"/>
      <c r="EMU288" s="22"/>
      <c r="EMV288" s="22"/>
      <c r="EMW288" s="22"/>
      <c r="EMX288" s="22"/>
      <c r="EMY288" s="22"/>
      <c r="EMZ288" s="22"/>
      <c r="ENA288" s="22"/>
      <c r="ENB288" s="22"/>
      <c r="ENC288" s="22"/>
      <c r="END288" s="22"/>
      <c r="ENE288" s="22"/>
      <c r="ENF288" s="22"/>
      <c r="ENG288" s="22"/>
      <c r="ENH288" s="22"/>
      <c r="ENI288" s="22"/>
      <c r="ENJ288" s="22"/>
      <c r="ENK288" s="22"/>
      <c r="ENL288" s="22"/>
      <c r="ENM288" s="22"/>
      <c r="ENN288" s="22"/>
      <c r="ENO288" s="22"/>
      <c r="ENP288" s="22"/>
      <c r="ENQ288" s="22"/>
      <c r="ENR288" s="22"/>
      <c r="ENS288" s="22"/>
      <c r="ENT288" s="22"/>
      <c r="ENU288" s="22"/>
      <c r="ENV288" s="22"/>
      <c r="ENW288" s="22"/>
      <c r="ENX288" s="22"/>
      <c r="ENY288" s="22"/>
      <c r="ENZ288" s="22"/>
      <c r="EOA288" s="22"/>
      <c r="EOB288" s="22"/>
      <c r="EOC288" s="22"/>
      <c r="EOD288" s="22"/>
      <c r="EOE288" s="22"/>
      <c r="EOF288" s="22"/>
      <c r="EOG288" s="22"/>
      <c r="EOH288" s="22"/>
      <c r="EOI288" s="22"/>
      <c r="EOJ288" s="22"/>
      <c r="EOK288" s="22"/>
      <c r="EOL288" s="22"/>
      <c r="EOM288" s="22"/>
      <c r="EON288" s="22"/>
      <c r="EOO288" s="22"/>
      <c r="EOP288" s="22"/>
      <c r="EOQ288" s="22"/>
      <c r="EOR288" s="22"/>
      <c r="EOS288" s="22"/>
      <c r="EOT288" s="22"/>
      <c r="EOU288" s="22"/>
      <c r="EOV288" s="22"/>
      <c r="EOW288" s="22"/>
      <c r="EOX288" s="22"/>
      <c r="EOY288" s="22"/>
      <c r="EOZ288" s="22"/>
      <c r="EPA288" s="22"/>
      <c r="EPB288" s="22"/>
      <c r="EPC288" s="22"/>
      <c r="EPD288" s="22"/>
      <c r="EPE288" s="22"/>
      <c r="EPF288" s="22"/>
      <c r="EPG288" s="22"/>
      <c r="EPH288" s="22"/>
      <c r="EPI288" s="22"/>
      <c r="EPJ288" s="22"/>
      <c r="EPK288" s="22"/>
      <c r="EPL288" s="22"/>
      <c r="EPM288" s="22"/>
      <c r="EPN288" s="22"/>
      <c r="EPO288" s="22"/>
      <c r="EPP288" s="22"/>
      <c r="EPQ288" s="22"/>
      <c r="EPR288" s="22"/>
      <c r="EPS288" s="22"/>
      <c r="EPT288" s="22"/>
      <c r="EPU288" s="22"/>
      <c r="EPV288" s="22"/>
      <c r="EPW288" s="22"/>
      <c r="EPX288" s="22"/>
      <c r="EPY288" s="22"/>
      <c r="EPZ288" s="22"/>
      <c r="EQA288" s="22"/>
      <c r="EQB288" s="22"/>
      <c r="EQC288" s="22"/>
      <c r="EQD288" s="22"/>
      <c r="EQE288" s="22"/>
      <c r="EQF288" s="22"/>
      <c r="EQG288" s="22"/>
      <c r="EQH288" s="22"/>
      <c r="EQI288" s="22"/>
      <c r="EQJ288" s="22"/>
      <c r="EQK288" s="22"/>
      <c r="EQL288" s="22"/>
      <c r="EQM288" s="22"/>
      <c r="EQN288" s="22"/>
      <c r="EQO288" s="22"/>
      <c r="EQP288" s="22"/>
      <c r="EQQ288" s="22"/>
      <c r="EQR288" s="22"/>
      <c r="EQS288" s="22"/>
      <c r="EQT288" s="22"/>
      <c r="EQU288" s="22"/>
      <c r="EQV288" s="22"/>
      <c r="EQW288" s="22"/>
      <c r="EQX288" s="22"/>
      <c r="EQY288" s="22"/>
      <c r="EQZ288" s="22"/>
      <c r="ERA288" s="22"/>
      <c r="ERB288" s="22"/>
      <c r="ERC288" s="22"/>
      <c r="ERD288" s="22"/>
      <c r="ERE288" s="22"/>
      <c r="ERF288" s="22"/>
      <c r="ERG288" s="22"/>
      <c r="ERH288" s="22"/>
      <c r="ERI288" s="22"/>
      <c r="ERJ288" s="22"/>
      <c r="ERK288" s="22"/>
      <c r="ERL288" s="22"/>
      <c r="ERM288" s="22"/>
      <c r="ERN288" s="22"/>
      <c r="ERO288" s="22"/>
      <c r="ERP288" s="22"/>
      <c r="ERQ288" s="22"/>
      <c r="ERR288" s="22"/>
      <c r="ERS288" s="22"/>
      <c r="ERT288" s="22"/>
      <c r="ERU288" s="22"/>
      <c r="ERV288" s="22"/>
      <c r="ERW288" s="22"/>
      <c r="ERX288" s="22"/>
      <c r="ERY288" s="22"/>
      <c r="ERZ288" s="22"/>
      <c r="ESA288" s="22"/>
      <c r="ESB288" s="22"/>
      <c r="ESC288" s="22"/>
      <c r="ESD288" s="22"/>
      <c r="ESE288" s="22"/>
      <c r="ESF288" s="22"/>
      <c r="ESG288" s="22"/>
      <c r="ESH288" s="22"/>
      <c r="ESI288" s="22"/>
      <c r="ESJ288" s="22"/>
      <c r="ESK288" s="22"/>
      <c r="ESL288" s="22"/>
      <c r="ESM288" s="22"/>
      <c r="ESN288" s="22"/>
      <c r="ESO288" s="22"/>
      <c r="ESP288" s="22"/>
      <c r="ESQ288" s="22"/>
      <c r="ESR288" s="22"/>
      <c r="ESS288" s="22"/>
      <c r="EST288" s="22"/>
      <c r="ESU288" s="22"/>
      <c r="ESV288" s="22"/>
      <c r="ESW288" s="22"/>
      <c r="ESX288" s="22"/>
      <c r="ESY288" s="22"/>
      <c r="ESZ288" s="22"/>
      <c r="ETA288" s="22"/>
      <c r="ETB288" s="22"/>
      <c r="ETC288" s="22"/>
      <c r="ETD288" s="22"/>
      <c r="ETE288" s="22"/>
      <c r="ETF288" s="22"/>
      <c r="ETG288" s="22"/>
      <c r="ETH288" s="22"/>
      <c r="ETI288" s="22"/>
      <c r="ETJ288" s="22"/>
      <c r="ETK288" s="22"/>
      <c r="ETL288" s="22"/>
      <c r="ETM288" s="22"/>
      <c r="ETN288" s="22"/>
      <c r="ETO288" s="22"/>
      <c r="ETP288" s="22"/>
      <c r="ETQ288" s="22"/>
      <c r="ETR288" s="22"/>
      <c r="ETS288" s="22"/>
      <c r="ETT288" s="22"/>
      <c r="ETU288" s="22"/>
      <c r="ETV288" s="22"/>
      <c r="ETW288" s="22"/>
      <c r="ETX288" s="22"/>
      <c r="ETY288" s="22"/>
      <c r="ETZ288" s="22"/>
      <c r="EUA288" s="22"/>
      <c r="EUB288" s="22"/>
      <c r="EUC288" s="22"/>
      <c r="EUD288" s="22"/>
      <c r="EUE288" s="22"/>
      <c r="EUF288" s="22"/>
      <c r="EUG288" s="22"/>
      <c r="EUH288" s="22"/>
      <c r="EUI288" s="22"/>
      <c r="EUJ288" s="22"/>
      <c r="EUK288" s="22"/>
      <c r="EUL288" s="22"/>
      <c r="EUM288" s="22"/>
      <c r="EUN288" s="22"/>
      <c r="EUO288" s="22"/>
      <c r="EUP288" s="22"/>
      <c r="EUQ288" s="22"/>
      <c r="EUR288" s="22"/>
      <c r="EUS288" s="22"/>
      <c r="EUT288" s="22"/>
      <c r="EUU288" s="22"/>
      <c r="EUV288" s="22"/>
      <c r="EUW288" s="22"/>
      <c r="EUX288" s="22"/>
      <c r="EUY288" s="22"/>
      <c r="EUZ288" s="22"/>
      <c r="EVA288" s="22"/>
      <c r="EVB288" s="22"/>
      <c r="EVC288" s="22"/>
      <c r="EVD288" s="22"/>
      <c r="EVE288" s="22"/>
      <c r="EVF288" s="22"/>
      <c r="EVG288" s="22"/>
      <c r="EVH288" s="22"/>
      <c r="EVI288" s="22"/>
      <c r="EVJ288" s="22"/>
      <c r="EVK288" s="22"/>
      <c r="EVL288" s="22"/>
      <c r="EVM288" s="22"/>
      <c r="EVN288" s="22"/>
      <c r="EVO288" s="22"/>
      <c r="EVP288" s="22"/>
      <c r="EVQ288" s="22"/>
      <c r="EVR288" s="22"/>
      <c r="EVS288" s="22"/>
      <c r="EVT288" s="22"/>
      <c r="EVU288" s="22"/>
      <c r="EVV288" s="22"/>
      <c r="EVW288" s="22"/>
      <c r="EVX288" s="22"/>
      <c r="EVY288" s="22"/>
      <c r="EVZ288" s="22"/>
      <c r="EWA288" s="22"/>
      <c r="EWB288" s="22"/>
      <c r="EWC288" s="22"/>
      <c r="EWD288" s="22"/>
      <c r="EWE288" s="22"/>
      <c r="EWF288" s="22"/>
      <c r="EWG288" s="22"/>
      <c r="EWH288" s="22"/>
      <c r="EWI288" s="22"/>
      <c r="EWJ288" s="22"/>
      <c r="EWK288" s="22"/>
      <c r="EWL288" s="22"/>
      <c r="EWM288" s="22"/>
      <c r="EWN288" s="22"/>
      <c r="EWO288" s="22"/>
      <c r="EWP288" s="22"/>
      <c r="EWQ288" s="22"/>
      <c r="EWR288" s="22"/>
      <c r="EWS288" s="22"/>
      <c r="EWT288" s="22"/>
      <c r="EWU288" s="22"/>
      <c r="EWV288" s="22"/>
      <c r="EWW288" s="22"/>
      <c r="EWX288" s="22"/>
      <c r="EWY288" s="22"/>
      <c r="EWZ288" s="22"/>
      <c r="EXA288" s="22"/>
      <c r="EXB288" s="22"/>
      <c r="EXC288" s="22"/>
      <c r="EXD288" s="22"/>
      <c r="EXE288" s="22"/>
      <c r="EXF288" s="22"/>
      <c r="EXG288" s="22"/>
      <c r="EXH288" s="22"/>
      <c r="EXI288" s="22"/>
      <c r="EXJ288" s="22"/>
      <c r="EXK288" s="22"/>
      <c r="EXL288" s="22"/>
      <c r="EXM288" s="22"/>
      <c r="EXN288" s="22"/>
      <c r="EXO288" s="22"/>
      <c r="EXP288" s="22"/>
      <c r="EXQ288" s="22"/>
      <c r="EXR288" s="22"/>
      <c r="EXS288" s="22"/>
      <c r="EXT288" s="22"/>
      <c r="EXU288" s="22"/>
      <c r="EXV288" s="22"/>
      <c r="EXW288" s="22"/>
      <c r="EXX288" s="22"/>
      <c r="EXY288" s="22"/>
      <c r="EXZ288" s="22"/>
      <c r="EYA288" s="22"/>
      <c r="EYB288" s="22"/>
      <c r="EYC288" s="22"/>
      <c r="EYD288" s="22"/>
      <c r="EYE288" s="22"/>
      <c r="EYF288" s="22"/>
      <c r="EYG288" s="22"/>
      <c r="EYH288" s="22"/>
      <c r="EYI288" s="22"/>
      <c r="EYJ288" s="22"/>
      <c r="EYK288" s="22"/>
      <c r="EYL288" s="22"/>
      <c r="EYM288" s="22"/>
      <c r="EYN288" s="22"/>
      <c r="EYO288" s="22"/>
      <c r="EYP288" s="22"/>
      <c r="EYQ288" s="22"/>
      <c r="EYR288" s="22"/>
      <c r="EYS288" s="22"/>
      <c r="EYT288" s="22"/>
      <c r="EYU288" s="22"/>
      <c r="EYV288" s="22"/>
      <c r="EYW288" s="22"/>
      <c r="EYX288" s="22"/>
      <c r="EYY288" s="22"/>
      <c r="EYZ288" s="22"/>
      <c r="EZA288" s="22"/>
      <c r="EZB288" s="22"/>
      <c r="EZC288" s="22"/>
      <c r="EZD288" s="22"/>
      <c r="EZE288" s="22"/>
      <c r="EZF288" s="22"/>
      <c r="EZG288" s="22"/>
      <c r="EZH288" s="22"/>
      <c r="EZI288" s="22"/>
      <c r="EZJ288" s="22"/>
      <c r="EZK288" s="22"/>
      <c r="EZL288" s="22"/>
      <c r="EZM288" s="22"/>
      <c r="EZN288" s="22"/>
      <c r="EZO288" s="22"/>
      <c r="EZP288" s="22"/>
      <c r="EZQ288" s="22"/>
      <c r="EZR288" s="22"/>
      <c r="EZS288" s="22"/>
      <c r="EZT288" s="22"/>
      <c r="EZU288" s="22"/>
      <c r="EZV288" s="22"/>
      <c r="EZW288" s="22"/>
      <c r="EZX288" s="22"/>
      <c r="EZY288" s="22"/>
      <c r="EZZ288" s="22"/>
      <c r="FAA288" s="22"/>
      <c r="FAB288" s="22"/>
      <c r="FAC288" s="22"/>
      <c r="FAD288" s="22"/>
      <c r="FAE288" s="22"/>
      <c r="FAF288" s="22"/>
      <c r="FAG288" s="22"/>
      <c r="FAH288" s="22"/>
      <c r="FAI288" s="22"/>
      <c r="FAJ288" s="22"/>
      <c r="FAK288" s="22"/>
      <c r="FAL288" s="22"/>
      <c r="FAM288" s="22"/>
      <c r="FAN288" s="22"/>
      <c r="FAO288" s="22"/>
      <c r="FAP288" s="22"/>
      <c r="FAQ288" s="22"/>
      <c r="FAR288" s="22"/>
      <c r="FAS288" s="22"/>
      <c r="FAT288" s="22"/>
      <c r="FAU288" s="22"/>
      <c r="FAV288" s="22"/>
      <c r="FAW288" s="22"/>
      <c r="FAX288" s="22"/>
      <c r="FAY288" s="22"/>
      <c r="FAZ288" s="22"/>
      <c r="FBA288" s="22"/>
      <c r="FBB288" s="22"/>
      <c r="FBC288" s="22"/>
      <c r="FBD288" s="22"/>
      <c r="FBE288" s="22"/>
      <c r="FBF288" s="22"/>
      <c r="FBG288" s="22"/>
      <c r="FBH288" s="22"/>
      <c r="FBI288" s="22"/>
      <c r="FBJ288" s="22"/>
      <c r="FBK288" s="22"/>
      <c r="FBL288" s="22"/>
      <c r="FBM288" s="22"/>
      <c r="FBN288" s="22"/>
      <c r="FBO288" s="22"/>
      <c r="FBP288" s="22"/>
      <c r="FBQ288" s="22"/>
      <c r="FBR288" s="22"/>
      <c r="FBS288" s="22"/>
      <c r="FBT288" s="22"/>
      <c r="FBU288" s="22"/>
      <c r="FBV288" s="22"/>
      <c r="FBW288" s="22"/>
      <c r="FBX288" s="22"/>
      <c r="FBY288" s="22"/>
      <c r="FBZ288" s="22"/>
      <c r="FCA288" s="22"/>
      <c r="FCB288" s="22"/>
      <c r="FCC288" s="22"/>
      <c r="FCD288" s="22"/>
      <c r="FCE288" s="22"/>
      <c r="FCF288" s="22"/>
      <c r="FCG288" s="22"/>
      <c r="FCH288" s="22"/>
      <c r="FCI288" s="22"/>
      <c r="FCJ288" s="22"/>
      <c r="FCK288" s="22"/>
      <c r="FCL288" s="22"/>
      <c r="FCM288" s="22"/>
      <c r="FCN288" s="22"/>
      <c r="FCO288" s="22"/>
      <c r="FCP288" s="22"/>
      <c r="FCQ288" s="22"/>
      <c r="FCR288" s="22"/>
      <c r="FCS288" s="22"/>
      <c r="FCT288" s="22"/>
      <c r="FCU288" s="22"/>
      <c r="FCV288" s="22"/>
      <c r="FCW288" s="22"/>
      <c r="FCX288" s="22"/>
      <c r="FCY288" s="22"/>
      <c r="FCZ288" s="22"/>
      <c r="FDA288" s="22"/>
      <c r="FDB288" s="22"/>
      <c r="FDC288" s="22"/>
      <c r="FDD288" s="22"/>
      <c r="FDE288" s="22"/>
      <c r="FDF288" s="22"/>
      <c r="FDG288" s="22"/>
      <c r="FDH288" s="22"/>
      <c r="FDI288" s="22"/>
      <c r="FDJ288" s="22"/>
      <c r="FDK288" s="22"/>
      <c r="FDL288" s="22"/>
      <c r="FDM288" s="22"/>
      <c r="FDN288" s="22"/>
      <c r="FDO288" s="22"/>
      <c r="FDP288" s="22"/>
      <c r="FDQ288" s="22"/>
      <c r="FDR288" s="22"/>
      <c r="FDS288" s="22"/>
      <c r="FDT288" s="22"/>
      <c r="FDU288" s="22"/>
      <c r="FDV288" s="22"/>
      <c r="FDW288" s="22"/>
      <c r="FDX288" s="22"/>
      <c r="FDY288" s="22"/>
      <c r="FDZ288" s="22"/>
      <c r="FEA288" s="22"/>
      <c r="FEB288" s="22"/>
      <c r="FEC288" s="22"/>
      <c r="FED288" s="22"/>
      <c r="FEE288" s="22"/>
      <c r="FEF288" s="22"/>
      <c r="FEG288" s="22"/>
      <c r="FEH288" s="22"/>
      <c r="FEI288" s="22"/>
      <c r="FEJ288" s="22"/>
      <c r="FEK288" s="22"/>
      <c r="FEL288" s="22"/>
      <c r="FEM288" s="22"/>
      <c r="FEN288" s="22"/>
      <c r="FEO288" s="22"/>
      <c r="FEP288" s="22"/>
      <c r="FEQ288" s="22"/>
      <c r="FER288" s="22"/>
      <c r="FES288" s="22"/>
      <c r="FET288" s="22"/>
      <c r="FEU288" s="22"/>
      <c r="FEV288" s="22"/>
      <c r="FEW288" s="22"/>
      <c r="FEX288" s="22"/>
      <c r="FEY288" s="22"/>
      <c r="FEZ288" s="22"/>
      <c r="FFA288" s="22"/>
      <c r="FFB288" s="22"/>
      <c r="FFC288" s="22"/>
      <c r="FFD288" s="22"/>
      <c r="FFE288" s="22"/>
      <c r="FFF288" s="22"/>
      <c r="FFG288" s="22"/>
      <c r="FFH288" s="22"/>
      <c r="FFI288" s="22"/>
      <c r="FFJ288" s="22"/>
      <c r="FFK288" s="22"/>
      <c r="FFL288" s="22"/>
      <c r="FFM288" s="22"/>
      <c r="FFN288" s="22"/>
      <c r="FFO288" s="22"/>
      <c r="FFP288" s="22"/>
      <c r="FFQ288" s="22"/>
      <c r="FFR288" s="22"/>
      <c r="FFS288" s="22"/>
      <c r="FFT288" s="22"/>
      <c r="FFU288" s="22"/>
      <c r="FFV288" s="22"/>
      <c r="FFW288" s="22"/>
      <c r="FFX288" s="22"/>
      <c r="FFY288" s="22"/>
      <c r="FFZ288" s="22"/>
      <c r="FGA288" s="22"/>
      <c r="FGB288" s="22"/>
      <c r="FGC288" s="22"/>
      <c r="FGD288" s="22"/>
      <c r="FGE288" s="22"/>
      <c r="FGF288" s="22"/>
      <c r="FGG288" s="22"/>
      <c r="FGH288" s="22"/>
      <c r="FGI288" s="22"/>
      <c r="FGJ288" s="22"/>
      <c r="FGK288" s="22"/>
      <c r="FGL288" s="22"/>
      <c r="FGM288" s="22"/>
      <c r="FGN288" s="22"/>
      <c r="FGO288" s="22"/>
      <c r="FGP288" s="22"/>
      <c r="FGQ288" s="22"/>
      <c r="FGR288" s="22"/>
      <c r="FGS288" s="22"/>
      <c r="FGT288" s="22"/>
      <c r="FGU288" s="22"/>
      <c r="FGV288" s="22"/>
      <c r="FGW288" s="22"/>
      <c r="FGX288" s="22"/>
      <c r="FGY288" s="22"/>
      <c r="FGZ288" s="22"/>
      <c r="FHA288" s="22"/>
      <c r="FHB288" s="22"/>
      <c r="FHC288" s="22"/>
      <c r="FHD288" s="22"/>
      <c r="FHE288" s="22"/>
      <c r="FHF288" s="22"/>
      <c r="FHG288" s="22"/>
      <c r="FHH288" s="22"/>
      <c r="FHI288" s="22"/>
      <c r="FHJ288" s="22"/>
      <c r="FHK288" s="22"/>
      <c r="FHL288" s="22"/>
      <c r="FHM288" s="22"/>
      <c r="FHN288" s="22"/>
      <c r="FHO288" s="22"/>
      <c r="FHP288" s="22"/>
      <c r="FHQ288" s="22"/>
      <c r="FHR288" s="22"/>
      <c r="FHS288" s="22"/>
      <c r="FHT288" s="22"/>
      <c r="FHU288" s="22"/>
      <c r="FHV288" s="22"/>
      <c r="FHW288" s="22"/>
      <c r="FHX288" s="22"/>
      <c r="FHY288" s="22"/>
      <c r="FHZ288" s="22"/>
      <c r="FIA288" s="22"/>
      <c r="FIB288" s="22"/>
      <c r="FIC288" s="22"/>
      <c r="FID288" s="22"/>
      <c r="FIE288" s="22"/>
      <c r="FIF288" s="22"/>
      <c r="FIG288" s="22"/>
      <c r="FIH288" s="22"/>
      <c r="FII288" s="22"/>
      <c r="FIJ288" s="22"/>
      <c r="FIK288" s="22"/>
      <c r="FIL288" s="22"/>
      <c r="FIM288" s="22"/>
      <c r="FIN288" s="22"/>
      <c r="FIO288" s="22"/>
      <c r="FIP288" s="22"/>
      <c r="FIQ288" s="22"/>
      <c r="FIR288" s="22"/>
      <c r="FIS288" s="22"/>
      <c r="FIT288" s="22"/>
      <c r="FIU288" s="22"/>
      <c r="FIV288" s="22"/>
      <c r="FIW288" s="22"/>
      <c r="FIX288" s="22"/>
      <c r="FIY288" s="22"/>
      <c r="FIZ288" s="22"/>
      <c r="FJA288" s="22"/>
      <c r="FJB288" s="22"/>
      <c r="FJC288" s="22"/>
      <c r="FJD288" s="22"/>
      <c r="FJE288" s="22"/>
      <c r="FJF288" s="22"/>
      <c r="FJG288" s="22"/>
      <c r="FJH288" s="22"/>
      <c r="FJI288" s="22"/>
      <c r="FJJ288" s="22"/>
      <c r="FJK288" s="22"/>
      <c r="FJL288" s="22"/>
      <c r="FJM288" s="22"/>
      <c r="FJN288" s="22"/>
      <c r="FJO288" s="22"/>
      <c r="FJP288" s="22"/>
      <c r="FJQ288" s="22"/>
      <c r="FJR288" s="22"/>
      <c r="FJS288" s="22"/>
      <c r="FJT288" s="22"/>
      <c r="FJU288" s="22"/>
      <c r="FJV288" s="22"/>
      <c r="FJW288" s="22"/>
      <c r="FJX288" s="22"/>
      <c r="FJY288" s="22"/>
      <c r="FJZ288" s="22"/>
      <c r="FKA288" s="22"/>
      <c r="FKB288" s="22"/>
      <c r="FKC288" s="22"/>
      <c r="FKD288" s="22"/>
      <c r="FKE288" s="22"/>
      <c r="FKF288" s="22"/>
      <c r="FKG288" s="22"/>
      <c r="FKH288" s="22"/>
      <c r="FKI288" s="22"/>
      <c r="FKJ288" s="22"/>
      <c r="FKK288" s="22"/>
      <c r="FKL288" s="22"/>
      <c r="FKM288" s="22"/>
      <c r="FKN288" s="22"/>
      <c r="FKO288" s="22"/>
      <c r="FKP288" s="22"/>
      <c r="FKQ288" s="22"/>
      <c r="FKR288" s="22"/>
      <c r="FKS288" s="22"/>
      <c r="FKT288" s="22"/>
      <c r="FKU288" s="22"/>
      <c r="FKV288" s="22"/>
      <c r="FKW288" s="22"/>
      <c r="FKX288" s="22"/>
      <c r="FKY288" s="22"/>
      <c r="FKZ288" s="22"/>
      <c r="FLA288" s="22"/>
      <c r="FLB288" s="22"/>
      <c r="FLC288" s="22"/>
      <c r="FLD288" s="22"/>
      <c r="FLE288" s="22"/>
      <c r="FLF288" s="22"/>
      <c r="FLG288" s="22"/>
      <c r="FLH288" s="22"/>
      <c r="FLI288" s="22"/>
      <c r="FLJ288" s="22"/>
      <c r="FLK288" s="22"/>
      <c r="FLL288" s="22"/>
      <c r="FLM288" s="22"/>
      <c r="FLN288" s="22"/>
      <c r="FLO288" s="22"/>
      <c r="FLP288" s="22"/>
      <c r="FLQ288" s="22"/>
      <c r="FLR288" s="22"/>
      <c r="FLS288" s="22"/>
      <c r="FLT288" s="22"/>
      <c r="FLU288" s="22"/>
      <c r="FLV288" s="22"/>
      <c r="FLW288" s="22"/>
      <c r="FLX288" s="22"/>
      <c r="FLY288" s="22"/>
      <c r="FLZ288" s="22"/>
      <c r="FMA288" s="22"/>
      <c r="FMB288" s="22"/>
      <c r="FMC288" s="22"/>
      <c r="FMD288" s="22"/>
      <c r="FME288" s="22"/>
      <c r="FMF288" s="22"/>
      <c r="FMG288" s="22"/>
      <c r="FMH288" s="22"/>
      <c r="FMI288" s="22"/>
      <c r="FMJ288" s="22"/>
      <c r="FMK288" s="22"/>
      <c r="FML288" s="22"/>
      <c r="FMM288" s="22"/>
      <c r="FMN288" s="22"/>
      <c r="FMO288" s="22"/>
      <c r="FMP288" s="22"/>
      <c r="FMQ288" s="22"/>
      <c r="FMR288" s="22"/>
      <c r="FMS288" s="22"/>
      <c r="FMT288" s="22"/>
      <c r="FMU288" s="22"/>
      <c r="FMV288" s="22"/>
      <c r="FMW288" s="22"/>
      <c r="FMX288" s="22"/>
      <c r="FMY288" s="22"/>
      <c r="FMZ288" s="22"/>
      <c r="FNA288" s="22"/>
      <c r="FNB288" s="22"/>
      <c r="FNC288" s="22"/>
      <c r="FND288" s="22"/>
      <c r="FNE288" s="22"/>
      <c r="FNF288" s="22"/>
      <c r="FNG288" s="22"/>
      <c r="FNH288" s="22"/>
      <c r="FNI288" s="22"/>
      <c r="FNJ288" s="22"/>
      <c r="FNK288" s="22"/>
      <c r="FNL288" s="22"/>
      <c r="FNM288" s="22"/>
      <c r="FNN288" s="22"/>
      <c r="FNO288" s="22"/>
      <c r="FNP288" s="22"/>
      <c r="FNQ288" s="22"/>
      <c r="FNR288" s="22"/>
      <c r="FNS288" s="22"/>
      <c r="FNT288" s="22"/>
      <c r="FNU288" s="22"/>
      <c r="FNV288" s="22"/>
      <c r="FNW288" s="22"/>
      <c r="FNX288" s="22"/>
      <c r="FNY288" s="22"/>
      <c r="FNZ288" s="22"/>
      <c r="FOA288" s="22"/>
      <c r="FOB288" s="22"/>
      <c r="FOC288" s="22"/>
      <c r="FOD288" s="22"/>
      <c r="FOE288" s="22"/>
      <c r="FOF288" s="22"/>
      <c r="FOG288" s="22"/>
      <c r="FOH288" s="22"/>
      <c r="FOI288" s="22"/>
      <c r="FOJ288" s="22"/>
      <c r="FOK288" s="22"/>
      <c r="FOL288" s="22"/>
      <c r="FOM288" s="22"/>
      <c r="FON288" s="22"/>
      <c r="FOO288" s="22"/>
      <c r="FOP288" s="22"/>
      <c r="FOQ288" s="22"/>
      <c r="FOR288" s="22"/>
      <c r="FOS288" s="22"/>
      <c r="FOT288" s="22"/>
      <c r="FOU288" s="22"/>
      <c r="FOV288" s="22"/>
      <c r="FOW288" s="22"/>
      <c r="FOX288" s="22"/>
      <c r="FOY288" s="22"/>
      <c r="FOZ288" s="22"/>
      <c r="FPA288" s="22"/>
      <c r="FPB288" s="22"/>
      <c r="FPC288" s="22"/>
      <c r="FPD288" s="22"/>
      <c r="FPE288" s="22"/>
      <c r="FPF288" s="22"/>
      <c r="FPG288" s="22"/>
      <c r="FPH288" s="22"/>
      <c r="FPI288" s="22"/>
      <c r="FPJ288" s="22"/>
      <c r="FPK288" s="22"/>
      <c r="FPL288" s="22"/>
      <c r="FPM288" s="22"/>
      <c r="FPN288" s="22"/>
      <c r="FPO288" s="22"/>
      <c r="FPP288" s="22"/>
      <c r="FPQ288" s="22"/>
      <c r="FPR288" s="22"/>
      <c r="FPS288" s="22"/>
      <c r="FPT288" s="22"/>
      <c r="FPU288" s="22"/>
      <c r="FPV288" s="22"/>
      <c r="FPW288" s="22"/>
      <c r="FPX288" s="22"/>
      <c r="FPY288" s="22"/>
      <c r="FPZ288" s="22"/>
      <c r="FQA288" s="22"/>
      <c r="FQB288" s="22"/>
      <c r="FQC288" s="22"/>
      <c r="FQD288" s="22"/>
      <c r="FQE288" s="22"/>
      <c r="FQF288" s="22"/>
      <c r="FQG288" s="22"/>
      <c r="FQH288" s="22"/>
      <c r="FQI288" s="22"/>
      <c r="FQJ288" s="22"/>
      <c r="FQK288" s="22"/>
      <c r="FQL288" s="22"/>
      <c r="FQM288" s="22"/>
      <c r="FQN288" s="22"/>
      <c r="FQO288" s="22"/>
      <c r="FQP288" s="22"/>
      <c r="FQQ288" s="22"/>
      <c r="FQR288" s="22"/>
      <c r="FQS288" s="22"/>
      <c r="FQT288" s="22"/>
      <c r="FQU288" s="22"/>
      <c r="FQV288" s="22"/>
      <c r="FQW288" s="22"/>
      <c r="FQX288" s="22"/>
      <c r="FQY288" s="22"/>
      <c r="FQZ288" s="22"/>
      <c r="FRA288" s="22"/>
      <c r="FRB288" s="22"/>
      <c r="FRC288" s="22"/>
      <c r="FRD288" s="22"/>
      <c r="FRE288" s="22"/>
      <c r="FRF288" s="22"/>
      <c r="FRG288" s="22"/>
      <c r="FRH288" s="22"/>
      <c r="FRI288" s="22"/>
      <c r="FRJ288" s="22"/>
      <c r="FRK288" s="22"/>
      <c r="FRL288" s="22"/>
      <c r="FRM288" s="22"/>
      <c r="FRN288" s="22"/>
      <c r="FRO288" s="22"/>
      <c r="FRP288" s="22"/>
      <c r="FRQ288" s="22"/>
      <c r="FRR288" s="22"/>
      <c r="FRS288" s="22"/>
      <c r="FRT288" s="22"/>
      <c r="FRU288" s="22"/>
      <c r="FRV288" s="22"/>
      <c r="FRW288" s="22"/>
      <c r="FRX288" s="22"/>
      <c r="FRY288" s="22"/>
      <c r="FRZ288" s="22"/>
      <c r="FSA288" s="22"/>
      <c r="FSB288" s="22"/>
      <c r="FSC288" s="22"/>
      <c r="FSD288" s="22"/>
      <c r="FSE288" s="22"/>
      <c r="FSF288" s="22"/>
      <c r="FSG288" s="22"/>
      <c r="FSH288" s="22"/>
      <c r="FSI288" s="22"/>
      <c r="FSJ288" s="22"/>
      <c r="FSK288" s="22"/>
      <c r="FSL288" s="22"/>
      <c r="FSM288" s="22"/>
      <c r="FSN288" s="22"/>
      <c r="FSO288" s="22"/>
      <c r="FSP288" s="22"/>
      <c r="FSQ288" s="22"/>
      <c r="FSR288" s="22"/>
      <c r="FSS288" s="22"/>
      <c r="FST288" s="22"/>
      <c r="FSU288" s="22"/>
      <c r="FSV288" s="22"/>
      <c r="FSW288" s="22"/>
      <c r="FSX288" s="22"/>
      <c r="FSY288" s="22"/>
      <c r="FSZ288" s="22"/>
      <c r="FTA288" s="22"/>
      <c r="FTB288" s="22"/>
      <c r="FTC288" s="22"/>
      <c r="FTD288" s="22"/>
      <c r="FTE288" s="22"/>
      <c r="FTF288" s="22"/>
      <c r="FTG288" s="22"/>
      <c r="FTH288" s="22"/>
      <c r="FTI288" s="22"/>
      <c r="FTJ288" s="22"/>
      <c r="FTK288" s="22"/>
      <c r="FTL288" s="22"/>
      <c r="FTM288" s="22"/>
      <c r="FTN288" s="22"/>
      <c r="FTO288" s="22"/>
      <c r="FTP288" s="22"/>
      <c r="FTQ288" s="22"/>
      <c r="FTR288" s="22"/>
      <c r="FTS288" s="22"/>
      <c r="FTT288" s="22"/>
      <c r="FTU288" s="22"/>
      <c r="FTV288" s="22"/>
      <c r="FTW288" s="22"/>
      <c r="FTX288" s="22"/>
      <c r="FTY288" s="22"/>
      <c r="FTZ288" s="22"/>
      <c r="FUA288" s="22"/>
      <c r="FUB288" s="22"/>
      <c r="FUC288" s="22"/>
      <c r="FUD288" s="22"/>
      <c r="FUE288" s="22"/>
      <c r="FUF288" s="22"/>
      <c r="FUG288" s="22"/>
      <c r="FUH288" s="22"/>
      <c r="FUI288" s="22"/>
      <c r="FUJ288" s="22"/>
      <c r="FUK288" s="22"/>
      <c r="FUL288" s="22"/>
      <c r="FUM288" s="22"/>
      <c r="FUN288" s="22"/>
      <c r="FUO288" s="22"/>
      <c r="FUP288" s="22"/>
      <c r="FUQ288" s="22"/>
      <c r="FUR288" s="22"/>
      <c r="FUS288" s="22"/>
      <c r="FUT288" s="22"/>
      <c r="FUU288" s="22"/>
      <c r="FUV288" s="22"/>
      <c r="FUW288" s="22"/>
      <c r="FUX288" s="22"/>
      <c r="FUY288" s="22"/>
      <c r="FUZ288" s="22"/>
      <c r="FVA288" s="22"/>
      <c r="FVB288" s="22"/>
      <c r="FVC288" s="22"/>
      <c r="FVD288" s="22"/>
      <c r="FVE288" s="22"/>
      <c r="FVF288" s="22"/>
      <c r="FVG288" s="22"/>
      <c r="FVH288" s="22"/>
      <c r="FVI288" s="22"/>
      <c r="FVJ288" s="22"/>
      <c r="FVK288" s="22"/>
      <c r="FVL288" s="22"/>
      <c r="FVM288" s="22"/>
      <c r="FVN288" s="22"/>
      <c r="FVO288" s="22"/>
      <c r="FVP288" s="22"/>
      <c r="FVQ288" s="22"/>
      <c r="FVR288" s="22"/>
      <c r="FVS288" s="22"/>
      <c r="FVT288" s="22"/>
      <c r="FVU288" s="22"/>
      <c r="FVV288" s="22"/>
      <c r="FVW288" s="22"/>
      <c r="FVX288" s="22"/>
      <c r="FVY288" s="22"/>
      <c r="FVZ288" s="22"/>
      <c r="FWA288" s="22"/>
      <c r="FWB288" s="22"/>
      <c r="FWC288" s="22"/>
      <c r="FWD288" s="22"/>
      <c r="FWE288" s="22"/>
      <c r="FWF288" s="22"/>
      <c r="FWG288" s="22"/>
      <c r="FWH288" s="22"/>
      <c r="FWI288" s="22"/>
      <c r="FWJ288" s="22"/>
      <c r="FWK288" s="22"/>
      <c r="FWL288" s="22"/>
      <c r="FWM288" s="22"/>
      <c r="FWN288" s="22"/>
      <c r="FWO288" s="22"/>
      <c r="FWP288" s="22"/>
      <c r="FWQ288" s="22"/>
      <c r="FWR288" s="22"/>
      <c r="FWS288" s="22"/>
      <c r="FWT288" s="22"/>
      <c r="FWU288" s="22"/>
      <c r="FWV288" s="22"/>
      <c r="FWW288" s="22"/>
      <c r="FWX288" s="22"/>
      <c r="FWY288" s="22"/>
      <c r="FWZ288" s="22"/>
      <c r="FXA288" s="22"/>
      <c r="FXB288" s="22"/>
      <c r="FXC288" s="22"/>
      <c r="FXD288" s="22"/>
      <c r="FXE288" s="22"/>
      <c r="FXF288" s="22"/>
      <c r="FXG288" s="22"/>
      <c r="FXH288" s="22"/>
      <c r="FXI288" s="22"/>
      <c r="FXJ288" s="22"/>
      <c r="FXK288" s="22"/>
      <c r="FXL288" s="22"/>
      <c r="FXM288" s="22"/>
      <c r="FXN288" s="22"/>
      <c r="FXO288" s="22"/>
      <c r="FXP288" s="22"/>
      <c r="FXQ288" s="22"/>
      <c r="FXR288" s="22"/>
      <c r="FXS288" s="22"/>
      <c r="FXT288" s="22"/>
      <c r="FXU288" s="22"/>
      <c r="FXV288" s="22"/>
      <c r="FXW288" s="22"/>
      <c r="FXX288" s="22"/>
      <c r="FXY288" s="22"/>
      <c r="FXZ288" s="22"/>
      <c r="FYA288" s="22"/>
      <c r="FYB288" s="22"/>
      <c r="FYC288" s="22"/>
      <c r="FYD288" s="22"/>
      <c r="FYE288" s="22"/>
      <c r="FYF288" s="22"/>
      <c r="FYG288" s="22"/>
      <c r="FYH288" s="22"/>
      <c r="FYI288" s="22"/>
      <c r="FYJ288" s="22"/>
      <c r="FYK288" s="22"/>
      <c r="FYL288" s="22"/>
      <c r="FYM288" s="22"/>
      <c r="FYN288" s="22"/>
      <c r="FYO288" s="22"/>
      <c r="FYP288" s="22"/>
      <c r="FYQ288" s="22"/>
      <c r="FYR288" s="22"/>
      <c r="FYS288" s="22"/>
      <c r="FYT288" s="22"/>
      <c r="FYU288" s="22"/>
      <c r="FYV288" s="22"/>
      <c r="FYW288" s="22"/>
      <c r="FYX288" s="22"/>
      <c r="FYY288" s="22"/>
      <c r="FYZ288" s="22"/>
      <c r="FZA288" s="22"/>
      <c r="FZB288" s="22"/>
      <c r="FZC288" s="22"/>
      <c r="FZD288" s="22"/>
      <c r="FZE288" s="22"/>
      <c r="FZF288" s="22"/>
      <c r="FZG288" s="22"/>
      <c r="FZH288" s="22"/>
      <c r="FZI288" s="22"/>
      <c r="FZJ288" s="22"/>
      <c r="FZK288" s="22"/>
      <c r="FZL288" s="22"/>
      <c r="FZM288" s="22"/>
      <c r="FZN288" s="22"/>
      <c r="FZO288" s="22"/>
      <c r="FZP288" s="22"/>
      <c r="FZQ288" s="22"/>
      <c r="FZR288" s="22"/>
      <c r="FZS288" s="22"/>
      <c r="FZT288" s="22"/>
      <c r="FZU288" s="22"/>
      <c r="FZV288" s="22"/>
      <c r="FZW288" s="22"/>
      <c r="FZX288" s="22"/>
      <c r="FZY288" s="22"/>
      <c r="FZZ288" s="22"/>
      <c r="GAA288" s="22"/>
      <c r="GAB288" s="22"/>
      <c r="GAC288" s="22"/>
      <c r="GAD288" s="22"/>
      <c r="GAE288" s="22"/>
      <c r="GAF288" s="22"/>
      <c r="GAG288" s="22"/>
      <c r="GAH288" s="22"/>
      <c r="GAI288" s="22"/>
      <c r="GAJ288" s="22"/>
      <c r="GAK288" s="22"/>
      <c r="GAL288" s="22"/>
      <c r="GAM288" s="22"/>
      <c r="GAN288" s="22"/>
      <c r="GAO288" s="22"/>
      <c r="GAP288" s="22"/>
      <c r="GAQ288" s="22"/>
      <c r="GAR288" s="22"/>
      <c r="GAS288" s="22"/>
      <c r="GAT288" s="22"/>
      <c r="GAU288" s="22"/>
      <c r="GAV288" s="22"/>
      <c r="GAW288" s="22"/>
      <c r="GAX288" s="22"/>
      <c r="GAY288" s="22"/>
      <c r="GAZ288" s="22"/>
      <c r="GBA288" s="22"/>
      <c r="GBB288" s="22"/>
      <c r="GBC288" s="22"/>
      <c r="GBD288" s="22"/>
      <c r="GBE288" s="22"/>
      <c r="GBF288" s="22"/>
      <c r="GBG288" s="22"/>
      <c r="GBH288" s="22"/>
      <c r="GBI288" s="22"/>
      <c r="GBJ288" s="22"/>
      <c r="GBK288" s="22"/>
      <c r="GBL288" s="22"/>
      <c r="GBM288" s="22"/>
      <c r="GBN288" s="22"/>
      <c r="GBO288" s="22"/>
      <c r="GBP288" s="22"/>
      <c r="GBQ288" s="22"/>
      <c r="GBR288" s="22"/>
      <c r="GBS288" s="22"/>
      <c r="GBT288" s="22"/>
      <c r="GBU288" s="22"/>
      <c r="GBV288" s="22"/>
      <c r="GBW288" s="22"/>
      <c r="GBX288" s="22"/>
      <c r="GBY288" s="22"/>
      <c r="GBZ288" s="22"/>
      <c r="GCA288" s="22"/>
      <c r="GCB288" s="22"/>
      <c r="GCC288" s="22"/>
      <c r="GCD288" s="22"/>
      <c r="GCE288" s="22"/>
      <c r="GCF288" s="22"/>
      <c r="GCG288" s="22"/>
      <c r="GCH288" s="22"/>
      <c r="GCI288" s="22"/>
      <c r="GCJ288" s="22"/>
      <c r="GCK288" s="22"/>
      <c r="GCL288" s="22"/>
      <c r="GCM288" s="22"/>
      <c r="GCN288" s="22"/>
      <c r="GCO288" s="22"/>
      <c r="GCP288" s="22"/>
      <c r="GCQ288" s="22"/>
      <c r="GCR288" s="22"/>
      <c r="GCS288" s="22"/>
      <c r="GCT288" s="22"/>
      <c r="GCU288" s="22"/>
      <c r="GCV288" s="22"/>
      <c r="GCW288" s="22"/>
      <c r="GCX288" s="22"/>
      <c r="GCY288" s="22"/>
      <c r="GCZ288" s="22"/>
      <c r="GDA288" s="22"/>
      <c r="GDB288" s="22"/>
      <c r="GDC288" s="22"/>
      <c r="GDD288" s="22"/>
      <c r="GDE288" s="22"/>
      <c r="GDF288" s="22"/>
      <c r="GDG288" s="22"/>
      <c r="GDH288" s="22"/>
      <c r="GDI288" s="22"/>
      <c r="GDJ288" s="22"/>
      <c r="GDK288" s="22"/>
      <c r="GDL288" s="22"/>
      <c r="GDM288" s="22"/>
      <c r="GDN288" s="22"/>
      <c r="GDO288" s="22"/>
      <c r="GDP288" s="22"/>
      <c r="GDQ288" s="22"/>
      <c r="GDR288" s="22"/>
      <c r="GDS288" s="22"/>
      <c r="GDT288" s="22"/>
      <c r="GDU288" s="22"/>
      <c r="GDV288" s="22"/>
      <c r="GDW288" s="22"/>
      <c r="GDX288" s="22"/>
      <c r="GDY288" s="22"/>
      <c r="GDZ288" s="22"/>
      <c r="GEA288" s="22"/>
      <c r="GEB288" s="22"/>
      <c r="GEC288" s="22"/>
      <c r="GED288" s="22"/>
      <c r="GEE288" s="22"/>
      <c r="GEF288" s="22"/>
      <c r="GEG288" s="22"/>
      <c r="GEH288" s="22"/>
      <c r="GEI288" s="22"/>
      <c r="GEJ288" s="22"/>
      <c r="GEK288" s="22"/>
      <c r="GEL288" s="22"/>
      <c r="GEM288" s="22"/>
      <c r="GEN288" s="22"/>
      <c r="GEO288" s="22"/>
      <c r="GEP288" s="22"/>
      <c r="GEQ288" s="22"/>
      <c r="GER288" s="22"/>
      <c r="GES288" s="22"/>
      <c r="GET288" s="22"/>
      <c r="GEU288" s="22"/>
      <c r="GEV288" s="22"/>
      <c r="GEW288" s="22"/>
      <c r="GEX288" s="22"/>
      <c r="GEY288" s="22"/>
      <c r="GEZ288" s="22"/>
      <c r="GFA288" s="22"/>
      <c r="GFB288" s="22"/>
      <c r="GFC288" s="22"/>
      <c r="GFD288" s="22"/>
      <c r="GFE288" s="22"/>
      <c r="GFF288" s="22"/>
      <c r="GFG288" s="22"/>
      <c r="GFH288" s="22"/>
      <c r="GFI288" s="22"/>
      <c r="GFJ288" s="22"/>
      <c r="GFK288" s="22"/>
      <c r="GFL288" s="22"/>
      <c r="GFM288" s="22"/>
      <c r="GFN288" s="22"/>
      <c r="GFO288" s="22"/>
      <c r="GFP288" s="22"/>
      <c r="GFQ288" s="22"/>
      <c r="GFR288" s="22"/>
      <c r="GFS288" s="22"/>
      <c r="GFT288" s="22"/>
      <c r="GFU288" s="22"/>
      <c r="GFV288" s="22"/>
      <c r="GFW288" s="22"/>
      <c r="GFX288" s="22"/>
      <c r="GFY288" s="22"/>
      <c r="GFZ288" s="22"/>
      <c r="GGA288" s="22"/>
      <c r="GGB288" s="22"/>
      <c r="GGC288" s="22"/>
      <c r="GGD288" s="22"/>
      <c r="GGE288" s="22"/>
      <c r="GGF288" s="22"/>
      <c r="GGG288" s="22"/>
      <c r="GGH288" s="22"/>
      <c r="GGI288" s="22"/>
      <c r="GGJ288" s="22"/>
      <c r="GGK288" s="22"/>
      <c r="GGL288" s="22"/>
      <c r="GGM288" s="22"/>
      <c r="GGN288" s="22"/>
      <c r="GGO288" s="22"/>
      <c r="GGP288" s="22"/>
      <c r="GGQ288" s="22"/>
      <c r="GGR288" s="22"/>
      <c r="GGS288" s="22"/>
      <c r="GGT288" s="22"/>
      <c r="GGU288" s="22"/>
      <c r="GGV288" s="22"/>
      <c r="GGW288" s="22"/>
      <c r="GGX288" s="22"/>
      <c r="GGY288" s="22"/>
      <c r="GGZ288" s="22"/>
      <c r="GHA288" s="22"/>
      <c r="GHB288" s="22"/>
      <c r="GHC288" s="22"/>
      <c r="GHD288" s="22"/>
      <c r="GHE288" s="22"/>
      <c r="GHF288" s="22"/>
      <c r="GHG288" s="22"/>
      <c r="GHH288" s="22"/>
      <c r="GHI288" s="22"/>
      <c r="GHJ288" s="22"/>
      <c r="GHK288" s="22"/>
      <c r="GHL288" s="22"/>
      <c r="GHM288" s="22"/>
      <c r="GHN288" s="22"/>
      <c r="GHO288" s="22"/>
      <c r="GHP288" s="22"/>
      <c r="GHQ288" s="22"/>
      <c r="GHR288" s="22"/>
      <c r="GHS288" s="22"/>
      <c r="GHT288" s="22"/>
      <c r="GHU288" s="22"/>
      <c r="GHV288" s="22"/>
      <c r="GHW288" s="22"/>
      <c r="GHX288" s="22"/>
      <c r="GHY288" s="22"/>
      <c r="GHZ288" s="22"/>
      <c r="GIA288" s="22"/>
      <c r="GIB288" s="22"/>
      <c r="GIC288" s="22"/>
      <c r="GID288" s="22"/>
      <c r="GIE288" s="22"/>
      <c r="GIF288" s="22"/>
      <c r="GIG288" s="22"/>
      <c r="GIH288" s="22"/>
      <c r="GII288" s="22"/>
      <c r="GIJ288" s="22"/>
      <c r="GIK288" s="22"/>
      <c r="GIL288" s="22"/>
      <c r="GIM288" s="22"/>
      <c r="GIN288" s="22"/>
      <c r="GIO288" s="22"/>
      <c r="GIP288" s="22"/>
      <c r="GIQ288" s="22"/>
      <c r="GIR288" s="22"/>
      <c r="GIS288" s="22"/>
      <c r="GIT288" s="22"/>
      <c r="GIU288" s="22"/>
      <c r="GIV288" s="22"/>
      <c r="GIW288" s="22"/>
      <c r="GIX288" s="22"/>
      <c r="GIY288" s="22"/>
      <c r="GIZ288" s="22"/>
      <c r="GJA288" s="22"/>
      <c r="GJB288" s="22"/>
      <c r="GJC288" s="22"/>
      <c r="GJD288" s="22"/>
      <c r="GJE288" s="22"/>
      <c r="GJF288" s="22"/>
      <c r="GJG288" s="22"/>
      <c r="GJH288" s="22"/>
      <c r="GJI288" s="22"/>
      <c r="GJJ288" s="22"/>
      <c r="GJK288" s="22"/>
      <c r="GJL288" s="22"/>
      <c r="GJM288" s="22"/>
      <c r="GJN288" s="22"/>
      <c r="GJO288" s="22"/>
      <c r="GJP288" s="22"/>
      <c r="GJQ288" s="22"/>
      <c r="GJR288" s="22"/>
      <c r="GJS288" s="22"/>
      <c r="GJT288" s="22"/>
      <c r="GJU288" s="22"/>
      <c r="GJV288" s="22"/>
      <c r="GJW288" s="22"/>
      <c r="GJX288" s="22"/>
      <c r="GJY288" s="22"/>
      <c r="GJZ288" s="22"/>
      <c r="GKA288" s="22"/>
      <c r="GKB288" s="22"/>
      <c r="GKC288" s="22"/>
      <c r="GKD288" s="22"/>
      <c r="GKE288" s="22"/>
      <c r="GKF288" s="22"/>
      <c r="GKG288" s="22"/>
      <c r="GKH288" s="22"/>
      <c r="GKI288" s="22"/>
      <c r="GKJ288" s="22"/>
      <c r="GKK288" s="22"/>
      <c r="GKL288" s="22"/>
      <c r="GKM288" s="22"/>
      <c r="GKN288" s="22"/>
      <c r="GKO288" s="22"/>
      <c r="GKP288" s="22"/>
      <c r="GKQ288" s="22"/>
      <c r="GKR288" s="22"/>
      <c r="GKS288" s="22"/>
      <c r="GKT288" s="22"/>
      <c r="GKU288" s="22"/>
      <c r="GKV288" s="22"/>
      <c r="GKW288" s="22"/>
      <c r="GKX288" s="22"/>
      <c r="GKY288" s="22"/>
      <c r="GKZ288" s="22"/>
      <c r="GLA288" s="22"/>
      <c r="GLB288" s="22"/>
      <c r="GLC288" s="22"/>
      <c r="GLD288" s="22"/>
      <c r="GLE288" s="22"/>
      <c r="GLF288" s="22"/>
      <c r="GLG288" s="22"/>
      <c r="GLH288" s="22"/>
      <c r="GLI288" s="22"/>
      <c r="GLJ288" s="22"/>
      <c r="GLK288" s="22"/>
      <c r="GLL288" s="22"/>
      <c r="GLM288" s="22"/>
      <c r="GLN288" s="22"/>
      <c r="GLO288" s="22"/>
      <c r="GLP288" s="22"/>
      <c r="GLQ288" s="22"/>
      <c r="GLR288" s="22"/>
      <c r="GLS288" s="22"/>
      <c r="GLT288" s="22"/>
      <c r="GLU288" s="22"/>
      <c r="GLV288" s="22"/>
      <c r="GLW288" s="22"/>
      <c r="GLX288" s="22"/>
      <c r="GLY288" s="22"/>
      <c r="GLZ288" s="22"/>
      <c r="GMA288" s="22"/>
      <c r="GMB288" s="22"/>
      <c r="GMC288" s="22"/>
      <c r="GMD288" s="22"/>
      <c r="GME288" s="22"/>
      <c r="GMF288" s="22"/>
      <c r="GMG288" s="22"/>
      <c r="GMH288" s="22"/>
      <c r="GMI288" s="22"/>
      <c r="GMJ288" s="22"/>
      <c r="GMK288" s="22"/>
      <c r="GML288" s="22"/>
      <c r="GMM288" s="22"/>
      <c r="GMN288" s="22"/>
      <c r="GMO288" s="22"/>
      <c r="GMP288" s="22"/>
      <c r="GMQ288" s="22"/>
      <c r="GMR288" s="22"/>
      <c r="GMS288" s="22"/>
      <c r="GMT288" s="22"/>
      <c r="GMU288" s="22"/>
      <c r="GMV288" s="22"/>
      <c r="GMW288" s="22"/>
      <c r="GMX288" s="22"/>
      <c r="GMY288" s="22"/>
      <c r="GMZ288" s="22"/>
      <c r="GNA288" s="22"/>
      <c r="GNB288" s="22"/>
      <c r="GNC288" s="22"/>
      <c r="GND288" s="22"/>
      <c r="GNE288" s="22"/>
      <c r="GNF288" s="22"/>
      <c r="GNG288" s="22"/>
      <c r="GNH288" s="22"/>
      <c r="GNI288" s="22"/>
      <c r="GNJ288" s="22"/>
      <c r="GNK288" s="22"/>
      <c r="GNL288" s="22"/>
      <c r="GNM288" s="22"/>
      <c r="GNN288" s="22"/>
      <c r="GNO288" s="22"/>
      <c r="GNP288" s="22"/>
      <c r="GNQ288" s="22"/>
      <c r="GNR288" s="22"/>
      <c r="GNS288" s="22"/>
      <c r="GNT288" s="22"/>
      <c r="GNU288" s="22"/>
      <c r="GNV288" s="22"/>
      <c r="GNW288" s="22"/>
      <c r="GNX288" s="22"/>
      <c r="GNY288" s="22"/>
      <c r="GNZ288" s="22"/>
      <c r="GOA288" s="22"/>
      <c r="GOB288" s="22"/>
      <c r="GOC288" s="22"/>
      <c r="GOD288" s="22"/>
      <c r="GOE288" s="22"/>
      <c r="GOF288" s="22"/>
      <c r="GOG288" s="22"/>
      <c r="GOH288" s="22"/>
      <c r="GOI288" s="22"/>
      <c r="GOJ288" s="22"/>
      <c r="GOK288" s="22"/>
      <c r="GOL288" s="22"/>
      <c r="GOM288" s="22"/>
      <c r="GON288" s="22"/>
      <c r="GOO288" s="22"/>
      <c r="GOP288" s="22"/>
      <c r="GOQ288" s="22"/>
      <c r="GOR288" s="22"/>
      <c r="GOS288" s="22"/>
      <c r="GOT288" s="22"/>
      <c r="GOU288" s="22"/>
      <c r="GOV288" s="22"/>
      <c r="GOW288" s="22"/>
      <c r="GOX288" s="22"/>
      <c r="GOY288" s="22"/>
      <c r="GOZ288" s="22"/>
      <c r="GPA288" s="22"/>
      <c r="GPB288" s="22"/>
      <c r="GPC288" s="22"/>
      <c r="GPD288" s="22"/>
      <c r="GPE288" s="22"/>
      <c r="GPF288" s="22"/>
      <c r="GPG288" s="22"/>
      <c r="GPH288" s="22"/>
      <c r="GPI288" s="22"/>
      <c r="GPJ288" s="22"/>
      <c r="GPK288" s="22"/>
      <c r="GPL288" s="22"/>
      <c r="GPM288" s="22"/>
      <c r="GPN288" s="22"/>
      <c r="GPO288" s="22"/>
      <c r="GPP288" s="22"/>
      <c r="GPQ288" s="22"/>
      <c r="GPR288" s="22"/>
      <c r="GPS288" s="22"/>
      <c r="GPT288" s="22"/>
      <c r="GPU288" s="22"/>
      <c r="GPV288" s="22"/>
      <c r="GPW288" s="22"/>
      <c r="GPX288" s="22"/>
      <c r="GPY288" s="22"/>
      <c r="GPZ288" s="22"/>
      <c r="GQA288" s="22"/>
      <c r="GQB288" s="22"/>
      <c r="GQC288" s="22"/>
      <c r="GQD288" s="22"/>
      <c r="GQE288" s="22"/>
      <c r="GQF288" s="22"/>
      <c r="GQG288" s="22"/>
      <c r="GQH288" s="22"/>
      <c r="GQI288" s="22"/>
      <c r="GQJ288" s="22"/>
      <c r="GQK288" s="22"/>
      <c r="GQL288" s="22"/>
      <c r="GQM288" s="22"/>
      <c r="GQN288" s="22"/>
      <c r="GQO288" s="22"/>
      <c r="GQP288" s="22"/>
      <c r="GQQ288" s="22"/>
      <c r="GQR288" s="22"/>
      <c r="GQS288" s="22"/>
      <c r="GQT288" s="22"/>
      <c r="GQU288" s="22"/>
      <c r="GQV288" s="22"/>
      <c r="GQW288" s="22"/>
      <c r="GQX288" s="22"/>
      <c r="GQY288" s="22"/>
      <c r="GQZ288" s="22"/>
      <c r="GRA288" s="22"/>
      <c r="GRB288" s="22"/>
      <c r="GRC288" s="22"/>
      <c r="GRD288" s="22"/>
      <c r="GRE288" s="22"/>
      <c r="GRF288" s="22"/>
      <c r="GRG288" s="22"/>
      <c r="GRH288" s="22"/>
      <c r="GRI288" s="22"/>
      <c r="GRJ288" s="22"/>
      <c r="GRK288" s="22"/>
      <c r="GRL288" s="22"/>
      <c r="GRM288" s="22"/>
      <c r="GRN288" s="22"/>
      <c r="GRO288" s="22"/>
      <c r="GRP288" s="22"/>
      <c r="GRQ288" s="22"/>
      <c r="GRR288" s="22"/>
      <c r="GRS288" s="22"/>
      <c r="GRT288" s="22"/>
      <c r="GRU288" s="22"/>
      <c r="GRV288" s="22"/>
      <c r="GRW288" s="22"/>
      <c r="GRX288" s="22"/>
      <c r="GRY288" s="22"/>
      <c r="GRZ288" s="22"/>
      <c r="GSA288" s="22"/>
      <c r="GSB288" s="22"/>
      <c r="GSC288" s="22"/>
      <c r="GSD288" s="22"/>
      <c r="GSE288" s="22"/>
      <c r="GSF288" s="22"/>
      <c r="GSG288" s="22"/>
      <c r="GSH288" s="22"/>
      <c r="GSI288" s="22"/>
      <c r="GSJ288" s="22"/>
      <c r="GSK288" s="22"/>
      <c r="GSL288" s="22"/>
      <c r="GSM288" s="22"/>
      <c r="GSN288" s="22"/>
      <c r="GSO288" s="22"/>
      <c r="GSP288" s="22"/>
      <c r="GSQ288" s="22"/>
      <c r="GSR288" s="22"/>
      <c r="GSS288" s="22"/>
      <c r="GST288" s="22"/>
      <c r="GSU288" s="22"/>
      <c r="GSV288" s="22"/>
      <c r="GSW288" s="22"/>
      <c r="GSX288" s="22"/>
      <c r="GSY288" s="22"/>
      <c r="GSZ288" s="22"/>
      <c r="GTA288" s="22"/>
      <c r="GTB288" s="22"/>
      <c r="GTC288" s="22"/>
      <c r="GTD288" s="22"/>
      <c r="GTE288" s="22"/>
      <c r="GTF288" s="22"/>
      <c r="GTG288" s="22"/>
      <c r="GTH288" s="22"/>
      <c r="GTI288" s="22"/>
      <c r="GTJ288" s="22"/>
      <c r="GTK288" s="22"/>
      <c r="GTL288" s="22"/>
      <c r="GTM288" s="22"/>
      <c r="GTN288" s="22"/>
      <c r="GTO288" s="22"/>
      <c r="GTP288" s="22"/>
      <c r="GTQ288" s="22"/>
      <c r="GTR288" s="22"/>
      <c r="GTS288" s="22"/>
      <c r="GTT288" s="22"/>
      <c r="GTU288" s="22"/>
      <c r="GTV288" s="22"/>
      <c r="GTW288" s="22"/>
      <c r="GTX288" s="22"/>
      <c r="GTY288" s="22"/>
      <c r="GTZ288" s="22"/>
      <c r="GUA288" s="22"/>
      <c r="GUB288" s="22"/>
      <c r="GUC288" s="22"/>
      <c r="GUD288" s="22"/>
      <c r="GUE288" s="22"/>
      <c r="GUF288" s="22"/>
      <c r="GUG288" s="22"/>
      <c r="GUH288" s="22"/>
      <c r="GUI288" s="22"/>
      <c r="GUJ288" s="22"/>
      <c r="GUK288" s="22"/>
      <c r="GUL288" s="22"/>
      <c r="GUM288" s="22"/>
      <c r="GUN288" s="22"/>
      <c r="GUO288" s="22"/>
      <c r="GUP288" s="22"/>
      <c r="GUQ288" s="22"/>
      <c r="GUR288" s="22"/>
      <c r="GUS288" s="22"/>
      <c r="GUT288" s="22"/>
      <c r="GUU288" s="22"/>
      <c r="GUV288" s="22"/>
      <c r="GUW288" s="22"/>
      <c r="GUX288" s="22"/>
      <c r="GUY288" s="22"/>
      <c r="GUZ288" s="22"/>
      <c r="GVA288" s="22"/>
      <c r="GVB288" s="22"/>
      <c r="GVC288" s="22"/>
      <c r="GVD288" s="22"/>
      <c r="GVE288" s="22"/>
      <c r="GVF288" s="22"/>
      <c r="GVG288" s="22"/>
      <c r="GVH288" s="22"/>
      <c r="GVI288" s="22"/>
      <c r="GVJ288" s="22"/>
      <c r="GVK288" s="22"/>
      <c r="GVL288" s="22"/>
      <c r="GVM288" s="22"/>
      <c r="GVN288" s="22"/>
      <c r="GVO288" s="22"/>
      <c r="GVP288" s="22"/>
      <c r="GVQ288" s="22"/>
      <c r="GVR288" s="22"/>
      <c r="GVS288" s="22"/>
      <c r="GVT288" s="22"/>
      <c r="GVU288" s="22"/>
      <c r="GVV288" s="22"/>
      <c r="GVW288" s="22"/>
      <c r="GVX288" s="22"/>
      <c r="GVY288" s="22"/>
      <c r="GVZ288" s="22"/>
      <c r="GWA288" s="22"/>
      <c r="GWB288" s="22"/>
      <c r="GWC288" s="22"/>
      <c r="GWD288" s="22"/>
      <c r="GWE288" s="22"/>
      <c r="GWF288" s="22"/>
      <c r="GWG288" s="22"/>
      <c r="GWH288" s="22"/>
      <c r="GWI288" s="22"/>
      <c r="GWJ288" s="22"/>
      <c r="GWK288" s="22"/>
      <c r="GWL288" s="22"/>
      <c r="GWM288" s="22"/>
      <c r="GWN288" s="22"/>
      <c r="GWO288" s="22"/>
      <c r="GWP288" s="22"/>
      <c r="GWQ288" s="22"/>
      <c r="GWR288" s="22"/>
      <c r="GWS288" s="22"/>
      <c r="GWT288" s="22"/>
      <c r="GWU288" s="22"/>
      <c r="GWV288" s="22"/>
      <c r="GWW288" s="22"/>
      <c r="GWX288" s="22"/>
      <c r="GWY288" s="22"/>
      <c r="GWZ288" s="22"/>
      <c r="GXA288" s="22"/>
      <c r="GXB288" s="22"/>
      <c r="GXC288" s="22"/>
      <c r="GXD288" s="22"/>
      <c r="GXE288" s="22"/>
      <c r="GXF288" s="22"/>
      <c r="GXG288" s="22"/>
      <c r="GXH288" s="22"/>
      <c r="GXI288" s="22"/>
      <c r="GXJ288" s="22"/>
      <c r="GXK288" s="22"/>
      <c r="GXL288" s="22"/>
      <c r="GXM288" s="22"/>
      <c r="GXN288" s="22"/>
      <c r="GXO288" s="22"/>
      <c r="GXP288" s="22"/>
      <c r="GXQ288" s="22"/>
      <c r="GXR288" s="22"/>
      <c r="GXS288" s="22"/>
      <c r="GXT288" s="22"/>
      <c r="GXU288" s="22"/>
      <c r="GXV288" s="22"/>
      <c r="GXW288" s="22"/>
      <c r="GXX288" s="22"/>
      <c r="GXY288" s="22"/>
      <c r="GXZ288" s="22"/>
      <c r="GYA288" s="22"/>
      <c r="GYB288" s="22"/>
      <c r="GYC288" s="22"/>
      <c r="GYD288" s="22"/>
      <c r="GYE288" s="22"/>
      <c r="GYF288" s="22"/>
      <c r="GYG288" s="22"/>
      <c r="GYH288" s="22"/>
      <c r="GYI288" s="22"/>
      <c r="GYJ288" s="22"/>
      <c r="GYK288" s="22"/>
      <c r="GYL288" s="22"/>
      <c r="GYM288" s="22"/>
      <c r="GYN288" s="22"/>
      <c r="GYO288" s="22"/>
      <c r="GYP288" s="22"/>
      <c r="GYQ288" s="22"/>
      <c r="GYR288" s="22"/>
      <c r="GYS288" s="22"/>
      <c r="GYT288" s="22"/>
      <c r="GYU288" s="22"/>
      <c r="GYV288" s="22"/>
      <c r="GYW288" s="22"/>
      <c r="GYX288" s="22"/>
      <c r="GYY288" s="22"/>
      <c r="GYZ288" s="22"/>
      <c r="GZA288" s="22"/>
      <c r="GZB288" s="22"/>
      <c r="GZC288" s="22"/>
      <c r="GZD288" s="22"/>
      <c r="GZE288" s="22"/>
      <c r="GZF288" s="22"/>
      <c r="GZG288" s="22"/>
      <c r="GZH288" s="22"/>
      <c r="GZI288" s="22"/>
      <c r="GZJ288" s="22"/>
      <c r="GZK288" s="22"/>
      <c r="GZL288" s="22"/>
      <c r="GZM288" s="22"/>
      <c r="GZN288" s="22"/>
      <c r="GZO288" s="22"/>
      <c r="GZP288" s="22"/>
      <c r="GZQ288" s="22"/>
      <c r="GZR288" s="22"/>
      <c r="GZS288" s="22"/>
      <c r="GZT288" s="22"/>
      <c r="GZU288" s="22"/>
      <c r="GZV288" s="22"/>
      <c r="GZW288" s="22"/>
      <c r="GZX288" s="22"/>
      <c r="GZY288" s="22"/>
      <c r="GZZ288" s="22"/>
      <c r="HAA288" s="22"/>
      <c r="HAB288" s="22"/>
      <c r="HAC288" s="22"/>
      <c r="HAD288" s="22"/>
      <c r="HAE288" s="22"/>
      <c r="HAF288" s="22"/>
      <c r="HAG288" s="22"/>
      <c r="HAH288" s="22"/>
      <c r="HAI288" s="22"/>
      <c r="HAJ288" s="22"/>
      <c r="HAK288" s="22"/>
      <c r="HAL288" s="22"/>
      <c r="HAM288" s="22"/>
      <c r="HAN288" s="22"/>
      <c r="HAO288" s="22"/>
      <c r="HAP288" s="22"/>
      <c r="HAQ288" s="22"/>
      <c r="HAR288" s="22"/>
      <c r="HAS288" s="22"/>
      <c r="HAT288" s="22"/>
      <c r="HAU288" s="22"/>
      <c r="HAV288" s="22"/>
      <c r="HAW288" s="22"/>
      <c r="HAX288" s="22"/>
      <c r="HAY288" s="22"/>
      <c r="HAZ288" s="22"/>
      <c r="HBA288" s="22"/>
      <c r="HBB288" s="22"/>
      <c r="HBC288" s="22"/>
      <c r="HBD288" s="22"/>
      <c r="HBE288" s="22"/>
      <c r="HBF288" s="22"/>
      <c r="HBG288" s="22"/>
      <c r="HBH288" s="22"/>
      <c r="HBI288" s="22"/>
      <c r="HBJ288" s="22"/>
      <c r="HBK288" s="22"/>
      <c r="HBL288" s="22"/>
      <c r="HBM288" s="22"/>
      <c r="HBN288" s="22"/>
      <c r="HBO288" s="22"/>
      <c r="HBP288" s="22"/>
      <c r="HBQ288" s="22"/>
      <c r="HBR288" s="22"/>
      <c r="HBS288" s="22"/>
      <c r="HBT288" s="22"/>
      <c r="HBU288" s="22"/>
      <c r="HBV288" s="22"/>
      <c r="HBW288" s="22"/>
      <c r="HBX288" s="22"/>
      <c r="HBY288" s="22"/>
      <c r="HBZ288" s="22"/>
      <c r="HCA288" s="22"/>
      <c r="HCB288" s="22"/>
      <c r="HCC288" s="22"/>
      <c r="HCD288" s="22"/>
      <c r="HCE288" s="22"/>
      <c r="HCF288" s="22"/>
      <c r="HCG288" s="22"/>
      <c r="HCH288" s="22"/>
      <c r="HCI288" s="22"/>
      <c r="HCJ288" s="22"/>
      <c r="HCK288" s="22"/>
      <c r="HCL288" s="22"/>
      <c r="HCM288" s="22"/>
      <c r="HCN288" s="22"/>
      <c r="HCO288" s="22"/>
      <c r="HCP288" s="22"/>
      <c r="HCQ288" s="22"/>
      <c r="HCR288" s="22"/>
      <c r="HCS288" s="22"/>
      <c r="HCT288" s="22"/>
      <c r="HCU288" s="22"/>
      <c r="HCV288" s="22"/>
      <c r="HCW288" s="22"/>
      <c r="HCX288" s="22"/>
      <c r="HCY288" s="22"/>
      <c r="HCZ288" s="22"/>
      <c r="HDA288" s="22"/>
      <c r="HDB288" s="22"/>
      <c r="HDC288" s="22"/>
      <c r="HDD288" s="22"/>
      <c r="HDE288" s="22"/>
      <c r="HDF288" s="22"/>
      <c r="HDG288" s="22"/>
      <c r="HDH288" s="22"/>
      <c r="HDI288" s="22"/>
      <c r="HDJ288" s="22"/>
      <c r="HDK288" s="22"/>
      <c r="HDL288" s="22"/>
      <c r="HDM288" s="22"/>
      <c r="HDN288" s="22"/>
      <c r="HDO288" s="22"/>
      <c r="HDP288" s="22"/>
      <c r="HDQ288" s="22"/>
      <c r="HDR288" s="22"/>
      <c r="HDS288" s="22"/>
      <c r="HDT288" s="22"/>
      <c r="HDU288" s="22"/>
      <c r="HDV288" s="22"/>
      <c r="HDW288" s="22"/>
      <c r="HDX288" s="22"/>
      <c r="HDY288" s="22"/>
      <c r="HDZ288" s="22"/>
      <c r="HEA288" s="22"/>
      <c r="HEB288" s="22"/>
      <c r="HEC288" s="22"/>
      <c r="HED288" s="22"/>
      <c r="HEE288" s="22"/>
      <c r="HEF288" s="22"/>
      <c r="HEG288" s="22"/>
      <c r="HEH288" s="22"/>
      <c r="HEI288" s="22"/>
      <c r="HEJ288" s="22"/>
      <c r="HEK288" s="22"/>
      <c r="HEL288" s="22"/>
      <c r="HEM288" s="22"/>
      <c r="HEN288" s="22"/>
      <c r="HEO288" s="22"/>
      <c r="HEP288" s="22"/>
      <c r="HEQ288" s="22"/>
      <c r="HER288" s="22"/>
      <c r="HES288" s="22"/>
      <c r="HET288" s="22"/>
      <c r="HEU288" s="22"/>
      <c r="HEV288" s="22"/>
      <c r="HEW288" s="22"/>
      <c r="HEX288" s="22"/>
      <c r="HEY288" s="22"/>
      <c r="HEZ288" s="22"/>
      <c r="HFA288" s="22"/>
      <c r="HFB288" s="22"/>
      <c r="HFC288" s="22"/>
      <c r="HFD288" s="22"/>
      <c r="HFE288" s="22"/>
      <c r="HFF288" s="22"/>
      <c r="HFG288" s="22"/>
      <c r="HFH288" s="22"/>
      <c r="HFI288" s="22"/>
      <c r="HFJ288" s="22"/>
      <c r="HFK288" s="22"/>
      <c r="HFL288" s="22"/>
      <c r="HFM288" s="22"/>
      <c r="HFN288" s="22"/>
      <c r="HFO288" s="22"/>
      <c r="HFP288" s="22"/>
      <c r="HFQ288" s="22"/>
      <c r="HFR288" s="22"/>
      <c r="HFS288" s="22"/>
      <c r="HFT288" s="22"/>
      <c r="HFU288" s="22"/>
      <c r="HFV288" s="22"/>
      <c r="HFW288" s="22"/>
      <c r="HFX288" s="22"/>
      <c r="HFY288" s="22"/>
      <c r="HFZ288" s="22"/>
      <c r="HGA288" s="22"/>
      <c r="HGB288" s="22"/>
      <c r="HGC288" s="22"/>
      <c r="HGD288" s="22"/>
      <c r="HGE288" s="22"/>
      <c r="HGF288" s="22"/>
      <c r="HGG288" s="22"/>
      <c r="HGH288" s="22"/>
      <c r="HGI288" s="22"/>
      <c r="HGJ288" s="22"/>
      <c r="HGK288" s="22"/>
      <c r="HGL288" s="22"/>
      <c r="HGM288" s="22"/>
      <c r="HGN288" s="22"/>
      <c r="HGO288" s="22"/>
      <c r="HGP288" s="22"/>
      <c r="HGQ288" s="22"/>
      <c r="HGR288" s="22"/>
      <c r="HGS288" s="22"/>
      <c r="HGT288" s="22"/>
      <c r="HGU288" s="22"/>
      <c r="HGV288" s="22"/>
      <c r="HGW288" s="22"/>
      <c r="HGX288" s="22"/>
      <c r="HGY288" s="22"/>
      <c r="HGZ288" s="22"/>
      <c r="HHA288" s="22"/>
      <c r="HHB288" s="22"/>
      <c r="HHC288" s="22"/>
      <c r="HHD288" s="22"/>
      <c r="HHE288" s="22"/>
      <c r="HHF288" s="22"/>
      <c r="HHG288" s="22"/>
      <c r="HHH288" s="22"/>
      <c r="HHI288" s="22"/>
      <c r="HHJ288" s="22"/>
      <c r="HHK288" s="22"/>
      <c r="HHL288" s="22"/>
      <c r="HHM288" s="22"/>
      <c r="HHN288" s="22"/>
      <c r="HHO288" s="22"/>
      <c r="HHP288" s="22"/>
      <c r="HHQ288" s="22"/>
      <c r="HHR288" s="22"/>
      <c r="HHS288" s="22"/>
      <c r="HHT288" s="22"/>
      <c r="HHU288" s="22"/>
      <c r="HHV288" s="22"/>
      <c r="HHW288" s="22"/>
      <c r="HHX288" s="22"/>
      <c r="HHY288" s="22"/>
      <c r="HHZ288" s="22"/>
      <c r="HIA288" s="22"/>
      <c r="HIB288" s="22"/>
      <c r="HIC288" s="22"/>
      <c r="HID288" s="22"/>
      <c r="HIE288" s="22"/>
      <c r="HIF288" s="22"/>
      <c r="HIG288" s="22"/>
      <c r="HIH288" s="22"/>
      <c r="HII288" s="22"/>
      <c r="HIJ288" s="22"/>
      <c r="HIK288" s="22"/>
      <c r="HIL288" s="22"/>
      <c r="HIM288" s="22"/>
      <c r="HIN288" s="22"/>
      <c r="HIO288" s="22"/>
      <c r="HIP288" s="22"/>
      <c r="HIQ288" s="22"/>
      <c r="HIR288" s="22"/>
      <c r="HIS288" s="22"/>
      <c r="HIT288" s="22"/>
      <c r="HIU288" s="22"/>
      <c r="HIV288" s="22"/>
      <c r="HIW288" s="22"/>
      <c r="HIX288" s="22"/>
      <c r="HIY288" s="22"/>
      <c r="HIZ288" s="22"/>
      <c r="HJA288" s="22"/>
      <c r="HJB288" s="22"/>
      <c r="HJC288" s="22"/>
      <c r="HJD288" s="22"/>
      <c r="HJE288" s="22"/>
      <c r="HJF288" s="22"/>
      <c r="HJG288" s="22"/>
      <c r="HJH288" s="22"/>
      <c r="HJI288" s="22"/>
      <c r="HJJ288" s="22"/>
      <c r="HJK288" s="22"/>
      <c r="HJL288" s="22"/>
      <c r="HJM288" s="22"/>
      <c r="HJN288" s="22"/>
      <c r="HJO288" s="22"/>
      <c r="HJP288" s="22"/>
      <c r="HJQ288" s="22"/>
      <c r="HJR288" s="22"/>
      <c r="HJS288" s="22"/>
      <c r="HJT288" s="22"/>
      <c r="HJU288" s="22"/>
      <c r="HJV288" s="22"/>
      <c r="HJW288" s="22"/>
      <c r="HJX288" s="22"/>
      <c r="HJY288" s="22"/>
      <c r="HJZ288" s="22"/>
      <c r="HKA288" s="22"/>
      <c r="HKB288" s="22"/>
      <c r="HKC288" s="22"/>
      <c r="HKD288" s="22"/>
      <c r="HKE288" s="22"/>
      <c r="HKF288" s="22"/>
      <c r="HKG288" s="22"/>
      <c r="HKH288" s="22"/>
      <c r="HKI288" s="22"/>
      <c r="HKJ288" s="22"/>
      <c r="HKK288" s="22"/>
      <c r="HKL288" s="22"/>
      <c r="HKM288" s="22"/>
      <c r="HKN288" s="22"/>
      <c r="HKO288" s="22"/>
      <c r="HKP288" s="22"/>
      <c r="HKQ288" s="22"/>
      <c r="HKR288" s="22"/>
      <c r="HKS288" s="22"/>
      <c r="HKT288" s="22"/>
      <c r="HKU288" s="22"/>
      <c r="HKV288" s="22"/>
      <c r="HKW288" s="22"/>
      <c r="HKX288" s="22"/>
      <c r="HKY288" s="22"/>
      <c r="HKZ288" s="22"/>
      <c r="HLA288" s="22"/>
      <c r="HLB288" s="22"/>
      <c r="HLC288" s="22"/>
      <c r="HLD288" s="22"/>
      <c r="HLE288" s="22"/>
      <c r="HLF288" s="22"/>
      <c r="HLG288" s="22"/>
      <c r="HLH288" s="22"/>
      <c r="HLI288" s="22"/>
      <c r="HLJ288" s="22"/>
      <c r="HLK288" s="22"/>
      <c r="HLL288" s="22"/>
      <c r="HLM288" s="22"/>
      <c r="HLN288" s="22"/>
      <c r="HLO288" s="22"/>
      <c r="HLP288" s="22"/>
      <c r="HLQ288" s="22"/>
      <c r="HLR288" s="22"/>
      <c r="HLS288" s="22"/>
      <c r="HLT288" s="22"/>
      <c r="HLU288" s="22"/>
      <c r="HLV288" s="22"/>
      <c r="HLW288" s="22"/>
      <c r="HLX288" s="22"/>
      <c r="HLY288" s="22"/>
      <c r="HLZ288" s="22"/>
      <c r="HMA288" s="22"/>
      <c r="HMB288" s="22"/>
      <c r="HMC288" s="22"/>
      <c r="HMD288" s="22"/>
      <c r="HME288" s="22"/>
      <c r="HMF288" s="22"/>
      <c r="HMG288" s="22"/>
      <c r="HMH288" s="22"/>
      <c r="HMI288" s="22"/>
      <c r="HMJ288" s="22"/>
      <c r="HMK288" s="22"/>
      <c r="HML288" s="22"/>
      <c r="HMM288" s="22"/>
      <c r="HMN288" s="22"/>
      <c r="HMO288" s="22"/>
      <c r="HMP288" s="22"/>
      <c r="HMQ288" s="22"/>
      <c r="HMR288" s="22"/>
      <c r="HMS288" s="22"/>
      <c r="HMT288" s="22"/>
      <c r="HMU288" s="22"/>
      <c r="HMV288" s="22"/>
      <c r="HMW288" s="22"/>
      <c r="HMX288" s="22"/>
      <c r="HMY288" s="22"/>
      <c r="HMZ288" s="22"/>
      <c r="HNA288" s="22"/>
      <c r="HNB288" s="22"/>
      <c r="HNC288" s="22"/>
      <c r="HND288" s="22"/>
      <c r="HNE288" s="22"/>
      <c r="HNF288" s="22"/>
      <c r="HNG288" s="22"/>
      <c r="HNH288" s="22"/>
      <c r="HNI288" s="22"/>
      <c r="HNJ288" s="22"/>
      <c r="HNK288" s="22"/>
      <c r="HNL288" s="22"/>
      <c r="HNM288" s="22"/>
      <c r="HNN288" s="22"/>
      <c r="HNO288" s="22"/>
      <c r="HNP288" s="22"/>
      <c r="HNQ288" s="22"/>
      <c r="HNR288" s="22"/>
      <c r="HNS288" s="22"/>
      <c r="HNT288" s="22"/>
      <c r="HNU288" s="22"/>
      <c r="HNV288" s="22"/>
      <c r="HNW288" s="22"/>
      <c r="HNX288" s="22"/>
      <c r="HNY288" s="22"/>
      <c r="HNZ288" s="22"/>
      <c r="HOA288" s="22"/>
      <c r="HOB288" s="22"/>
      <c r="HOC288" s="22"/>
      <c r="HOD288" s="22"/>
      <c r="HOE288" s="22"/>
      <c r="HOF288" s="22"/>
      <c r="HOG288" s="22"/>
      <c r="HOH288" s="22"/>
      <c r="HOI288" s="22"/>
      <c r="HOJ288" s="22"/>
      <c r="HOK288" s="22"/>
      <c r="HOL288" s="22"/>
      <c r="HOM288" s="22"/>
      <c r="HON288" s="22"/>
      <c r="HOO288" s="22"/>
      <c r="HOP288" s="22"/>
      <c r="HOQ288" s="22"/>
      <c r="HOR288" s="22"/>
      <c r="HOS288" s="22"/>
      <c r="HOT288" s="22"/>
      <c r="HOU288" s="22"/>
      <c r="HOV288" s="22"/>
      <c r="HOW288" s="22"/>
      <c r="HOX288" s="22"/>
      <c r="HOY288" s="22"/>
      <c r="HOZ288" s="22"/>
      <c r="HPA288" s="22"/>
      <c r="HPB288" s="22"/>
      <c r="HPC288" s="22"/>
      <c r="HPD288" s="22"/>
      <c r="HPE288" s="22"/>
      <c r="HPF288" s="22"/>
      <c r="HPG288" s="22"/>
      <c r="HPH288" s="22"/>
      <c r="HPI288" s="22"/>
      <c r="HPJ288" s="22"/>
      <c r="HPK288" s="22"/>
      <c r="HPL288" s="22"/>
      <c r="HPM288" s="22"/>
      <c r="HPN288" s="22"/>
      <c r="HPO288" s="22"/>
      <c r="HPP288" s="22"/>
      <c r="HPQ288" s="22"/>
      <c r="HPR288" s="22"/>
      <c r="HPS288" s="22"/>
      <c r="HPT288" s="22"/>
      <c r="HPU288" s="22"/>
      <c r="HPV288" s="22"/>
      <c r="HPW288" s="22"/>
      <c r="HPX288" s="22"/>
      <c r="HPY288" s="22"/>
      <c r="HPZ288" s="22"/>
      <c r="HQA288" s="22"/>
      <c r="HQB288" s="22"/>
      <c r="HQC288" s="22"/>
      <c r="HQD288" s="22"/>
      <c r="HQE288" s="22"/>
      <c r="HQF288" s="22"/>
      <c r="HQG288" s="22"/>
      <c r="HQH288" s="22"/>
      <c r="HQI288" s="22"/>
      <c r="HQJ288" s="22"/>
      <c r="HQK288" s="22"/>
      <c r="HQL288" s="22"/>
      <c r="HQM288" s="22"/>
      <c r="HQN288" s="22"/>
      <c r="HQO288" s="22"/>
      <c r="HQP288" s="22"/>
      <c r="HQQ288" s="22"/>
      <c r="HQR288" s="22"/>
      <c r="HQS288" s="22"/>
      <c r="HQT288" s="22"/>
      <c r="HQU288" s="22"/>
      <c r="HQV288" s="22"/>
      <c r="HQW288" s="22"/>
      <c r="HQX288" s="22"/>
      <c r="HQY288" s="22"/>
      <c r="HQZ288" s="22"/>
      <c r="HRA288" s="22"/>
      <c r="HRB288" s="22"/>
      <c r="HRC288" s="22"/>
      <c r="HRD288" s="22"/>
      <c r="HRE288" s="22"/>
      <c r="HRF288" s="22"/>
      <c r="HRG288" s="22"/>
      <c r="HRH288" s="22"/>
      <c r="HRI288" s="22"/>
      <c r="HRJ288" s="22"/>
      <c r="HRK288" s="22"/>
      <c r="HRL288" s="22"/>
      <c r="HRM288" s="22"/>
      <c r="HRN288" s="22"/>
      <c r="HRO288" s="22"/>
      <c r="HRP288" s="22"/>
      <c r="HRQ288" s="22"/>
      <c r="HRR288" s="22"/>
      <c r="HRS288" s="22"/>
      <c r="HRT288" s="22"/>
      <c r="HRU288" s="22"/>
      <c r="HRV288" s="22"/>
      <c r="HRW288" s="22"/>
      <c r="HRX288" s="22"/>
      <c r="HRY288" s="22"/>
      <c r="HRZ288" s="22"/>
      <c r="HSA288" s="22"/>
      <c r="HSB288" s="22"/>
      <c r="HSC288" s="22"/>
      <c r="HSD288" s="22"/>
      <c r="HSE288" s="22"/>
      <c r="HSF288" s="22"/>
      <c r="HSG288" s="22"/>
      <c r="HSH288" s="22"/>
      <c r="HSI288" s="22"/>
      <c r="HSJ288" s="22"/>
      <c r="HSK288" s="22"/>
      <c r="HSL288" s="22"/>
      <c r="HSM288" s="22"/>
      <c r="HSN288" s="22"/>
      <c r="HSO288" s="22"/>
      <c r="HSP288" s="22"/>
      <c r="HSQ288" s="22"/>
      <c r="HSR288" s="22"/>
      <c r="HSS288" s="22"/>
      <c r="HST288" s="22"/>
      <c r="HSU288" s="22"/>
      <c r="HSV288" s="22"/>
      <c r="HSW288" s="22"/>
      <c r="HSX288" s="22"/>
      <c r="HSY288" s="22"/>
      <c r="HSZ288" s="22"/>
      <c r="HTA288" s="22"/>
      <c r="HTB288" s="22"/>
      <c r="HTC288" s="22"/>
      <c r="HTD288" s="22"/>
      <c r="HTE288" s="22"/>
      <c r="HTF288" s="22"/>
      <c r="HTG288" s="22"/>
      <c r="HTH288" s="22"/>
      <c r="HTI288" s="22"/>
      <c r="HTJ288" s="22"/>
      <c r="HTK288" s="22"/>
      <c r="HTL288" s="22"/>
      <c r="HTM288" s="22"/>
      <c r="HTN288" s="22"/>
      <c r="HTO288" s="22"/>
      <c r="HTP288" s="22"/>
      <c r="HTQ288" s="22"/>
      <c r="HTR288" s="22"/>
      <c r="HTS288" s="22"/>
      <c r="HTT288" s="22"/>
      <c r="HTU288" s="22"/>
      <c r="HTV288" s="22"/>
      <c r="HTW288" s="22"/>
      <c r="HTX288" s="22"/>
      <c r="HTY288" s="22"/>
      <c r="HTZ288" s="22"/>
      <c r="HUA288" s="22"/>
      <c r="HUB288" s="22"/>
      <c r="HUC288" s="22"/>
      <c r="HUD288" s="22"/>
      <c r="HUE288" s="22"/>
      <c r="HUF288" s="22"/>
      <c r="HUG288" s="22"/>
      <c r="HUH288" s="22"/>
      <c r="HUI288" s="22"/>
      <c r="HUJ288" s="22"/>
      <c r="HUK288" s="22"/>
      <c r="HUL288" s="22"/>
      <c r="HUM288" s="22"/>
      <c r="HUN288" s="22"/>
      <c r="HUO288" s="22"/>
      <c r="HUP288" s="22"/>
      <c r="HUQ288" s="22"/>
      <c r="HUR288" s="22"/>
      <c r="HUS288" s="22"/>
      <c r="HUT288" s="22"/>
      <c r="HUU288" s="22"/>
      <c r="HUV288" s="22"/>
      <c r="HUW288" s="22"/>
      <c r="HUX288" s="22"/>
      <c r="HUY288" s="22"/>
      <c r="HUZ288" s="22"/>
      <c r="HVA288" s="22"/>
      <c r="HVB288" s="22"/>
      <c r="HVC288" s="22"/>
      <c r="HVD288" s="22"/>
      <c r="HVE288" s="22"/>
      <c r="HVF288" s="22"/>
      <c r="HVG288" s="22"/>
      <c r="HVH288" s="22"/>
      <c r="HVI288" s="22"/>
      <c r="HVJ288" s="22"/>
      <c r="HVK288" s="22"/>
      <c r="HVL288" s="22"/>
      <c r="HVM288" s="22"/>
      <c r="HVN288" s="22"/>
      <c r="HVO288" s="22"/>
      <c r="HVP288" s="22"/>
      <c r="HVQ288" s="22"/>
      <c r="HVR288" s="22"/>
      <c r="HVS288" s="22"/>
      <c r="HVT288" s="22"/>
      <c r="HVU288" s="22"/>
      <c r="HVV288" s="22"/>
      <c r="HVW288" s="22"/>
      <c r="HVX288" s="22"/>
      <c r="HVY288" s="22"/>
      <c r="HVZ288" s="22"/>
      <c r="HWA288" s="22"/>
      <c r="HWB288" s="22"/>
      <c r="HWC288" s="22"/>
      <c r="HWD288" s="22"/>
      <c r="HWE288" s="22"/>
      <c r="HWF288" s="22"/>
      <c r="HWG288" s="22"/>
      <c r="HWH288" s="22"/>
      <c r="HWI288" s="22"/>
      <c r="HWJ288" s="22"/>
      <c r="HWK288" s="22"/>
      <c r="HWL288" s="22"/>
      <c r="HWM288" s="22"/>
      <c r="HWN288" s="22"/>
      <c r="HWO288" s="22"/>
      <c r="HWP288" s="22"/>
      <c r="HWQ288" s="22"/>
      <c r="HWR288" s="22"/>
      <c r="HWS288" s="22"/>
      <c r="HWT288" s="22"/>
      <c r="HWU288" s="22"/>
      <c r="HWV288" s="22"/>
      <c r="HWW288" s="22"/>
      <c r="HWX288" s="22"/>
      <c r="HWY288" s="22"/>
      <c r="HWZ288" s="22"/>
      <c r="HXA288" s="22"/>
      <c r="HXB288" s="22"/>
      <c r="HXC288" s="22"/>
      <c r="HXD288" s="22"/>
      <c r="HXE288" s="22"/>
      <c r="HXF288" s="22"/>
      <c r="HXG288" s="22"/>
      <c r="HXH288" s="22"/>
      <c r="HXI288" s="22"/>
      <c r="HXJ288" s="22"/>
      <c r="HXK288" s="22"/>
      <c r="HXL288" s="22"/>
      <c r="HXM288" s="22"/>
      <c r="HXN288" s="22"/>
      <c r="HXO288" s="22"/>
      <c r="HXP288" s="22"/>
      <c r="HXQ288" s="22"/>
      <c r="HXR288" s="22"/>
      <c r="HXS288" s="22"/>
      <c r="HXT288" s="22"/>
      <c r="HXU288" s="22"/>
      <c r="HXV288" s="22"/>
      <c r="HXW288" s="22"/>
      <c r="HXX288" s="22"/>
      <c r="HXY288" s="22"/>
      <c r="HXZ288" s="22"/>
      <c r="HYA288" s="22"/>
      <c r="HYB288" s="22"/>
      <c r="HYC288" s="22"/>
      <c r="HYD288" s="22"/>
      <c r="HYE288" s="22"/>
      <c r="HYF288" s="22"/>
      <c r="HYG288" s="22"/>
      <c r="HYH288" s="22"/>
      <c r="HYI288" s="22"/>
      <c r="HYJ288" s="22"/>
      <c r="HYK288" s="22"/>
      <c r="HYL288" s="22"/>
      <c r="HYM288" s="22"/>
      <c r="HYN288" s="22"/>
      <c r="HYO288" s="22"/>
      <c r="HYP288" s="22"/>
      <c r="HYQ288" s="22"/>
      <c r="HYR288" s="22"/>
      <c r="HYS288" s="22"/>
      <c r="HYT288" s="22"/>
      <c r="HYU288" s="22"/>
      <c r="HYV288" s="22"/>
      <c r="HYW288" s="22"/>
      <c r="HYX288" s="22"/>
      <c r="HYY288" s="22"/>
      <c r="HYZ288" s="22"/>
      <c r="HZA288" s="22"/>
      <c r="HZB288" s="22"/>
      <c r="HZC288" s="22"/>
      <c r="HZD288" s="22"/>
      <c r="HZE288" s="22"/>
      <c r="HZF288" s="22"/>
      <c r="HZG288" s="22"/>
      <c r="HZH288" s="22"/>
      <c r="HZI288" s="22"/>
      <c r="HZJ288" s="22"/>
      <c r="HZK288" s="22"/>
      <c r="HZL288" s="22"/>
      <c r="HZM288" s="22"/>
      <c r="HZN288" s="22"/>
      <c r="HZO288" s="22"/>
      <c r="HZP288" s="22"/>
      <c r="HZQ288" s="22"/>
      <c r="HZR288" s="22"/>
      <c r="HZS288" s="22"/>
      <c r="HZT288" s="22"/>
      <c r="HZU288" s="22"/>
      <c r="HZV288" s="22"/>
      <c r="HZW288" s="22"/>
      <c r="HZX288" s="22"/>
      <c r="HZY288" s="22"/>
      <c r="HZZ288" s="22"/>
      <c r="IAA288" s="22"/>
      <c r="IAB288" s="22"/>
      <c r="IAC288" s="22"/>
      <c r="IAD288" s="22"/>
      <c r="IAE288" s="22"/>
      <c r="IAF288" s="22"/>
      <c r="IAG288" s="22"/>
      <c r="IAH288" s="22"/>
      <c r="IAI288" s="22"/>
      <c r="IAJ288" s="22"/>
      <c r="IAK288" s="22"/>
      <c r="IAL288" s="22"/>
      <c r="IAM288" s="22"/>
      <c r="IAN288" s="22"/>
      <c r="IAO288" s="22"/>
      <c r="IAP288" s="22"/>
      <c r="IAQ288" s="22"/>
      <c r="IAR288" s="22"/>
      <c r="IAS288" s="22"/>
      <c r="IAT288" s="22"/>
      <c r="IAU288" s="22"/>
      <c r="IAV288" s="22"/>
      <c r="IAW288" s="22"/>
      <c r="IAX288" s="22"/>
      <c r="IAY288" s="22"/>
      <c r="IAZ288" s="22"/>
      <c r="IBA288" s="22"/>
      <c r="IBB288" s="22"/>
      <c r="IBC288" s="22"/>
      <c r="IBD288" s="22"/>
      <c r="IBE288" s="22"/>
      <c r="IBF288" s="22"/>
      <c r="IBG288" s="22"/>
      <c r="IBH288" s="22"/>
      <c r="IBI288" s="22"/>
      <c r="IBJ288" s="22"/>
      <c r="IBK288" s="22"/>
      <c r="IBL288" s="22"/>
      <c r="IBM288" s="22"/>
      <c r="IBN288" s="22"/>
      <c r="IBO288" s="22"/>
      <c r="IBP288" s="22"/>
      <c r="IBQ288" s="22"/>
      <c r="IBR288" s="22"/>
      <c r="IBS288" s="22"/>
      <c r="IBT288" s="22"/>
      <c r="IBU288" s="22"/>
      <c r="IBV288" s="22"/>
      <c r="IBW288" s="22"/>
      <c r="IBX288" s="22"/>
      <c r="IBY288" s="22"/>
      <c r="IBZ288" s="22"/>
      <c r="ICA288" s="22"/>
      <c r="ICB288" s="22"/>
      <c r="ICC288" s="22"/>
      <c r="ICD288" s="22"/>
      <c r="ICE288" s="22"/>
      <c r="ICF288" s="22"/>
      <c r="ICG288" s="22"/>
      <c r="ICH288" s="22"/>
      <c r="ICI288" s="22"/>
      <c r="ICJ288" s="22"/>
      <c r="ICK288" s="22"/>
      <c r="ICL288" s="22"/>
      <c r="ICM288" s="22"/>
      <c r="ICN288" s="22"/>
      <c r="ICO288" s="22"/>
      <c r="ICP288" s="22"/>
      <c r="ICQ288" s="22"/>
      <c r="ICR288" s="22"/>
      <c r="ICS288" s="22"/>
      <c r="ICT288" s="22"/>
      <c r="ICU288" s="22"/>
      <c r="ICV288" s="22"/>
      <c r="ICW288" s="22"/>
      <c r="ICX288" s="22"/>
      <c r="ICY288" s="22"/>
      <c r="ICZ288" s="22"/>
      <c r="IDA288" s="22"/>
      <c r="IDB288" s="22"/>
      <c r="IDC288" s="22"/>
      <c r="IDD288" s="22"/>
      <c r="IDE288" s="22"/>
      <c r="IDF288" s="22"/>
      <c r="IDG288" s="22"/>
      <c r="IDH288" s="22"/>
      <c r="IDI288" s="22"/>
      <c r="IDJ288" s="22"/>
      <c r="IDK288" s="22"/>
      <c r="IDL288" s="22"/>
      <c r="IDM288" s="22"/>
      <c r="IDN288" s="22"/>
      <c r="IDO288" s="22"/>
      <c r="IDP288" s="22"/>
      <c r="IDQ288" s="22"/>
      <c r="IDR288" s="22"/>
      <c r="IDS288" s="22"/>
      <c r="IDT288" s="22"/>
      <c r="IDU288" s="22"/>
      <c r="IDV288" s="22"/>
      <c r="IDW288" s="22"/>
      <c r="IDX288" s="22"/>
      <c r="IDY288" s="22"/>
      <c r="IDZ288" s="22"/>
      <c r="IEA288" s="22"/>
      <c r="IEB288" s="22"/>
      <c r="IEC288" s="22"/>
      <c r="IED288" s="22"/>
      <c r="IEE288" s="22"/>
      <c r="IEF288" s="22"/>
      <c r="IEG288" s="22"/>
      <c r="IEH288" s="22"/>
      <c r="IEI288" s="22"/>
      <c r="IEJ288" s="22"/>
      <c r="IEK288" s="22"/>
      <c r="IEL288" s="22"/>
      <c r="IEM288" s="22"/>
      <c r="IEN288" s="22"/>
      <c r="IEO288" s="22"/>
      <c r="IEP288" s="22"/>
      <c r="IEQ288" s="22"/>
      <c r="IER288" s="22"/>
      <c r="IES288" s="22"/>
      <c r="IET288" s="22"/>
      <c r="IEU288" s="22"/>
      <c r="IEV288" s="22"/>
      <c r="IEW288" s="22"/>
      <c r="IEX288" s="22"/>
      <c r="IEY288" s="22"/>
      <c r="IEZ288" s="22"/>
      <c r="IFA288" s="22"/>
      <c r="IFB288" s="22"/>
      <c r="IFC288" s="22"/>
      <c r="IFD288" s="22"/>
      <c r="IFE288" s="22"/>
      <c r="IFF288" s="22"/>
      <c r="IFG288" s="22"/>
      <c r="IFH288" s="22"/>
      <c r="IFI288" s="22"/>
      <c r="IFJ288" s="22"/>
      <c r="IFK288" s="22"/>
      <c r="IFL288" s="22"/>
      <c r="IFM288" s="22"/>
      <c r="IFN288" s="22"/>
      <c r="IFO288" s="22"/>
      <c r="IFP288" s="22"/>
      <c r="IFQ288" s="22"/>
      <c r="IFR288" s="22"/>
      <c r="IFS288" s="22"/>
      <c r="IFT288" s="22"/>
      <c r="IFU288" s="22"/>
      <c r="IFV288" s="22"/>
      <c r="IFW288" s="22"/>
      <c r="IFX288" s="22"/>
      <c r="IFY288" s="22"/>
      <c r="IFZ288" s="22"/>
      <c r="IGA288" s="22"/>
      <c r="IGB288" s="22"/>
      <c r="IGC288" s="22"/>
      <c r="IGD288" s="22"/>
      <c r="IGE288" s="22"/>
      <c r="IGF288" s="22"/>
      <c r="IGG288" s="22"/>
      <c r="IGH288" s="22"/>
      <c r="IGI288" s="22"/>
      <c r="IGJ288" s="22"/>
      <c r="IGK288" s="22"/>
      <c r="IGL288" s="22"/>
      <c r="IGM288" s="22"/>
      <c r="IGN288" s="22"/>
      <c r="IGO288" s="22"/>
      <c r="IGP288" s="22"/>
      <c r="IGQ288" s="22"/>
      <c r="IGR288" s="22"/>
      <c r="IGS288" s="22"/>
      <c r="IGT288" s="22"/>
      <c r="IGU288" s="22"/>
      <c r="IGV288" s="22"/>
      <c r="IGW288" s="22"/>
      <c r="IGX288" s="22"/>
      <c r="IGY288" s="22"/>
      <c r="IGZ288" s="22"/>
      <c r="IHA288" s="22"/>
      <c r="IHB288" s="22"/>
      <c r="IHC288" s="22"/>
      <c r="IHD288" s="22"/>
      <c r="IHE288" s="22"/>
      <c r="IHF288" s="22"/>
      <c r="IHG288" s="22"/>
      <c r="IHH288" s="22"/>
      <c r="IHI288" s="22"/>
      <c r="IHJ288" s="22"/>
      <c r="IHK288" s="22"/>
      <c r="IHL288" s="22"/>
      <c r="IHM288" s="22"/>
      <c r="IHN288" s="22"/>
      <c r="IHO288" s="22"/>
      <c r="IHP288" s="22"/>
      <c r="IHQ288" s="22"/>
      <c r="IHR288" s="22"/>
      <c r="IHS288" s="22"/>
      <c r="IHT288" s="22"/>
      <c r="IHU288" s="22"/>
      <c r="IHV288" s="22"/>
      <c r="IHW288" s="22"/>
      <c r="IHX288" s="22"/>
      <c r="IHY288" s="22"/>
      <c r="IHZ288" s="22"/>
      <c r="IIA288" s="22"/>
      <c r="IIB288" s="22"/>
      <c r="IIC288" s="22"/>
      <c r="IID288" s="22"/>
      <c r="IIE288" s="22"/>
      <c r="IIF288" s="22"/>
      <c r="IIG288" s="22"/>
      <c r="IIH288" s="22"/>
      <c r="III288" s="22"/>
      <c r="IIJ288" s="22"/>
      <c r="IIK288" s="22"/>
      <c r="IIL288" s="22"/>
      <c r="IIM288" s="22"/>
      <c r="IIN288" s="22"/>
      <c r="IIO288" s="22"/>
      <c r="IIP288" s="22"/>
      <c r="IIQ288" s="22"/>
      <c r="IIR288" s="22"/>
      <c r="IIS288" s="22"/>
      <c r="IIT288" s="22"/>
      <c r="IIU288" s="22"/>
      <c r="IIV288" s="22"/>
      <c r="IIW288" s="22"/>
      <c r="IIX288" s="22"/>
      <c r="IIY288" s="22"/>
      <c r="IIZ288" s="22"/>
      <c r="IJA288" s="22"/>
      <c r="IJB288" s="22"/>
      <c r="IJC288" s="22"/>
      <c r="IJD288" s="22"/>
      <c r="IJE288" s="22"/>
      <c r="IJF288" s="22"/>
      <c r="IJG288" s="22"/>
      <c r="IJH288" s="22"/>
      <c r="IJI288" s="22"/>
      <c r="IJJ288" s="22"/>
      <c r="IJK288" s="22"/>
      <c r="IJL288" s="22"/>
      <c r="IJM288" s="22"/>
      <c r="IJN288" s="22"/>
      <c r="IJO288" s="22"/>
      <c r="IJP288" s="22"/>
      <c r="IJQ288" s="22"/>
      <c r="IJR288" s="22"/>
      <c r="IJS288" s="22"/>
      <c r="IJT288" s="22"/>
      <c r="IJU288" s="22"/>
      <c r="IJV288" s="22"/>
      <c r="IJW288" s="22"/>
      <c r="IJX288" s="22"/>
      <c r="IJY288" s="22"/>
      <c r="IJZ288" s="22"/>
      <c r="IKA288" s="22"/>
      <c r="IKB288" s="22"/>
      <c r="IKC288" s="22"/>
      <c r="IKD288" s="22"/>
      <c r="IKE288" s="22"/>
      <c r="IKF288" s="22"/>
      <c r="IKG288" s="22"/>
      <c r="IKH288" s="22"/>
      <c r="IKI288" s="22"/>
      <c r="IKJ288" s="22"/>
      <c r="IKK288" s="22"/>
      <c r="IKL288" s="22"/>
      <c r="IKM288" s="22"/>
      <c r="IKN288" s="22"/>
      <c r="IKO288" s="22"/>
      <c r="IKP288" s="22"/>
      <c r="IKQ288" s="22"/>
      <c r="IKR288" s="22"/>
      <c r="IKS288" s="22"/>
      <c r="IKT288" s="22"/>
      <c r="IKU288" s="22"/>
      <c r="IKV288" s="22"/>
      <c r="IKW288" s="22"/>
      <c r="IKX288" s="22"/>
      <c r="IKY288" s="22"/>
      <c r="IKZ288" s="22"/>
      <c r="ILA288" s="22"/>
      <c r="ILB288" s="22"/>
      <c r="ILC288" s="22"/>
      <c r="ILD288" s="22"/>
      <c r="ILE288" s="22"/>
      <c r="ILF288" s="22"/>
      <c r="ILG288" s="22"/>
      <c r="ILH288" s="22"/>
      <c r="ILI288" s="22"/>
      <c r="ILJ288" s="22"/>
      <c r="ILK288" s="22"/>
      <c r="ILL288" s="22"/>
      <c r="ILM288" s="22"/>
      <c r="ILN288" s="22"/>
      <c r="ILO288" s="22"/>
      <c r="ILP288" s="22"/>
      <c r="ILQ288" s="22"/>
      <c r="ILR288" s="22"/>
      <c r="ILS288" s="22"/>
      <c r="ILT288" s="22"/>
      <c r="ILU288" s="22"/>
      <c r="ILV288" s="22"/>
      <c r="ILW288" s="22"/>
      <c r="ILX288" s="22"/>
      <c r="ILY288" s="22"/>
      <c r="ILZ288" s="22"/>
      <c r="IMA288" s="22"/>
      <c r="IMB288" s="22"/>
      <c r="IMC288" s="22"/>
      <c r="IMD288" s="22"/>
      <c r="IME288" s="22"/>
      <c r="IMF288" s="22"/>
      <c r="IMG288" s="22"/>
      <c r="IMH288" s="22"/>
      <c r="IMI288" s="22"/>
      <c r="IMJ288" s="22"/>
      <c r="IMK288" s="22"/>
      <c r="IML288" s="22"/>
      <c r="IMM288" s="22"/>
      <c r="IMN288" s="22"/>
      <c r="IMO288" s="22"/>
      <c r="IMP288" s="22"/>
      <c r="IMQ288" s="22"/>
      <c r="IMR288" s="22"/>
      <c r="IMS288" s="22"/>
      <c r="IMT288" s="22"/>
      <c r="IMU288" s="22"/>
      <c r="IMV288" s="22"/>
      <c r="IMW288" s="22"/>
      <c r="IMX288" s="22"/>
      <c r="IMY288" s="22"/>
      <c r="IMZ288" s="22"/>
      <c r="INA288" s="22"/>
      <c r="INB288" s="22"/>
      <c r="INC288" s="22"/>
      <c r="IND288" s="22"/>
      <c r="INE288" s="22"/>
      <c r="INF288" s="22"/>
      <c r="ING288" s="22"/>
      <c r="INH288" s="22"/>
      <c r="INI288" s="22"/>
      <c r="INJ288" s="22"/>
      <c r="INK288" s="22"/>
      <c r="INL288" s="22"/>
      <c r="INM288" s="22"/>
      <c r="INN288" s="22"/>
      <c r="INO288" s="22"/>
      <c r="INP288" s="22"/>
      <c r="INQ288" s="22"/>
      <c r="INR288" s="22"/>
      <c r="INS288" s="22"/>
      <c r="INT288" s="22"/>
      <c r="INU288" s="22"/>
      <c r="INV288" s="22"/>
      <c r="INW288" s="22"/>
      <c r="INX288" s="22"/>
      <c r="INY288" s="22"/>
      <c r="INZ288" s="22"/>
      <c r="IOA288" s="22"/>
      <c r="IOB288" s="22"/>
      <c r="IOC288" s="22"/>
      <c r="IOD288" s="22"/>
      <c r="IOE288" s="22"/>
      <c r="IOF288" s="22"/>
      <c r="IOG288" s="22"/>
      <c r="IOH288" s="22"/>
      <c r="IOI288" s="22"/>
      <c r="IOJ288" s="22"/>
      <c r="IOK288" s="22"/>
      <c r="IOL288" s="22"/>
      <c r="IOM288" s="22"/>
      <c r="ION288" s="22"/>
      <c r="IOO288" s="22"/>
      <c r="IOP288" s="22"/>
      <c r="IOQ288" s="22"/>
      <c r="IOR288" s="22"/>
      <c r="IOS288" s="22"/>
      <c r="IOT288" s="22"/>
      <c r="IOU288" s="22"/>
      <c r="IOV288" s="22"/>
      <c r="IOW288" s="22"/>
      <c r="IOX288" s="22"/>
      <c r="IOY288" s="22"/>
      <c r="IOZ288" s="22"/>
      <c r="IPA288" s="22"/>
      <c r="IPB288" s="22"/>
      <c r="IPC288" s="22"/>
      <c r="IPD288" s="22"/>
      <c r="IPE288" s="22"/>
      <c r="IPF288" s="22"/>
      <c r="IPG288" s="22"/>
      <c r="IPH288" s="22"/>
      <c r="IPI288" s="22"/>
      <c r="IPJ288" s="22"/>
      <c r="IPK288" s="22"/>
      <c r="IPL288" s="22"/>
      <c r="IPM288" s="22"/>
      <c r="IPN288" s="22"/>
      <c r="IPO288" s="22"/>
      <c r="IPP288" s="22"/>
      <c r="IPQ288" s="22"/>
      <c r="IPR288" s="22"/>
      <c r="IPS288" s="22"/>
      <c r="IPT288" s="22"/>
      <c r="IPU288" s="22"/>
      <c r="IPV288" s="22"/>
      <c r="IPW288" s="22"/>
      <c r="IPX288" s="22"/>
      <c r="IPY288" s="22"/>
      <c r="IPZ288" s="22"/>
      <c r="IQA288" s="22"/>
      <c r="IQB288" s="22"/>
      <c r="IQC288" s="22"/>
      <c r="IQD288" s="22"/>
      <c r="IQE288" s="22"/>
      <c r="IQF288" s="22"/>
      <c r="IQG288" s="22"/>
      <c r="IQH288" s="22"/>
      <c r="IQI288" s="22"/>
      <c r="IQJ288" s="22"/>
      <c r="IQK288" s="22"/>
      <c r="IQL288" s="22"/>
      <c r="IQM288" s="22"/>
      <c r="IQN288" s="22"/>
      <c r="IQO288" s="22"/>
      <c r="IQP288" s="22"/>
      <c r="IQQ288" s="22"/>
      <c r="IQR288" s="22"/>
      <c r="IQS288" s="22"/>
      <c r="IQT288" s="22"/>
      <c r="IQU288" s="22"/>
      <c r="IQV288" s="22"/>
      <c r="IQW288" s="22"/>
      <c r="IQX288" s="22"/>
      <c r="IQY288" s="22"/>
      <c r="IQZ288" s="22"/>
      <c r="IRA288" s="22"/>
      <c r="IRB288" s="22"/>
      <c r="IRC288" s="22"/>
      <c r="IRD288" s="22"/>
      <c r="IRE288" s="22"/>
      <c r="IRF288" s="22"/>
      <c r="IRG288" s="22"/>
      <c r="IRH288" s="22"/>
      <c r="IRI288" s="22"/>
      <c r="IRJ288" s="22"/>
      <c r="IRK288" s="22"/>
      <c r="IRL288" s="22"/>
      <c r="IRM288" s="22"/>
      <c r="IRN288" s="22"/>
      <c r="IRO288" s="22"/>
      <c r="IRP288" s="22"/>
      <c r="IRQ288" s="22"/>
      <c r="IRR288" s="22"/>
      <c r="IRS288" s="22"/>
      <c r="IRT288" s="22"/>
      <c r="IRU288" s="22"/>
      <c r="IRV288" s="22"/>
      <c r="IRW288" s="22"/>
      <c r="IRX288" s="22"/>
      <c r="IRY288" s="22"/>
      <c r="IRZ288" s="22"/>
      <c r="ISA288" s="22"/>
      <c r="ISB288" s="22"/>
      <c r="ISC288" s="22"/>
      <c r="ISD288" s="22"/>
      <c r="ISE288" s="22"/>
      <c r="ISF288" s="22"/>
      <c r="ISG288" s="22"/>
      <c r="ISH288" s="22"/>
      <c r="ISI288" s="22"/>
      <c r="ISJ288" s="22"/>
      <c r="ISK288" s="22"/>
      <c r="ISL288" s="22"/>
      <c r="ISM288" s="22"/>
      <c r="ISN288" s="22"/>
      <c r="ISO288" s="22"/>
      <c r="ISP288" s="22"/>
      <c r="ISQ288" s="22"/>
      <c r="ISR288" s="22"/>
      <c r="ISS288" s="22"/>
      <c r="IST288" s="22"/>
      <c r="ISU288" s="22"/>
      <c r="ISV288" s="22"/>
      <c r="ISW288" s="22"/>
      <c r="ISX288" s="22"/>
      <c r="ISY288" s="22"/>
      <c r="ISZ288" s="22"/>
      <c r="ITA288" s="22"/>
      <c r="ITB288" s="22"/>
      <c r="ITC288" s="22"/>
      <c r="ITD288" s="22"/>
      <c r="ITE288" s="22"/>
      <c r="ITF288" s="22"/>
      <c r="ITG288" s="22"/>
      <c r="ITH288" s="22"/>
      <c r="ITI288" s="22"/>
      <c r="ITJ288" s="22"/>
      <c r="ITK288" s="22"/>
      <c r="ITL288" s="22"/>
      <c r="ITM288" s="22"/>
      <c r="ITN288" s="22"/>
      <c r="ITO288" s="22"/>
      <c r="ITP288" s="22"/>
      <c r="ITQ288" s="22"/>
      <c r="ITR288" s="22"/>
      <c r="ITS288" s="22"/>
      <c r="ITT288" s="22"/>
      <c r="ITU288" s="22"/>
      <c r="ITV288" s="22"/>
      <c r="ITW288" s="22"/>
      <c r="ITX288" s="22"/>
      <c r="ITY288" s="22"/>
      <c r="ITZ288" s="22"/>
      <c r="IUA288" s="22"/>
      <c r="IUB288" s="22"/>
      <c r="IUC288" s="22"/>
      <c r="IUD288" s="22"/>
      <c r="IUE288" s="22"/>
      <c r="IUF288" s="22"/>
      <c r="IUG288" s="22"/>
      <c r="IUH288" s="22"/>
      <c r="IUI288" s="22"/>
      <c r="IUJ288" s="22"/>
      <c r="IUK288" s="22"/>
      <c r="IUL288" s="22"/>
      <c r="IUM288" s="22"/>
      <c r="IUN288" s="22"/>
      <c r="IUO288" s="22"/>
      <c r="IUP288" s="22"/>
      <c r="IUQ288" s="22"/>
      <c r="IUR288" s="22"/>
      <c r="IUS288" s="22"/>
      <c r="IUT288" s="22"/>
      <c r="IUU288" s="22"/>
      <c r="IUV288" s="22"/>
      <c r="IUW288" s="22"/>
      <c r="IUX288" s="22"/>
      <c r="IUY288" s="22"/>
      <c r="IUZ288" s="22"/>
      <c r="IVA288" s="22"/>
      <c r="IVB288" s="22"/>
      <c r="IVC288" s="22"/>
      <c r="IVD288" s="22"/>
      <c r="IVE288" s="22"/>
      <c r="IVF288" s="22"/>
      <c r="IVG288" s="22"/>
      <c r="IVH288" s="22"/>
      <c r="IVI288" s="22"/>
      <c r="IVJ288" s="22"/>
      <c r="IVK288" s="22"/>
      <c r="IVL288" s="22"/>
      <c r="IVM288" s="22"/>
      <c r="IVN288" s="22"/>
      <c r="IVO288" s="22"/>
      <c r="IVP288" s="22"/>
      <c r="IVQ288" s="22"/>
      <c r="IVR288" s="22"/>
      <c r="IVS288" s="22"/>
      <c r="IVT288" s="22"/>
      <c r="IVU288" s="22"/>
      <c r="IVV288" s="22"/>
      <c r="IVW288" s="22"/>
      <c r="IVX288" s="22"/>
      <c r="IVY288" s="22"/>
      <c r="IVZ288" s="22"/>
      <c r="IWA288" s="22"/>
      <c r="IWB288" s="22"/>
      <c r="IWC288" s="22"/>
      <c r="IWD288" s="22"/>
      <c r="IWE288" s="22"/>
      <c r="IWF288" s="22"/>
      <c r="IWG288" s="22"/>
      <c r="IWH288" s="22"/>
      <c r="IWI288" s="22"/>
      <c r="IWJ288" s="22"/>
      <c r="IWK288" s="22"/>
      <c r="IWL288" s="22"/>
      <c r="IWM288" s="22"/>
      <c r="IWN288" s="22"/>
      <c r="IWO288" s="22"/>
      <c r="IWP288" s="22"/>
      <c r="IWQ288" s="22"/>
      <c r="IWR288" s="22"/>
      <c r="IWS288" s="22"/>
      <c r="IWT288" s="22"/>
      <c r="IWU288" s="22"/>
      <c r="IWV288" s="22"/>
      <c r="IWW288" s="22"/>
      <c r="IWX288" s="22"/>
      <c r="IWY288" s="22"/>
      <c r="IWZ288" s="22"/>
      <c r="IXA288" s="22"/>
      <c r="IXB288" s="22"/>
      <c r="IXC288" s="22"/>
      <c r="IXD288" s="22"/>
      <c r="IXE288" s="22"/>
      <c r="IXF288" s="22"/>
      <c r="IXG288" s="22"/>
      <c r="IXH288" s="22"/>
      <c r="IXI288" s="22"/>
      <c r="IXJ288" s="22"/>
      <c r="IXK288" s="22"/>
      <c r="IXL288" s="22"/>
      <c r="IXM288" s="22"/>
      <c r="IXN288" s="22"/>
      <c r="IXO288" s="22"/>
      <c r="IXP288" s="22"/>
      <c r="IXQ288" s="22"/>
      <c r="IXR288" s="22"/>
      <c r="IXS288" s="22"/>
      <c r="IXT288" s="22"/>
      <c r="IXU288" s="22"/>
      <c r="IXV288" s="22"/>
      <c r="IXW288" s="22"/>
      <c r="IXX288" s="22"/>
      <c r="IXY288" s="22"/>
      <c r="IXZ288" s="22"/>
      <c r="IYA288" s="22"/>
      <c r="IYB288" s="22"/>
      <c r="IYC288" s="22"/>
      <c r="IYD288" s="22"/>
      <c r="IYE288" s="22"/>
      <c r="IYF288" s="22"/>
      <c r="IYG288" s="22"/>
      <c r="IYH288" s="22"/>
      <c r="IYI288" s="22"/>
      <c r="IYJ288" s="22"/>
      <c r="IYK288" s="22"/>
      <c r="IYL288" s="22"/>
      <c r="IYM288" s="22"/>
      <c r="IYN288" s="22"/>
      <c r="IYO288" s="22"/>
      <c r="IYP288" s="22"/>
      <c r="IYQ288" s="22"/>
      <c r="IYR288" s="22"/>
      <c r="IYS288" s="22"/>
      <c r="IYT288" s="22"/>
      <c r="IYU288" s="22"/>
      <c r="IYV288" s="22"/>
      <c r="IYW288" s="22"/>
      <c r="IYX288" s="22"/>
      <c r="IYY288" s="22"/>
      <c r="IYZ288" s="22"/>
      <c r="IZA288" s="22"/>
      <c r="IZB288" s="22"/>
      <c r="IZC288" s="22"/>
      <c r="IZD288" s="22"/>
      <c r="IZE288" s="22"/>
      <c r="IZF288" s="22"/>
      <c r="IZG288" s="22"/>
      <c r="IZH288" s="22"/>
      <c r="IZI288" s="22"/>
      <c r="IZJ288" s="22"/>
      <c r="IZK288" s="22"/>
      <c r="IZL288" s="22"/>
      <c r="IZM288" s="22"/>
      <c r="IZN288" s="22"/>
      <c r="IZO288" s="22"/>
      <c r="IZP288" s="22"/>
      <c r="IZQ288" s="22"/>
      <c r="IZR288" s="22"/>
      <c r="IZS288" s="22"/>
      <c r="IZT288" s="22"/>
      <c r="IZU288" s="22"/>
      <c r="IZV288" s="22"/>
      <c r="IZW288" s="22"/>
      <c r="IZX288" s="22"/>
      <c r="IZY288" s="22"/>
      <c r="IZZ288" s="22"/>
      <c r="JAA288" s="22"/>
      <c r="JAB288" s="22"/>
      <c r="JAC288" s="22"/>
      <c r="JAD288" s="22"/>
      <c r="JAE288" s="22"/>
      <c r="JAF288" s="22"/>
      <c r="JAG288" s="22"/>
      <c r="JAH288" s="22"/>
      <c r="JAI288" s="22"/>
      <c r="JAJ288" s="22"/>
      <c r="JAK288" s="22"/>
      <c r="JAL288" s="22"/>
      <c r="JAM288" s="22"/>
      <c r="JAN288" s="22"/>
      <c r="JAO288" s="22"/>
      <c r="JAP288" s="22"/>
      <c r="JAQ288" s="22"/>
      <c r="JAR288" s="22"/>
      <c r="JAS288" s="22"/>
      <c r="JAT288" s="22"/>
      <c r="JAU288" s="22"/>
      <c r="JAV288" s="22"/>
      <c r="JAW288" s="22"/>
      <c r="JAX288" s="22"/>
      <c r="JAY288" s="22"/>
      <c r="JAZ288" s="22"/>
      <c r="JBA288" s="22"/>
      <c r="JBB288" s="22"/>
      <c r="JBC288" s="22"/>
      <c r="JBD288" s="22"/>
      <c r="JBE288" s="22"/>
      <c r="JBF288" s="22"/>
      <c r="JBG288" s="22"/>
      <c r="JBH288" s="22"/>
      <c r="JBI288" s="22"/>
      <c r="JBJ288" s="22"/>
      <c r="JBK288" s="22"/>
      <c r="JBL288" s="22"/>
      <c r="JBM288" s="22"/>
      <c r="JBN288" s="22"/>
      <c r="JBO288" s="22"/>
      <c r="JBP288" s="22"/>
      <c r="JBQ288" s="22"/>
      <c r="JBR288" s="22"/>
      <c r="JBS288" s="22"/>
      <c r="JBT288" s="22"/>
      <c r="JBU288" s="22"/>
      <c r="JBV288" s="22"/>
      <c r="JBW288" s="22"/>
      <c r="JBX288" s="22"/>
      <c r="JBY288" s="22"/>
      <c r="JBZ288" s="22"/>
      <c r="JCA288" s="22"/>
      <c r="JCB288" s="22"/>
      <c r="JCC288" s="22"/>
      <c r="JCD288" s="22"/>
      <c r="JCE288" s="22"/>
      <c r="JCF288" s="22"/>
      <c r="JCG288" s="22"/>
      <c r="JCH288" s="22"/>
      <c r="JCI288" s="22"/>
      <c r="JCJ288" s="22"/>
      <c r="JCK288" s="22"/>
      <c r="JCL288" s="22"/>
      <c r="JCM288" s="22"/>
      <c r="JCN288" s="22"/>
      <c r="JCO288" s="22"/>
      <c r="JCP288" s="22"/>
      <c r="JCQ288" s="22"/>
      <c r="JCR288" s="22"/>
      <c r="JCS288" s="22"/>
      <c r="JCT288" s="22"/>
      <c r="JCU288" s="22"/>
      <c r="JCV288" s="22"/>
      <c r="JCW288" s="22"/>
      <c r="JCX288" s="22"/>
      <c r="JCY288" s="22"/>
      <c r="JCZ288" s="22"/>
      <c r="JDA288" s="22"/>
      <c r="JDB288" s="22"/>
      <c r="JDC288" s="22"/>
      <c r="JDD288" s="22"/>
      <c r="JDE288" s="22"/>
      <c r="JDF288" s="22"/>
      <c r="JDG288" s="22"/>
      <c r="JDH288" s="22"/>
      <c r="JDI288" s="22"/>
      <c r="JDJ288" s="22"/>
      <c r="JDK288" s="22"/>
      <c r="JDL288" s="22"/>
      <c r="JDM288" s="22"/>
      <c r="JDN288" s="22"/>
      <c r="JDO288" s="22"/>
      <c r="JDP288" s="22"/>
      <c r="JDQ288" s="22"/>
      <c r="JDR288" s="22"/>
      <c r="JDS288" s="22"/>
      <c r="JDT288" s="22"/>
      <c r="JDU288" s="22"/>
      <c r="JDV288" s="22"/>
      <c r="JDW288" s="22"/>
      <c r="JDX288" s="22"/>
      <c r="JDY288" s="22"/>
      <c r="JDZ288" s="22"/>
      <c r="JEA288" s="22"/>
      <c r="JEB288" s="22"/>
      <c r="JEC288" s="22"/>
      <c r="JED288" s="22"/>
      <c r="JEE288" s="22"/>
      <c r="JEF288" s="22"/>
      <c r="JEG288" s="22"/>
      <c r="JEH288" s="22"/>
      <c r="JEI288" s="22"/>
      <c r="JEJ288" s="22"/>
      <c r="JEK288" s="22"/>
      <c r="JEL288" s="22"/>
      <c r="JEM288" s="22"/>
      <c r="JEN288" s="22"/>
      <c r="JEO288" s="22"/>
      <c r="JEP288" s="22"/>
      <c r="JEQ288" s="22"/>
      <c r="JER288" s="22"/>
      <c r="JES288" s="22"/>
      <c r="JET288" s="22"/>
      <c r="JEU288" s="22"/>
      <c r="JEV288" s="22"/>
      <c r="JEW288" s="22"/>
      <c r="JEX288" s="22"/>
      <c r="JEY288" s="22"/>
      <c r="JEZ288" s="22"/>
      <c r="JFA288" s="22"/>
      <c r="JFB288" s="22"/>
      <c r="JFC288" s="22"/>
      <c r="JFD288" s="22"/>
      <c r="JFE288" s="22"/>
      <c r="JFF288" s="22"/>
      <c r="JFG288" s="22"/>
      <c r="JFH288" s="22"/>
      <c r="JFI288" s="22"/>
      <c r="JFJ288" s="22"/>
      <c r="JFK288" s="22"/>
      <c r="JFL288" s="22"/>
      <c r="JFM288" s="22"/>
      <c r="JFN288" s="22"/>
      <c r="JFO288" s="22"/>
      <c r="JFP288" s="22"/>
      <c r="JFQ288" s="22"/>
      <c r="JFR288" s="22"/>
      <c r="JFS288" s="22"/>
      <c r="JFT288" s="22"/>
      <c r="JFU288" s="22"/>
      <c r="JFV288" s="22"/>
      <c r="JFW288" s="22"/>
      <c r="JFX288" s="22"/>
      <c r="JFY288" s="22"/>
      <c r="JFZ288" s="22"/>
      <c r="JGA288" s="22"/>
      <c r="JGB288" s="22"/>
      <c r="JGC288" s="22"/>
      <c r="JGD288" s="22"/>
      <c r="JGE288" s="22"/>
      <c r="JGF288" s="22"/>
      <c r="JGG288" s="22"/>
      <c r="JGH288" s="22"/>
      <c r="JGI288" s="22"/>
      <c r="JGJ288" s="22"/>
      <c r="JGK288" s="22"/>
      <c r="JGL288" s="22"/>
      <c r="JGM288" s="22"/>
      <c r="JGN288" s="22"/>
      <c r="JGO288" s="22"/>
      <c r="JGP288" s="22"/>
      <c r="JGQ288" s="22"/>
      <c r="JGR288" s="22"/>
      <c r="JGS288" s="22"/>
      <c r="JGT288" s="22"/>
      <c r="JGU288" s="22"/>
      <c r="JGV288" s="22"/>
      <c r="JGW288" s="22"/>
      <c r="JGX288" s="22"/>
      <c r="JGY288" s="22"/>
      <c r="JGZ288" s="22"/>
      <c r="JHA288" s="22"/>
      <c r="JHB288" s="22"/>
      <c r="JHC288" s="22"/>
      <c r="JHD288" s="22"/>
      <c r="JHE288" s="22"/>
      <c r="JHF288" s="22"/>
      <c r="JHG288" s="22"/>
      <c r="JHH288" s="22"/>
      <c r="JHI288" s="22"/>
      <c r="JHJ288" s="22"/>
      <c r="JHK288" s="22"/>
      <c r="JHL288" s="22"/>
      <c r="JHM288" s="22"/>
      <c r="JHN288" s="22"/>
      <c r="JHO288" s="22"/>
      <c r="JHP288" s="22"/>
      <c r="JHQ288" s="22"/>
      <c r="JHR288" s="22"/>
      <c r="JHS288" s="22"/>
      <c r="JHT288" s="22"/>
      <c r="JHU288" s="22"/>
      <c r="JHV288" s="22"/>
      <c r="JHW288" s="22"/>
      <c r="JHX288" s="22"/>
      <c r="JHY288" s="22"/>
      <c r="JHZ288" s="22"/>
      <c r="JIA288" s="22"/>
      <c r="JIB288" s="22"/>
      <c r="JIC288" s="22"/>
      <c r="JID288" s="22"/>
      <c r="JIE288" s="22"/>
      <c r="JIF288" s="22"/>
      <c r="JIG288" s="22"/>
      <c r="JIH288" s="22"/>
      <c r="JII288" s="22"/>
      <c r="JIJ288" s="22"/>
      <c r="JIK288" s="22"/>
      <c r="JIL288" s="22"/>
      <c r="JIM288" s="22"/>
      <c r="JIN288" s="22"/>
      <c r="JIO288" s="22"/>
      <c r="JIP288" s="22"/>
      <c r="JIQ288" s="22"/>
      <c r="JIR288" s="22"/>
      <c r="JIS288" s="22"/>
      <c r="JIT288" s="22"/>
      <c r="JIU288" s="22"/>
      <c r="JIV288" s="22"/>
      <c r="JIW288" s="22"/>
      <c r="JIX288" s="22"/>
      <c r="JIY288" s="22"/>
      <c r="JIZ288" s="22"/>
      <c r="JJA288" s="22"/>
      <c r="JJB288" s="22"/>
      <c r="JJC288" s="22"/>
      <c r="JJD288" s="22"/>
      <c r="JJE288" s="22"/>
      <c r="JJF288" s="22"/>
      <c r="JJG288" s="22"/>
      <c r="JJH288" s="22"/>
      <c r="JJI288" s="22"/>
      <c r="JJJ288" s="22"/>
      <c r="JJK288" s="22"/>
      <c r="JJL288" s="22"/>
      <c r="JJM288" s="22"/>
      <c r="JJN288" s="22"/>
      <c r="JJO288" s="22"/>
      <c r="JJP288" s="22"/>
      <c r="JJQ288" s="22"/>
      <c r="JJR288" s="22"/>
      <c r="JJS288" s="22"/>
      <c r="JJT288" s="22"/>
      <c r="JJU288" s="22"/>
      <c r="JJV288" s="22"/>
      <c r="JJW288" s="22"/>
      <c r="JJX288" s="22"/>
      <c r="JJY288" s="22"/>
      <c r="JJZ288" s="22"/>
      <c r="JKA288" s="22"/>
      <c r="JKB288" s="22"/>
      <c r="JKC288" s="22"/>
      <c r="JKD288" s="22"/>
      <c r="JKE288" s="22"/>
      <c r="JKF288" s="22"/>
      <c r="JKG288" s="22"/>
      <c r="JKH288" s="22"/>
      <c r="JKI288" s="22"/>
      <c r="JKJ288" s="22"/>
      <c r="JKK288" s="22"/>
      <c r="JKL288" s="22"/>
      <c r="JKM288" s="22"/>
      <c r="JKN288" s="22"/>
      <c r="JKO288" s="22"/>
      <c r="JKP288" s="22"/>
      <c r="JKQ288" s="22"/>
      <c r="JKR288" s="22"/>
      <c r="JKS288" s="22"/>
      <c r="JKT288" s="22"/>
      <c r="JKU288" s="22"/>
      <c r="JKV288" s="22"/>
      <c r="JKW288" s="22"/>
      <c r="JKX288" s="22"/>
      <c r="JKY288" s="22"/>
      <c r="JKZ288" s="22"/>
      <c r="JLA288" s="22"/>
      <c r="JLB288" s="22"/>
      <c r="JLC288" s="22"/>
      <c r="JLD288" s="22"/>
      <c r="JLE288" s="22"/>
      <c r="JLF288" s="22"/>
      <c r="JLG288" s="22"/>
      <c r="JLH288" s="22"/>
      <c r="JLI288" s="22"/>
      <c r="JLJ288" s="22"/>
      <c r="JLK288" s="22"/>
      <c r="JLL288" s="22"/>
      <c r="JLM288" s="22"/>
      <c r="JLN288" s="22"/>
      <c r="JLO288" s="22"/>
      <c r="JLP288" s="22"/>
      <c r="JLQ288" s="22"/>
      <c r="JLR288" s="22"/>
      <c r="JLS288" s="22"/>
      <c r="JLT288" s="22"/>
      <c r="JLU288" s="22"/>
      <c r="JLV288" s="22"/>
      <c r="JLW288" s="22"/>
      <c r="JLX288" s="22"/>
      <c r="JLY288" s="22"/>
      <c r="JLZ288" s="22"/>
      <c r="JMA288" s="22"/>
      <c r="JMB288" s="22"/>
      <c r="JMC288" s="22"/>
      <c r="JMD288" s="22"/>
      <c r="JME288" s="22"/>
      <c r="JMF288" s="22"/>
      <c r="JMG288" s="22"/>
      <c r="JMH288" s="22"/>
      <c r="JMI288" s="22"/>
      <c r="JMJ288" s="22"/>
      <c r="JMK288" s="22"/>
      <c r="JML288" s="22"/>
      <c r="JMM288" s="22"/>
      <c r="JMN288" s="22"/>
      <c r="JMO288" s="22"/>
      <c r="JMP288" s="22"/>
      <c r="JMQ288" s="22"/>
      <c r="JMR288" s="22"/>
      <c r="JMS288" s="22"/>
      <c r="JMT288" s="22"/>
      <c r="JMU288" s="22"/>
      <c r="JMV288" s="22"/>
      <c r="JMW288" s="22"/>
      <c r="JMX288" s="22"/>
      <c r="JMY288" s="22"/>
      <c r="JMZ288" s="22"/>
      <c r="JNA288" s="22"/>
      <c r="JNB288" s="22"/>
      <c r="JNC288" s="22"/>
      <c r="JND288" s="22"/>
      <c r="JNE288" s="22"/>
      <c r="JNF288" s="22"/>
      <c r="JNG288" s="22"/>
      <c r="JNH288" s="22"/>
      <c r="JNI288" s="22"/>
      <c r="JNJ288" s="22"/>
      <c r="JNK288" s="22"/>
      <c r="JNL288" s="22"/>
      <c r="JNM288" s="22"/>
      <c r="JNN288" s="22"/>
      <c r="JNO288" s="22"/>
      <c r="JNP288" s="22"/>
      <c r="JNQ288" s="22"/>
      <c r="JNR288" s="22"/>
      <c r="JNS288" s="22"/>
      <c r="JNT288" s="22"/>
      <c r="JNU288" s="22"/>
      <c r="JNV288" s="22"/>
      <c r="JNW288" s="22"/>
      <c r="JNX288" s="22"/>
      <c r="JNY288" s="22"/>
      <c r="JNZ288" s="22"/>
      <c r="JOA288" s="22"/>
      <c r="JOB288" s="22"/>
      <c r="JOC288" s="22"/>
      <c r="JOD288" s="22"/>
      <c r="JOE288" s="22"/>
      <c r="JOF288" s="22"/>
      <c r="JOG288" s="22"/>
      <c r="JOH288" s="22"/>
      <c r="JOI288" s="22"/>
      <c r="JOJ288" s="22"/>
      <c r="JOK288" s="22"/>
      <c r="JOL288" s="22"/>
      <c r="JOM288" s="22"/>
      <c r="JON288" s="22"/>
      <c r="JOO288" s="22"/>
      <c r="JOP288" s="22"/>
      <c r="JOQ288" s="22"/>
      <c r="JOR288" s="22"/>
      <c r="JOS288" s="22"/>
      <c r="JOT288" s="22"/>
      <c r="JOU288" s="22"/>
      <c r="JOV288" s="22"/>
      <c r="JOW288" s="22"/>
      <c r="JOX288" s="22"/>
      <c r="JOY288" s="22"/>
      <c r="JOZ288" s="22"/>
      <c r="JPA288" s="22"/>
      <c r="JPB288" s="22"/>
      <c r="JPC288" s="22"/>
      <c r="JPD288" s="22"/>
      <c r="JPE288" s="22"/>
      <c r="JPF288" s="22"/>
      <c r="JPG288" s="22"/>
      <c r="JPH288" s="22"/>
      <c r="JPI288" s="22"/>
      <c r="JPJ288" s="22"/>
      <c r="JPK288" s="22"/>
      <c r="JPL288" s="22"/>
      <c r="JPM288" s="22"/>
      <c r="JPN288" s="22"/>
      <c r="JPO288" s="22"/>
      <c r="JPP288" s="22"/>
      <c r="JPQ288" s="22"/>
      <c r="JPR288" s="22"/>
      <c r="JPS288" s="22"/>
      <c r="JPT288" s="22"/>
      <c r="JPU288" s="22"/>
      <c r="JPV288" s="22"/>
      <c r="JPW288" s="22"/>
      <c r="JPX288" s="22"/>
      <c r="JPY288" s="22"/>
      <c r="JPZ288" s="22"/>
      <c r="JQA288" s="22"/>
      <c r="JQB288" s="22"/>
      <c r="JQC288" s="22"/>
      <c r="JQD288" s="22"/>
      <c r="JQE288" s="22"/>
      <c r="JQF288" s="22"/>
      <c r="JQG288" s="22"/>
      <c r="JQH288" s="22"/>
      <c r="JQI288" s="22"/>
      <c r="JQJ288" s="22"/>
      <c r="JQK288" s="22"/>
      <c r="JQL288" s="22"/>
      <c r="JQM288" s="22"/>
      <c r="JQN288" s="22"/>
      <c r="JQO288" s="22"/>
      <c r="JQP288" s="22"/>
      <c r="JQQ288" s="22"/>
      <c r="JQR288" s="22"/>
      <c r="JQS288" s="22"/>
      <c r="JQT288" s="22"/>
      <c r="JQU288" s="22"/>
      <c r="JQV288" s="22"/>
      <c r="JQW288" s="22"/>
      <c r="JQX288" s="22"/>
      <c r="JQY288" s="22"/>
      <c r="JQZ288" s="22"/>
      <c r="JRA288" s="22"/>
      <c r="JRB288" s="22"/>
      <c r="JRC288" s="22"/>
      <c r="JRD288" s="22"/>
      <c r="JRE288" s="22"/>
      <c r="JRF288" s="22"/>
      <c r="JRG288" s="22"/>
      <c r="JRH288" s="22"/>
      <c r="JRI288" s="22"/>
      <c r="JRJ288" s="22"/>
      <c r="JRK288" s="22"/>
      <c r="JRL288" s="22"/>
      <c r="JRM288" s="22"/>
      <c r="JRN288" s="22"/>
      <c r="JRO288" s="22"/>
      <c r="JRP288" s="22"/>
      <c r="JRQ288" s="22"/>
      <c r="JRR288" s="22"/>
      <c r="JRS288" s="22"/>
      <c r="JRT288" s="22"/>
      <c r="JRU288" s="22"/>
      <c r="JRV288" s="22"/>
      <c r="JRW288" s="22"/>
      <c r="JRX288" s="22"/>
      <c r="JRY288" s="22"/>
      <c r="JRZ288" s="22"/>
      <c r="JSA288" s="22"/>
      <c r="JSB288" s="22"/>
      <c r="JSC288" s="22"/>
      <c r="JSD288" s="22"/>
      <c r="JSE288" s="22"/>
      <c r="JSF288" s="22"/>
      <c r="JSG288" s="22"/>
      <c r="JSH288" s="22"/>
      <c r="JSI288" s="22"/>
      <c r="JSJ288" s="22"/>
      <c r="JSK288" s="22"/>
      <c r="JSL288" s="22"/>
      <c r="JSM288" s="22"/>
      <c r="JSN288" s="22"/>
      <c r="JSO288" s="22"/>
      <c r="JSP288" s="22"/>
      <c r="JSQ288" s="22"/>
      <c r="JSR288" s="22"/>
      <c r="JSS288" s="22"/>
      <c r="JST288" s="22"/>
      <c r="JSU288" s="22"/>
      <c r="JSV288" s="22"/>
      <c r="JSW288" s="22"/>
      <c r="JSX288" s="22"/>
      <c r="JSY288" s="22"/>
      <c r="JSZ288" s="22"/>
      <c r="JTA288" s="22"/>
      <c r="JTB288" s="22"/>
      <c r="JTC288" s="22"/>
      <c r="JTD288" s="22"/>
      <c r="JTE288" s="22"/>
      <c r="JTF288" s="22"/>
      <c r="JTG288" s="22"/>
      <c r="JTH288" s="22"/>
      <c r="JTI288" s="22"/>
      <c r="JTJ288" s="22"/>
      <c r="JTK288" s="22"/>
      <c r="JTL288" s="22"/>
      <c r="JTM288" s="22"/>
      <c r="JTN288" s="22"/>
      <c r="JTO288" s="22"/>
      <c r="JTP288" s="22"/>
      <c r="JTQ288" s="22"/>
      <c r="JTR288" s="22"/>
      <c r="JTS288" s="22"/>
      <c r="JTT288" s="22"/>
      <c r="JTU288" s="22"/>
      <c r="JTV288" s="22"/>
      <c r="JTW288" s="22"/>
      <c r="JTX288" s="22"/>
      <c r="JTY288" s="22"/>
      <c r="JTZ288" s="22"/>
      <c r="JUA288" s="22"/>
      <c r="JUB288" s="22"/>
      <c r="JUC288" s="22"/>
      <c r="JUD288" s="22"/>
      <c r="JUE288" s="22"/>
      <c r="JUF288" s="22"/>
      <c r="JUG288" s="22"/>
      <c r="JUH288" s="22"/>
      <c r="JUI288" s="22"/>
      <c r="JUJ288" s="22"/>
      <c r="JUK288" s="22"/>
      <c r="JUL288" s="22"/>
      <c r="JUM288" s="22"/>
      <c r="JUN288" s="22"/>
      <c r="JUO288" s="22"/>
      <c r="JUP288" s="22"/>
      <c r="JUQ288" s="22"/>
      <c r="JUR288" s="22"/>
      <c r="JUS288" s="22"/>
      <c r="JUT288" s="22"/>
      <c r="JUU288" s="22"/>
      <c r="JUV288" s="22"/>
      <c r="JUW288" s="22"/>
      <c r="JUX288" s="22"/>
      <c r="JUY288" s="22"/>
      <c r="JUZ288" s="22"/>
      <c r="JVA288" s="22"/>
      <c r="JVB288" s="22"/>
      <c r="JVC288" s="22"/>
      <c r="JVD288" s="22"/>
      <c r="JVE288" s="22"/>
      <c r="JVF288" s="22"/>
      <c r="JVG288" s="22"/>
      <c r="JVH288" s="22"/>
      <c r="JVI288" s="22"/>
      <c r="JVJ288" s="22"/>
      <c r="JVK288" s="22"/>
      <c r="JVL288" s="22"/>
      <c r="JVM288" s="22"/>
      <c r="JVN288" s="22"/>
      <c r="JVO288" s="22"/>
      <c r="JVP288" s="22"/>
      <c r="JVQ288" s="22"/>
      <c r="JVR288" s="22"/>
      <c r="JVS288" s="22"/>
      <c r="JVT288" s="22"/>
      <c r="JVU288" s="22"/>
      <c r="JVV288" s="22"/>
      <c r="JVW288" s="22"/>
      <c r="JVX288" s="22"/>
      <c r="JVY288" s="22"/>
      <c r="JVZ288" s="22"/>
      <c r="JWA288" s="22"/>
      <c r="JWB288" s="22"/>
      <c r="JWC288" s="22"/>
      <c r="JWD288" s="22"/>
      <c r="JWE288" s="22"/>
      <c r="JWF288" s="22"/>
      <c r="JWG288" s="22"/>
      <c r="JWH288" s="22"/>
      <c r="JWI288" s="22"/>
      <c r="JWJ288" s="22"/>
      <c r="JWK288" s="22"/>
      <c r="JWL288" s="22"/>
      <c r="JWM288" s="22"/>
      <c r="JWN288" s="22"/>
      <c r="JWO288" s="22"/>
      <c r="JWP288" s="22"/>
      <c r="JWQ288" s="22"/>
      <c r="JWR288" s="22"/>
      <c r="JWS288" s="22"/>
      <c r="JWT288" s="22"/>
      <c r="JWU288" s="22"/>
      <c r="JWV288" s="22"/>
      <c r="JWW288" s="22"/>
      <c r="JWX288" s="22"/>
      <c r="JWY288" s="22"/>
      <c r="JWZ288" s="22"/>
      <c r="JXA288" s="22"/>
      <c r="JXB288" s="22"/>
      <c r="JXC288" s="22"/>
      <c r="JXD288" s="22"/>
      <c r="JXE288" s="22"/>
      <c r="JXF288" s="22"/>
      <c r="JXG288" s="22"/>
      <c r="JXH288" s="22"/>
      <c r="JXI288" s="22"/>
      <c r="JXJ288" s="22"/>
      <c r="JXK288" s="22"/>
      <c r="JXL288" s="22"/>
      <c r="JXM288" s="22"/>
      <c r="JXN288" s="22"/>
      <c r="JXO288" s="22"/>
      <c r="JXP288" s="22"/>
      <c r="JXQ288" s="22"/>
      <c r="JXR288" s="22"/>
      <c r="JXS288" s="22"/>
      <c r="JXT288" s="22"/>
      <c r="JXU288" s="22"/>
      <c r="JXV288" s="22"/>
      <c r="JXW288" s="22"/>
      <c r="JXX288" s="22"/>
      <c r="JXY288" s="22"/>
      <c r="JXZ288" s="22"/>
      <c r="JYA288" s="22"/>
      <c r="JYB288" s="22"/>
      <c r="JYC288" s="22"/>
      <c r="JYD288" s="22"/>
      <c r="JYE288" s="22"/>
      <c r="JYF288" s="22"/>
      <c r="JYG288" s="22"/>
      <c r="JYH288" s="22"/>
      <c r="JYI288" s="22"/>
      <c r="JYJ288" s="22"/>
      <c r="JYK288" s="22"/>
      <c r="JYL288" s="22"/>
      <c r="JYM288" s="22"/>
      <c r="JYN288" s="22"/>
      <c r="JYO288" s="22"/>
      <c r="JYP288" s="22"/>
      <c r="JYQ288" s="22"/>
      <c r="JYR288" s="22"/>
      <c r="JYS288" s="22"/>
      <c r="JYT288" s="22"/>
      <c r="JYU288" s="22"/>
      <c r="JYV288" s="22"/>
      <c r="JYW288" s="22"/>
      <c r="JYX288" s="22"/>
      <c r="JYY288" s="22"/>
      <c r="JYZ288" s="22"/>
      <c r="JZA288" s="22"/>
      <c r="JZB288" s="22"/>
      <c r="JZC288" s="22"/>
      <c r="JZD288" s="22"/>
      <c r="JZE288" s="22"/>
      <c r="JZF288" s="22"/>
      <c r="JZG288" s="22"/>
      <c r="JZH288" s="22"/>
      <c r="JZI288" s="22"/>
      <c r="JZJ288" s="22"/>
      <c r="JZK288" s="22"/>
      <c r="JZL288" s="22"/>
      <c r="JZM288" s="22"/>
      <c r="JZN288" s="22"/>
      <c r="JZO288" s="22"/>
      <c r="JZP288" s="22"/>
      <c r="JZQ288" s="22"/>
      <c r="JZR288" s="22"/>
      <c r="JZS288" s="22"/>
      <c r="JZT288" s="22"/>
      <c r="JZU288" s="22"/>
      <c r="JZV288" s="22"/>
      <c r="JZW288" s="22"/>
      <c r="JZX288" s="22"/>
      <c r="JZY288" s="22"/>
      <c r="JZZ288" s="22"/>
      <c r="KAA288" s="22"/>
      <c r="KAB288" s="22"/>
      <c r="KAC288" s="22"/>
      <c r="KAD288" s="22"/>
      <c r="KAE288" s="22"/>
      <c r="KAF288" s="22"/>
      <c r="KAG288" s="22"/>
      <c r="KAH288" s="22"/>
      <c r="KAI288" s="22"/>
      <c r="KAJ288" s="22"/>
      <c r="KAK288" s="22"/>
      <c r="KAL288" s="22"/>
      <c r="KAM288" s="22"/>
      <c r="KAN288" s="22"/>
      <c r="KAO288" s="22"/>
      <c r="KAP288" s="22"/>
      <c r="KAQ288" s="22"/>
      <c r="KAR288" s="22"/>
      <c r="KAS288" s="22"/>
      <c r="KAT288" s="22"/>
      <c r="KAU288" s="22"/>
      <c r="KAV288" s="22"/>
      <c r="KAW288" s="22"/>
      <c r="KAX288" s="22"/>
      <c r="KAY288" s="22"/>
      <c r="KAZ288" s="22"/>
      <c r="KBA288" s="22"/>
      <c r="KBB288" s="22"/>
      <c r="KBC288" s="22"/>
      <c r="KBD288" s="22"/>
      <c r="KBE288" s="22"/>
      <c r="KBF288" s="22"/>
      <c r="KBG288" s="22"/>
      <c r="KBH288" s="22"/>
      <c r="KBI288" s="22"/>
      <c r="KBJ288" s="22"/>
      <c r="KBK288" s="22"/>
      <c r="KBL288" s="22"/>
      <c r="KBM288" s="22"/>
      <c r="KBN288" s="22"/>
      <c r="KBO288" s="22"/>
      <c r="KBP288" s="22"/>
      <c r="KBQ288" s="22"/>
      <c r="KBR288" s="22"/>
      <c r="KBS288" s="22"/>
      <c r="KBT288" s="22"/>
      <c r="KBU288" s="22"/>
      <c r="KBV288" s="22"/>
      <c r="KBW288" s="22"/>
      <c r="KBX288" s="22"/>
      <c r="KBY288" s="22"/>
      <c r="KBZ288" s="22"/>
      <c r="KCA288" s="22"/>
      <c r="KCB288" s="22"/>
      <c r="KCC288" s="22"/>
      <c r="KCD288" s="22"/>
      <c r="KCE288" s="22"/>
      <c r="KCF288" s="22"/>
      <c r="KCG288" s="22"/>
      <c r="KCH288" s="22"/>
      <c r="KCI288" s="22"/>
      <c r="KCJ288" s="22"/>
      <c r="KCK288" s="22"/>
      <c r="KCL288" s="22"/>
      <c r="KCM288" s="22"/>
      <c r="KCN288" s="22"/>
      <c r="KCO288" s="22"/>
      <c r="KCP288" s="22"/>
      <c r="KCQ288" s="22"/>
      <c r="KCR288" s="22"/>
      <c r="KCS288" s="22"/>
      <c r="KCT288" s="22"/>
      <c r="KCU288" s="22"/>
      <c r="KCV288" s="22"/>
      <c r="KCW288" s="22"/>
      <c r="KCX288" s="22"/>
      <c r="KCY288" s="22"/>
      <c r="KCZ288" s="22"/>
      <c r="KDA288" s="22"/>
      <c r="KDB288" s="22"/>
      <c r="KDC288" s="22"/>
      <c r="KDD288" s="22"/>
      <c r="KDE288" s="22"/>
      <c r="KDF288" s="22"/>
      <c r="KDG288" s="22"/>
      <c r="KDH288" s="22"/>
      <c r="KDI288" s="22"/>
      <c r="KDJ288" s="22"/>
      <c r="KDK288" s="22"/>
      <c r="KDL288" s="22"/>
      <c r="KDM288" s="22"/>
      <c r="KDN288" s="22"/>
      <c r="KDO288" s="22"/>
      <c r="KDP288" s="22"/>
      <c r="KDQ288" s="22"/>
      <c r="KDR288" s="22"/>
      <c r="KDS288" s="22"/>
      <c r="KDT288" s="22"/>
      <c r="KDU288" s="22"/>
      <c r="KDV288" s="22"/>
      <c r="KDW288" s="22"/>
      <c r="KDX288" s="22"/>
      <c r="KDY288" s="22"/>
      <c r="KDZ288" s="22"/>
      <c r="KEA288" s="22"/>
      <c r="KEB288" s="22"/>
      <c r="KEC288" s="22"/>
      <c r="KED288" s="22"/>
      <c r="KEE288" s="22"/>
      <c r="KEF288" s="22"/>
      <c r="KEG288" s="22"/>
      <c r="KEH288" s="22"/>
      <c r="KEI288" s="22"/>
      <c r="KEJ288" s="22"/>
      <c r="KEK288" s="22"/>
      <c r="KEL288" s="22"/>
      <c r="KEM288" s="22"/>
      <c r="KEN288" s="22"/>
      <c r="KEO288" s="22"/>
      <c r="KEP288" s="22"/>
      <c r="KEQ288" s="22"/>
      <c r="KER288" s="22"/>
      <c r="KES288" s="22"/>
      <c r="KET288" s="22"/>
      <c r="KEU288" s="22"/>
      <c r="KEV288" s="22"/>
      <c r="KEW288" s="22"/>
      <c r="KEX288" s="22"/>
      <c r="KEY288" s="22"/>
      <c r="KEZ288" s="22"/>
      <c r="KFA288" s="22"/>
      <c r="KFB288" s="22"/>
      <c r="KFC288" s="22"/>
      <c r="KFD288" s="22"/>
      <c r="KFE288" s="22"/>
      <c r="KFF288" s="22"/>
      <c r="KFG288" s="22"/>
      <c r="KFH288" s="22"/>
      <c r="KFI288" s="22"/>
      <c r="KFJ288" s="22"/>
      <c r="KFK288" s="22"/>
      <c r="KFL288" s="22"/>
      <c r="KFM288" s="22"/>
      <c r="KFN288" s="22"/>
      <c r="KFO288" s="22"/>
      <c r="KFP288" s="22"/>
      <c r="KFQ288" s="22"/>
      <c r="KFR288" s="22"/>
      <c r="KFS288" s="22"/>
      <c r="KFT288" s="22"/>
      <c r="KFU288" s="22"/>
      <c r="KFV288" s="22"/>
      <c r="KFW288" s="22"/>
      <c r="KFX288" s="22"/>
      <c r="KFY288" s="22"/>
      <c r="KFZ288" s="22"/>
      <c r="KGA288" s="22"/>
      <c r="KGB288" s="22"/>
      <c r="KGC288" s="22"/>
      <c r="KGD288" s="22"/>
      <c r="KGE288" s="22"/>
      <c r="KGF288" s="22"/>
      <c r="KGG288" s="22"/>
      <c r="KGH288" s="22"/>
      <c r="KGI288" s="22"/>
      <c r="KGJ288" s="22"/>
      <c r="KGK288" s="22"/>
      <c r="KGL288" s="22"/>
      <c r="KGM288" s="22"/>
      <c r="KGN288" s="22"/>
      <c r="KGO288" s="22"/>
      <c r="KGP288" s="22"/>
      <c r="KGQ288" s="22"/>
      <c r="KGR288" s="22"/>
      <c r="KGS288" s="22"/>
      <c r="KGT288" s="22"/>
      <c r="KGU288" s="22"/>
      <c r="KGV288" s="22"/>
      <c r="KGW288" s="22"/>
      <c r="KGX288" s="22"/>
      <c r="KGY288" s="22"/>
      <c r="KGZ288" s="22"/>
      <c r="KHA288" s="22"/>
      <c r="KHB288" s="22"/>
      <c r="KHC288" s="22"/>
      <c r="KHD288" s="22"/>
      <c r="KHE288" s="22"/>
      <c r="KHF288" s="22"/>
      <c r="KHG288" s="22"/>
      <c r="KHH288" s="22"/>
      <c r="KHI288" s="22"/>
      <c r="KHJ288" s="22"/>
      <c r="KHK288" s="22"/>
      <c r="KHL288" s="22"/>
      <c r="KHM288" s="22"/>
      <c r="KHN288" s="22"/>
      <c r="KHO288" s="22"/>
      <c r="KHP288" s="22"/>
      <c r="KHQ288" s="22"/>
      <c r="KHR288" s="22"/>
      <c r="KHS288" s="22"/>
      <c r="KHT288" s="22"/>
      <c r="KHU288" s="22"/>
      <c r="KHV288" s="22"/>
      <c r="KHW288" s="22"/>
      <c r="KHX288" s="22"/>
      <c r="KHY288" s="22"/>
      <c r="KHZ288" s="22"/>
      <c r="KIA288" s="22"/>
      <c r="KIB288" s="22"/>
      <c r="KIC288" s="22"/>
      <c r="KID288" s="22"/>
      <c r="KIE288" s="22"/>
      <c r="KIF288" s="22"/>
      <c r="KIG288" s="22"/>
      <c r="KIH288" s="22"/>
      <c r="KII288" s="22"/>
      <c r="KIJ288" s="22"/>
      <c r="KIK288" s="22"/>
      <c r="KIL288" s="22"/>
      <c r="KIM288" s="22"/>
      <c r="KIN288" s="22"/>
      <c r="KIO288" s="22"/>
      <c r="KIP288" s="22"/>
      <c r="KIQ288" s="22"/>
      <c r="KIR288" s="22"/>
      <c r="KIS288" s="22"/>
      <c r="KIT288" s="22"/>
      <c r="KIU288" s="22"/>
      <c r="KIV288" s="22"/>
      <c r="KIW288" s="22"/>
      <c r="KIX288" s="22"/>
      <c r="KIY288" s="22"/>
      <c r="KIZ288" s="22"/>
      <c r="KJA288" s="22"/>
      <c r="KJB288" s="22"/>
      <c r="KJC288" s="22"/>
      <c r="KJD288" s="22"/>
      <c r="KJE288" s="22"/>
      <c r="KJF288" s="22"/>
      <c r="KJG288" s="22"/>
      <c r="KJH288" s="22"/>
      <c r="KJI288" s="22"/>
      <c r="KJJ288" s="22"/>
      <c r="KJK288" s="22"/>
      <c r="KJL288" s="22"/>
      <c r="KJM288" s="22"/>
      <c r="KJN288" s="22"/>
      <c r="KJO288" s="22"/>
      <c r="KJP288" s="22"/>
      <c r="KJQ288" s="22"/>
      <c r="KJR288" s="22"/>
      <c r="KJS288" s="22"/>
      <c r="KJT288" s="22"/>
      <c r="KJU288" s="22"/>
      <c r="KJV288" s="22"/>
      <c r="KJW288" s="22"/>
      <c r="KJX288" s="22"/>
      <c r="KJY288" s="22"/>
      <c r="KJZ288" s="22"/>
      <c r="KKA288" s="22"/>
      <c r="KKB288" s="22"/>
      <c r="KKC288" s="22"/>
      <c r="KKD288" s="22"/>
      <c r="KKE288" s="22"/>
      <c r="KKF288" s="22"/>
      <c r="KKG288" s="22"/>
      <c r="KKH288" s="22"/>
      <c r="KKI288" s="22"/>
      <c r="KKJ288" s="22"/>
      <c r="KKK288" s="22"/>
      <c r="KKL288" s="22"/>
      <c r="KKM288" s="22"/>
      <c r="KKN288" s="22"/>
      <c r="KKO288" s="22"/>
      <c r="KKP288" s="22"/>
      <c r="KKQ288" s="22"/>
      <c r="KKR288" s="22"/>
      <c r="KKS288" s="22"/>
      <c r="KKT288" s="22"/>
      <c r="KKU288" s="22"/>
      <c r="KKV288" s="22"/>
      <c r="KKW288" s="22"/>
      <c r="KKX288" s="22"/>
      <c r="KKY288" s="22"/>
      <c r="KKZ288" s="22"/>
      <c r="KLA288" s="22"/>
      <c r="KLB288" s="22"/>
      <c r="KLC288" s="22"/>
      <c r="KLD288" s="22"/>
      <c r="KLE288" s="22"/>
      <c r="KLF288" s="22"/>
      <c r="KLG288" s="22"/>
      <c r="KLH288" s="22"/>
      <c r="KLI288" s="22"/>
      <c r="KLJ288" s="22"/>
      <c r="KLK288" s="22"/>
      <c r="KLL288" s="22"/>
      <c r="KLM288" s="22"/>
      <c r="KLN288" s="22"/>
      <c r="KLO288" s="22"/>
      <c r="KLP288" s="22"/>
      <c r="KLQ288" s="22"/>
      <c r="KLR288" s="22"/>
      <c r="KLS288" s="22"/>
      <c r="KLT288" s="22"/>
      <c r="KLU288" s="22"/>
      <c r="KLV288" s="22"/>
      <c r="KLW288" s="22"/>
      <c r="KLX288" s="22"/>
      <c r="KLY288" s="22"/>
      <c r="KLZ288" s="22"/>
      <c r="KMA288" s="22"/>
      <c r="KMB288" s="22"/>
      <c r="KMC288" s="22"/>
      <c r="KMD288" s="22"/>
      <c r="KME288" s="22"/>
      <c r="KMF288" s="22"/>
      <c r="KMG288" s="22"/>
      <c r="KMH288" s="22"/>
      <c r="KMI288" s="22"/>
      <c r="KMJ288" s="22"/>
      <c r="KMK288" s="22"/>
      <c r="KML288" s="22"/>
      <c r="KMM288" s="22"/>
      <c r="KMN288" s="22"/>
      <c r="KMO288" s="22"/>
      <c r="KMP288" s="22"/>
      <c r="KMQ288" s="22"/>
      <c r="KMR288" s="22"/>
      <c r="KMS288" s="22"/>
      <c r="KMT288" s="22"/>
      <c r="KMU288" s="22"/>
      <c r="KMV288" s="22"/>
      <c r="KMW288" s="22"/>
      <c r="KMX288" s="22"/>
      <c r="KMY288" s="22"/>
      <c r="KMZ288" s="22"/>
      <c r="KNA288" s="22"/>
      <c r="KNB288" s="22"/>
      <c r="KNC288" s="22"/>
      <c r="KND288" s="22"/>
      <c r="KNE288" s="22"/>
      <c r="KNF288" s="22"/>
      <c r="KNG288" s="22"/>
      <c r="KNH288" s="22"/>
      <c r="KNI288" s="22"/>
      <c r="KNJ288" s="22"/>
      <c r="KNK288" s="22"/>
      <c r="KNL288" s="22"/>
      <c r="KNM288" s="22"/>
      <c r="KNN288" s="22"/>
      <c r="KNO288" s="22"/>
      <c r="KNP288" s="22"/>
      <c r="KNQ288" s="22"/>
      <c r="KNR288" s="22"/>
      <c r="KNS288" s="22"/>
      <c r="KNT288" s="22"/>
      <c r="KNU288" s="22"/>
      <c r="KNV288" s="22"/>
      <c r="KNW288" s="22"/>
      <c r="KNX288" s="22"/>
      <c r="KNY288" s="22"/>
      <c r="KNZ288" s="22"/>
      <c r="KOA288" s="22"/>
      <c r="KOB288" s="22"/>
      <c r="KOC288" s="22"/>
      <c r="KOD288" s="22"/>
      <c r="KOE288" s="22"/>
      <c r="KOF288" s="22"/>
      <c r="KOG288" s="22"/>
      <c r="KOH288" s="22"/>
      <c r="KOI288" s="22"/>
      <c r="KOJ288" s="22"/>
      <c r="KOK288" s="22"/>
      <c r="KOL288" s="22"/>
      <c r="KOM288" s="22"/>
      <c r="KON288" s="22"/>
      <c r="KOO288" s="22"/>
      <c r="KOP288" s="22"/>
      <c r="KOQ288" s="22"/>
      <c r="KOR288" s="22"/>
      <c r="KOS288" s="22"/>
      <c r="KOT288" s="22"/>
      <c r="KOU288" s="22"/>
      <c r="KOV288" s="22"/>
      <c r="KOW288" s="22"/>
      <c r="KOX288" s="22"/>
      <c r="KOY288" s="22"/>
      <c r="KOZ288" s="22"/>
      <c r="KPA288" s="22"/>
      <c r="KPB288" s="22"/>
      <c r="KPC288" s="22"/>
      <c r="KPD288" s="22"/>
      <c r="KPE288" s="22"/>
      <c r="KPF288" s="22"/>
      <c r="KPG288" s="22"/>
      <c r="KPH288" s="22"/>
      <c r="KPI288" s="22"/>
      <c r="KPJ288" s="22"/>
      <c r="KPK288" s="22"/>
      <c r="KPL288" s="22"/>
      <c r="KPM288" s="22"/>
      <c r="KPN288" s="22"/>
      <c r="KPO288" s="22"/>
      <c r="KPP288" s="22"/>
      <c r="KPQ288" s="22"/>
      <c r="KPR288" s="22"/>
      <c r="KPS288" s="22"/>
      <c r="KPT288" s="22"/>
      <c r="KPU288" s="22"/>
      <c r="KPV288" s="22"/>
      <c r="KPW288" s="22"/>
      <c r="KPX288" s="22"/>
      <c r="KPY288" s="22"/>
      <c r="KPZ288" s="22"/>
      <c r="KQA288" s="22"/>
      <c r="KQB288" s="22"/>
      <c r="KQC288" s="22"/>
      <c r="KQD288" s="22"/>
      <c r="KQE288" s="22"/>
      <c r="KQF288" s="22"/>
      <c r="KQG288" s="22"/>
      <c r="KQH288" s="22"/>
      <c r="KQI288" s="22"/>
      <c r="KQJ288" s="22"/>
      <c r="KQK288" s="22"/>
      <c r="KQL288" s="22"/>
      <c r="KQM288" s="22"/>
      <c r="KQN288" s="22"/>
      <c r="KQO288" s="22"/>
      <c r="KQP288" s="22"/>
      <c r="KQQ288" s="22"/>
      <c r="KQR288" s="22"/>
      <c r="KQS288" s="22"/>
      <c r="KQT288" s="22"/>
      <c r="KQU288" s="22"/>
      <c r="KQV288" s="22"/>
      <c r="KQW288" s="22"/>
      <c r="KQX288" s="22"/>
      <c r="KQY288" s="22"/>
      <c r="KQZ288" s="22"/>
      <c r="KRA288" s="22"/>
      <c r="KRB288" s="22"/>
      <c r="KRC288" s="22"/>
      <c r="KRD288" s="22"/>
      <c r="KRE288" s="22"/>
      <c r="KRF288" s="22"/>
      <c r="KRG288" s="22"/>
      <c r="KRH288" s="22"/>
      <c r="KRI288" s="22"/>
      <c r="KRJ288" s="22"/>
      <c r="KRK288" s="22"/>
      <c r="KRL288" s="22"/>
      <c r="KRM288" s="22"/>
      <c r="KRN288" s="22"/>
      <c r="KRO288" s="22"/>
      <c r="KRP288" s="22"/>
      <c r="KRQ288" s="22"/>
      <c r="KRR288" s="22"/>
      <c r="KRS288" s="22"/>
      <c r="KRT288" s="22"/>
      <c r="KRU288" s="22"/>
      <c r="KRV288" s="22"/>
      <c r="KRW288" s="22"/>
      <c r="KRX288" s="22"/>
      <c r="KRY288" s="22"/>
      <c r="KRZ288" s="22"/>
      <c r="KSA288" s="22"/>
      <c r="KSB288" s="22"/>
      <c r="KSC288" s="22"/>
      <c r="KSD288" s="22"/>
      <c r="KSE288" s="22"/>
      <c r="KSF288" s="22"/>
      <c r="KSG288" s="22"/>
      <c r="KSH288" s="22"/>
      <c r="KSI288" s="22"/>
      <c r="KSJ288" s="22"/>
      <c r="KSK288" s="22"/>
      <c r="KSL288" s="22"/>
      <c r="KSM288" s="22"/>
      <c r="KSN288" s="22"/>
      <c r="KSO288" s="22"/>
      <c r="KSP288" s="22"/>
      <c r="KSQ288" s="22"/>
      <c r="KSR288" s="22"/>
      <c r="KSS288" s="22"/>
      <c r="KST288" s="22"/>
      <c r="KSU288" s="22"/>
      <c r="KSV288" s="22"/>
      <c r="KSW288" s="22"/>
      <c r="KSX288" s="22"/>
      <c r="KSY288" s="22"/>
      <c r="KSZ288" s="22"/>
      <c r="KTA288" s="22"/>
      <c r="KTB288" s="22"/>
      <c r="KTC288" s="22"/>
      <c r="KTD288" s="22"/>
      <c r="KTE288" s="22"/>
      <c r="KTF288" s="22"/>
      <c r="KTG288" s="22"/>
      <c r="KTH288" s="22"/>
      <c r="KTI288" s="22"/>
      <c r="KTJ288" s="22"/>
      <c r="KTK288" s="22"/>
      <c r="KTL288" s="22"/>
      <c r="KTM288" s="22"/>
      <c r="KTN288" s="22"/>
      <c r="KTO288" s="22"/>
      <c r="KTP288" s="22"/>
      <c r="KTQ288" s="22"/>
      <c r="KTR288" s="22"/>
      <c r="KTS288" s="22"/>
      <c r="KTT288" s="22"/>
      <c r="KTU288" s="22"/>
      <c r="KTV288" s="22"/>
      <c r="KTW288" s="22"/>
      <c r="KTX288" s="22"/>
      <c r="KTY288" s="22"/>
      <c r="KTZ288" s="22"/>
      <c r="KUA288" s="22"/>
      <c r="KUB288" s="22"/>
      <c r="KUC288" s="22"/>
      <c r="KUD288" s="22"/>
      <c r="KUE288" s="22"/>
      <c r="KUF288" s="22"/>
      <c r="KUG288" s="22"/>
      <c r="KUH288" s="22"/>
      <c r="KUI288" s="22"/>
      <c r="KUJ288" s="22"/>
      <c r="KUK288" s="22"/>
      <c r="KUL288" s="22"/>
      <c r="KUM288" s="22"/>
      <c r="KUN288" s="22"/>
      <c r="KUO288" s="22"/>
      <c r="KUP288" s="22"/>
      <c r="KUQ288" s="22"/>
      <c r="KUR288" s="22"/>
      <c r="KUS288" s="22"/>
      <c r="KUT288" s="22"/>
      <c r="KUU288" s="22"/>
      <c r="KUV288" s="22"/>
      <c r="KUW288" s="22"/>
      <c r="KUX288" s="22"/>
      <c r="KUY288" s="22"/>
      <c r="KUZ288" s="22"/>
      <c r="KVA288" s="22"/>
      <c r="KVB288" s="22"/>
      <c r="KVC288" s="22"/>
      <c r="KVD288" s="22"/>
      <c r="KVE288" s="22"/>
      <c r="KVF288" s="22"/>
      <c r="KVG288" s="22"/>
      <c r="KVH288" s="22"/>
      <c r="KVI288" s="22"/>
      <c r="KVJ288" s="22"/>
      <c r="KVK288" s="22"/>
      <c r="KVL288" s="22"/>
      <c r="KVM288" s="22"/>
      <c r="KVN288" s="22"/>
      <c r="KVO288" s="22"/>
      <c r="KVP288" s="22"/>
      <c r="KVQ288" s="22"/>
      <c r="KVR288" s="22"/>
      <c r="KVS288" s="22"/>
      <c r="KVT288" s="22"/>
      <c r="KVU288" s="22"/>
      <c r="KVV288" s="22"/>
      <c r="KVW288" s="22"/>
      <c r="KVX288" s="22"/>
      <c r="KVY288" s="22"/>
      <c r="KVZ288" s="22"/>
      <c r="KWA288" s="22"/>
      <c r="KWB288" s="22"/>
      <c r="KWC288" s="22"/>
      <c r="KWD288" s="22"/>
      <c r="KWE288" s="22"/>
      <c r="KWF288" s="22"/>
      <c r="KWG288" s="22"/>
      <c r="KWH288" s="22"/>
      <c r="KWI288" s="22"/>
      <c r="KWJ288" s="22"/>
      <c r="KWK288" s="22"/>
      <c r="KWL288" s="22"/>
      <c r="KWM288" s="22"/>
      <c r="KWN288" s="22"/>
      <c r="KWO288" s="22"/>
      <c r="KWP288" s="22"/>
      <c r="KWQ288" s="22"/>
      <c r="KWR288" s="22"/>
      <c r="KWS288" s="22"/>
      <c r="KWT288" s="22"/>
      <c r="KWU288" s="22"/>
      <c r="KWV288" s="22"/>
      <c r="KWW288" s="22"/>
      <c r="KWX288" s="22"/>
      <c r="KWY288" s="22"/>
      <c r="KWZ288" s="22"/>
      <c r="KXA288" s="22"/>
      <c r="KXB288" s="22"/>
      <c r="KXC288" s="22"/>
      <c r="KXD288" s="22"/>
      <c r="KXE288" s="22"/>
      <c r="KXF288" s="22"/>
      <c r="KXG288" s="22"/>
      <c r="KXH288" s="22"/>
      <c r="KXI288" s="22"/>
      <c r="KXJ288" s="22"/>
      <c r="KXK288" s="22"/>
      <c r="KXL288" s="22"/>
      <c r="KXM288" s="22"/>
      <c r="KXN288" s="22"/>
      <c r="KXO288" s="22"/>
      <c r="KXP288" s="22"/>
      <c r="KXQ288" s="22"/>
      <c r="KXR288" s="22"/>
      <c r="KXS288" s="22"/>
      <c r="KXT288" s="22"/>
      <c r="KXU288" s="22"/>
      <c r="KXV288" s="22"/>
      <c r="KXW288" s="22"/>
      <c r="KXX288" s="22"/>
      <c r="KXY288" s="22"/>
      <c r="KXZ288" s="22"/>
      <c r="KYA288" s="22"/>
      <c r="KYB288" s="22"/>
      <c r="KYC288" s="22"/>
      <c r="KYD288" s="22"/>
      <c r="KYE288" s="22"/>
      <c r="KYF288" s="22"/>
      <c r="KYG288" s="22"/>
      <c r="KYH288" s="22"/>
      <c r="KYI288" s="22"/>
      <c r="KYJ288" s="22"/>
      <c r="KYK288" s="22"/>
      <c r="KYL288" s="22"/>
      <c r="KYM288" s="22"/>
      <c r="KYN288" s="22"/>
      <c r="KYO288" s="22"/>
      <c r="KYP288" s="22"/>
      <c r="KYQ288" s="22"/>
      <c r="KYR288" s="22"/>
      <c r="KYS288" s="22"/>
      <c r="KYT288" s="22"/>
      <c r="KYU288" s="22"/>
      <c r="KYV288" s="22"/>
      <c r="KYW288" s="22"/>
      <c r="KYX288" s="22"/>
      <c r="KYY288" s="22"/>
      <c r="KYZ288" s="22"/>
      <c r="KZA288" s="22"/>
      <c r="KZB288" s="22"/>
      <c r="KZC288" s="22"/>
      <c r="KZD288" s="22"/>
      <c r="KZE288" s="22"/>
      <c r="KZF288" s="22"/>
      <c r="KZG288" s="22"/>
      <c r="KZH288" s="22"/>
      <c r="KZI288" s="22"/>
      <c r="KZJ288" s="22"/>
      <c r="KZK288" s="22"/>
      <c r="KZL288" s="22"/>
      <c r="KZM288" s="22"/>
      <c r="KZN288" s="22"/>
      <c r="KZO288" s="22"/>
      <c r="KZP288" s="22"/>
      <c r="KZQ288" s="22"/>
      <c r="KZR288" s="22"/>
      <c r="KZS288" s="22"/>
      <c r="KZT288" s="22"/>
      <c r="KZU288" s="22"/>
      <c r="KZV288" s="22"/>
      <c r="KZW288" s="22"/>
      <c r="KZX288" s="22"/>
      <c r="KZY288" s="22"/>
      <c r="KZZ288" s="22"/>
      <c r="LAA288" s="22"/>
      <c r="LAB288" s="22"/>
      <c r="LAC288" s="22"/>
      <c r="LAD288" s="22"/>
      <c r="LAE288" s="22"/>
      <c r="LAF288" s="22"/>
      <c r="LAG288" s="22"/>
      <c r="LAH288" s="22"/>
      <c r="LAI288" s="22"/>
      <c r="LAJ288" s="22"/>
      <c r="LAK288" s="22"/>
      <c r="LAL288" s="22"/>
      <c r="LAM288" s="22"/>
      <c r="LAN288" s="22"/>
      <c r="LAO288" s="22"/>
      <c r="LAP288" s="22"/>
      <c r="LAQ288" s="22"/>
      <c r="LAR288" s="22"/>
      <c r="LAS288" s="22"/>
      <c r="LAT288" s="22"/>
      <c r="LAU288" s="22"/>
      <c r="LAV288" s="22"/>
      <c r="LAW288" s="22"/>
      <c r="LAX288" s="22"/>
      <c r="LAY288" s="22"/>
      <c r="LAZ288" s="22"/>
      <c r="LBA288" s="22"/>
      <c r="LBB288" s="22"/>
      <c r="LBC288" s="22"/>
      <c r="LBD288" s="22"/>
      <c r="LBE288" s="22"/>
      <c r="LBF288" s="22"/>
      <c r="LBG288" s="22"/>
      <c r="LBH288" s="22"/>
      <c r="LBI288" s="22"/>
      <c r="LBJ288" s="22"/>
      <c r="LBK288" s="22"/>
      <c r="LBL288" s="22"/>
      <c r="LBM288" s="22"/>
      <c r="LBN288" s="22"/>
      <c r="LBO288" s="22"/>
      <c r="LBP288" s="22"/>
      <c r="LBQ288" s="22"/>
      <c r="LBR288" s="22"/>
      <c r="LBS288" s="22"/>
      <c r="LBT288" s="22"/>
      <c r="LBU288" s="22"/>
      <c r="LBV288" s="22"/>
      <c r="LBW288" s="22"/>
      <c r="LBX288" s="22"/>
      <c r="LBY288" s="22"/>
      <c r="LBZ288" s="22"/>
      <c r="LCA288" s="22"/>
      <c r="LCB288" s="22"/>
      <c r="LCC288" s="22"/>
      <c r="LCD288" s="22"/>
      <c r="LCE288" s="22"/>
      <c r="LCF288" s="22"/>
      <c r="LCG288" s="22"/>
      <c r="LCH288" s="22"/>
      <c r="LCI288" s="22"/>
      <c r="LCJ288" s="22"/>
      <c r="LCK288" s="22"/>
      <c r="LCL288" s="22"/>
      <c r="LCM288" s="22"/>
      <c r="LCN288" s="22"/>
      <c r="LCO288" s="22"/>
      <c r="LCP288" s="22"/>
      <c r="LCQ288" s="22"/>
      <c r="LCR288" s="22"/>
      <c r="LCS288" s="22"/>
      <c r="LCT288" s="22"/>
      <c r="LCU288" s="22"/>
      <c r="LCV288" s="22"/>
      <c r="LCW288" s="22"/>
      <c r="LCX288" s="22"/>
      <c r="LCY288" s="22"/>
      <c r="LCZ288" s="22"/>
      <c r="LDA288" s="22"/>
      <c r="LDB288" s="22"/>
      <c r="LDC288" s="22"/>
      <c r="LDD288" s="22"/>
      <c r="LDE288" s="22"/>
      <c r="LDF288" s="22"/>
      <c r="LDG288" s="22"/>
      <c r="LDH288" s="22"/>
      <c r="LDI288" s="22"/>
      <c r="LDJ288" s="22"/>
      <c r="LDK288" s="22"/>
      <c r="LDL288" s="22"/>
      <c r="LDM288" s="22"/>
      <c r="LDN288" s="22"/>
      <c r="LDO288" s="22"/>
      <c r="LDP288" s="22"/>
      <c r="LDQ288" s="22"/>
      <c r="LDR288" s="22"/>
      <c r="LDS288" s="22"/>
      <c r="LDT288" s="22"/>
      <c r="LDU288" s="22"/>
      <c r="LDV288" s="22"/>
      <c r="LDW288" s="22"/>
      <c r="LDX288" s="22"/>
      <c r="LDY288" s="22"/>
      <c r="LDZ288" s="22"/>
      <c r="LEA288" s="22"/>
      <c r="LEB288" s="22"/>
      <c r="LEC288" s="22"/>
      <c r="LED288" s="22"/>
      <c r="LEE288" s="22"/>
      <c r="LEF288" s="22"/>
      <c r="LEG288" s="22"/>
      <c r="LEH288" s="22"/>
      <c r="LEI288" s="22"/>
      <c r="LEJ288" s="22"/>
      <c r="LEK288" s="22"/>
      <c r="LEL288" s="22"/>
      <c r="LEM288" s="22"/>
      <c r="LEN288" s="22"/>
      <c r="LEO288" s="22"/>
      <c r="LEP288" s="22"/>
      <c r="LEQ288" s="22"/>
      <c r="LER288" s="22"/>
      <c r="LES288" s="22"/>
      <c r="LET288" s="22"/>
      <c r="LEU288" s="22"/>
      <c r="LEV288" s="22"/>
      <c r="LEW288" s="22"/>
      <c r="LEX288" s="22"/>
      <c r="LEY288" s="22"/>
      <c r="LEZ288" s="22"/>
      <c r="LFA288" s="22"/>
      <c r="LFB288" s="22"/>
      <c r="LFC288" s="22"/>
      <c r="LFD288" s="22"/>
      <c r="LFE288" s="22"/>
      <c r="LFF288" s="22"/>
      <c r="LFG288" s="22"/>
      <c r="LFH288" s="22"/>
      <c r="LFI288" s="22"/>
      <c r="LFJ288" s="22"/>
      <c r="LFK288" s="22"/>
      <c r="LFL288" s="22"/>
      <c r="LFM288" s="22"/>
      <c r="LFN288" s="22"/>
      <c r="LFO288" s="22"/>
      <c r="LFP288" s="22"/>
      <c r="LFQ288" s="22"/>
      <c r="LFR288" s="22"/>
      <c r="LFS288" s="22"/>
      <c r="LFT288" s="22"/>
      <c r="LFU288" s="22"/>
      <c r="LFV288" s="22"/>
      <c r="LFW288" s="22"/>
      <c r="LFX288" s="22"/>
      <c r="LFY288" s="22"/>
      <c r="LFZ288" s="22"/>
      <c r="LGA288" s="22"/>
      <c r="LGB288" s="22"/>
      <c r="LGC288" s="22"/>
      <c r="LGD288" s="22"/>
      <c r="LGE288" s="22"/>
      <c r="LGF288" s="22"/>
      <c r="LGG288" s="22"/>
      <c r="LGH288" s="22"/>
      <c r="LGI288" s="22"/>
      <c r="LGJ288" s="22"/>
      <c r="LGK288" s="22"/>
      <c r="LGL288" s="22"/>
      <c r="LGM288" s="22"/>
      <c r="LGN288" s="22"/>
      <c r="LGO288" s="22"/>
      <c r="LGP288" s="22"/>
      <c r="LGQ288" s="22"/>
      <c r="LGR288" s="22"/>
      <c r="LGS288" s="22"/>
      <c r="LGT288" s="22"/>
      <c r="LGU288" s="22"/>
      <c r="LGV288" s="22"/>
      <c r="LGW288" s="22"/>
      <c r="LGX288" s="22"/>
      <c r="LGY288" s="22"/>
      <c r="LGZ288" s="22"/>
      <c r="LHA288" s="22"/>
      <c r="LHB288" s="22"/>
      <c r="LHC288" s="22"/>
      <c r="LHD288" s="22"/>
      <c r="LHE288" s="22"/>
      <c r="LHF288" s="22"/>
      <c r="LHG288" s="22"/>
      <c r="LHH288" s="22"/>
      <c r="LHI288" s="22"/>
      <c r="LHJ288" s="22"/>
      <c r="LHK288" s="22"/>
      <c r="LHL288" s="22"/>
      <c r="LHM288" s="22"/>
      <c r="LHN288" s="22"/>
      <c r="LHO288" s="22"/>
      <c r="LHP288" s="22"/>
      <c r="LHQ288" s="22"/>
      <c r="LHR288" s="22"/>
      <c r="LHS288" s="22"/>
      <c r="LHT288" s="22"/>
      <c r="LHU288" s="22"/>
      <c r="LHV288" s="22"/>
      <c r="LHW288" s="22"/>
      <c r="LHX288" s="22"/>
      <c r="LHY288" s="22"/>
      <c r="LHZ288" s="22"/>
      <c r="LIA288" s="22"/>
      <c r="LIB288" s="22"/>
      <c r="LIC288" s="22"/>
      <c r="LID288" s="22"/>
      <c r="LIE288" s="22"/>
      <c r="LIF288" s="22"/>
      <c r="LIG288" s="22"/>
      <c r="LIH288" s="22"/>
      <c r="LII288" s="22"/>
      <c r="LIJ288" s="22"/>
      <c r="LIK288" s="22"/>
      <c r="LIL288" s="22"/>
      <c r="LIM288" s="22"/>
      <c r="LIN288" s="22"/>
      <c r="LIO288" s="22"/>
      <c r="LIP288" s="22"/>
      <c r="LIQ288" s="22"/>
      <c r="LIR288" s="22"/>
      <c r="LIS288" s="22"/>
      <c r="LIT288" s="22"/>
      <c r="LIU288" s="22"/>
      <c r="LIV288" s="22"/>
      <c r="LIW288" s="22"/>
      <c r="LIX288" s="22"/>
      <c r="LIY288" s="22"/>
      <c r="LIZ288" s="22"/>
      <c r="LJA288" s="22"/>
      <c r="LJB288" s="22"/>
      <c r="LJC288" s="22"/>
      <c r="LJD288" s="22"/>
      <c r="LJE288" s="22"/>
      <c r="LJF288" s="22"/>
      <c r="LJG288" s="22"/>
      <c r="LJH288" s="22"/>
      <c r="LJI288" s="22"/>
      <c r="LJJ288" s="22"/>
      <c r="LJK288" s="22"/>
      <c r="LJL288" s="22"/>
      <c r="LJM288" s="22"/>
      <c r="LJN288" s="22"/>
      <c r="LJO288" s="22"/>
      <c r="LJP288" s="22"/>
      <c r="LJQ288" s="22"/>
      <c r="LJR288" s="22"/>
      <c r="LJS288" s="22"/>
      <c r="LJT288" s="22"/>
      <c r="LJU288" s="22"/>
      <c r="LJV288" s="22"/>
      <c r="LJW288" s="22"/>
      <c r="LJX288" s="22"/>
      <c r="LJY288" s="22"/>
      <c r="LJZ288" s="22"/>
      <c r="LKA288" s="22"/>
      <c r="LKB288" s="22"/>
      <c r="LKC288" s="22"/>
      <c r="LKD288" s="22"/>
      <c r="LKE288" s="22"/>
      <c r="LKF288" s="22"/>
      <c r="LKG288" s="22"/>
      <c r="LKH288" s="22"/>
      <c r="LKI288" s="22"/>
      <c r="LKJ288" s="22"/>
      <c r="LKK288" s="22"/>
      <c r="LKL288" s="22"/>
      <c r="LKM288" s="22"/>
      <c r="LKN288" s="22"/>
      <c r="LKO288" s="22"/>
      <c r="LKP288" s="22"/>
      <c r="LKQ288" s="22"/>
      <c r="LKR288" s="22"/>
      <c r="LKS288" s="22"/>
      <c r="LKT288" s="22"/>
      <c r="LKU288" s="22"/>
      <c r="LKV288" s="22"/>
      <c r="LKW288" s="22"/>
      <c r="LKX288" s="22"/>
      <c r="LKY288" s="22"/>
      <c r="LKZ288" s="22"/>
      <c r="LLA288" s="22"/>
      <c r="LLB288" s="22"/>
      <c r="LLC288" s="22"/>
      <c r="LLD288" s="22"/>
      <c r="LLE288" s="22"/>
      <c r="LLF288" s="22"/>
      <c r="LLG288" s="22"/>
      <c r="LLH288" s="22"/>
      <c r="LLI288" s="22"/>
      <c r="LLJ288" s="22"/>
      <c r="LLK288" s="22"/>
      <c r="LLL288" s="22"/>
      <c r="LLM288" s="22"/>
      <c r="LLN288" s="22"/>
      <c r="LLO288" s="22"/>
      <c r="LLP288" s="22"/>
      <c r="LLQ288" s="22"/>
      <c r="LLR288" s="22"/>
      <c r="LLS288" s="22"/>
      <c r="LLT288" s="22"/>
      <c r="LLU288" s="22"/>
      <c r="LLV288" s="22"/>
      <c r="LLW288" s="22"/>
      <c r="LLX288" s="22"/>
      <c r="LLY288" s="22"/>
      <c r="LLZ288" s="22"/>
      <c r="LMA288" s="22"/>
      <c r="LMB288" s="22"/>
      <c r="LMC288" s="22"/>
      <c r="LMD288" s="22"/>
      <c r="LME288" s="22"/>
      <c r="LMF288" s="22"/>
      <c r="LMG288" s="22"/>
      <c r="LMH288" s="22"/>
      <c r="LMI288" s="22"/>
      <c r="LMJ288" s="22"/>
      <c r="LMK288" s="22"/>
      <c r="LML288" s="22"/>
      <c r="LMM288" s="22"/>
      <c r="LMN288" s="22"/>
      <c r="LMO288" s="22"/>
      <c r="LMP288" s="22"/>
      <c r="LMQ288" s="22"/>
      <c r="LMR288" s="22"/>
      <c r="LMS288" s="22"/>
      <c r="LMT288" s="22"/>
      <c r="LMU288" s="22"/>
      <c r="LMV288" s="22"/>
      <c r="LMW288" s="22"/>
      <c r="LMX288" s="22"/>
      <c r="LMY288" s="22"/>
      <c r="LMZ288" s="22"/>
      <c r="LNA288" s="22"/>
      <c r="LNB288" s="22"/>
      <c r="LNC288" s="22"/>
      <c r="LND288" s="22"/>
      <c r="LNE288" s="22"/>
      <c r="LNF288" s="22"/>
      <c r="LNG288" s="22"/>
      <c r="LNH288" s="22"/>
      <c r="LNI288" s="22"/>
      <c r="LNJ288" s="22"/>
      <c r="LNK288" s="22"/>
      <c r="LNL288" s="22"/>
      <c r="LNM288" s="22"/>
      <c r="LNN288" s="22"/>
      <c r="LNO288" s="22"/>
      <c r="LNP288" s="22"/>
      <c r="LNQ288" s="22"/>
      <c r="LNR288" s="22"/>
      <c r="LNS288" s="22"/>
      <c r="LNT288" s="22"/>
      <c r="LNU288" s="22"/>
      <c r="LNV288" s="22"/>
      <c r="LNW288" s="22"/>
      <c r="LNX288" s="22"/>
      <c r="LNY288" s="22"/>
      <c r="LNZ288" s="22"/>
      <c r="LOA288" s="22"/>
      <c r="LOB288" s="22"/>
      <c r="LOC288" s="22"/>
      <c r="LOD288" s="22"/>
      <c r="LOE288" s="22"/>
      <c r="LOF288" s="22"/>
      <c r="LOG288" s="22"/>
      <c r="LOH288" s="22"/>
      <c r="LOI288" s="22"/>
      <c r="LOJ288" s="22"/>
      <c r="LOK288" s="22"/>
      <c r="LOL288" s="22"/>
      <c r="LOM288" s="22"/>
      <c r="LON288" s="22"/>
      <c r="LOO288" s="22"/>
      <c r="LOP288" s="22"/>
      <c r="LOQ288" s="22"/>
      <c r="LOR288" s="22"/>
      <c r="LOS288" s="22"/>
      <c r="LOT288" s="22"/>
      <c r="LOU288" s="22"/>
      <c r="LOV288" s="22"/>
      <c r="LOW288" s="22"/>
      <c r="LOX288" s="22"/>
      <c r="LOY288" s="22"/>
      <c r="LOZ288" s="22"/>
      <c r="LPA288" s="22"/>
      <c r="LPB288" s="22"/>
      <c r="LPC288" s="22"/>
      <c r="LPD288" s="22"/>
      <c r="LPE288" s="22"/>
      <c r="LPF288" s="22"/>
      <c r="LPG288" s="22"/>
      <c r="LPH288" s="22"/>
      <c r="LPI288" s="22"/>
      <c r="LPJ288" s="22"/>
      <c r="LPK288" s="22"/>
      <c r="LPL288" s="22"/>
      <c r="LPM288" s="22"/>
      <c r="LPN288" s="22"/>
      <c r="LPO288" s="22"/>
      <c r="LPP288" s="22"/>
      <c r="LPQ288" s="22"/>
      <c r="LPR288" s="22"/>
      <c r="LPS288" s="22"/>
      <c r="LPT288" s="22"/>
      <c r="LPU288" s="22"/>
      <c r="LPV288" s="22"/>
      <c r="LPW288" s="22"/>
      <c r="LPX288" s="22"/>
      <c r="LPY288" s="22"/>
      <c r="LPZ288" s="22"/>
      <c r="LQA288" s="22"/>
      <c r="LQB288" s="22"/>
      <c r="LQC288" s="22"/>
      <c r="LQD288" s="22"/>
      <c r="LQE288" s="22"/>
      <c r="LQF288" s="22"/>
      <c r="LQG288" s="22"/>
      <c r="LQH288" s="22"/>
      <c r="LQI288" s="22"/>
      <c r="LQJ288" s="22"/>
      <c r="LQK288" s="22"/>
      <c r="LQL288" s="22"/>
      <c r="LQM288" s="22"/>
      <c r="LQN288" s="22"/>
      <c r="LQO288" s="22"/>
      <c r="LQP288" s="22"/>
      <c r="LQQ288" s="22"/>
      <c r="LQR288" s="22"/>
      <c r="LQS288" s="22"/>
      <c r="LQT288" s="22"/>
      <c r="LQU288" s="22"/>
      <c r="LQV288" s="22"/>
      <c r="LQW288" s="22"/>
      <c r="LQX288" s="22"/>
      <c r="LQY288" s="22"/>
      <c r="LQZ288" s="22"/>
      <c r="LRA288" s="22"/>
      <c r="LRB288" s="22"/>
      <c r="LRC288" s="22"/>
      <c r="LRD288" s="22"/>
      <c r="LRE288" s="22"/>
      <c r="LRF288" s="22"/>
      <c r="LRG288" s="22"/>
      <c r="LRH288" s="22"/>
      <c r="LRI288" s="22"/>
      <c r="LRJ288" s="22"/>
      <c r="LRK288" s="22"/>
      <c r="LRL288" s="22"/>
      <c r="LRM288" s="22"/>
      <c r="LRN288" s="22"/>
      <c r="LRO288" s="22"/>
      <c r="LRP288" s="22"/>
      <c r="LRQ288" s="22"/>
      <c r="LRR288" s="22"/>
      <c r="LRS288" s="22"/>
      <c r="LRT288" s="22"/>
      <c r="LRU288" s="22"/>
      <c r="LRV288" s="22"/>
      <c r="LRW288" s="22"/>
      <c r="LRX288" s="22"/>
      <c r="LRY288" s="22"/>
      <c r="LRZ288" s="22"/>
      <c r="LSA288" s="22"/>
      <c r="LSB288" s="22"/>
      <c r="LSC288" s="22"/>
      <c r="LSD288" s="22"/>
      <c r="LSE288" s="22"/>
      <c r="LSF288" s="22"/>
      <c r="LSG288" s="22"/>
      <c r="LSH288" s="22"/>
      <c r="LSI288" s="22"/>
      <c r="LSJ288" s="22"/>
      <c r="LSK288" s="22"/>
      <c r="LSL288" s="22"/>
      <c r="LSM288" s="22"/>
      <c r="LSN288" s="22"/>
      <c r="LSO288" s="22"/>
      <c r="LSP288" s="22"/>
      <c r="LSQ288" s="22"/>
      <c r="LSR288" s="22"/>
      <c r="LSS288" s="22"/>
      <c r="LST288" s="22"/>
      <c r="LSU288" s="22"/>
      <c r="LSV288" s="22"/>
      <c r="LSW288" s="22"/>
      <c r="LSX288" s="22"/>
      <c r="LSY288" s="22"/>
      <c r="LSZ288" s="22"/>
      <c r="LTA288" s="22"/>
      <c r="LTB288" s="22"/>
      <c r="LTC288" s="22"/>
      <c r="LTD288" s="22"/>
      <c r="LTE288" s="22"/>
      <c r="LTF288" s="22"/>
      <c r="LTG288" s="22"/>
      <c r="LTH288" s="22"/>
      <c r="LTI288" s="22"/>
      <c r="LTJ288" s="22"/>
      <c r="LTK288" s="22"/>
      <c r="LTL288" s="22"/>
      <c r="LTM288" s="22"/>
      <c r="LTN288" s="22"/>
      <c r="LTO288" s="22"/>
      <c r="LTP288" s="22"/>
      <c r="LTQ288" s="22"/>
      <c r="LTR288" s="22"/>
      <c r="LTS288" s="22"/>
      <c r="LTT288" s="22"/>
      <c r="LTU288" s="22"/>
      <c r="LTV288" s="22"/>
      <c r="LTW288" s="22"/>
      <c r="LTX288" s="22"/>
      <c r="LTY288" s="22"/>
      <c r="LTZ288" s="22"/>
      <c r="LUA288" s="22"/>
      <c r="LUB288" s="22"/>
      <c r="LUC288" s="22"/>
      <c r="LUD288" s="22"/>
      <c r="LUE288" s="22"/>
      <c r="LUF288" s="22"/>
      <c r="LUG288" s="22"/>
      <c r="LUH288" s="22"/>
      <c r="LUI288" s="22"/>
      <c r="LUJ288" s="22"/>
      <c r="LUK288" s="22"/>
      <c r="LUL288" s="22"/>
      <c r="LUM288" s="22"/>
      <c r="LUN288" s="22"/>
      <c r="LUO288" s="22"/>
      <c r="LUP288" s="22"/>
      <c r="LUQ288" s="22"/>
      <c r="LUR288" s="22"/>
      <c r="LUS288" s="22"/>
      <c r="LUT288" s="22"/>
      <c r="LUU288" s="22"/>
      <c r="LUV288" s="22"/>
      <c r="LUW288" s="22"/>
      <c r="LUX288" s="22"/>
      <c r="LUY288" s="22"/>
      <c r="LUZ288" s="22"/>
      <c r="LVA288" s="22"/>
      <c r="LVB288" s="22"/>
      <c r="LVC288" s="22"/>
      <c r="LVD288" s="22"/>
      <c r="LVE288" s="22"/>
      <c r="LVF288" s="22"/>
      <c r="LVG288" s="22"/>
      <c r="LVH288" s="22"/>
      <c r="LVI288" s="22"/>
      <c r="LVJ288" s="22"/>
      <c r="LVK288" s="22"/>
      <c r="LVL288" s="22"/>
      <c r="LVM288" s="22"/>
      <c r="LVN288" s="22"/>
      <c r="LVO288" s="22"/>
      <c r="LVP288" s="22"/>
      <c r="LVQ288" s="22"/>
      <c r="LVR288" s="22"/>
      <c r="LVS288" s="22"/>
      <c r="LVT288" s="22"/>
      <c r="LVU288" s="22"/>
      <c r="LVV288" s="22"/>
      <c r="LVW288" s="22"/>
      <c r="LVX288" s="22"/>
      <c r="LVY288" s="22"/>
      <c r="LVZ288" s="22"/>
      <c r="LWA288" s="22"/>
      <c r="LWB288" s="22"/>
      <c r="LWC288" s="22"/>
      <c r="LWD288" s="22"/>
      <c r="LWE288" s="22"/>
      <c r="LWF288" s="22"/>
      <c r="LWG288" s="22"/>
      <c r="LWH288" s="22"/>
      <c r="LWI288" s="22"/>
      <c r="LWJ288" s="22"/>
      <c r="LWK288" s="22"/>
      <c r="LWL288" s="22"/>
      <c r="LWM288" s="22"/>
      <c r="LWN288" s="22"/>
      <c r="LWO288" s="22"/>
      <c r="LWP288" s="22"/>
      <c r="LWQ288" s="22"/>
      <c r="LWR288" s="22"/>
      <c r="LWS288" s="22"/>
      <c r="LWT288" s="22"/>
      <c r="LWU288" s="22"/>
      <c r="LWV288" s="22"/>
      <c r="LWW288" s="22"/>
      <c r="LWX288" s="22"/>
      <c r="LWY288" s="22"/>
      <c r="LWZ288" s="22"/>
      <c r="LXA288" s="22"/>
      <c r="LXB288" s="22"/>
      <c r="LXC288" s="22"/>
      <c r="LXD288" s="22"/>
      <c r="LXE288" s="22"/>
      <c r="LXF288" s="22"/>
      <c r="LXG288" s="22"/>
      <c r="LXH288" s="22"/>
      <c r="LXI288" s="22"/>
      <c r="LXJ288" s="22"/>
      <c r="LXK288" s="22"/>
      <c r="LXL288" s="22"/>
      <c r="LXM288" s="22"/>
      <c r="LXN288" s="22"/>
      <c r="LXO288" s="22"/>
      <c r="LXP288" s="22"/>
      <c r="LXQ288" s="22"/>
      <c r="LXR288" s="22"/>
      <c r="LXS288" s="22"/>
      <c r="LXT288" s="22"/>
      <c r="LXU288" s="22"/>
      <c r="LXV288" s="22"/>
      <c r="LXW288" s="22"/>
      <c r="LXX288" s="22"/>
      <c r="LXY288" s="22"/>
      <c r="LXZ288" s="22"/>
      <c r="LYA288" s="22"/>
      <c r="LYB288" s="22"/>
      <c r="LYC288" s="22"/>
      <c r="LYD288" s="22"/>
      <c r="LYE288" s="22"/>
      <c r="LYF288" s="22"/>
      <c r="LYG288" s="22"/>
      <c r="LYH288" s="22"/>
      <c r="LYI288" s="22"/>
      <c r="LYJ288" s="22"/>
      <c r="LYK288" s="22"/>
      <c r="LYL288" s="22"/>
      <c r="LYM288" s="22"/>
      <c r="LYN288" s="22"/>
      <c r="LYO288" s="22"/>
      <c r="LYP288" s="22"/>
      <c r="LYQ288" s="22"/>
      <c r="LYR288" s="22"/>
      <c r="LYS288" s="22"/>
      <c r="LYT288" s="22"/>
      <c r="LYU288" s="22"/>
      <c r="LYV288" s="22"/>
      <c r="LYW288" s="22"/>
      <c r="LYX288" s="22"/>
      <c r="LYY288" s="22"/>
      <c r="LYZ288" s="22"/>
      <c r="LZA288" s="22"/>
      <c r="LZB288" s="22"/>
      <c r="LZC288" s="22"/>
      <c r="LZD288" s="22"/>
      <c r="LZE288" s="22"/>
      <c r="LZF288" s="22"/>
      <c r="LZG288" s="22"/>
      <c r="LZH288" s="22"/>
      <c r="LZI288" s="22"/>
      <c r="LZJ288" s="22"/>
      <c r="LZK288" s="22"/>
      <c r="LZL288" s="22"/>
      <c r="LZM288" s="22"/>
      <c r="LZN288" s="22"/>
      <c r="LZO288" s="22"/>
      <c r="LZP288" s="22"/>
      <c r="LZQ288" s="22"/>
      <c r="LZR288" s="22"/>
      <c r="LZS288" s="22"/>
      <c r="LZT288" s="22"/>
      <c r="LZU288" s="22"/>
      <c r="LZV288" s="22"/>
      <c r="LZW288" s="22"/>
      <c r="LZX288" s="22"/>
      <c r="LZY288" s="22"/>
      <c r="LZZ288" s="22"/>
      <c r="MAA288" s="22"/>
      <c r="MAB288" s="22"/>
      <c r="MAC288" s="22"/>
      <c r="MAD288" s="22"/>
      <c r="MAE288" s="22"/>
      <c r="MAF288" s="22"/>
      <c r="MAG288" s="22"/>
      <c r="MAH288" s="22"/>
      <c r="MAI288" s="22"/>
      <c r="MAJ288" s="22"/>
      <c r="MAK288" s="22"/>
      <c r="MAL288" s="22"/>
      <c r="MAM288" s="22"/>
      <c r="MAN288" s="22"/>
      <c r="MAO288" s="22"/>
      <c r="MAP288" s="22"/>
      <c r="MAQ288" s="22"/>
      <c r="MAR288" s="22"/>
      <c r="MAS288" s="22"/>
      <c r="MAT288" s="22"/>
      <c r="MAU288" s="22"/>
      <c r="MAV288" s="22"/>
      <c r="MAW288" s="22"/>
      <c r="MAX288" s="22"/>
      <c r="MAY288" s="22"/>
      <c r="MAZ288" s="22"/>
      <c r="MBA288" s="22"/>
      <c r="MBB288" s="22"/>
      <c r="MBC288" s="22"/>
      <c r="MBD288" s="22"/>
      <c r="MBE288" s="22"/>
      <c r="MBF288" s="22"/>
      <c r="MBG288" s="22"/>
      <c r="MBH288" s="22"/>
      <c r="MBI288" s="22"/>
      <c r="MBJ288" s="22"/>
      <c r="MBK288" s="22"/>
      <c r="MBL288" s="22"/>
      <c r="MBM288" s="22"/>
      <c r="MBN288" s="22"/>
      <c r="MBO288" s="22"/>
      <c r="MBP288" s="22"/>
      <c r="MBQ288" s="22"/>
      <c r="MBR288" s="22"/>
      <c r="MBS288" s="22"/>
      <c r="MBT288" s="22"/>
      <c r="MBU288" s="22"/>
      <c r="MBV288" s="22"/>
      <c r="MBW288" s="22"/>
      <c r="MBX288" s="22"/>
      <c r="MBY288" s="22"/>
      <c r="MBZ288" s="22"/>
      <c r="MCA288" s="22"/>
      <c r="MCB288" s="22"/>
      <c r="MCC288" s="22"/>
      <c r="MCD288" s="22"/>
      <c r="MCE288" s="22"/>
      <c r="MCF288" s="22"/>
      <c r="MCG288" s="22"/>
      <c r="MCH288" s="22"/>
      <c r="MCI288" s="22"/>
      <c r="MCJ288" s="22"/>
      <c r="MCK288" s="22"/>
      <c r="MCL288" s="22"/>
      <c r="MCM288" s="22"/>
      <c r="MCN288" s="22"/>
      <c r="MCO288" s="22"/>
      <c r="MCP288" s="22"/>
      <c r="MCQ288" s="22"/>
      <c r="MCR288" s="22"/>
      <c r="MCS288" s="22"/>
      <c r="MCT288" s="22"/>
      <c r="MCU288" s="22"/>
      <c r="MCV288" s="22"/>
      <c r="MCW288" s="22"/>
      <c r="MCX288" s="22"/>
      <c r="MCY288" s="22"/>
      <c r="MCZ288" s="22"/>
      <c r="MDA288" s="22"/>
      <c r="MDB288" s="22"/>
      <c r="MDC288" s="22"/>
      <c r="MDD288" s="22"/>
      <c r="MDE288" s="22"/>
      <c r="MDF288" s="22"/>
      <c r="MDG288" s="22"/>
      <c r="MDH288" s="22"/>
      <c r="MDI288" s="22"/>
      <c r="MDJ288" s="22"/>
      <c r="MDK288" s="22"/>
      <c r="MDL288" s="22"/>
      <c r="MDM288" s="22"/>
      <c r="MDN288" s="22"/>
      <c r="MDO288" s="22"/>
      <c r="MDP288" s="22"/>
      <c r="MDQ288" s="22"/>
      <c r="MDR288" s="22"/>
      <c r="MDS288" s="22"/>
      <c r="MDT288" s="22"/>
      <c r="MDU288" s="22"/>
      <c r="MDV288" s="22"/>
      <c r="MDW288" s="22"/>
      <c r="MDX288" s="22"/>
      <c r="MDY288" s="22"/>
      <c r="MDZ288" s="22"/>
      <c r="MEA288" s="22"/>
      <c r="MEB288" s="22"/>
      <c r="MEC288" s="22"/>
      <c r="MED288" s="22"/>
      <c r="MEE288" s="22"/>
      <c r="MEF288" s="22"/>
      <c r="MEG288" s="22"/>
      <c r="MEH288" s="22"/>
      <c r="MEI288" s="22"/>
      <c r="MEJ288" s="22"/>
      <c r="MEK288" s="22"/>
      <c r="MEL288" s="22"/>
      <c r="MEM288" s="22"/>
      <c r="MEN288" s="22"/>
      <c r="MEO288" s="22"/>
      <c r="MEP288" s="22"/>
      <c r="MEQ288" s="22"/>
      <c r="MER288" s="22"/>
      <c r="MES288" s="22"/>
      <c r="MET288" s="22"/>
      <c r="MEU288" s="22"/>
      <c r="MEV288" s="22"/>
      <c r="MEW288" s="22"/>
      <c r="MEX288" s="22"/>
      <c r="MEY288" s="22"/>
      <c r="MEZ288" s="22"/>
      <c r="MFA288" s="22"/>
      <c r="MFB288" s="22"/>
      <c r="MFC288" s="22"/>
      <c r="MFD288" s="22"/>
      <c r="MFE288" s="22"/>
      <c r="MFF288" s="22"/>
      <c r="MFG288" s="22"/>
      <c r="MFH288" s="22"/>
      <c r="MFI288" s="22"/>
      <c r="MFJ288" s="22"/>
      <c r="MFK288" s="22"/>
      <c r="MFL288" s="22"/>
      <c r="MFM288" s="22"/>
      <c r="MFN288" s="22"/>
      <c r="MFO288" s="22"/>
      <c r="MFP288" s="22"/>
      <c r="MFQ288" s="22"/>
      <c r="MFR288" s="22"/>
      <c r="MFS288" s="22"/>
      <c r="MFT288" s="22"/>
      <c r="MFU288" s="22"/>
      <c r="MFV288" s="22"/>
      <c r="MFW288" s="22"/>
      <c r="MFX288" s="22"/>
      <c r="MFY288" s="22"/>
      <c r="MFZ288" s="22"/>
      <c r="MGA288" s="22"/>
      <c r="MGB288" s="22"/>
      <c r="MGC288" s="22"/>
      <c r="MGD288" s="22"/>
      <c r="MGE288" s="22"/>
      <c r="MGF288" s="22"/>
      <c r="MGG288" s="22"/>
      <c r="MGH288" s="22"/>
      <c r="MGI288" s="22"/>
      <c r="MGJ288" s="22"/>
      <c r="MGK288" s="22"/>
      <c r="MGL288" s="22"/>
      <c r="MGM288" s="22"/>
      <c r="MGN288" s="22"/>
      <c r="MGO288" s="22"/>
      <c r="MGP288" s="22"/>
      <c r="MGQ288" s="22"/>
      <c r="MGR288" s="22"/>
      <c r="MGS288" s="22"/>
      <c r="MGT288" s="22"/>
      <c r="MGU288" s="22"/>
      <c r="MGV288" s="22"/>
      <c r="MGW288" s="22"/>
      <c r="MGX288" s="22"/>
      <c r="MGY288" s="22"/>
      <c r="MGZ288" s="22"/>
      <c r="MHA288" s="22"/>
      <c r="MHB288" s="22"/>
      <c r="MHC288" s="22"/>
      <c r="MHD288" s="22"/>
      <c r="MHE288" s="22"/>
      <c r="MHF288" s="22"/>
      <c r="MHG288" s="22"/>
      <c r="MHH288" s="22"/>
      <c r="MHI288" s="22"/>
      <c r="MHJ288" s="22"/>
      <c r="MHK288" s="22"/>
      <c r="MHL288" s="22"/>
      <c r="MHM288" s="22"/>
      <c r="MHN288" s="22"/>
      <c r="MHO288" s="22"/>
      <c r="MHP288" s="22"/>
      <c r="MHQ288" s="22"/>
      <c r="MHR288" s="22"/>
      <c r="MHS288" s="22"/>
      <c r="MHT288" s="22"/>
      <c r="MHU288" s="22"/>
      <c r="MHV288" s="22"/>
      <c r="MHW288" s="22"/>
      <c r="MHX288" s="22"/>
      <c r="MHY288" s="22"/>
      <c r="MHZ288" s="22"/>
      <c r="MIA288" s="22"/>
      <c r="MIB288" s="22"/>
      <c r="MIC288" s="22"/>
      <c r="MID288" s="22"/>
      <c r="MIE288" s="22"/>
      <c r="MIF288" s="22"/>
      <c r="MIG288" s="22"/>
      <c r="MIH288" s="22"/>
      <c r="MII288" s="22"/>
      <c r="MIJ288" s="22"/>
      <c r="MIK288" s="22"/>
      <c r="MIL288" s="22"/>
      <c r="MIM288" s="22"/>
      <c r="MIN288" s="22"/>
      <c r="MIO288" s="22"/>
      <c r="MIP288" s="22"/>
      <c r="MIQ288" s="22"/>
      <c r="MIR288" s="22"/>
      <c r="MIS288" s="22"/>
      <c r="MIT288" s="22"/>
      <c r="MIU288" s="22"/>
      <c r="MIV288" s="22"/>
      <c r="MIW288" s="22"/>
      <c r="MIX288" s="22"/>
      <c r="MIY288" s="22"/>
      <c r="MIZ288" s="22"/>
      <c r="MJA288" s="22"/>
      <c r="MJB288" s="22"/>
      <c r="MJC288" s="22"/>
      <c r="MJD288" s="22"/>
      <c r="MJE288" s="22"/>
      <c r="MJF288" s="22"/>
      <c r="MJG288" s="22"/>
      <c r="MJH288" s="22"/>
      <c r="MJI288" s="22"/>
      <c r="MJJ288" s="22"/>
      <c r="MJK288" s="22"/>
      <c r="MJL288" s="22"/>
      <c r="MJM288" s="22"/>
      <c r="MJN288" s="22"/>
      <c r="MJO288" s="22"/>
      <c r="MJP288" s="22"/>
      <c r="MJQ288" s="22"/>
      <c r="MJR288" s="22"/>
      <c r="MJS288" s="22"/>
      <c r="MJT288" s="22"/>
      <c r="MJU288" s="22"/>
      <c r="MJV288" s="22"/>
      <c r="MJW288" s="22"/>
      <c r="MJX288" s="22"/>
      <c r="MJY288" s="22"/>
      <c r="MJZ288" s="22"/>
      <c r="MKA288" s="22"/>
      <c r="MKB288" s="22"/>
      <c r="MKC288" s="22"/>
      <c r="MKD288" s="22"/>
      <c r="MKE288" s="22"/>
      <c r="MKF288" s="22"/>
      <c r="MKG288" s="22"/>
      <c r="MKH288" s="22"/>
      <c r="MKI288" s="22"/>
      <c r="MKJ288" s="22"/>
      <c r="MKK288" s="22"/>
      <c r="MKL288" s="22"/>
      <c r="MKM288" s="22"/>
      <c r="MKN288" s="22"/>
      <c r="MKO288" s="22"/>
      <c r="MKP288" s="22"/>
      <c r="MKQ288" s="22"/>
      <c r="MKR288" s="22"/>
      <c r="MKS288" s="22"/>
      <c r="MKT288" s="22"/>
      <c r="MKU288" s="22"/>
      <c r="MKV288" s="22"/>
      <c r="MKW288" s="22"/>
      <c r="MKX288" s="22"/>
      <c r="MKY288" s="22"/>
      <c r="MKZ288" s="22"/>
      <c r="MLA288" s="22"/>
      <c r="MLB288" s="22"/>
      <c r="MLC288" s="22"/>
      <c r="MLD288" s="22"/>
      <c r="MLE288" s="22"/>
      <c r="MLF288" s="22"/>
      <c r="MLG288" s="22"/>
      <c r="MLH288" s="22"/>
      <c r="MLI288" s="22"/>
      <c r="MLJ288" s="22"/>
      <c r="MLK288" s="22"/>
      <c r="MLL288" s="22"/>
      <c r="MLM288" s="22"/>
      <c r="MLN288" s="22"/>
      <c r="MLO288" s="22"/>
      <c r="MLP288" s="22"/>
      <c r="MLQ288" s="22"/>
      <c r="MLR288" s="22"/>
      <c r="MLS288" s="22"/>
      <c r="MLT288" s="22"/>
      <c r="MLU288" s="22"/>
      <c r="MLV288" s="22"/>
      <c r="MLW288" s="22"/>
      <c r="MLX288" s="22"/>
      <c r="MLY288" s="22"/>
      <c r="MLZ288" s="22"/>
      <c r="MMA288" s="22"/>
      <c r="MMB288" s="22"/>
      <c r="MMC288" s="22"/>
      <c r="MMD288" s="22"/>
      <c r="MME288" s="22"/>
      <c r="MMF288" s="22"/>
      <c r="MMG288" s="22"/>
      <c r="MMH288" s="22"/>
      <c r="MMI288" s="22"/>
      <c r="MMJ288" s="22"/>
      <c r="MMK288" s="22"/>
      <c r="MML288" s="22"/>
      <c r="MMM288" s="22"/>
      <c r="MMN288" s="22"/>
      <c r="MMO288" s="22"/>
      <c r="MMP288" s="22"/>
      <c r="MMQ288" s="22"/>
      <c r="MMR288" s="22"/>
      <c r="MMS288" s="22"/>
      <c r="MMT288" s="22"/>
      <c r="MMU288" s="22"/>
      <c r="MMV288" s="22"/>
      <c r="MMW288" s="22"/>
      <c r="MMX288" s="22"/>
      <c r="MMY288" s="22"/>
      <c r="MMZ288" s="22"/>
      <c r="MNA288" s="22"/>
      <c r="MNB288" s="22"/>
      <c r="MNC288" s="22"/>
      <c r="MND288" s="22"/>
      <c r="MNE288" s="22"/>
      <c r="MNF288" s="22"/>
      <c r="MNG288" s="22"/>
      <c r="MNH288" s="22"/>
      <c r="MNI288" s="22"/>
      <c r="MNJ288" s="22"/>
      <c r="MNK288" s="22"/>
      <c r="MNL288" s="22"/>
      <c r="MNM288" s="22"/>
      <c r="MNN288" s="22"/>
      <c r="MNO288" s="22"/>
      <c r="MNP288" s="22"/>
      <c r="MNQ288" s="22"/>
      <c r="MNR288" s="22"/>
      <c r="MNS288" s="22"/>
      <c r="MNT288" s="22"/>
      <c r="MNU288" s="22"/>
      <c r="MNV288" s="22"/>
      <c r="MNW288" s="22"/>
      <c r="MNX288" s="22"/>
      <c r="MNY288" s="22"/>
      <c r="MNZ288" s="22"/>
      <c r="MOA288" s="22"/>
      <c r="MOB288" s="22"/>
      <c r="MOC288" s="22"/>
      <c r="MOD288" s="22"/>
      <c r="MOE288" s="22"/>
      <c r="MOF288" s="22"/>
      <c r="MOG288" s="22"/>
      <c r="MOH288" s="22"/>
      <c r="MOI288" s="22"/>
      <c r="MOJ288" s="22"/>
      <c r="MOK288" s="22"/>
      <c r="MOL288" s="22"/>
      <c r="MOM288" s="22"/>
      <c r="MON288" s="22"/>
      <c r="MOO288" s="22"/>
      <c r="MOP288" s="22"/>
      <c r="MOQ288" s="22"/>
      <c r="MOR288" s="22"/>
      <c r="MOS288" s="22"/>
      <c r="MOT288" s="22"/>
      <c r="MOU288" s="22"/>
      <c r="MOV288" s="22"/>
      <c r="MOW288" s="22"/>
      <c r="MOX288" s="22"/>
      <c r="MOY288" s="22"/>
      <c r="MOZ288" s="22"/>
      <c r="MPA288" s="22"/>
      <c r="MPB288" s="22"/>
      <c r="MPC288" s="22"/>
      <c r="MPD288" s="22"/>
      <c r="MPE288" s="22"/>
      <c r="MPF288" s="22"/>
      <c r="MPG288" s="22"/>
      <c r="MPH288" s="22"/>
      <c r="MPI288" s="22"/>
      <c r="MPJ288" s="22"/>
      <c r="MPK288" s="22"/>
      <c r="MPL288" s="22"/>
      <c r="MPM288" s="22"/>
      <c r="MPN288" s="22"/>
      <c r="MPO288" s="22"/>
      <c r="MPP288" s="22"/>
      <c r="MPQ288" s="22"/>
      <c r="MPR288" s="22"/>
      <c r="MPS288" s="22"/>
      <c r="MPT288" s="22"/>
      <c r="MPU288" s="22"/>
      <c r="MPV288" s="22"/>
      <c r="MPW288" s="22"/>
      <c r="MPX288" s="22"/>
      <c r="MPY288" s="22"/>
      <c r="MPZ288" s="22"/>
      <c r="MQA288" s="22"/>
      <c r="MQB288" s="22"/>
      <c r="MQC288" s="22"/>
      <c r="MQD288" s="22"/>
      <c r="MQE288" s="22"/>
      <c r="MQF288" s="22"/>
      <c r="MQG288" s="22"/>
      <c r="MQH288" s="22"/>
      <c r="MQI288" s="22"/>
      <c r="MQJ288" s="22"/>
      <c r="MQK288" s="22"/>
      <c r="MQL288" s="22"/>
      <c r="MQM288" s="22"/>
      <c r="MQN288" s="22"/>
      <c r="MQO288" s="22"/>
      <c r="MQP288" s="22"/>
      <c r="MQQ288" s="22"/>
      <c r="MQR288" s="22"/>
      <c r="MQS288" s="22"/>
      <c r="MQT288" s="22"/>
      <c r="MQU288" s="22"/>
      <c r="MQV288" s="22"/>
      <c r="MQW288" s="22"/>
      <c r="MQX288" s="22"/>
      <c r="MQY288" s="22"/>
      <c r="MQZ288" s="22"/>
      <c r="MRA288" s="22"/>
      <c r="MRB288" s="22"/>
      <c r="MRC288" s="22"/>
      <c r="MRD288" s="22"/>
      <c r="MRE288" s="22"/>
      <c r="MRF288" s="22"/>
      <c r="MRG288" s="22"/>
      <c r="MRH288" s="22"/>
      <c r="MRI288" s="22"/>
      <c r="MRJ288" s="22"/>
      <c r="MRK288" s="22"/>
      <c r="MRL288" s="22"/>
      <c r="MRM288" s="22"/>
      <c r="MRN288" s="22"/>
      <c r="MRO288" s="22"/>
      <c r="MRP288" s="22"/>
      <c r="MRQ288" s="22"/>
      <c r="MRR288" s="22"/>
      <c r="MRS288" s="22"/>
      <c r="MRT288" s="22"/>
      <c r="MRU288" s="22"/>
      <c r="MRV288" s="22"/>
      <c r="MRW288" s="22"/>
      <c r="MRX288" s="22"/>
      <c r="MRY288" s="22"/>
      <c r="MRZ288" s="22"/>
      <c r="MSA288" s="22"/>
      <c r="MSB288" s="22"/>
      <c r="MSC288" s="22"/>
      <c r="MSD288" s="22"/>
      <c r="MSE288" s="22"/>
      <c r="MSF288" s="22"/>
      <c r="MSG288" s="22"/>
      <c r="MSH288" s="22"/>
      <c r="MSI288" s="22"/>
      <c r="MSJ288" s="22"/>
      <c r="MSK288" s="22"/>
      <c r="MSL288" s="22"/>
      <c r="MSM288" s="22"/>
      <c r="MSN288" s="22"/>
      <c r="MSO288" s="22"/>
      <c r="MSP288" s="22"/>
      <c r="MSQ288" s="22"/>
      <c r="MSR288" s="22"/>
      <c r="MSS288" s="22"/>
      <c r="MST288" s="22"/>
      <c r="MSU288" s="22"/>
      <c r="MSV288" s="22"/>
      <c r="MSW288" s="22"/>
      <c r="MSX288" s="22"/>
      <c r="MSY288" s="22"/>
      <c r="MSZ288" s="22"/>
      <c r="MTA288" s="22"/>
      <c r="MTB288" s="22"/>
      <c r="MTC288" s="22"/>
      <c r="MTD288" s="22"/>
      <c r="MTE288" s="22"/>
      <c r="MTF288" s="22"/>
      <c r="MTG288" s="22"/>
      <c r="MTH288" s="22"/>
      <c r="MTI288" s="22"/>
      <c r="MTJ288" s="22"/>
      <c r="MTK288" s="22"/>
      <c r="MTL288" s="22"/>
      <c r="MTM288" s="22"/>
      <c r="MTN288" s="22"/>
      <c r="MTO288" s="22"/>
      <c r="MTP288" s="22"/>
      <c r="MTQ288" s="22"/>
      <c r="MTR288" s="22"/>
      <c r="MTS288" s="22"/>
      <c r="MTT288" s="22"/>
      <c r="MTU288" s="22"/>
      <c r="MTV288" s="22"/>
      <c r="MTW288" s="22"/>
      <c r="MTX288" s="22"/>
      <c r="MTY288" s="22"/>
      <c r="MTZ288" s="22"/>
      <c r="MUA288" s="22"/>
      <c r="MUB288" s="22"/>
      <c r="MUC288" s="22"/>
      <c r="MUD288" s="22"/>
      <c r="MUE288" s="22"/>
      <c r="MUF288" s="22"/>
      <c r="MUG288" s="22"/>
      <c r="MUH288" s="22"/>
      <c r="MUI288" s="22"/>
      <c r="MUJ288" s="22"/>
      <c r="MUK288" s="22"/>
      <c r="MUL288" s="22"/>
      <c r="MUM288" s="22"/>
      <c r="MUN288" s="22"/>
      <c r="MUO288" s="22"/>
      <c r="MUP288" s="22"/>
      <c r="MUQ288" s="22"/>
      <c r="MUR288" s="22"/>
      <c r="MUS288" s="22"/>
      <c r="MUT288" s="22"/>
      <c r="MUU288" s="22"/>
      <c r="MUV288" s="22"/>
      <c r="MUW288" s="22"/>
      <c r="MUX288" s="22"/>
      <c r="MUY288" s="22"/>
      <c r="MUZ288" s="22"/>
      <c r="MVA288" s="22"/>
      <c r="MVB288" s="22"/>
      <c r="MVC288" s="22"/>
      <c r="MVD288" s="22"/>
      <c r="MVE288" s="22"/>
      <c r="MVF288" s="22"/>
      <c r="MVG288" s="22"/>
      <c r="MVH288" s="22"/>
      <c r="MVI288" s="22"/>
      <c r="MVJ288" s="22"/>
      <c r="MVK288" s="22"/>
      <c r="MVL288" s="22"/>
      <c r="MVM288" s="22"/>
      <c r="MVN288" s="22"/>
      <c r="MVO288" s="22"/>
      <c r="MVP288" s="22"/>
      <c r="MVQ288" s="22"/>
      <c r="MVR288" s="22"/>
      <c r="MVS288" s="22"/>
      <c r="MVT288" s="22"/>
      <c r="MVU288" s="22"/>
      <c r="MVV288" s="22"/>
      <c r="MVW288" s="22"/>
      <c r="MVX288" s="22"/>
      <c r="MVY288" s="22"/>
      <c r="MVZ288" s="22"/>
      <c r="MWA288" s="22"/>
      <c r="MWB288" s="22"/>
      <c r="MWC288" s="22"/>
      <c r="MWD288" s="22"/>
      <c r="MWE288" s="22"/>
      <c r="MWF288" s="22"/>
      <c r="MWG288" s="22"/>
      <c r="MWH288" s="22"/>
      <c r="MWI288" s="22"/>
      <c r="MWJ288" s="22"/>
      <c r="MWK288" s="22"/>
      <c r="MWL288" s="22"/>
      <c r="MWM288" s="22"/>
      <c r="MWN288" s="22"/>
      <c r="MWO288" s="22"/>
      <c r="MWP288" s="22"/>
      <c r="MWQ288" s="22"/>
      <c r="MWR288" s="22"/>
      <c r="MWS288" s="22"/>
      <c r="MWT288" s="22"/>
      <c r="MWU288" s="22"/>
      <c r="MWV288" s="22"/>
      <c r="MWW288" s="22"/>
      <c r="MWX288" s="22"/>
      <c r="MWY288" s="22"/>
      <c r="MWZ288" s="22"/>
      <c r="MXA288" s="22"/>
      <c r="MXB288" s="22"/>
      <c r="MXC288" s="22"/>
      <c r="MXD288" s="22"/>
      <c r="MXE288" s="22"/>
      <c r="MXF288" s="22"/>
      <c r="MXG288" s="22"/>
      <c r="MXH288" s="22"/>
      <c r="MXI288" s="22"/>
      <c r="MXJ288" s="22"/>
      <c r="MXK288" s="22"/>
      <c r="MXL288" s="22"/>
      <c r="MXM288" s="22"/>
      <c r="MXN288" s="22"/>
      <c r="MXO288" s="22"/>
      <c r="MXP288" s="22"/>
      <c r="MXQ288" s="22"/>
      <c r="MXR288" s="22"/>
      <c r="MXS288" s="22"/>
      <c r="MXT288" s="22"/>
      <c r="MXU288" s="22"/>
      <c r="MXV288" s="22"/>
      <c r="MXW288" s="22"/>
      <c r="MXX288" s="22"/>
      <c r="MXY288" s="22"/>
      <c r="MXZ288" s="22"/>
      <c r="MYA288" s="22"/>
      <c r="MYB288" s="22"/>
      <c r="MYC288" s="22"/>
      <c r="MYD288" s="22"/>
      <c r="MYE288" s="22"/>
      <c r="MYF288" s="22"/>
      <c r="MYG288" s="22"/>
      <c r="MYH288" s="22"/>
      <c r="MYI288" s="22"/>
      <c r="MYJ288" s="22"/>
      <c r="MYK288" s="22"/>
      <c r="MYL288" s="22"/>
      <c r="MYM288" s="22"/>
      <c r="MYN288" s="22"/>
      <c r="MYO288" s="22"/>
      <c r="MYP288" s="22"/>
      <c r="MYQ288" s="22"/>
      <c r="MYR288" s="22"/>
      <c r="MYS288" s="22"/>
      <c r="MYT288" s="22"/>
      <c r="MYU288" s="22"/>
      <c r="MYV288" s="22"/>
      <c r="MYW288" s="22"/>
      <c r="MYX288" s="22"/>
      <c r="MYY288" s="22"/>
      <c r="MYZ288" s="22"/>
      <c r="MZA288" s="22"/>
      <c r="MZB288" s="22"/>
      <c r="MZC288" s="22"/>
      <c r="MZD288" s="22"/>
      <c r="MZE288" s="22"/>
      <c r="MZF288" s="22"/>
      <c r="MZG288" s="22"/>
      <c r="MZH288" s="22"/>
      <c r="MZI288" s="22"/>
      <c r="MZJ288" s="22"/>
      <c r="MZK288" s="22"/>
      <c r="MZL288" s="22"/>
      <c r="MZM288" s="22"/>
      <c r="MZN288" s="22"/>
      <c r="MZO288" s="22"/>
      <c r="MZP288" s="22"/>
      <c r="MZQ288" s="22"/>
      <c r="MZR288" s="22"/>
      <c r="MZS288" s="22"/>
      <c r="MZT288" s="22"/>
      <c r="MZU288" s="22"/>
      <c r="MZV288" s="22"/>
      <c r="MZW288" s="22"/>
      <c r="MZX288" s="22"/>
      <c r="MZY288" s="22"/>
      <c r="MZZ288" s="22"/>
      <c r="NAA288" s="22"/>
      <c r="NAB288" s="22"/>
      <c r="NAC288" s="22"/>
      <c r="NAD288" s="22"/>
      <c r="NAE288" s="22"/>
      <c r="NAF288" s="22"/>
      <c r="NAG288" s="22"/>
      <c r="NAH288" s="22"/>
      <c r="NAI288" s="22"/>
      <c r="NAJ288" s="22"/>
      <c r="NAK288" s="22"/>
      <c r="NAL288" s="22"/>
      <c r="NAM288" s="22"/>
      <c r="NAN288" s="22"/>
      <c r="NAO288" s="22"/>
      <c r="NAP288" s="22"/>
      <c r="NAQ288" s="22"/>
      <c r="NAR288" s="22"/>
      <c r="NAS288" s="22"/>
      <c r="NAT288" s="22"/>
      <c r="NAU288" s="22"/>
      <c r="NAV288" s="22"/>
      <c r="NAW288" s="22"/>
      <c r="NAX288" s="22"/>
      <c r="NAY288" s="22"/>
      <c r="NAZ288" s="22"/>
      <c r="NBA288" s="22"/>
      <c r="NBB288" s="22"/>
      <c r="NBC288" s="22"/>
      <c r="NBD288" s="22"/>
      <c r="NBE288" s="22"/>
      <c r="NBF288" s="22"/>
      <c r="NBG288" s="22"/>
      <c r="NBH288" s="22"/>
      <c r="NBI288" s="22"/>
      <c r="NBJ288" s="22"/>
      <c r="NBK288" s="22"/>
      <c r="NBL288" s="22"/>
      <c r="NBM288" s="22"/>
      <c r="NBN288" s="22"/>
      <c r="NBO288" s="22"/>
      <c r="NBP288" s="22"/>
      <c r="NBQ288" s="22"/>
      <c r="NBR288" s="22"/>
      <c r="NBS288" s="22"/>
      <c r="NBT288" s="22"/>
      <c r="NBU288" s="22"/>
      <c r="NBV288" s="22"/>
      <c r="NBW288" s="22"/>
      <c r="NBX288" s="22"/>
      <c r="NBY288" s="22"/>
      <c r="NBZ288" s="22"/>
      <c r="NCA288" s="22"/>
      <c r="NCB288" s="22"/>
      <c r="NCC288" s="22"/>
      <c r="NCD288" s="22"/>
      <c r="NCE288" s="22"/>
      <c r="NCF288" s="22"/>
      <c r="NCG288" s="22"/>
      <c r="NCH288" s="22"/>
      <c r="NCI288" s="22"/>
      <c r="NCJ288" s="22"/>
      <c r="NCK288" s="22"/>
      <c r="NCL288" s="22"/>
      <c r="NCM288" s="22"/>
      <c r="NCN288" s="22"/>
      <c r="NCO288" s="22"/>
      <c r="NCP288" s="22"/>
      <c r="NCQ288" s="22"/>
      <c r="NCR288" s="22"/>
      <c r="NCS288" s="22"/>
      <c r="NCT288" s="22"/>
      <c r="NCU288" s="22"/>
      <c r="NCV288" s="22"/>
      <c r="NCW288" s="22"/>
      <c r="NCX288" s="22"/>
      <c r="NCY288" s="22"/>
      <c r="NCZ288" s="22"/>
      <c r="NDA288" s="22"/>
      <c r="NDB288" s="22"/>
      <c r="NDC288" s="22"/>
      <c r="NDD288" s="22"/>
      <c r="NDE288" s="22"/>
      <c r="NDF288" s="22"/>
      <c r="NDG288" s="22"/>
      <c r="NDH288" s="22"/>
      <c r="NDI288" s="22"/>
      <c r="NDJ288" s="22"/>
      <c r="NDK288" s="22"/>
      <c r="NDL288" s="22"/>
      <c r="NDM288" s="22"/>
      <c r="NDN288" s="22"/>
      <c r="NDO288" s="22"/>
      <c r="NDP288" s="22"/>
      <c r="NDQ288" s="22"/>
      <c r="NDR288" s="22"/>
      <c r="NDS288" s="22"/>
      <c r="NDT288" s="22"/>
      <c r="NDU288" s="22"/>
      <c r="NDV288" s="22"/>
      <c r="NDW288" s="22"/>
      <c r="NDX288" s="22"/>
      <c r="NDY288" s="22"/>
      <c r="NDZ288" s="22"/>
      <c r="NEA288" s="22"/>
      <c r="NEB288" s="22"/>
      <c r="NEC288" s="22"/>
      <c r="NED288" s="22"/>
      <c r="NEE288" s="22"/>
      <c r="NEF288" s="22"/>
      <c r="NEG288" s="22"/>
      <c r="NEH288" s="22"/>
      <c r="NEI288" s="22"/>
      <c r="NEJ288" s="22"/>
      <c r="NEK288" s="22"/>
      <c r="NEL288" s="22"/>
      <c r="NEM288" s="22"/>
      <c r="NEN288" s="22"/>
      <c r="NEO288" s="22"/>
      <c r="NEP288" s="22"/>
      <c r="NEQ288" s="22"/>
      <c r="NER288" s="22"/>
      <c r="NES288" s="22"/>
      <c r="NET288" s="22"/>
      <c r="NEU288" s="22"/>
      <c r="NEV288" s="22"/>
      <c r="NEW288" s="22"/>
      <c r="NEX288" s="22"/>
      <c r="NEY288" s="22"/>
      <c r="NEZ288" s="22"/>
      <c r="NFA288" s="22"/>
      <c r="NFB288" s="22"/>
      <c r="NFC288" s="22"/>
      <c r="NFD288" s="22"/>
      <c r="NFE288" s="22"/>
      <c r="NFF288" s="22"/>
      <c r="NFG288" s="22"/>
      <c r="NFH288" s="22"/>
      <c r="NFI288" s="22"/>
      <c r="NFJ288" s="22"/>
      <c r="NFK288" s="22"/>
      <c r="NFL288" s="22"/>
      <c r="NFM288" s="22"/>
      <c r="NFN288" s="22"/>
      <c r="NFO288" s="22"/>
      <c r="NFP288" s="22"/>
      <c r="NFQ288" s="22"/>
      <c r="NFR288" s="22"/>
      <c r="NFS288" s="22"/>
      <c r="NFT288" s="22"/>
      <c r="NFU288" s="22"/>
      <c r="NFV288" s="22"/>
      <c r="NFW288" s="22"/>
      <c r="NFX288" s="22"/>
      <c r="NFY288" s="22"/>
      <c r="NFZ288" s="22"/>
      <c r="NGA288" s="22"/>
      <c r="NGB288" s="22"/>
      <c r="NGC288" s="22"/>
      <c r="NGD288" s="22"/>
      <c r="NGE288" s="22"/>
      <c r="NGF288" s="22"/>
      <c r="NGG288" s="22"/>
      <c r="NGH288" s="22"/>
      <c r="NGI288" s="22"/>
      <c r="NGJ288" s="22"/>
      <c r="NGK288" s="22"/>
      <c r="NGL288" s="22"/>
      <c r="NGM288" s="22"/>
      <c r="NGN288" s="22"/>
      <c r="NGO288" s="22"/>
      <c r="NGP288" s="22"/>
      <c r="NGQ288" s="22"/>
      <c r="NGR288" s="22"/>
      <c r="NGS288" s="22"/>
      <c r="NGT288" s="22"/>
      <c r="NGU288" s="22"/>
      <c r="NGV288" s="22"/>
      <c r="NGW288" s="22"/>
      <c r="NGX288" s="22"/>
      <c r="NGY288" s="22"/>
      <c r="NGZ288" s="22"/>
      <c r="NHA288" s="22"/>
      <c r="NHB288" s="22"/>
      <c r="NHC288" s="22"/>
      <c r="NHD288" s="22"/>
      <c r="NHE288" s="22"/>
      <c r="NHF288" s="22"/>
      <c r="NHG288" s="22"/>
      <c r="NHH288" s="22"/>
      <c r="NHI288" s="22"/>
      <c r="NHJ288" s="22"/>
      <c r="NHK288" s="22"/>
      <c r="NHL288" s="22"/>
      <c r="NHM288" s="22"/>
      <c r="NHN288" s="22"/>
      <c r="NHO288" s="22"/>
      <c r="NHP288" s="22"/>
      <c r="NHQ288" s="22"/>
      <c r="NHR288" s="22"/>
      <c r="NHS288" s="22"/>
      <c r="NHT288" s="22"/>
      <c r="NHU288" s="22"/>
      <c r="NHV288" s="22"/>
      <c r="NHW288" s="22"/>
      <c r="NHX288" s="22"/>
      <c r="NHY288" s="22"/>
      <c r="NHZ288" s="22"/>
      <c r="NIA288" s="22"/>
      <c r="NIB288" s="22"/>
      <c r="NIC288" s="22"/>
      <c r="NID288" s="22"/>
      <c r="NIE288" s="22"/>
      <c r="NIF288" s="22"/>
      <c r="NIG288" s="22"/>
      <c r="NIH288" s="22"/>
      <c r="NII288" s="22"/>
      <c r="NIJ288" s="22"/>
      <c r="NIK288" s="22"/>
      <c r="NIL288" s="22"/>
      <c r="NIM288" s="22"/>
      <c r="NIN288" s="22"/>
      <c r="NIO288" s="22"/>
      <c r="NIP288" s="22"/>
      <c r="NIQ288" s="22"/>
      <c r="NIR288" s="22"/>
      <c r="NIS288" s="22"/>
      <c r="NIT288" s="22"/>
      <c r="NIU288" s="22"/>
      <c r="NIV288" s="22"/>
      <c r="NIW288" s="22"/>
      <c r="NIX288" s="22"/>
      <c r="NIY288" s="22"/>
      <c r="NIZ288" s="22"/>
      <c r="NJA288" s="22"/>
      <c r="NJB288" s="22"/>
      <c r="NJC288" s="22"/>
      <c r="NJD288" s="22"/>
      <c r="NJE288" s="22"/>
      <c r="NJF288" s="22"/>
      <c r="NJG288" s="22"/>
      <c r="NJH288" s="22"/>
      <c r="NJI288" s="22"/>
      <c r="NJJ288" s="22"/>
      <c r="NJK288" s="22"/>
      <c r="NJL288" s="22"/>
      <c r="NJM288" s="22"/>
      <c r="NJN288" s="22"/>
      <c r="NJO288" s="22"/>
      <c r="NJP288" s="22"/>
      <c r="NJQ288" s="22"/>
      <c r="NJR288" s="22"/>
      <c r="NJS288" s="22"/>
      <c r="NJT288" s="22"/>
      <c r="NJU288" s="22"/>
      <c r="NJV288" s="22"/>
      <c r="NJW288" s="22"/>
      <c r="NJX288" s="22"/>
      <c r="NJY288" s="22"/>
      <c r="NJZ288" s="22"/>
      <c r="NKA288" s="22"/>
      <c r="NKB288" s="22"/>
      <c r="NKC288" s="22"/>
      <c r="NKD288" s="22"/>
      <c r="NKE288" s="22"/>
      <c r="NKF288" s="22"/>
      <c r="NKG288" s="22"/>
      <c r="NKH288" s="22"/>
      <c r="NKI288" s="22"/>
      <c r="NKJ288" s="22"/>
      <c r="NKK288" s="22"/>
      <c r="NKL288" s="22"/>
      <c r="NKM288" s="22"/>
      <c r="NKN288" s="22"/>
      <c r="NKO288" s="22"/>
      <c r="NKP288" s="22"/>
      <c r="NKQ288" s="22"/>
      <c r="NKR288" s="22"/>
      <c r="NKS288" s="22"/>
      <c r="NKT288" s="22"/>
      <c r="NKU288" s="22"/>
      <c r="NKV288" s="22"/>
      <c r="NKW288" s="22"/>
      <c r="NKX288" s="22"/>
      <c r="NKY288" s="22"/>
      <c r="NKZ288" s="22"/>
      <c r="NLA288" s="22"/>
      <c r="NLB288" s="22"/>
      <c r="NLC288" s="22"/>
      <c r="NLD288" s="22"/>
      <c r="NLE288" s="22"/>
      <c r="NLF288" s="22"/>
      <c r="NLG288" s="22"/>
      <c r="NLH288" s="22"/>
      <c r="NLI288" s="22"/>
      <c r="NLJ288" s="22"/>
      <c r="NLK288" s="22"/>
      <c r="NLL288" s="22"/>
      <c r="NLM288" s="22"/>
      <c r="NLN288" s="22"/>
      <c r="NLO288" s="22"/>
      <c r="NLP288" s="22"/>
      <c r="NLQ288" s="22"/>
      <c r="NLR288" s="22"/>
      <c r="NLS288" s="22"/>
      <c r="NLT288" s="22"/>
      <c r="NLU288" s="22"/>
      <c r="NLV288" s="22"/>
      <c r="NLW288" s="22"/>
      <c r="NLX288" s="22"/>
      <c r="NLY288" s="22"/>
      <c r="NLZ288" s="22"/>
      <c r="NMA288" s="22"/>
      <c r="NMB288" s="22"/>
      <c r="NMC288" s="22"/>
      <c r="NMD288" s="22"/>
      <c r="NME288" s="22"/>
      <c r="NMF288" s="22"/>
      <c r="NMG288" s="22"/>
      <c r="NMH288" s="22"/>
      <c r="NMI288" s="22"/>
      <c r="NMJ288" s="22"/>
      <c r="NMK288" s="22"/>
      <c r="NML288" s="22"/>
      <c r="NMM288" s="22"/>
      <c r="NMN288" s="22"/>
      <c r="NMO288" s="22"/>
      <c r="NMP288" s="22"/>
      <c r="NMQ288" s="22"/>
      <c r="NMR288" s="22"/>
      <c r="NMS288" s="22"/>
      <c r="NMT288" s="22"/>
      <c r="NMU288" s="22"/>
      <c r="NMV288" s="22"/>
      <c r="NMW288" s="22"/>
      <c r="NMX288" s="22"/>
      <c r="NMY288" s="22"/>
      <c r="NMZ288" s="22"/>
      <c r="NNA288" s="22"/>
      <c r="NNB288" s="22"/>
      <c r="NNC288" s="22"/>
      <c r="NND288" s="22"/>
      <c r="NNE288" s="22"/>
      <c r="NNF288" s="22"/>
      <c r="NNG288" s="22"/>
      <c r="NNH288" s="22"/>
      <c r="NNI288" s="22"/>
      <c r="NNJ288" s="22"/>
      <c r="NNK288" s="22"/>
      <c r="NNL288" s="22"/>
      <c r="NNM288" s="22"/>
      <c r="NNN288" s="22"/>
      <c r="NNO288" s="22"/>
      <c r="NNP288" s="22"/>
      <c r="NNQ288" s="22"/>
      <c r="NNR288" s="22"/>
      <c r="NNS288" s="22"/>
      <c r="NNT288" s="22"/>
      <c r="NNU288" s="22"/>
      <c r="NNV288" s="22"/>
      <c r="NNW288" s="22"/>
      <c r="NNX288" s="22"/>
      <c r="NNY288" s="22"/>
      <c r="NNZ288" s="22"/>
      <c r="NOA288" s="22"/>
      <c r="NOB288" s="22"/>
      <c r="NOC288" s="22"/>
      <c r="NOD288" s="22"/>
      <c r="NOE288" s="22"/>
      <c r="NOF288" s="22"/>
      <c r="NOG288" s="22"/>
      <c r="NOH288" s="22"/>
      <c r="NOI288" s="22"/>
      <c r="NOJ288" s="22"/>
      <c r="NOK288" s="22"/>
      <c r="NOL288" s="22"/>
      <c r="NOM288" s="22"/>
      <c r="NON288" s="22"/>
      <c r="NOO288" s="22"/>
      <c r="NOP288" s="22"/>
      <c r="NOQ288" s="22"/>
      <c r="NOR288" s="22"/>
      <c r="NOS288" s="22"/>
      <c r="NOT288" s="22"/>
      <c r="NOU288" s="22"/>
      <c r="NOV288" s="22"/>
      <c r="NOW288" s="22"/>
      <c r="NOX288" s="22"/>
      <c r="NOY288" s="22"/>
      <c r="NOZ288" s="22"/>
      <c r="NPA288" s="22"/>
      <c r="NPB288" s="22"/>
      <c r="NPC288" s="22"/>
      <c r="NPD288" s="22"/>
      <c r="NPE288" s="22"/>
      <c r="NPF288" s="22"/>
      <c r="NPG288" s="22"/>
      <c r="NPH288" s="22"/>
      <c r="NPI288" s="22"/>
      <c r="NPJ288" s="22"/>
      <c r="NPK288" s="22"/>
      <c r="NPL288" s="22"/>
      <c r="NPM288" s="22"/>
      <c r="NPN288" s="22"/>
      <c r="NPO288" s="22"/>
      <c r="NPP288" s="22"/>
      <c r="NPQ288" s="22"/>
      <c r="NPR288" s="22"/>
      <c r="NPS288" s="22"/>
      <c r="NPT288" s="22"/>
      <c r="NPU288" s="22"/>
      <c r="NPV288" s="22"/>
      <c r="NPW288" s="22"/>
      <c r="NPX288" s="22"/>
      <c r="NPY288" s="22"/>
      <c r="NPZ288" s="22"/>
      <c r="NQA288" s="22"/>
      <c r="NQB288" s="22"/>
      <c r="NQC288" s="22"/>
      <c r="NQD288" s="22"/>
      <c r="NQE288" s="22"/>
      <c r="NQF288" s="22"/>
      <c r="NQG288" s="22"/>
      <c r="NQH288" s="22"/>
      <c r="NQI288" s="22"/>
      <c r="NQJ288" s="22"/>
      <c r="NQK288" s="22"/>
      <c r="NQL288" s="22"/>
      <c r="NQM288" s="22"/>
      <c r="NQN288" s="22"/>
      <c r="NQO288" s="22"/>
      <c r="NQP288" s="22"/>
      <c r="NQQ288" s="22"/>
      <c r="NQR288" s="22"/>
      <c r="NQS288" s="22"/>
      <c r="NQT288" s="22"/>
      <c r="NQU288" s="22"/>
      <c r="NQV288" s="22"/>
      <c r="NQW288" s="22"/>
      <c r="NQX288" s="22"/>
      <c r="NQY288" s="22"/>
      <c r="NQZ288" s="22"/>
      <c r="NRA288" s="22"/>
      <c r="NRB288" s="22"/>
      <c r="NRC288" s="22"/>
      <c r="NRD288" s="22"/>
      <c r="NRE288" s="22"/>
      <c r="NRF288" s="22"/>
      <c r="NRG288" s="22"/>
      <c r="NRH288" s="22"/>
      <c r="NRI288" s="22"/>
      <c r="NRJ288" s="22"/>
      <c r="NRK288" s="22"/>
      <c r="NRL288" s="22"/>
      <c r="NRM288" s="22"/>
      <c r="NRN288" s="22"/>
      <c r="NRO288" s="22"/>
      <c r="NRP288" s="22"/>
      <c r="NRQ288" s="22"/>
      <c r="NRR288" s="22"/>
      <c r="NRS288" s="22"/>
      <c r="NRT288" s="22"/>
      <c r="NRU288" s="22"/>
      <c r="NRV288" s="22"/>
      <c r="NRW288" s="22"/>
      <c r="NRX288" s="22"/>
      <c r="NRY288" s="22"/>
      <c r="NRZ288" s="22"/>
      <c r="NSA288" s="22"/>
      <c r="NSB288" s="22"/>
      <c r="NSC288" s="22"/>
      <c r="NSD288" s="22"/>
      <c r="NSE288" s="22"/>
      <c r="NSF288" s="22"/>
      <c r="NSG288" s="22"/>
      <c r="NSH288" s="22"/>
      <c r="NSI288" s="22"/>
      <c r="NSJ288" s="22"/>
      <c r="NSK288" s="22"/>
      <c r="NSL288" s="22"/>
      <c r="NSM288" s="22"/>
      <c r="NSN288" s="22"/>
      <c r="NSO288" s="22"/>
      <c r="NSP288" s="22"/>
      <c r="NSQ288" s="22"/>
      <c r="NSR288" s="22"/>
      <c r="NSS288" s="22"/>
      <c r="NST288" s="22"/>
      <c r="NSU288" s="22"/>
      <c r="NSV288" s="22"/>
      <c r="NSW288" s="22"/>
      <c r="NSX288" s="22"/>
      <c r="NSY288" s="22"/>
      <c r="NSZ288" s="22"/>
      <c r="NTA288" s="22"/>
      <c r="NTB288" s="22"/>
      <c r="NTC288" s="22"/>
      <c r="NTD288" s="22"/>
      <c r="NTE288" s="22"/>
      <c r="NTF288" s="22"/>
      <c r="NTG288" s="22"/>
      <c r="NTH288" s="22"/>
      <c r="NTI288" s="22"/>
      <c r="NTJ288" s="22"/>
      <c r="NTK288" s="22"/>
      <c r="NTL288" s="22"/>
      <c r="NTM288" s="22"/>
      <c r="NTN288" s="22"/>
      <c r="NTO288" s="22"/>
      <c r="NTP288" s="22"/>
      <c r="NTQ288" s="22"/>
      <c r="NTR288" s="22"/>
      <c r="NTS288" s="22"/>
      <c r="NTT288" s="22"/>
      <c r="NTU288" s="22"/>
      <c r="NTV288" s="22"/>
      <c r="NTW288" s="22"/>
      <c r="NTX288" s="22"/>
      <c r="NTY288" s="22"/>
      <c r="NTZ288" s="22"/>
      <c r="NUA288" s="22"/>
      <c r="NUB288" s="22"/>
      <c r="NUC288" s="22"/>
      <c r="NUD288" s="22"/>
      <c r="NUE288" s="22"/>
      <c r="NUF288" s="22"/>
      <c r="NUG288" s="22"/>
      <c r="NUH288" s="22"/>
      <c r="NUI288" s="22"/>
      <c r="NUJ288" s="22"/>
      <c r="NUK288" s="22"/>
      <c r="NUL288" s="22"/>
      <c r="NUM288" s="22"/>
      <c r="NUN288" s="22"/>
      <c r="NUO288" s="22"/>
      <c r="NUP288" s="22"/>
      <c r="NUQ288" s="22"/>
      <c r="NUR288" s="22"/>
      <c r="NUS288" s="22"/>
      <c r="NUT288" s="22"/>
      <c r="NUU288" s="22"/>
      <c r="NUV288" s="22"/>
      <c r="NUW288" s="22"/>
      <c r="NUX288" s="22"/>
      <c r="NUY288" s="22"/>
      <c r="NUZ288" s="22"/>
      <c r="NVA288" s="22"/>
      <c r="NVB288" s="22"/>
      <c r="NVC288" s="22"/>
      <c r="NVD288" s="22"/>
      <c r="NVE288" s="22"/>
      <c r="NVF288" s="22"/>
      <c r="NVG288" s="22"/>
      <c r="NVH288" s="22"/>
      <c r="NVI288" s="22"/>
      <c r="NVJ288" s="22"/>
      <c r="NVK288" s="22"/>
      <c r="NVL288" s="22"/>
      <c r="NVM288" s="22"/>
      <c r="NVN288" s="22"/>
      <c r="NVO288" s="22"/>
      <c r="NVP288" s="22"/>
      <c r="NVQ288" s="22"/>
      <c r="NVR288" s="22"/>
      <c r="NVS288" s="22"/>
      <c r="NVT288" s="22"/>
      <c r="NVU288" s="22"/>
      <c r="NVV288" s="22"/>
      <c r="NVW288" s="22"/>
      <c r="NVX288" s="22"/>
      <c r="NVY288" s="22"/>
      <c r="NVZ288" s="22"/>
      <c r="NWA288" s="22"/>
      <c r="NWB288" s="22"/>
      <c r="NWC288" s="22"/>
      <c r="NWD288" s="22"/>
      <c r="NWE288" s="22"/>
      <c r="NWF288" s="22"/>
      <c r="NWG288" s="22"/>
      <c r="NWH288" s="22"/>
      <c r="NWI288" s="22"/>
      <c r="NWJ288" s="22"/>
      <c r="NWK288" s="22"/>
      <c r="NWL288" s="22"/>
      <c r="NWM288" s="22"/>
      <c r="NWN288" s="22"/>
      <c r="NWO288" s="22"/>
      <c r="NWP288" s="22"/>
      <c r="NWQ288" s="22"/>
      <c r="NWR288" s="22"/>
      <c r="NWS288" s="22"/>
      <c r="NWT288" s="22"/>
      <c r="NWU288" s="22"/>
      <c r="NWV288" s="22"/>
      <c r="NWW288" s="22"/>
      <c r="NWX288" s="22"/>
      <c r="NWY288" s="22"/>
      <c r="NWZ288" s="22"/>
      <c r="NXA288" s="22"/>
      <c r="NXB288" s="22"/>
      <c r="NXC288" s="22"/>
      <c r="NXD288" s="22"/>
      <c r="NXE288" s="22"/>
      <c r="NXF288" s="22"/>
      <c r="NXG288" s="22"/>
      <c r="NXH288" s="22"/>
      <c r="NXI288" s="22"/>
      <c r="NXJ288" s="22"/>
      <c r="NXK288" s="22"/>
      <c r="NXL288" s="22"/>
      <c r="NXM288" s="22"/>
      <c r="NXN288" s="22"/>
      <c r="NXO288" s="22"/>
      <c r="NXP288" s="22"/>
      <c r="NXQ288" s="22"/>
      <c r="NXR288" s="22"/>
      <c r="NXS288" s="22"/>
      <c r="NXT288" s="22"/>
      <c r="NXU288" s="22"/>
      <c r="NXV288" s="22"/>
      <c r="NXW288" s="22"/>
      <c r="NXX288" s="22"/>
      <c r="NXY288" s="22"/>
      <c r="NXZ288" s="22"/>
      <c r="NYA288" s="22"/>
      <c r="NYB288" s="22"/>
      <c r="NYC288" s="22"/>
      <c r="NYD288" s="22"/>
      <c r="NYE288" s="22"/>
      <c r="NYF288" s="22"/>
      <c r="NYG288" s="22"/>
      <c r="NYH288" s="22"/>
      <c r="NYI288" s="22"/>
      <c r="NYJ288" s="22"/>
      <c r="NYK288" s="22"/>
      <c r="NYL288" s="22"/>
      <c r="NYM288" s="22"/>
      <c r="NYN288" s="22"/>
      <c r="NYO288" s="22"/>
      <c r="NYP288" s="22"/>
      <c r="NYQ288" s="22"/>
      <c r="NYR288" s="22"/>
      <c r="NYS288" s="22"/>
      <c r="NYT288" s="22"/>
      <c r="NYU288" s="22"/>
      <c r="NYV288" s="22"/>
      <c r="NYW288" s="22"/>
      <c r="NYX288" s="22"/>
      <c r="NYY288" s="22"/>
      <c r="NYZ288" s="22"/>
      <c r="NZA288" s="22"/>
      <c r="NZB288" s="22"/>
      <c r="NZC288" s="22"/>
      <c r="NZD288" s="22"/>
      <c r="NZE288" s="22"/>
      <c r="NZF288" s="22"/>
      <c r="NZG288" s="22"/>
      <c r="NZH288" s="22"/>
      <c r="NZI288" s="22"/>
      <c r="NZJ288" s="22"/>
      <c r="NZK288" s="22"/>
      <c r="NZL288" s="22"/>
      <c r="NZM288" s="22"/>
      <c r="NZN288" s="22"/>
      <c r="NZO288" s="22"/>
      <c r="NZP288" s="22"/>
      <c r="NZQ288" s="22"/>
      <c r="NZR288" s="22"/>
      <c r="NZS288" s="22"/>
      <c r="NZT288" s="22"/>
      <c r="NZU288" s="22"/>
      <c r="NZV288" s="22"/>
      <c r="NZW288" s="22"/>
      <c r="NZX288" s="22"/>
      <c r="NZY288" s="22"/>
      <c r="NZZ288" s="22"/>
      <c r="OAA288" s="22"/>
      <c r="OAB288" s="22"/>
      <c r="OAC288" s="22"/>
      <c r="OAD288" s="22"/>
      <c r="OAE288" s="22"/>
      <c r="OAF288" s="22"/>
      <c r="OAG288" s="22"/>
      <c r="OAH288" s="22"/>
      <c r="OAI288" s="22"/>
      <c r="OAJ288" s="22"/>
      <c r="OAK288" s="22"/>
      <c r="OAL288" s="22"/>
      <c r="OAM288" s="22"/>
      <c r="OAN288" s="22"/>
      <c r="OAO288" s="22"/>
      <c r="OAP288" s="22"/>
      <c r="OAQ288" s="22"/>
      <c r="OAR288" s="22"/>
      <c r="OAS288" s="22"/>
      <c r="OAT288" s="22"/>
      <c r="OAU288" s="22"/>
      <c r="OAV288" s="22"/>
      <c r="OAW288" s="22"/>
      <c r="OAX288" s="22"/>
      <c r="OAY288" s="22"/>
      <c r="OAZ288" s="22"/>
      <c r="OBA288" s="22"/>
      <c r="OBB288" s="22"/>
      <c r="OBC288" s="22"/>
      <c r="OBD288" s="22"/>
      <c r="OBE288" s="22"/>
      <c r="OBF288" s="22"/>
      <c r="OBG288" s="22"/>
      <c r="OBH288" s="22"/>
      <c r="OBI288" s="22"/>
      <c r="OBJ288" s="22"/>
      <c r="OBK288" s="22"/>
      <c r="OBL288" s="22"/>
      <c r="OBM288" s="22"/>
      <c r="OBN288" s="22"/>
      <c r="OBO288" s="22"/>
      <c r="OBP288" s="22"/>
      <c r="OBQ288" s="22"/>
      <c r="OBR288" s="22"/>
      <c r="OBS288" s="22"/>
      <c r="OBT288" s="22"/>
      <c r="OBU288" s="22"/>
      <c r="OBV288" s="22"/>
      <c r="OBW288" s="22"/>
      <c r="OBX288" s="22"/>
      <c r="OBY288" s="22"/>
      <c r="OBZ288" s="22"/>
      <c r="OCA288" s="22"/>
      <c r="OCB288" s="22"/>
      <c r="OCC288" s="22"/>
      <c r="OCD288" s="22"/>
      <c r="OCE288" s="22"/>
      <c r="OCF288" s="22"/>
      <c r="OCG288" s="22"/>
      <c r="OCH288" s="22"/>
      <c r="OCI288" s="22"/>
      <c r="OCJ288" s="22"/>
      <c r="OCK288" s="22"/>
      <c r="OCL288" s="22"/>
      <c r="OCM288" s="22"/>
      <c r="OCN288" s="22"/>
      <c r="OCO288" s="22"/>
      <c r="OCP288" s="22"/>
      <c r="OCQ288" s="22"/>
      <c r="OCR288" s="22"/>
      <c r="OCS288" s="22"/>
      <c r="OCT288" s="22"/>
      <c r="OCU288" s="22"/>
      <c r="OCV288" s="22"/>
      <c r="OCW288" s="22"/>
      <c r="OCX288" s="22"/>
      <c r="OCY288" s="22"/>
      <c r="OCZ288" s="22"/>
      <c r="ODA288" s="22"/>
      <c r="ODB288" s="22"/>
      <c r="ODC288" s="22"/>
      <c r="ODD288" s="22"/>
      <c r="ODE288" s="22"/>
      <c r="ODF288" s="22"/>
      <c r="ODG288" s="22"/>
      <c r="ODH288" s="22"/>
      <c r="ODI288" s="22"/>
      <c r="ODJ288" s="22"/>
      <c r="ODK288" s="22"/>
      <c r="ODL288" s="22"/>
      <c r="ODM288" s="22"/>
      <c r="ODN288" s="22"/>
      <c r="ODO288" s="22"/>
      <c r="ODP288" s="22"/>
      <c r="ODQ288" s="22"/>
      <c r="ODR288" s="22"/>
      <c r="ODS288" s="22"/>
      <c r="ODT288" s="22"/>
      <c r="ODU288" s="22"/>
      <c r="ODV288" s="22"/>
      <c r="ODW288" s="22"/>
      <c r="ODX288" s="22"/>
      <c r="ODY288" s="22"/>
      <c r="ODZ288" s="22"/>
      <c r="OEA288" s="22"/>
      <c r="OEB288" s="22"/>
      <c r="OEC288" s="22"/>
      <c r="OED288" s="22"/>
      <c r="OEE288" s="22"/>
      <c r="OEF288" s="22"/>
      <c r="OEG288" s="22"/>
      <c r="OEH288" s="22"/>
      <c r="OEI288" s="22"/>
      <c r="OEJ288" s="22"/>
      <c r="OEK288" s="22"/>
      <c r="OEL288" s="22"/>
      <c r="OEM288" s="22"/>
      <c r="OEN288" s="22"/>
      <c r="OEO288" s="22"/>
      <c r="OEP288" s="22"/>
      <c r="OEQ288" s="22"/>
      <c r="OER288" s="22"/>
      <c r="OES288" s="22"/>
      <c r="OET288" s="22"/>
      <c r="OEU288" s="22"/>
      <c r="OEV288" s="22"/>
      <c r="OEW288" s="22"/>
      <c r="OEX288" s="22"/>
      <c r="OEY288" s="22"/>
      <c r="OEZ288" s="22"/>
      <c r="OFA288" s="22"/>
      <c r="OFB288" s="22"/>
      <c r="OFC288" s="22"/>
      <c r="OFD288" s="22"/>
      <c r="OFE288" s="22"/>
      <c r="OFF288" s="22"/>
      <c r="OFG288" s="22"/>
      <c r="OFH288" s="22"/>
      <c r="OFI288" s="22"/>
      <c r="OFJ288" s="22"/>
      <c r="OFK288" s="22"/>
      <c r="OFL288" s="22"/>
      <c r="OFM288" s="22"/>
      <c r="OFN288" s="22"/>
      <c r="OFO288" s="22"/>
      <c r="OFP288" s="22"/>
      <c r="OFQ288" s="22"/>
      <c r="OFR288" s="22"/>
      <c r="OFS288" s="22"/>
      <c r="OFT288" s="22"/>
      <c r="OFU288" s="22"/>
      <c r="OFV288" s="22"/>
      <c r="OFW288" s="22"/>
      <c r="OFX288" s="22"/>
      <c r="OFY288" s="22"/>
      <c r="OFZ288" s="22"/>
      <c r="OGA288" s="22"/>
      <c r="OGB288" s="22"/>
      <c r="OGC288" s="22"/>
      <c r="OGD288" s="22"/>
      <c r="OGE288" s="22"/>
      <c r="OGF288" s="22"/>
      <c r="OGG288" s="22"/>
      <c r="OGH288" s="22"/>
      <c r="OGI288" s="22"/>
      <c r="OGJ288" s="22"/>
      <c r="OGK288" s="22"/>
      <c r="OGL288" s="22"/>
      <c r="OGM288" s="22"/>
      <c r="OGN288" s="22"/>
      <c r="OGO288" s="22"/>
      <c r="OGP288" s="22"/>
      <c r="OGQ288" s="22"/>
      <c r="OGR288" s="22"/>
      <c r="OGS288" s="22"/>
      <c r="OGT288" s="22"/>
      <c r="OGU288" s="22"/>
      <c r="OGV288" s="22"/>
      <c r="OGW288" s="22"/>
      <c r="OGX288" s="22"/>
      <c r="OGY288" s="22"/>
      <c r="OGZ288" s="22"/>
      <c r="OHA288" s="22"/>
      <c r="OHB288" s="22"/>
      <c r="OHC288" s="22"/>
      <c r="OHD288" s="22"/>
      <c r="OHE288" s="22"/>
      <c r="OHF288" s="22"/>
      <c r="OHG288" s="22"/>
      <c r="OHH288" s="22"/>
      <c r="OHI288" s="22"/>
      <c r="OHJ288" s="22"/>
      <c r="OHK288" s="22"/>
      <c r="OHL288" s="22"/>
      <c r="OHM288" s="22"/>
      <c r="OHN288" s="22"/>
      <c r="OHO288" s="22"/>
      <c r="OHP288" s="22"/>
      <c r="OHQ288" s="22"/>
      <c r="OHR288" s="22"/>
      <c r="OHS288" s="22"/>
      <c r="OHT288" s="22"/>
      <c r="OHU288" s="22"/>
      <c r="OHV288" s="22"/>
      <c r="OHW288" s="22"/>
      <c r="OHX288" s="22"/>
      <c r="OHY288" s="22"/>
      <c r="OHZ288" s="22"/>
      <c r="OIA288" s="22"/>
      <c r="OIB288" s="22"/>
      <c r="OIC288" s="22"/>
      <c r="OID288" s="22"/>
      <c r="OIE288" s="22"/>
      <c r="OIF288" s="22"/>
      <c r="OIG288" s="22"/>
      <c r="OIH288" s="22"/>
      <c r="OII288" s="22"/>
      <c r="OIJ288" s="22"/>
      <c r="OIK288" s="22"/>
      <c r="OIL288" s="22"/>
      <c r="OIM288" s="22"/>
      <c r="OIN288" s="22"/>
      <c r="OIO288" s="22"/>
      <c r="OIP288" s="22"/>
      <c r="OIQ288" s="22"/>
      <c r="OIR288" s="22"/>
      <c r="OIS288" s="22"/>
      <c r="OIT288" s="22"/>
      <c r="OIU288" s="22"/>
      <c r="OIV288" s="22"/>
      <c r="OIW288" s="22"/>
      <c r="OIX288" s="22"/>
      <c r="OIY288" s="22"/>
      <c r="OIZ288" s="22"/>
      <c r="OJA288" s="22"/>
      <c r="OJB288" s="22"/>
      <c r="OJC288" s="22"/>
      <c r="OJD288" s="22"/>
      <c r="OJE288" s="22"/>
      <c r="OJF288" s="22"/>
      <c r="OJG288" s="22"/>
      <c r="OJH288" s="22"/>
      <c r="OJI288" s="22"/>
      <c r="OJJ288" s="22"/>
      <c r="OJK288" s="22"/>
      <c r="OJL288" s="22"/>
      <c r="OJM288" s="22"/>
      <c r="OJN288" s="22"/>
      <c r="OJO288" s="22"/>
      <c r="OJP288" s="22"/>
      <c r="OJQ288" s="22"/>
      <c r="OJR288" s="22"/>
      <c r="OJS288" s="22"/>
      <c r="OJT288" s="22"/>
      <c r="OJU288" s="22"/>
      <c r="OJV288" s="22"/>
      <c r="OJW288" s="22"/>
      <c r="OJX288" s="22"/>
      <c r="OJY288" s="22"/>
      <c r="OJZ288" s="22"/>
      <c r="OKA288" s="22"/>
      <c r="OKB288" s="22"/>
      <c r="OKC288" s="22"/>
      <c r="OKD288" s="22"/>
      <c r="OKE288" s="22"/>
      <c r="OKF288" s="22"/>
      <c r="OKG288" s="22"/>
      <c r="OKH288" s="22"/>
      <c r="OKI288" s="22"/>
      <c r="OKJ288" s="22"/>
      <c r="OKK288" s="22"/>
      <c r="OKL288" s="22"/>
      <c r="OKM288" s="22"/>
      <c r="OKN288" s="22"/>
      <c r="OKO288" s="22"/>
      <c r="OKP288" s="22"/>
      <c r="OKQ288" s="22"/>
      <c r="OKR288" s="22"/>
      <c r="OKS288" s="22"/>
      <c r="OKT288" s="22"/>
      <c r="OKU288" s="22"/>
      <c r="OKV288" s="22"/>
      <c r="OKW288" s="22"/>
      <c r="OKX288" s="22"/>
      <c r="OKY288" s="22"/>
      <c r="OKZ288" s="22"/>
      <c r="OLA288" s="22"/>
      <c r="OLB288" s="22"/>
      <c r="OLC288" s="22"/>
      <c r="OLD288" s="22"/>
      <c r="OLE288" s="22"/>
      <c r="OLF288" s="22"/>
      <c r="OLG288" s="22"/>
      <c r="OLH288" s="22"/>
      <c r="OLI288" s="22"/>
      <c r="OLJ288" s="22"/>
      <c r="OLK288" s="22"/>
      <c r="OLL288" s="22"/>
      <c r="OLM288" s="22"/>
      <c r="OLN288" s="22"/>
      <c r="OLO288" s="22"/>
      <c r="OLP288" s="22"/>
      <c r="OLQ288" s="22"/>
      <c r="OLR288" s="22"/>
      <c r="OLS288" s="22"/>
      <c r="OLT288" s="22"/>
      <c r="OLU288" s="22"/>
      <c r="OLV288" s="22"/>
      <c r="OLW288" s="22"/>
      <c r="OLX288" s="22"/>
      <c r="OLY288" s="22"/>
      <c r="OLZ288" s="22"/>
      <c r="OMA288" s="22"/>
      <c r="OMB288" s="22"/>
      <c r="OMC288" s="22"/>
      <c r="OMD288" s="22"/>
      <c r="OME288" s="22"/>
      <c r="OMF288" s="22"/>
      <c r="OMG288" s="22"/>
      <c r="OMH288" s="22"/>
      <c r="OMI288" s="22"/>
      <c r="OMJ288" s="22"/>
      <c r="OMK288" s="22"/>
      <c r="OML288" s="22"/>
      <c r="OMM288" s="22"/>
      <c r="OMN288" s="22"/>
      <c r="OMO288" s="22"/>
      <c r="OMP288" s="22"/>
      <c r="OMQ288" s="22"/>
      <c r="OMR288" s="22"/>
      <c r="OMS288" s="22"/>
      <c r="OMT288" s="22"/>
      <c r="OMU288" s="22"/>
      <c r="OMV288" s="22"/>
      <c r="OMW288" s="22"/>
      <c r="OMX288" s="22"/>
      <c r="OMY288" s="22"/>
      <c r="OMZ288" s="22"/>
      <c r="ONA288" s="22"/>
      <c r="ONB288" s="22"/>
      <c r="ONC288" s="22"/>
      <c r="OND288" s="22"/>
      <c r="ONE288" s="22"/>
      <c r="ONF288" s="22"/>
      <c r="ONG288" s="22"/>
      <c r="ONH288" s="22"/>
      <c r="ONI288" s="22"/>
      <c r="ONJ288" s="22"/>
      <c r="ONK288" s="22"/>
      <c r="ONL288" s="22"/>
      <c r="ONM288" s="22"/>
      <c r="ONN288" s="22"/>
      <c r="ONO288" s="22"/>
      <c r="ONP288" s="22"/>
      <c r="ONQ288" s="22"/>
      <c r="ONR288" s="22"/>
      <c r="ONS288" s="22"/>
      <c r="ONT288" s="22"/>
      <c r="ONU288" s="22"/>
      <c r="ONV288" s="22"/>
      <c r="ONW288" s="22"/>
      <c r="ONX288" s="22"/>
      <c r="ONY288" s="22"/>
      <c r="ONZ288" s="22"/>
      <c r="OOA288" s="22"/>
      <c r="OOB288" s="22"/>
      <c r="OOC288" s="22"/>
      <c r="OOD288" s="22"/>
      <c r="OOE288" s="22"/>
      <c r="OOF288" s="22"/>
      <c r="OOG288" s="22"/>
      <c r="OOH288" s="22"/>
      <c r="OOI288" s="22"/>
      <c r="OOJ288" s="22"/>
      <c r="OOK288" s="22"/>
      <c r="OOL288" s="22"/>
      <c r="OOM288" s="22"/>
      <c r="OON288" s="22"/>
      <c r="OOO288" s="22"/>
      <c r="OOP288" s="22"/>
      <c r="OOQ288" s="22"/>
      <c r="OOR288" s="22"/>
      <c r="OOS288" s="22"/>
      <c r="OOT288" s="22"/>
      <c r="OOU288" s="22"/>
      <c r="OOV288" s="22"/>
      <c r="OOW288" s="22"/>
      <c r="OOX288" s="22"/>
      <c r="OOY288" s="22"/>
      <c r="OOZ288" s="22"/>
      <c r="OPA288" s="22"/>
      <c r="OPB288" s="22"/>
      <c r="OPC288" s="22"/>
      <c r="OPD288" s="22"/>
      <c r="OPE288" s="22"/>
      <c r="OPF288" s="22"/>
      <c r="OPG288" s="22"/>
      <c r="OPH288" s="22"/>
      <c r="OPI288" s="22"/>
      <c r="OPJ288" s="22"/>
      <c r="OPK288" s="22"/>
      <c r="OPL288" s="22"/>
      <c r="OPM288" s="22"/>
      <c r="OPN288" s="22"/>
      <c r="OPO288" s="22"/>
      <c r="OPP288" s="22"/>
      <c r="OPQ288" s="22"/>
      <c r="OPR288" s="22"/>
      <c r="OPS288" s="22"/>
      <c r="OPT288" s="22"/>
      <c r="OPU288" s="22"/>
      <c r="OPV288" s="22"/>
      <c r="OPW288" s="22"/>
      <c r="OPX288" s="22"/>
      <c r="OPY288" s="22"/>
      <c r="OPZ288" s="22"/>
      <c r="OQA288" s="22"/>
      <c r="OQB288" s="22"/>
      <c r="OQC288" s="22"/>
      <c r="OQD288" s="22"/>
      <c r="OQE288" s="22"/>
      <c r="OQF288" s="22"/>
      <c r="OQG288" s="22"/>
      <c r="OQH288" s="22"/>
      <c r="OQI288" s="22"/>
      <c r="OQJ288" s="22"/>
      <c r="OQK288" s="22"/>
      <c r="OQL288" s="22"/>
      <c r="OQM288" s="22"/>
      <c r="OQN288" s="22"/>
      <c r="OQO288" s="22"/>
      <c r="OQP288" s="22"/>
      <c r="OQQ288" s="22"/>
      <c r="OQR288" s="22"/>
      <c r="OQS288" s="22"/>
      <c r="OQT288" s="22"/>
      <c r="OQU288" s="22"/>
      <c r="OQV288" s="22"/>
      <c r="OQW288" s="22"/>
      <c r="OQX288" s="22"/>
      <c r="OQY288" s="22"/>
      <c r="OQZ288" s="22"/>
      <c r="ORA288" s="22"/>
      <c r="ORB288" s="22"/>
      <c r="ORC288" s="22"/>
      <c r="ORD288" s="22"/>
      <c r="ORE288" s="22"/>
      <c r="ORF288" s="22"/>
      <c r="ORG288" s="22"/>
      <c r="ORH288" s="22"/>
      <c r="ORI288" s="22"/>
      <c r="ORJ288" s="22"/>
      <c r="ORK288" s="22"/>
      <c r="ORL288" s="22"/>
      <c r="ORM288" s="22"/>
      <c r="ORN288" s="22"/>
      <c r="ORO288" s="22"/>
      <c r="ORP288" s="22"/>
      <c r="ORQ288" s="22"/>
      <c r="ORR288" s="22"/>
      <c r="ORS288" s="22"/>
      <c r="ORT288" s="22"/>
      <c r="ORU288" s="22"/>
      <c r="ORV288" s="22"/>
      <c r="ORW288" s="22"/>
      <c r="ORX288" s="22"/>
      <c r="ORY288" s="22"/>
      <c r="ORZ288" s="22"/>
      <c r="OSA288" s="22"/>
      <c r="OSB288" s="22"/>
      <c r="OSC288" s="22"/>
      <c r="OSD288" s="22"/>
      <c r="OSE288" s="22"/>
      <c r="OSF288" s="22"/>
      <c r="OSG288" s="22"/>
      <c r="OSH288" s="22"/>
      <c r="OSI288" s="22"/>
      <c r="OSJ288" s="22"/>
      <c r="OSK288" s="22"/>
      <c r="OSL288" s="22"/>
      <c r="OSM288" s="22"/>
      <c r="OSN288" s="22"/>
      <c r="OSO288" s="22"/>
      <c r="OSP288" s="22"/>
      <c r="OSQ288" s="22"/>
      <c r="OSR288" s="22"/>
      <c r="OSS288" s="22"/>
      <c r="OST288" s="22"/>
      <c r="OSU288" s="22"/>
      <c r="OSV288" s="22"/>
      <c r="OSW288" s="22"/>
      <c r="OSX288" s="22"/>
      <c r="OSY288" s="22"/>
      <c r="OSZ288" s="22"/>
      <c r="OTA288" s="22"/>
      <c r="OTB288" s="22"/>
      <c r="OTC288" s="22"/>
      <c r="OTD288" s="22"/>
      <c r="OTE288" s="22"/>
      <c r="OTF288" s="22"/>
      <c r="OTG288" s="22"/>
      <c r="OTH288" s="22"/>
      <c r="OTI288" s="22"/>
      <c r="OTJ288" s="22"/>
      <c r="OTK288" s="22"/>
      <c r="OTL288" s="22"/>
      <c r="OTM288" s="22"/>
      <c r="OTN288" s="22"/>
      <c r="OTO288" s="22"/>
      <c r="OTP288" s="22"/>
      <c r="OTQ288" s="22"/>
      <c r="OTR288" s="22"/>
      <c r="OTS288" s="22"/>
      <c r="OTT288" s="22"/>
      <c r="OTU288" s="22"/>
      <c r="OTV288" s="22"/>
      <c r="OTW288" s="22"/>
      <c r="OTX288" s="22"/>
      <c r="OTY288" s="22"/>
      <c r="OTZ288" s="22"/>
      <c r="OUA288" s="22"/>
      <c r="OUB288" s="22"/>
      <c r="OUC288" s="22"/>
      <c r="OUD288" s="22"/>
      <c r="OUE288" s="22"/>
      <c r="OUF288" s="22"/>
      <c r="OUG288" s="22"/>
      <c r="OUH288" s="22"/>
      <c r="OUI288" s="22"/>
      <c r="OUJ288" s="22"/>
      <c r="OUK288" s="22"/>
      <c r="OUL288" s="22"/>
      <c r="OUM288" s="22"/>
      <c r="OUN288" s="22"/>
      <c r="OUO288" s="22"/>
      <c r="OUP288" s="22"/>
      <c r="OUQ288" s="22"/>
      <c r="OUR288" s="22"/>
      <c r="OUS288" s="22"/>
      <c r="OUT288" s="22"/>
      <c r="OUU288" s="22"/>
      <c r="OUV288" s="22"/>
      <c r="OUW288" s="22"/>
      <c r="OUX288" s="22"/>
      <c r="OUY288" s="22"/>
      <c r="OUZ288" s="22"/>
      <c r="OVA288" s="22"/>
      <c r="OVB288" s="22"/>
      <c r="OVC288" s="22"/>
      <c r="OVD288" s="22"/>
      <c r="OVE288" s="22"/>
      <c r="OVF288" s="22"/>
      <c r="OVG288" s="22"/>
      <c r="OVH288" s="22"/>
      <c r="OVI288" s="22"/>
      <c r="OVJ288" s="22"/>
      <c r="OVK288" s="22"/>
      <c r="OVL288" s="22"/>
      <c r="OVM288" s="22"/>
      <c r="OVN288" s="22"/>
      <c r="OVO288" s="22"/>
      <c r="OVP288" s="22"/>
      <c r="OVQ288" s="22"/>
      <c r="OVR288" s="22"/>
      <c r="OVS288" s="22"/>
      <c r="OVT288" s="22"/>
      <c r="OVU288" s="22"/>
      <c r="OVV288" s="22"/>
      <c r="OVW288" s="22"/>
      <c r="OVX288" s="22"/>
      <c r="OVY288" s="22"/>
      <c r="OVZ288" s="22"/>
      <c r="OWA288" s="22"/>
      <c r="OWB288" s="22"/>
      <c r="OWC288" s="22"/>
      <c r="OWD288" s="22"/>
      <c r="OWE288" s="22"/>
      <c r="OWF288" s="22"/>
      <c r="OWG288" s="22"/>
      <c r="OWH288" s="22"/>
      <c r="OWI288" s="22"/>
      <c r="OWJ288" s="22"/>
      <c r="OWK288" s="22"/>
      <c r="OWL288" s="22"/>
      <c r="OWM288" s="22"/>
      <c r="OWN288" s="22"/>
      <c r="OWO288" s="22"/>
      <c r="OWP288" s="22"/>
      <c r="OWQ288" s="22"/>
      <c r="OWR288" s="22"/>
      <c r="OWS288" s="22"/>
      <c r="OWT288" s="22"/>
      <c r="OWU288" s="22"/>
      <c r="OWV288" s="22"/>
      <c r="OWW288" s="22"/>
      <c r="OWX288" s="22"/>
      <c r="OWY288" s="22"/>
      <c r="OWZ288" s="22"/>
      <c r="OXA288" s="22"/>
      <c r="OXB288" s="22"/>
      <c r="OXC288" s="22"/>
      <c r="OXD288" s="22"/>
      <c r="OXE288" s="22"/>
      <c r="OXF288" s="22"/>
      <c r="OXG288" s="22"/>
      <c r="OXH288" s="22"/>
      <c r="OXI288" s="22"/>
      <c r="OXJ288" s="22"/>
      <c r="OXK288" s="22"/>
      <c r="OXL288" s="22"/>
      <c r="OXM288" s="22"/>
      <c r="OXN288" s="22"/>
      <c r="OXO288" s="22"/>
      <c r="OXP288" s="22"/>
      <c r="OXQ288" s="22"/>
      <c r="OXR288" s="22"/>
      <c r="OXS288" s="22"/>
      <c r="OXT288" s="22"/>
      <c r="OXU288" s="22"/>
      <c r="OXV288" s="22"/>
      <c r="OXW288" s="22"/>
      <c r="OXX288" s="22"/>
      <c r="OXY288" s="22"/>
      <c r="OXZ288" s="22"/>
      <c r="OYA288" s="22"/>
      <c r="OYB288" s="22"/>
      <c r="OYC288" s="22"/>
      <c r="OYD288" s="22"/>
      <c r="OYE288" s="22"/>
      <c r="OYF288" s="22"/>
      <c r="OYG288" s="22"/>
      <c r="OYH288" s="22"/>
      <c r="OYI288" s="22"/>
      <c r="OYJ288" s="22"/>
      <c r="OYK288" s="22"/>
      <c r="OYL288" s="22"/>
      <c r="OYM288" s="22"/>
      <c r="OYN288" s="22"/>
      <c r="OYO288" s="22"/>
      <c r="OYP288" s="22"/>
      <c r="OYQ288" s="22"/>
      <c r="OYR288" s="22"/>
      <c r="OYS288" s="22"/>
      <c r="OYT288" s="22"/>
      <c r="OYU288" s="22"/>
      <c r="OYV288" s="22"/>
      <c r="OYW288" s="22"/>
      <c r="OYX288" s="22"/>
      <c r="OYY288" s="22"/>
      <c r="OYZ288" s="22"/>
      <c r="OZA288" s="22"/>
      <c r="OZB288" s="22"/>
      <c r="OZC288" s="22"/>
      <c r="OZD288" s="22"/>
      <c r="OZE288" s="22"/>
      <c r="OZF288" s="22"/>
      <c r="OZG288" s="22"/>
      <c r="OZH288" s="22"/>
      <c r="OZI288" s="22"/>
      <c r="OZJ288" s="22"/>
      <c r="OZK288" s="22"/>
      <c r="OZL288" s="22"/>
      <c r="OZM288" s="22"/>
      <c r="OZN288" s="22"/>
      <c r="OZO288" s="22"/>
      <c r="OZP288" s="22"/>
      <c r="OZQ288" s="22"/>
      <c r="OZR288" s="22"/>
      <c r="OZS288" s="22"/>
      <c r="OZT288" s="22"/>
      <c r="OZU288" s="22"/>
      <c r="OZV288" s="22"/>
      <c r="OZW288" s="22"/>
      <c r="OZX288" s="22"/>
      <c r="OZY288" s="22"/>
      <c r="OZZ288" s="22"/>
      <c r="PAA288" s="22"/>
      <c r="PAB288" s="22"/>
      <c r="PAC288" s="22"/>
      <c r="PAD288" s="22"/>
      <c r="PAE288" s="22"/>
      <c r="PAF288" s="22"/>
      <c r="PAG288" s="22"/>
      <c r="PAH288" s="22"/>
      <c r="PAI288" s="22"/>
      <c r="PAJ288" s="22"/>
      <c r="PAK288" s="22"/>
      <c r="PAL288" s="22"/>
      <c r="PAM288" s="22"/>
      <c r="PAN288" s="22"/>
      <c r="PAO288" s="22"/>
      <c r="PAP288" s="22"/>
      <c r="PAQ288" s="22"/>
      <c r="PAR288" s="22"/>
      <c r="PAS288" s="22"/>
      <c r="PAT288" s="22"/>
      <c r="PAU288" s="22"/>
      <c r="PAV288" s="22"/>
      <c r="PAW288" s="22"/>
      <c r="PAX288" s="22"/>
      <c r="PAY288" s="22"/>
      <c r="PAZ288" s="22"/>
      <c r="PBA288" s="22"/>
      <c r="PBB288" s="22"/>
      <c r="PBC288" s="22"/>
      <c r="PBD288" s="22"/>
      <c r="PBE288" s="22"/>
      <c r="PBF288" s="22"/>
      <c r="PBG288" s="22"/>
      <c r="PBH288" s="22"/>
      <c r="PBI288" s="22"/>
      <c r="PBJ288" s="22"/>
      <c r="PBK288" s="22"/>
      <c r="PBL288" s="22"/>
      <c r="PBM288" s="22"/>
      <c r="PBN288" s="22"/>
      <c r="PBO288" s="22"/>
      <c r="PBP288" s="22"/>
      <c r="PBQ288" s="22"/>
      <c r="PBR288" s="22"/>
      <c r="PBS288" s="22"/>
      <c r="PBT288" s="22"/>
      <c r="PBU288" s="22"/>
      <c r="PBV288" s="22"/>
      <c r="PBW288" s="22"/>
      <c r="PBX288" s="22"/>
      <c r="PBY288" s="22"/>
      <c r="PBZ288" s="22"/>
      <c r="PCA288" s="22"/>
      <c r="PCB288" s="22"/>
      <c r="PCC288" s="22"/>
      <c r="PCD288" s="22"/>
      <c r="PCE288" s="22"/>
      <c r="PCF288" s="22"/>
      <c r="PCG288" s="22"/>
      <c r="PCH288" s="22"/>
      <c r="PCI288" s="22"/>
      <c r="PCJ288" s="22"/>
      <c r="PCK288" s="22"/>
      <c r="PCL288" s="22"/>
      <c r="PCM288" s="22"/>
      <c r="PCN288" s="22"/>
      <c r="PCO288" s="22"/>
      <c r="PCP288" s="22"/>
      <c r="PCQ288" s="22"/>
      <c r="PCR288" s="22"/>
      <c r="PCS288" s="22"/>
      <c r="PCT288" s="22"/>
      <c r="PCU288" s="22"/>
      <c r="PCV288" s="22"/>
      <c r="PCW288" s="22"/>
      <c r="PCX288" s="22"/>
      <c r="PCY288" s="22"/>
      <c r="PCZ288" s="22"/>
      <c r="PDA288" s="22"/>
      <c r="PDB288" s="22"/>
      <c r="PDC288" s="22"/>
      <c r="PDD288" s="22"/>
      <c r="PDE288" s="22"/>
      <c r="PDF288" s="22"/>
      <c r="PDG288" s="22"/>
      <c r="PDH288" s="22"/>
      <c r="PDI288" s="22"/>
      <c r="PDJ288" s="22"/>
      <c r="PDK288" s="22"/>
      <c r="PDL288" s="22"/>
      <c r="PDM288" s="22"/>
      <c r="PDN288" s="22"/>
      <c r="PDO288" s="22"/>
      <c r="PDP288" s="22"/>
      <c r="PDQ288" s="22"/>
      <c r="PDR288" s="22"/>
      <c r="PDS288" s="22"/>
      <c r="PDT288" s="22"/>
      <c r="PDU288" s="22"/>
      <c r="PDV288" s="22"/>
      <c r="PDW288" s="22"/>
      <c r="PDX288" s="22"/>
      <c r="PDY288" s="22"/>
      <c r="PDZ288" s="22"/>
      <c r="PEA288" s="22"/>
      <c r="PEB288" s="22"/>
      <c r="PEC288" s="22"/>
      <c r="PED288" s="22"/>
      <c r="PEE288" s="22"/>
      <c r="PEF288" s="22"/>
      <c r="PEG288" s="22"/>
      <c r="PEH288" s="22"/>
      <c r="PEI288" s="22"/>
      <c r="PEJ288" s="22"/>
      <c r="PEK288" s="22"/>
      <c r="PEL288" s="22"/>
      <c r="PEM288" s="22"/>
      <c r="PEN288" s="22"/>
      <c r="PEO288" s="22"/>
      <c r="PEP288" s="22"/>
      <c r="PEQ288" s="22"/>
      <c r="PER288" s="22"/>
      <c r="PES288" s="22"/>
      <c r="PET288" s="22"/>
      <c r="PEU288" s="22"/>
      <c r="PEV288" s="22"/>
      <c r="PEW288" s="22"/>
      <c r="PEX288" s="22"/>
      <c r="PEY288" s="22"/>
      <c r="PEZ288" s="22"/>
      <c r="PFA288" s="22"/>
      <c r="PFB288" s="22"/>
      <c r="PFC288" s="22"/>
      <c r="PFD288" s="22"/>
      <c r="PFE288" s="22"/>
      <c r="PFF288" s="22"/>
      <c r="PFG288" s="22"/>
      <c r="PFH288" s="22"/>
      <c r="PFI288" s="22"/>
      <c r="PFJ288" s="22"/>
      <c r="PFK288" s="22"/>
      <c r="PFL288" s="22"/>
      <c r="PFM288" s="22"/>
      <c r="PFN288" s="22"/>
      <c r="PFO288" s="22"/>
      <c r="PFP288" s="22"/>
      <c r="PFQ288" s="22"/>
      <c r="PFR288" s="22"/>
      <c r="PFS288" s="22"/>
      <c r="PFT288" s="22"/>
      <c r="PFU288" s="22"/>
      <c r="PFV288" s="22"/>
      <c r="PFW288" s="22"/>
      <c r="PFX288" s="22"/>
      <c r="PFY288" s="22"/>
      <c r="PFZ288" s="22"/>
      <c r="PGA288" s="22"/>
      <c r="PGB288" s="22"/>
      <c r="PGC288" s="22"/>
      <c r="PGD288" s="22"/>
      <c r="PGE288" s="22"/>
      <c r="PGF288" s="22"/>
      <c r="PGG288" s="22"/>
      <c r="PGH288" s="22"/>
      <c r="PGI288" s="22"/>
      <c r="PGJ288" s="22"/>
      <c r="PGK288" s="22"/>
      <c r="PGL288" s="22"/>
      <c r="PGM288" s="22"/>
      <c r="PGN288" s="22"/>
      <c r="PGO288" s="22"/>
      <c r="PGP288" s="22"/>
      <c r="PGQ288" s="22"/>
      <c r="PGR288" s="22"/>
      <c r="PGS288" s="22"/>
      <c r="PGT288" s="22"/>
      <c r="PGU288" s="22"/>
      <c r="PGV288" s="22"/>
      <c r="PGW288" s="22"/>
      <c r="PGX288" s="22"/>
      <c r="PGY288" s="22"/>
      <c r="PGZ288" s="22"/>
      <c r="PHA288" s="22"/>
      <c r="PHB288" s="22"/>
      <c r="PHC288" s="22"/>
      <c r="PHD288" s="22"/>
      <c r="PHE288" s="22"/>
      <c r="PHF288" s="22"/>
      <c r="PHG288" s="22"/>
      <c r="PHH288" s="22"/>
      <c r="PHI288" s="22"/>
      <c r="PHJ288" s="22"/>
      <c r="PHK288" s="22"/>
      <c r="PHL288" s="22"/>
      <c r="PHM288" s="22"/>
      <c r="PHN288" s="22"/>
      <c r="PHO288" s="22"/>
      <c r="PHP288" s="22"/>
      <c r="PHQ288" s="22"/>
      <c r="PHR288" s="22"/>
      <c r="PHS288" s="22"/>
      <c r="PHT288" s="22"/>
      <c r="PHU288" s="22"/>
      <c r="PHV288" s="22"/>
      <c r="PHW288" s="22"/>
      <c r="PHX288" s="22"/>
      <c r="PHY288" s="22"/>
      <c r="PHZ288" s="22"/>
      <c r="PIA288" s="22"/>
      <c r="PIB288" s="22"/>
      <c r="PIC288" s="22"/>
      <c r="PID288" s="22"/>
      <c r="PIE288" s="22"/>
      <c r="PIF288" s="22"/>
      <c r="PIG288" s="22"/>
      <c r="PIH288" s="22"/>
      <c r="PII288" s="22"/>
      <c r="PIJ288" s="22"/>
      <c r="PIK288" s="22"/>
      <c r="PIL288" s="22"/>
      <c r="PIM288" s="22"/>
      <c r="PIN288" s="22"/>
      <c r="PIO288" s="22"/>
      <c r="PIP288" s="22"/>
      <c r="PIQ288" s="22"/>
      <c r="PIR288" s="22"/>
      <c r="PIS288" s="22"/>
      <c r="PIT288" s="22"/>
      <c r="PIU288" s="22"/>
      <c r="PIV288" s="22"/>
      <c r="PIW288" s="22"/>
      <c r="PIX288" s="22"/>
      <c r="PIY288" s="22"/>
      <c r="PIZ288" s="22"/>
      <c r="PJA288" s="22"/>
      <c r="PJB288" s="22"/>
      <c r="PJC288" s="22"/>
      <c r="PJD288" s="22"/>
      <c r="PJE288" s="22"/>
      <c r="PJF288" s="22"/>
      <c r="PJG288" s="22"/>
      <c r="PJH288" s="22"/>
      <c r="PJI288" s="22"/>
      <c r="PJJ288" s="22"/>
      <c r="PJK288" s="22"/>
      <c r="PJL288" s="22"/>
      <c r="PJM288" s="22"/>
      <c r="PJN288" s="22"/>
      <c r="PJO288" s="22"/>
      <c r="PJP288" s="22"/>
      <c r="PJQ288" s="22"/>
      <c r="PJR288" s="22"/>
      <c r="PJS288" s="22"/>
      <c r="PJT288" s="22"/>
      <c r="PJU288" s="22"/>
      <c r="PJV288" s="22"/>
      <c r="PJW288" s="22"/>
      <c r="PJX288" s="22"/>
      <c r="PJY288" s="22"/>
      <c r="PJZ288" s="22"/>
      <c r="PKA288" s="22"/>
      <c r="PKB288" s="22"/>
      <c r="PKC288" s="22"/>
      <c r="PKD288" s="22"/>
      <c r="PKE288" s="22"/>
      <c r="PKF288" s="22"/>
      <c r="PKG288" s="22"/>
      <c r="PKH288" s="22"/>
      <c r="PKI288" s="22"/>
      <c r="PKJ288" s="22"/>
      <c r="PKK288" s="22"/>
      <c r="PKL288" s="22"/>
      <c r="PKM288" s="22"/>
      <c r="PKN288" s="22"/>
      <c r="PKO288" s="22"/>
      <c r="PKP288" s="22"/>
      <c r="PKQ288" s="22"/>
      <c r="PKR288" s="22"/>
      <c r="PKS288" s="22"/>
      <c r="PKT288" s="22"/>
      <c r="PKU288" s="22"/>
      <c r="PKV288" s="22"/>
      <c r="PKW288" s="22"/>
      <c r="PKX288" s="22"/>
      <c r="PKY288" s="22"/>
      <c r="PKZ288" s="22"/>
      <c r="PLA288" s="22"/>
      <c r="PLB288" s="22"/>
      <c r="PLC288" s="22"/>
      <c r="PLD288" s="22"/>
      <c r="PLE288" s="22"/>
      <c r="PLF288" s="22"/>
      <c r="PLG288" s="22"/>
      <c r="PLH288" s="22"/>
      <c r="PLI288" s="22"/>
      <c r="PLJ288" s="22"/>
      <c r="PLK288" s="22"/>
      <c r="PLL288" s="22"/>
      <c r="PLM288" s="22"/>
      <c r="PLN288" s="22"/>
      <c r="PLO288" s="22"/>
      <c r="PLP288" s="22"/>
      <c r="PLQ288" s="22"/>
      <c r="PLR288" s="22"/>
      <c r="PLS288" s="22"/>
      <c r="PLT288" s="22"/>
      <c r="PLU288" s="22"/>
      <c r="PLV288" s="22"/>
      <c r="PLW288" s="22"/>
      <c r="PLX288" s="22"/>
      <c r="PLY288" s="22"/>
      <c r="PLZ288" s="22"/>
      <c r="PMA288" s="22"/>
      <c r="PMB288" s="22"/>
      <c r="PMC288" s="22"/>
      <c r="PMD288" s="22"/>
      <c r="PME288" s="22"/>
      <c r="PMF288" s="22"/>
      <c r="PMG288" s="22"/>
      <c r="PMH288" s="22"/>
      <c r="PMI288" s="22"/>
      <c r="PMJ288" s="22"/>
      <c r="PMK288" s="22"/>
      <c r="PML288" s="22"/>
      <c r="PMM288" s="22"/>
      <c r="PMN288" s="22"/>
      <c r="PMO288" s="22"/>
      <c r="PMP288" s="22"/>
      <c r="PMQ288" s="22"/>
      <c r="PMR288" s="22"/>
      <c r="PMS288" s="22"/>
      <c r="PMT288" s="22"/>
      <c r="PMU288" s="22"/>
      <c r="PMV288" s="22"/>
      <c r="PMW288" s="22"/>
      <c r="PMX288" s="22"/>
      <c r="PMY288" s="22"/>
      <c r="PMZ288" s="22"/>
      <c r="PNA288" s="22"/>
      <c r="PNB288" s="22"/>
      <c r="PNC288" s="22"/>
      <c r="PND288" s="22"/>
      <c r="PNE288" s="22"/>
      <c r="PNF288" s="22"/>
      <c r="PNG288" s="22"/>
      <c r="PNH288" s="22"/>
      <c r="PNI288" s="22"/>
      <c r="PNJ288" s="22"/>
      <c r="PNK288" s="22"/>
      <c r="PNL288" s="22"/>
      <c r="PNM288" s="22"/>
      <c r="PNN288" s="22"/>
      <c r="PNO288" s="22"/>
      <c r="PNP288" s="22"/>
      <c r="PNQ288" s="22"/>
      <c r="PNR288" s="22"/>
      <c r="PNS288" s="22"/>
      <c r="PNT288" s="22"/>
      <c r="PNU288" s="22"/>
      <c r="PNV288" s="22"/>
      <c r="PNW288" s="22"/>
      <c r="PNX288" s="22"/>
      <c r="PNY288" s="22"/>
      <c r="PNZ288" s="22"/>
      <c r="POA288" s="22"/>
      <c r="POB288" s="22"/>
      <c r="POC288" s="22"/>
      <c r="POD288" s="22"/>
      <c r="POE288" s="22"/>
      <c r="POF288" s="22"/>
      <c r="POG288" s="22"/>
      <c r="POH288" s="22"/>
      <c r="POI288" s="22"/>
      <c r="POJ288" s="22"/>
      <c r="POK288" s="22"/>
      <c r="POL288" s="22"/>
      <c r="POM288" s="22"/>
      <c r="PON288" s="22"/>
      <c r="POO288" s="22"/>
      <c r="POP288" s="22"/>
      <c r="POQ288" s="22"/>
      <c r="POR288" s="22"/>
      <c r="POS288" s="22"/>
      <c r="POT288" s="22"/>
      <c r="POU288" s="22"/>
      <c r="POV288" s="22"/>
      <c r="POW288" s="22"/>
      <c r="POX288" s="22"/>
      <c r="POY288" s="22"/>
      <c r="POZ288" s="22"/>
      <c r="PPA288" s="22"/>
      <c r="PPB288" s="22"/>
      <c r="PPC288" s="22"/>
      <c r="PPD288" s="22"/>
      <c r="PPE288" s="22"/>
      <c r="PPF288" s="22"/>
      <c r="PPG288" s="22"/>
      <c r="PPH288" s="22"/>
      <c r="PPI288" s="22"/>
      <c r="PPJ288" s="22"/>
      <c r="PPK288" s="22"/>
      <c r="PPL288" s="22"/>
      <c r="PPM288" s="22"/>
      <c r="PPN288" s="22"/>
      <c r="PPO288" s="22"/>
      <c r="PPP288" s="22"/>
      <c r="PPQ288" s="22"/>
      <c r="PPR288" s="22"/>
      <c r="PPS288" s="22"/>
      <c r="PPT288" s="22"/>
      <c r="PPU288" s="22"/>
      <c r="PPV288" s="22"/>
      <c r="PPW288" s="22"/>
      <c r="PPX288" s="22"/>
      <c r="PPY288" s="22"/>
      <c r="PPZ288" s="22"/>
      <c r="PQA288" s="22"/>
      <c r="PQB288" s="22"/>
      <c r="PQC288" s="22"/>
      <c r="PQD288" s="22"/>
      <c r="PQE288" s="22"/>
      <c r="PQF288" s="22"/>
      <c r="PQG288" s="22"/>
      <c r="PQH288" s="22"/>
      <c r="PQI288" s="22"/>
      <c r="PQJ288" s="22"/>
      <c r="PQK288" s="22"/>
      <c r="PQL288" s="22"/>
      <c r="PQM288" s="22"/>
      <c r="PQN288" s="22"/>
      <c r="PQO288" s="22"/>
      <c r="PQP288" s="22"/>
      <c r="PQQ288" s="22"/>
      <c r="PQR288" s="22"/>
      <c r="PQS288" s="22"/>
      <c r="PQT288" s="22"/>
      <c r="PQU288" s="22"/>
      <c r="PQV288" s="22"/>
      <c r="PQW288" s="22"/>
      <c r="PQX288" s="22"/>
      <c r="PQY288" s="22"/>
      <c r="PQZ288" s="22"/>
      <c r="PRA288" s="22"/>
      <c r="PRB288" s="22"/>
      <c r="PRC288" s="22"/>
      <c r="PRD288" s="22"/>
      <c r="PRE288" s="22"/>
      <c r="PRF288" s="22"/>
      <c r="PRG288" s="22"/>
      <c r="PRH288" s="22"/>
      <c r="PRI288" s="22"/>
      <c r="PRJ288" s="22"/>
      <c r="PRK288" s="22"/>
      <c r="PRL288" s="22"/>
      <c r="PRM288" s="22"/>
      <c r="PRN288" s="22"/>
      <c r="PRO288" s="22"/>
      <c r="PRP288" s="22"/>
      <c r="PRQ288" s="22"/>
      <c r="PRR288" s="22"/>
      <c r="PRS288" s="22"/>
      <c r="PRT288" s="22"/>
      <c r="PRU288" s="22"/>
      <c r="PRV288" s="22"/>
      <c r="PRW288" s="22"/>
      <c r="PRX288" s="22"/>
      <c r="PRY288" s="22"/>
      <c r="PRZ288" s="22"/>
      <c r="PSA288" s="22"/>
      <c r="PSB288" s="22"/>
      <c r="PSC288" s="22"/>
      <c r="PSD288" s="22"/>
      <c r="PSE288" s="22"/>
      <c r="PSF288" s="22"/>
      <c r="PSG288" s="22"/>
      <c r="PSH288" s="22"/>
      <c r="PSI288" s="22"/>
      <c r="PSJ288" s="22"/>
      <c r="PSK288" s="22"/>
      <c r="PSL288" s="22"/>
      <c r="PSM288" s="22"/>
      <c r="PSN288" s="22"/>
      <c r="PSO288" s="22"/>
      <c r="PSP288" s="22"/>
      <c r="PSQ288" s="22"/>
      <c r="PSR288" s="22"/>
      <c r="PSS288" s="22"/>
      <c r="PST288" s="22"/>
      <c r="PSU288" s="22"/>
      <c r="PSV288" s="22"/>
      <c r="PSW288" s="22"/>
      <c r="PSX288" s="22"/>
      <c r="PSY288" s="22"/>
      <c r="PSZ288" s="22"/>
      <c r="PTA288" s="22"/>
      <c r="PTB288" s="22"/>
      <c r="PTC288" s="22"/>
      <c r="PTD288" s="22"/>
      <c r="PTE288" s="22"/>
      <c r="PTF288" s="22"/>
      <c r="PTG288" s="22"/>
      <c r="PTH288" s="22"/>
      <c r="PTI288" s="22"/>
      <c r="PTJ288" s="22"/>
      <c r="PTK288" s="22"/>
      <c r="PTL288" s="22"/>
      <c r="PTM288" s="22"/>
      <c r="PTN288" s="22"/>
      <c r="PTO288" s="22"/>
      <c r="PTP288" s="22"/>
      <c r="PTQ288" s="22"/>
      <c r="PTR288" s="22"/>
      <c r="PTS288" s="22"/>
      <c r="PTT288" s="22"/>
      <c r="PTU288" s="22"/>
      <c r="PTV288" s="22"/>
      <c r="PTW288" s="22"/>
      <c r="PTX288" s="22"/>
      <c r="PTY288" s="22"/>
      <c r="PTZ288" s="22"/>
      <c r="PUA288" s="22"/>
      <c r="PUB288" s="22"/>
      <c r="PUC288" s="22"/>
      <c r="PUD288" s="22"/>
      <c r="PUE288" s="22"/>
      <c r="PUF288" s="22"/>
      <c r="PUG288" s="22"/>
      <c r="PUH288" s="22"/>
      <c r="PUI288" s="22"/>
      <c r="PUJ288" s="22"/>
      <c r="PUK288" s="22"/>
      <c r="PUL288" s="22"/>
      <c r="PUM288" s="22"/>
      <c r="PUN288" s="22"/>
      <c r="PUO288" s="22"/>
      <c r="PUP288" s="22"/>
      <c r="PUQ288" s="22"/>
      <c r="PUR288" s="22"/>
      <c r="PUS288" s="22"/>
      <c r="PUT288" s="22"/>
      <c r="PUU288" s="22"/>
      <c r="PUV288" s="22"/>
      <c r="PUW288" s="22"/>
      <c r="PUX288" s="22"/>
      <c r="PUY288" s="22"/>
      <c r="PUZ288" s="22"/>
      <c r="PVA288" s="22"/>
      <c r="PVB288" s="22"/>
      <c r="PVC288" s="22"/>
      <c r="PVD288" s="22"/>
      <c r="PVE288" s="22"/>
      <c r="PVF288" s="22"/>
      <c r="PVG288" s="22"/>
      <c r="PVH288" s="22"/>
      <c r="PVI288" s="22"/>
      <c r="PVJ288" s="22"/>
      <c r="PVK288" s="22"/>
      <c r="PVL288" s="22"/>
      <c r="PVM288" s="22"/>
      <c r="PVN288" s="22"/>
      <c r="PVO288" s="22"/>
      <c r="PVP288" s="22"/>
      <c r="PVQ288" s="22"/>
      <c r="PVR288" s="22"/>
      <c r="PVS288" s="22"/>
      <c r="PVT288" s="22"/>
      <c r="PVU288" s="22"/>
      <c r="PVV288" s="22"/>
      <c r="PVW288" s="22"/>
      <c r="PVX288" s="22"/>
      <c r="PVY288" s="22"/>
      <c r="PVZ288" s="22"/>
      <c r="PWA288" s="22"/>
      <c r="PWB288" s="22"/>
      <c r="PWC288" s="22"/>
      <c r="PWD288" s="22"/>
      <c r="PWE288" s="22"/>
      <c r="PWF288" s="22"/>
      <c r="PWG288" s="22"/>
      <c r="PWH288" s="22"/>
      <c r="PWI288" s="22"/>
      <c r="PWJ288" s="22"/>
      <c r="PWK288" s="22"/>
      <c r="PWL288" s="22"/>
      <c r="PWM288" s="22"/>
      <c r="PWN288" s="22"/>
      <c r="PWO288" s="22"/>
      <c r="PWP288" s="22"/>
      <c r="PWQ288" s="22"/>
      <c r="PWR288" s="22"/>
      <c r="PWS288" s="22"/>
      <c r="PWT288" s="22"/>
      <c r="PWU288" s="22"/>
      <c r="PWV288" s="22"/>
      <c r="PWW288" s="22"/>
      <c r="PWX288" s="22"/>
      <c r="PWY288" s="22"/>
      <c r="PWZ288" s="22"/>
      <c r="PXA288" s="22"/>
      <c r="PXB288" s="22"/>
      <c r="PXC288" s="22"/>
      <c r="PXD288" s="22"/>
      <c r="PXE288" s="22"/>
      <c r="PXF288" s="22"/>
      <c r="PXG288" s="22"/>
      <c r="PXH288" s="22"/>
      <c r="PXI288" s="22"/>
      <c r="PXJ288" s="22"/>
      <c r="PXK288" s="22"/>
      <c r="PXL288" s="22"/>
      <c r="PXM288" s="22"/>
      <c r="PXN288" s="22"/>
      <c r="PXO288" s="22"/>
      <c r="PXP288" s="22"/>
      <c r="PXQ288" s="22"/>
      <c r="PXR288" s="22"/>
      <c r="PXS288" s="22"/>
      <c r="PXT288" s="22"/>
      <c r="PXU288" s="22"/>
      <c r="PXV288" s="22"/>
      <c r="PXW288" s="22"/>
      <c r="PXX288" s="22"/>
      <c r="PXY288" s="22"/>
      <c r="PXZ288" s="22"/>
      <c r="PYA288" s="22"/>
      <c r="PYB288" s="22"/>
      <c r="PYC288" s="22"/>
      <c r="PYD288" s="22"/>
      <c r="PYE288" s="22"/>
      <c r="PYF288" s="22"/>
      <c r="PYG288" s="22"/>
      <c r="PYH288" s="22"/>
      <c r="PYI288" s="22"/>
      <c r="PYJ288" s="22"/>
      <c r="PYK288" s="22"/>
      <c r="PYL288" s="22"/>
      <c r="PYM288" s="22"/>
      <c r="PYN288" s="22"/>
      <c r="PYO288" s="22"/>
      <c r="PYP288" s="22"/>
      <c r="PYQ288" s="22"/>
      <c r="PYR288" s="22"/>
      <c r="PYS288" s="22"/>
      <c r="PYT288" s="22"/>
      <c r="PYU288" s="22"/>
      <c r="PYV288" s="22"/>
      <c r="PYW288" s="22"/>
      <c r="PYX288" s="22"/>
      <c r="PYY288" s="22"/>
      <c r="PYZ288" s="22"/>
      <c r="PZA288" s="22"/>
      <c r="PZB288" s="22"/>
      <c r="PZC288" s="22"/>
      <c r="PZD288" s="22"/>
      <c r="PZE288" s="22"/>
      <c r="PZF288" s="22"/>
      <c r="PZG288" s="22"/>
      <c r="PZH288" s="22"/>
      <c r="PZI288" s="22"/>
      <c r="PZJ288" s="22"/>
      <c r="PZK288" s="22"/>
      <c r="PZL288" s="22"/>
      <c r="PZM288" s="22"/>
      <c r="PZN288" s="22"/>
      <c r="PZO288" s="22"/>
      <c r="PZP288" s="22"/>
      <c r="PZQ288" s="22"/>
      <c r="PZR288" s="22"/>
      <c r="PZS288" s="22"/>
      <c r="PZT288" s="22"/>
      <c r="PZU288" s="22"/>
      <c r="PZV288" s="22"/>
      <c r="PZW288" s="22"/>
      <c r="PZX288" s="22"/>
      <c r="PZY288" s="22"/>
      <c r="PZZ288" s="22"/>
      <c r="QAA288" s="22"/>
      <c r="QAB288" s="22"/>
      <c r="QAC288" s="22"/>
      <c r="QAD288" s="22"/>
      <c r="QAE288" s="22"/>
      <c r="QAF288" s="22"/>
      <c r="QAG288" s="22"/>
      <c r="QAH288" s="22"/>
      <c r="QAI288" s="22"/>
      <c r="QAJ288" s="22"/>
      <c r="QAK288" s="22"/>
      <c r="QAL288" s="22"/>
      <c r="QAM288" s="22"/>
      <c r="QAN288" s="22"/>
      <c r="QAO288" s="22"/>
      <c r="QAP288" s="22"/>
      <c r="QAQ288" s="22"/>
      <c r="QAR288" s="22"/>
      <c r="QAS288" s="22"/>
      <c r="QAT288" s="22"/>
      <c r="QAU288" s="22"/>
      <c r="QAV288" s="22"/>
      <c r="QAW288" s="22"/>
      <c r="QAX288" s="22"/>
      <c r="QAY288" s="22"/>
      <c r="QAZ288" s="22"/>
      <c r="QBA288" s="22"/>
      <c r="QBB288" s="22"/>
      <c r="QBC288" s="22"/>
      <c r="QBD288" s="22"/>
      <c r="QBE288" s="22"/>
      <c r="QBF288" s="22"/>
      <c r="QBG288" s="22"/>
      <c r="QBH288" s="22"/>
      <c r="QBI288" s="22"/>
      <c r="QBJ288" s="22"/>
      <c r="QBK288" s="22"/>
      <c r="QBL288" s="22"/>
      <c r="QBM288" s="22"/>
      <c r="QBN288" s="22"/>
      <c r="QBO288" s="22"/>
      <c r="QBP288" s="22"/>
      <c r="QBQ288" s="22"/>
      <c r="QBR288" s="22"/>
      <c r="QBS288" s="22"/>
      <c r="QBT288" s="22"/>
      <c r="QBU288" s="22"/>
      <c r="QBV288" s="22"/>
      <c r="QBW288" s="22"/>
      <c r="QBX288" s="22"/>
      <c r="QBY288" s="22"/>
      <c r="QBZ288" s="22"/>
      <c r="QCA288" s="22"/>
      <c r="QCB288" s="22"/>
      <c r="QCC288" s="22"/>
      <c r="QCD288" s="22"/>
      <c r="QCE288" s="22"/>
      <c r="QCF288" s="22"/>
      <c r="QCG288" s="22"/>
      <c r="QCH288" s="22"/>
      <c r="QCI288" s="22"/>
      <c r="QCJ288" s="22"/>
      <c r="QCK288" s="22"/>
      <c r="QCL288" s="22"/>
      <c r="QCM288" s="22"/>
      <c r="QCN288" s="22"/>
      <c r="QCO288" s="22"/>
      <c r="QCP288" s="22"/>
      <c r="QCQ288" s="22"/>
      <c r="QCR288" s="22"/>
      <c r="QCS288" s="22"/>
      <c r="QCT288" s="22"/>
      <c r="QCU288" s="22"/>
      <c r="QCV288" s="22"/>
      <c r="QCW288" s="22"/>
      <c r="QCX288" s="22"/>
      <c r="QCY288" s="22"/>
      <c r="QCZ288" s="22"/>
      <c r="QDA288" s="22"/>
      <c r="QDB288" s="22"/>
      <c r="QDC288" s="22"/>
      <c r="QDD288" s="22"/>
      <c r="QDE288" s="22"/>
      <c r="QDF288" s="22"/>
      <c r="QDG288" s="22"/>
      <c r="QDH288" s="22"/>
      <c r="QDI288" s="22"/>
      <c r="QDJ288" s="22"/>
      <c r="QDK288" s="22"/>
      <c r="QDL288" s="22"/>
      <c r="QDM288" s="22"/>
      <c r="QDN288" s="22"/>
      <c r="QDO288" s="22"/>
      <c r="QDP288" s="22"/>
      <c r="QDQ288" s="22"/>
      <c r="QDR288" s="22"/>
      <c r="QDS288" s="22"/>
      <c r="QDT288" s="22"/>
      <c r="QDU288" s="22"/>
      <c r="QDV288" s="22"/>
      <c r="QDW288" s="22"/>
      <c r="QDX288" s="22"/>
      <c r="QDY288" s="22"/>
      <c r="QDZ288" s="22"/>
      <c r="QEA288" s="22"/>
      <c r="QEB288" s="22"/>
      <c r="QEC288" s="22"/>
      <c r="QED288" s="22"/>
      <c r="QEE288" s="22"/>
      <c r="QEF288" s="22"/>
      <c r="QEG288" s="22"/>
      <c r="QEH288" s="22"/>
      <c r="QEI288" s="22"/>
      <c r="QEJ288" s="22"/>
      <c r="QEK288" s="22"/>
      <c r="QEL288" s="22"/>
      <c r="QEM288" s="22"/>
      <c r="QEN288" s="22"/>
      <c r="QEO288" s="22"/>
      <c r="QEP288" s="22"/>
      <c r="QEQ288" s="22"/>
      <c r="QER288" s="22"/>
      <c r="QES288" s="22"/>
      <c r="QET288" s="22"/>
      <c r="QEU288" s="22"/>
      <c r="QEV288" s="22"/>
      <c r="QEW288" s="22"/>
      <c r="QEX288" s="22"/>
      <c r="QEY288" s="22"/>
      <c r="QEZ288" s="22"/>
      <c r="QFA288" s="22"/>
      <c r="QFB288" s="22"/>
      <c r="QFC288" s="22"/>
      <c r="QFD288" s="22"/>
      <c r="QFE288" s="22"/>
      <c r="QFF288" s="22"/>
      <c r="QFG288" s="22"/>
      <c r="QFH288" s="22"/>
      <c r="QFI288" s="22"/>
      <c r="QFJ288" s="22"/>
      <c r="QFK288" s="22"/>
      <c r="QFL288" s="22"/>
      <c r="QFM288" s="22"/>
      <c r="QFN288" s="22"/>
      <c r="QFO288" s="22"/>
      <c r="QFP288" s="22"/>
      <c r="QFQ288" s="22"/>
      <c r="QFR288" s="22"/>
      <c r="QFS288" s="22"/>
      <c r="QFT288" s="22"/>
      <c r="QFU288" s="22"/>
      <c r="QFV288" s="22"/>
      <c r="QFW288" s="22"/>
      <c r="QFX288" s="22"/>
      <c r="QFY288" s="22"/>
      <c r="QFZ288" s="22"/>
      <c r="QGA288" s="22"/>
      <c r="QGB288" s="22"/>
      <c r="QGC288" s="22"/>
      <c r="QGD288" s="22"/>
      <c r="QGE288" s="22"/>
      <c r="QGF288" s="22"/>
      <c r="QGG288" s="22"/>
      <c r="QGH288" s="22"/>
      <c r="QGI288" s="22"/>
      <c r="QGJ288" s="22"/>
      <c r="QGK288" s="22"/>
      <c r="QGL288" s="22"/>
      <c r="QGM288" s="22"/>
      <c r="QGN288" s="22"/>
      <c r="QGO288" s="22"/>
      <c r="QGP288" s="22"/>
      <c r="QGQ288" s="22"/>
      <c r="QGR288" s="22"/>
      <c r="QGS288" s="22"/>
      <c r="QGT288" s="22"/>
      <c r="QGU288" s="22"/>
      <c r="QGV288" s="22"/>
      <c r="QGW288" s="22"/>
      <c r="QGX288" s="22"/>
      <c r="QGY288" s="22"/>
      <c r="QGZ288" s="22"/>
      <c r="QHA288" s="22"/>
      <c r="QHB288" s="22"/>
      <c r="QHC288" s="22"/>
      <c r="QHD288" s="22"/>
      <c r="QHE288" s="22"/>
      <c r="QHF288" s="22"/>
      <c r="QHG288" s="22"/>
      <c r="QHH288" s="22"/>
      <c r="QHI288" s="22"/>
      <c r="QHJ288" s="22"/>
      <c r="QHK288" s="22"/>
      <c r="QHL288" s="22"/>
      <c r="QHM288" s="22"/>
      <c r="QHN288" s="22"/>
      <c r="QHO288" s="22"/>
      <c r="QHP288" s="22"/>
      <c r="QHQ288" s="22"/>
      <c r="QHR288" s="22"/>
      <c r="QHS288" s="22"/>
      <c r="QHT288" s="22"/>
      <c r="QHU288" s="22"/>
      <c r="QHV288" s="22"/>
      <c r="QHW288" s="22"/>
      <c r="QHX288" s="22"/>
      <c r="QHY288" s="22"/>
      <c r="QHZ288" s="22"/>
      <c r="QIA288" s="22"/>
      <c r="QIB288" s="22"/>
      <c r="QIC288" s="22"/>
      <c r="QID288" s="22"/>
      <c r="QIE288" s="22"/>
      <c r="QIF288" s="22"/>
      <c r="QIG288" s="22"/>
      <c r="QIH288" s="22"/>
      <c r="QII288" s="22"/>
      <c r="QIJ288" s="22"/>
      <c r="QIK288" s="22"/>
      <c r="QIL288" s="22"/>
      <c r="QIM288" s="22"/>
      <c r="QIN288" s="22"/>
      <c r="QIO288" s="22"/>
      <c r="QIP288" s="22"/>
      <c r="QIQ288" s="22"/>
      <c r="QIR288" s="22"/>
      <c r="QIS288" s="22"/>
      <c r="QIT288" s="22"/>
      <c r="QIU288" s="22"/>
      <c r="QIV288" s="22"/>
      <c r="QIW288" s="22"/>
      <c r="QIX288" s="22"/>
      <c r="QIY288" s="22"/>
      <c r="QIZ288" s="22"/>
      <c r="QJA288" s="22"/>
      <c r="QJB288" s="22"/>
      <c r="QJC288" s="22"/>
      <c r="QJD288" s="22"/>
      <c r="QJE288" s="22"/>
      <c r="QJF288" s="22"/>
      <c r="QJG288" s="22"/>
      <c r="QJH288" s="22"/>
      <c r="QJI288" s="22"/>
      <c r="QJJ288" s="22"/>
      <c r="QJK288" s="22"/>
      <c r="QJL288" s="22"/>
      <c r="QJM288" s="22"/>
      <c r="QJN288" s="22"/>
      <c r="QJO288" s="22"/>
      <c r="QJP288" s="22"/>
      <c r="QJQ288" s="22"/>
      <c r="QJR288" s="22"/>
      <c r="QJS288" s="22"/>
      <c r="QJT288" s="22"/>
      <c r="QJU288" s="22"/>
      <c r="QJV288" s="22"/>
      <c r="QJW288" s="22"/>
      <c r="QJX288" s="22"/>
      <c r="QJY288" s="22"/>
      <c r="QJZ288" s="22"/>
      <c r="QKA288" s="22"/>
      <c r="QKB288" s="22"/>
      <c r="QKC288" s="22"/>
      <c r="QKD288" s="22"/>
      <c r="QKE288" s="22"/>
      <c r="QKF288" s="22"/>
      <c r="QKG288" s="22"/>
      <c r="QKH288" s="22"/>
      <c r="QKI288" s="22"/>
      <c r="QKJ288" s="22"/>
      <c r="QKK288" s="22"/>
      <c r="QKL288" s="22"/>
      <c r="QKM288" s="22"/>
      <c r="QKN288" s="22"/>
      <c r="QKO288" s="22"/>
      <c r="QKP288" s="22"/>
      <c r="QKQ288" s="22"/>
      <c r="QKR288" s="22"/>
      <c r="QKS288" s="22"/>
      <c r="QKT288" s="22"/>
      <c r="QKU288" s="22"/>
      <c r="QKV288" s="22"/>
      <c r="QKW288" s="22"/>
      <c r="QKX288" s="22"/>
      <c r="QKY288" s="22"/>
      <c r="QKZ288" s="22"/>
      <c r="QLA288" s="22"/>
      <c r="QLB288" s="22"/>
      <c r="QLC288" s="22"/>
      <c r="QLD288" s="22"/>
      <c r="QLE288" s="22"/>
      <c r="QLF288" s="22"/>
      <c r="QLG288" s="22"/>
      <c r="QLH288" s="22"/>
      <c r="QLI288" s="22"/>
      <c r="QLJ288" s="22"/>
      <c r="QLK288" s="22"/>
      <c r="QLL288" s="22"/>
      <c r="QLM288" s="22"/>
      <c r="QLN288" s="22"/>
      <c r="QLO288" s="22"/>
      <c r="QLP288" s="22"/>
      <c r="QLQ288" s="22"/>
      <c r="QLR288" s="22"/>
      <c r="QLS288" s="22"/>
      <c r="QLT288" s="22"/>
      <c r="QLU288" s="22"/>
      <c r="QLV288" s="22"/>
      <c r="QLW288" s="22"/>
      <c r="QLX288" s="22"/>
      <c r="QLY288" s="22"/>
      <c r="QLZ288" s="22"/>
      <c r="QMA288" s="22"/>
      <c r="QMB288" s="22"/>
      <c r="QMC288" s="22"/>
      <c r="QMD288" s="22"/>
      <c r="QME288" s="22"/>
      <c r="QMF288" s="22"/>
      <c r="QMG288" s="22"/>
      <c r="QMH288" s="22"/>
      <c r="QMI288" s="22"/>
      <c r="QMJ288" s="22"/>
      <c r="QMK288" s="22"/>
      <c r="QML288" s="22"/>
      <c r="QMM288" s="22"/>
      <c r="QMN288" s="22"/>
      <c r="QMO288" s="22"/>
      <c r="QMP288" s="22"/>
      <c r="QMQ288" s="22"/>
      <c r="QMR288" s="22"/>
      <c r="QMS288" s="22"/>
      <c r="QMT288" s="22"/>
      <c r="QMU288" s="22"/>
      <c r="QMV288" s="22"/>
      <c r="QMW288" s="22"/>
      <c r="QMX288" s="22"/>
      <c r="QMY288" s="22"/>
      <c r="QMZ288" s="22"/>
      <c r="QNA288" s="22"/>
      <c r="QNB288" s="22"/>
      <c r="QNC288" s="22"/>
      <c r="QND288" s="22"/>
      <c r="QNE288" s="22"/>
      <c r="QNF288" s="22"/>
      <c r="QNG288" s="22"/>
      <c r="QNH288" s="22"/>
      <c r="QNI288" s="22"/>
      <c r="QNJ288" s="22"/>
      <c r="QNK288" s="22"/>
      <c r="QNL288" s="22"/>
      <c r="QNM288" s="22"/>
      <c r="QNN288" s="22"/>
      <c r="QNO288" s="22"/>
      <c r="QNP288" s="22"/>
      <c r="QNQ288" s="22"/>
      <c r="QNR288" s="22"/>
      <c r="QNS288" s="22"/>
      <c r="QNT288" s="22"/>
      <c r="QNU288" s="22"/>
      <c r="QNV288" s="22"/>
      <c r="QNW288" s="22"/>
      <c r="QNX288" s="22"/>
      <c r="QNY288" s="22"/>
      <c r="QNZ288" s="22"/>
      <c r="QOA288" s="22"/>
      <c r="QOB288" s="22"/>
      <c r="QOC288" s="22"/>
      <c r="QOD288" s="22"/>
      <c r="QOE288" s="22"/>
      <c r="QOF288" s="22"/>
      <c r="QOG288" s="22"/>
      <c r="QOH288" s="22"/>
      <c r="QOI288" s="22"/>
      <c r="QOJ288" s="22"/>
      <c r="QOK288" s="22"/>
      <c r="QOL288" s="22"/>
      <c r="QOM288" s="22"/>
      <c r="QON288" s="22"/>
      <c r="QOO288" s="22"/>
      <c r="QOP288" s="22"/>
      <c r="QOQ288" s="22"/>
      <c r="QOR288" s="22"/>
      <c r="QOS288" s="22"/>
      <c r="QOT288" s="22"/>
      <c r="QOU288" s="22"/>
      <c r="QOV288" s="22"/>
      <c r="QOW288" s="22"/>
      <c r="QOX288" s="22"/>
      <c r="QOY288" s="22"/>
      <c r="QOZ288" s="22"/>
      <c r="QPA288" s="22"/>
      <c r="QPB288" s="22"/>
      <c r="QPC288" s="22"/>
      <c r="QPD288" s="22"/>
      <c r="QPE288" s="22"/>
      <c r="QPF288" s="22"/>
      <c r="QPG288" s="22"/>
      <c r="QPH288" s="22"/>
      <c r="QPI288" s="22"/>
      <c r="QPJ288" s="22"/>
      <c r="QPK288" s="22"/>
      <c r="QPL288" s="22"/>
      <c r="QPM288" s="22"/>
      <c r="QPN288" s="22"/>
      <c r="QPO288" s="22"/>
      <c r="QPP288" s="22"/>
      <c r="QPQ288" s="22"/>
      <c r="QPR288" s="22"/>
      <c r="QPS288" s="22"/>
      <c r="QPT288" s="22"/>
      <c r="QPU288" s="22"/>
      <c r="QPV288" s="22"/>
      <c r="QPW288" s="22"/>
      <c r="QPX288" s="22"/>
      <c r="QPY288" s="22"/>
      <c r="QPZ288" s="22"/>
      <c r="QQA288" s="22"/>
      <c r="QQB288" s="22"/>
      <c r="QQC288" s="22"/>
      <c r="QQD288" s="22"/>
      <c r="QQE288" s="22"/>
      <c r="QQF288" s="22"/>
      <c r="QQG288" s="22"/>
      <c r="QQH288" s="22"/>
      <c r="QQI288" s="22"/>
      <c r="QQJ288" s="22"/>
      <c r="QQK288" s="22"/>
      <c r="QQL288" s="22"/>
      <c r="QQM288" s="22"/>
      <c r="QQN288" s="22"/>
      <c r="QQO288" s="22"/>
      <c r="QQP288" s="22"/>
      <c r="QQQ288" s="22"/>
      <c r="QQR288" s="22"/>
      <c r="QQS288" s="22"/>
      <c r="QQT288" s="22"/>
      <c r="QQU288" s="22"/>
      <c r="QQV288" s="22"/>
      <c r="QQW288" s="22"/>
      <c r="QQX288" s="22"/>
      <c r="QQY288" s="22"/>
      <c r="QQZ288" s="22"/>
      <c r="QRA288" s="22"/>
      <c r="QRB288" s="22"/>
      <c r="QRC288" s="22"/>
      <c r="QRD288" s="22"/>
      <c r="QRE288" s="22"/>
      <c r="QRF288" s="22"/>
      <c r="QRG288" s="22"/>
      <c r="QRH288" s="22"/>
      <c r="QRI288" s="22"/>
      <c r="QRJ288" s="22"/>
      <c r="QRK288" s="22"/>
      <c r="QRL288" s="22"/>
      <c r="QRM288" s="22"/>
      <c r="QRN288" s="22"/>
      <c r="QRO288" s="22"/>
      <c r="QRP288" s="22"/>
      <c r="QRQ288" s="22"/>
      <c r="QRR288" s="22"/>
      <c r="QRS288" s="22"/>
      <c r="QRT288" s="22"/>
      <c r="QRU288" s="22"/>
      <c r="QRV288" s="22"/>
      <c r="QRW288" s="22"/>
      <c r="QRX288" s="22"/>
      <c r="QRY288" s="22"/>
      <c r="QRZ288" s="22"/>
      <c r="QSA288" s="22"/>
      <c r="QSB288" s="22"/>
      <c r="QSC288" s="22"/>
      <c r="QSD288" s="22"/>
      <c r="QSE288" s="22"/>
      <c r="QSF288" s="22"/>
      <c r="QSG288" s="22"/>
      <c r="QSH288" s="22"/>
      <c r="QSI288" s="22"/>
      <c r="QSJ288" s="22"/>
      <c r="QSK288" s="22"/>
      <c r="QSL288" s="22"/>
      <c r="QSM288" s="22"/>
      <c r="QSN288" s="22"/>
      <c r="QSO288" s="22"/>
      <c r="QSP288" s="22"/>
      <c r="QSQ288" s="22"/>
      <c r="QSR288" s="22"/>
      <c r="QSS288" s="22"/>
      <c r="QST288" s="22"/>
      <c r="QSU288" s="22"/>
      <c r="QSV288" s="22"/>
      <c r="QSW288" s="22"/>
      <c r="QSX288" s="22"/>
      <c r="QSY288" s="22"/>
      <c r="QSZ288" s="22"/>
      <c r="QTA288" s="22"/>
      <c r="QTB288" s="22"/>
      <c r="QTC288" s="22"/>
      <c r="QTD288" s="22"/>
      <c r="QTE288" s="22"/>
      <c r="QTF288" s="22"/>
      <c r="QTG288" s="22"/>
      <c r="QTH288" s="22"/>
      <c r="QTI288" s="22"/>
      <c r="QTJ288" s="22"/>
      <c r="QTK288" s="22"/>
      <c r="QTL288" s="22"/>
      <c r="QTM288" s="22"/>
      <c r="QTN288" s="22"/>
      <c r="QTO288" s="22"/>
      <c r="QTP288" s="22"/>
      <c r="QTQ288" s="22"/>
      <c r="QTR288" s="22"/>
      <c r="QTS288" s="22"/>
      <c r="QTT288" s="22"/>
      <c r="QTU288" s="22"/>
      <c r="QTV288" s="22"/>
      <c r="QTW288" s="22"/>
      <c r="QTX288" s="22"/>
      <c r="QTY288" s="22"/>
      <c r="QTZ288" s="22"/>
      <c r="QUA288" s="22"/>
      <c r="QUB288" s="22"/>
      <c r="QUC288" s="22"/>
      <c r="QUD288" s="22"/>
      <c r="QUE288" s="22"/>
      <c r="QUF288" s="22"/>
      <c r="QUG288" s="22"/>
      <c r="QUH288" s="22"/>
      <c r="QUI288" s="22"/>
      <c r="QUJ288" s="22"/>
      <c r="QUK288" s="22"/>
      <c r="QUL288" s="22"/>
      <c r="QUM288" s="22"/>
      <c r="QUN288" s="22"/>
      <c r="QUO288" s="22"/>
      <c r="QUP288" s="22"/>
      <c r="QUQ288" s="22"/>
      <c r="QUR288" s="22"/>
      <c r="QUS288" s="22"/>
      <c r="QUT288" s="22"/>
      <c r="QUU288" s="22"/>
      <c r="QUV288" s="22"/>
      <c r="QUW288" s="22"/>
      <c r="QUX288" s="22"/>
      <c r="QUY288" s="22"/>
      <c r="QUZ288" s="22"/>
      <c r="QVA288" s="22"/>
      <c r="QVB288" s="22"/>
      <c r="QVC288" s="22"/>
      <c r="QVD288" s="22"/>
      <c r="QVE288" s="22"/>
      <c r="QVF288" s="22"/>
      <c r="QVG288" s="22"/>
      <c r="QVH288" s="22"/>
      <c r="QVI288" s="22"/>
      <c r="QVJ288" s="22"/>
      <c r="QVK288" s="22"/>
      <c r="QVL288" s="22"/>
      <c r="QVM288" s="22"/>
      <c r="QVN288" s="22"/>
      <c r="QVO288" s="22"/>
      <c r="QVP288" s="22"/>
      <c r="QVQ288" s="22"/>
      <c r="QVR288" s="22"/>
      <c r="QVS288" s="22"/>
      <c r="QVT288" s="22"/>
      <c r="QVU288" s="22"/>
      <c r="QVV288" s="22"/>
      <c r="QVW288" s="22"/>
      <c r="QVX288" s="22"/>
      <c r="QVY288" s="22"/>
      <c r="QVZ288" s="22"/>
      <c r="QWA288" s="22"/>
      <c r="QWB288" s="22"/>
      <c r="QWC288" s="22"/>
      <c r="QWD288" s="22"/>
      <c r="QWE288" s="22"/>
      <c r="QWF288" s="22"/>
      <c r="QWG288" s="22"/>
      <c r="QWH288" s="22"/>
      <c r="QWI288" s="22"/>
      <c r="QWJ288" s="22"/>
      <c r="QWK288" s="22"/>
      <c r="QWL288" s="22"/>
      <c r="QWM288" s="22"/>
      <c r="QWN288" s="22"/>
      <c r="QWO288" s="22"/>
      <c r="QWP288" s="22"/>
      <c r="QWQ288" s="22"/>
      <c r="QWR288" s="22"/>
      <c r="QWS288" s="22"/>
      <c r="QWT288" s="22"/>
      <c r="QWU288" s="22"/>
      <c r="QWV288" s="22"/>
      <c r="QWW288" s="22"/>
      <c r="QWX288" s="22"/>
      <c r="QWY288" s="22"/>
      <c r="QWZ288" s="22"/>
      <c r="QXA288" s="22"/>
      <c r="QXB288" s="22"/>
      <c r="QXC288" s="22"/>
      <c r="QXD288" s="22"/>
      <c r="QXE288" s="22"/>
      <c r="QXF288" s="22"/>
      <c r="QXG288" s="22"/>
      <c r="QXH288" s="22"/>
      <c r="QXI288" s="22"/>
      <c r="QXJ288" s="22"/>
      <c r="QXK288" s="22"/>
      <c r="QXL288" s="22"/>
      <c r="QXM288" s="22"/>
      <c r="QXN288" s="22"/>
      <c r="QXO288" s="22"/>
      <c r="QXP288" s="22"/>
      <c r="QXQ288" s="22"/>
      <c r="QXR288" s="22"/>
      <c r="QXS288" s="22"/>
      <c r="QXT288" s="22"/>
      <c r="QXU288" s="22"/>
      <c r="QXV288" s="22"/>
      <c r="QXW288" s="22"/>
      <c r="QXX288" s="22"/>
      <c r="QXY288" s="22"/>
      <c r="QXZ288" s="22"/>
      <c r="QYA288" s="22"/>
      <c r="QYB288" s="22"/>
      <c r="QYC288" s="22"/>
      <c r="QYD288" s="22"/>
      <c r="QYE288" s="22"/>
      <c r="QYF288" s="22"/>
      <c r="QYG288" s="22"/>
      <c r="QYH288" s="22"/>
      <c r="QYI288" s="22"/>
      <c r="QYJ288" s="22"/>
      <c r="QYK288" s="22"/>
      <c r="QYL288" s="22"/>
      <c r="QYM288" s="22"/>
      <c r="QYN288" s="22"/>
      <c r="QYO288" s="22"/>
      <c r="QYP288" s="22"/>
      <c r="QYQ288" s="22"/>
      <c r="QYR288" s="22"/>
      <c r="QYS288" s="22"/>
      <c r="QYT288" s="22"/>
      <c r="QYU288" s="22"/>
      <c r="QYV288" s="22"/>
      <c r="QYW288" s="22"/>
      <c r="QYX288" s="22"/>
      <c r="QYY288" s="22"/>
      <c r="QYZ288" s="22"/>
      <c r="QZA288" s="22"/>
      <c r="QZB288" s="22"/>
      <c r="QZC288" s="22"/>
      <c r="QZD288" s="22"/>
      <c r="QZE288" s="22"/>
      <c r="QZF288" s="22"/>
      <c r="QZG288" s="22"/>
      <c r="QZH288" s="22"/>
      <c r="QZI288" s="22"/>
      <c r="QZJ288" s="22"/>
      <c r="QZK288" s="22"/>
      <c r="QZL288" s="22"/>
      <c r="QZM288" s="22"/>
      <c r="QZN288" s="22"/>
      <c r="QZO288" s="22"/>
      <c r="QZP288" s="22"/>
      <c r="QZQ288" s="22"/>
      <c r="QZR288" s="22"/>
      <c r="QZS288" s="22"/>
      <c r="QZT288" s="22"/>
      <c r="QZU288" s="22"/>
      <c r="QZV288" s="22"/>
      <c r="QZW288" s="22"/>
      <c r="QZX288" s="22"/>
      <c r="QZY288" s="22"/>
      <c r="QZZ288" s="22"/>
      <c r="RAA288" s="22"/>
      <c r="RAB288" s="22"/>
      <c r="RAC288" s="22"/>
      <c r="RAD288" s="22"/>
      <c r="RAE288" s="22"/>
      <c r="RAF288" s="22"/>
      <c r="RAG288" s="22"/>
      <c r="RAH288" s="22"/>
      <c r="RAI288" s="22"/>
      <c r="RAJ288" s="22"/>
      <c r="RAK288" s="22"/>
      <c r="RAL288" s="22"/>
      <c r="RAM288" s="22"/>
      <c r="RAN288" s="22"/>
      <c r="RAO288" s="22"/>
      <c r="RAP288" s="22"/>
      <c r="RAQ288" s="22"/>
      <c r="RAR288" s="22"/>
      <c r="RAS288" s="22"/>
      <c r="RAT288" s="22"/>
      <c r="RAU288" s="22"/>
      <c r="RAV288" s="22"/>
      <c r="RAW288" s="22"/>
      <c r="RAX288" s="22"/>
      <c r="RAY288" s="22"/>
      <c r="RAZ288" s="22"/>
      <c r="RBA288" s="22"/>
      <c r="RBB288" s="22"/>
      <c r="RBC288" s="22"/>
      <c r="RBD288" s="22"/>
      <c r="RBE288" s="22"/>
      <c r="RBF288" s="22"/>
      <c r="RBG288" s="22"/>
      <c r="RBH288" s="22"/>
      <c r="RBI288" s="22"/>
      <c r="RBJ288" s="22"/>
      <c r="RBK288" s="22"/>
      <c r="RBL288" s="22"/>
      <c r="RBM288" s="22"/>
      <c r="RBN288" s="22"/>
      <c r="RBO288" s="22"/>
      <c r="RBP288" s="22"/>
      <c r="RBQ288" s="22"/>
      <c r="RBR288" s="22"/>
      <c r="RBS288" s="22"/>
      <c r="RBT288" s="22"/>
      <c r="RBU288" s="22"/>
      <c r="RBV288" s="22"/>
      <c r="RBW288" s="22"/>
      <c r="RBX288" s="22"/>
      <c r="RBY288" s="22"/>
      <c r="RBZ288" s="22"/>
      <c r="RCA288" s="22"/>
      <c r="RCB288" s="22"/>
      <c r="RCC288" s="22"/>
      <c r="RCD288" s="22"/>
      <c r="RCE288" s="22"/>
      <c r="RCF288" s="22"/>
      <c r="RCG288" s="22"/>
      <c r="RCH288" s="22"/>
      <c r="RCI288" s="22"/>
      <c r="RCJ288" s="22"/>
      <c r="RCK288" s="22"/>
      <c r="RCL288" s="22"/>
      <c r="RCM288" s="22"/>
      <c r="RCN288" s="22"/>
      <c r="RCO288" s="22"/>
      <c r="RCP288" s="22"/>
      <c r="RCQ288" s="22"/>
      <c r="RCR288" s="22"/>
      <c r="RCS288" s="22"/>
      <c r="RCT288" s="22"/>
      <c r="RCU288" s="22"/>
      <c r="RCV288" s="22"/>
      <c r="RCW288" s="22"/>
      <c r="RCX288" s="22"/>
      <c r="RCY288" s="22"/>
      <c r="RCZ288" s="22"/>
      <c r="RDA288" s="22"/>
      <c r="RDB288" s="22"/>
      <c r="RDC288" s="22"/>
      <c r="RDD288" s="22"/>
      <c r="RDE288" s="22"/>
      <c r="RDF288" s="22"/>
      <c r="RDG288" s="22"/>
      <c r="RDH288" s="22"/>
      <c r="RDI288" s="22"/>
      <c r="RDJ288" s="22"/>
      <c r="RDK288" s="22"/>
      <c r="RDL288" s="22"/>
      <c r="RDM288" s="22"/>
      <c r="RDN288" s="22"/>
      <c r="RDO288" s="22"/>
      <c r="RDP288" s="22"/>
      <c r="RDQ288" s="22"/>
      <c r="RDR288" s="22"/>
      <c r="RDS288" s="22"/>
      <c r="RDT288" s="22"/>
      <c r="RDU288" s="22"/>
      <c r="RDV288" s="22"/>
      <c r="RDW288" s="22"/>
      <c r="RDX288" s="22"/>
      <c r="RDY288" s="22"/>
      <c r="RDZ288" s="22"/>
      <c r="REA288" s="22"/>
      <c r="REB288" s="22"/>
      <c r="REC288" s="22"/>
      <c r="RED288" s="22"/>
      <c r="REE288" s="22"/>
      <c r="REF288" s="22"/>
      <c r="REG288" s="22"/>
      <c r="REH288" s="22"/>
      <c r="REI288" s="22"/>
      <c r="REJ288" s="22"/>
      <c r="REK288" s="22"/>
      <c r="REL288" s="22"/>
      <c r="REM288" s="22"/>
      <c r="REN288" s="22"/>
      <c r="REO288" s="22"/>
      <c r="REP288" s="22"/>
      <c r="REQ288" s="22"/>
      <c r="RER288" s="22"/>
      <c r="RES288" s="22"/>
      <c r="RET288" s="22"/>
      <c r="REU288" s="22"/>
      <c r="REV288" s="22"/>
      <c r="REW288" s="22"/>
      <c r="REX288" s="22"/>
      <c r="REY288" s="22"/>
      <c r="REZ288" s="22"/>
      <c r="RFA288" s="22"/>
      <c r="RFB288" s="22"/>
      <c r="RFC288" s="22"/>
      <c r="RFD288" s="22"/>
      <c r="RFE288" s="22"/>
      <c r="RFF288" s="22"/>
      <c r="RFG288" s="22"/>
      <c r="RFH288" s="22"/>
      <c r="RFI288" s="22"/>
      <c r="RFJ288" s="22"/>
      <c r="RFK288" s="22"/>
      <c r="RFL288" s="22"/>
      <c r="RFM288" s="22"/>
      <c r="RFN288" s="22"/>
      <c r="RFO288" s="22"/>
      <c r="RFP288" s="22"/>
      <c r="RFQ288" s="22"/>
      <c r="RFR288" s="22"/>
      <c r="RFS288" s="22"/>
      <c r="RFT288" s="22"/>
      <c r="RFU288" s="22"/>
      <c r="RFV288" s="22"/>
      <c r="RFW288" s="22"/>
      <c r="RFX288" s="22"/>
      <c r="RFY288" s="22"/>
      <c r="RFZ288" s="22"/>
      <c r="RGA288" s="22"/>
      <c r="RGB288" s="22"/>
      <c r="RGC288" s="22"/>
      <c r="RGD288" s="22"/>
      <c r="RGE288" s="22"/>
      <c r="RGF288" s="22"/>
      <c r="RGG288" s="22"/>
      <c r="RGH288" s="22"/>
      <c r="RGI288" s="22"/>
      <c r="RGJ288" s="22"/>
      <c r="RGK288" s="22"/>
      <c r="RGL288" s="22"/>
      <c r="RGM288" s="22"/>
      <c r="RGN288" s="22"/>
      <c r="RGO288" s="22"/>
      <c r="RGP288" s="22"/>
      <c r="RGQ288" s="22"/>
      <c r="RGR288" s="22"/>
      <c r="RGS288" s="22"/>
      <c r="RGT288" s="22"/>
      <c r="RGU288" s="22"/>
      <c r="RGV288" s="22"/>
      <c r="RGW288" s="22"/>
      <c r="RGX288" s="22"/>
      <c r="RGY288" s="22"/>
      <c r="RGZ288" s="22"/>
      <c r="RHA288" s="22"/>
      <c r="RHB288" s="22"/>
      <c r="RHC288" s="22"/>
      <c r="RHD288" s="22"/>
      <c r="RHE288" s="22"/>
      <c r="RHF288" s="22"/>
      <c r="RHG288" s="22"/>
      <c r="RHH288" s="22"/>
      <c r="RHI288" s="22"/>
      <c r="RHJ288" s="22"/>
      <c r="RHK288" s="22"/>
      <c r="RHL288" s="22"/>
      <c r="RHM288" s="22"/>
      <c r="RHN288" s="22"/>
      <c r="RHO288" s="22"/>
      <c r="RHP288" s="22"/>
      <c r="RHQ288" s="22"/>
      <c r="RHR288" s="22"/>
      <c r="RHS288" s="22"/>
      <c r="RHT288" s="22"/>
      <c r="RHU288" s="22"/>
      <c r="RHV288" s="22"/>
      <c r="RHW288" s="22"/>
      <c r="RHX288" s="22"/>
      <c r="RHY288" s="22"/>
      <c r="RHZ288" s="22"/>
      <c r="RIA288" s="22"/>
      <c r="RIB288" s="22"/>
      <c r="RIC288" s="22"/>
      <c r="RID288" s="22"/>
      <c r="RIE288" s="22"/>
      <c r="RIF288" s="22"/>
      <c r="RIG288" s="22"/>
      <c r="RIH288" s="22"/>
      <c r="RII288" s="22"/>
      <c r="RIJ288" s="22"/>
      <c r="RIK288" s="22"/>
      <c r="RIL288" s="22"/>
      <c r="RIM288" s="22"/>
      <c r="RIN288" s="22"/>
      <c r="RIO288" s="22"/>
      <c r="RIP288" s="22"/>
      <c r="RIQ288" s="22"/>
      <c r="RIR288" s="22"/>
      <c r="RIS288" s="22"/>
      <c r="RIT288" s="22"/>
      <c r="RIU288" s="22"/>
      <c r="RIV288" s="22"/>
      <c r="RIW288" s="22"/>
      <c r="RIX288" s="22"/>
      <c r="RIY288" s="22"/>
      <c r="RIZ288" s="22"/>
      <c r="RJA288" s="22"/>
      <c r="RJB288" s="22"/>
      <c r="RJC288" s="22"/>
      <c r="RJD288" s="22"/>
      <c r="RJE288" s="22"/>
      <c r="RJF288" s="22"/>
      <c r="RJG288" s="22"/>
      <c r="RJH288" s="22"/>
      <c r="RJI288" s="22"/>
      <c r="RJJ288" s="22"/>
      <c r="RJK288" s="22"/>
      <c r="RJL288" s="22"/>
      <c r="RJM288" s="22"/>
      <c r="RJN288" s="22"/>
      <c r="RJO288" s="22"/>
      <c r="RJP288" s="22"/>
      <c r="RJQ288" s="22"/>
      <c r="RJR288" s="22"/>
      <c r="RJS288" s="22"/>
      <c r="RJT288" s="22"/>
      <c r="RJU288" s="22"/>
      <c r="RJV288" s="22"/>
      <c r="RJW288" s="22"/>
      <c r="RJX288" s="22"/>
      <c r="RJY288" s="22"/>
      <c r="RJZ288" s="22"/>
      <c r="RKA288" s="22"/>
      <c r="RKB288" s="22"/>
      <c r="RKC288" s="22"/>
      <c r="RKD288" s="22"/>
      <c r="RKE288" s="22"/>
      <c r="RKF288" s="22"/>
      <c r="RKG288" s="22"/>
      <c r="RKH288" s="22"/>
      <c r="RKI288" s="22"/>
      <c r="RKJ288" s="22"/>
      <c r="RKK288" s="22"/>
      <c r="RKL288" s="22"/>
      <c r="RKM288" s="22"/>
      <c r="RKN288" s="22"/>
      <c r="RKO288" s="22"/>
      <c r="RKP288" s="22"/>
      <c r="RKQ288" s="22"/>
      <c r="RKR288" s="22"/>
      <c r="RKS288" s="22"/>
      <c r="RKT288" s="22"/>
      <c r="RKU288" s="22"/>
      <c r="RKV288" s="22"/>
      <c r="RKW288" s="22"/>
      <c r="RKX288" s="22"/>
      <c r="RKY288" s="22"/>
      <c r="RKZ288" s="22"/>
      <c r="RLA288" s="22"/>
      <c r="RLB288" s="22"/>
      <c r="RLC288" s="22"/>
      <c r="RLD288" s="22"/>
      <c r="RLE288" s="22"/>
      <c r="RLF288" s="22"/>
      <c r="RLG288" s="22"/>
      <c r="RLH288" s="22"/>
      <c r="RLI288" s="22"/>
      <c r="RLJ288" s="22"/>
      <c r="RLK288" s="22"/>
      <c r="RLL288" s="22"/>
      <c r="RLM288" s="22"/>
      <c r="RLN288" s="22"/>
      <c r="RLO288" s="22"/>
      <c r="RLP288" s="22"/>
      <c r="RLQ288" s="22"/>
      <c r="RLR288" s="22"/>
      <c r="RLS288" s="22"/>
      <c r="RLT288" s="22"/>
      <c r="RLU288" s="22"/>
      <c r="RLV288" s="22"/>
      <c r="RLW288" s="22"/>
      <c r="RLX288" s="22"/>
      <c r="RLY288" s="22"/>
      <c r="RLZ288" s="22"/>
      <c r="RMA288" s="22"/>
      <c r="RMB288" s="22"/>
      <c r="RMC288" s="22"/>
      <c r="RMD288" s="22"/>
      <c r="RME288" s="22"/>
      <c r="RMF288" s="22"/>
      <c r="RMG288" s="22"/>
      <c r="RMH288" s="22"/>
      <c r="RMI288" s="22"/>
      <c r="RMJ288" s="22"/>
      <c r="RMK288" s="22"/>
      <c r="RML288" s="22"/>
      <c r="RMM288" s="22"/>
      <c r="RMN288" s="22"/>
      <c r="RMO288" s="22"/>
      <c r="RMP288" s="22"/>
      <c r="RMQ288" s="22"/>
      <c r="RMR288" s="22"/>
      <c r="RMS288" s="22"/>
      <c r="RMT288" s="22"/>
      <c r="RMU288" s="22"/>
      <c r="RMV288" s="22"/>
      <c r="RMW288" s="22"/>
      <c r="RMX288" s="22"/>
      <c r="RMY288" s="22"/>
      <c r="RMZ288" s="22"/>
      <c r="RNA288" s="22"/>
      <c r="RNB288" s="22"/>
      <c r="RNC288" s="22"/>
      <c r="RND288" s="22"/>
      <c r="RNE288" s="22"/>
      <c r="RNF288" s="22"/>
      <c r="RNG288" s="22"/>
      <c r="RNH288" s="22"/>
      <c r="RNI288" s="22"/>
      <c r="RNJ288" s="22"/>
      <c r="RNK288" s="22"/>
      <c r="RNL288" s="22"/>
      <c r="RNM288" s="22"/>
      <c r="RNN288" s="22"/>
      <c r="RNO288" s="22"/>
      <c r="RNP288" s="22"/>
      <c r="RNQ288" s="22"/>
      <c r="RNR288" s="22"/>
      <c r="RNS288" s="22"/>
      <c r="RNT288" s="22"/>
      <c r="RNU288" s="22"/>
      <c r="RNV288" s="22"/>
      <c r="RNW288" s="22"/>
      <c r="RNX288" s="22"/>
      <c r="RNY288" s="22"/>
      <c r="RNZ288" s="22"/>
      <c r="ROA288" s="22"/>
      <c r="ROB288" s="22"/>
      <c r="ROC288" s="22"/>
      <c r="ROD288" s="22"/>
      <c r="ROE288" s="22"/>
      <c r="ROF288" s="22"/>
      <c r="ROG288" s="22"/>
      <c r="ROH288" s="22"/>
      <c r="ROI288" s="22"/>
      <c r="ROJ288" s="22"/>
      <c r="ROK288" s="22"/>
      <c r="ROL288" s="22"/>
      <c r="ROM288" s="22"/>
      <c r="RON288" s="22"/>
      <c r="ROO288" s="22"/>
      <c r="ROP288" s="22"/>
      <c r="ROQ288" s="22"/>
      <c r="ROR288" s="22"/>
      <c r="ROS288" s="22"/>
      <c r="ROT288" s="22"/>
      <c r="ROU288" s="22"/>
      <c r="ROV288" s="22"/>
      <c r="ROW288" s="22"/>
      <c r="ROX288" s="22"/>
      <c r="ROY288" s="22"/>
      <c r="ROZ288" s="22"/>
      <c r="RPA288" s="22"/>
      <c r="RPB288" s="22"/>
      <c r="RPC288" s="22"/>
      <c r="RPD288" s="22"/>
      <c r="RPE288" s="22"/>
      <c r="RPF288" s="22"/>
      <c r="RPG288" s="22"/>
      <c r="RPH288" s="22"/>
      <c r="RPI288" s="22"/>
      <c r="RPJ288" s="22"/>
      <c r="RPK288" s="22"/>
      <c r="RPL288" s="22"/>
      <c r="RPM288" s="22"/>
      <c r="RPN288" s="22"/>
      <c r="RPO288" s="22"/>
      <c r="RPP288" s="22"/>
      <c r="RPQ288" s="22"/>
      <c r="RPR288" s="22"/>
      <c r="RPS288" s="22"/>
      <c r="RPT288" s="22"/>
      <c r="RPU288" s="22"/>
      <c r="RPV288" s="22"/>
      <c r="RPW288" s="22"/>
      <c r="RPX288" s="22"/>
      <c r="RPY288" s="22"/>
      <c r="RPZ288" s="22"/>
      <c r="RQA288" s="22"/>
      <c r="RQB288" s="22"/>
      <c r="RQC288" s="22"/>
      <c r="RQD288" s="22"/>
      <c r="RQE288" s="22"/>
      <c r="RQF288" s="22"/>
      <c r="RQG288" s="22"/>
      <c r="RQH288" s="22"/>
      <c r="RQI288" s="22"/>
      <c r="RQJ288" s="22"/>
      <c r="RQK288" s="22"/>
      <c r="RQL288" s="22"/>
      <c r="RQM288" s="22"/>
      <c r="RQN288" s="22"/>
      <c r="RQO288" s="22"/>
      <c r="RQP288" s="22"/>
      <c r="RQQ288" s="22"/>
      <c r="RQR288" s="22"/>
      <c r="RQS288" s="22"/>
      <c r="RQT288" s="22"/>
      <c r="RQU288" s="22"/>
      <c r="RQV288" s="22"/>
      <c r="RQW288" s="22"/>
      <c r="RQX288" s="22"/>
      <c r="RQY288" s="22"/>
      <c r="RQZ288" s="22"/>
      <c r="RRA288" s="22"/>
      <c r="RRB288" s="22"/>
      <c r="RRC288" s="22"/>
      <c r="RRD288" s="22"/>
      <c r="RRE288" s="22"/>
      <c r="RRF288" s="22"/>
      <c r="RRG288" s="22"/>
      <c r="RRH288" s="22"/>
      <c r="RRI288" s="22"/>
      <c r="RRJ288" s="22"/>
      <c r="RRK288" s="22"/>
      <c r="RRL288" s="22"/>
      <c r="RRM288" s="22"/>
      <c r="RRN288" s="22"/>
      <c r="RRO288" s="22"/>
      <c r="RRP288" s="22"/>
      <c r="RRQ288" s="22"/>
      <c r="RRR288" s="22"/>
      <c r="RRS288" s="22"/>
      <c r="RRT288" s="22"/>
      <c r="RRU288" s="22"/>
      <c r="RRV288" s="22"/>
      <c r="RRW288" s="22"/>
      <c r="RRX288" s="22"/>
      <c r="RRY288" s="22"/>
      <c r="RRZ288" s="22"/>
      <c r="RSA288" s="22"/>
      <c r="RSB288" s="22"/>
      <c r="RSC288" s="22"/>
      <c r="RSD288" s="22"/>
      <c r="RSE288" s="22"/>
      <c r="RSF288" s="22"/>
      <c r="RSG288" s="22"/>
      <c r="RSH288" s="22"/>
      <c r="RSI288" s="22"/>
      <c r="RSJ288" s="22"/>
      <c r="RSK288" s="22"/>
      <c r="RSL288" s="22"/>
      <c r="RSM288" s="22"/>
      <c r="RSN288" s="22"/>
      <c r="RSO288" s="22"/>
      <c r="RSP288" s="22"/>
      <c r="RSQ288" s="22"/>
      <c r="RSR288" s="22"/>
      <c r="RSS288" s="22"/>
      <c r="RST288" s="22"/>
      <c r="RSU288" s="22"/>
      <c r="RSV288" s="22"/>
      <c r="RSW288" s="22"/>
      <c r="RSX288" s="22"/>
      <c r="RSY288" s="22"/>
      <c r="RSZ288" s="22"/>
      <c r="RTA288" s="22"/>
      <c r="RTB288" s="22"/>
      <c r="RTC288" s="22"/>
      <c r="RTD288" s="22"/>
      <c r="RTE288" s="22"/>
      <c r="RTF288" s="22"/>
      <c r="RTG288" s="22"/>
      <c r="RTH288" s="22"/>
      <c r="RTI288" s="22"/>
      <c r="RTJ288" s="22"/>
      <c r="RTK288" s="22"/>
      <c r="RTL288" s="22"/>
      <c r="RTM288" s="22"/>
      <c r="RTN288" s="22"/>
      <c r="RTO288" s="22"/>
      <c r="RTP288" s="22"/>
      <c r="RTQ288" s="22"/>
      <c r="RTR288" s="22"/>
      <c r="RTS288" s="22"/>
      <c r="RTT288" s="22"/>
      <c r="RTU288" s="22"/>
      <c r="RTV288" s="22"/>
      <c r="RTW288" s="22"/>
      <c r="RTX288" s="22"/>
      <c r="RTY288" s="22"/>
      <c r="RTZ288" s="22"/>
      <c r="RUA288" s="22"/>
      <c r="RUB288" s="22"/>
      <c r="RUC288" s="22"/>
      <c r="RUD288" s="22"/>
      <c r="RUE288" s="22"/>
      <c r="RUF288" s="22"/>
      <c r="RUG288" s="22"/>
      <c r="RUH288" s="22"/>
      <c r="RUI288" s="22"/>
      <c r="RUJ288" s="22"/>
      <c r="RUK288" s="22"/>
      <c r="RUL288" s="22"/>
      <c r="RUM288" s="22"/>
      <c r="RUN288" s="22"/>
      <c r="RUO288" s="22"/>
      <c r="RUP288" s="22"/>
      <c r="RUQ288" s="22"/>
      <c r="RUR288" s="22"/>
      <c r="RUS288" s="22"/>
      <c r="RUT288" s="22"/>
      <c r="RUU288" s="22"/>
      <c r="RUV288" s="22"/>
      <c r="RUW288" s="22"/>
      <c r="RUX288" s="22"/>
      <c r="RUY288" s="22"/>
      <c r="RUZ288" s="22"/>
      <c r="RVA288" s="22"/>
      <c r="RVB288" s="22"/>
      <c r="RVC288" s="22"/>
      <c r="RVD288" s="22"/>
      <c r="RVE288" s="22"/>
      <c r="RVF288" s="22"/>
      <c r="RVG288" s="22"/>
      <c r="RVH288" s="22"/>
      <c r="RVI288" s="22"/>
      <c r="RVJ288" s="22"/>
      <c r="RVK288" s="22"/>
      <c r="RVL288" s="22"/>
      <c r="RVM288" s="22"/>
      <c r="RVN288" s="22"/>
      <c r="RVO288" s="22"/>
      <c r="RVP288" s="22"/>
      <c r="RVQ288" s="22"/>
      <c r="RVR288" s="22"/>
      <c r="RVS288" s="22"/>
      <c r="RVT288" s="22"/>
      <c r="RVU288" s="22"/>
      <c r="RVV288" s="22"/>
      <c r="RVW288" s="22"/>
      <c r="RVX288" s="22"/>
      <c r="RVY288" s="22"/>
      <c r="RVZ288" s="22"/>
      <c r="RWA288" s="22"/>
      <c r="RWB288" s="22"/>
      <c r="RWC288" s="22"/>
      <c r="RWD288" s="22"/>
      <c r="RWE288" s="22"/>
      <c r="RWF288" s="22"/>
      <c r="RWG288" s="22"/>
      <c r="RWH288" s="22"/>
      <c r="RWI288" s="22"/>
      <c r="RWJ288" s="22"/>
      <c r="RWK288" s="22"/>
      <c r="RWL288" s="22"/>
      <c r="RWM288" s="22"/>
      <c r="RWN288" s="22"/>
      <c r="RWO288" s="22"/>
      <c r="RWP288" s="22"/>
      <c r="RWQ288" s="22"/>
      <c r="RWR288" s="22"/>
      <c r="RWS288" s="22"/>
      <c r="RWT288" s="22"/>
      <c r="RWU288" s="22"/>
      <c r="RWV288" s="22"/>
      <c r="RWW288" s="22"/>
      <c r="RWX288" s="22"/>
      <c r="RWY288" s="22"/>
      <c r="RWZ288" s="22"/>
      <c r="RXA288" s="22"/>
      <c r="RXB288" s="22"/>
      <c r="RXC288" s="22"/>
      <c r="RXD288" s="22"/>
      <c r="RXE288" s="22"/>
      <c r="RXF288" s="22"/>
      <c r="RXG288" s="22"/>
      <c r="RXH288" s="22"/>
      <c r="RXI288" s="22"/>
      <c r="RXJ288" s="22"/>
      <c r="RXK288" s="22"/>
      <c r="RXL288" s="22"/>
      <c r="RXM288" s="22"/>
      <c r="RXN288" s="22"/>
      <c r="RXO288" s="22"/>
      <c r="RXP288" s="22"/>
      <c r="RXQ288" s="22"/>
      <c r="RXR288" s="22"/>
      <c r="RXS288" s="22"/>
      <c r="RXT288" s="22"/>
      <c r="RXU288" s="22"/>
      <c r="RXV288" s="22"/>
      <c r="RXW288" s="22"/>
      <c r="RXX288" s="22"/>
      <c r="RXY288" s="22"/>
      <c r="RXZ288" s="22"/>
      <c r="RYA288" s="22"/>
      <c r="RYB288" s="22"/>
      <c r="RYC288" s="22"/>
      <c r="RYD288" s="22"/>
      <c r="RYE288" s="22"/>
      <c r="RYF288" s="22"/>
      <c r="RYG288" s="22"/>
      <c r="RYH288" s="22"/>
      <c r="RYI288" s="22"/>
      <c r="RYJ288" s="22"/>
      <c r="RYK288" s="22"/>
      <c r="RYL288" s="22"/>
      <c r="RYM288" s="22"/>
      <c r="RYN288" s="22"/>
      <c r="RYO288" s="22"/>
      <c r="RYP288" s="22"/>
      <c r="RYQ288" s="22"/>
      <c r="RYR288" s="22"/>
      <c r="RYS288" s="22"/>
      <c r="RYT288" s="22"/>
      <c r="RYU288" s="22"/>
      <c r="RYV288" s="22"/>
      <c r="RYW288" s="22"/>
      <c r="RYX288" s="22"/>
      <c r="RYY288" s="22"/>
      <c r="RYZ288" s="22"/>
      <c r="RZA288" s="22"/>
      <c r="RZB288" s="22"/>
      <c r="RZC288" s="22"/>
      <c r="RZD288" s="22"/>
      <c r="RZE288" s="22"/>
      <c r="RZF288" s="22"/>
      <c r="RZG288" s="22"/>
      <c r="RZH288" s="22"/>
      <c r="RZI288" s="22"/>
      <c r="RZJ288" s="22"/>
      <c r="RZK288" s="22"/>
      <c r="RZL288" s="22"/>
      <c r="RZM288" s="22"/>
      <c r="RZN288" s="22"/>
      <c r="RZO288" s="22"/>
      <c r="RZP288" s="22"/>
      <c r="RZQ288" s="22"/>
      <c r="RZR288" s="22"/>
      <c r="RZS288" s="22"/>
      <c r="RZT288" s="22"/>
      <c r="RZU288" s="22"/>
      <c r="RZV288" s="22"/>
      <c r="RZW288" s="22"/>
      <c r="RZX288" s="22"/>
      <c r="RZY288" s="22"/>
      <c r="RZZ288" s="22"/>
      <c r="SAA288" s="22"/>
      <c r="SAB288" s="22"/>
      <c r="SAC288" s="22"/>
      <c r="SAD288" s="22"/>
      <c r="SAE288" s="22"/>
      <c r="SAF288" s="22"/>
      <c r="SAG288" s="22"/>
      <c r="SAH288" s="22"/>
      <c r="SAI288" s="22"/>
      <c r="SAJ288" s="22"/>
      <c r="SAK288" s="22"/>
      <c r="SAL288" s="22"/>
      <c r="SAM288" s="22"/>
      <c r="SAN288" s="22"/>
      <c r="SAO288" s="22"/>
      <c r="SAP288" s="22"/>
      <c r="SAQ288" s="22"/>
      <c r="SAR288" s="22"/>
      <c r="SAS288" s="22"/>
      <c r="SAT288" s="22"/>
      <c r="SAU288" s="22"/>
      <c r="SAV288" s="22"/>
      <c r="SAW288" s="22"/>
      <c r="SAX288" s="22"/>
      <c r="SAY288" s="22"/>
      <c r="SAZ288" s="22"/>
      <c r="SBA288" s="22"/>
      <c r="SBB288" s="22"/>
      <c r="SBC288" s="22"/>
      <c r="SBD288" s="22"/>
      <c r="SBE288" s="22"/>
      <c r="SBF288" s="22"/>
      <c r="SBG288" s="22"/>
      <c r="SBH288" s="22"/>
      <c r="SBI288" s="22"/>
      <c r="SBJ288" s="22"/>
      <c r="SBK288" s="22"/>
      <c r="SBL288" s="22"/>
      <c r="SBM288" s="22"/>
      <c r="SBN288" s="22"/>
      <c r="SBO288" s="22"/>
      <c r="SBP288" s="22"/>
      <c r="SBQ288" s="22"/>
      <c r="SBR288" s="22"/>
      <c r="SBS288" s="22"/>
      <c r="SBT288" s="22"/>
      <c r="SBU288" s="22"/>
      <c r="SBV288" s="22"/>
      <c r="SBW288" s="22"/>
      <c r="SBX288" s="22"/>
      <c r="SBY288" s="22"/>
      <c r="SBZ288" s="22"/>
      <c r="SCA288" s="22"/>
      <c r="SCB288" s="22"/>
      <c r="SCC288" s="22"/>
      <c r="SCD288" s="22"/>
      <c r="SCE288" s="22"/>
      <c r="SCF288" s="22"/>
      <c r="SCG288" s="22"/>
      <c r="SCH288" s="22"/>
      <c r="SCI288" s="22"/>
      <c r="SCJ288" s="22"/>
      <c r="SCK288" s="22"/>
      <c r="SCL288" s="22"/>
      <c r="SCM288" s="22"/>
      <c r="SCN288" s="22"/>
      <c r="SCO288" s="22"/>
      <c r="SCP288" s="22"/>
      <c r="SCQ288" s="22"/>
      <c r="SCR288" s="22"/>
      <c r="SCS288" s="22"/>
      <c r="SCT288" s="22"/>
      <c r="SCU288" s="22"/>
      <c r="SCV288" s="22"/>
      <c r="SCW288" s="22"/>
      <c r="SCX288" s="22"/>
      <c r="SCY288" s="22"/>
      <c r="SCZ288" s="22"/>
      <c r="SDA288" s="22"/>
      <c r="SDB288" s="22"/>
      <c r="SDC288" s="22"/>
      <c r="SDD288" s="22"/>
      <c r="SDE288" s="22"/>
      <c r="SDF288" s="22"/>
      <c r="SDG288" s="22"/>
      <c r="SDH288" s="22"/>
      <c r="SDI288" s="22"/>
      <c r="SDJ288" s="22"/>
      <c r="SDK288" s="22"/>
      <c r="SDL288" s="22"/>
      <c r="SDM288" s="22"/>
      <c r="SDN288" s="22"/>
      <c r="SDO288" s="22"/>
      <c r="SDP288" s="22"/>
      <c r="SDQ288" s="22"/>
      <c r="SDR288" s="22"/>
      <c r="SDS288" s="22"/>
      <c r="SDT288" s="22"/>
      <c r="SDU288" s="22"/>
      <c r="SDV288" s="22"/>
      <c r="SDW288" s="22"/>
      <c r="SDX288" s="22"/>
      <c r="SDY288" s="22"/>
      <c r="SDZ288" s="22"/>
      <c r="SEA288" s="22"/>
      <c r="SEB288" s="22"/>
      <c r="SEC288" s="22"/>
      <c r="SED288" s="22"/>
      <c r="SEE288" s="22"/>
      <c r="SEF288" s="22"/>
      <c r="SEG288" s="22"/>
      <c r="SEH288" s="22"/>
      <c r="SEI288" s="22"/>
      <c r="SEJ288" s="22"/>
      <c r="SEK288" s="22"/>
      <c r="SEL288" s="22"/>
      <c r="SEM288" s="22"/>
      <c r="SEN288" s="22"/>
      <c r="SEO288" s="22"/>
      <c r="SEP288" s="22"/>
      <c r="SEQ288" s="22"/>
      <c r="SER288" s="22"/>
      <c r="SES288" s="22"/>
      <c r="SET288" s="22"/>
      <c r="SEU288" s="22"/>
      <c r="SEV288" s="22"/>
      <c r="SEW288" s="22"/>
      <c r="SEX288" s="22"/>
      <c r="SEY288" s="22"/>
      <c r="SEZ288" s="22"/>
      <c r="SFA288" s="22"/>
      <c r="SFB288" s="22"/>
      <c r="SFC288" s="22"/>
      <c r="SFD288" s="22"/>
      <c r="SFE288" s="22"/>
      <c r="SFF288" s="22"/>
      <c r="SFG288" s="22"/>
      <c r="SFH288" s="22"/>
      <c r="SFI288" s="22"/>
      <c r="SFJ288" s="22"/>
      <c r="SFK288" s="22"/>
      <c r="SFL288" s="22"/>
      <c r="SFM288" s="22"/>
      <c r="SFN288" s="22"/>
      <c r="SFO288" s="22"/>
      <c r="SFP288" s="22"/>
      <c r="SFQ288" s="22"/>
      <c r="SFR288" s="22"/>
      <c r="SFS288" s="22"/>
      <c r="SFT288" s="22"/>
      <c r="SFU288" s="22"/>
      <c r="SFV288" s="22"/>
      <c r="SFW288" s="22"/>
      <c r="SFX288" s="22"/>
      <c r="SFY288" s="22"/>
      <c r="SFZ288" s="22"/>
      <c r="SGA288" s="22"/>
      <c r="SGB288" s="22"/>
      <c r="SGC288" s="22"/>
      <c r="SGD288" s="22"/>
      <c r="SGE288" s="22"/>
      <c r="SGF288" s="22"/>
      <c r="SGG288" s="22"/>
      <c r="SGH288" s="22"/>
      <c r="SGI288" s="22"/>
      <c r="SGJ288" s="22"/>
      <c r="SGK288" s="22"/>
      <c r="SGL288" s="22"/>
      <c r="SGM288" s="22"/>
      <c r="SGN288" s="22"/>
      <c r="SGO288" s="22"/>
      <c r="SGP288" s="22"/>
      <c r="SGQ288" s="22"/>
      <c r="SGR288" s="22"/>
      <c r="SGS288" s="22"/>
      <c r="SGT288" s="22"/>
      <c r="SGU288" s="22"/>
      <c r="SGV288" s="22"/>
      <c r="SGW288" s="22"/>
      <c r="SGX288" s="22"/>
      <c r="SGY288" s="22"/>
      <c r="SGZ288" s="22"/>
      <c r="SHA288" s="22"/>
      <c r="SHB288" s="22"/>
      <c r="SHC288" s="22"/>
      <c r="SHD288" s="22"/>
      <c r="SHE288" s="22"/>
      <c r="SHF288" s="22"/>
      <c r="SHG288" s="22"/>
      <c r="SHH288" s="22"/>
      <c r="SHI288" s="22"/>
      <c r="SHJ288" s="22"/>
      <c r="SHK288" s="22"/>
      <c r="SHL288" s="22"/>
      <c r="SHM288" s="22"/>
      <c r="SHN288" s="22"/>
      <c r="SHO288" s="22"/>
      <c r="SHP288" s="22"/>
      <c r="SHQ288" s="22"/>
      <c r="SHR288" s="22"/>
      <c r="SHS288" s="22"/>
      <c r="SHT288" s="22"/>
      <c r="SHU288" s="22"/>
      <c r="SHV288" s="22"/>
      <c r="SHW288" s="22"/>
      <c r="SHX288" s="22"/>
      <c r="SHY288" s="22"/>
      <c r="SHZ288" s="22"/>
      <c r="SIA288" s="22"/>
      <c r="SIB288" s="22"/>
      <c r="SIC288" s="22"/>
      <c r="SID288" s="22"/>
      <c r="SIE288" s="22"/>
      <c r="SIF288" s="22"/>
      <c r="SIG288" s="22"/>
      <c r="SIH288" s="22"/>
      <c r="SII288" s="22"/>
      <c r="SIJ288" s="22"/>
      <c r="SIK288" s="22"/>
      <c r="SIL288" s="22"/>
      <c r="SIM288" s="22"/>
      <c r="SIN288" s="22"/>
      <c r="SIO288" s="22"/>
      <c r="SIP288" s="22"/>
      <c r="SIQ288" s="22"/>
      <c r="SIR288" s="22"/>
      <c r="SIS288" s="22"/>
      <c r="SIT288" s="22"/>
      <c r="SIU288" s="22"/>
      <c r="SIV288" s="22"/>
      <c r="SIW288" s="22"/>
      <c r="SIX288" s="22"/>
      <c r="SIY288" s="22"/>
      <c r="SIZ288" s="22"/>
      <c r="SJA288" s="22"/>
      <c r="SJB288" s="22"/>
      <c r="SJC288" s="22"/>
      <c r="SJD288" s="22"/>
      <c r="SJE288" s="22"/>
      <c r="SJF288" s="22"/>
      <c r="SJG288" s="22"/>
      <c r="SJH288" s="22"/>
      <c r="SJI288" s="22"/>
      <c r="SJJ288" s="22"/>
      <c r="SJK288" s="22"/>
      <c r="SJL288" s="22"/>
      <c r="SJM288" s="22"/>
      <c r="SJN288" s="22"/>
      <c r="SJO288" s="22"/>
      <c r="SJP288" s="22"/>
      <c r="SJQ288" s="22"/>
      <c r="SJR288" s="22"/>
      <c r="SJS288" s="22"/>
      <c r="SJT288" s="22"/>
      <c r="SJU288" s="22"/>
      <c r="SJV288" s="22"/>
      <c r="SJW288" s="22"/>
      <c r="SJX288" s="22"/>
      <c r="SJY288" s="22"/>
      <c r="SJZ288" s="22"/>
      <c r="SKA288" s="22"/>
      <c r="SKB288" s="22"/>
      <c r="SKC288" s="22"/>
      <c r="SKD288" s="22"/>
      <c r="SKE288" s="22"/>
      <c r="SKF288" s="22"/>
      <c r="SKG288" s="22"/>
      <c r="SKH288" s="22"/>
      <c r="SKI288" s="22"/>
      <c r="SKJ288" s="22"/>
      <c r="SKK288" s="22"/>
      <c r="SKL288" s="22"/>
      <c r="SKM288" s="22"/>
      <c r="SKN288" s="22"/>
      <c r="SKO288" s="22"/>
      <c r="SKP288" s="22"/>
      <c r="SKQ288" s="22"/>
      <c r="SKR288" s="22"/>
      <c r="SKS288" s="22"/>
      <c r="SKT288" s="22"/>
      <c r="SKU288" s="22"/>
      <c r="SKV288" s="22"/>
      <c r="SKW288" s="22"/>
      <c r="SKX288" s="22"/>
      <c r="SKY288" s="22"/>
      <c r="SKZ288" s="22"/>
      <c r="SLA288" s="22"/>
      <c r="SLB288" s="22"/>
      <c r="SLC288" s="22"/>
      <c r="SLD288" s="22"/>
      <c r="SLE288" s="22"/>
      <c r="SLF288" s="22"/>
      <c r="SLG288" s="22"/>
      <c r="SLH288" s="22"/>
      <c r="SLI288" s="22"/>
      <c r="SLJ288" s="22"/>
      <c r="SLK288" s="22"/>
      <c r="SLL288" s="22"/>
      <c r="SLM288" s="22"/>
      <c r="SLN288" s="22"/>
      <c r="SLO288" s="22"/>
      <c r="SLP288" s="22"/>
      <c r="SLQ288" s="22"/>
      <c r="SLR288" s="22"/>
      <c r="SLS288" s="22"/>
      <c r="SLT288" s="22"/>
      <c r="SLU288" s="22"/>
      <c r="SLV288" s="22"/>
      <c r="SLW288" s="22"/>
      <c r="SLX288" s="22"/>
      <c r="SLY288" s="22"/>
      <c r="SLZ288" s="22"/>
      <c r="SMA288" s="22"/>
      <c r="SMB288" s="22"/>
      <c r="SMC288" s="22"/>
      <c r="SMD288" s="22"/>
      <c r="SME288" s="22"/>
      <c r="SMF288" s="22"/>
      <c r="SMG288" s="22"/>
      <c r="SMH288" s="22"/>
      <c r="SMI288" s="22"/>
      <c r="SMJ288" s="22"/>
      <c r="SMK288" s="22"/>
      <c r="SML288" s="22"/>
      <c r="SMM288" s="22"/>
      <c r="SMN288" s="22"/>
      <c r="SMO288" s="22"/>
      <c r="SMP288" s="22"/>
      <c r="SMQ288" s="22"/>
      <c r="SMR288" s="22"/>
      <c r="SMS288" s="22"/>
      <c r="SMT288" s="22"/>
      <c r="SMU288" s="22"/>
      <c r="SMV288" s="22"/>
      <c r="SMW288" s="22"/>
      <c r="SMX288" s="22"/>
      <c r="SMY288" s="22"/>
      <c r="SMZ288" s="22"/>
      <c r="SNA288" s="22"/>
      <c r="SNB288" s="22"/>
      <c r="SNC288" s="22"/>
      <c r="SND288" s="22"/>
      <c r="SNE288" s="22"/>
      <c r="SNF288" s="22"/>
      <c r="SNG288" s="22"/>
      <c r="SNH288" s="22"/>
      <c r="SNI288" s="22"/>
      <c r="SNJ288" s="22"/>
      <c r="SNK288" s="22"/>
      <c r="SNL288" s="22"/>
      <c r="SNM288" s="22"/>
      <c r="SNN288" s="22"/>
      <c r="SNO288" s="22"/>
      <c r="SNP288" s="22"/>
      <c r="SNQ288" s="22"/>
      <c r="SNR288" s="22"/>
      <c r="SNS288" s="22"/>
      <c r="SNT288" s="22"/>
      <c r="SNU288" s="22"/>
      <c r="SNV288" s="22"/>
      <c r="SNW288" s="22"/>
      <c r="SNX288" s="22"/>
      <c r="SNY288" s="22"/>
      <c r="SNZ288" s="22"/>
      <c r="SOA288" s="22"/>
      <c r="SOB288" s="22"/>
      <c r="SOC288" s="22"/>
      <c r="SOD288" s="22"/>
      <c r="SOE288" s="22"/>
      <c r="SOF288" s="22"/>
      <c r="SOG288" s="22"/>
      <c r="SOH288" s="22"/>
      <c r="SOI288" s="22"/>
      <c r="SOJ288" s="22"/>
      <c r="SOK288" s="22"/>
      <c r="SOL288" s="22"/>
      <c r="SOM288" s="22"/>
      <c r="SON288" s="22"/>
      <c r="SOO288" s="22"/>
      <c r="SOP288" s="22"/>
      <c r="SOQ288" s="22"/>
      <c r="SOR288" s="22"/>
      <c r="SOS288" s="22"/>
      <c r="SOT288" s="22"/>
      <c r="SOU288" s="22"/>
      <c r="SOV288" s="22"/>
      <c r="SOW288" s="22"/>
      <c r="SOX288" s="22"/>
      <c r="SOY288" s="22"/>
      <c r="SOZ288" s="22"/>
      <c r="SPA288" s="22"/>
      <c r="SPB288" s="22"/>
      <c r="SPC288" s="22"/>
      <c r="SPD288" s="22"/>
      <c r="SPE288" s="22"/>
      <c r="SPF288" s="22"/>
      <c r="SPG288" s="22"/>
      <c r="SPH288" s="22"/>
      <c r="SPI288" s="22"/>
      <c r="SPJ288" s="22"/>
      <c r="SPK288" s="22"/>
      <c r="SPL288" s="22"/>
      <c r="SPM288" s="22"/>
      <c r="SPN288" s="22"/>
      <c r="SPO288" s="22"/>
      <c r="SPP288" s="22"/>
      <c r="SPQ288" s="22"/>
      <c r="SPR288" s="22"/>
      <c r="SPS288" s="22"/>
      <c r="SPT288" s="22"/>
      <c r="SPU288" s="22"/>
      <c r="SPV288" s="22"/>
      <c r="SPW288" s="22"/>
      <c r="SPX288" s="22"/>
      <c r="SPY288" s="22"/>
      <c r="SPZ288" s="22"/>
      <c r="SQA288" s="22"/>
      <c r="SQB288" s="22"/>
      <c r="SQC288" s="22"/>
      <c r="SQD288" s="22"/>
      <c r="SQE288" s="22"/>
      <c r="SQF288" s="22"/>
      <c r="SQG288" s="22"/>
      <c r="SQH288" s="22"/>
      <c r="SQI288" s="22"/>
      <c r="SQJ288" s="22"/>
      <c r="SQK288" s="22"/>
      <c r="SQL288" s="22"/>
      <c r="SQM288" s="22"/>
      <c r="SQN288" s="22"/>
      <c r="SQO288" s="22"/>
      <c r="SQP288" s="22"/>
      <c r="SQQ288" s="22"/>
      <c r="SQR288" s="22"/>
      <c r="SQS288" s="22"/>
      <c r="SQT288" s="22"/>
      <c r="SQU288" s="22"/>
      <c r="SQV288" s="22"/>
      <c r="SQW288" s="22"/>
      <c r="SQX288" s="22"/>
      <c r="SQY288" s="22"/>
      <c r="SQZ288" s="22"/>
      <c r="SRA288" s="22"/>
      <c r="SRB288" s="22"/>
      <c r="SRC288" s="22"/>
      <c r="SRD288" s="22"/>
      <c r="SRE288" s="22"/>
      <c r="SRF288" s="22"/>
      <c r="SRG288" s="22"/>
      <c r="SRH288" s="22"/>
      <c r="SRI288" s="22"/>
      <c r="SRJ288" s="22"/>
      <c r="SRK288" s="22"/>
      <c r="SRL288" s="22"/>
      <c r="SRM288" s="22"/>
      <c r="SRN288" s="22"/>
      <c r="SRO288" s="22"/>
      <c r="SRP288" s="22"/>
      <c r="SRQ288" s="22"/>
      <c r="SRR288" s="22"/>
      <c r="SRS288" s="22"/>
      <c r="SRT288" s="22"/>
      <c r="SRU288" s="22"/>
      <c r="SRV288" s="22"/>
      <c r="SRW288" s="22"/>
      <c r="SRX288" s="22"/>
      <c r="SRY288" s="22"/>
      <c r="SRZ288" s="22"/>
      <c r="SSA288" s="22"/>
      <c r="SSB288" s="22"/>
      <c r="SSC288" s="22"/>
      <c r="SSD288" s="22"/>
      <c r="SSE288" s="22"/>
      <c r="SSF288" s="22"/>
      <c r="SSG288" s="22"/>
      <c r="SSH288" s="22"/>
      <c r="SSI288" s="22"/>
      <c r="SSJ288" s="22"/>
      <c r="SSK288" s="22"/>
      <c r="SSL288" s="22"/>
      <c r="SSM288" s="22"/>
      <c r="SSN288" s="22"/>
      <c r="SSO288" s="22"/>
      <c r="SSP288" s="22"/>
      <c r="SSQ288" s="22"/>
      <c r="SSR288" s="22"/>
      <c r="SSS288" s="22"/>
      <c r="SST288" s="22"/>
      <c r="SSU288" s="22"/>
      <c r="SSV288" s="22"/>
      <c r="SSW288" s="22"/>
      <c r="SSX288" s="22"/>
      <c r="SSY288" s="22"/>
      <c r="SSZ288" s="22"/>
      <c r="STA288" s="22"/>
      <c r="STB288" s="22"/>
      <c r="STC288" s="22"/>
      <c r="STD288" s="22"/>
      <c r="STE288" s="22"/>
      <c r="STF288" s="22"/>
      <c r="STG288" s="22"/>
      <c r="STH288" s="22"/>
      <c r="STI288" s="22"/>
      <c r="STJ288" s="22"/>
      <c r="STK288" s="22"/>
      <c r="STL288" s="22"/>
      <c r="STM288" s="22"/>
      <c r="STN288" s="22"/>
      <c r="STO288" s="22"/>
      <c r="STP288" s="22"/>
      <c r="STQ288" s="22"/>
      <c r="STR288" s="22"/>
      <c r="STS288" s="22"/>
      <c r="STT288" s="22"/>
      <c r="STU288" s="22"/>
      <c r="STV288" s="22"/>
      <c r="STW288" s="22"/>
      <c r="STX288" s="22"/>
      <c r="STY288" s="22"/>
      <c r="STZ288" s="22"/>
      <c r="SUA288" s="22"/>
      <c r="SUB288" s="22"/>
      <c r="SUC288" s="22"/>
      <c r="SUD288" s="22"/>
      <c r="SUE288" s="22"/>
      <c r="SUF288" s="22"/>
      <c r="SUG288" s="22"/>
      <c r="SUH288" s="22"/>
      <c r="SUI288" s="22"/>
      <c r="SUJ288" s="22"/>
      <c r="SUK288" s="22"/>
      <c r="SUL288" s="22"/>
      <c r="SUM288" s="22"/>
      <c r="SUN288" s="22"/>
      <c r="SUO288" s="22"/>
      <c r="SUP288" s="22"/>
      <c r="SUQ288" s="22"/>
      <c r="SUR288" s="22"/>
      <c r="SUS288" s="22"/>
      <c r="SUT288" s="22"/>
      <c r="SUU288" s="22"/>
      <c r="SUV288" s="22"/>
      <c r="SUW288" s="22"/>
      <c r="SUX288" s="22"/>
      <c r="SUY288" s="22"/>
      <c r="SUZ288" s="22"/>
      <c r="SVA288" s="22"/>
      <c r="SVB288" s="22"/>
      <c r="SVC288" s="22"/>
      <c r="SVD288" s="22"/>
      <c r="SVE288" s="22"/>
      <c r="SVF288" s="22"/>
      <c r="SVG288" s="22"/>
      <c r="SVH288" s="22"/>
      <c r="SVI288" s="22"/>
      <c r="SVJ288" s="22"/>
      <c r="SVK288" s="22"/>
      <c r="SVL288" s="22"/>
      <c r="SVM288" s="22"/>
      <c r="SVN288" s="22"/>
      <c r="SVO288" s="22"/>
      <c r="SVP288" s="22"/>
      <c r="SVQ288" s="22"/>
      <c r="SVR288" s="22"/>
      <c r="SVS288" s="22"/>
      <c r="SVT288" s="22"/>
      <c r="SVU288" s="22"/>
      <c r="SVV288" s="22"/>
      <c r="SVW288" s="22"/>
      <c r="SVX288" s="22"/>
      <c r="SVY288" s="22"/>
      <c r="SVZ288" s="22"/>
      <c r="SWA288" s="22"/>
      <c r="SWB288" s="22"/>
      <c r="SWC288" s="22"/>
      <c r="SWD288" s="22"/>
      <c r="SWE288" s="22"/>
      <c r="SWF288" s="22"/>
      <c r="SWG288" s="22"/>
      <c r="SWH288" s="22"/>
      <c r="SWI288" s="22"/>
      <c r="SWJ288" s="22"/>
      <c r="SWK288" s="22"/>
      <c r="SWL288" s="22"/>
      <c r="SWM288" s="22"/>
      <c r="SWN288" s="22"/>
      <c r="SWO288" s="22"/>
      <c r="SWP288" s="22"/>
      <c r="SWQ288" s="22"/>
      <c r="SWR288" s="22"/>
      <c r="SWS288" s="22"/>
      <c r="SWT288" s="22"/>
      <c r="SWU288" s="22"/>
      <c r="SWV288" s="22"/>
      <c r="SWW288" s="22"/>
      <c r="SWX288" s="22"/>
      <c r="SWY288" s="22"/>
      <c r="SWZ288" s="22"/>
      <c r="SXA288" s="22"/>
      <c r="SXB288" s="22"/>
      <c r="SXC288" s="22"/>
      <c r="SXD288" s="22"/>
      <c r="SXE288" s="22"/>
      <c r="SXF288" s="22"/>
      <c r="SXG288" s="22"/>
      <c r="SXH288" s="22"/>
      <c r="SXI288" s="22"/>
      <c r="SXJ288" s="22"/>
      <c r="SXK288" s="22"/>
      <c r="SXL288" s="22"/>
      <c r="SXM288" s="22"/>
      <c r="SXN288" s="22"/>
      <c r="SXO288" s="22"/>
      <c r="SXP288" s="22"/>
      <c r="SXQ288" s="22"/>
      <c r="SXR288" s="22"/>
      <c r="SXS288" s="22"/>
      <c r="SXT288" s="22"/>
      <c r="SXU288" s="22"/>
      <c r="SXV288" s="22"/>
      <c r="SXW288" s="22"/>
      <c r="SXX288" s="22"/>
      <c r="SXY288" s="22"/>
      <c r="SXZ288" s="22"/>
      <c r="SYA288" s="22"/>
      <c r="SYB288" s="22"/>
      <c r="SYC288" s="22"/>
      <c r="SYD288" s="22"/>
      <c r="SYE288" s="22"/>
      <c r="SYF288" s="22"/>
      <c r="SYG288" s="22"/>
      <c r="SYH288" s="22"/>
      <c r="SYI288" s="22"/>
      <c r="SYJ288" s="22"/>
      <c r="SYK288" s="22"/>
      <c r="SYL288" s="22"/>
      <c r="SYM288" s="22"/>
      <c r="SYN288" s="22"/>
      <c r="SYO288" s="22"/>
      <c r="SYP288" s="22"/>
      <c r="SYQ288" s="22"/>
      <c r="SYR288" s="22"/>
      <c r="SYS288" s="22"/>
      <c r="SYT288" s="22"/>
      <c r="SYU288" s="22"/>
      <c r="SYV288" s="22"/>
      <c r="SYW288" s="22"/>
      <c r="SYX288" s="22"/>
      <c r="SYY288" s="22"/>
      <c r="SYZ288" s="22"/>
      <c r="SZA288" s="22"/>
      <c r="SZB288" s="22"/>
      <c r="SZC288" s="22"/>
      <c r="SZD288" s="22"/>
      <c r="SZE288" s="22"/>
      <c r="SZF288" s="22"/>
      <c r="SZG288" s="22"/>
      <c r="SZH288" s="22"/>
      <c r="SZI288" s="22"/>
      <c r="SZJ288" s="22"/>
      <c r="SZK288" s="22"/>
      <c r="SZL288" s="22"/>
      <c r="SZM288" s="22"/>
      <c r="SZN288" s="22"/>
      <c r="SZO288" s="22"/>
      <c r="SZP288" s="22"/>
      <c r="SZQ288" s="22"/>
      <c r="SZR288" s="22"/>
      <c r="SZS288" s="22"/>
      <c r="SZT288" s="22"/>
      <c r="SZU288" s="22"/>
      <c r="SZV288" s="22"/>
      <c r="SZW288" s="22"/>
      <c r="SZX288" s="22"/>
      <c r="SZY288" s="22"/>
      <c r="SZZ288" s="22"/>
      <c r="TAA288" s="22"/>
      <c r="TAB288" s="22"/>
      <c r="TAC288" s="22"/>
      <c r="TAD288" s="22"/>
      <c r="TAE288" s="22"/>
      <c r="TAF288" s="22"/>
      <c r="TAG288" s="22"/>
      <c r="TAH288" s="22"/>
      <c r="TAI288" s="22"/>
      <c r="TAJ288" s="22"/>
      <c r="TAK288" s="22"/>
      <c r="TAL288" s="22"/>
      <c r="TAM288" s="22"/>
      <c r="TAN288" s="22"/>
      <c r="TAO288" s="22"/>
      <c r="TAP288" s="22"/>
      <c r="TAQ288" s="22"/>
      <c r="TAR288" s="22"/>
      <c r="TAS288" s="22"/>
      <c r="TAT288" s="22"/>
      <c r="TAU288" s="22"/>
      <c r="TAV288" s="22"/>
      <c r="TAW288" s="22"/>
      <c r="TAX288" s="22"/>
      <c r="TAY288" s="22"/>
      <c r="TAZ288" s="22"/>
      <c r="TBA288" s="22"/>
      <c r="TBB288" s="22"/>
      <c r="TBC288" s="22"/>
      <c r="TBD288" s="22"/>
      <c r="TBE288" s="22"/>
      <c r="TBF288" s="22"/>
      <c r="TBG288" s="22"/>
      <c r="TBH288" s="22"/>
      <c r="TBI288" s="22"/>
      <c r="TBJ288" s="22"/>
      <c r="TBK288" s="22"/>
      <c r="TBL288" s="22"/>
      <c r="TBM288" s="22"/>
      <c r="TBN288" s="22"/>
      <c r="TBO288" s="22"/>
      <c r="TBP288" s="22"/>
      <c r="TBQ288" s="22"/>
      <c r="TBR288" s="22"/>
      <c r="TBS288" s="22"/>
      <c r="TBT288" s="22"/>
      <c r="TBU288" s="22"/>
      <c r="TBV288" s="22"/>
      <c r="TBW288" s="22"/>
      <c r="TBX288" s="22"/>
      <c r="TBY288" s="22"/>
      <c r="TBZ288" s="22"/>
      <c r="TCA288" s="22"/>
      <c r="TCB288" s="22"/>
      <c r="TCC288" s="22"/>
      <c r="TCD288" s="22"/>
      <c r="TCE288" s="22"/>
      <c r="TCF288" s="22"/>
      <c r="TCG288" s="22"/>
      <c r="TCH288" s="22"/>
      <c r="TCI288" s="22"/>
      <c r="TCJ288" s="22"/>
      <c r="TCK288" s="22"/>
      <c r="TCL288" s="22"/>
      <c r="TCM288" s="22"/>
      <c r="TCN288" s="22"/>
      <c r="TCO288" s="22"/>
      <c r="TCP288" s="22"/>
      <c r="TCQ288" s="22"/>
      <c r="TCR288" s="22"/>
      <c r="TCS288" s="22"/>
      <c r="TCT288" s="22"/>
      <c r="TCU288" s="22"/>
      <c r="TCV288" s="22"/>
      <c r="TCW288" s="22"/>
      <c r="TCX288" s="22"/>
      <c r="TCY288" s="22"/>
      <c r="TCZ288" s="22"/>
      <c r="TDA288" s="22"/>
      <c r="TDB288" s="22"/>
      <c r="TDC288" s="22"/>
      <c r="TDD288" s="22"/>
      <c r="TDE288" s="22"/>
      <c r="TDF288" s="22"/>
      <c r="TDG288" s="22"/>
      <c r="TDH288" s="22"/>
      <c r="TDI288" s="22"/>
      <c r="TDJ288" s="22"/>
      <c r="TDK288" s="22"/>
      <c r="TDL288" s="22"/>
      <c r="TDM288" s="22"/>
      <c r="TDN288" s="22"/>
      <c r="TDO288" s="22"/>
      <c r="TDP288" s="22"/>
      <c r="TDQ288" s="22"/>
      <c r="TDR288" s="22"/>
      <c r="TDS288" s="22"/>
      <c r="TDT288" s="22"/>
      <c r="TDU288" s="22"/>
      <c r="TDV288" s="22"/>
      <c r="TDW288" s="22"/>
      <c r="TDX288" s="22"/>
      <c r="TDY288" s="22"/>
      <c r="TDZ288" s="22"/>
      <c r="TEA288" s="22"/>
      <c r="TEB288" s="22"/>
      <c r="TEC288" s="22"/>
      <c r="TED288" s="22"/>
      <c r="TEE288" s="22"/>
      <c r="TEF288" s="22"/>
      <c r="TEG288" s="22"/>
      <c r="TEH288" s="22"/>
      <c r="TEI288" s="22"/>
      <c r="TEJ288" s="22"/>
      <c r="TEK288" s="22"/>
      <c r="TEL288" s="22"/>
      <c r="TEM288" s="22"/>
      <c r="TEN288" s="22"/>
      <c r="TEO288" s="22"/>
      <c r="TEP288" s="22"/>
      <c r="TEQ288" s="22"/>
      <c r="TER288" s="22"/>
      <c r="TES288" s="22"/>
      <c r="TET288" s="22"/>
      <c r="TEU288" s="22"/>
      <c r="TEV288" s="22"/>
      <c r="TEW288" s="22"/>
      <c r="TEX288" s="22"/>
      <c r="TEY288" s="22"/>
      <c r="TEZ288" s="22"/>
      <c r="TFA288" s="22"/>
      <c r="TFB288" s="22"/>
      <c r="TFC288" s="22"/>
      <c r="TFD288" s="22"/>
      <c r="TFE288" s="22"/>
      <c r="TFF288" s="22"/>
      <c r="TFG288" s="22"/>
      <c r="TFH288" s="22"/>
      <c r="TFI288" s="22"/>
      <c r="TFJ288" s="22"/>
      <c r="TFK288" s="22"/>
      <c r="TFL288" s="22"/>
      <c r="TFM288" s="22"/>
      <c r="TFN288" s="22"/>
      <c r="TFO288" s="22"/>
      <c r="TFP288" s="22"/>
      <c r="TFQ288" s="22"/>
      <c r="TFR288" s="22"/>
      <c r="TFS288" s="22"/>
      <c r="TFT288" s="22"/>
      <c r="TFU288" s="22"/>
      <c r="TFV288" s="22"/>
      <c r="TFW288" s="22"/>
      <c r="TFX288" s="22"/>
      <c r="TFY288" s="22"/>
      <c r="TFZ288" s="22"/>
      <c r="TGA288" s="22"/>
      <c r="TGB288" s="22"/>
      <c r="TGC288" s="22"/>
      <c r="TGD288" s="22"/>
      <c r="TGE288" s="22"/>
      <c r="TGF288" s="22"/>
      <c r="TGG288" s="22"/>
      <c r="TGH288" s="22"/>
      <c r="TGI288" s="22"/>
      <c r="TGJ288" s="22"/>
      <c r="TGK288" s="22"/>
      <c r="TGL288" s="22"/>
      <c r="TGM288" s="22"/>
      <c r="TGN288" s="22"/>
      <c r="TGO288" s="22"/>
      <c r="TGP288" s="22"/>
      <c r="TGQ288" s="22"/>
      <c r="TGR288" s="22"/>
      <c r="TGS288" s="22"/>
      <c r="TGT288" s="22"/>
      <c r="TGU288" s="22"/>
      <c r="TGV288" s="22"/>
      <c r="TGW288" s="22"/>
      <c r="TGX288" s="22"/>
      <c r="TGY288" s="22"/>
      <c r="TGZ288" s="22"/>
      <c r="THA288" s="22"/>
      <c r="THB288" s="22"/>
      <c r="THC288" s="22"/>
      <c r="THD288" s="22"/>
      <c r="THE288" s="22"/>
      <c r="THF288" s="22"/>
      <c r="THG288" s="22"/>
      <c r="THH288" s="22"/>
      <c r="THI288" s="22"/>
      <c r="THJ288" s="22"/>
      <c r="THK288" s="22"/>
      <c r="THL288" s="22"/>
      <c r="THM288" s="22"/>
      <c r="THN288" s="22"/>
      <c r="THO288" s="22"/>
      <c r="THP288" s="22"/>
      <c r="THQ288" s="22"/>
      <c r="THR288" s="22"/>
      <c r="THS288" s="22"/>
      <c r="THT288" s="22"/>
      <c r="THU288" s="22"/>
      <c r="THV288" s="22"/>
      <c r="THW288" s="22"/>
      <c r="THX288" s="22"/>
      <c r="THY288" s="22"/>
      <c r="THZ288" s="22"/>
      <c r="TIA288" s="22"/>
      <c r="TIB288" s="22"/>
      <c r="TIC288" s="22"/>
      <c r="TID288" s="22"/>
      <c r="TIE288" s="22"/>
      <c r="TIF288" s="22"/>
      <c r="TIG288" s="22"/>
      <c r="TIH288" s="22"/>
      <c r="TII288" s="22"/>
      <c r="TIJ288" s="22"/>
      <c r="TIK288" s="22"/>
      <c r="TIL288" s="22"/>
      <c r="TIM288" s="22"/>
      <c r="TIN288" s="22"/>
      <c r="TIO288" s="22"/>
      <c r="TIP288" s="22"/>
      <c r="TIQ288" s="22"/>
      <c r="TIR288" s="22"/>
      <c r="TIS288" s="22"/>
      <c r="TIT288" s="22"/>
      <c r="TIU288" s="22"/>
      <c r="TIV288" s="22"/>
      <c r="TIW288" s="22"/>
      <c r="TIX288" s="22"/>
      <c r="TIY288" s="22"/>
      <c r="TIZ288" s="22"/>
      <c r="TJA288" s="22"/>
      <c r="TJB288" s="22"/>
      <c r="TJC288" s="22"/>
      <c r="TJD288" s="22"/>
      <c r="TJE288" s="22"/>
      <c r="TJF288" s="22"/>
      <c r="TJG288" s="22"/>
      <c r="TJH288" s="22"/>
      <c r="TJI288" s="22"/>
      <c r="TJJ288" s="22"/>
      <c r="TJK288" s="22"/>
      <c r="TJL288" s="22"/>
      <c r="TJM288" s="22"/>
      <c r="TJN288" s="22"/>
      <c r="TJO288" s="22"/>
      <c r="TJP288" s="22"/>
      <c r="TJQ288" s="22"/>
      <c r="TJR288" s="22"/>
      <c r="TJS288" s="22"/>
      <c r="TJT288" s="22"/>
      <c r="TJU288" s="22"/>
      <c r="TJV288" s="22"/>
      <c r="TJW288" s="22"/>
      <c r="TJX288" s="22"/>
      <c r="TJY288" s="22"/>
      <c r="TJZ288" s="22"/>
      <c r="TKA288" s="22"/>
      <c r="TKB288" s="22"/>
      <c r="TKC288" s="22"/>
      <c r="TKD288" s="22"/>
      <c r="TKE288" s="22"/>
      <c r="TKF288" s="22"/>
      <c r="TKG288" s="22"/>
      <c r="TKH288" s="22"/>
      <c r="TKI288" s="22"/>
      <c r="TKJ288" s="22"/>
      <c r="TKK288" s="22"/>
      <c r="TKL288" s="22"/>
      <c r="TKM288" s="22"/>
      <c r="TKN288" s="22"/>
      <c r="TKO288" s="22"/>
      <c r="TKP288" s="22"/>
      <c r="TKQ288" s="22"/>
      <c r="TKR288" s="22"/>
      <c r="TKS288" s="22"/>
      <c r="TKT288" s="22"/>
      <c r="TKU288" s="22"/>
      <c r="TKV288" s="22"/>
      <c r="TKW288" s="22"/>
      <c r="TKX288" s="22"/>
      <c r="TKY288" s="22"/>
      <c r="TKZ288" s="22"/>
      <c r="TLA288" s="22"/>
      <c r="TLB288" s="22"/>
      <c r="TLC288" s="22"/>
      <c r="TLD288" s="22"/>
      <c r="TLE288" s="22"/>
      <c r="TLF288" s="22"/>
      <c r="TLG288" s="22"/>
      <c r="TLH288" s="22"/>
      <c r="TLI288" s="22"/>
      <c r="TLJ288" s="22"/>
      <c r="TLK288" s="22"/>
      <c r="TLL288" s="22"/>
      <c r="TLM288" s="22"/>
      <c r="TLN288" s="22"/>
      <c r="TLO288" s="22"/>
      <c r="TLP288" s="22"/>
      <c r="TLQ288" s="22"/>
      <c r="TLR288" s="22"/>
      <c r="TLS288" s="22"/>
      <c r="TLT288" s="22"/>
      <c r="TLU288" s="22"/>
      <c r="TLV288" s="22"/>
      <c r="TLW288" s="22"/>
      <c r="TLX288" s="22"/>
      <c r="TLY288" s="22"/>
      <c r="TLZ288" s="22"/>
      <c r="TMA288" s="22"/>
      <c r="TMB288" s="22"/>
      <c r="TMC288" s="22"/>
      <c r="TMD288" s="22"/>
      <c r="TME288" s="22"/>
      <c r="TMF288" s="22"/>
      <c r="TMG288" s="22"/>
      <c r="TMH288" s="22"/>
      <c r="TMI288" s="22"/>
      <c r="TMJ288" s="22"/>
      <c r="TMK288" s="22"/>
      <c r="TML288" s="22"/>
      <c r="TMM288" s="22"/>
      <c r="TMN288" s="22"/>
      <c r="TMO288" s="22"/>
      <c r="TMP288" s="22"/>
      <c r="TMQ288" s="22"/>
      <c r="TMR288" s="22"/>
      <c r="TMS288" s="22"/>
      <c r="TMT288" s="22"/>
      <c r="TMU288" s="22"/>
      <c r="TMV288" s="22"/>
      <c r="TMW288" s="22"/>
      <c r="TMX288" s="22"/>
      <c r="TMY288" s="22"/>
      <c r="TMZ288" s="22"/>
      <c r="TNA288" s="22"/>
      <c r="TNB288" s="22"/>
      <c r="TNC288" s="22"/>
      <c r="TND288" s="22"/>
      <c r="TNE288" s="22"/>
      <c r="TNF288" s="22"/>
      <c r="TNG288" s="22"/>
      <c r="TNH288" s="22"/>
      <c r="TNI288" s="22"/>
      <c r="TNJ288" s="22"/>
      <c r="TNK288" s="22"/>
      <c r="TNL288" s="22"/>
      <c r="TNM288" s="22"/>
      <c r="TNN288" s="22"/>
      <c r="TNO288" s="22"/>
      <c r="TNP288" s="22"/>
      <c r="TNQ288" s="22"/>
      <c r="TNR288" s="22"/>
      <c r="TNS288" s="22"/>
      <c r="TNT288" s="22"/>
      <c r="TNU288" s="22"/>
      <c r="TNV288" s="22"/>
      <c r="TNW288" s="22"/>
      <c r="TNX288" s="22"/>
      <c r="TNY288" s="22"/>
      <c r="TNZ288" s="22"/>
      <c r="TOA288" s="22"/>
      <c r="TOB288" s="22"/>
      <c r="TOC288" s="22"/>
      <c r="TOD288" s="22"/>
      <c r="TOE288" s="22"/>
      <c r="TOF288" s="22"/>
      <c r="TOG288" s="22"/>
      <c r="TOH288" s="22"/>
      <c r="TOI288" s="22"/>
      <c r="TOJ288" s="22"/>
      <c r="TOK288" s="22"/>
      <c r="TOL288" s="22"/>
      <c r="TOM288" s="22"/>
      <c r="TON288" s="22"/>
      <c r="TOO288" s="22"/>
      <c r="TOP288" s="22"/>
      <c r="TOQ288" s="22"/>
      <c r="TOR288" s="22"/>
      <c r="TOS288" s="22"/>
      <c r="TOT288" s="22"/>
      <c r="TOU288" s="22"/>
      <c r="TOV288" s="22"/>
      <c r="TOW288" s="22"/>
      <c r="TOX288" s="22"/>
      <c r="TOY288" s="22"/>
      <c r="TOZ288" s="22"/>
      <c r="TPA288" s="22"/>
      <c r="TPB288" s="22"/>
      <c r="TPC288" s="22"/>
      <c r="TPD288" s="22"/>
      <c r="TPE288" s="22"/>
      <c r="TPF288" s="22"/>
      <c r="TPG288" s="22"/>
      <c r="TPH288" s="22"/>
      <c r="TPI288" s="22"/>
      <c r="TPJ288" s="22"/>
      <c r="TPK288" s="22"/>
      <c r="TPL288" s="22"/>
      <c r="TPM288" s="22"/>
      <c r="TPN288" s="22"/>
      <c r="TPO288" s="22"/>
      <c r="TPP288" s="22"/>
      <c r="TPQ288" s="22"/>
      <c r="TPR288" s="22"/>
      <c r="TPS288" s="22"/>
      <c r="TPT288" s="22"/>
      <c r="TPU288" s="22"/>
      <c r="TPV288" s="22"/>
      <c r="TPW288" s="22"/>
      <c r="TPX288" s="22"/>
      <c r="TPY288" s="22"/>
      <c r="TPZ288" s="22"/>
      <c r="TQA288" s="22"/>
      <c r="TQB288" s="22"/>
      <c r="TQC288" s="22"/>
      <c r="TQD288" s="22"/>
      <c r="TQE288" s="22"/>
      <c r="TQF288" s="22"/>
      <c r="TQG288" s="22"/>
      <c r="TQH288" s="22"/>
      <c r="TQI288" s="22"/>
      <c r="TQJ288" s="22"/>
      <c r="TQK288" s="22"/>
      <c r="TQL288" s="22"/>
      <c r="TQM288" s="22"/>
      <c r="TQN288" s="22"/>
      <c r="TQO288" s="22"/>
      <c r="TQP288" s="22"/>
      <c r="TQQ288" s="22"/>
      <c r="TQR288" s="22"/>
      <c r="TQS288" s="22"/>
      <c r="TQT288" s="22"/>
      <c r="TQU288" s="22"/>
      <c r="TQV288" s="22"/>
      <c r="TQW288" s="22"/>
      <c r="TQX288" s="22"/>
      <c r="TQY288" s="22"/>
      <c r="TQZ288" s="22"/>
      <c r="TRA288" s="22"/>
      <c r="TRB288" s="22"/>
      <c r="TRC288" s="22"/>
      <c r="TRD288" s="22"/>
      <c r="TRE288" s="22"/>
      <c r="TRF288" s="22"/>
      <c r="TRG288" s="22"/>
      <c r="TRH288" s="22"/>
      <c r="TRI288" s="22"/>
      <c r="TRJ288" s="22"/>
      <c r="TRK288" s="22"/>
      <c r="TRL288" s="22"/>
      <c r="TRM288" s="22"/>
      <c r="TRN288" s="22"/>
      <c r="TRO288" s="22"/>
      <c r="TRP288" s="22"/>
      <c r="TRQ288" s="22"/>
      <c r="TRR288" s="22"/>
      <c r="TRS288" s="22"/>
      <c r="TRT288" s="22"/>
      <c r="TRU288" s="22"/>
      <c r="TRV288" s="22"/>
      <c r="TRW288" s="22"/>
      <c r="TRX288" s="22"/>
      <c r="TRY288" s="22"/>
      <c r="TRZ288" s="22"/>
      <c r="TSA288" s="22"/>
      <c r="TSB288" s="22"/>
      <c r="TSC288" s="22"/>
      <c r="TSD288" s="22"/>
      <c r="TSE288" s="22"/>
      <c r="TSF288" s="22"/>
      <c r="TSG288" s="22"/>
      <c r="TSH288" s="22"/>
      <c r="TSI288" s="22"/>
      <c r="TSJ288" s="22"/>
      <c r="TSK288" s="22"/>
      <c r="TSL288" s="22"/>
      <c r="TSM288" s="22"/>
      <c r="TSN288" s="22"/>
      <c r="TSO288" s="22"/>
      <c r="TSP288" s="22"/>
      <c r="TSQ288" s="22"/>
      <c r="TSR288" s="22"/>
      <c r="TSS288" s="22"/>
      <c r="TST288" s="22"/>
      <c r="TSU288" s="22"/>
      <c r="TSV288" s="22"/>
      <c r="TSW288" s="22"/>
      <c r="TSX288" s="22"/>
      <c r="TSY288" s="22"/>
      <c r="TSZ288" s="22"/>
      <c r="TTA288" s="22"/>
      <c r="TTB288" s="22"/>
      <c r="TTC288" s="22"/>
      <c r="TTD288" s="22"/>
      <c r="TTE288" s="22"/>
      <c r="TTF288" s="22"/>
      <c r="TTG288" s="22"/>
      <c r="TTH288" s="22"/>
      <c r="TTI288" s="22"/>
      <c r="TTJ288" s="22"/>
      <c r="TTK288" s="22"/>
      <c r="TTL288" s="22"/>
      <c r="TTM288" s="22"/>
      <c r="TTN288" s="22"/>
      <c r="TTO288" s="22"/>
      <c r="TTP288" s="22"/>
      <c r="TTQ288" s="22"/>
      <c r="TTR288" s="22"/>
      <c r="TTS288" s="22"/>
      <c r="TTT288" s="22"/>
      <c r="TTU288" s="22"/>
      <c r="TTV288" s="22"/>
      <c r="TTW288" s="22"/>
      <c r="TTX288" s="22"/>
      <c r="TTY288" s="22"/>
      <c r="TTZ288" s="22"/>
      <c r="TUA288" s="22"/>
      <c r="TUB288" s="22"/>
      <c r="TUC288" s="22"/>
      <c r="TUD288" s="22"/>
      <c r="TUE288" s="22"/>
      <c r="TUF288" s="22"/>
      <c r="TUG288" s="22"/>
      <c r="TUH288" s="22"/>
      <c r="TUI288" s="22"/>
      <c r="TUJ288" s="22"/>
      <c r="TUK288" s="22"/>
      <c r="TUL288" s="22"/>
      <c r="TUM288" s="22"/>
      <c r="TUN288" s="22"/>
      <c r="TUO288" s="22"/>
      <c r="TUP288" s="22"/>
      <c r="TUQ288" s="22"/>
      <c r="TUR288" s="22"/>
      <c r="TUS288" s="22"/>
      <c r="TUT288" s="22"/>
      <c r="TUU288" s="22"/>
      <c r="TUV288" s="22"/>
      <c r="TUW288" s="22"/>
      <c r="TUX288" s="22"/>
      <c r="TUY288" s="22"/>
      <c r="TUZ288" s="22"/>
      <c r="TVA288" s="22"/>
      <c r="TVB288" s="22"/>
      <c r="TVC288" s="22"/>
      <c r="TVD288" s="22"/>
      <c r="TVE288" s="22"/>
      <c r="TVF288" s="22"/>
      <c r="TVG288" s="22"/>
      <c r="TVH288" s="22"/>
      <c r="TVI288" s="22"/>
      <c r="TVJ288" s="22"/>
      <c r="TVK288" s="22"/>
      <c r="TVL288" s="22"/>
      <c r="TVM288" s="22"/>
      <c r="TVN288" s="22"/>
      <c r="TVO288" s="22"/>
      <c r="TVP288" s="22"/>
      <c r="TVQ288" s="22"/>
      <c r="TVR288" s="22"/>
      <c r="TVS288" s="22"/>
      <c r="TVT288" s="22"/>
      <c r="TVU288" s="22"/>
      <c r="TVV288" s="22"/>
      <c r="TVW288" s="22"/>
      <c r="TVX288" s="22"/>
      <c r="TVY288" s="22"/>
      <c r="TVZ288" s="22"/>
      <c r="TWA288" s="22"/>
      <c r="TWB288" s="22"/>
      <c r="TWC288" s="22"/>
      <c r="TWD288" s="22"/>
      <c r="TWE288" s="22"/>
      <c r="TWF288" s="22"/>
      <c r="TWG288" s="22"/>
      <c r="TWH288" s="22"/>
      <c r="TWI288" s="22"/>
      <c r="TWJ288" s="22"/>
      <c r="TWK288" s="22"/>
      <c r="TWL288" s="22"/>
      <c r="TWM288" s="22"/>
      <c r="TWN288" s="22"/>
      <c r="TWO288" s="22"/>
      <c r="TWP288" s="22"/>
      <c r="TWQ288" s="22"/>
      <c r="TWR288" s="22"/>
      <c r="TWS288" s="22"/>
      <c r="TWT288" s="22"/>
      <c r="TWU288" s="22"/>
      <c r="TWV288" s="22"/>
      <c r="TWW288" s="22"/>
      <c r="TWX288" s="22"/>
      <c r="TWY288" s="22"/>
      <c r="TWZ288" s="22"/>
      <c r="TXA288" s="22"/>
      <c r="TXB288" s="22"/>
      <c r="TXC288" s="22"/>
      <c r="TXD288" s="22"/>
      <c r="TXE288" s="22"/>
      <c r="TXF288" s="22"/>
      <c r="TXG288" s="22"/>
      <c r="TXH288" s="22"/>
      <c r="TXI288" s="22"/>
      <c r="TXJ288" s="22"/>
      <c r="TXK288" s="22"/>
      <c r="TXL288" s="22"/>
      <c r="TXM288" s="22"/>
      <c r="TXN288" s="22"/>
      <c r="TXO288" s="22"/>
      <c r="TXP288" s="22"/>
      <c r="TXQ288" s="22"/>
      <c r="TXR288" s="22"/>
      <c r="TXS288" s="22"/>
      <c r="TXT288" s="22"/>
      <c r="TXU288" s="22"/>
      <c r="TXV288" s="22"/>
      <c r="TXW288" s="22"/>
      <c r="TXX288" s="22"/>
      <c r="TXY288" s="22"/>
      <c r="TXZ288" s="22"/>
      <c r="TYA288" s="22"/>
      <c r="TYB288" s="22"/>
      <c r="TYC288" s="22"/>
      <c r="TYD288" s="22"/>
      <c r="TYE288" s="22"/>
      <c r="TYF288" s="22"/>
      <c r="TYG288" s="22"/>
      <c r="TYH288" s="22"/>
      <c r="TYI288" s="22"/>
      <c r="TYJ288" s="22"/>
      <c r="TYK288" s="22"/>
      <c r="TYL288" s="22"/>
      <c r="TYM288" s="22"/>
      <c r="TYN288" s="22"/>
      <c r="TYO288" s="22"/>
      <c r="TYP288" s="22"/>
      <c r="TYQ288" s="22"/>
      <c r="TYR288" s="22"/>
      <c r="TYS288" s="22"/>
      <c r="TYT288" s="22"/>
      <c r="TYU288" s="22"/>
      <c r="TYV288" s="22"/>
      <c r="TYW288" s="22"/>
      <c r="TYX288" s="22"/>
      <c r="TYY288" s="22"/>
      <c r="TYZ288" s="22"/>
      <c r="TZA288" s="22"/>
      <c r="TZB288" s="22"/>
      <c r="TZC288" s="22"/>
      <c r="TZD288" s="22"/>
      <c r="TZE288" s="22"/>
      <c r="TZF288" s="22"/>
      <c r="TZG288" s="22"/>
      <c r="TZH288" s="22"/>
      <c r="TZI288" s="22"/>
      <c r="TZJ288" s="22"/>
      <c r="TZK288" s="22"/>
      <c r="TZL288" s="22"/>
      <c r="TZM288" s="22"/>
      <c r="TZN288" s="22"/>
      <c r="TZO288" s="22"/>
      <c r="TZP288" s="22"/>
      <c r="TZQ288" s="22"/>
      <c r="TZR288" s="22"/>
      <c r="TZS288" s="22"/>
      <c r="TZT288" s="22"/>
      <c r="TZU288" s="22"/>
      <c r="TZV288" s="22"/>
      <c r="TZW288" s="22"/>
      <c r="TZX288" s="22"/>
      <c r="TZY288" s="22"/>
      <c r="TZZ288" s="22"/>
      <c r="UAA288" s="22"/>
      <c r="UAB288" s="22"/>
      <c r="UAC288" s="22"/>
      <c r="UAD288" s="22"/>
      <c r="UAE288" s="22"/>
      <c r="UAF288" s="22"/>
      <c r="UAG288" s="22"/>
      <c r="UAH288" s="22"/>
      <c r="UAI288" s="22"/>
      <c r="UAJ288" s="22"/>
      <c r="UAK288" s="22"/>
      <c r="UAL288" s="22"/>
      <c r="UAM288" s="22"/>
      <c r="UAN288" s="22"/>
      <c r="UAO288" s="22"/>
      <c r="UAP288" s="22"/>
      <c r="UAQ288" s="22"/>
      <c r="UAR288" s="22"/>
      <c r="UAS288" s="22"/>
      <c r="UAT288" s="22"/>
      <c r="UAU288" s="22"/>
      <c r="UAV288" s="22"/>
      <c r="UAW288" s="22"/>
      <c r="UAX288" s="22"/>
      <c r="UAY288" s="22"/>
      <c r="UAZ288" s="22"/>
      <c r="UBA288" s="22"/>
      <c r="UBB288" s="22"/>
      <c r="UBC288" s="22"/>
      <c r="UBD288" s="22"/>
      <c r="UBE288" s="22"/>
      <c r="UBF288" s="22"/>
      <c r="UBG288" s="22"/>
      <c r="UBH288" s="22"/>
      <c r="UBI288" s="22"/>
      <c r="UBJ288" s="22"/>
      <c r="UBK288" s="22"/>
      <c r="UBL288" s="22"/>
      <c r="UBM288" s="22"/>
      <c r="UBN288" s="22"/>
      <c r="UBO288" s="22"/>
      <c r="UBP288" s="22"/>
      <c r="UBQ288" s="22"/>
      <c r="UBR288" s="22"/>
      <c r="UBS288" s="22"/>
      <c r="UBT288" s="22"/>
      <c r="UBU288" s="22"/>
      <c r="UBV288" s="22"/>
      <c r="UBW288" s="22"/>
      <c r="UBX288" s="22"/>
      <c r="UBY288" s="22"/>
      <c r="UBZ288" s="22"/>
      <c r="UCA288" s="22"/>
      <c r="UCB288" s="22"/>
      <c r="UCC288" s="22"/>
      <c r="UCD288" s="22"/>
      <c r="UCE288" s="22"/>
      <c r="UCF288" s="22"/>
      <c r="UCG288" s="22"/>
      <c r="UCH288" s="22"/>
      <c r="UCI288" s="22"/>
      <c r="UCJ288" s="22"/>
      <c r="UCK288" s="22"/>
      <c r="UCL288" s="22"/>
      <c r="UCM288" s="22"/>
      <c r="UCN288" s="22"/>
      <c r="UCO288" s="22"/>
      <c r="UCP288" s="22"/>
      <c r="UCQ288" s="22"/>
      <c r="UCR288" s="22"/>
      <c r="UCS288" s="22"/>
      <c r="UCT288" s="22"/>
      <c r="UCU288" s="22"/>
      <c r="UCV288" s="22"/>
      <c r="UCW288" s="22"/>
      <c r="UCX288" s="22"/>
      <c r="UCY288" s="22"/>
      <c r="UCZ288" s="22"/>
      <c r="UDA288" s="22"/>
      <c r="UDB288" s="22"/>
      <c r="UDC288" s="22"/>
      <c r="UDD288" s="22"/>
      <c r="UDE288" s="22"/>
      <c r="UDF288" s="22"/>
      <c r="UDG288" s="22"/>
      <c r="UDH288" s="22"/>
      <c r="UDI288" s="22"/>
      <c r="UDJ288" s="22"/>
      <c r="UDK288" s="22"/>
      <c r="UDL288" s="22"/>
      <c r="UDM288" s="22"/>
      <c r="UDN288" s="22"/>
      <c r="UDO288" s="22"/>
      <c r="UDP288" s="22"/>
      <c r="UDQ288" s="22"/>
      <c r="UDR288" s="22"/>
      <c r="UDS288" s="22"/>
      <c r="UDT288" s="22"/>
      <c r="UDU288" s="22"/>
      <c r="UDV288" s="22"/>
      <c r="UDW288" s="22"/>
      <c r="UDX288" s="22"/>
      <c r="UDY288" s="22"/>
      <c r="UDZ288" s="22"/>
      <c r="UEA288" s="22"/>
      <c r="UEB288" s="22"/>
      <c r="UEC288" s="22"/>
      <c r="UED288" s="22"/>
      <c r="UEE288" s="22"/>
      <c r="UEF288" s="22"/>
      <c r="UEG288" s="22"/>
      <c r="UEH288" s="22"/>
      <c r="UEI288" s="22"/>
      <c r="UEJ288" s="22"/>
      <c r="UEK288" s="22"/>
      <c r="UEL288" s="22"/>
      <c r="UEM288" s="22"/>
      <c r="UEN288" s="22"/>
      <c r="UEO288" s="22"/>
      <c r="UEP288" s="22"/>
      <c r="UEQ288" s="22"/>
      <c r="UER288" s="22"/>
      <c r="UES288" s="22"/>
      <c r="UET288" s="22"/>
      <c r="UEU288" s="22"/>
      <c r="UEV288" s="22"/>
      <c r="UEW288" s="22"/>
      <c r="UEX288" s="22"/>
      <c r="UEY288" s="22"/>
      <c r="UEZ288" s="22"/>
      <c r="UFA288" s="22"/>
      <c r="UFB288" s="22"/>
      <c r="UFC288" s="22"/>
      <c r="UFD288" s="22"/>
      <c r="UFE288" s="22"/>
      <c r="UFF288" s="22"/>
      <c r="UFG288" s="22"/>
      <c r="UFH288" s="22"/>
      <c r="UFI288" s="22"/>
      <c r="UFJ288" s="22"/>
      <c r="UFK288" s="22"/>
      <c r="UFL288" s="22"/>
      <c r="UFM288" s="22"/>
      <c r="UFN288" s="22"/>
      <c r="UFO288" s="22"/>
      <c r="UFP288" s="22"/>
      <c r="UFQ288" s="22"/>
      <c r="UFR288" s="22"/>
      <c r="UFS288" s="22"/>
      <c r="UFT288" s="22"/>
      <c r="UFU288" s="22"/>
      <c r="UFV288" s="22"/>
      <c r="UFW288" s="22"/>
      <c r="UFX288" s="22"/>
      <c r="UFY288" s="22"/>
      <c r="UFZ288" s="22"/>
      <c r="UGA288" s="22"/>
      <c r="UGB288" s="22"/>
      <c r="UGC288" s="22"/>
      <c r="UGD288" s="22"/>
      <c r="UGE288" s="22"/>
      <c r="UGF288" s="22"/>
      <c r="UGG288" s="22"/>
      <c r="UGH288" s="22"/>
      <c r="UGI288" s="22"/>
      <c r="UGJ288" s="22"/>
      <c r="UGK288" s="22"/>
      <c r="UGL288" s="22"/>
      <c r="UGM288" s="22"/>
      <c r="UGN288" s="22"/>
      <c r="UGO288" s="22"/>
      <c r="UGP288" s="22"/>
      <c r="UGQ288" s="22"/>
      <c r="UGR288" s="22"/>
      <c r="UGS288" s="22"/>
      <c r="UGT288" s="22"/>
      <c r="UGU288" s="22"/>
      <c r="UGV288" s="22"/>
      <c r="UGW288" s="22"/>
      <c r="UGX288" s="22"/>
      <c r="UGY288" s="22"/>
      <c r="UGZ288" s="22"/>
      <c r="UHA288" s="22"/>
      <c r="UHB288" s="22"/>
      <c r="UHC288" s="22"/>
      <c r="UHD288" s="22"/>
      <c r="UHE288" s="22"/>
      <c r="UHF288" s="22"/>
      <c r="UHG288" s="22"/>
      <c r="UHH288" s="22"/>
      <c r="UHI288" s="22"/>
      <c r="UHJ288" s="22"/>
      <c r="UHK288" s="22"/>
      <c r="UHL288" s="22"/>
      <c r="UHM288" s="22"/>
      <c r="UHN288" s="22"/>
      <c r="UHO288" s="22"/>
      <c r="UHP288" s="22"/>
      <c r="UHQ288" s="22"/>
      <c r="UHR288" s="22"/>
      <c r="UHS288" s="22"/>
      <c r="UHT288" s="22"/>
      <c r="UHU288" s="22"/>
      <c r="UHV288" s="22"/>
      <c r="UHW288" s="22"/>
      <c r="UHX288" s="22"/>
      <c r="UHY288" s="22"/>
      <c r="UHZ288" s="22"/>
      <c r="UIA288" s="22"/>
      <c r="UIB288" s="22"/>
      <c r="UIC288" s="22"/>
      <c r="UID288" s="22"/>
      <c r="UIE288" s="22"/>
      <c r="UIF288" s="22"/>
      <c r="UIG288" s="22"/>
      <c r="UIH288" s="22"/>
      <c r="UII288" s="22"/>
      <c r="UIJ288" s="22"/>
      <c r="UIK288" s="22"/>
      <c r="UIL288" s="22"/>
      <c r="UIM288" s="22"/>
      <c r="UIN288" s="22"/>
      <c r="UIO288" s="22"/>
      <c r="UIP288" s="22"/>
      <c r="UIQ288" s="22"/>
      <c r="UIR288" s="22"/>
      <c r="UIS288" s="22"/>
      <c r="UIT288" s="22"/>
      <c r="UIU288" s="22"/>
      <c r="UIV288" s="22"/>
      <c r="UIW288" s="22"/>
      <c r="UIX288" s="22"/>
      <c r="UIY288" s="22"/>
      <c r="UIZ288" s="22"/>
      <c r="UJA288" s="22"/>
      <c r="UJB288" s="22"/>
      <c r="UJC288" s="22"/>
      <c r="UJD288" s="22"/>
      <c r="UJE288" s="22"/>
      <c r="UJF288" s="22"/>
      <c r="UJG288" s="22"/>
      <c r="UJH288" s="22"/>
      <c r="UJI288" s="22"/>
      <c r="UJJ288" s="22"/>
      <c r="UJK288" s="22"/>
      <c r="UJL288" s="22"/>
      <c r="UJM288" s="22"/>
      <c r="UJN288" s="22"/>
      <c r="UJO288" s="22"/>
      <c r="UJP288" s="22"/>
      <c r="UJQ288" s="22"/>
      <c r="UJR288" s="22"/>
      <c r="UJS288" s="22"/>
      <c r="UJT288" s="22"/>
      <c r="UJU288" s="22"/>
      <c r="UJV288" s="22"/>
      <c r="UJW288" s="22"/>
      <c r="UJX288" s="22"/>
      <c r="UJY288" s="22"/>
      <c r="UJZ288" s="22"/>
      <c r="UKA288" s="22"/>
      <c r="UKB288" s="22"/>
      <c r="UKC288" s="22"/>
      <c r="UKD288" s="22"/>
      <c r="UKE288" s="22"/>
      <c r="UKF288" s="22"/>
      <c r="UKG288" s="22"/>
      <c r="UKH288" s="22"/>
      <c r="UKI288" s="22"/>
      <c r="UKJ288" s="22"/>
      <c r="UKK288" s="22"/>
      <c r="UKL288" s="22"/>
      <c r="UKM288" s="22"/>
      <c r="UKN288" s="22"/>
      <c r="UKO288" s="22"/>
      <c r="UKP288" s="22"/>
      <c r="UKQ288" s="22"/>
      <c r="UKR288" s="22"/>
      <c r="UKS288" s="22"/>
      <c r="UKT288" s="22"/>
      <c r="UKU288" s="22"/>
      <c r="UKV288" s="22"/>
      <c r="UKW288" s="22"/>
      <c r="UKX288" s="22"/>
      <c r="UKY288" s="22"/>
      <c r="UKZ288" s="22"/>
      <c r="ULA288" s="22"/>
      <c r="ULB288" s="22"/>
      <c r="ULC288" s="22"/>
      <c r="ULD288" s="22"/>
      <c r="ULE288" s="22"/>
      <c r="ULF288" s="22"/>
      <c r="ULG288" s="22"/>
      <c r="ULH288" s="22"/>
      <c r="ULI288" s="22"/>
      <c r="ULJ288" s="22"/>
      <c r="ULK288" s="22"/>
      <c r="ULL288" s="22"/>
      <c r="ULM288" s="22"/>
      <c r="ULN288" s="22"/>
      <c r="ULO288" s="22"/>
      <c r="ULP288" s="22"/>
      <c r="ULQ288" s="22"/>
      <c r="ULR288" s="22"/>
      <c r="ULS288" s="22"/>
      <c r="ULT288" s="22"/>
      <c r="ULU288" s="22"/>
      <c r="ULV288" s="22"/>
      <c r="ULW288" s="22"/>
      <c r="ULX288" s="22"/>
      <c r="ULY288" s="22"/>
      <c r="ULZ288" s="22"/>
      <c r="UMA288" s="22"/>
      <c r="UMB288" s="22"/>
      <c r="UMC288" s="22"/>
      <c r="UMD288" s="22"/>
      <c r="UME288" s="22"/>
      <c r="UMF288" s="22"/>
      <c r="UMG288" s="22"/>
      <c r="UMH288" s="22"/>
      <c r="UMI288" s="22"/>
      <c r="UMJ288" s="22"/>
      <c r="UMK288" s="22"/>
      <c r="UML288" s="22"/>
      <c r="UMM288" s="22"/>
      <c r="UMN288" s="22"/>
      <c r="UMO288" s="22"/>
      <c r="UMP288" s="22"/>
      <c r="UMQ288" s="22"/>
      <c r="UMR288" s="22"/>
      <c r="UMS288" s="22"/>
      <c r="UMT288" s="22"/>
      <c r="UMU288" s="22"/>
      <c r="UMV288" s="22"/>
      <c r="UMW288" s="22"/>
      <c r="UMX288" s="22"/>
      <c r="UMY288" s="22"/>
      <c r="UMZ288" s="22"/>
      <c r="UNA288" s="22"/>
      <c r="UNB288" s="22"/>
      <c r="UNC288" s="22"/>
      <c r="UND288" s="22"/>
      <c r="UNE288" s="22"/>
      <c r="UNF288" s="22"/>
      <c r="UNG288" s="22"/>
      <c r="UNH288" s="22"/>
      <c r="UNI288" s="22"/>
      <c r="UNJ288" s="22"/>
      <c r="UNK288" s="22"/>
      <c r="UNL288" s="22"/>
      <c r="UNM288" s="22"/>
      <c r="UNN288" s="22"/>
      <c r="UNO288" s="22"/>
      <c r="UNP288" s="22"/>
      <c r="UNQ288" s="22"/>
      <c r="UNR288" s="22"/>
      <c r="UNS288" s="22"/>
      <c r="UNT288" s="22"/>
      <c r="UNU288" s="22"/>
      <c r="UNV288" s="22"/>
      <c r="UNW288" s="22"/>
      <c r="UNX288" s="22"/>
      <c r="UNY288" s="22"/>
      <c r="UNZ288" s="22"/>
      <c r="UOA288" s="22"/>
      <c r="UOB288" s="22"/>
      <c r="UOC288" s="22"/>
      <c r="UOD288" s="22"/>
      <c r="UOE288" s="22"/>
      <c r="UOF288" s="22"/>
      <c r="UOG288" s="22"/>
      <c r="UOH288" s="22"/>
      <c r="UOI288" s="22"/>
      <c r="UOJ288" s="22"/>
      <c r="UOK288" s="22"/>
      <c r="UOL288" s="22"/>
      <c r="UOM288" s="22"/>
      <c r="UON288" s="22"/>
      <c r="UOO288" s="22"/>
      <c r="UOP288" s="22"/>
      <c r="UOQ288" s="22"/>
      <c r="UOR288" s="22"/>
      <c r="UOS288" s="22"/>
      <c r="UOT288" s="22"/>
      <c r="UOU288" s="22"/>
      <c r="UOV288" s="22"/>
      <c r="UOW288" s="22"/>
      <c r="UOX288" s="22"/>
      <c r="UOY288" s="22"/>
      <c r="UOZ288" s="22"/>
      <c r="UPA288" s="22"/>
      <c r="UPB288" s="22"/>
      <c r="UPC288" s="22"/>
      <c r="UPD288" s="22"/>
      <c r="UPE288" s="22"/>
      <c r="UPF288" s="22"/>
      <c r="UPG288" s="22"/>
      <c r="UPH288" s="22"/>
      <c r="UPI288" s="22"/>
      <c r="UPJ288" s="22"/>
      <c r="UPK288" s="22"/>
      <c r="UPL288" s="22"/>
      <c r="UPM288" s="22"/>
      <c r="UPN288" s="22"/>
      <c r="UPO288" s="22"/>
      <c r="UPP288" s="22"/>
      <c r="UPQ288" s="22"/>
      <c r="UPR288" s="22"/>
      <c r="UPS288" s="22"/>
      <c r="UPT288" s="22"/>
      <c r="UPU288" s="22"/>
      <c r="UPV288" s="22"/>
      <c r="UPW288" s="22"/>
      <c r="UPX288" s="22"/>
      <c r="UPY288" s="22"/>
      <c r="UPZ288" s="22"/>
      <c r="UQA288" s="22"/>
      <c r="UQB288" s="22"/>
      <c r="UQC288" s="22"/>
      <c r="UQD288" s="22"/>
      <c r="UQE288" s="22"/>
      <c r="UQF288" s="22"/>
      <c r="UQG288" s="22"/>
      <c r="UQH288" s="22"/>
      <c r="UQI288" s="22"/>
      <c r="UQJ288" s="22"/>
      <c r="UQK288" s="22"/>
      <c r="UQL288" s="22"/>
      <c r="UQM288" s="22"/>
      <c r="UQN288" s="22"/>
      <c r="UQO288" s="22"/>
      <c r="UQP288" s="22"/>
      <c r="UQQ288" s="22"/>
      <c r="UQR288" s="22"/>
      <c r="UQS288" s="22"/>
      <c r="UQT288" s="22"/>
      <c r="UQU288" s="22"/>
      <c r="UQV288" s="22"/>
      <c r="UQW288" s="22"/>
      <c r="UQX288" s="22"/>
      <c r="UQY288" s="22"/>
      <c r="UQZ288" s="22"/>
      <c r="URA288" s="22"/>
      <c r="URB288" s="22"/>
      <c r="URC288" s="22"/>
      <c r="URD288" s="22"/>
      <c r="URE288" s="22"/>
      <c r="URF288" s="22"/>
      <c r="URG288" s="22"/>
      <c r="URH288" s="22"/>
      <c r="URI288" s="22"/>
      <c r="URJ288" s="22"/>
      <c r="URK288" s="22"/>
      <c r="URL288" s="22"/>
      <c r="URM288" s="22"/>
      <c r="URN288" s="22"/>
      <c r="URO288" s="22"/>
      <c r="URP288" s="22"/>
      <c r="URQ288" s="22"/>
      <c r="URR288" s="22"/>
      <c r="URS288" s="22"/>
      <c r="URT288" s="22"/>
      <c r="URU288" s="22"/>
      <c r="URV288" s="22"/>
      <c r="URW288" s="22"/>
      <c r="URX288" s="22"/>
      <c r="URY288" s="22"/>
      <c r="URZ288" s="22"/>
      <c r="USA288" s="22"/>
      <c r="USB288" s="22"/>
      <c r="USC288" s="22"/>
      <c r="USD288" s="22"/>
      <c r="USE288" s="22"/>
      <c r="USF288" s="22"/>
      <c r="USG288" s="22"/>
      <c r="USH288" s="22"/>
      <c r="USI288" s="22"/>
      <c r="USJ288" s="22"/>
      <c r="USK288" s="22"/>
      <c r="USL288" s="22"/>
      <c r="USM288" s="22"/>
      <c r="USN288" s="22"/>
      <c r="USO288" s="22"/>
      <c r="USP288" s="22"/>
      <c r="USQ288" s="22"/>
      <c r="USR288" s="22"/>
      <c r="USS288" s="22"/>
      <c r="UST288" s="22"/>
      <c r="USU288" s="22"/>
      <c r="USV288" s="22"/>
      <c r="USW288" s="22"/>
      <c r="USX288" s="22"/>
      <c r="USY288" s="22"/>
      <c r="USZ288" s="22"/>
      <c r="UTA288" s="22"/>
      <c r="UTB288" s="22"/>
      <c r="UTC288" s="22"/>
      <c r="UTD288" s="22"/>
      <c r="UTE288" s="22"/>
      <c r="UTF288" s="22"/>
      <c r="UTG288" s="22"/>
      <c r="UTH288" s="22"/>
      <c r="UTI288" s="22"/>
      <c r="UTJ288" s="22"/>
      <c r="UTK288" s="22"/>
      <c r="UTL288" s="22"/>
      <c r="UTM288" s="22"/>
      <c r="UTN288" s="22"/>
      <c r="UTO288" s="22"/>
      <c r="UTP288" s="22"/>
      <c r="UTQ288" s="22"/>
      <c r="UTR288" s="22"/>
      <c r="UTS288" s="22"/>
      <c r="UTT288" s="22"/>
      <c r="UTU288" s="22"/>
      <c r="UTV288" s="22"/>
      <c r="UTW288" s="22"/>
      <c r="UTX288" s="22"/>
      <c r="UTY288" s="22"/>
      <c r="UTZ288" s="22"/>
      <c r="UUA288" s="22"/>
      <c r="UUB288" s="22"/>
      <c r="UUC288" s="22"/>
      <c r="UUD288" s="22"/>
      <c r="UUE288" s="22"/>
      <c r="UUF288" s="22"/>
      <c r="UUG288" s="22"/>
      <c r="UUH288" s="22"/>
      <c r="UUI288" s="22"/>
      <c r="UUJ288" s="22"/>
      <c r="UUK288" s="22"/>
      <c r="UUL288" s="22"/>
      <c r="UUM288" s="22"/>
      <c r="UUN288" s="22"/>
      <c r="UUO288" s="22"/>
      <c r="UUP288" s="22"/>
      <c r="UUQ288" s="22"/>
      <c r="UUR288" s="22"/>
      <c r="UUS288" s="22"/>
      <c r="UUT288" s="22"/>
      <c r="UUU288" s="22"/>
      <c r="UUV288" s="22"/>
      <c r="UUW288" s="22"/>
      <c r="UUX288" s="22"/>
      <c r="UUY288" s="22"/>
      <c r="UUZ288" s="22"/>
      <c r="UVA288" s="22"/>
      <c r="UVB288" s="22"/>
      <c r="UVC288" s="22"/>
      <c r="UVD288" s="22"/>
      <c r="UVE288" s="22"/>
      <c r="UVF288" s="22"/>
      <c r="UVG288" s="22"/>
      <c r="UVH288" s="22"/>
      <c r="UVI288" s="22"/>
      <c r="UVJ288" s="22"/>
      <c r="UVK288" s="22"/>
      <c r="UVL288" s="22"/>
      <c r="UVM288" s="22"/>
      <c r="UVN288" s="22"/>
      <c r="UVO288" s="22"/>
      <c r="UVP288" s="22"/>
      <c r="UVQ288" s="22"/>
      <c r="UVR288" s="22"/>
      <c r="UVS288" s="22"/>
      <c r="UVT288" s="22"/>
      <c r="UVU288" s="22"/>
      <c r="UVV288" s="22"/>
      <c r="UVW288" s="22"/>
      <c r="UVX288" s="22"/>
      <c r="UVY288" s="22"/>
      <c r="UVZ288" s="22"/>
      <c r="UWA288" s="22"/>
      <c r="UWB288" s="22"/>
      <c r="UWC288" s="22"/>
      <c r="UWD288" s="22"/>
      <c r="UWE288" s="22"/>
      <c r="UWF288" s="22"/>
      <c r="UWG288" s="22"/>
      <c r="UWH288" s="22"/>
      <c r="UWI288" s="22"/>
      <c r="UWJ288" s="22"/>
      <c r="UWK288" s="22"/>
      <c r="UWL288" s="22"/>
      <c r="UWM288" s="22"/>
      <c r="UWN288" s="22"/>
      <c r="UWO288" s="22"/>
      <c r="UWP288" s="22"/>
      <c r="UWQ288" s="22"/>
      <c r="UWR288" s="22"/>
      <c r="UWS288" s="22"/>
      <c r="UWT288" s="22"/>
      <c r="UWU288" s="22"/>
      <c r="UWV288" s="22"/>
      <c r="UWW288" s="22"/>
      <c r="UWX288" s="22"/>
      <c r="UWY288" s="22"/>
      <c r="UWZ288" s="22"/>
      <c r="UXA288" s="22"/>
      <c r="UXB288" s="22"/>
      <c r="UXC288" s="22"/>
      <c r="UXD288" s="22"/>
      <c r="UXE288" s="22"/>
      <c r="UXF288" s="22"/>
      <c r="UXG288" s="22"/>
      <c r="UXH288" s="22"/>
      <c r="UXI288" s="22"/>
      <c r="UXJ288" s="22"/>
      <c r="UXK288" s="22"/>
      <c r="UXL288" s="22"/>
      <c r="UXM288" s="22"/>
      <c r="UXN288" s="22"/>
      <c r="UXO288" s="22"/>
      <c r="UXP288" s="22"/>
      <c r="UXQ288" s="22"/>
      <c r="UXR288" s="22"/>
      <c r="UXS288" s="22"/>
      <c r="UXT288" s="22"/>
      <c r="UXU288" s="22"/>
      <c r="UXV288" s="22"/>
      <c r="UXW288" s="22"/>
      <c r="UXX288" s="22"/>
      <c r="UXY288" s="22"/>
      <c r="UXZ288" s="22"/>
      <c r="UYA288" s="22"/>
      <c r="UYB288" s="22"/>
      <c r="UYC288" s="22"/>
      <c r="UYD288" s="22"/>
      <c r="UYE288" s="22"/>
      <c r="UYF288" s="22"/>
      <c r="UYG288" s="22"/>
      <c r="UYH288" s="22"/>
      <c r="UYI288" s="22"/>
      <c r="UYJ288" s="22"/>
      <c r="UYK288" s="22"/>
      <c r="UYL288" s="22"/>
      <c r="UYM288" s="22"/>
      <c r="UYN288" s="22"/>
      <c r="UYO288" s="22"/>
      <c r="UYP288" s="22"/>
      <c r="UYQ288" s="22"/>
      <c r="UYR288" s="22"/>
      <c r="UYS288" s="22"/>
      <c r="UYT288" s="22"/>
      <c r="UYU288" s="22"/>
      <c r="UYV288" s="22"/>
      <c r="UYW288" s="22"/>
      <c r="UYX288" s="22"/>
      <c r="UYY288" s="22"/>
      <c r="UYZ288" s="22"/>
      <c r="UZA288" s="22"/>
      <c r="UZB288" s="22"/>
      <c r="UZC288" s="22"/>
      <c r="UZD288" s="22"/>
      <c r="UZE288" s="22"/>
      <c r="UZF288" s="22"/>
      <c r="UZG288" s="22"/>
      <c r="UZH288" s="22"/>
      <c r="UZI288" s="22"/>
      <c r="UZJ288" s="22"/>
      <c r="UZK288" s="22"/>
      <c r="UZL288" s="22"/>
      <c r="UZM288" s="22"/>
      <c r="UZN288" s="22"/>
      <c r="UZO288" s="22"/>
      <c r="UZP288" s="22"/>
      <c r="UZQ288" s="22"/>
      <c r="UZR288" s="22"/>
      <c r="UZS288" s="22"/>
      <c r="UZT288" s="22"/>
      <c r="UZU288" s="22"/>
      <c r="UZV288" s="22"/>
      <c r="UZW288" s="22"/>
      <c r="UZX288" s="22"/>
      <c r="UZY288" s="22"/>
      <c r="UZZ288" s="22"/>
      <c r="VAA288" s="22"/>
      <c r="VAB288" s="22"/>
      <c r="VAC288" s="22"/>
      <c r="VAD288" s="22"/>
      <c r="VAE288" s="22"/>
      <c r="VAF288" s="22"/>
      <c r="VAG288" s="22"/>
      <c r="VAH288" s="22"/>
      <c r="VAI288" s="22"/>
      <c r="VAJ288" s="22"/>
      <c r="VAK288" s="22"/>
      <c r="VAL288" s="22"/>
      <c r="VAM288" s="22"/>
      <c r="VAN288" s="22"/>
      <c r="VAO288" s="22"/>
      <c r="VAP288" s="22"/>
      <c r="VAQ288" s="22"/>
      <c r="VAR288" s="22"/>
      <c r="VAS288" s="22"/>
      <c r="VAT288" s="22"/>
      <c r="VAU288" s="22"/>
      <c r="VAV288" s="22"/>
      <c r="VAW288" s="22"/>
      <c r="VAX288" s="22"/>
      <c r="VAY288" s="22"/>
      <c r="VAZ288" s="22"/>
      <c r="VBA288" s="22"/>
      <c r="VBB288" s="22"/>
      <c r="VBC288" s="22"/>
      <c r="VBD288" s="22"/>
      <c r="VBE288" s="22"/>
      <c r="VBF288" s="22"/>
      <c r="VBG288" s="22"/>
      <c r="VBH288" s="22"/>
      <c r="VBI288" s="22"/>
      <c r="VBJ288" s="22"/>
      <c r="VBK288" s="22"/>
      <c r="VBL288" s="22"/>
      <c r="VBM288" s="22"/>
      <c r="VBN288" s="22"/>
      <c r="VBO288" s="22"/>
      <c r="VBP288" s="22"/>
      <c r="VBQ288" s="22"/>
      <c r="VBR288" s="22"/>
      <c r="VBS288" s="22"/>
      <c r="VBT288" s="22"/>
      <c r="VBU288" s="22"/>
      <c r="VBV288" s="22"/>
      <c r="VBW288" s="22"/>
      <c r="VBX288" s="22"/>
      <c r="VBY288" s="22"/>
      <c r="VBZ288" s="22"/>
      <c r="VCA288" s="22"/>
      <c r="VCB288" s="22"/>
      <c r="VCC288" s="22"/>
      <c r="VCD288" s="22"/>
      <c r="VCE288" s="22"/>
      <c r="VCF288" s="22"/>
      <c r="VCG288" s="22"/>
      <c r="VCH288" s="22"/>
      <c r="VCI288" s="22"/>
      <c r="VCJ288" s="22"/>
      <c r="VCK288" s="22"/>
      <c r="VCL288" s="22"/>
      <c r="VCM288" s="22"/>
      <c r="VCN288" s="22"/>
      <c r="VCO288" s="22"/>
      <c r="VCP288" s="22"/>
      <c r="VCQ288" s="22"/>
      <c r="VCR288" s="22"/>
      <c r="VCS288" s="22"/>
      <c r="VCT288" s="22"/>
      <c r="VCU288" s="22"/>
      <c r="VCV288" s="22"/>
      <c r="VCW288" s="22"/>
      <c r="VCX288" s="22"/>
      <c r="VCY288" s="22"/>
      <c r="VCZ288" s="22"/>
      <c r="VDA288" s="22"/>
      <c r="VDB288" s="22"/>
      <c r="VDC288" s="22"/>
      <c r="VDD288" s="22"/>
      <c r="VDE288" s="22"/>
      <c r="VDF288" s="22"/>
      <c r="VDG288" s="22"/>
      <c r="VDH288" s="22"/>
      <c r="VDI288" s="22"/>
      <c r="VDJ288" s="22"/>
      <c r="VDK288" s="22"/>
      <c r="VDL288" s="22"/>
      <c r="VDM288" s="22"/>
      <c r="VDN288" s="22"/>
      <c r="VDO288" s="22"/>
      <c r="VDP288" s="22"/>
      <c r="VDQ288" s="22"/>
      <c r="VDR288" s="22"/>
      <c r="VDS288" s="22"/>
      <c r="VDT288" s="22"/>
      <c r="VDU288" s="22"/>
      <c r="VDV288" s="22"/>
      <c r="VDW288" s="22"/>
      <c r="VDX288" s="22"/>
      <c r="VDY288" s="22"/>
      <c r="VDZ288" s="22"/>
      <c r="VEA288" s="22"/>
      <c r="VEB288" s="22"/>
      <c r="VEC288" s="22"/>
      <c r="VED288" s="22"/>
      <c r="VEE288" s="22"/>
      <c r="VEF288" s="22"/>
      <c r="VEG288" s="22"/>
      <c r="VEH288" s="22"/>
      <c r="VEI288" s="22"/>
      <c r="VEJ288" s="22"/>
      <c r="VEK288" s="22"/>
      <c r="VEL288" s="22"/>
      <c r="VEM288" s="22"/>
      <c r="VEN288" s="22"/>
      <c r="VEO288" s="22"/>
      <c r="VEP288" s="22"/>
      <c r="VEQ288" s="22"/>
      <c r="VER288" s="22"/>
      <c r="VES288" s="22"/>
      <c r="VET288" s="22"/>
      <c r="VEU288" s="22"/>
      <c r="VEV288" s="22"/>
      <c r="VEW288" s="22"/>
      <c r="VEX288" s="22"/>
      <c r="VEY288" s="22"/>
      <c r="VEZ288" s="22"/>
      <c r="VFA288" s="22"/>
      <c r="VFB288" s="22"/>
      <c r="VFC288" s="22"/>
      <c r="VFD288" s="22"/>
      <c r="VFE288" s="22"/>
      <c r="VFF288" s="22"/>
      <c r="VFG288" s="22"/>
      <c r="VFH288" s="22"/>
      <c r="VFI288" s="22"/>
      <c r="VFJ288" s="22"/>
      <c r="VFK288" s="22"/>
      <c r="VFL288" s="22"/>
      <c r="VFM288" s="22"/>
      <c r="VFN288" s="22"/>
      <c r="VFO288" s="22"/>
      <c r="VFP288" s="22"/>
      <c r="VFQ288" s="22"/>
      <c r="VFR288" s="22"/>
      <c r="VFS288" s="22"/>
      <c r="VFT288" s="22"/>
      <c r="VFU288" s="22"/>
      <c r="VFV288" s="22"/>
      <c r="VFW288" s="22"/>
      <c r="VFX288" s="22"/>
      <c r="VFY288" s="22"/>
      <c r="VFZ288" s="22"/>
      <c r="VGA288" s="22"/>
      <c r="VGB288" s="22"/>
      <c r="VGC288" s="22"/>
      <c r="VGD288" s="22"/>
      <c r="VGE288" s="22"/>
      <c r="VGF288" s="22"/>
      <c r="VGG288" s="22"/>
      <c r="VGH288" s="22"/>
      <c r="VGI288" s="22"/>
      <c r="VGJ288" s="22"/>
      <c r="VGK288" s="22"/>
      <c r="VGL288" s="22"/>
      <c r="VGM288" s="22"/>
      <c r="VGN288" s="22"/>
      <c r="VGO288" s="22"/>
      <c r="VGP288" s="22"/>
      <c r="VGQ288" s="22"/>
      <c r="VGR288" s="22"/>
      <c r="VGS288" s="22"/>
      <c r="VGT288" s="22"/>
      <c r="VGU288" s="22"/>
      <c r="VGV288" s="22"/>
      <c r="VGW288" s="22"/>
      <c r="VGX288" s="22"/>
      <c r="VGY288" s="22"/>
      <c r="VGZ288" s="22"/>
      <c r="VHA288" s="22"/>
      <c r="VHB288" s="22"/>
      <c r="VHC288" s="22"/>
      <c r="VHD288" s="22"/>
      <c r="VHE288" s="22"/>
      <c r="VHF288" s="22"/>
      <c r="VHG288" s="22"/>
      <c r="VHH288" s="22"/>
      <c r="VHI288" s="22"/>
      <c r="VHJ288" s="22"/>
      <c r="VHK288" s="22"/>
      <c r="VHL288" s="22"/>
      <c r="VHM288" s="22"/>
      <c r="VHN288" s="22"/>
      <c r="VHO288" s="22"/>
      <c r="VHP288" s="22"/>
      <c r="VHQ288" s="22"/>
      <c r="VHR288" s="22"/>
      <c r="VHS288" s="22"/>
      <c r="VHT288" s="22"/>
      <c r="VHU288" s="22"/>
      <c r="VHV288" s="22"/>
      <c r="VHW288" s="22"/>
      <c r="VHX288" s="22"/>
      <c r="VHY288" s="22"/>
      <c r="VHZ288" s="22"/>
      <c r="VIA288" s="22"/>
      <c r="VIB288" s="22"/>
      <c r="VIC288" s="22"/>
      <c r="VID288" s="22"/>
      <c r="VIE288" s="22"/>
      <c r="VIF288" s="22"/>
      <c r="VIG288" s="22"/>
      <c r="VIH288" s="22"/>
      <c r="VII288" s="22"/>
      <c r="VIJ288" s="22"/>
      <c r="VIK288" s="22"/>
      <c r="VIL288" s="22"/>
      <c r="VIM288" s="22"/>
      <c r="VIN288" s="22"/>
      <c r="VIO288" s="22"/>
      <c r="VIP288" s="22"/>
      <c r="VIQ288" s="22"/>
      <c r="VIR288" s="22"/>
      <c r="VIS288" s="22"/>
      <c r="VIT288" s="22"/>
      <c r="VIU288" s="22"/>
      <c r="VIV288" s="22"/>
      <c r="VIW288" s="22"/>
      <c r="VIX288" s="22"/>
      <c r="VIY288" s="22"/>
      <c r="VIZ288" s="22"/>
      <c r="VJA288" s="22"/>
      <c r="VJB288" s="22"/>
      <c r="VJC288" s="22"/>
      <c r="VJD288" s="22"/>
      <c r="VJE288" s="22"/>
      <c r="VJF288" s="22"/>
      <c r="VJG288" s="22"/>
      <c r="VJH288" s="22"/>
      <c r="VJI288" s="22"/>
      <c r="VJJ288" s="22"/>
      <c r="VJK288" s="22"/>
      <c r="VJL288" s="22"/>
      <c r="VJM288" s="22"/>
      <c r="VJN288" s="22"/>
      <c r="VJO288" s="22"/>
      <c r="VJP288" s="22"/>
      <c r="VJQ288" s="22"/>
      <c r="VJR288" s="22"/>
      <c r="VJS288" s="22"/>
      <c r="VJT288" s="22"/>
      <c r="VJU288" s="22"/>
      <c r="VJV288" s="22"/>
      <c r="VJW288" s="22"/>
      <c r="VJX288" s="22"/>
      <c r="VJY288" s="22"/>
      <c r="VJZ288" s="22"/>
      <c r="VKA288" s="22"/>
      <c r="VKB288" s="22"/>
      <c r="VKC288" s="22"/>
      <c r="VKD288" s="22"/>
      <c r="VKE288" s="22"/>
      <c r="VKF288" s="22"/>
      <c r="VKG288" s="22"/>
      <c r="VKH288" s="22"/>
      <c r="VKI288" s="22"/>
      <c r="VKJ288" s="22"/>
      <c r="VKK288" s="22"/>
      <c r="VKL288" s="22"/>
      <c r="VKM288" s="22"/>
      <c r="VKN288" s="22"/>
      <c r="VKO288" s="22"/>
      <c r="VKP288" s="22"/>
      <c r="VKQ288" s="22"/>
      <c r="VKR288" s="22"/>
      <c r="VKS288" s="22"/>
      <c r="VKT288" s="22"/>
      <c r="VKU288" s="22"/>
      <c r="VKV288" s="22"/>
      <c r="VKW288" s="22"/>
      <c r="VKX288" s="22"/>
      <c r="VKY288" s="22"/>
      <c r="VKZ288" s="22"/>
      <c r="VLA288" s="22"/>
      <c r="VLB288" s="22"/>
      <c r="VLC288" s="22"/>
      <c r="VLD288" s="22"/>
      <c r="VLE288" s="22"/>
      <c r="VLF288" s="22"/>
      <c r="VLG288" s="22"/>
      <c r="VLH288" s="22"/>
      <c r="VLI288" s="22"/>
      <c r="VLJ288" s="22"/>
      <c r="VLK288" s="22"/>
      <c r="VLL288" s="22"/>
      <c r="VLM288" s="22"/>
      <c r="VLN288" s="22"/>
      <c r="VLO288" s="22"/>
      <c r="VLP288" s="22"/>
      <c r="VLQ288" s="22"/>
      <c r="VLR288" s="22"/>
      <c r="VLS288" s="22"/>
      <c r="VLT288" s="22"/>
      <c r="VLU288" s="22"/>
      <c r="VLV288" s="22"/>
      <c r="VLW288" s="22"/>
      <c r="VLX288" s="22"/>
      <c r="VLY288" s="22"/>
      <c r="VLZ288" s="22"/>
      <c r="VMA288" s="22"/>
      <c r="VMB288" s="22"/>
      <c r="VMC288" s="22"/>
      <c r="VMD288" s="22"/>
      <c r="VME288" s="22"/>
      <c r="VMF288" s="22"/>
      <c r="VMG288" s="22"/>
      <c r="VMH288" s="22"/>
      <c r="VMI288" s="22"/>
      <c r="VMJ288" s="22"/>
      <c r="VMK288" s="22"/>
      <c r="VML288" s="22"/>
      <c r="VMM288" s="22"/>
      <c r="VMN288" s="22"/>
      <c r="VMO288" s="22"/>
      <c r="VMP288" s="22"/>
      <c r="VMQ288" s="22"/>
      <c r="VMR288" s="22"/>
      <c r="VMS288" s="22"/>
      <c r="VMT288" s="22"/>
      <c r="VMU288" s="22"/>
      <c r="VMV288" s="22"/>
      <c r="VMW288" s="22"/>
      <c r="VMX288" s="22"/>
      <c r="VMY288" s="22"/>
      <c r="VMZ288" s="22"/>
      <c r="VNA288" s="22"/>
      <c r="VNB288" s="22"/>
      <c r="VNC288" s="22"/>
      <c r="VND288" s="22"/>
      <c r="VNE288" s="22"/>
      <c r="VNF288" s="22"/>
      <c r="VNG288" s="22"/>
      <c r="VNH288" s="22"/>
      <c r="VNI288" s="22"/>
      <c r="VNJ288" s="22"/>
      <c r="VNK288" s="22"/>
      <c r="VNL288" s="22"/>
      <c r="VNM288" s="22"/>
      <c r="VNN288" s="22"/>
      <c r="VNO288" s="22"/>
      <c r="VNP288" s="22"/>
      <c r="VNQ288" s="22"/>
      <c r="VNR288" s="22"/>
      <c r="VNS288" s="22"/>
      <c r="VNT288" s="22"/>
      <c r="VNU288" s="22"/>
      <c r="VNV288" s="22"/>
      <c r="VNW288" s="22"/>
      <c r="VNX288" s="22"/>
      <c r="VNY288" s="22"/>
      <c r="VNZ288" s="22"/>
      <c r="VOA288" s="22"/>
      <c r="VOB288" s="22"/>
      <c r="VOC288" s="22"/>
      <c r="VOD288" s="22"/>
      <c r="VOE288" s="22"/>
      <c r="VOF288" s="22"/>
      <c r="VOG288" s="22"/>
      <c r="VOH288" s="22"/>
      <c r="VOI288" s="22"/>
      <c r="VOJ288" s="22"/>
      <c r="VOK288" s="22"/>
      <c r="VOL288" s="22"/>
      <c r="VOM288" s="22"/>
      <c r="VON288" s="22"/>
      <c r="VOO288" s="22"/>
      <c r="VOP288" s="22"/>
      <c r="VOQ288" s="22"/>
      <c r="VOR288" s="22"/>
      <c r="VOS288" s="22"/>
      <c r="VOT288" s="22"/>
      <c r="VOU288" s="22"/>
      <c r="VOV288" s="22"/>
      <c r="VOW288" s="22"/>
      <c r="VOX288" s="22"/>
      <c r="VOY288" s="22"/>
      <c r="VOZ288" s="22"/>
      <c r="VPA288" s="22"/>
      <c r="VPB288" s="22"/>
      <c r="VPC288" s="22"/>
      <c r="VPD288" s="22"/>
      <c r="VPE288" s="22"/>
      <c r="VPF288" s="22"/>
      <c r="VPG288" s="22"/>
      <c r="VPH288" s="22"/>
      <c r="VPI288" s="22"/>
      <c r="VPJ288" s="22"/>
      <c r="VPK288" s="22"/>
      <c r="VPL288" s="22"/>
      <c r="VPM288" s="22"/>
      <c r="VPN288" s="22"/>
      <c r="VPO288" s="22"/>
      <c r="VPP288" s="22"/>
      <c r="VPQ288" s="22"/>
      <c r="VPR288" s="22"/>
      <c r="VPS288" s="22"/>
      <c r="VPT288" s="22"/>
      <c r="VPU288" s="22"/>
      <c r="VPV288" s="22"/>
      <c r="VPW288" s="22"/>
      <c r="VPX288" s="22"/>
      <c r="VPY288" s="22"/>
      <c r="VPZ288" s="22"/>
      <c r="VQA288" s="22"/>
      <c r="VQB288" s="22"/>
      <c r="VQC288" s="22"/>
      <c r="VQD288" s="22"/>
      <c r="VQE288" s="22"/>
      <c r="VQF288" s="22"/>
      <c r="VQG288" s="22"/>
      <c r="VQH288" s="22"/>
      <c r="VQI288" s="22"/>
      <c r="VQJ288" s="22"/>
      <c r="VQK288" s="22"/>
      <c r="VQL288" s="22"/>
      <c r="VQM288" s="22"/>
      <c r="VQN288" s="22"/>
      <c r="VQO288" s="22"/>
      <c r="VQP288" s="22"/>
      <c r="VQQ288" s="22"/>
      <c r="VQR288" s="22"/>
      <c r="VQS288" s="22"/>
      <c r="VQT288" s="22"/>
      <c r="VQU288" s="22"/>
      <c r="VQV288" s="22"/>
      <c r="VQW288" s="22"/>
      <c r="VQX288" s="22"/>
      <c r="VQY288" s="22"/>
      <c r="VQZ288" s="22"/>
      <c r="VRA288" s="22"/>
      <c r="VRB288" s="22"/>
      <c r="VRC288" s="22"/>
      <c r="VRD288" s="22"/>
      <c r="VRE288" s="22"/>
      <c r="VRF288" s="22"/>
      <c r="VRG288" s="22"/>
      <c r="VRH288" s="22"/>
      <c r="VRI288" s="22"/>
      <c r="VRJ288" s="22"/>
      <c r="VRK288" s="22"/>
      <c r="VRL288" s="22"/>
      <c r="VRM288" s="22"/>
      <c r="VRN288" s="22"/>
      <c r="VRO288" s="22"/>
      <c r="VRP288" s="22"/>
      <c r="VRQ288" s="22"/>
      <c r="VRR288" s="22"/>
      <c r="VRS288" s="22"/>
      <c r="VRT288" s="22"/>
      <c r="VRU288" s="22"/>
      <c r="VRV288" s="22"/>
      <c r="VRW288" s="22"/>
      <c r="VRX288" s="22"/>
      <c r="VRY288" s="22"/>
      <c r="VRZ288" s="22"/>
      <c r="VSA288" s="22"/>
      <c r="VSB288" s="22"/>
      <c r="VSC288" s="22"/>
      <c r="VSD288" s="22"/>
      <c r="VSE288" s="22"/>
      <c r="VSF288" s="22"/>
      <c r="VSG288" s="22"/>
      <c r="VSH288" s="22"/>
      <c r="VSI288" s="22"/>
      <c r="VSJ288" s="22"/>
      <c r="VSK288" s="22"/>
      <c r="VSL288" s="22"/>
      <c r="VSM288" s="22"/>
      <c r="VSN288" s="22"/>
      <c r="VSO288" s="22"/>
      <c r="VSP288" s="22"/>
      <c r="VSQ288" s="22"/>
      <c r="VSR288" s="22"/>
      <c r="VSS288" s="22"/>
      <c r="VST288" s="22"/>
      <c r="VSU288" s="22"/>
      <c r="VSV288" s="22"/>
      <c r="VSW288" s="22"/>
      <c r="VSX288" s="22"/>
      <c r="VSY288" s="22"/>
      <c r="VSZ288" s="22"/>
      <c r="VTA288" s="22"/>
      <c r="VTB288" s="22"/>
      <c r="VTC288" s="22"/>
      <c r="VTD288" s="22"/>
      <c r="VTE288" s="22"/>
      <c r="VTF288" s="22"/>
      <c r="VTG288" s="22"/>
      <c r="VTH288" s="22"/>
      <c r="VTI288" s="22"/>
      <c r="VTJ288" s="22"/>
      <c r="VTK288" s="22"/>
      <c r="VTL288" s="22"/>
      <c r="VTM288" s="22"/>
      <c r="VTN288" s="22"/>
      <c r="VTO288" s="22"/>
      <c r="VTP288" s="22"/>
      <c r="VTQ288" s="22"/>
      <c r="VTR288" s="22"/>
      <c r="VTS288" s="22"/>
      <c r="VTT288" s="22"/>
      <c r="VTU288" s="22"/>
      <c r="VTV288" s="22"/>
      <c r="VTW288" s="22"/>
      <c r="VTX288" s="22"/>
      <c r="VTY288" s="22"/>
      <c r="VTZ288" s="22"/>
      <c r="VUA288" s="22"/>
      <c r="VUB288" s="22"/>
      <c r="VUC288" s="22"/>
      <c r="VUD288" s="22"/>
      <c r="VUE288" s="22"/>
      <c r="VUF288" s="22"/>
      <c r="VUG288" s="22"/>
      <c r="VUH288" s="22"/>
      <c r="VUI288" s="22"/>
      <c r="VUJ288" s="22"/>
      <c r="VUK288" s="22"/>
      <c r="VUL288" s="22"/>
      <c r="VUM288" s="22"/>
      <c r="VUN288" s="22"/>
      <c r="VUO288" s="22"/>
      <c r="VUP288" s="22"/>
      <c r="VUQ288" s="22"/>
      <c r="VUR288" s="22"/>
      <c r="VUS288" s="22"/>
      <c r="VUT288" s="22"/>
      <c r="VUU288" s="22"/>
      <c r="VUV288" s="22"/>
      <c r="VUW288" s="22"/>
      <c r="VUX288" s="22"/>
      <c r="VUY288" s="22"/>
      <c r="VUZ288" s="22"/>
      <c r="VVA288" s="22"/>
      <c r="VVB288" s="22"/>
      <c r="VVC288" s="22"/>
      <c r="VVD288" s="22"/>
      <c r="VVE288" s="22"/>
      <c r="VVF288" s="22"/>
      <c r="VVG288" s="22"/>
      <c r="VVH288" s="22"/>
      <c r="VVI288" s="22"/>
      <c r="VVJ288" s="22"/>
      <c r="VVK288" s="22"/>
      <c r="VVL288" s="22"/>
      <c r="VVM288" s="22"/>
      <c r="VVN288" s="22"/>
      <c r="VVO288" s="22"/>
      <c r="VVP288" s="22"/>
      <c r="VVQ288" s="22"/>
      <c r="VVR288" s="22"/>
      <c r="VVS288" s="22"/>
      <c r="VVT288" s="22"/>
      <c r="VVU288" s="22"/>
      <c r="VVV288" s="22"/>
      <c r="VVW288" s="22"/>
      <c r="VVX288" s="22"/>
      <c r="VVY288" s="22"/>
      <c r="VVZ288" s="22"/>
      <c r="VWA288" s="22"/>
      <c r="VWB288" s="22"/>
      <c r="VWC288" s="22"/>
      <c r="VWD288" s="22"/>
      <c r="VWE288" s="22"/>
      <c r="VWF288" s="22"/>
      <c r="VWG288" s="22"/>
      <c r="VWH288" s="22"/>
      <c r="VWI288" s="22"/>
      <c r="VWJ288" s="22"/>
      <c r="VWK288" s="22"/>
      <c r="VWL288" s="22"/>
      <c r="VWM288" s="22"/>
      <c r="VWN288" s="22"/>
      <c r="VWO288" s="22"/>
      <c r="VWP288" s="22"/>
      <c r="VWQ288" s="22"/>
      <c r="VWR288" s="22"/>
      <c r="VWS288" s="22"/>
      <c r="VWT288" s="22"/>
      <c r="VWU288" s="22"/>
      <c r="VWV288" s="22"/>
      <c r="VWW288" s="22"/>
      <c r="VWX288" s="22"/>
      <c r="VWY288" s="22"/>
      <c r="VWZ288" s="22"/>
      <c r="VXA288" s="22"/>
      <c r="VXB288" s="22"/>
      <c r="VXC288" s="22"/>
      <c r="VXD288" s="22"/>
      <c r="VXE288" s="22"/>
      <c r="VXF288" s="22"/>
      <c r="VXG288" s="22"/>
      <c r="VXH288" s="22"/>
      <c r="VXI288" s="22"/>
      <c r="VXJ288" s="22"/>
      <c r="VXK288" s="22"/>
      <c r="VXL288" s="22"/>
      <c r="VXM288" s="22"/>
      <c r="VXN288" s="22"/>
      <c r="VXO288" s="22"/>
      <c r="VXP288" s="22"/>
      <c r="VXQ288" s="22"/>
      <c r="VXR288" s="22"/>
      <c r="VXS288" s="22"/>
      <c r="VXT288" s="22"/>
      <c r="VXU288" s="22"/>
      <c r="VXV288" s="22"/>
      <c r="VXW288" s="22"/>
      <c r="VXX288" s="22"/>
      <c r="VXY288" s="22"/>
      <c r="VXZ288" s="22"/>
      <c r="VYA288" s="22"/>
      <c r="VYB288" s="22"/>
      <c r="VYC288" s="22"/>
      <c r="VYD288" s="22"/>
      <c r="VYE288" s="22"/>
      <c r="VYF288" s="22"/>
      <c r="VYG288" s="22"/>
      <c r="VYH288" s="22"/>
      <c r="VYI288" s="22"/>
      <c r="VYJ288" s="22"/>
      <c r="VYK288" s="22"/>
      <c r="VYL288" s="22"/>
      <c r="VYM288" s="22"/>
      <c r="VYN288" s="22"/>
      <c r="VYO288" s="22"/>
      <c r="VYP288" s="22"/>
      <c r="VYQ288" s="22"/>
      <c r="VYR288" s="22"/>
      <c r="VYS288" s="22"/>
      <c r="VYT288" s="22"/>
      <c r="VYU288" s="22"/>
      <c r="VYV288" s="22"/>
      <c r="VYW288" s="22"/>
      <c r="VYX288" s="22"/>
      <c r="VYY288" s="22"/>
      <c r="VYZ288" s="22"/>
      <c r="VZA288" s="22"/>
      <c r="VZB288" s="22"/>
      <c r="VZC288" s="22"/>
      <c r="VZD288" s="22"/>
      <c r="VZE288" s="22"/>
      <c r="VZF288" s="22"/>
      <c r="VZG288" s="22"/>
      <c r="VZH288" s="22"/>
      <c r="VZI288" s="22"/>
      <c r="VZJ288" s="22"/>
      <c r="VZK288" s="22"/>
      <c r="VZL288" s="22"/>
      <c r="VZM288" s="22"/>
      <c r="VZN288" s="22"/>
      <c r="VZO288" s="22"/>
      <c r="VZP288" s="22"/>
      <c r="VZQ288" s="22"/>
      <c r="VZR288" s="22"/>
      <c r="VZS288" s="22"/>
      <c r="VZT288" s="22"/>
      <c r="VZU288" s="22"/>
      <c r="VZV288" s="22"/>
      <c r="VZW288" s="22"/>
      <c r="VZX288" s="22"/>
      <c r="VZY288" s="22"/>
      <c r="VZZ288" s="22"/>
      <c r="WAA288" s="22"/>
      <c r="WAB288" s="22"/>
      <c r="WAC288" s="22"/>
      <c r="WAD288" s="22"/>
      <c r="WAE288" s="22"/>
      <c r="WAF288" s="22"/>
      <c r="WAG288" s="22"/>
      <c r="WAH288" s="22"/>
      <c r="WAI288" s="22"/>
      <c r="WAJ288" s="22"/>
      <c r="WAK288" s="22"/>
      <c r="WAL288" s="22"/>
      <c r="WAM288" s="22"/>
      <c r="WAN288" s="22"/>
      <c r="WAO288" s="22"/>
      <c r="WAP288" s="22"/>
      <c r="WAQ288" s="22"/>
      <c r="WAR288" s="22"/>
      <c r="WAS288" s="22"/>
      <c r="WAT288" s="22"/>
      <c r="WAU288" s="22"/>
      <c r="WAV288" s="22"/>
      <c r="WAW288" s="22"/>
      <c r="WAX288" s="22"/>
      <c r="WAY288" s="22"/>
      <c r="WAZ288" s="22"/>
      <c r="WBA288" s="22"/>
      <c r="WBB288" s="22"/>
      <c r="WBC288" s="22"/>
      <c r="WBD288" s="22"/>
      <c r="WBE288" s="22"/>
      <c r="WBF288" s="22"/>
      <c r="WBG288" s="22"/>
      <c r="WBH288" s="22"/>
      <c r="WBI288" s="22"/>
      <c r="WBJ288" s="22"/>
      <c r="WBK288" s="22"/>
      <c r="WBL288" s="22"/>
      <c r="WBM288" s="22"/>
      <c r="WBN288" s="22"/>
      <c r="WBO288" s="22"/>
      <c r="WBP288" s="22"/>
      <c r="WBQ288" s="22"/>
      <c r="WBR288" s="22"/>
      <c r="WBS288" s="22"/>
      <c r="WBT288" s="22"/>
      <c r="WBU288" s="22"/>
      <c r="WBV288" s="22"/>
      <c r="WBW288" s="22"/>
      <c r="WBX288" s="22"/>
      <c r="WBY288" s="22"/>
      <c r="WBZ288" s="22"/>
      <c r="WCA288" s="22"/>
      <c r="WCB288" s="22"/>
      <c r="WCC288" s="22"/>
      <c r="WCD288" s="22"/>
      <c r="WCE288" s="22"/>
      <c r="WCF288" s="22"/>
      <c r="WCG288" s="22"/>
      <c r="WCH288" s="22"/>
      <c r="WCI288" s="22"/>
      <c r="WCJ288" s="22"/>
      <c r="WCK288" s="22"/>
      <c r="WCL288" s="22"/>
      <c r="WCM288" s="22"/>
      <c r="WCN288" s="22"/>
      <c r="WCO288" s="22"/>
      <c r="WCP288" s="22"/>
      <c r="WCQ288" s="22"/>
      <c r="WCR288" s="22"/>
      <c r="WCS288" s="22"/>
      <c r="WCT288" s="22"/>
      <c r="WCU288" s="22"/>
      <c r="WCV288" s="22"/>
      <c r="WCW288" s="22"/>
      <c r="WCX288" s="22"/>
      <c r="WCY288" s="22"/>
      <c r="WCZ288" s="22"/>
      <c r="WDA288" s="22"/>
      <c r="WDB288" s="22"/>
      <c r="WDC288" s="22"/>
      <c r="WDD288" s="22"/>
      <c r="WDE288" s="22"/>
      <c r="WDF288" s="22"/>
      <c r="WDG288" s="22"/>
      <c r="WDH288" s="22"/>
      <c r="WDI288" s="22"/>
      <c r="WDJ288" s="22"/>
      <c r="WDK288" s="22"/>
      <c r="WDL288" s="22"/>
      <c r="WDM288" s="22"/>
      <c r="WDN288" s="22"/>
      <c r="WDO288" s="22"/>
      <c r="WDP288" s="22"/>
      <c r="WDQ288" s="22"/>
      <c r="WDR288" s="22"/>
      <c r="WDS288" s="22"/>
      <c r="WDT288" s="22"/>
      <c r="WDU288" s="22"/>
      <c r="WDV288" s="22"/>
      <c r="WDW288" s="22"/>
      <c r="WDX288" s="22"/>
      <c r="WDY288" s="22"/>
      <c r="WDZ288" s="22"/>
      <c r="WEA288" s="22"/>
      <c r="WEB288" s="22"/>
      <c r="WEC288" s="22"/>
      <c r="WED288" s="22"/>
      <c r="WEE288" s="22"/>
      <c r="WEF288" s="22"/>
      <c r="WEG288" s="22"/>
      <c r="WEH288" s="22"/>
      <c r="WEI288" s="22"/>
      <c r="WEJ288" s="22"/>
      <c r="WEK288" s="22"/>
      <c r="WEL288" s="22"/>
      <c r="WEM288" s="22"/>
      <c r="WEN288" s="22"/>
      <c r="WEO288" s="22"/>
      <c r="WEP288" s="22"/>
      <c r="WEQ288" s="22"/>
      <c r="WER288" s="22"/>
      <c r="WES288" s="22"/>
      <c r="WET288" s="22"/>
      <c r="WEU288" s="22"/>
      <c r="WEV288" s="22"/>
      <c r="WEW288" s="22"/>
      <c r="WEX288" s="22"/>
      <c r="WEY288" s="22"/>
      <c r="WEZ288" s="22"/>
      <c r="WFA288" s="22"/>
      <c r="WFB288" s="22"/>
      <c r="WFC288" s="22"/>
      <c r="WFD288" s="22"/>
      <c r="WFE288" s="22"/>
      <c r="WFF288" s="22"/>
      <c r="WFG288" s="22"/>
      <c r="WFH288" s="22"/>
      <c r="WFI288" s="22"/>
      <c r="WFJ288" s="22"/>
      <c r="WFK288" s="22"/>
      <c r="WFL288" s="22"/>
      <c r="WFM288" s="22"/>
      <c r="WFN288" s="22"/>
      <c r="WFO288" s="22"/>
      <c r="WFP288" s="22"/>
      <c r="WFQ288" s="22"/>
      <c r="WFR288" s="22"/>
      <c r="WFS288" s="22"/>
      <c r="WFT288" s="22"/>
      <c r="WFU288" s="22"/>
      <c r="WFV288" s="22"/>
      <c r="WFW288" s="22"/>
      <c r="WFX288" s="22"/>
      <c r="WFY288" s="22"/>
      <c r="WFZ288" s="22"/>
      <c r="WGA288" s="22"/>
      <c r="WGB288" s="22"/>
      <c r="WGC288" s="22"/>
      <c r="WGD288" s="22"/>
      <c r="WGE288" s="22"/>
      <c r="WGF288" s="22"/>
      <c r="WGG288" s="22"/>
      <c r="WGH288" s="22"/>
      <c r="WGI288" s="22"/>
      <c r="WGJ288" s="22"/>
      <c r="WGK288" s="22"/>
      <c r="WGL288" s="22"/>
      <c r="WGM288" s="22"/>
      <c r="WGN288" s="22"/>
      <c r="WGO288" s="22"/>
      <c r="WGP288" s="22"/>
      <c r="WGQ288" s="22"/>
      <c r="WGR288" s="22"/>
      <c r="WGS288" s="22"/>
      <c r="WGT288" s="22"/>
      <c r="WGU288" s="22"/>
      <c r="WGV288" s="22"/>
      <c r="WGW288" s="22"/>
      <c r="WGX288" s="22"/>
      <c r="WGY288" s="22"/>
      <c r="WGZ288" s="22"/>
      <c r="WHA288" s="22"/>
      <c r="WHB288" s="22"/>
      <c r="WHC288" s="22"/>
      <c r="WHD288" s="22"/>
      <c r="WHE288" s="22"/>
      <c r="WHF288" s="22"/>
      <c r="WHG288" s="22"/>
      <c r="WHH288" s="22"/>
      <c r="WHI288" s="22"/>
      <c r="WHJ288" s="22"/>
      <c r="WHK288" s="22"/>
      <c r="WHL288" s="22"/>
      <c r="WHM288" s="22"/>
      <c r="WHN288" s="22"/>
      <c r="WHO288" s="22"/>
      <c r="WHP288" s="22"/>
      <c r="WHQ288" s="22"/>
      <c r="WHR288" s="22"/>
      <c r="WHS288" s="22"/>
      <c r="WHT288" s="22"/>
      <c r="WHU288" s="22"/>
      <c r="WHV288" s="22"/>
      <c r="WHW288" s="22"/>
      <c r="WHX288" s="22"/>
      <c r="WHY288" s="22"/>
      <c r="WHZ288" s="22"/>
      <c r="WIA288" s="22"/>
      <c r="WIB288" s="22"/>
      <c r="WIC288" s="22"/>
      <c r="WID288" s="22"/>
      <c r="WIE288" s="22"/>
      <c r="WIF288" s="22"/>
      <c r="WIG288" s="22"/>
      <c r="WIH288" s="22"/>
      <c r="WII288" s="22"/>
      <c r="WIJ288" s="22"/>
      <c r="WIK288" s="22"/>
      <c r="WIL288" s="22"/>
      <c r="WIM288" s="22"/>
      <c r="WIN288" s="22"/>
      <c r="WIO288" s="22"/>
      <c r="WIP288" s="22"/>
      <c r="WIQ288" s="22"/>
      <c r="WIR288" s="22"/>
      <c r="WIS288" s="22"/>
      <c r="WIT288" s="22"/>
      <c r="WIU288" s="22"/>
      <c r="WIV288" s="22"/>
      <c r="WIW288" s="22"/>
      <c r="WIX288" s="22"/>
      <c r="WIY288" s="22"/>
      <c r="WIZ288" s="22"/>
      <c r="WJA288" s="22"/>
      <c r="WJB288" s="22"/>
      <c r="WJC288" s="22"/>
      <c r="WJD288" s="22"/>
      <c r="WJE288" s="22"/>
      <c r="WJF288" s="22"/>
      <c r="WJG288" s="22"/>
      <c r="WJH288" s="22"/>
      <c r="WJI288" s="22"/>
      <c r="WJJ288" s="22"/>
      <c r="WJK288" s="22"/>
      <c r="WJL288" s="22"/>
      <c r="WJM288" s="22"/>
      <c r="WJN288" s="22"/>
      <c r="WJO288" s="22"/>
      <c r="WJP288" s="22"/>
      <c r="WJQ288" s="22"/>
      <c r="WJR288" s="22"/>
      <c r="WJS288" s="22"/>
      <c r="WJT288" s="22"/>
      <c r="WJU288" s="22"/>
      <c r="WJV288" s="22"/>
      <c r="WJW288" s="22"/>
      <c r="WJX288" s="22"/>
      <c r="WJY288" s="22"/>
      <c r="WJZ288" s="22"/>
      <c r="WKA288" s="22"/>
      <c r="WKB288" s="22"/>
      <c r="WKC288" s="22"/>
      <c r="WKD288" s="22"/>
      <c r="WKE288" s="22"/>
      <c r="WKF288" s="22"/>
      <c r="WKG288" s="22"/>
      <c r="WKH288" s="22"/>
      <c r="WKI288" s="22"/>
      <c r="WKJ288" s="22"/>
      <c r="WKK288" s="22"/>
      <c r="WKL288" s="22"/>
      <c r="WKM288" s="22"/>
      <c r="WKN288" s="22"/>
      <c r="WKO288" s="22"/>
      <c r="WKP288" s="22"/>
      <c r="WKQ288" s="22"/>
      <c r="WKR288" s="22"/>
      <c r="WKS288" s="22"/>
      <c r="WKT288" s="22"/>
      <c r="WKU288" s="22"/>
      <c r="WKV288" s="22"/>
      <c r="WKW288" s="22"/>
      <c r="WKX288" s="22"/>
      <c r="WKY288" s="22"/>
      <c r="WKZ288" s="22"/>
      <c r="WLA288" s="22"/>
      <c r="WLB288" s="22"/>
      <c r="WLC288" s="22"/>
      <c r="WLD288" s="22"/>
      <c r="WLE288" s="22"/>
      <c r="WLF288" s="22"/>
      <c r="WLG288" s="22"/>
      <c r="WLH288" s="22"/>
      <c r="WLI288" s="22"/>
      <c r="WLJ288" s="22"/>
      <c r="WLK288" s="22"/>
      <c r="WLL288" s="22"/>
      <c r="WLM288" s="22"/>
      <c r="WLN288" s="22"/>
      <c r="WLO288" s="22"/>
      <c r="WLP288" s="22"/>
      <c r="WLQ288" s="22"/>
      <c r="WLR288" s="22"/>
      <c r="WLS288" s="22"/>
      <c r="WLT288" s="22"/>
      <c r="WLU288" s="22"/>
      <c r="WLV288" s="22"/>
      <c r="WLW288" s="22"/>
      <c r="WLX288" s="22"/>
      <c r="WLY288" s="22"/>
      <c r="WLZ288" s="22"/>
      <c r="WMA288" s="22"/>
      <c r="WMB288" s="22"/>
      <c r="WMC288" s="22"/>
      <c r="WMD288" s="22"/>
      <c r="WME288" s="22"/>
      <c r="WMF288" s="22"/>
      <c r="WMG288" s="22"/>
      <c r="WMH288" s="22"/>
      <c r="WMI288" s="22"/>
      <c r="WMJ288" s="22"/>
      <c r="WMK288" s="22"/>
      <c r="WML288" s="22"/>
      <c r="WMM288" s="22"/>
      <c r="WMN288" s="22"/>
      <c r="WMO288" s="22"/>
      <c r="WMP288" s="22"/>
      <c r="WMQ288" s="22"/>
      <c r="WMR288" s="22"/>
      <c r="WMS288" s="22"/>
      <c r="WMT288" s="22"/>
      <c r="WMU288" s="22"/>
      <c r="WMV288" s="22"/>
      <c r="WMW288" s="22"/>
      <c r="WMX288" s="22"/>
      <c r="WMY288" s="22"/>
      <c r="WMZ288" s="22"/>
      <c r="WNA288" s="22"/>
      <c r="WNB288" s="22"/>
      <c r="WNC288" s="22"/>
      <c r="WND288" s="22"/>
      <c r="WNE288" s="22"/>
      <c r="WNF288" s="22"/>
      <c r="WNG288" s="22"/>
      <c r="WNH288" s="22"/>
      <c r="WNI288" s="22"/>
      <c r="WNJ288" s="22"/>
      <c r="WNK288" s="22"/>
      <c r="WNL288" s="22"/>
      <c r="WNM288" s="22"/>
      <c r="WNN288" s="22"/>
      <c r="WNO288" s="22"/>
      <c r="WNP288" s="22"/>
      <c r="WNQ288" s="22"/>
      <c r="WNR288" s="22"/>
      <c r="WNS288" s="22"/>
      <c r="WNT288" s="22"/>
      <c r="WNU288" s="22"/>
      <c r="WNV288" s="22"/>
      <c r="WNW288" s="22"/>
      <c r="WNX288" s="22"/>
      <c r="WNY288" s="22"/>
      <c r="WNZ288" s="22"/>
      <c r="WOA288" s="22"/>
      <c r="WOB288" s="22"/>
      <c r="WOC288" s="22"/>
      <c r="WOD288" s="22"/>
      <c r="WOE288" s="22"/>
      <c r="WOF288" s="22"/>
      <c r="WOG288" s="22"/>
      <c r="WOH288" s="22"/>
      <c r="WOI288" s="22"/>
      <c r="WOJ288" s="22"/>
      <c r="WOK288" s="22"/>
      <c r="WOL288" s="22"/>
      <c r="WOM288" s="22"/>
      <c r="WON288" s="22"/>
      <c r="WOO288" s="22"/>
      <c r="WOP288" s="22"/>
      <c r="WOQ288" s="22"/>
      <c r="WOR288" s="22"/>
      <c r="WOS288" s="22"/>
      <c r="WOT288" s="22"/>
      <c r="WOU288" s="22"/>
      <c r="WOV288" s="22"/>
      <c r="WOW288" s="22"/>
      <c r="WOX288" s="22"/>
      <c r="WOY288" s="22"/>
      <c r="WOZ288" s="22"/>
      <c r="WPA288" s="22"/>
      <c r="WPB288" s="22"/>
      <c r="WPC288" s="22"/>
      <c r="WPD288" s="22"/>
      <c r="WPE288" s="22"/>
      <c r="WPF288" s="22"/>
      <c r="WPG288" s="22"/>
      <c r="WPH288" s="22"/>
      <c r="WPI288" s="22"/>
      <c r="WPJ288" s="22"/>
      <c r="WPK288" s="22"/>
      <c r="WPL288" s="22"/>
      <c r="WPM288" s="22"/>
      <c r="WPN288" s="22"/>
      <c r="WPO288" s="22"/>
      <c r="WPP288" s="22"/>
      <c r="WPQ288" s="22"/>
      <c r="WPR288" s="22"/>
      <c r="WPS288" s="22"/>
      <c r="WPT288" s="22"/>
      <c r="WPU288" s="22"/>
      <c r="WPV288" s="22"/>
      <c r="WPW288" s="22"/>
      <c r="WPX288" s="22"/>
      <c r="WPY288" s="22"/>
      <c r="WPZ288" s="22"/>
      <c r="WQA288" s="22"/>
      <c r="WQB288" s="22"/>
      <c r="WQC288" s="22"/>
      <c r="WQD288" s="22"/>
      <c r="WQE288" s="22"/>
      <c r="WQF288" s="22"/>
      <c r="WQG288" s="22"/>
      <c r="WQH288" s="22"/>
      <c r="WQI288" s="22"/>
      <c r="WQJ288" s="22"/>
      <c r="WQK288" s="22"/>
      <c r="WQL288" s="22"/>
      <c r="WQM288" s="22"/>
      <c r="WQN288" s="22"/>
      <c r="WQO288" s="22"/>
      <c r="WQP288" s="22"/>
      <c r="WQQ288" s="22"/>
      <c r="WQR288" s="22"/>
      <c r="WQS288" s="22"/>
      <c r="WQT288" s="22"/>
      <c r="WQU288" s="22"/>
      <c r="WQV288" s="22"/>
      <c r="WQW288" s="22"/>
      <c r="WQX288" s="22"/>
      <c r="WQY288" s="22"/>
      <c r="WQZ288" s="22"/>
      <c r="WRA288" s="22"/>
      <c r="WRB288" s="22"/>
      <c r="WRC288" s="22"/>
      <c r="WRD288" s="22"/>
      <c r="WRE288" s="22"/>
      <c r="WRF288" s="22"/>
      <c r="WRG288" s="22"/>
      <c r="WRH288" s="22"/>
      <c r="WRI288" s="22"/>
      <c r="WRJ288" s="22"/>
      <c r="WRK288" s="22"/>
      <c r="WRL288" s="22"/>
      <c r="WRM288" s="22"/>
      <c r="WRN288" s="22"/>
      <c r="WRO288" s="22"/>
      <c r="WRP288" s="22"/>
      <c r="WRQ288" s="22"/>
      <c r="WRR288" s="22"/>
      <c r="WRS288" s="22"/>
      <c r="WRT288" s="22"/>
      <c r="WRU288" s="22"/>
      <c r="WRV288" s="22"/>
      <c r="WRW288" s="22"/>
      <c r="WRX288" s="22"/>
      <c r="WRY288" s="22"/>
      <c r="WRZ288" s="22"/>
      <c r="WSA288" s="22"/>
      <c r="WSB288" s="22"/>
      <c r="WSC288" s="22"/>
      <c r="WSD288" s="22"/>
      <c r="WSE288" s="22"/>
      <c r="WSF288" s="22"/>
      <c r="WSG288" s="22"/>
      <c r="WSH288" s="22"/>
      <c r="WSI288" s="22"/>
      <c r="WSJ288" s="22"/>
      <c r="WSK288" s="22"/>
      <c r="WSL288" s="22"/>
      <c r="WSM288" s="22"/>
      <c r="WSN288" s="22"/>
      <c r="WSO288" s="22"/>
      <c r="WSP288" s="22"/>
      <c r="WSQ288" s="22"/>
      <c r="WSR288" s="22"/>
      <c r="WSS288" s="22"/>
      <c r="WST288" s="22"/>
      <c r="WSU288" s="22"/>
      <c r="WSV288" s="22"/>
      <c r="WSW288" s="22"/>
      <c r="WSX288" s="22"/>
      <c r="WSY288" s="22"/>
      <c r="WSZ288" s="22"/>
      <c r="WTA288" s="22"/>
      <c r="WTB288" s="22"/>
      <c r="WTC288" s="22"/>
      <c r="WTD288" s="22"/>
      <c r="WTE288" s="22"/>
      <c r="WTF288" s="22"/>
      <c r="WTG288" s="22"/>
      <c r="WTH288" s="22"/>
      <c r="WTI288" s="22"/>
      <c r="WTJ288" s="22"/>
      <c r="WTK288" s="22"/>
      <c r="WTL288" s="22"/>
      <c r="WTM288" s="22"/>
      <c r="WTN288" s="22"/>
      <c r="WTO288" s="22"/>
      <c r="WTP288" s="22"/>
      <c r="WTQ288" s="22"/>
      <c r="WTR288" s="22"/>
      <c r="WTS288" s="22"/>
      <c r="WTT288" s="22"/>
      <c r="WTU288" s="22"/>
      <c r="WTV288" s="22"/>
      <c r="WTW288" s="22"/>
      <c r="WTX288" s="22"/>
      <c r="WTY288" s="22"/>
      <c r="WTZ288" s="22"/>
      <c r="WUA288" s="22"/>
      <c r="WUB288" s="22"/>
      <c r="WUC288" s="22"/>
      <c r="WUD288" s="22"/>
      <c r="WUE288" s="22"/>
      <c r="WUF288" s="22"/>
      <c r="WUG288" s="22"/>
      <c r="WUH288" s="22"/>
      <c r="WUI288" s="22"/>
      <c r="WUJ288" s="22"/>
      <c r="WUK288" s="22"/>
      <c r="WUL288" s="22"/>
      <c r="WUM288" s="22"/>
      <c r="WUN288" s="22"/>
      <c r="WUO288" s="22"/>
      <c r="WUP288" s="22"/>
      <c r="WUQ288" s="22"/>
      <c r="WUR288" s="22"/>
      <c r="WUS288" s="22"/>
      <c r="WUT288" s="22"/>
      <c r="WUU288" s="22"/>
      <c r="WUV288" s="22"/>
      <c r="WUW288" s="22"/>
      <c r="WUX288" s="22"/>
      <c r="WUY288" s="22"/>
      <c r="WUZ288" s="22"/>
      <c r="WVA288" s="22"/>
      <c r="WVB288" s="22"/>
      <c r="WVC288" s="22"/>
      <c r="WVD288" s="22"/>
      <c r="WVE288" s="22"/>
      <c r="WVF288" s="22"/>
      <c r="WVG288" s="22"/>
      <c r="WVH288" s="22"/>
      <c r="WVI288" s="22"/>
      <c r="WVJ288" s="22"/>
      <c r="WVK288" s="22"/>
      <c r="WVL288" s="22"/>
      <c r="WVM288" s="22"/>
      <c r="WVN288" s="22"/>
      <c r="WVO288" s="22"/>
      <c r="WVP288" s="22"/>
      <c r="WVQ288" s="22"/>
      <c r="WVR288" s="22"/>
      <c r="WVS288" s="22"/>
      <c r="WVT288" s="22"/>
      <c r="WVU288" s="22"/>
      <c r="WVV288" s="22"/>
      <c r="WVW288" s="22"/>
      <c r="WVX288" s="22"/>
      <c r="WVY288" s="22"/>
      <c r="WVZ288" s="22"/>
      <c r="WWA288" s="22"/>
      <c r="WWB288" s="22"/>
      <c r="WWC288" s="22"/>
      <c r="WWD288" s="22"/>
      <c r="WWE288" s="22"/>
      <c r="WWF288" s="22"/>
      <c r="WWG288" s="22"/>
      <c r="WWH288" s="22"/>
      <c r="WWI288" s="22"/>
      <c r="WWJ288" s="22"/>
      <c r="WWK288" s="22"/>
      <c r="WWL288" s="22"/>
      <c r="WWM288" s="22"/>
      <c r="WWN288" s="22"/>
      <c r="WWO288" s="22"/>
      <c r="WWP288" s="22"/>
      <c r="WWQ288" s="22"/>
      <c r="WWR288" s="22"/>
      <c r="WWS288" s="22"/>
      <c r="WWT288" s="22"/>
      <c r="WWU288" s="22"/>
      <c r="WWV288" s="22"/>
      <c r="WWW288" s="22"/>
      <c r="WWX288" s="22"/>
      <c r="WWY288" s="22"/>
      <c r="WWZ288" s="22"/>
      <c r="WXA288" s="22"/>
      <c r="WXB288" s="22"/>
      <c r="WXC288" s="22"/>
      <c r="WXD288" s="22"/>
      <c r="WXE288" s="22"/>
    </row>
    <row r="289" s="25" customFormat="1" ht="32" customHeight="1" spans="1:16177">
      <c r="A289" s="14" t="s">
        <v>68</v>
      </c>
      <c r="B289" s="11" t="s">
        <v>973</v>
      </c>
      <c r="C289" s="11" t="s">
        <v>974</v>
      </c>
      <c r="D289" s="11" t="s">
        <v>297</v>
      </c>
      <c r="E289" s="80" t="s">
        <v>39</v>
      </c>
      <c r="F289" s="80" t="s">
        <v>39</v>
      </c>
      <c r="G289" s="11" t="s">
        <v>38</v>
      </c>
      <c r="H289" s="11" t="s">
        <v>39</v>
      </c>
      <c r="I289" s="15">
        <v>1760</v>
      </c>
      <c r="J289" s="15">
        <v>1584</v>
      </c>
      <c r="K289" s="52"/>
      <c r="L289" s="52"/>
      <c r="M289" s="52"/>
      <c r="N289" s="18">
        <v>1560</v>
      </c>
      <c r="O289" s="18">
        <v>1410</v>
      </c>
      <c r="P289" s="18">
        <v>1200</v>
      </c>
      <c r="Q289" s="11" t="s">
        <v>40</v>
      </c>
      <c r="R289" s="11" t="s">
        <v>39</v>
      </c>
      <c r="S289" s="11" t="s">
        <v>39</v>
      </c>
      <c r="T289" s="52"/>
      <c r="U289" s="80" t="s">
        <v>71</v>
      </c>
      <c r="V289" s="11" t="s">
        <v>975</v>
      </c>
      <c r="W289" s="11">
        <v>33020401601</v>
      </c>
      <c r="X289" s="11" t="s">
        <v>976</v>
      </c>
      <c r="Y289" s="12" t="s">
        <v>39</v>
      </c>
      <c r="Z289" s="12" t="s">
        <v>39</v>
      </c>
      <c r="AA289" s="14" t="s">
        <v>241</v>
      </c>
      <c r="AB289" s="12" t="s">
        <v>39</v>
      </c>
      <c r="AC289" s="18">
        <v>3950</v>
      </c>
      <c r="AD289" s="18">
        <v>3560</v>
      </c>
      <c r="AE289" s="18">
        <v>3025</v>
      </c>
      <c r="AF289" s="14" t="s">
        <v>40</v>
      </c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2"/>
      <c r="CA289" s="22"/>
      <c r="CB289" s="22"/>
      <c r="CC289" s="22"/>
      <c r="CD289" s="22"/>
      <c r="CE289" s="22"/>
      <c r="CF289" s="22"/>
      <c r="CG289" s="22"/>
      <c r="CH289" s="22"/>
      <c r="CI289" s="22"/>
      <c r="CJ289" s="22"/>
      <c r="CK289" s="22"/>
      <c r="CL289" s="22"/>
      <c r="CM289" s="22"/>
      <c r="CN289" s="22"/>
      <c r="CO289" s="22"/>
      <c r="CP289" s="22"/>
      <c r="CQ289" s="22"/>
      <c r="CR289" s="22"/>
      <c r="CS289" s="22"/>
      <c r="CT289" s="22"/>
      <c r="CU289" s="22"/>
      <c r="CV289" s="22"/>
      <c r="CW289" s="22"/>
      <c r="CX289" s="22"/>
      <c r="CY289" s="22"/>
      <c r="CZ289" s="22"/>
      <c r="DA289" s="22"/>
      <c r="DB289" s="22"/>
      <c r="DC289" s="22"/>
      <c r="DD289" s="22"/>
      <c r="DE289" s="22"/>
      <c r="DF289" s="22"/>
      <c r="DG289" s="22"/>
      <c r="DH289" s="22"/>
      <c r="DI289" s="22"/>
      <c r="DJ289" s="22"/>
      <c r="DK289" s="22"/>
      <c r="DL289" s="22"/>
      <c r="DM289" s="22"/>
      <c r="DN289" s="22"/>
      <c r="DO289" s="22"/>
      <c r="DP289" s="22"/>
      <c r="DQ289" s="22"/>
      <c r="DR289" s="22"/>
      <c r="DS289" s="22"/>
      <c r="DT289" s="22"/>
      <c r="DU289" s="22"/>
      <c r="DV289" s="22"/>
      <c r="DW289" s="22"/>
      <c r="DX289" s="22"/>
      <c r="DY289" s="22"/>
      <c r="DZ289" s="22"/>
      <c r="EA289" s="22"/>
      <c r="EB289" s="22"/>
      <c r="EC289" s="22"/>
      <c r="ED289" s="22"/>
      <c r="EE289" s="22"/>
      <c r="EF289" s="22"/>
      <c r="EG289" s="22"/>
      <c r="EH289" s="22"/>
      <c r="EI289" s="22"/>
      <c r="EJ289" s="22"/>
      <c r="EK289" s="22"/>
      <c r="EL289" s="22"/>
      <c r="EM289" s="22"/>
      <c r="EN289" s="22"/>
      <c r="EO289" s="22"/>
      <c r="EP289" s="22"/>
      <c r="EQ289" s="22"/>
      <c r="ER289" s="22"/>
      <c r="ES289" s="22"/>
      <c r="ET289" s="22"/>
      <c r="EU289" s="22"/>
      <c r="EV289" s="22"/>
      <c r="EW289" s="22"/>
      <c r="EX289" s="22"/>
      <c r="EY289" s="22"/>
      <c r="EZ289" s="22"/>
      <c r="FA289" s="22"/>
      <c r="FB289" s="22"/>
      <c r="FC289" s="22"/>
      <c r="FD289" s="22"/>
      <c r="FE289" s="22"/>
      <c r="FF289" s="22"/>
      <c r="FG289" s="22"/>
      <c r="FH289" s="22"/>
      <c r="FI289" s="22"/>
      <c r="FJ289" s="22"/>
      <c r="FK289" s="22"/>
      <c r="FL289" s="22"/>
      <c r="FM289" s="22"/>
      <c r="FN289" s="22"/>
      <c r="FO289" s="22"/>
      <c r="FP289" s="22"/>
      <c r="FQ289" s="22"/>
      <c r="FR289" s="22"/>
      <c r="FS289" s="22"/>
      <c r="FT289" s="22"/>
      <c r="FU289" s="22"/>
      <c r="FV289" s="22"/>
      <c r="FW289" s="22"/>
      <c r="FX289" s="22"/>
      <c r="FY289" s="22"/>
      <c r="FZ289" s="22"/>
      <c r="GA289" s="22"/>
      <c r="GB289" s="22"/>
      <c r="GC289" s="22"/>
      <c r="GD289" s="22"/>
      <c r="GE289" s="22"/>
      <c r="GF289" s="22"/>
      <c r="GG289" s="22"/>
      <c r="GH289" s="22"/>
      <c r="GI289" s="22"/>
      <c r="GJ289" s="22"/>
      <c r="GK289" s="22"/>
      <c r="GL289" s="22"/>
      <c r="GM289" s="22"/>
      <c r="GN289" s="22"/>
      <c r="GO289" s="22"/>
      <c r="GP289" s="22"/>
      <c r="GQ289" s="22"/>
      <c r="GR289" s="22"/>
      <c r="GS289" s="22"/>
      <c r="GT289" s="22"/>
      <c r="GU289" s="22"/>
      <c r="GV289" s="22"/>
      <c r="GW289" s="22"/>
      <c r="GX289" s="22"/>
      <c r="GY289" s="22"/>
      <c r="GZ289" s="22"/>
      <c r="HA289" s="22"/>
      <c r="HB289" s="22"/>
      <c r="HC289" s="22"/>
      <c r="HD289" s="22"/>
      <c r="HE289" s="22"/>
      <c r="HF289" s="22"/>
      <c r="HG289" s="22"/>
      <c r="HH289" s="22"/>
      <c r="HI289" s="22"/>
      <c r="HJ289" s="22"/>
      <c r="HK289" s="22"/>
      <c r="HL289" s="22"/>
      <c r="HM289" s="22"/>
      <c r="HN289" s="22"/>
      <c r="HO289" s="22"/>
      <c r="HP289" s="22"/>
      <c r="HQ289" s="22"/>
      <c r="HR289" s="22"/>
      <c r="HS289" s="22"/>
      <c r="HT289" s="22"/>
      <c r="HU289" s="22"/>
      <c r="HV289" s="22"/>
      <c r="HW289" s="22"/>
      <c r="HX289" s="22"/>
      <c r="HY289" s="22"/>
      <c r="HZ289" s="22"/>
      <c r="IA289" s="22"/>
      <c r="IB289" s="22"/>
      <c r="IC289" s="22"/>
      <c r="ID289" s="22"/>
      <c r="IE289" s="22"/>
      <c r="IF289" s="22"/>
      <c r="IG289" s="22"/>
      <c r="IH289" s="22"/>
      <c r="II289" s="22"/>
      <c r="IJ289" s="22"/>
      <c r="IK289" s="22"/>
      <c r="IL289" s="22"/>
      <c r="IM289" s="22"/>
      <c r="IN289" s="22"/>
      <c r="IO289" s="22"/>
      <c r="IP289" s="22"/>
      <c r="IQ289" s="22"/>
      <c r="IR289" s="22"/>
      <c r="IS289" s="22"/>
      <c r="IT289" s="22"/>
      <c r="IU289" s="22"/>
      <c r="IV289" s="22"/>
      <c r="IW289" s="22"/>
      <c r="IX289" s="22"/>
      <c r="IY289" s="22"/>
      <c r="IZ289" s="22"/>
      <c r="JA289" s="22"/>
      <c r="JB289" s="22"/>
      <c r="JC289" s="22"/>
      <c r="JD289" s="22"/>
      <c r="JE289" s="22"/>
      <c r="JF289" s="22"/>
      <c r="JG289" s="22"/>
      <c r="JH289" s="22"/>
      <c r="JI289" s="22"/>
      <c r="JJ289" s="22"/>
      <c r="JK289" s="22"/>
      <c r="JL289" s="22"/>
      <c r="JM289" s="22"/>
      <c r="JN289" s="22"/>
      <c r="JO289" s="22"/>
      <c r="JP289" s="22"/>
      <c r="JQ289" s="22"/>
      <c r="JR289" s="22"/>
      <c r="JS289" s="22"/>
      <c r="JT289" s="22"/>
      <c r="JU289" s="22"/>
      <c r="JV289" s="22"/>
      <c r="JW289" s="22"/>
      <c r="JX289" s="22"/>
      <c r="JY289" s="22"/>
      <c r="JZ289" s="22"/>
      <c r="KA289" s="22"/>
      <c r="KB289" s="22"/>
      <c r="KC289" s="22"/>
      <c r="KD289" s="22"/>
      <c r="KE289" s="22"/>
      <c r="KF289" s="22"/>
      <c r="KG289" s="22"/>
      <c r="KH289" s="22"/>
      <c r="KI289" s="22"/>
      <c r="KJ289" s="22"/>
      <c r="KK289" s="22"/>
      <c r="KL289" s="22"/>
      <c r="KM289" s="22"/>
      <c r="KN289" s="22"/>
      <c r="KO289" s="22"/>
      <c r="KP289" s="22"/>
      <c r="KQ289" s="22"/>
      <c r="KR289" s="22"/>
      <c r="KS289" s="22"/>
      <c r="KT289" s="22"/>
      <c r="KU289" s="22"/>
      <c r="KV289" s="22"/>
      <c r="KW289" s="22"/>
      <c r="KX289" s="22"/>
      <c r="KY289" s="22"/>
      <c r="KZ289" s="22"/>
      <c r="LA289" s="22"/>
      <c r="LB289" s="22"/>
      <c r="LC289" s="22"/>
      <c r="LD289" s="22"/>
      <c r="LE289" s="22"/>
      <c r="LF289" s="22"/>
      <c r="LG289" s="22"/>
      <c r="LH289" s="22"/>
      <c r="LI289" s="22"/>
      <c r="LJ289" s="22"/>
      <c r="LK289" s="22"/>
      <c r="LL289" s="22"/>
      <c r="LM289" s="22"/>
      <c r="LN289" s="22"/>
      <c r="LO289" s="22"/>
      <c r="LP289" s="22"/>
      <c r="LQ289" s="22"/>
      <c r="LR289" s="22"/>
      <c r="LS289" s="22"/>
      <c r="LT289" s="22"/>
      <c r="LU289" s="22"/>
      <c r="LV289" s="22"/>
      <c r="LW289" s="22"/>
      <c r="LX289" s="22"/>
      <c r="LY289" s="22"/>
      <c r="LZ289" s="22"/>
      <c r="MA289" s="22"/>
      <c r="MB289" s="22"/>
      <c r="MC289" s="22"/>
      <c r="MD289" s="22"/>
      <c r="ME289" s="22"/>
      <c r="MF289" s="22"/>
      <c r="MG289" s="22"/>
      <c r="MH289" s="22"/>
      <c r="MI289" s="22"/>
      <c r="MJ289" s="22"/>
      <c r="MK289" s="22"/>
      <c r="ML289" s="22"/>
      <c r="MM289" s="22"/>
      <c r="MN289" s="22"/>
      <c r="MO289" s="22"/>
      <c r="MP289" s="22"/>
      <c r="MQ289" s="22"/>
      <c r="MR289" s="22"/>
      <c r="MS289" s="22"/>
      <c r="MT289" s="22"/>
      <c r="MU289" s="22"/>
      <c r="MV289" s="22"/>
      <c r="MW289" s="22"/>
      <c r="MX289" s="22"/>
      <c r="MY289" s="22"/>
      <c r="MZ289" s="22"/>
      <c r="NA289" s="22"/>
      <c r="NB289" s="22"/>
      <c r="NC289" s="22"/>
      <c r="ND289" s="22"/>
      <c r="NE289" s="22"/>
      <c r="NF289" s="22"/>
      <c r="NG289" s="22"/>
      <c r="NH289" s="22"/>
      <c r="NI289" s="22"/>
      <c r="NJ289" s="22"/>
      <c r="NK289" s="22"/>
      <c r="NL289" s="22"/>
      <c r="NM289" s="22"/>
      <c r="NN289" s="22"/>
      <c r="NO289" s="22"/>
      <c r="NP289" s="22"/>
      <c r="NQ289" s="22"/>
      <c r="NR289" s="22"/>
      <c r="NS289" s="22"/>
      <c r="NT289" s="22"/>
      <c r="NU289" s="22"/>
      <c r="NV289" s="22"/>
      <c r="NW289" s="22"/>
      <c r="NX289" s="22"/>
      <c r="NY289" s="22"/>
      <c r="NZ289" s="22"/>
      <c r="OA289" s="22"/>
      <c r="OB289" s="22"/>
      <c r="OC289" s="22"/>
      <c r="OD289" s="22"/>
      <c r="OE289" s="22"/>
      <c r="OF289" s="22"/>
      <c r="OG289" s="22"/>
      <c r="OH289" s="22"/>
      <c r="OI289" s="22"/>
      <c r="OJ289" s="22"/>
      <c r="OK289" s="22"/>
      <c r="OL289" s="22"/>
      <c r="OM289" s="22"/>
      <c r="ON289" s="22"/>
      <c r="OO289" s="22"/>
      <c r="OP289" s="22"/>
      <c r="OQ289" s="22"/>
      <c r="OR289" s="22"/>
      <c r="OS289" s="22"/>
      <c r="OT289" s="22"/>
      <c r="OU289" s="22"/>
      <c r="OV289" s="22"/>
      <c r="OW289" s="22"/>
      <c r="OX289" s="22"/>
      <c r="OY289" s="22"/>
      <c r="OZ289" s="22"/>
      <c r="PA289" s="22"/>
      <c r="PB289" s="22"/>
      <c r="PC289" s="22"/>
      <c r="PD289" s="22"/>
      <c r="PE289" s="22"/>
      <c r="PF289" s="22"/>
      <c r="PG289" s="22"/>
      <c r="PH289" s="22"/>
      <c r="PI289" s="22"/>
      <c r="PJ289" s="22"/>
      <c r="PK289" s="22"/>
      <c r="PL289" s="22"/>
      <c r="PM289" s="22"/>
      <c r="PN289" s="22"/>
      <c r="PO289" s="22"/>
      <c r="PP289" s="22"/>
      <c r="PQ289" s="22"/>
      <c r="PR289" s="22"/>
      <c r="PS289" s="22"/>
      <c r="PT289" s="22"/>
      <c r="PU289" s="22"/>
      <c r="PV289" s="22"/>
      <c r="PW289" s="22"/>
      <c r="PX289" s="22"/>
      <c r="PY289" s="22"/>
      <c r="PZ289" s="22"/>
      <c r="QA289" s="22"/>
      <c r="QB289" s="22"/>
      <c r="QC289" s="22"/>
      <c r="QD289" s="22"/>
      <c r="QE289" s="22"/>
      <c r="QF289" s="22"/>
      <c r="QG289" s="22"/>
      <c r="QH289" s="22"/>
      <c r="QI289" s="22"/>
      <c r="QJ289" s="22"/>
      <c r="QK289" s="22"/>
      <c r="QL289" s="22"/>
      <c r="QM289" s="22"/>
      <c r="QN289" s="22"/>
      <c r="QO289" s="22"/>
      <c r="QP289" s="22"/>
      <c r="QQ289" s="22"/>
      <c r="QR289" s="22"/>
      <c r="QS289" s="22"/>
      <c r="QT289" s="22"/>
      <c r="QU289" s="22"/>
      <c r="QV289" s="22"/>
      <c r="QW289" s="22"/>
      <c r="QX289" s="22"/>
      <c r="QY289" s="22"/>
      <c r="QZ289" s="22"/>
      <c r="RA289" s="22"/>
      <c r="RB289" s="22"/>
      <c r="RC289" s="22"/>
      <c r="RD289" s="22"/>
      <c r="RE289" s="22"/>
      <c r="RF289" s="22"/>
      <c r="RG289" s="22"/>
      <c r="RH289" s="22"/>
      <c r="RI289" s="22"/>
      <c r="RJ289" s="22"/>
      <c r="RK289" s="22"/>
      <c r="RL289" s="22"/>
      <c r="RM289" s="22"/>
      <c r="RN289" s="22"/>
      <c r="RO289" s="22"/>
      <c r="RP289" s="22"/>
      <c r="RQ289" s="22"/>
      <c r="RR289" s="22"/>
      <c r="RS289" s="22"/>
      <c r="RT289" s="22"/>
      <c r="RU289" s="22"/>
      <c r="RV289" s="22"/>
      <c r="RW289" s="22"/>
      <c r="RX289" s="22"/>
      <c r="RY289" s="22"/>
      <c r="RZ289" s="22"/>
      <c r="SA289" s="22"/>
      <c r="SB289" s="22"/>
      <c r="SC289" s="22"/>
      <c r="SD289" s="22"/>
      <c r="SE289" s="22"/>
      <c r="SF289" s="22"/>
      <c r="SG289" s="22"/>
      <c r="SH289" s="22"/>
      <c r="SI289" s="22"/>
      <c r="SJ289" s="22"/>
      <c r="SK289" s="22"/>
      <c r="SL289" s="22"/>
      <c r="SM289" s="22"/>
      <c r="SN289" s="22"/>
      <c r="SO289" s="22"/>
      <c r="SP289" s="22"/>
      <c r="SQ289" s="22"/>
      <c r="SR289" s="22"/>
      <c r="SS289" s="22"/>
      <c r="ST289" s="22"/>
      <c r="SU289" s="22"/>
      <c r="SV289" s="22"/>
      <c r="SW289" s="22"/>
      <c r="SX289" s="22"/>
      <c r="SY289" s="22"/>
      <c r="SZ289" s="22"/>
      <c r="TA289" s="22"/>
      <c r="TB289" s="22"/>
      <c r="TC289" s="22"/>
      <c r="TD289" s="22"/>
      <c r="TE289" s="22"/>
      <c r="TF289" s="22"/>
      <c r="TG289" s="22"/>
      <c r="TH289" s="22"/>
      <c r="TI289" s="22"/>
      <c r="TJ289" s="22"/>
      <c r="TK289" s="22"/>
      <c r="TL289" s="22"/>
      <c r="TM289" s="22"/>
      <c r="TN289" s="22"/>
      <c r="TO289" s="22"/>
      <c r="TP289" s="22"/>
      <c r="TQ289" s="22"/>
      <c r="TR289" s="22"/>
      <c r="TS289" s="22"/>
      <c r="TT289" s="22"/>
      <c r="TU289" s="22"/>
      <c r="TV289" s="22"/>
      <c r="TW289" s="22"/>
      <c r="TX289" s="22"/>
      <c r="TY289" s="22"/>
      <c r="TZ289" s="22"/>
      <c r="UA289" s="22"/>
      <c r="UB289" s="22"/>
      <c r="UC289" s="22"/>
      <c r="UD289" s="22"/>
      <c r="UE289" s="22"/>
      <c r="UF289" s="22"/>
      <c r="UG289" s="22"/>
      <c r="UH289" s="22"/>
      <c r="UI289" s="22"/>
      <c r="UJ289" s="22"/>
      <c r="UK289" s="22"/>
      <c r="UL289" s="22"/>
      <c r="UM289" s="22"/>
      <c r="UN289" s="22"/>
      <c r="UO289" s="22"/>
      <c r="UP289" s="22"/>
      <c r="UQ289" s="22"/>
      <c r="UR289" s="22"/>
      <c r="US289" s="22"/>
      <c r="UT289" s="22"/>
      <c r="UU289" s="22"/>
      <c r="UV289" s="22"/>
      <c r="UW289" s="22"/>
      <c r="UX289" s="22"/>
      <c r="UY289" s="22"/>
      <c r="UZ289" s="22"/>
      <c r="VA289" s="22"/>
      <c r="VB289" s="22"/>
      <c r="VC289" s="22"/>
      <c r="VD289" s="22"/>
      <c r="VE289" s="22"/>
      <c r="VF289" s="22"/>
      <c r="VG289" s="22"/>
      <c r="VH289" s="22"/>
      <c r="VI289" s="22"/>
      <c r="VJ289" s="22"/>
      <c r="VK289" s="22"/>
      <c r="VL289" s="22"/>
      <c r="VM289" s="22"/>
      <c r="VN289" s="22"/>
      <c r="VO289" s="22"/>
      <c r="VP289" s="22"/>
      <c r="VQ289" s="22"/>
      <c r="VR289" s="22"/>
      <c r="VS289" s="22"/>
      <c r="VT289" s="22"/>
      <c r="VU289" s="22"/>
      <c r="VV289" s="22"/>
      <c r="VW289" s="22"/>
      <c r="VX289" s="22"/>
      <c r="VY289" s="22"/>
      <c r="VZ289" s="22"/>
      <c r="WA289" s="22"/>
      <c r="WB289" s="22"/>
      <c r="WC289" s="22"/>
      <c r="WD289" s="22"/>
      <c r="WE289" s="22"/>
      <c r="WF289" s="22"/>
      <c r="WG289" s="22"/>
      <c r="WH289" s="22"/>
      <c r="WI289" s="22"/>
      <c r="WJ289" s="22"/>
      <c r="WK289" s="22"/>
      <c r="WL289" s="22"/>
      <c r="WM289" s="22"/>
      <c r="WN289" s="22"/>
      <c r="WO289" s="22"/>
      <c r="WP289" s="22"/>
      <c r="WQ289" s="22"/>
      <c r="WR289" s="22"/>
      <c r="WS289" s="22"/>
      <c r="WT289" s="22"/>
      <c r="WU289" s="22"/>
      <c r="WV289" s="22"/>
      <c r="WW289" s="22"/>
      <c r="WX289" s="22"/>
      <c r="WY289" s="22"/>
      <c r="WZ289" s="22"/>
      <c r="XA289" s="22"/>
      <c r="XB289" s="22"/>
      <c r="XC289" s="22"/>
      <c r="XD289" s="22"/>
      <c r="XE289" s="22"/>
      <c r="XF289" s="22"/>
      <c r="XG289" s="22"/>
      <c r="XH289" s="22"/>
      <c r="XI289" s="22"/>
      <c r="XJ289" s="22"/>
      <c r="XK289" s="22"/>
      <c r="XL289" s="22"/>
      <c r="XM289" s="22"/>
      <c r="XN289" s="22"/>
      <c r="XO289" s="22"/>
      <c r="XP289" s="22"/>
      <c r="XQ289" s="22"/>
      <c r="XR289" s="22"/>
      <c r="XS289" s="22"/>
      <c r="XT289" s="22"/>
      <c r="XU289" s="22"/>
      <c r="XV289" s="22"/>
      <c r="XW289" s="22"/>
      <c r="XX289" s="22"/>
      <c r="XY289" s="22"/>
      <c r="XZ289" s="22"/>
      <c r="YA289" s="22"/>
      <c r="YB289" s="22"/>
      <c r="YC289" s="22"/>
      <c r="YD289" s="22"/>
      <c r="YE289" s="22"/>
      <c r="YF289" s="22"/>
      <c r="YG289" s="22"/>
      <c r="YH289" s="22"/>
      <c r="YI289" s="22"/>
      <c r="YJ289" s="22"/>
      <c r="YK289" s="22"/>
      <c r="YL289" s="22"/>
      <c r="YM289" s="22"/>
      <c r="YN289" s="22"/>
      <c r="YO289" s="22"/>
      <c r="YP289" s="22"/>
      <c r="YQ289" s="22"/>
      <c r="YR289" s="22"/>
      <c r="YS289" s="22"/>
      <c r="YT289" s="22"/>
      <c r="YU289" s="22"/>
      <c r="YV289" s="22"/>
      <c r="YW289" s="22"/>
      <c r="YX289" s="22"/>
      <c r="YY289" s="22"/>
      <c r="YZ289" s="22"/>
      <c r="ZA289" s="22"/>
      <c r="ZB289" s="22"/>
      <c r="ZC289" s="22"/>
      <c r="ZD289" s="22"/>
      <c r="ZE289" s="22"/>
      <c r="ZF289" s="22"/>
      <c r="ZG289" s="22"/>
      <c r="ZH289" s="22"/>
      <c r="ZI289" s="22"/>
      <c r="ZJ289" s="22"/>
      <c r="ZK289" s="22"/>
      <c r="ZL289" s="22"/>
      <c r="ZM289" s="22"/>
      <c r="ZN289" s="22"/>
      <c r="ZO289" s="22"/>
      <c r="ZP289" s="22"/>
      <c r="ZQ289" s="22"/>
      <c r="ZR289" s="22"/>
      <c r="ZS289" s="22"/>
      <c r="ZT289" s="22"/>
      <c r="ZU289" s="22"/>
      <c r="ZV289" s="22"/>
      <c r="ZW289" s="22"/>
      <c r="ZX289" s="22"/>
      <c r="ZY289" s="22"/>
      <c r="ZZ289" s="22"/>
      <c r="AAA289" s="22"/>
      <c r="AAB289" s="22"/>
      <c r="AAC289" s="22"/>
      <c r="AAD289" s="22"/>
      <c r="AAE289" s="22"/>
      <c r="AAF289" s="22"/>
      <c r="AAG289" s="22"/>
      <c r="AAH289" s="22"/>
      <c r="AAI289" s="22"/>
      <c r="AAJ289" s="22"/>
      <c r="AAK289" s="22"/>
      <c r="AAL289" s="22"/>
      <c r="AAM289" s="22"/>
      <c r="AAN289" s="22"/>
      <c r="AAO289" s="22"/>
      <c r="AAP289" s="22"/>
      <c r="AAQ289" s="22"/>
      <c r="AAR289" s="22"/>
      <c r="AAS289" s="22"/>
      <c r="AAT289" s="22"/>
      <c r="AAU289" s="22"/>
      <c r="AAV289" s="22"/>
      <c r="AAW289" s="22"/>
      <c r="AAX289" s="22"/>
      <c r="AAY289" s="22"/>
      <c r="AAZ289" s="22"/>
      <c r="ABA289" s="22"/>
      <c r="ABB289" s="22"/>
      <c r="ABC289" s="22"/>
      <c r="ABD289" s="22"/>
      <c r="ABE289" s="22"/>
      <c r="ABF289" s="22"/>
      <c r="ABG289" s="22"/>
      <c r="ABH289" s="22"/>
      <c r="ABI289" s="22"/>
      <c r="ABJ289" s="22"/>
      <c r="ABK289" s="22"/>
      <c r="ABL289" s="22"/>
      <c r="ABM289" s="22"/>
      <c r="ABN289" s="22"/>
      <c r="ABO289" s="22"/>
      <c r="ABP289" s="22"/>
      <c r="ABQ289" s="22"/>
      <c r="ABR289" s="22"/>
      <c r="ABS289" s="22"/>
      <c r="ABT289" s="22"/>
      <c r="ABU289" s="22"/>
      <c r="ABV289" s="22"/>
      <c r="ABW289" s="22"/>
      <c r="ABX289" s="22"/>
      <c r="ABY289" s="22"/>
      <c r="ABZ289" s="22"/>
      <c r="ACA289" s="22"/>
      <c r="ACB289" s="22"/>
      <c r="ACC289" s="22"/>
      <c r="ACD289" s="22"/>
      <c r="ACE289" s="22"/>
      <c r="ACF289" s="22"/>
      <c r="ACG289" s="22"/>
      <c r="ACH289" s="22"/>
      <c r="ACI289" s="22"/>
      <c r="ACJ289" s="22"/>
      <c r="ACK289" s="22"/>
      <c r="ACL289" s="22"/>
      <c r="ACM289" s="22"/>
      <c r="ACN289" s="22"/>
      <c r="ACO289" s="22"/>
      <c r="ACP289" s="22"/>
      <c r="ACQ289" s="22"/>
      <c r="ACR289" s="22"/>
      <c r="ACS289" s="22"/>
      <c r="ACT289" s="22"/>
      <c r="ACU289" s="22"/>
      <c r="ACV289" s="22"/>
      <c r="ACW289" s="22"/>
      <c r="ACX289" s="22"/>
      <c r="ACY289" s="22"/>
      <c r="ACZ289" s="22"/>
      <c r="ADA289" s="22"/>
      <c r="ADB289" s="22"/>
      <c r="ADC289" s="22"/>
      <c r="ADD289" s="22"/>
      <c r="ADE289" s="22"/>
      <c r="ADF289" s="22"/>
      <c r="ADG289" s="22"/>
      <c r="ADH289" s="22"/>
      <c r="ADI289" s="22"/>
      <c r="ADJ289" s="22"/>
      <c r="ADK289" s="22"/>
      <c r="ADL289" s="22"/>
      <c r="ADM289" s="22"/>
      <c r="ADN289" s="22"/>
      <c r="ADO289" s="22"/>
      <c r="ADP289" s="22"/>
      <c r="ADQ289" s="22"/>
      <c r="ADR289" s="22"/>
      <c r="ADS289" s="22"/>
      <c r="ADT289" s="22"/>
      <c r="ADU289" s="22"/>
      <c r="ADV289" s="22"/>
      <c r="ADW289" s="22"/>
      <c r="ADX289" s="22"/>
      <c r="ADY289" s="22"/>
      <c r="ADZ289" s="22"/>
      <c r="AEA289" s="22"/>
      <c r="AEB289" s="22"/>
      <c r="AEC289" s="22"/>
      <c r="AED289" s="22"/>
      <c r="AEE289" s="22"/>
      <c r="AEF289" s="22"/>
      <c r="AEG289" s="22"/>
      <c r="AEH289" s="22"/>
      <c r="AEI289" s="22"/>
      <c r="AEJ289" s="22"/>
      <c r="AEK289" s="22"/>
      <c r="AEL289" s="22"/>
      <c r="AEM289" s="22"/>
      <c r="AEN289" s="22"/>
      <c r="AEO289" s="22"/>
      <c r="AEP289" s="22"/>
      <c r="AEQ289" s="22"/>
      <c r="AER289" s="22"/>
      <c r="AES289" s="22"/>
      <c r="AET289" s="22"/>
      <c r="AEU289" s="22"/>
      <c r="AEV289" s="22"/>
      <c r="AEW289" s="22"/>
      <c r="AEX289" s="22"/>
      <c r="AEY289" s="22"/>
      <c r="AEZ289" s="22"/>
      <c r="AFA289" s="22"/>
      <c r="AFB289" s="22"/>
      <c r="AFC289" s="22"/>
      <c r="AFD289" s="22"/>
      <c r="AFE289" s="22"/>
      <c r="AFF289" s="22"/>
      <c r="AFG289" s="22"/>
      <c r="AFH289" s="22"/>
      <c r="AFI289" s="22"/>
      <c r="AFJ289" s="22"/>
      <c r="AFK289" s="22"/>
      <c r="AFL289" s="22"/>
      <c r="AFM289" s="22"/>
      <c r="AFN289" s="22"/>
      <c r="AFO289" s="22"/>
      <c r="AFP289" s="22"/>
      <c r="AFQ289" s="22"/>
      <c r="AFR289" s="22"/>
      <c r="AFS289" s="22"/>
      <c r="AFT289" s="22"/>
      <c r="AFU289" s="22"/>
      <c r="AFV289" s="22"/>
      <c r="AFW289" s="22"/>
      <c r="AFX289" s="22"/>
      <c r="AFY289" s="22"/>
      <c r="AFZ289" s="22"/>
      <c r="AGA289" s="22"/>
      <c r="AGB289" s="22"/>
      <c r="AGC289" s="22"/>
      <c r="AGD289" s="22"/>
      <c r="AGE289" s="22"/>
      <c r="AGF289" s="22"/>
      <c r="AGG289" s="22"/>
      <c r="AGH289" s="22"/>
      <c r="AGI289" s="22"/>
      <c r="AGJ289" s="22"/>
      <c r="AGK289" s="22"/>
      <c r="AGL289" s="22"/>
      <c r="AGM289" s="22"/>
      <c r="AGN289" s="22"/>
      <c r="AGO289" s="22"/>
      <c r="AGP289" s="22"/>
      <c r="AGQ289" s="22"/>
      <c r="AGR289" s="22"/>
      <c r="AGS289" s="22"/>
      <c r="AGT289" s="22"/>
      <c r="AGU289" s="22"/>
      <c r="AGV289" s="22"/>
      <c r="AGW289" s="22"/>
      <c r="AGX289" s="22"/>
      <c r="AGY289" s="22"/>
      <c r="AGZ289" s="22"/>
      <c r="AHA289" s="22"/>
      <c r="AHB289" s="22"/>
      <c r="AHC289" s="22"/>
      <c r="AHD289" s="22"/>
      <c r="AHE289" s="22"/>
      <c r="AHF289" s="22"/>
      <c r="AHG289" s="22"/>
      <c r="AHH289" s="22"/>
      <c r="AHI289" s="22"/>
      <c r="AHJ289" s="22"/>
      <c r="AHK289" s="22"/>
      <c r="AHL289" s="22"/>
      <c r="AHM289" s="22"/>
      <c r="AHN289" s="22"/>
      <c r="AHO289" s="22"/>
      <c r="AHP289" s="22"/>
      <c r="AHQ289" s="22"/>
      <c r="AHR289" s="22"/>
      <c r="AHS289" s="22"/>
      <c r="AHT289" s="22"/>
      <c r="AHU289" s="22"/>
      <c r="AHV289" s="22"/>
      <c r="AHW289" s="22"/>
      <c r="AHX289" s="22"/>
      <c r="AHY289" s="22"/>
      <c r="AHZ289" s="22"/>
      <c r="AIA289" s="22"/>
      <c r="AIB289" s="22"/>
      <c r="AIC289" s="22"/>
      <c r="AID289" s="22"/>
      <c r="AIE289" s="22"/>
      <c r="AIF289" s="22"/>
      <c r="AIG289" s="22"/>
      <c r="AIH289" s="22"/>
      <c r="AII289" s="22"/>
      <c r="AIJ289" s="22"/>
      <c r="AIK289" s="22"/>
      <c r="AIL289" s="22"/>
      <c r="AIM289" s="22"/>
      <c r="AIN289" s="22"/>
      <c r="AIO289" s="22"/>
      <c r="AIP289" s="22"/>
      <c r="AIQ289" s="22"/>
      <c r="AIR289" s="22"/>
      <c r="AIS289" s="22"/>
      <c r="AIT289" s="22"/>
      <c r="AIU289" s="22"/>
      <c r="AIV289" s="22"/>
      <c r="AIW289" s="22"/>
      <c r="AIX289" s="22"/>
      <c r="AIY289" s="22"/>
      <c r="AIZ289" s="22"/>
      <c r="AJA289" s="22"/>
      <c r="AJB289" s="22"/>
      <c r="AJC289" s="22"/>
      <c r="AJD289" s="22"/>
      <c r="AJE289" s="22"/>
      <c r="AJF289" s="22"/>
      <c r="AJG289" s="22"/>
      <c r="AJH289" s="22"/>
      <c r="AJI289" s="22"/>
      <c r="AJJ289" s="22"/>
      <c r="AJK289" s="22"/>
      <c r="AJL289" s="22"/>
      <c r="AJM289" s="22"/>
      <c r="AJN289" s="22"/>
      <c r="AJO289" s="22"/>
      <c r="AJP289" s="22"/>
      <c r="AJQ289" s="22"/>
      <c r="AJR289" s="22"/>
      <c r="AJS289" s="22"/>
      <c r="AJT289" s="22"/>
      <c r="AJU289" s="22"/>
      <c r="AJV289" s="22"/>
      <c r="AJW289" s="22"/>
      <c r="AJX289" s="22"/>
      <c r="AJY289" s="22"/>
      <c r="AJZ289" s="22"/>
      <c r="AKA289" s="22"/>
      <c r="AKB289" s="22"/>
      <c r="AKC289" s="22"/>
      <c r="AKD289" s="22"/>
      <c r="AKE289" s="22"/>
      <c r="AKF289" s="22"/>
      <c r="AKG289" s="22"/>
      <c r="AKH289" s="22"/>
      <c r="AKI289" s="22"/>
      <c r="AKJ289" s="22"/>
      <c r="AKK289" s="22"/>
      <c r="AKL289" s="22"/>
      <c r="AKM289" s="22"/>
      <c r="AKN289" s="22"/>
      <c r="AKO289" s="22"/>
      <c r="AKP289" s="22"/>
      <c r="AKQ289" s="22"/>
      <c r="AKR289" s="22"/>
      <c r="AKS289" s="22"/>
      <c r="AKT289" s="22"/>
      <c r="AKU289" s="22"/>
      <c r="AKV289" s="22"/>
      <c r="AKW289" s="22"/>
      <c r="AKX289" s="22"/>
      <c r="AKY289" s="22"/>
      <c r="AKZ289" s="22"/>
      <c r="ALA289" s="22"/>
      <c r="ALB289" s="22"/>
      <c r="ALC289" s="22"/>
      <c r="ALD289" s="22"/>
      <c r="ALE289" s="22"/>
      <c r="ALF289" s="22"/>
      <c r="ALG289" s="22"/>
      <c r="ALH289" s="22"/>
      <c r="ALI289" s="22"/>
      <c r="ALJ289" s="22"/>
      <c r="ALK289" s="22"/>
      <c r="ALL289" s="22"/>
      <c r="ALM289" s="22"/>
      <c r="ALN289" s="22"/>
      <c r="ALO289" s="22"/>
      <c r="ALP289" s="22"/>
      <c r="ALQ289" s="22"/>
      <c r="ALR289" s="22"/>
      <c r="ALS289" s="22"/>
      <c r="ALT289" s="22"/>
      <c r="ALU289" s="22"/>
      <c r="ALV289" s="22"/>
      <c r="ALW289" s="22"/>
      <c r="ALX289" s="22"/>
      <c r="ALY289" s="22"/>
      <c r="ALZ289" s="22"/>
      <c r="AMA289" s="22"/>
      <c r="AMB289" s="22"/>
      <c r="AMC289" s="22"/>
      <c r="AMD289" s="22"/>
      <c r="AME289" s="22"/>
      <c r="AMF289" s="22"/>
      <c r="AMG289" s="22"/>
      <c r="AMH289" s="22"/>
      <c r="AMI289" s="22"/>
      <c r="AMJ289" s="22"/>
      <c r="AMK289" s="22"/>
      <c r="AML289" s="22"/>
      <c r="AMM289" s="22"/>
      <c r="AMN289" s="22"/>
      <c r="AMO289" s="22"/>
      <c r="AMP289" s="22"/>
      <c r="AMQ289" s="22"/>
      <c r="AMR289" s="22"/>
      <c r="AMS289" s="22"/>
      <c r="AMT289" s="22"/>
      <c r="AMU289" s="22"/>
      <c r="AMV289" s="22"/>
      <c r="AMW289" s="22"/>
      <c r="AMX289" s="22"/>
      <c r="AMY289" s="22"/>
      <c r="AMZ289" s="22"/>
      <c r="ANA289" s="22"/>
      <c r="ANB289" s="22"/>
      <c r="ANC289" s="22"/>
      <c r="AND289" s="22"/>
      <c r="ANE289" s="22"/>
      <c r="ANF289" s="22"/>
      <c r="ANG289" s="22"/>
      <c r="ANH289" s="22"/>
      <c r="ANI289" s="22"/>
      <c r="ANJ289" s="22"/>
      <c r="ANK289" s="22"/>
      <c r="ANL289" s="22"/>
      <c r="ANM289" s="22"/>
      <c r="ANN289" s="22"/>
      <c r="ANO289" s="22"/>
      <c r="ANP289" s="22"/>
      <c r="ANQ289" s="22"/>
      <c r="ANR289" s="22"/>
      <c r="ANS289" s="22"/>
      <c r="ANT289" s="22"/>
      <c r="ANU289" s="22"/>
      <c r="ANV289" s="22"/>
      <c r="ANW289" s="22"/>
      <c r="ANX289" s="22"/>
      <c r="ANY289" s="22"/>
      <c r="ANZ289" s="22"/>
      <c r="AOA289" s="22"/>
      <c r="AOB289" s="22"/>
      <c r="AOC289" s="22"/>
      <c r="AOD289" s="22"/>
      <c r="AOE289" s="22"/>
      <c r="AOF289" s="22"/>
      <c r="AOG289" s="22"/>
      <c r="AOH289" s="22"/>
      <c r="AOI289" s="22"/>
      <c r="AOJ289" s="22"/>
      <c r="AOK289" s="22"/>
      <c r="AOL289" s="22"/>
      <c r="AOM289" s="22"/>
      <c r="AON289" s="22"/>
      <c r="AOO289" s="22"/>
      <c r="AOP289" s="22"/>
      <c r="AOQ289" s="22"/>
      <c r="AOR289" s="22"/>
      <c r="AOS289" s="22"/>
      <c r="AOT289" s="22"/>
      <c r="AOU289" s="22"/>
      <c r="AOV289" s="22"/>
      <c r="AOW289" s="22"/>
      <c r="AOX289" s="22"/>
      <c r="AOY289" s="22"/>
      <c r="AOZ289" s="22"/>
      <c r="APA289" s="22"/>
      <c r="APB289" s="22"/>
      <c r="APC289" s="22"/>
      <c r="APD289" s="22"/>
      <c r="APE289" s="22"/>
      <c r="APF289" s="22"/>
      <c r="APG289" s="22"/>
      <c r="APH289" s="22"/>
      <c r="API289" s="22"/>
      <c r="APJ289" s="22"/>
      <c r="APK289" s="22"/>
      <c r="APL289" s="22"/>
      <c r="APM289" s="22"/>
      <c r="APN289" s="22"/>
      <c r="APO289" s="22"/>
      <c r="APP289" s="22"/>
      <c r="APQ289" s="22"/>
      <c r="APR289" s="22"/>
      <c r="APS289" s="22"/>
      <c r="APT289" s="22"/>
      <c r="APU289" s="22"/>
      <c r="APV289" s="22"/>
      <c r="APW289" s="22"/>
      <c r="APX289" s="22"/>
      <c r="APY289" s="22"/>
      <c r="APZ289" s="22"/>
      <c r="AQA289" s="22"/>
      <c r="AQB289" s="22"/>
      <c r="AQC289" s="22"/>
      <c r="AQD289" s="22"/>
      <c r="AQE289" s="22"/>
      <c r="AQF289" s="22"/>
      <c r="AQG289" s="22"/>
      <c r="AQH289" s="22"/>
      <c r="AQI289" s="22"/>
      <c r="AQJ289" s="22"/>
      <c r="AQK289" s="22"/>
      <c r="AQL289" s="22"/>
      <c r="AQM289" s="22"/>
      <c r="AQN289" s="22"/>
      <c r="AQO289" s="22"/>
      <c r="AQP289" s="22"/>
      <c r="AQQ289" s="22"/>
      <c r="AQR289" s="22"/>
      <c r="AQS289" s="22"/>
      <c r="AQT289" s="22"/>
      <c r="AQU289" s="22"/>
      <c r="AQV289" s="22"/>
      <c r="AQW289" s="22"/>
      <c r="AQX289" s="22"/>
      <c r="AQY289" s="22"/>
      <c r="AQZ289" s="22"/>
      <c r="ARA289" s="22"/>
      <c r="ARB289" s="22"/>
      <c r="ARC289" s="22"/>
      <c r="ARD289" s="22"/>
      <c r="ARE289" s="22"/>
      <c r="ARF289" s="22"/>
      <c r="ARG289" s="22"/>
      <c r="ARH289" s="22"/>
      <c r="ARI289" s="22"/>
      <c r="ARJ289" s="22"/>
      <c r="ARK289" s="22"/>
      <c r="ARL289" s="22"/>
      <c r="ARM289" s="22"/>
      <c r="ARN289" s="22"/>
      <c r="ARO289" s="22"/>
      <c r="ARP289" s="22"/>
      <c r="ARQ289" s="22"/>
      <c r="ARR289" s="22"/>
      <c r="ARS289" s="22"/>
      <c r="ART289" s="22"/>
      <c r="ARU289" s="22"/>
      <c r="ARV289" s="22"/>
      <c r="ARW289" s="22"/>
      <c r="ARX289" s="22"/>
      <c r="ARY289" s="22"/>
      <c r="ARZ289" s="22"/>
      <c r="ASA289" s="22"/>
      <c r="ASB289" s="22"/>
      <c r="ASC289" s="22"/>
      <c r="ASD289" s="22"/>
      <c r="ASE289" s="22"/>
      <c r="ASF289" s="22"/>
      <c r="ASG289" s="22"/>
      <c r="ASH289" s="22"/>
      <c r="ASI289" s="22"/>
      <c r="ASJ289" s="22"/>
      <c r="ASK289" s="22"/>
      <c r="ASL289" s="22"/>
      <c r="ASM289" s="22"/>
      <c r="ASN289" s="22"/>
      <c r="ASO289" s="22"/>
      <c r="ASP289" s="22"/>
      <c r="ASQ289" s="22"/>
      <c r="ASR289" s="22"/>
      <c r="ASS289" s="22"/>
      <c r="AST289" s="22"/>
      <c r="ASU289" s="22"/>
      <c r="ASV289" s="22"/>
      <c r="ASW289" s="22"/>
      <c r="ASX289" s="22"/>
      <c r="ASY289" s="22"/>
      <c r="ASZ289" s="22"/>
      <c r="ATA289" s="22"/>
      <c r="ATB289" s="22"/>
      <c r="ATC289" s="22"/>
      <c r="ATD289" s="22"/>
      <c r="ATE289" s="22"/>
      <c r="ATF289" s="22"/>
      <c r="ATG289" s="22"/>
      <c r="ATH289" s="22"/>
      <c r="ATI289" s="22"/>
      <c r="ATJ289" s="22"/>
      <c r="ATK289" s="22"/>
      <c r="ATL289" s="22"/>
      <c r="ATM289" s="22"/>
      <c r="ATN289" s="22"/>
      <c r="ATO289" s="22"/>
      <c r="ATP289" s="22"/>
      <c r="ATQ289" s="22"/>
      <c r="ATR289" s="22"/>
      <c r="ATS289" s="22"/>
      <c r="ATT289" s="22"/>
      <c r="ATU289" s="22"/>
      <c r="ATV289" s="22"/>
      <c r="ATW289" s="22"/>
      <c r="ATX289" s="22"/>
      <c r="ATY289" s="22"/>
      <c r="ATZ289" s="22"/>
      <c r="AUA289" s="22"/>
      <c r="AUB289" s="22"/>
      <c r="AUC289" s="22"/>
      <c r="AUD289" s="22"/>
      <c r="AUE289" s="22"/>
      <c r="AUF289" s="22"/>
      <c r="AUG289" s="22"/>
      <c r="AUH289" s="22"/>
      <c r="AUI289" s="22"/>
      <c r="AUJ289" s="22"/>
      <c r="AUK289" s="22"/>
      <c r="AUL289" s="22"/>
      <c r="AUM289" s="22"/>
      <c r="AUN289" s="22"/>
      <c r="AUO289" s="22"/>
      <c r="AUP289" s="22"/>
      <c r="AUQ289" s="22"/>
      <c r="AUR289" s="22"/>
      <c r="AUS289" s="22"/>
      <c r="AUT289" s="22"/>
      <c r="AUU289" s="22"/>
      <c r="AUV289" s="22"/>
      <c r="AUW289" s="22"/>
      <c r="AUX289" s="22"/>
      <c r="AUY289" s="22"/>
      <c r="AUZ289" s="22"/>
      <c r="AVA289" s="22"/>
      <c r="AVB289" s="22"/>
      <c r="AVC289" s="22"/>
      <c r="AVD289" s="22"/>
      <c r="AVE289" s="22"/>
      <c r="AVF289" s="22"/>
      <c r="AVG289" s="22"/>
      <c r="AVH289" s="22"/>
      <c r="AVI289" s="22"/>
      <c r="AVJ289" s="22"/>
      <c r="AVK289" s="22"/>
      <c r="AVL289" s="22"/>
      <c r="AVM289" s="22"/>
      <c r="AVN289" s="22"/>
      <c r="AVO289" s="22"/>
      <c r="AVP289" s="22"/>
      <c r="AVQ289" s="22"/>
      <c r="AVR289" s="22"/>
      <c r="AVS289" s="22"/>
      <c r="AVT289" s="22"/>
      <c r="AVU289" s="22"/>
      <c r="AVV289" s="22"/>
      <c r="AVW289" s="22"/>
      <c r="AVX289" s="22"/>
      <c r="AVY289" s="22"/>
      <c r="AVZ289" s="22"/>
      <c r="AWA289" s="22"/>
      <c r="AWB289" s="22"/>
      <c r="AWC289" s="22"/>
      <c r="AWD289" s="22"/>
      <c r="AWE289" s="22"/>
      <c r="AWF289" s="22"/>
      <c r="AWG289" s="22"/>
      <c r="AWH289" s="22"/>
      <c r="AWI289" s="22"/>
      <c r="AWJ289" s="22"/>
      <c r="AWK289" s="22"/>
      <c r="AWL289" s="22"/>
      <c r="AWM289" s="22"/>
      <c r="AWN289" s="22"/>
      <c r="AWO289" s="22"/>
      <c r="AWP289" s="22"/>
      <c r="AWQ289" s="22"/>
      <c r="AWR289" s="22"/>
      <c r="AWS289" s="22"/>
      <c r="AWT289" s="22"/>
      <c r="AWU289" s="22"/>
      <c r="AWV289" s="22"/>
      <c r="AWW289" s="22"/>
      <c r="AWX289" s="22"/>
      <c r="AWY289" s="22"/>
      <c r="AWZ289" s="22"/>
      <c r="AXA289" s="22"/>
      <c r="AXB289" s="22"/>
      <c r="AXC289" s="22"/>
      <c r="AXD289" s="22"/>
      <c r="AXE289" s="22"/>
      <c r="AXF289" s="22"/>
      <c r="AXG289" s="22"/>
      <c r="AXH289" s="22"/>
      <c r="AXI289" s="22"/>
      <c r="AXJ289" s="22"/>
      <c r="AXK289" s="22"/>
      <c r="AXL289" s="22"/>
      <c r="AXM289" s="22"/>
      <c r="AXN289" s="22"/>
      <c r="AXO289" s="22"/>
      <c r="AXP289" s="22"/>
      <c r="AXQ289" s="22"/>
      <c r="AXR289" s="22"/>
      <c r="AXS289" s="22"/>
      <c r="AXT289" s="22"/>
      <c r="AXU289" s="22"/>
      <c r="AXV289" s="22"/>
      <c r="AXW289" s="22"/>
      <c r="AXX289" s="22"/>
      <c r="AXY289" s="22"/>
      <c r="AXZ289" s="22"/>
      <c r="AYA289" s="22"/>
      <c r="AYB289" s="22"/>
      <c r="AYC289" s="22"/>
      <c r="AYD289" s="22"/>
      <c r="AYE289" s="22"/>
      <c r="AYF289" s="22"/>
      <c r="AYG289" s="22"/>
      <c r="AYH289" s="22"/>
      <c r="AYI289" s="22"/>
      <c r="AYJ289" s="22"/>
      <c r="AYK289" s="22"/>
      <c r="AYL289" s="22"/>
      <c r="AYM289" s="22"/>
      <c r="AYN289" s="22"/>
      <c r="AYO289" s="22"/>
      <c r="AYP289" s="22"/>
      <c r="AYQ289" s="22"/>
      <c r="AYR289" s="22"/>
      <c r="AYS289" s="22"/>
      <c r="AYT289" s="22"/>
      <c r="AYU289" s="22"/>
      <c r="AYV289" s="22"/>
      <c r="AYW289" s="22"/>
      <c r="AYX289" s="22"/>
      <c r="AYY289" s="22"/>
      <c r="AYZ289" s="22"/>
      <c r="AZA289" s="22"/>
      <c r="AZB289" s="22"/>
      <c r="AZC289" s="22"/>
      <c r="AZD289" s="22"/>
      <c r="AZE289" s="22"/>
      <c r="AZF289" s="22"/>
      <c r="AZG289" s="22"/>
      <c r="AZH289" s="22"/>
      <c r="AZI289" s="22"/>
      <c r="AZJ289" s="22"/>
      <c r="AZK289" s="22"/>
      <c r="AZL289" s="22"/>
      <c r="AZM289" s="22"/>
      <c r="AZN289" s="22"/>
      <c r="AZO289" s="22"/>
      <c r="AZP289" s="22"/>
      <c r="AZQ289" s="22"/>
      <c r="AZR289" s="22"/>
      <c r="AZS289" s="22"/>
      <c r="AZT289" s="22"/>
      <c r="AZU289" s="22"/>
      <c r="AZV289" s="22"/>
      <c r="AZW289" s="22"/>
      <c r="AZX289" s="22"/>
      <c r="AZY289" s="22"/>
      <c r="AZZ289" s="22"/>
      <c r="BAA289" s="22"/>
      <c r="BAB289" s="22"/>
      <c r="BAC289" s="22"/>
      <c r="BAD289" s="22"/>
      <c r="BAE289" s="22"/>
      <c r="BAF289" s="22"/>
      <c r="BAG289" s="22"/>
      <c r="BAH289" s="22"/>
      <c r="BAI289" s="22"/>
      <c r="BAJ289" s="22"/>
      <c r="BAK289" s="22"/>
      <c r="BAL289" s="22"/>
      <c r="BAM289" s="22"/>
      <c r="BAN289" s="22"/>
      <c r="BAO289" s="22"/>
      <c r="BAP289" s="22"/>
      <c r="BAQ289" s="22"/>
      <c r="BAR289" s="22"/>
      <c r="BAS289" s="22"/>
      <c r="BAT289" s="22"/>
      <c r="BAU289" s="22"/>
      <c r="BAV289" s="22"/>
      <c r="BAW289" s="22"/>
      <c r="BAX289" s="22"/>
      <c r="BAY289" s="22"/>
      <c r="BAZ289" s="22"/>
      <c r="BBA289" s="22"/>
      <c r="BBB289" s="22"/>
      <c r="BBC289" s="22"/>
      <c r="BBD289" s="22"/>
      <c r="BBE289" s="22"/>
      <c r="BBF289" s="22"/>
      <c r="BBG289" s="22"/>
      <c r="BBH289" s="22"/>
      <c r="BBI289" s="22"/>
      <c r="BBJ289" s="22"/>
      <c r="BBK289" s="22"/>
      <c r="BBL289" s="22"/>
      <c r="BBM289" s="22"/>
      <c r="BBN289" s="22"/>
      <c r="BBO289" s="22"/>
      <c r="BBP289" s="22"/>
      <c r="BBQ289" s="22"/>
      <c r="BBR289" s="22"/>
      <c r="BBS289" s="22"/>
      <c r="BBT289" s="22"/>
      <c r="BBU289" s="22"/>
      <c r="BBV289" s="22"/>
      <c r="BBW289" s="22"/>
      <c r="BBX289" s="22"/>
      <c r="BBY289" s="22"/>
      <c r="BBZ289" s="22"/>
      <c r="BCA289" s="22"/>
      <c r="BCB289" s="22"/>
      <c r="BCC289" s="22"/>
      <c r="BCD289" s="22"/>
      <c r="BCE289" s="22"/>
      <c r="BCF289" s="22"/>
      <c r="BCG289" s="22"/>
      <c r="BCH289" s="22"/>
      <c r="BCI289" s="22"/>
      <c r="BCJ289" s="22"/>
      <c r="BCK289" s="22"/>
      <c r="BCL289" s="22"/>
      <c r="BCM289" s="22"/>
      <c r="BCN289" s="22"/>
      <c r="BCO289" s="22"/>
      <c r="BCP289" s="22"/>
      <c r="BCQ289" s="22"/>
      <c r="BCR289" s="22"/>
      <c r="BCS289" s="22"/>
      <c r="BCT289" s="22"/>
      <c r="BCU289" s="22"/>
      <c r="BCV289" s="22"/>
      <c r="BCW289" s="22"/>
      <c r="BCX289" s="22"/>
      <c r="BCY289" s="22"/>
      <c r="BCZ289" s="22"/>
      <c r="BDA289" s="22"/>
      <c r="BDB289" s="22"/>
      <c r="BDC289" s="22"/>
      <c r="BDD289" s="22"/>
      <c r="BDE289" s="22"/>
      <c r="BDF289" s="22"/>
      <c r="BDG289" s="22"/>
      <c r="BDH289" s="22"/>
      <c r="BDI289" s="22"/>
      <c r="BDJ289" s="22"/>
      <c r="BDK289" s="22"/>
      <c r="BDL289" s="22"/>
      <c r="BDM289" s="22"/>
      <c r="BDN289" s="22"/>
      <c r="BDO289" s="22"/>
      <c r="BDP289" s="22"/>
      <c r="BDQ289" s="22"/>
      <c r="BDR289" s="22"/>
      <c r="BDS289" s="22"/>
      <c r="BDT289" s="22"/>
      <c r="BDU289" s="22"/>
      <c r="BDV289" s="22"/>
      <c r="BDW289" s="22"/>
      <c r="BDX289" s="22"/>
      <c r="BDY289" s="22"/>
      <c r="BDZ289" s="22"/>
      <c r="BEA289" s="22"/>
      <c r="BEB289" s="22"/>
      <c r="BEC289" s="22"/>
      <c r="BED289" s="22"/>
      <c r="BEE289" s="22"/>
      <c r="BEF289" s="22"/>
      <c r="BEG289" s="22"/>
      <c r="BEH289" s="22"/>
      <c r="BEI289" s="22"/>
      <c r="BEJ289" s="22"/>
      <c r="BEK289" s="22"/>
      <c r="BEL289" s="22"/>
      <c r="BEM289" s="22"/>
      <c r="BEN289" s="22"/>
      <c r="BEO289" s="22"/>
      <c r="BEP289" s="22"/>
      <c r="BEQ289" s="22"/>
      <c r="BER289" s="22"/>
      <c r="BES289" s="22"/>
      <c r="BET289" s="22"/>
      <c r="BEU289" s="22"/>
      <c r="BEV289" s="22"/>
      <c r="BEW289" s="22"/>
      <c r="BEX289" s="22"/>
      <c r="BEY289" s="22"/>
      <c r="BEZ289" s="22"/>
      <c r="BFA289" s="22"/>
      <c r="BFB289" s="22"/>
      <c r="BFC289" s="22"/>
      <c r="BFD289" s="22"/>
      <c r="BFE289" s="22"/>
      <c r="BFF289" s="22"/>
      <c r="BFG289" s="22"/>
      <c r="BFH289" s="22"/>
      <c r="BFI289" s="22"/>
      <c r="BFJ289" s="22"/>
      <c r="BFK289" s="22"/>
      <c r="BFL289" s="22"/>
      <c r="BFM289" s="22"/>
      <c r="BFN289" s="22"/>
      <c r="BFO289" s="22"/>
      <c r="BFP289" s="22"/>
      <c r="BFQ289" s="22"/>
      <c r="BFR289" s="22"/>
      <c r="BFS289" s="22"/>
      <c r="BFT289" s="22"/>
      <c r="BFU289" s="22"/>
      <c r="BFV289" s="22"/>
      <c r="BFW289" s="22"/>
      <c r="BFX289" s="22"/>
      <c r="BFY289" s="22"/>
      <c r="BFZ289" s="22"/>
      <c r="BGA289" s="22"/>
      <c r="BGB289" s="22"/>
      <c r="BGC289" s="22"/>
      <c r="BGD289" s="22"/>
      <c r="BGE289" s="22"/>
      <c r="BGF289" s="22"/>
      <c r="BGG289" s="22"/>
      <c r="BGH289" s="22"/>
      <c r="BGI289" s="22"/>
      <c r="BGJ289" s="22"/>
      <c r="BGK289" s="22"/>
      <c r="BGL289" s="22"/>
      <c r="BGM289" s="22"/>
      <c r="BGN289" s="22"/>
      <c r="BGO289" s="22"/>
      <c r="BGP289" s="22"/>
      <c r="BGQ289" s="22"/>
      <c r="BGR289" s="22"/>
      <c r="BGS289" s="22"/>
      <c r="BGT289" s="22"/>
      <c r="BGU289" s="22"/>
      <c r="BGV289" s="22"/>
      <c r="BGW289" s="22"/>
      <c r="BGX289" s="22"/>
      <c r="BGY289" s="22"/>
      <c r="BGZ289" s="22"/>
      <c r="BHA289" s="22"/>
      <c r="BHB289" s="22"/>
      <c r="BHC289" s="22"/>
      <c r="BHD289" s="22"/>
      <c r="BHE289" s="22"/>
      <c r="BHF289" s="22"/>
      <c r="BHG289" s="22"/>
      <c r="BHH289" s="22"/>
      <c r="BHI289" s="22"/>
      <c r="BHJ289" s="22"/>
      <c r="BHK289" s="22"/>
      <c r="BHL289" s="22"/>
      <c r="BHM289" s="22"/>
      <c r="BHN289" s="22"/>
      <c r="BHO289" s="22"/>
      <c r="BHP289" s="22"/>
      <c r="BHQ289" s="22"/>
      <c r="BHR289" s="22"/>
      <c r="BHS289" s="22"/>
      <c r="BHT289" s="22"/>
      <c r="BHU289" s="22"/>
      <c r="BHV289" s="22"/>
      <c r="BHW289" s="22"/>
      <c r="BHX289" s="22"/>
      <c r="BHY289" s="22"/>
      <c r="BHZ289" s="22"/>
      <c r="BIA289" s="22"/>
      <c r="BIB289" s="22"/>
      <c r="BIC289" s="22"/>
      <c r="BID289" s="22"/>
      <c r="BIE289" s="22"/>
      <c r="BIF289" s="22"/>
      <c r="BIG289" s="22"/>
      <c r="BIH289" s="22"/>
      <c r="BII289" s="22"/>
      <c r="BIJ289" s="22"/>
      <c r="BIK289" s="22"/>
      <c r="BIL289" s="22"/>
      <c r="BIM289" s="22"/>
      <c r="BIN289" s="22"/>
      <c r="BIO289" s="22"/>
      <c r="BIP289" s="22"/>
      <c r="BIQ289" s="22"/>
      <c r="BIR289" s="22"/>
      <c r="BIS289" s="22"/>
      <c r="BIT289" s="22"/>
      <c r="BIU289" s="22"/>
      <c r="BIV289" s="22"/>
      <c r="BIW289" s="22"/>
      <c r="BIX289" s="22"/>
      <c r="BIY289" s="22"/>
      <c r="BIZ289" s="22"/>
      <c r="BJA289" s="22"/>
      <c r="BJB289" s="22"/>
      <c r="BJC289" s="22"/>
      <c r="BJD289" s="22"/>
      <c r="BJE289" s="22"/>
      <c r="BJF289" s="22"/>
      <c r="BJG289" s="22"/>
      <c r="BJH289" s="22"/>
      <c r="BJI289" s="22"/>
      <c r="BJJ289" s="22"/>
      <c r="BJK289" s="22"/>
      <c r="BJL289" s="22"/>
      <c r="BJM289" s="22"/>
      <c r="BJN289" s="22"/>
      <c r="BJO289" s="22"/>
      <c r="BJP289" s="22"/>
      <c r="BJQ289" s="22"/>
      <c r="BJR289" s="22"/>
      <c r="BJS289" s="22"/>
      <c r="BJT289" s="22"/>
      <c r="BJU289" s="22"/>
      <c r="BJV289" s="22"/>
      <c r="BJW289" s="22"/>
      <c r="BJX289" s="22"/>
      <c r="BJY289" s="22"/>
      <c r="BJZ289" s="22"/>
      <c r="BKA289" s="22"/>
      <c r="BKB289" s="22"/>
      <c r="BKC289" s="22"/>
      <c r="BKD289" s="22"/>
      <c r="BKE289" s="22"/>
      <c r="BKF289" s="22"/>
      <c r="BKG289" s="22"/>
      <c r="BKH289" s="22"/>
      <c r="BKI289" s="22"/>
      <c r="BKJ289" s="22"/>
      <c r="BKK289" s="22"/>
      <c r="BKL289" s="22"/>
      <c r="BKM289" s="22"/>
      <c r="BKN289" s="22"/>
      <c r="BKO289" s="22"/>
      <c r="BKP289" s="22"/>
      <c r="BKQ289" s="22"/>
      <c r="BKR289" s="22"/>
      <c r="BKS289" s="22"/>
      <c r="BKT289" s="22"/>
      <c r="BKU289" s="22"/>
      <c r="BKV289" s="22"/>
      <c r="BKW289" s="22"/>
      <c r="BKX289" s="22"/>
      <c r="BKY289" s="22"/>
      <c r="BKZ289" s="22"/>
      <c r="BLA289" s="22"/>
      <c r="BLB289" s="22"/>
      <c r="BLC289" s="22"/>
      <c r="BLD289" s="22"/>
      <c r="BLE289" s="22"/>
      <c r="BLF289" s="22"/>
      <c r="BLG289" s="22"/>
      <c r="BLH289" s="22"/>
      <c r="BLI289" s="22"/>
      <c r="BLJ289" s="22"/>
      <c r="BLK289" s="22"/>
      <c r="BLL289" s="22"/>
      <c r="BLM289" s="22"/>
      <c r="BLN289" s="22"/>
      <c r="BLO289" s="22"/>
      <c r="BLP289" s="22"/>
      <c r="BLQ289" s="22"/>
      <c r="BLR289" s="22"/>
      <c r="BLS289" s="22"/>
      <c r="BLT289" s="22"/>
      <c r="BLU289" s="22"/>
      <c r="BLV289" s="22"/>
      <c r="BLW289" s="22"/>
      <c r="BLX289" s="22"/>
      <c r="BLY289" s="22"/>
      <c r="BLZ289" s="22"/>
      <c r="BMA289" s="22"/>
      <c r="BMB289" s="22"/>
      <c r="BMC289" s="22"/>
      <c r="BMD289" s="22"/>
      <c r="BME289" s="22"/>
      <c r="BMF289" s="22"/>
      <c r="BMG289" s="22"/>
      <c r="BMH289" s="22"/>
      <c r="BMI289" s="22"/>
      <c r="BMJ289" s="22"/>
      <c r="BMK289" s="22"/>
      <c r="BML289" s="22"/>
      <c r="BMM289" s="22"/>
      <c r="BMN289" s="22"/>
      <c r="BMO289" s="22"/>
      <c r="BMP289" s="22"/>
      <c r="BMQ289" s="22"/>
      <c r="BMR289" s="22"/>
      <c r="BMS289" s="22"/>
      <c r="BMT289" s="22"/>
      <c r="BMU289" s="22"/>
      <c r="BMV289" s="22"/>
      <c r="BMW289" s="22"/>
      <c r="BMX289" s="22"/>
      <c r="BMY289" s="22"/>
      <c r="BMZ289" s="22"/>
      <c r="BNA289" s="22"/>
      <c r="BNB289" s="22"/>
      <c r="BNC289" s="22"/>
      <c r="BND289" s="22"/>
      <c r="BNE289" s="22"/>
      <c r="BNF289" s="22"/>
      <c r="BNG289" s="22"/>
      <c r="BNH289" s="22"/>
      <c r="BNI289" s="22"/>
      <c r="BNJ289" s="22"/>
      <c r="BNK289" s="22"/>
      <c r="BNL289" s="22"/>
      <c r="BNM289" s="22"/>
      <c r="BNN289" s="22"/>
      <c r="BNO289" s="22"/>
      <c r="BNP289" s="22"/>
      <c r="BNQ289" s="22"/>
      <c r="BNR289" s="22"/>
      <c r="BNS289" s="22"/>
      <c r="BNT289" s="22"/>
      <c r="BNU289" s="22"/>
      <c r="BNV289" s="22"/>
      <c r="BNW289" s="22"/>
      <c r="BNX289" s="22"/>
      <c r="BNY289" s="22"/>
      <c r="BNZ289" s="22"/>
      <c r="BOA289" s="22"/>
      <c r="BOB289" s="22"/>
      <c r="BOC289" s="22"/>
      <c r="BOD289" s="22"/>
      <c r="BOE289" s="22"/>
      <c r="BOF289" s="22"/>
      <c r="BOG289" s="22"/>
      <c r="BOH289" s="22"/>
      <c r="BOI289" s="22"/>
      <c r="BOJ289" s="22"/>
      <c r="BOK289" s="22"/>
      <c r="BOL289" s="22"/>
      <c r="BOM289" s="22"/>
      <c r="BON289" s="22"/>
      <c r="BOO289" s="22"/>
      <c r="BOP289" s="22"/>
      <c r="BOQ289" s="22"/>
      <c r="BOR289" s="22"/>
      <c r="BOS289" s="22"/>
      <c r="BOT289" s="22"/>
      <c r="BOU289" s="22"/>
      <c r="BOV289" s="22"/>
      <c r="BOW289" s="22"/>
      <c r="BOX289" s="22"/>
      <c r="BOY289" s="22"/>
      <c r="BOZ289" s="22"/>
      <c r="BPA289" s="22"/>
      <c r="BPB289" s="22"/>
      <c r="BPC289" s="22"/>
      <c r="BPD289" s="22"/>
      <c r="BPE289" s="22"/>
      <c r="BPF289" s="22"/>
      <c r="BPG289" s="22"/>
      <c r="BPH289" s="22"/>
      <c r="BPI289" s="22"/>
      <c r="BPJ289" s="22"/>
      <c r="BPK289" s="22"/>
      <c r="BPL289" s="22"/>
      <c r="BPM289" s="22"/>
      <c r="BPN289" s="22"/>
      <c r="BPO289" s="22"/>
      <c r="BPP289" s="22"/>
      <c r="BPQ289" s="22"/>
      <c r="BPR289" s="22"/>
      <c r="BPS289" s="22"/>
      <c r="BPT289" s="22"/>
      <c r="BPU289" s="22"/>
      <c r="BPV289" s="22"/>
      <c r="BPW289" s="22"/>
      <c r="BPX289" s="22"/>
      <c r="BPY289" s="22"/>
      <c r="BPZ289" s="22"/>
      <c r="BQA289" s="22"/>
      <c r="BQB289" s="22"/>
      <c r="BQC289" s="22"/>
      <c r="BQD289" s="22"/>
      <c r="BQE289" s="22"/>
      <c r="BQF289" s="22"/>
      <c r="BQG289" s="22"/>
      <c r="BQH289" s="22"/>
      <c r="BQI289" s="22"/>
      <c r="BQJ289" s="22"/>
      <c r="BQK289" s="22"/>
      <c r="BQL289" s="22"/>
      <c r="BQM289" s="22"/>
      <c r="BQN289" s="22"/>
      <c r="BQO289" s="22"/>
      <c r="BQP289" s="22"/>
      <c r="BQQ289" s="22"/>
      <c r="BQR289" s="22"/>
      <c r="BQS289" s="22"/>
      <c r="BQT289" s="22"/>
      <c r="BQU289" s="22"/>
      <c r="BQV289" s="22"/>
      <c r="BQW289" s="22"/>
      <c r="BQX289" s="22"/>
      <c r="BQY289" s="22"/>
      <c r="BQZ289" s="22"/>
      <c r="BRA289" s="22"/>
      <c r="BRB289" s="22"/>
      <c r="BRC289" s="22"/>
      <c r="BRD289" s="22"/>
      <c r="BRE289" s="22"/>
      <c r="BRF289" s="22"/>
      <c r="BRG289" s="22"/>
      <c r="BRH289" s="22"/>
      <c r="BRI289" s="22"/>
      <c r="BRJ289" s="22"/>
      <c r="BRK289" s="22"/>
      <c r="BRL289" s="22"/>
      <c r="BRM289" s="22"/>
      <c r="BRN289" s="22"/>
      <c r="BRO289" s="22"/>
      <c r="BRP289" s="22"/>
      <c r="BRQ289" s="22"/>
      <c r="BRR289" s="22"/>
      <c r="BRS289" s="22"/>
      <c r="BRT289" s="22"/>
      <c r="BRU289" s="22"/>
      <c r="BRV289" s="22"/>
      <c r="BRW289" s="22"/>
      <c r="BRX289" s="22"/>
      <c r="BRY289" s="22"/>
      <c r="BRZ289" s="22"/>
      <c r="BSA289" s="22"/>
      <c r="BSB289" s="22"/>
      <c r="BSC289" s="22"/>
      <c r="BSD289" s="22"/>
      <c r="BSE289" s="22"/>
      <c r="BSF289" s="22"/>
      <c r="BSG289" s="22"/>
      <c r="BSH289" s="22"/>
      <c r="BSI289" s="22"/>
      <c r="BSJ289" s="22"/>
      <c r="BSK289" s="22"/>
      <c r="BSL289" s="22"/>
      <c r="BSM289" s="22"/>
      <c r="BSN289" s="22"/>
      <c r="BSO289" s="22"/>
      <c r="BSP289" s="22"/>
      <c r="BSQ289" s="22"/>
      <c r="BSR289" s="22"/>
      <c r="BSS289" s="22"/>
      <c r="BST289" s="22"/>
      <c r="BSU289" s="22"/>
      <c r="BSV289" s="22"/>
      <c r="BSW289" s="22"/>
      <c r="BSX289" s="22"/>
      <c r="BSY289" s="22"/>
      <c r="BSZ289" s="22"/>
      <c r="BTA289" s="22"/>
      <c r="BTB289" s="22"/>
      <c r="BTC289" s="22"/>
      <c r="BTD289" s="22"/>
      <c r="BTE289" s="22"/>
      <c r="BTF289" s="22"/>
      <c r="BTG289" s="22"/>
      <c r="BTH289" s="22"/>
      <c r="BTI289" s="22"/>
      <c r="BTJ289" s="22"/>
      <c r="BTK289" s="22"/>
      <c r="BTL289" s="22"/>
      <c r="BTM289" s="22"/>
      <c r="BTN289" s="22"/>
      <c r="BTO289" s="22"/>
      <c r="BTP289" s="22"/>
      <c r="BTQ289" s="22"/>
      <c r="BTR289" s="22"/>
      <c r="BTS289" s="22"/>
      <c r="BTT289" s="22"/>
      <c r="BTU289" s="22"/>
      <c r="BTV289" s="22"/>
      <c r="BTW289" s="22"/>
      <c r="BTX289" s="22"/>
      <c r="BTY289" s="22"/>
      <c r="BTZ289" s="22"/>
      <c r="BUA289" s="22"/>
      <c r="BUB289" s="22"/>
      <c r="BUC289" s="22"/>
      <c r="BUD289" s="22"/>
      <c r="BUE289" s="22"/>
      <c r="BUF289" s="22"/>
      <c r="BUG289" s="22"/>
      <c r="BUH289" s="22"/>
      <c r="BUI289" s="22"/>
      <c r="BUJ289" s="22"/>
      <c r="BUK289" s="22"/>
      <c r="BUL289" s="22"/>
      <c r="BUM289" s="22"/>
      <c r="BUN289" s="22"/>
      <c r="BUO289" s="22"/>
      <c r="BUP289" s="22"/>
      <c r="BUQ289" s="22"/>
      <c r="BUR289" s="22"/>
      <c r="BUS289" s="22"/>
      <c r="BUT289" s="22"/>
      <c r="BUU289" s="22"/>
      <c r="BUV289" s="22"/>
      <c r="BUW289" s="22"/>
      <c r="BUX289" s="22"/>
      <c r="BUY289" s="22"/>
      <c r="BUZ289" s="22"/>
      <c r="BVA289" s="22"/>
      <c r="BVB289" s="22"/>
      <c r="BVC289" s="22"/>
      <c r="BVD289" s="22"/>
      <c r="BVE289" s="22"/>
      <c r="BVF289" s="22"/>
      <c r="BVG289" s="22"/>
      <c r="BVH289" s="22"/>
      <c r="BVI289" s="22"/>
      <c r="BVJ289" s="22"/>
      <c r="BVK289" s="22"/>
      <c r="BVL289" s="22"/>
      <c r="BVM289" s="22"/>
      <c r="BVN289" s="22"/>
      <c r="BVO289" s="22"/>
      <c r="BVP289" s="22"/>
      <c r="BVQ289" s="22"/>
      <c r="BVR289" s="22"/>
      <c r="BVS289" s="22"/>
      <c r="BVT289" s="22"/>
      <c r="BVU289" s="22"/>
      <c r="BVV289" s="22"/>
      <c r="BVW289" s="22"/>
      <c r="BVX289" s="22"/>
      <c r="BVY289" s="22"/>
      <c r="BVZ289" s="22"/>
      <c r="BWA289" s="22"/>
      <c r="BWB289" s="22"/>
      <c r="BWC289" s="22"/>
      <c r="BWD289" s="22"/>
      <c r="BWE289" s="22"/>
      <c r="BWF289" s="22"/>
      <c r="BWG289" s="22"/>
      <c r="BWH289" s="22"/>
      <c r="BWI289" s="22"/>
      <c r="BWJ289" s="22"/>
      <c r="BWK289" s="22"/>
      <c r="BWL289" s="22"/>
      <c r="BWM289" s="22"/>
      <c r="BWN289" s="22"/>
      <c r="BWO289" s="22"/>
      <c r="BWP289" s="22"/>
      <c r="BWQ289" s="22"/>
      <c r="BWR289" s="22"/>
      <c r="BWS289" s="22"/>
      <c r="BWT289" s="22"/>
      <c r="BWU289" s="22"/>
      <c r="BWV289" s="22"/>
      <c r="BWW289" s="22"/>
      <c r="BWX289" s="22"/>
      <c r="BWY289" s="22"/>
      <c r="BWZ289" s="22"/>
      <c r="BXA289" s="22"/>
      <c r="BXB289" s="22"/>
      <c r="BXC289" s="22"/>
      <c r="BXD289" s="22"/>
      <c r="BXE289" s="22"/>
      <c r="BXF289" s="22"/>
      <c r="BXG289" s="22"/>
      <c r="BXH289" s="22"/>
      <c r="BXI289" s="22"/>
      <c r="BXJ289" s="22"/>
      <c r="BXK289" s="22"/>
      <c r="BXL289" s="22"/>
      <c r="BXM289" s="22"/>
      <c r="BXN289" s="22"/>
      <c r="BXO289" s="22"/>
      <c r="BXP289" s="22"/>
      <c r="BXQ289" s="22"/>
      <c r="BXR289" s="22"/>
      <c r="BXS289" s="22"/>
      <c r="BXT289" s="22"/>
      <c r="BXU289" s="22"/>
      <c r="BXV289" s="22"/>
      <c r="BXW289" s="22"/>
      <c r="BXX289" s="22"/>
      <c r="BXY289" s="22"/>
      <c r="BXZ289" s="22"/>
      <c r="BYA289" s="22"/>
      <c r="BYB289" s="22"/>
      <c r="BYC289" s="22"/>
      <c r="BYD289" s="22"/>
      <c r="BYE289" s="22"/>
      <c r="BYF289" s="22"/>
      <c r="BYG289" s="22"/>
      <c r="BYH289" s="22"/>
      <c r="BYI289" s="22"/>
      <c r="BYJ289" s="22"/>
      <c r="BYK289" s="22"/>
      <c r="BYL289" s="22"/>
      <c r="BYM289" s="22"/>
      <c r="BYN289" s="22"/>
      <c r="BYO289" s="22"/>
      <c r="BYP289" s="22"/>
      <c r="BYQ289" s="22"/>
      <c r="BYR289" s="22"/>
      <c r="BYS289" s="22"/>
      <c r="BYT289" s="22"/>
      <c r="BYU289" s="22"/>
      <c r="BYV289" s="22"/>
      <c r="BYW289" s="22"/>
      <c r="BYX289" s="22"/>
      <c r="BYY289" s="22"/>
      <c r="BYZ289" s="22"/>
      <c r="BZA289" s="22"/>
      <c r="BZB289" s="22"/>
      <c r="BZC289" s="22"/>
      <c r="BZD289" s="22"/>
      <c r="BZE289" s="22"/>
      <c r="BZF289" s="22"/>
      <c r="BZG289" s="22"/>
      <c r="BZH289" s="22"/>
      <c r="BZI289" s="22"/>
      <c r="BZJ289" s="22"/>
      <c r="BZK289" s="22"/>
      <c r="BZL289" s="22"/>
      <c r="BZM289" s="22"/>
      <c r="BZN289" s="22"/>
      <c r="BZO289" s="22"/>
      <c r="BZP289" s="22"/>
      <c r="BZQ289" s="22"/>
      <c r="BZR289" s="22"/>
      <c r="BZS289" s="22"/>
      <c r="BZT289" s="22"/>
      <c r="BZU289" s="22"/>
      <c r="BZV289" s="22"/>
      <c r="BZW289" s="22"/>
      <c r="BZX289" s="22"/>
      <c r="BZY289" s="22"/>
      <c r="BZZ289" s="22"/>
      <c r="CAA289" s="22"/>
      <c r="CAB289" s="22"/>
      <c r="CAC289" s="22"/>
      <c r="CAD289" s="22"/>
      <c r="CAE289" s="22"/>
      <c r="CAF289" s="22"/>
      <c r="CAG289" s="22"/>
      <c r="CAH289" s="22"/>
      <c r="CAI289" s="22"/>
      <c r="CAJ289" s="22"/>
      <c r="CAK289" s="22"/>
      <c r="CAL289" s="22"/>
      <c r="CAM289" s="22"/>
      <c r="CAN289" s="22"/>
      <c r="CAO289" s="22"/>
      <c r="CAP289" s="22"/>
      <c r="CAQ289" s="22"/>
      <c r="CAR289" s="22"/>
      <c r="CAS289" s="22"/>
      <c r="CAT289" s="22"/>
      <c r="CAU289" s="22"/>
      <c r="CAV289" s="22"/>
      <c r="CAW289" s="22"/>
      <c r="CAX289" s="22"/>
      <c r="CAY289" s="22"/>
      <c r="CAZ289" s="22"/>
      <c r="CBA289" s="22"/>
      <c r="CBB289" s="22"/>
      <c r="CBC289" s="22"/>
      <c r="CBD289" s="22"/>
      <c r="CBE289" s="22"/>
      <c r="CBF289" s="22"/>
      <c r="CBG289" s="22"/>
      <c r="CBH289" s="22"/>
      <c r="CBI289" s="22"/>
      <c r="CBJ289" s="22"/>
      <c r="CBK289" s="22"/>
      <c r="CBL289" s="22"/>
      <c r="CBM289" s="22"/>
      <c r="CBN289" s="22"/>
      <c r="CBO289" s="22"/>
      <c r="CBP289" s="22"/>
      <c r="CBQ289" s="22"/>
      <c r="CBR289" s="22"/>
      <c r="CBS289" s="22"/>
      <c r="CBT289" s="22"/>
      <c r="CBU289" s="22"/>
      <c r="CBV289" s="22"/>
      <c r="CBW289" s="22"/>
      <c r="CBX289" s="22"/>
      <c r="CBY289" s="22"/>
      <c r="CBZ289" s="22"/>
      <c r="CCA289" s="22"/>
      <c r="CCB289" s="22"/>
      <c r="CCC289" s="22"/>
      <c r="CCD289" s="22"/>
      <c r="CCE289" s="22"/>
      <c r="CCF289" s="22"/>
      <c r="CCG289" s="22"/>
      <c r="CCH289" s="22"/>
      <c r="CCI289" s="22"/>
      <c r="CCJ289" s="22"/>
      <c r="CCK289" s="22"/>
      <c r="CCL289" s="22"/>
      <c r="CCM289" s="22"/>
      <c r="CCN289" s="22"/>
      <c r="CCO289" s="22"/>
      <c r="CCP289" s="22"/>
      <c r="CCQ289" s="22"/>
      <c r="CCR289" s="22"/>
      <c r="CCS289" s="22"/>
      <c r="CCT289" s="22"/>
      <c r="CCU289" s="22"/>
      <c r="CCV289" s="22"/>
      <c r="CCW289" s="22"/>
      <c r="CCX289" s="22"/>
      <c r="CCY289" s="22"/>
      <c r="CCZ289" s="22"/>
      <c r="CDA289" s="22"/>
      <c r="CDB289" s="22"/>
      <c r="CDC289" s="22"/>
      <c r="CDD289" s="22"/>
      <c r="CDE289" s="22"/>
      <c r="CDF289" s="22"/>
      <c r="CDG289" s="22"/>
      <c r="CDH289" s="22"/>
      <c r="CDI289" s="22"/>
      <c r="CDJ289" s="22"/>
      <c r="CDK289" s="22"/>
      <c r="CDL289" s="22"/>
      <c r="CDM289" s="22"/>
      <c r="CDN289" s="22"/>
      <c r="CDO289" s="22"/>
      <c r="CDP289" s="22"/>
      <c r="CDQ289" s="22"/>
      <c r="CDR289" s="22"/>
      <c r="CDS289" s="22"/>
      <c r="CDT289" s="22"/>
      <c r="CDU289" s="22"/>
      <c r="CDV289" s="22"/>
      <c r="CDW289" s="22"/>
      <c r="CDX289" s="22"/>
      <c r="CDY289" s="22"/>
      <c r="CDZ289" s="22"/>
      <c r="CEA289" s="22"/>
      <c r="CEB289" s="22"/>
      <c r="CEC289" s="22"/>
      <c r="CED289" s="22"/>
      <c r="CEE289" s="22"/>
      <c r="CEF289" s="22"/>
      <c r="CEG289" s="22"/>
      <c r="CEH289" s="22"/>
      <c r="CEI289" s="22"/>
      <c r="CEJ289" s="22"/>
      <c r="CEK289" s="22"/>
      <c r="CEL289" s="22"/>
      <c r="CEM289" s="22"/>
      <c r="CEN289" s="22"/>
      <c r="CEO289" s="22"/>
      <c r="CEP289" s="22"/>
      <c r="CEQ289" s="22"/>
      <c r="CER289" s="22"/>
      <c r="CES289" s="22"/>
      <c r="CET289" s="22"/>
      <c r="CEU289" s="22"/>
      <c r="CEV289" s="22"/>
      <c r="CEW289" s="22"/>
      <c r="CEX289" s="22"/>
      <c r="CEY289" s="22"/>
      <c r="CEZ289" s="22"/>
      <c r="CFA289" s="22"/>
      <c r="CFB289" s="22"/>
      <c r="CFC289" s="22"/>
      <c r="CFD289" s="22"/>
      <c r="CFE289" s="22"/>
      <c r="CFF289" s="22"/>
      <c r="CFG289" s="22"/>
      <c r="CFH289" s="22"/>
      <c r="CFI289" s="22"/>
      <c r="CFJ289" s="22"/>
      <c r="CFK289" s="22"/>
      <c r="CFL289" s="22"/>
      <c r="CFM289" s="22"/>
      <c r="CFN289" s="22"/>
      <c r="CFO289" s="22"/>
      <c r="CFP289" s="22"/>
      <c r="CFQ289" s="22"/>
      <c r="CFR289" s="22"/>
      <c r="CFS289" s="22"/>
      <c r="CFT289" s="22"/>
      <c r="CFU289" s="22"/>
      <c r="CFV289" s="22"/>
      <c r="CFW289" s="22"/>
      <c r="CFX289" s="22"/>
      <c r="CFY289" s="22"/>
      <c r="CFZ289" s="22"/>
      <c r="CGA289" s="22"/>
      <c r="CGB289" s="22"/>
      <c r="CGC289" s="22"/>
      <c r="CGD289" s="22"/>
      <c r="CGE289" s="22"/>
      <c r="CGF289" s="22"/>
      <c r="CGG289" s="22"/>
      <c r="CGH289" s="22"/>
      <c r="CGI289" s="22"/>
      <c r="CGJ289" s="22"/>
      <c r="CGK289" s="22"/>
      <c r="CGL289" s="22"/>
      <c r="CGM289" s="22"/>
      <c r="CGN289" s="22"/>
      <c r="CGO289" s="22"/>
      <c r="CGP289" s="22"/>
      <c r="CGQ289" s="22"/>
      <c r="CGR289" s="22"/>
      <c r="CGS289" s="22"/>
      <c r="CGT289" s="22"/>
      <c r="CGU289" s="22"/>
      <c r="CGV289" s="22"/>
      <c r="CGW289" s="22"/>
      <c r="CGX289" s="22"/>
      <c r="CGY289" s="22"/>
      <c r="CGZ289" s="22"/>
      <c r="CHA289" s="22"/>
      <c r="CHB289" s="22"/>
      <c r="CHC289" s="22"/>
      <c r="CHD289" s="22"/>
      <c r="CHE289" s="22"/>
      <c r="CHF289" s="22"/>
      <c r="CHG289" s="22"/>
      <c r="CHH289" s="22"/>
      <c r="CHI289" s="22"/>
      <c r="CHJ289" s="22"/>
      <c r="CHK289" s="22"/>
      <c r="CHL289" s="22"/>
      <c r="CHM289" s="22"/>
      <c r="CHN289" s="22"/>
      <c r="CHO289" s="22"/>
      <c r="CHP289" s="22"/>
      <c r="CHQ289" s="22"/>
      <c r="CHR289" s="22"/>
      <c r="CHS289" s="22"/>
      <c r="CHT289" s="22"/>
      <c r="CHU289" s="22"/>
      <c r="CHV289" s="22"/>
      <c r="CHW289" s="22"/>
      <c r="CHX289" s="22"/>
      <c r="CHY289" s="22"/>
      <c r="CHZ289" s="22"/>
      <c r="CIA289" s="22"/>
      <c r="CIB289" s="22"/>
      <c r="CIC289" s="22"/>
      <c r="CID289" s="22"/>
      <c r="CIE289" s="22"/>
      <c r="CIF289" s="22"/>
      <c r="CIG289" s="22"/>
      <c r="CIH289" s="22"/>
      <c r="CII289" s="22"/>
      <c r="CIJ289" s="22"/>
      <c r="CIK289" s="22"/>
      <c r="CIL289" s="22"/>
      <c r="CIM289" s="22"/>
      <c r="CIN289" s="22"/>
      <c r="CIO289" s="22"/>
      <c r="CIP289" s="22"/>
      <c r="CIQ289" s="22"/>
      <c r="CIR289" s="22"/>
      <c r="CIS289" s="22"/>
      <c r="CIT289" s="22"/>
      <c r="CIU289" s="22"/>
      <c r="CIV289" s="22"/>
      <c r="CIW289" s="22"/>
      <c r="CIX289" s="22"/>
      <c r="CIY289" s="22"/>
      <c r="CIZ289" s="22"/>
      <c r="CJA289" s="22"/>
      <c r="CJB289" s="22"/>
      <c r="CJC289" s="22"/>
      <c r="CJD289" s="22"/>
      <c r="CJE289" s="22"/>
      <c r="CJF289" s="22"/>
      <c r="CJG289" s="22"/>
      <c r="CJH289" s="22"/>
      <c r="CJI289" s="22"/>
      <c r="CJJ289" s="22"/>
      <c r="CJK289" s="22"/>
      <c r="CJL289" s="22"/>
      <c r="CJM289" s="22"/>
      <c r="CJN289" s="22"/>
      <c r="CJO289" s="22"/>
      <c r="CJP289" s="22"/>
      <c r="CJQ289" s="22"/>
      <c r="CJR289" s="22"/>
      <c r="CJS289" s="22"/>
      <c r="CJT289" s="22"/>
      <c r="CJU289" s="22"/>
      <c r="CJV289" s="22"/>
      <c r="CJW289" s="22"/>
      <c r="CJX289" s="22"/>
      <c r="CJY289" s="22"/>
      <c r="CJZ289" s="22"/>
      <c r="CKA289" s="22"/>
      <c r="CKB289" s="22"/>
      <c r="CKC289" s="22"/>
      <c r="CKD289" s="22"/>
      <c r="CKE289" s="22"/>
      <c r="CKF289" s="22"/>
      <c r="CKG289" s="22"/>
      <c r="CKH289" s="22"/>
      <c r="CKI289" s="22"/>
      <c r="CKJ289" s="22"/>
      <c r="CKK289" s="22"/>
      <c r="CKL289" s="22"/>
      <c r="CKM289" s="22"/>
      <c r="CKN289" s="22"/>
      <c r="CKO289" s="22"/>
      <c r="CKP289" s="22"/>
      <c r="CKQ289" s="22"/>
      <c r="CKR289" s="22"/>
      <c r="CKS289" s="22"/>
      <c r="CKT289" s="22"/>
      <c r="CKU289" s="22"/>
      <c r="CKV289" s="22"/>
      <c r="CKW289" s="22"/>
      <c r="CKX289" s="22"/>
      <c r="CKY289" s="22"/>
      <c r="CKZ289" s="22"/>
      <c r="CLA289" s="22"/>
      <c r="CLB289" s="22"/>
      <c r="CLC289" s="22"/>
      <c r="CLD289" s="22"/>
      <c r="CLE289" s="22"/>
      <c r="CLF289" s="22"/>
      <c r="CLG289" s="22"/>
      <c r="CLH289" s="22"/>
      <c r="CLI289" s="22"/>
      <c r="CLJ289" s="22"/>
      <c r="CLK289" s="22"/>
      <c r="CLL289" s="22"/>
      <c r="CLM289" s="22"/>
      <c r="CLN289" s="22"/>
      <c r="CLO289" s="22"/>
      <c r="CLP289" s="22"/>
      <c r="CLQ289" s="22"/>
      <c r="CLR289" s="22"/>
      <c r="CLS289" s="22"/>
      <c r="CLT289" s="22"/>
      <c r="CLU289" s="22"/>
      <c r="CLV289" s="22"/>
      <c r="CLW289" s="22"/>
      <c r="CLX289" s="22"/>
      <c r="CLY289" s="22"/>
      <c r="CLZ289" s="22"/>
      <c r="CMA289" s="22"/>
      <c r="CMB289" s="22"/>
      <c r="CMC289" s="22"/>
      <c r="CMD289" s="22"/>
      <c r="CME289" s="22"/>
      <c r="CMF289" s="22"/>
      <c r="CMG289" s="22"/>
      <c r="CMH289" s="22"/>
      <c r="CMI289" s="22"/>
      <c r="CMJ289" s="22"/>
      <c r="CMK289" s="22"/>
      <c r="CML289" s="22"/>
      <c r="CMM289" s="22"/>
      <c r="CMN289" s="22"/>
      <c r="CMO289" s="22"/>
      <c r="CMP289" s="22"/>
      <c r="CMQ289" s="22"/>
      <c r="CMR289" s="22"/>
      <c r="CMS289" s="22"/>
      <c r="CMT289" s="22"/>
      <c r="CMU289" s="22"/>
      <c r="CMV289" s="22"/>
      <c r="CMW289" s="22"/>
      <c r="CMX289" s="22"/>
      <c r="CMY289" s="22"/>
      <c r="CMZ289" s="22"/>
      <c r="CNA289" s="22"/>
      <c r="CNB289" s="22"/>
      <c r="CNC289" s="22"/>
      <c r="CND289" s="22"/>
      <c r="CNE289" s="22"/>
      <c r="CNF289" s="22"/>
      <c r="CNG289" s="22"/>
      <c r="CNH289" s="22"/>
      <c r="CNI289" s="22"/>
      <c r="CNJ289" s="22"/>
      <c r="CNK289" s="22"/>
      <c r="CNL289" s="22"/>
      <c r="CNM289" s="22"/>
      <c r="CNN289" s="22"/>
      <c r="CNO289" s="22"/>
      <c r="CNP289" s="22"/>
      <c r="CNQ289" s="22"/>
      <c r="CNR289" s="22"/>
      <c r="CNS289" s="22"/>
      <c r="CNT289" s="22"/>
      <c r="CNU289" s="22"/>
      <c r="CNV289" s="22"/>
      <c r="CNW289" s="22"/>
      <c r="CNX289" s="22"/>
      <c r="CNY289" s="22"/>
      <c r="CNZ289" s="22"/>
      <c r="COA289" s="22"/>
      <c r="COB289" s="22"/>
      <c r="COC289" s="22"/>
      <c r="COD289" s="22"/>
      <c r="COE289" s="22"/>
      <c r="COF289" s="22"/>
      <c r="COG289" s="22"/>
      <c r="COH289" s="22"/>
      <c r="COI289" s="22"/>
      <c r="COJ289" s="22"/>
      <c r="COK289" s="22"/>
      <c r="COL289" s="22"/>
      <c r="COM289" s="22"/>
      <c r="CON289" s="22"/>
      <c r="COO289" s="22"/>
      <c r="COP289" s="22"/>
      <c r="COQ289" s="22"/>
      <c r="COR289" s="22"/>
      <c r="COS289" s="22"/>
      <c r="COT289" s="22"/>
      <c r="COU289" s="22"/>
      <c r="COV289" s="22"/>
      <c r="COW289" s="22"/>
      <c r="COX289" s="22"/>
      <c r="COY289" s="22"/>
      <c r="COZ289" s="22"/>
      <c r="CPA289" s="22"/>
      <c r="CPB289" s="22"/>
      <c r="CPC289" s="22"/>
      <c r="CPD289" s="22"/>
      <c r="CPE289" s="22"/>
      <c r="CPF289" s="22"/>
      <c r="CPG289" s="22"/>
      <c r="CPH289" s="22"/>
      <c r="CPI289" s="22"/>
      <c r="CPJ289" s="22"/>
      <c r="CPK289" s="22"/>
      <c r="CPL289" s="22"/>
      <c r="CPM289" s="22"/>
      <c r="CPN289" s="22"/>
      <c r="CPO289" s="22"/>
      <c r="CPP289" s="22"/>
      <c r="CPQ289" s="22"/>
      <c r="CPR289" s="22"/>
      <c r="CPS289" s="22"/>
      <c r="CPT289" s="22"/>
      <c r="CPU289" s="22"/>
      <c r="CPV289" s="22"/>
      <c r="CPW289" s="22"/>
      <c r="CPX289" s="22"/>
      <c r="CPY289" s="22"/>
      <c r="CPZ289" s="22"/>
      <c r="CQA289" s="22"/>
      <c r="CQB289" s="22"/>
      <c r="CQC289" s="22"/>
      <c r="CQD289" s="22"/>
      <c r="CQE289" s="22"/>
      <c r="CQF289" s="22"/>
      <c r="CQG289" s="22"/>
      <c r="CQH289" s="22"/>
      <c r="CQI289" s="22"/>
      <c r="CQJ289" s="22"/>
      <c r="CQK289" s="22"/>
      <c r="CQL289" s="22"/>
      <c r="CQM289" s="22"/>
      <c r="CQN289" s="22"/>
      <c r="CQO289" s="22"/>
      <c r="CQP289" s="22"/>
      <c r="CQQ289" s="22"/>
      <c r="CQR289" s="22"/>
      <c r="CQS289" s="22"/>
      <c r="CQT289" s="22"/>
      <c r="CQU289" s="22"/>
      <c r="CQV289" s="22"/>
      <c r="CQW289" s="22"/>
      <c r="CQX289" s="22"/>
      <c r="CQY289" s="22"/>
      <c r="CQZ289" s="22"/>
      <c r="CRA289" s="22"/>
      <c r="CRB289" s="22"/>
      <c r="CRC289" s="22"/>
      <c r="CRD289" s="22"/>
      <c r="CRE289" s="22"/>
      <c r="CRF289" s="22"/>
      <c r="CRG289" s="22"/>
      <c r="CRH289" s="22"/>
      <c r="CRI289" s="22"/>
      <c r="CRJ289" s="22"/>
      <c r="CRK289" s="22"/>
      <c r="CRL289" s="22"/>
      <c r="CRM289" s="22"/>
      <c r="CRN289" s="22"/>
      <c r="CRO289" s="22"/>
      <c r="CRP289" s="22"/>
      <c r="CRQ289" s="22"/>
      <c r="CRR289" s="22"/>
      <c r="CRS289" s="22"/>
      <c r="CRT289" s="22"/>
      <c r="CRU289" s="22"/>
      <c r="CRV289" s="22"/>
      <c r="CRW289" s="22"/>
      <c r="CRX289" s="22"/>
      <c r="CRY289" s="22"/>
      <c r="CRZ289" s="22"/>
      <c r="CSA289" s="22"/>
      <c r="CSB289" s="22"/>
      <c r="CSC289" s="22"/>
      <c r="CSD289" s="22"/>
      <c r="CSE289" s="22"/>
      <c r="CSF289" s="22"/>
      <c r="CSG289" s="22"/>
      <c r="CSH289" s="22"/>
      <c r="CSI289" s="22"/>
      <c r="CSJ289" s="22"/>
      <c r="CSK289" s="22"/>
      <c r="CSL289" s="22"/>
      <c r="CSM289" s="22"/>
      <c r="CSN289" s="22"/>
      <c r="CSO289" s="22"/>
      <c r="CSP289" s="22"/>
      <c r="CSQ289" s="22"/>
      <c r="CSR289" s="22"/>
      <c r="CSS289" s="22"/>
      <c r="CST289" s="22"/>
      <c r="CSU289" s="22"/>
      <c r="CSV289" s="22"/>
      <c r="CSW289" s="22"/>
      <c r="CSX289" s="22"/>
      <c r="CSY289" s="22"/>
      <c r="CSZ289" s="22"/>
      <c r="CTA289" s="22"/>
      <c r="CTB289" s="22"/>
      <c r="CTC289" s="22"/>
      <c r="CTD289" s="22"/>
      <c r="CTE289" s="22"/>
      <c r="CTF289" s="22"/>
      <c r="CTG289" s="22"/>
      <c r="CTH289" s="22"/>
      <c r="CTI289" s="22"/>
      <c r="CTJ289" s="22"/>
      <c r="CTK289" s="22"/>
      <c r="CTL289" s="22"/>
      <c r="CTM289" s="22"/>
      <c r="CTN289" s="22"/>
      <c r="CTO289" s="22"/>
      <c r="CTP289" s="22"/>
      <c r="CTQ289" s="22"/>
      <c r="CTR289" s="22"/>
      <c r="CTS289" s="22"/>
      <c r="CTT289" s="22"/>
      <c r="CTU289" s="22"/>
      <c r="CTV289" s="22"/>
      <c r="CTW289" s="22"/>
      <c r="CTX289" s="22"/>
      <c r="CTY289" s="22"/>
      <c r="CTZ289" s="22"/>
      <c r="CUA289" s="22"/>
      <c r="CUB289" s="22"/>
      <c r="CUC289" s="22"/>
      <c r="CUD289" s="22"/>
      <c r="CUE289" s="22"/>
      <c r="CUF289" s="22"/>
      <c r="CUG289" s="22"/>
      <c r="CUH289" s="22"/>
      <c r="CUI289" s="22"/>
      <c r="CUJ289" s="22"/>
      <c r="CUK289" s="22"/>
      <c r="CUL289" s="22"/>
      <c r="CUM289" s="22"/>
      <c r="CUN289" s="22"/>
      <c r="CUO289" s="22"/>
      <c r="CUP289" s="22"/>
      <c r="CUQ289" s="22"/>
      <c r="CUR289" s="22"/>
      <c r="CUS289" s="22"/>
      <c r="CUT289" s="22"/>
      <c r="CUU289" s="22"/>
      <c r="CUV289" s="22"/>
      <c r="CUW289" s="22"/>
      <c r="CUX289" s="22"/>
      <c r="CUY289" s="22"/>
      <c r="CUZ289" s="22"/>
      <c r="CVA289" s="22"/>
      <c r="CVB289" s="22"/>
      <c r="CVC289" s="22"/>
      <c r="CVD289" s="22"/>
      <c r="CVE289" s="22"/>
      <c r="CVF289" s="22"/>
      <c r="CVG289" s="22"/>
      <c r="CVH289" s="22"/>
      <c r="CVI289" s="22"/>
      <c r="CVJ289" s="22"/>
      <c r="CVK289" s="22"/>
      <c r="CVL289" s="22"/>
      <c r="CVM289" s="22"/>
      <c r="CVN289" s="22"/>
      <c r="CVO289" s="22"/>
      <c r="CVP289" s="22"/>
      <c r="CVQ289" s="22"/>
      <c r="CVR289" s="22"/>
      <c r="CVS289" s="22"/>
      <c r="CVT289" s="22"/>
      <c r="CVU289" s="22"/>
      <c r="CVV289" s="22"/>
      <c r="CVW289" s="22"/>
      <c r="CVX289" s="22"/>
      <c r="CVY289" s="22"/>
      <c r="CVZ289" s="22"/>
      <c r="CWA289" s="22"/>
      <c r="CWB289" s="22"/>
      <c r="CWC289" s="22"/>
      <c r="CWD289" s="22"/>
      <c r="CWE289" s="22"/>
      <c r="CWF289" s="22"/>
      <c r="CWG289" s="22"/>
      <c r="CWH289" s="22"/>
      <c r="CWI289" s="22"/>
      <c r="CWJ289" s="22"/>
      <c r="CWK289" s="22"/>
      <c r="CWL289" s="22"/>
      <c r="CWM289" s="22"/>
      <c r="CWN289" s="22"/>
      <c r="CWO289" s="22"/>
      <c r="CWP289" s="22"/>
      <c r="CWQ289" s="22"/>
      <c r="CWR289" s="22"/>
      <c r="CWS289" s="22"/>
      <c r="CWT289" s="22"/>
      <c r="CWU289" s="22"/>
      <c r="CWV289" s="22"/>
      <c r="CWW289" s="22"/>
      <c r="CWX289" s="22"/>
      <c r="CWY289" s="22"/>
      <c r="CWZ289" s="22"/>
      <c r="CXA289" s="22"/>
      <c r="CXB289" s="22"/>
      <c r="CXC289" s="22"/>
      <c r="CXD289" s="22"/>
      <c r="CXE289" s="22"/>
      <c r="CXF289" s="22"/>
      <c r="CXG289" s="22"/>
      <c r="CXH289" s="22"/>
      <c r="CXI289" s="22"/>
      <c r="CXJ289" s="22"/>
      <c r="CXK289" s="22"/>
      <c r="CXL289" s="22"/>
      <c r="CXM289" s="22"/>
      <c r="CXN289" s="22"/>
      <c r="CXO289" s="22"/>
      <c r="CXP289" s="22"/>
      <c r="CXQ289" s="22"/>
      <c r="CXR289" s="22"/>
      <c r="CXS289" s="22"/>
      <c r="CXT289" s="22"/>
      <c r="CXU289" s="22"/>
      <c r="CXV289" s="22"/>
      <c r="CXW289" s="22"/>
      <c r="CXX289" s="22"/>
      <c r="CXY289" s="22"/>
      <c r="CXZ289" s="22"/>
      <c r="CYA289" s="22"/>
      <c r="CYB289" s="22"/>
      <c r="CYC289" s="22"/>
      <c r="CYD289" s="22"/>
      <c r="CYE289" s="22"/>
      <c r="CYF289" s="22"/>
      <c r="CYG289" s="22"/>
      <c r="CYH289" s="22"/>
      <c r="CYI289" s="22"/>
      <c r="CYJ289" s="22"/>
      <c r="CYK289" s="22"/>
      <c r="CYL289" s="22"/>
      <c r="CYM289" s="22"/>
      <c r="CYN289" s="22"/>
      <c r="CYO289" s="22"/>
      <c r="CYP289" s="22"/>
      <c r="CYQ289" s="22"/>
      <c r="CYR289" s="22"/>
      <c r="CYS289" s="22"/>
      <c r="CYT289" s="22"/>
      <c r="CYU289" s="22"/>
      <c r="CYV289" s="22"/>
      <c r="CYW289" s="22"/>
      <c r="CYX289" s="22"/>
      <c r="CYY289" s="22"/>
      <c r="CYZ289" s="22"/>
      <c r="CZA289" s="22"/>
      <c r="CZB289" s="22"/>
      <c r="CZC289" s="22"/>
      <c r="CZD289" s="22"/>
      <c r="CZE289" s="22"/>
      <c r="CZF289" s="22"/>
      <c r="CZG289" s="22"/>
      <c r="CZH289" s="22"/>
      <c r="CZI289" s="22"/>
      <c r="CZJ289" s="22"/>
      <c r="CZK289" s="22"/>
      <c r="CZL289" s="22"/>
      <c r="CZM289" s="22"/>
      <c r="CZN289" s="22"/>
      <c r="CZO289" s="22"/>
      <c r="CZP289" s="22"/>
      <c r="CZQ289" s="22"/>
      <c r="CZR289" s="22"/>
      <c r="CZS289" s="22"/>
      <c r="CZT289" s="22"/>
      <c r="CZU289" s="22"/>
      <c r="CZV289" s="22"/>
      <c r="CZW289" s="22"/>
      <c r="CZX289" s="22"/>
      <c r="CZY289" s="22"/>
      <c r="CZZ289" s="22"/>
      <c r="DAA289" s="22"/>
      <c r="DAB289" s="22"/>
      <c r="DAC289" s="22"/>
      <c r="DAD289" s="22"/>
      <c r="DAE289" s="22"/>
      <c r="DAF289" s="22"/>
      <c r="DAG289" s="22"/>
      <c r="DAH289" s="22"/>
      <c r="DAI289" s="22"/>
      <c r="DAJ289" s="22"/>
      <c r="DAK289" s="22"/>
      <c r="DAL289" s="22"/>
      <c r="DAM289" s="22"/>
      <c r="DAN289" s="22"/>
      <c r="DAO289" s="22"/>
      <c r="DAP289" s="22"/>
      <c r="DAQ289" s="22"/>
      <c r="DAR289" s="22"/>
      <c r="DAS289" s="22"/>
      <c r="DAT289" s="22"/>
      <c r="DAU289" s="22"/>
      <c r="DAV289" s="22"/>
      <c r="DAW289" s="22"/>
      <c r="DAX289" s="22"/>
      <c r="DAY289" s="22"/>
      <c r="DAZ289" s="22"/>
      <c r="DBA289" s="22"/>
      <c r="DBB289" s="22"/>
      <c r="DBC289" s="22"/>
      <c r="DBD289" s="22"/>
      <c r="DBE289" s="22"/>
      <c r="DBF289" s="22"/>
      <c r="DBG289" s="22"/>
      <c r="DBH289" s="22"/>
      <c r="DBI289" s="22"/>
      <c r="DBJ289" s="22"/>
      <c r="DBK289" s="22"/>
      <c r="DBL289" s="22"/>
      <c r="DBM289" s="22"/>
      <c r="DBN289" s="22"/>
      <c r="DBO289" s="22"/>
      <c r="DBP289" s="22"/>
      <c r="DBQ289" s="22"/>
      <c r="DBR289" s="22"/>
      <c r="DBS289" s="22"/>
      <c r="DBT289" s="22"/>
      <c r="DBU289" s="22"/>
      <c r="DBV289" s="22"/>
      <c r="DBW289" s="22"/>
      <c r="DBX289" s="22"/>
      <c r="DBY289" s="22"/>
      <c r="DBZ289" s="22"/>
      <c r="DCA289" s="22"/>
      <c r="DCB289" s="22"/>
      <c r="DCC289" s="22"/>
      <c r="DCD289" s="22"/>
      <c r="DCE289" s="22"/>
      <c r="DCF289" s="22"/>
      <c r="DCG289" s="22"/>
      <c r="DCH289" s="22"/>
      <c r="DCI289" s="22"/>
      <c r="DCJ289" s="22"/>
      <c r="DCK289" s="22"/>
      <c r="DCL289" s="22"/>
      <c r="DCM289" s="22"/>
      <c r="DCN289" s="22"/>
      <c r="DCO289" s="22"/>
      <c r="DCP289" s="22"/>
      <c r="DCQ289" s="22"/>
      <c r="DCR289" s="22"/>
      <c r="DCS289" s="22"/>
      <c r="DCT289" s="22"/>
      <c r="DCU289" s="22"/>
      <c r="DCV289" s="22"/>
      <c r="DCW289" s="22"/>
      <c r="DCX289" s="22"/>
      <c r="DCY289" s="22"/>
      <c r="DCZ289" s="22"/>
      <c r="DDA289" s="22"/>
      <c r="DDB289" s="22"/>
      <c r="DDC289" s="22"/>
      <c r="DDD289" s="22"/>
      <c r="DDE289" s="22"/>
      <c r="DDF289" s="22"/>
      <c r="DDG289" s="22"/>
      <c r="DDH289" s="22"/>
      <c r="DDI289" s="22"/>
      <c r="DDJ289" s="22"/>
      <c r="DDK289" s="22"/>
      <c r="DDL289" s="22"/>
      <c r="DDM289" s="22"/>
      <c r="DDN289" s="22"/>
      <c r="DDO289" s="22"/>
      <c r="DDP289" s="22"/>
      <c r="DDQ289" s="22"/>
      <c r="DDR289" s="22"/>
      <c r="DDS289" s="22"/>
      <c r="DDT289" s="22"/>
      <c r="DDU289" s="22"/>
      <c r="DDV289" s="22"/>
      <c r="DDW289" s="22"/>
      <c r="DDX289" s="22"/>
      <c r="DDY289" s="22"/>
      <c r="DDZ289" s="22"/>
      <c r="DEA289" s="22"/>
      <c r="DEB289" s="22"/>
      <c r="DEC289" s="22"/>
      <c r="DED289" s="22"/>
      <c r="DEE289" s="22"/>
      <c r="DEF289" s="22"/>
      <c r="DEG289" s="22"/>
      <c r="DEH289" s="22"/>
      <c r="DEI289" s="22"/>
      <c r="DEJ289" s="22"/>
      <c r="DEK289" s="22"/>
      <c r="DEL289" s="22"/>
      <c r="DEM289" s="22"/>
      <c r="DEN289" s="22"/>
      <c r="DEO289" s="22"/>
      <c r="DEP289" s="22"/>
      <c r="DEQ289" s="22"/>
      <c r="DER289" s="22"/>
      <c r="DES289" s="22"/>
      <c r="DET289" s="22"/>
      <c r="DEU289" s="22"/>
      <c r="DEV289" s="22"/>
      <c r="DEW289" s="22"/>
      <c r="DEX289" s="22"/>
      <c r="DEY289" s="22"/>
      <c r="DEZ289" s="22"/>
      <c r="DFA289" s="22"/>
      <c r="DFB289" s="22"/>
      <c r="DFC289" s="22"/>
      <c r="DFD289" s="22"/>
      <c r="DFE289" s="22"/>
      <c r="DFF289" s="22"/>
      <c r="DFG289" s="22"/>
      <c r="DFH289" s="22"/>
      <c r="DFI289" s="22"/>
      <c r="DFJ289" s="22"/>
      <c r="DFK289" s="22"/>
      <c r="DFL289" s="22"/>
      <c r="DFM289" s="22"/>
      <c r="DFN289" s="22"/>
      <c r="DFO289" s="22"/>
      <c r="DFP289" s="22"/>
      <c r="DFQ289" s="22"/>
      <c r="DFR289" s="22"/>
      <c r="DFS289" s="22"/>
      <c r="DFT289" s="22"/>
      <c r="DFU289" s="22"/>
      <c r="DFV289" s="22"/>
      <c r="DFW289" s="22"/>
      <c r="DFX289" s="22"/>
      <c r="DFY289" s="22"/>
      <c r="DFZ289" s="22"/>
      <c r="DGA289" s="22"/>
      <c r="DGB289" s="22"/>
      <c r="DGC289" s="22"/>
      <c r="DGD289" s="22"/>
      <c r="DGE289" s="22"/>
      <c r="DGF289" s="22"/>
      <c r="DGG289" s="22"/>
      <c r="DGH289" s="22"/>
      <c r="DGI289" s="22"/>
      <c r="DGJ289" s="22"/>
      <c r="DGK289" s="22"/>
      <c r="DGL289" s="22"/>
      <c r="DGM289" s="22"/>
      <c r="DGN289" s="22"/>
      <c r="DGO289" s="22"/>
      <c r="DGP289" s="22"/>
      <c r="DGQ289" s="22"/>
      <c r="DGR289" s="22"/>
      <c r="DGS289" s="22"/>
      <c r="DGT289" s="22"/>
      <c r="DGU289" s="22"/>
      <c r="DGV289" s="22"/>
      <c r="DGW289" s="22"/>
      <c r="DGX289" s="22"/>
      <c r="DGY289" s="22"/>
      <c r="DGZ289" s="22"/>
      <c r="DHA289" s="22"/>
      <c r="DHB289" s="22"/>
      <c r="DHC289" s="22"/>
      <c r="DHD289" s="22"/>
      <c r="DHE289" s="22"/>
      <c r="DHF289" s="22"/>
      <c r="DHG289" s="22"/>
      <c r="DHH289" s="22"/>
      <c r="DHI289" s="22"/>
      <c r="DHJ289" s="22"/>
      <c r="DHK289" s="22"/>
      <c r="DHL289" s="22"/>
      <c r="DHM289" s="22"/>
      <c r="DHN289" s="22"/>
      <c r="DHO289" s="22"/>
      <c r="DHP289" s="22"/>
      <c r="DHQ289" s="22"/>
      <c r="DHR289" s="22"/>
      <c r="DHS289" s="22"/>
      <c r="DHT289" s="22"/>
      <c r="DHU289" s="22"/>
      <c r="DHV289" s="22"/>
      <c r="DHW289" s="22"/>
      <c r="DHX289" s="22"/>
      <c r="DHY289" s="22"/>
      <c r="DHZ289" s="22"/>
      <c r="DIA289" s="22"/>
      <c r="DIB289" s="22"/>
      <c r="DIC289" s="22"/>
      <c r="DID289" s="22"/>
      <c r="DIE289" s="22"/>
      <c r="DIF289" s="22"/>
      <c r="DIG289" s="22"/>
      <c r="DIH289" s="22"/>
      <c r="DII289" s="22"/>
      <c r="DIJ289" s="22"/>
      <c r="DIK289" s="22"/>
      <c r="DIL289" s="22"/>
      <c r="DIM289" s="22"/>
      <c r="DIN289" s="22"/>
      <c r="DIO289" s="22"/>
      <c r="DIP289" s="22"/>
      <c r="DIQ289" s="22"/>
      <c r="DIR289" s="22"/>
      <c r="DIS289" s="22"/>
      <c r="DIT289" s="22"/>
      <c r="DIU289" s="22"/>
      <c r="DIV289" s="22"/>
      <c r="DIW289" s="22"/>
      <c r="DIX289" s="22"/>
      <c r="DIY289" s="22"/>
      <c r="DIZ289" s="22"/>
      <c r="DJA289" s="22"/>
      <c r="DJB289" s="22"/>
      <c r="DJC289" s="22"/>
      <c r="DJD289" s="22"/>
      <c r="DJE289" s="22"/>
      <c r="DJF289" s="22"/>
      <c r="DJG289" s="22"/>
      <c r="DJH289" s="22"/>
      <c r="DJI289" s="22"/>
      <c r="DJJ289" s="22"/>
      <c r="DJK289" s="22"/>
      <c r="DJL289" s="22"/>
      <c r="DJM289" s="22"/>
      <c r="DJN289" s="22"/>
      <c r="DJO289" s="22"/>
      <c r="DJP289" s="22"/>
      <c r="DJQ289" s="22"/>
      <c r="DJR289" s="22"/>
      <c r="DJS289" s="22"/>
      <c r="DJT289" s="22"/>
      <c r="DJU289" s="22"/>
      <c r="DJV289" s="22"/>
      <c r="DJW289" s="22"/>
      <c r="DJX289" s="22"/>
      <c r="DJY289" s="22"/>
      <c r="DJZ289" s="22"/>
      <c r="DKA289" s="22"/>
      <c r="DKB289" s="22"/>
      <c r="DKC289" s="22"/>
      <c r="DKD289" s="22"/>
      <c r="DKE289" s="22"/>
      <c r="DKF289" s="22"/>
      <c r="DKG289" s="22"/>
      <c r="DKH289" s="22"/>
      <c r="DKI289" s="22"/>
      <c r="DKJ289" s="22"/>
      <c r="DKK289" s="22"/>
      <c r="DKL289" s="22"/>
      <c r="DKM289" s="22"/>
      <c r="DKN289" s="22"/>
      <c r="DKO289" s="22"/>
      <c r="DKP289" s="22"/>
      <c r="DKQ289" s="22"/>
      <c r="DKR289" s="22"/>
      <c r="DKS289" s="22"/>
      <c r="DKT289" s="22"/>
      <c r="DKU289" s="22"/>
      <c r="DKV289" s="22"/>
      <c r="DKW289" s="22"/>
      <c r="DKX289" s="22"/>
      <c r="DKY289" s="22"/>
      <c r="DKZ289" s="22"/>
      <c r="DLA289" s="22"/>
      <c r="DLB289" s="22"/>
      <c r="DLC289" s="22"/>
      <c r="DLD289" s="22"/>
      <c r="DLE289" s="22"/>
      <c r="DLF289" s="22"/>
      <c r="DLG289" s="22"/>
      <c r="DLH289" s="22"/>
      <c r="DLI289" s="22"/>
      <c r="DLJ289" s="22"/>
      <c r="DLK289" s="22"/>
      <c r="DLL289" s="22"/>
      <c r="DLM289" s="22"/>
      <c r="DLN289" s="22"/>
      <c r="DLO289" s="22"/>
      <c r="DLP289" s="22"/>
      <c r="DLQ289" s="22"/>
      <c r="DLR289" s="22"/>
      <c r="DLS289" s="22"/>
      <c r="DLT289" s="22"/>
      <c r="DLU289" s="22"/>
      <c r="DLV289" s="22"/>
      <c r="DLW289" s="22"/>
      <c r="DLX289" s="22"/>
      <c r="DLY289" s="22"/>
      <c r="DLZ289" s="22"/>
      <c r="DMA289" s="22"/>
      <c r="DMB289" s="22"/>
      <c r="DMC289" s="22"/>
      <c r="DMD289" s="22"/>
      <c r="DME289" s="22"/>
      <c r="DMF289" s="22"/>
      <c r="DMG289" s="22"/>
      <c r="DMH289" s="22"/>
      <c r="DMI289" s="22"/>
      <c r="DMJ289" s="22"/>
      <c r="DMK289" s="22"/>
      <c r="DML289" s="22"/>
      <c r="DMM289" s="22"/>
      <c r="DMN289" s="22"/>
      <c r="DMO289" s="22"/>
      <c r="DMP289" s="22"/>
      <c r="DMQ289" s="22"/>
      <c r="DMR289" s="22"/>
      <c r="DMS289" s="22"/>
      <c r="DMT289" s="22"/>
      <c r="DMU289" s="22"/>
      <c r="DMV289" s="22"/>
      <c r="DMW289" s="22"/>
      <c r="DMX289" s="22"/>
      <c r="DMY289" s="22"/>
      <c r="DMZ289" s="22"/>
      <c r="DNA289" s="22"/>
      <c r="DNB289" s="22"/>
      <c r="DNC289" s="22"/>
      <c r="DND289" s="22"/>
      <c r="DNE289" s="22"/>
      <c r="DNF289" s="22"/>
      <c r="DNG289" s="22"/>
      <c r="DNH289" s="22"/>
      <c r="DNI289" s="22"/>
      <c r="DNJ289" s="22"/>
      <c r="DNK289" s="22"/>
      <c r="DNL289" s="22"/>
      <c r="DNM289" s="22"/>
      <c r="DNN289" s="22"/>
      <c r="DNO289" s="22"/>
      <c r="DNP289" s="22"/>
      <c r="DNQ289" s="22"/>
      <c r="DNR289" s="22"/>
      <c r="DNS289" s="22"/>
      <c r="DNT289" s="22"/>
      <c r="DNU289" s="22"/>
      <c r="DNV289" s="22"/>
      <c r="DNW289" s="22"/>
      <c r="DNX289" s="22"/>
      <c r="DNY289" s="22"/>
      <c r="DNZ289" s="22"/>
      <c r="DOA289" s="22"/>
      <c r="DOB289" s="22"/>
      <c r="DOC289" s="22"/>
      <c r="DOD289" s="22"/>
      <c r="DOE289" s="22"/>
      <c r="DOF289" s="22"/>
      <c r="DOG289" s="22"/>
      <c r="DOH289" s="22"/>
      <c r="DOI289" s="22"/>
      <c r="DOJ289" s="22"/>
      <c r="DOK289" s="22"/>
      <c r="DOL289" s="22"/>
      <c r="DOM289" s="22"/>
      <c r="DON289" s="22"/>
      <c r="DOO289" s="22"/>
      <c r="DOP289" s="22"/>
      <c r="DOQ289" s="22"/>
      <c r="DOR289" s="22"/>
      <c r="DOS289" s="22"/>
      <c r="DOT289" s="22"/>
      <c r="DOU289" s="22"/>
      <c r="DOV289" s="22"/>
      <c r="DOW289" s="22"/>
      <c r="DOX289" s="22"/>
      <c r="DOY289" s="22"/>
      <c r="DOZ289" s="22"/>
      <c r="DPA289" s="22"/>
      <c r="DPB289" s="22"/>
      <c r="DPC289" s="22"/>
      <c r="DPD289" s="22"/>
      <c r="DPE289" s="22"/>
      <c r="DPF289" s="22"/>
      <c r="DPG289" s="22"/>
      <c r="DPH289" s="22"/>
      <c r="DPI289" s="22"/>
      <c r="DPJ289" s="22"/>
      <c r="DPK289" s="22"/>
      <c r="DPL289" s="22"/>
      <c r="DPM289" s="22"/>
      <c r="DPN289" s="22"/>
      <c r="DPO289" s="22"/>
      <c r="DPP289" s="22"/>
      <c r="DPQ289" s="22"/>
      <c r="DPR289" s="22"/>
      <c r="DPS289" s="22"/>
      <c r="DPT289" s="22"/>
      <c r="DPU289" s="22"/>
      <c r="DPV289" s="22"/>
      <c r="DPW289" s="22"/>
      <c r="DPX289" s="22"/>
      <c r="DPY289" s="22"/>
      <c r="DPZ289" s="22"/>
      <c r="DQA289" s="22"/>
      <c r="DQB289" s="22"/>
      <c r="DQC289" s="22"/>
      <c r="DQD289" s="22"/>
      <c r="DQE289" s="22"/>
      <c r="DQF289" s="22"/>
      <c r="DQG289" s="22"/>
      <c r="DQH289" s="22"/>
      <c r="DQI289" s="22"/>
      <c r="DQJ289" s="22"/>
      <c r="DQK289" s="22"/>
      <c r="DQL289" s="22"/>
      <c r="DQM289" s="22"/>
      <c r="DQN289" s="22"/>
      <c r="DQO289" s="22"/>
      <c r="DQP289" s="22"/>
      <c r="DQQ289" s="22"/>
      <c r="DQR289" s="22"/>
      <c r="DQS289" s="22"/>
      <c r="DQT289" s="22"/>
      <c r="DQU289" s="22"/>
      <c r="DQV289" s="22"/>
      <c r="DQW289" s="22"/>
      <c r="DQX289" s="22"/>
      <c r="DQY289" s="22"/>
      <c r="DQZ289" s="22"/>
      <c r="DRA289" s="22"/>
      <c r="DRB289" s="22"/>
      <c r="DRC289" s="22"/>
      <c r="DRD289" s="22"/>
      <c r="DRE289" s="22"/>
      <c r="DRF289" s="22"/>
      <c r="DRG289" s="22"/>
      <c r="DRH289" s="22"/>
      <c r="DRI289" s="22"/>
      <c r="DRJ289" s="22"/>
      <c r="DRK289" s="22"/>
      <c r="DRL289" s="22"/>
      <c r="DRM289" s="22"/>
      <c r="DRN289" s="22"/>
      <c r="DRO289" s="22"/>
      <c r="DRP289" s="22"/>
      <c r="DRQ289" s="22"/>
      <c r="DRR289" s="22"/>
      <c r="DRS289" s="22"/>
      <c r="DRT289" s="22"/>
      <c r="DRU289" s="22"/>
      <c r="DRV289" s="22"/>
      <c r="DRW289" s="22"/>
      <c r="DRX289" s="22"/>
      <c r="DRY289" s="22"/>
      <c r="DRZ289" s="22"/>
      <c r="DSA289" s="22"/>
      <c r="DSB289" s="22"/>
      <c r="DSC289" s="22"/>
      <c r="DSD289" s="22"/>
      <c r="DSE289" s="22"/>
      <c r="DSF289" s="22"/>
      <c r="DSG289" s="22"/>
      <c r="DSH289" s="22"/>
      <c r="DSI289" s="22"/>
      <c r="DSJ289" s="22"/>
      <c r="DSK289" s="22"/>
      <c r="DSL289" s="22"/>
      <c r="DSM289" s="22"/>
      <c r="DSN289" s="22"/>
      <c r="DSO289" s="22"/>
      <c r="DSP289" s="22"/>
      <c r="DSQ289" s="22"/>
      <c r="DSR289" s="22"/>
      <c r="DSS289" s="22"/>
      <c r="DST289" s="22"/>
      <c r="DSU289" s="22"/>
      <c r="DSV289" s="22"/>
      <c r="DSW289" s="22"/>
      <c r="DSX289" s="22"/>
      <c r="DSY289" s="22"/>
      <c r="DSZ289" s="22"/>
      <c r="DTA289" s="22"/>
      <c r="DTB289" s="22"/>
      <c r="DTC289" s="22"/>
      <c r="DTD289" s="22"/>
      <c r="DTE289" s="22"/>
      <c r="DTF289" s="22"/>
      <c r="DTG289" s="22"/>
      <c r="DTH289" s="22"/>
      <c r="DTI289" s="22"/>
      <c r="DTJ289" s="22"/>
      <c r="DTK289" s="22"/>
      <c r="DTL289" s="22"/>
      <c r="DTM289" s="22"/>
      <c r="DTN289" s="22"/>
      <c r="DTO289" s="22"/>
      <c r="DTP289" s="22"/>
      <c r="DTQ289" s="22"/>
      <c r="DTR289" s="22"/>
      <c r="DTS289" s="22"/>
      <c r="DTT289" s="22"/>
      <c r="DTU289" s="22"/>
      <c r="DTV289" s="22"/>
      <c r="DTW289" s="22"/>
      <c r="DTX289" s="22"/>
      <c r="DTY289" s="22"/>
      <c r="DTZ289" s="22"/>
      <c r="DUA289" s="22"/>
      <c r="DUB289" s="22"/>
      <c r="DUC289" s="22"/>
      <c r="DUD289" s="22"/>
      <c r="DUE289" s="22"/>
      <c r="DUF289" s="22"/>
      <c r="DUG289" s="22"/>
      <c r="DUH289" s="22"/>
      <c r="DUI289" s="22"/>
      <c r="DUJ289" s="22"/>
      <c r="DUK289" s="22"/>
      <c r="DUL289" s="22"/>
      <c r="DUM289" s="22"/>
      <c r="DUN289" s="22"/>
      <c r="DUO289" s="22"/>
      <c r="DUP289" s="22"/>
      <c r="DUQ289" s="22"/>
      <c r="DUR289" s="22"/>
      <c r="DUS289" s="22"/>
      <c r="DUT289" s="22"/>
      <c r="DUU289" s="22"/>
      <c r="DUV289" s="22"/>
      <c r="DUW289" s="22"/>
      <c r="DUX289" s="22"/>
      <c r="DUY289" s="22"/>
      <c r="DUZ289" s="22"/>
      <c r="DVA289" s="22"/>
      <c r="DVB289" s="22"/>
      <c r="DVC289" s="22"/>
      <c r="DVD289" s="22"/>
      <c r="DVE289" s="22"/>
      <c r="DVF289" s="22"/>
      <c r="DVG289" s="22"/>
      <c r="DVH289" s="22"/>
      <c r="DVI289" s="22"/>
      <c r="DVJ289" s="22"/>
      <c r="DVK289" s="22"/>
      <c r="DVL289" s="22"/>
      <c r="DVM289" s="22"/>
      <c r="DVN289" s="22"/>
      <c r="DVO289" s="22"/>
      <c r="DVP289" s="22"/>
      <c r="DVQ289" s="22"/>
      <c r="DVR289" s="22"/>
      <c r="DVS289" s="22"/>
      <c r="DVT289" s="22"/>
      <c r="DVU289" s="22"/>
      <c r="DVV289" s="22"/>
      <c r="DVW289" s="22"/>
      <c r="DVX289" s="22"/>
      <c r="DVY289" s="22"/>
      <c r="DVZ289" s="22"/>
      <c r="DWA289" s="22"/>
      <c r="DWB289" s="22"/>
      <c r="DWC289" s="22"/>
      <c r="DWD289" s="22"/>
      <c r="DWE289" s="22"/>
      <c r="DWF289" s="22"/>
      <c r="DWG289" s="22"/>
      <c r="DWH289" s="22"/>
      <c r="DWI289" s="22"/>
      <c r="DWJ289" s="22"/>
      <c r="DWK289" s="22"/>
      <c r="DWL289" s="22"/>
      <c r="DWM289" s="22"/>
      <c r="DWN289" s="22"/>
      <c r="DWO289" s="22"/>
      <c r="DWP289" s="22"/>
      <c r="DWQ289" s="22"/>
      <c r="DWR289" s="22"/>
      <c r="DWS289" s="22"/>
      <c r="DWT289" s="22"/>
      <c r="DWU289" s="22"/>
      <c r="DWV289" s="22"/>
      <c r="DWW289" s="22"/>
      <c r="DWX289" s="22"/>
      <c r="DWY289" s="22"/>
      <c r="DWZ289" s="22"/>
      <c r="DXA289" s="22"/>
      <c r="DXB289" s="22"/>
      <c r="DXC289" s="22"/>
      <c r="DXD289" s="22"/>
      <c r="DXE289" s="22"/>
      <c r="DXF289" s="22"/>
      <c r="DXG289" s="22"/>
      <c r="DXH289" s="22"/>
      <c r="DXI289" s="22"/>
      <c r="DXJ289" s="22"/>
      <c r="DXK289" s="22"/>
      <c r="DXL289" s="22"/>
      <c r="DXM289" s="22"/>
      <c r="DXN289" s="22"/>
      <c r="DXO289" s="22"/>
      <c r="DXP289" s="22"/>
      <c r="DXQ289" s="22"/>
      <c r="DXR289" s="22"/>
      <c r="DXS289" s="22"/>
      <c r="DXT289" s="22"/>
      <c r="DXU289" s="22"/>
      <c r="DXV289" s="22"/>
      <c r="DXW289" s="22"/>
      <c r="DXX289" s="22"/>
      <c r="DXY289" s="22"/>
      <c r="DXZ289" s="22"/>
      <c r="DYA289" s="22"/>
      <c r="DYB289" s="22"/>
      <c r="DYC289" s="22"/>
      <c r="DYD289" s="22"/>
      <c r="DYE289" s="22"/>
      <c r="DYF289" s="22"/>
      <c r="DYG289" s="22"/>
      <c r="DYH289" s="22"/>
      <c r="DYI289" s="22"/>
      <c r="DYJ289" s="22"/>
      <c r="DYK289" s="22"/>
      <c r="DYL289" s="22"/>
      <c r="DYM289" s="22"/>
      <c r="DYN289" s="22"/>
      <c r="DYO289" s="22"/>
      <c r="DYP289" s="22"/>
      <c r="DYQ289" s="22"/>
      <c r="DYR289" s="22"/>
      <c r="DYS289" s="22"/>
      <c r="DYT289" s="22"/>
      <c r="DYU289" s="22"/>
      <c r="DYV289" s="22"/>
      <c r="DYW289" s="22"/>
      <c r="DYX289" s="22"/>
      <c r="DYY289" s="22"/>
      <c r="DYZ289" s="22"/>
      <c r="DZA289" s="22"/>
      <c r="DZB289" s="22"/>
      <c r="DZC289" s="22"/>
      <c r="DZD289" s="22"/>
      <c r="DZE289" s="22"/>
      <c r="DZF289" s="22"/>
      <c r="DZG289" s="22"/>
      <c r="DZH289" s="22"/>
      <c r="DZI289" s="22"/>
      <c r="DZJ289" s="22"/>
      <c r="DZK289" s="22"/>
      <c r="DZL289" s="22"/>
      <c r="DZM289" s="22"/>
      <c r="DZN289" s="22"/>
      <c r="DZO289" s="22"/>
      <c r="DZP289" s="22"/>
      <c r="DZQ289" s="22"/>
      <c r="DZR289" s="22"/>
      <c r="DZS289" s="22"/>
      <c r="DZT289" s="22"/>
      <c r="DZU289" s="22"/>
      <c r="DZV289" s="22"/>
      <c r="DZW289" s="22"/>
      <c r="DZX289" s="22"/>
      <c r="DZY289" s="22"/>
      <c r="DZZ289" s="22"/>
      <c r="EAA289" s="22"/>
      <c r="EAB289" s="22"/>
      <c r="EAC289" s="22"/>
      <c r="EAD289" s="22"/>
      <c r="EAE289" s="22"/>
      <c r="EAF289" s="22"/>
      <c r="EAG289" s="22"/>
      <c r="EAH289" s="22"/>
      <c r="EAI289" s="22"/>
      <c r="EAJ289" s="22"/>
      <c r="EAK289" s="22"/>
      <c r="EAL289" s="22"/>
      <c r="EAM289" s="22"/>
      <c r="EAN289" s="22"/>
      <c r="EAO289" s="22"/>
      <c r="EAP289" s="22"/>
      <c r="EAQ289" s="22"/>
      <c r="EAR289" s="22"/>
      <c r="EAS289" s="22"/>
      <c r="EAT289" s="22"/>
      <c r="EAU289" s="22"/>
      <c r="EAV289" s="22"/>
      <c r="EAW289" s="22"/>
      <c r="EAX289" s="22"/>
      <c r="EAY289" s="22"/>
      <c r="EAZ289" s="22"/>
      <c r="EBA289" s="22"/>
      <c r="EBB289" s="22"/>
      <c r="EBC289" s="22"/>
      <c r="EBD289" s="22"/>
      <c r="EBE289" s="22"/>
      <c r="EBF289" s="22"/>
      <c r="EBG289" s="22"/>
      <c r="EBH289" s="22"/>
      <c r="EBI289" s="22"/>
      <c r="EBJ289" s="22"/>
      <c r="EBK289" s="22"/>
      <c r="EBL289" s="22"/>
      <c r="EBM289" s="22"/>
      <c r="EBN289" s="22"/>
      <c r="EBO289" s="22"/>
      <c r="EBP289" s="22"/>
      <c r="EBQ289" s="22"/>
      <c r="EBR289" s="22"/>
      <c r="EBS289" s="22"/>
      <c r="EBT289" s="22"/>
      <c r="EBU289" s="22"/>
      <c r="EBV289" s="22"/>
      <c r="EBW289" s="22"/>
      <c r="EBX289" s="22"/>
      <c r="EBY289" s="22"/>
      <c r="EBZ289" s="22"/>
      <c r="ECA289" s="22"/>
      <c r="ECB289" s="22"/>
      <c r="ECC289" s="22"/>
      <c r="ECD289" s="22"/>
      <c r="ECE289" s="22"/>
      <c r="ECF289" s="22"/>
      <c r="ECG289" s="22"/>
      <c r="ECH289" s="22"/>
      <c r="ECI289" s="22"/>
      <c r="ECJ289" s="22"/>
      <c r="ECK289" s="22"/>
      <c r="ECL289" s="22"/>
      <c r="ECM289" s="22"/>
      <c r="ECN289" s="22"/>
      <c r="ECO289" s="22"/>
      <c r="ECP289" s="22"/>
      <c r="ECQ289" s="22"/>
      <c r="ECR289" s="22"/>
      <c r="ECS289" s="22"/>
      <c r="ECT289" s="22"/>
      <c r="ECU289" s="22"/>
      <c r="ECV289" s="22"/>
      <c r="ECW289" s="22"/>
      <c r="ECX289" s="22"/>
      <c r="ECY289" s="22"/>
      <c r="ECZ289" s="22"/>
      <c r="EDA289" s="22"/>
      <c r="EDB289" s="22"/>
      <c r="EDC289" s="22"/>
      <c r="EDD289" s="22"/>
      <c r="EDE289" s="22"/>
      <c r="EDF289" s="22"/>
      <c r="EDG289" s="22"/>
      <c r="EDH289" s="22"/>
      <c r="EDI289" s="22"/>
      <c r="EDJ289" s="22"/>
      <c r="EDK289" s="22"/>
      <c r="EDL289" s="22"/>
      <c r="EDM289" s="22"/>
      <c r="EDN289" s="22"/>
      <c r="EDO289" s="22"/>
      <c r="EDP289" s="22"/>
      <c r="EDQ289" s="22"/>
      <c r="EDR289" s="22"/>
      <c r="EDS289" s="22"/>
      <c r="EDT289" s="22"/>
      <c r="EDU289" s="22"/>
      <c r="EDV289" s="22"/>
      <c r="EDW289" s="22"/>
      <c r="EDX289" s="22"/>
      <c r="EDY289" s="22"/>
      <c r="EDZ289" s="22"/>
      <c r="EEA289" s="22"/>
      <c r="EEB289" s="22"/>
      <c r="EEC289" s="22"/>
      <c r="EED289" s="22"/>
      <c r="EEE289" s="22"/>
      <c r="EEF289" s="22"/>
      <c r="EEG289" s="22"/>
      <c r="EEH289" s="22"/>
      <c r="EEI289" s="22"/>
      <c r="EEJ289" s="22"/>
      <c r="EEK289" s="22"/>
      <c r="EEL289" s="22"/>
      <c r="EEM289" s="22"/>
      <c r="EEN289" s="22"/>
      <c r="EEO289" s="22"/>
      <c r="EEP289" s="22"/>
      <c r="EEQ289" s="22"/>
      <c r="EER289" s="22"/>
      <c r="EES289" s="22"/>
      <c r="EET289" s="22"/>
      <c r="EEU289" s="22"/>
      <c r="EEV289" s="22"/>
      <c r="EEW289" s="22"/>
      <c r="EEX289" s="22"/>
      <c r="EEY289" s="22"/>
      <c r="EEZ289" s="22"/>
      <c r="EFA289" s="22"/>
      <c r="EFB289" s="22"/>
      <c r="EFC289" s="22"/>
      <c r="EFD289" s="22"/>
      <c r="EFE289" s="22"/>
      <c r="EFF289" s="22"/>
      <c r="EFG289" s="22"/>
      <c r="EFH289" s="22"/>
      <c r="EFI289" s="22"/>
      <c r="EFJ289" s="22"/>
      <c r="EFK289" s="22"/>
      <c r="EFL289" s="22"/>
      <c r="EFM289" s="22"/>
      <c r="EFN289" s="22"/>
      <c r="EFO289" s="22"/>
      <c r="EFP289" s="22"/>
      <c r="EFQ289" s="22"/>
      <c r="EFR289" s="22"/>
      <c r="EFS289" s="22"/>
      <c r="EFT289" s="22"/>
      <c r="EFU289" s="22"/>
      <c r="EFV289" s="22"/>
      <c r="EFW289" s="22"/>
      <c r="EFX289" s="22"/>
      <c r="EFY289" s="22"/>
      <c r="EFZ289" s="22"/>
      <c r="EGA289" s="22"/>
      <c r="EGB289" s="22"/>
      <c r="EGC289" s="22"/>
      <c r="EGD289" s="22"/>
      <c r="EGE289" s="22"/>
      <c r="EGF289" s="22"/>
      <c r="EGG289" s="22"/>
      <c r="EGH289" s="22"/>
      <c r="EGI289" s="22"/>
      <c r="EGJ289" s="22"/>
      <c r="EGK289" s="22"/>
      <c r="EGL289" s="22"/>
      <c r="EGM289" s="22"/>
      <c r="EGN289" s="22"/>
      <c r="EGO289" s="22"/>
      <c r="EGP289" s="22"/>
      <c r="EGQ289" s="22"/>
      <c r="EGR289" s="22"/>
      <c r="EGS289" s="22"/>
      <c r="EGT289" s="22"/>
      <c r="EGU289" s="22"/>
      <c r="EGV289" s="22"/>
      <c r="EGW289" s="22"/>
      <c r="EGX289" s="22"/>
      <c r="EGY289" s="22"/>
      <c r="EGZ289" s="22"/>
      <c r="EHA289" s="22"/>
      <c r="EHB289" s="22"/>
      <c r="EHC289" s="22"/>
      <c r="EHD289" s="22"/>
      <c r="EHE289" s="22"/>
      <c r="EHF289" s="22"/>
      <c r="EHG289" s="22"/>
      <c r="EHH289" s="22"/>
      <c r="EHI289" s="22"/>
      <c r="EHJ289" s="22"/>
      <c r="EHK289" s="22"/>
      <c r="EHL289" s="22"/>
      <c r="EHM289" s="22"/>
      <c r="EHN289" s="22"/>
      <c r="EHO289" s="22"/>
      <c r="EHP289" s="22"/>
      <c r="EHQ289" s="22"/>
      <c r="EHR289" s="22"/>
      <c r="EHS289" s="22"/>
      <c r="EHT289" s="22"/>
      <c r="EHU289" s="22"/>
      <c r="EHV289" s="22"/>
      <c r="EHW289" s="22"/>
      <c r="EHX289" s="22"/>
      <c r="EHY289" s="22"/>
      <c r="EHZ289" s="22"/>
      <c r="EIA289" s="22"/>
      <c r="EIB289" s="22"/>
      <c r="EIC289" s="22"/>
      <c r="EID289" s="22"/>
      <c r="EIE289" s="22"/>
      <c r="EIF289" s="22"/>
      <c r="EIG289" s="22"/>
      <c r="EIH289" s="22"/>
      <c r="EII289" s="22"/>
      <c r="EIJ289" s="22"/>
      <c r="EIK289" s="22"/>
      <c r="EIL289" s="22"/>
      <c r="EIM289" s="22"/>
      <c r="EIN289" s="22"/>
      <c r="EIO289" s="22"/>
      <c r="EIP289" s="22"/>
      <c r="EIQ289" s="22"/>
      <c r="EIR289" s="22"/>
      <c r="EIS289" s="22"/>
      <c r="EIT289" s="22"/>
      <c r="EIU289" s="22"/>
      <c r="EIV289" s="22"/>
      <c r="EIW289" s="22"/>
      <c r="EIX289" s="22"/>
      <c r="EIY289" s="22"/>
      <c r="EIZ289" s="22"/>
      <c r="EJA289" s="22"/>
      <c r="EJB289" s="22"/>
      <c r="EJC289" s="22"/>
      <c r="EJD289" s="22"/>
      <c r="EJE289" s="22"/>
      <c r="EJF289" s="22"/>
      <c r="EJG289" s="22"/>
      <c r="EJH289" s="22"/>
      <c r="EJI289" s="22"/>
      <c r="EJJ289" s="22"/>
      <c r="EJK289" s="22"/>
      <c r="EJL289" s="22"/>
      <c r="EJM289" s="22"/>
      <c r="EJN289" s="22"/>
      <c r="EJO289" s="22"/>
      <c r="EJP289" s="22"/>
      <c r="EJQ289" s="22"/>
      <c r="EJR289" s="22"/>
      <c r="EJS289" s="22"/>
      <c r="EJT289" s="22"/>
      <c r="EJU289" s="22"/>
      <c r="EJV289" s="22"/>
      <c r="EJW289" s="22"/>
      <c r="EJX289" s="22"/>
      <c r="EJY289" s="22"/>
      <c r="EJZ289" s="22"/>
      <c r="EKA289" s="22"/>
      <c r="EKB289" s="22"/>
      <c r="EKC289" s="22"/>
      <c r="EKD289" s="22"/>
      <c r="EKE289" s="22"/>
      <c r="EKF289" s="22"/>
      <c r="EKG289" s="22"/>
      <c r="EKH289" s="22"/>
      <c r="EKI289" s="22"/>
      <c r="EKJ289" s="22"/>
      <c r="EKK289" s="22"/>
      <c r="EKL289" s="22"/>
      <c r="EKM289" s="22"/>
      <c r="EKN289" s="22"/>
      <c r="EKO289" s="22"/>
      <c r="EKP289" s="22"/>
      <c r="EKQ289" s="22"/>
      <c r="EKR289" s="22"/>
      <c r="EKS289" s="22"/>
      <c r="EKT289" s="22"/>
      <c r="EKU289" s="22"/>
      <c r="EKV289" s="22"/>
      <c r="EKW289" s="22"/>
      <c r="EKX289" s="22"/>
      <c r="EKY289" s="22"/>
      <c r="EKZ289" s="22"/>
      <c r="ELA289" s="22"/>
      <c r="ELB289" s="22"/>
      <c r="ELC289" s="22"/>
      <c r="ELD289" s="22"/>
      <c r="ELE289" s="22"/>
      <c r="ELF289" s="22"/>
      <c r="ELG289" s="22"/>
      <c r="ELH289" s="22"/>
      <c r="ELI289" s="22"/>
      <c r="ELJ289" s="22"/>
      <c r="ELK289" s="22"/>
      <c r="ELL289" s="22"/>
      <c r="ELM289" s="22"/>
      <c r="ELN289" s="22"/>
      <c r="ELO289" s="22"/>
      <c r="ELP289" s="22"/>
      <c r="ELQ289" s="22"/>
      <c r="ELR289" s="22"/>
      <c r="ELS289" s="22"/>
      <c r="ELT289" s="22"/>
      <c r="ELU289" s="22"/>
      <c r="ELV289" s="22"/>
      <c r="ELW289" s="22"/>
      <c r="ELX289" s="22"/>
      <c r="ELY289" s="22"/>
      <c r="ELZ289" s="22"/>
      <c r="EMA289" s="22"/>
      <c r="EMB289" s="22"/>
      <c r="EMC289" s="22"/>
      <c r="EMD289" s="22"/>
      <c r="EME289" s="22"/>
      <c r="EMF289" s="22"/>
      <c r="EMG289" s="22"/>
      <c r="EMH289" s="22"/>
      <c r="EMI289" s="22"/>
      <c r="EMJ289" s="22"/>
      <c r="EMK289" s="22"/>
      <c r="EML289" s="22"/>
      <c r="EMM289" s="22"/>
      <c r="EMN289" s="22"/>
      <c r="EMO289" s="22"/>
      <c r="EMP289" s="22"/>
      <c r="EMQ289" s="22"/>
      <c r="EMR289" s="22"/>
      <c r="EMS289" s="22"/>
      <c r="EMT289" s="22"/>
      <c r="EMU289" s="22"/>
      <c r="EMV289" s="22"/>
      <c r="EMW289" s="22"/>
      <c r="EMX289" s="22"/>
      <c r="EMY289" s="22"/>
      <c r="EMZ289" s="22"/>
      <c r="ENA289" s="22"/>
      <c r="ENB289" s="22"/>
      <c r="ENC289" s="22"/>
      <c r="END289" s="22"/>
      <c r="ENE289" s="22"/>
      <c r="ENF289" s="22"/>
      <c r="ENG289" s="22"/>
      <c r="ENH289" s="22"/>
      <c r="ENI289" s="22"/>
      <c r="ENJ289" s="22"/>
      <c r="ENK289" s="22"/>
      <c r="ENL289" s="22"/>
      <c r="ENM289" s="22"/>
      <c r="ENN289" s="22"/>
      <c r="ENO289" s="22"/>
      <c r="ENP289" s="22"/>
      <c r="ENQ289" s="22"/>
      <c r="ENR289" s="22"/>
      <c r="ENS289" s="22"/>
      <c r="ENT289" s="22"/>
      <c r="ENU289" s="22"/>
      <c r="ENV289" s="22"/>
      <c r="ENW289" s="22"/>
      <c r="ENX289" s="22"/>
      <c r="ENY289" s="22"/>
      <c r="ENZ289" s="22"/>
      <c r="EOA289" s="22"/>
      <c r="EOB289" s="22"/>
      <c r="EOC289" s="22"/>
      <c r="EOD289" s="22"/>
      <c r="EOE289" s="22"/>
      <c r="EOF289" s="22"/>
      <c r="EOG289" s="22"/>
      <c r="EOH289" s="22"/>
      <c r="EOI289" s="22"/>
      <c r="EOJ289" s="22"/>
      <c r="EOK289" s="22"/>
      <c r="EOL289" s="22"/>
      <c r="EOM289" s="22"/>
      <c r="EON289" s="22"/>
      <c r="EOO289" s="22"/>
      <c r="EOP289" s="22"/>
      <c r="EOQ289" s="22"/>
      <c r="EOR289" s="22"/>
      <c r="EOS289" s="22"/>
      <c r="EOT289" s="22"/>
      <c r="EOU289" s="22"/>
      <c r="EOV289" s="22"/>
      <c r="EOW289" s="22"/>
      <c r="EOX289" s="22"/>
      <c r="EOY289" s="22"/>
      <c r="EOZ289" s="22"/>
      <c r="EPA289" s="22"/>
      <c r="EPB289" s="22"/>
      <c r="EPC289" s="22"/>
      <c r="EPD289" s="22"/>
      <c r="EPE289" s="22"/>
      <c r="EPF289" s="22"/>
      <c r="EPG289" s="22"/>
      <c r="EPH289" s="22"/>
      <c r="EPI289" s="22"/>
      <c r="EPJ289" s="22"/>
      <c r="EPK289" s="22"/>
      <c r="EPL289" s="22"/>
      <c r="EPM289" s="22"/>
      <c r="EPN289" s="22"/>
      <c r="EPO289" s="22"/>
      <c r="EPP289" s="22"/>
      <c r="EPQ289" s="22"/>
      <c r="EPR289" s="22"/>
      <c r="EPS289" s="22"/>
      <c r="EPT289" s="22"/>
      <c r="EPU289" s="22"/>
      <c r="EPV289" s="22"/>
      <c r="EPW289" s="22"/>
      <c r="EPX289" s="22"/>
      <c r="EPY289" s="22"/>
      <c r="EPZ289" s="22"/>
      <c r="EQA289" s="22"/>
      <c r="EQB289" s="22"/>
      <c r="EQC289" s="22"/>
      <c r="EQD289" s="22"/>
      <c r="EQE289" s="22"/>
      <c r="EQF289" s="22"/>
      <c r="EQG289" s="22"/>
      <c r="EQH289" s="22"/>
      <c r="EQI289" s="22"/>
      <c r="EQJ289" s="22"/>
      <c r="EQK289" s="22"/>
      <c r="EQL289" s="22"/>
      <c r="EQM289" s="22"/>
      <c r="EQN289" s="22"/>
      <c r="EQO289" s="22"/>
      <c r="EQP289" s="22"/>
      <c r="EQQ289" s="22"/>
      <c r="EQR289" s="22"/>
      <c r="EQS289" s="22"/>
      <c r="EQT289" s="22"/>
      <c r="EQU289" s="22"/>
      <c r="EQV289" s="22"/>
      <c r="EQW289" s="22"/>
      <c r="EQX289" s="22"/>
      <c r="EQY289" s="22"/>
      <c r="EQZ289" s="22"/>
      <c r="ERA289" s="22"/>
      <c r="ERB289" s="22"/>
      <c r="ERC289" s="22"/>
      <c r="ERD289" s="22"/>
      <c r="ERE289" s="22"/>
      <c r="ERF289" s="22"/>
      <c r="ERG289" s="22"/>
      <c r="ERH289" s="22"/>
      <c r="ERI289" s="22"/>
      <c r="ERJ289" s="22"/>
      <c r="ERK289" s="22"/>
      <c r="ERL289" s="22"/>
      <c r="ERM289" s="22"/>
      <c r="ERN289" s="22"/>
      <c r="ERO289" s="22"/>
      <c r="ERP289" s="22"/>
      <c r="ERQ289" s="22"/>
      <c r="ERR289" s="22"/>
      <c r="ERS289" s="22"/>
      <c r="ERT289" s="22"/>
      <c r="ERU289" s="22"/>
      <c r="ERV289" s="22"/>
      <c r="ERW289" s="22"/>
      <c r="ERX289" s="22"/>
      <c r="ERY289" s="22"/>
      <c r="ERZ289" s="22"/>
      <c r="ESA289" s="22"/>
      <c r="ESB289" s="22"/>
      <c r="ESC289" s="22"/>
      <c r="ESD289" s="22"/>
      <c r="ESE289" s="22"/>
      <c r="ESF289" s="22"/>
      <c r="ESG289" s="22"/>
      <c r="ESH289" s="22"/>
      <c r="ESI289" s="22"/>
      <c r="ESJ289" s="22"/>
      <c r="ESK289" s="22"/>
      <c r="ESL289" s="22"/>
      <c r="ESM289" s="22"/>
      <c r="ESN289" s="22"/>
      <c r="ESO289" s="22"/>
      <c r="ESP289" s="22"/>
      <c r="ESQ289" s="22"/>
      <c r="ESR289" s="22"/>
      <c r="ESS289" s="22"/>
      <c r="EST289" s="22"/>
      <c r="ESU289" s="22"/>
      <c r="ESV289" s="22"/>
      <c r="ESW289" s="22"/>
      <c r="ESX289" s="22"/>
      <c r="ESY289" s="22"/>
      <c r="ESZ289" s="22"/>
      <c r="ETA289" s="22"/>
      <c r="ETB289" s="22"/>
      <c r="ETC289" s="22"/>
      <c r="ETD289" s="22"/>
      <c r="ETE289" s="22"/>
      <c r="ETF289" s="22"/>
      <c r="ETG289" s="22"/>
      <c r="ETH289" s="22"/>
      <c r="ETI289" s="22"/>
      <c r="ETJ289" s="22"/>
      <c r="ETK289" s="22"/>
      <c r="ETL289" s="22"/>
      <c r="ETM289" s="22"/>
      <c r="ETN289" s="22"/>
      <c r="ETO289" s="22"/>
      <c r="ETP289" s="22"/>
      <c r="ETQ289" s="22"/>
      <c r="ETR289" s="22"/>
      <c r="ETS289" s="22"/>
      <c r="ETT289" s="22"/>
      <c r="ETU289" s="22"/>
      <c r="ETV289" s="22"/>
      <c r="ETW289" s="22"/>
      <c r="ETX289" s="22"/>
      <c r="ETY289" s="22"/>
      <c r="ETZ289" s="22"/>
      <c r="EUA289" s="22"/>
      <c r="EUB289" s="22"/>
      <c r="EUC289" s="22"/>
      <c r="EUD289" s="22"/>
      <c r="EUE289" s="22"/>
      <c r="EUF289" s="22"/>
      <c r="EUG289" s="22"/>
      <c r="EUH289" s="22"/>
      <c r="EUI289" s="22"/>
      <c r="EUJ289" s="22"/>
      <c r="EUK289" s="22"/>
      <c r="EUL289" s="22"/>
      <c r="EUM289" s="22"/>
      <c r="EUN289" s="22"/>
      <c r="EUO289" s="22"/>
      <c r="EUP289" s="22"/>
      <c r="EUQ289" s="22"/>
      <c r="EUR289" s="22"/>
      <c r="EUS289" s="22"/>
      <c r="EUT289" s="22"/>
      <c r="EUU289" s="22"/>
      <c r="EUV289" s="22"/>
      <c r="EUW289" s="22"/>
      <c r="EUX289" s="22"/>
      <c r="EUY289" s="22"/>
      <c r="EUZ289" s="22"/>
      <c r="EVA289" s="22"/>
      <c r="EVB289" s="22"/>
      <c r="EVC289" s="22"/>
      <c r="EVD289" s="22"/>
      <c r="EVE289" s="22"/>
      <c r="EVF289" s="22"/>
      <c r="EVG289" s="22"/>
      <c r="EVH289" s="22"/>
      <c r="EVI289" s="22"/>
      <c r="EVJ289" s="22"/>
      <c r="EVK289" s="22"/>
      <c r="EVL289" s="22"/>
      <c r="EVM289" s="22"/>
      <c r="EVN289" s="22"/>
      <c r="EVO289" s="22"/>
      <c r="EVP289" s="22"/>
      <c r="EVQ289" s="22"/>
      <c r="EVR289" s="22"/>
      <c r="EVS289" s="22"/>
      <c r="EVT289" s="22"/>
      <c r="EVU289" s="22"/>
      <c r="EVV289" s="22"/>
      <c r="EVW289" s="22"/>
      <c r="EVX289" s="22"/>
      <c r="EVY289" s="22"/>
      <c r="EVZ289" s="22"/>
      <c r="EWA289" s="22"/>
      <c r="EWB289" s="22"/>
      <c r="EWC289" s="22"/>
      <c r="EWD289" s="22"/>
      <c r="EWE289" s="22"/>
      <c r="EWF289" s="22"/>
      <c r="EWG289" s="22"/>
      <c r="EWH289" s="22"/>
      <c r="EWI289" s="22"/>
      <c r="EWJ289" s="22"/>
      <c r="EWK289" s="22"/>
      <c r="EWL289" s="22"/>
      <c r="EWM289" s="22"/>
      <c r="EWN289" s="22"/>
      <c r="EWO289" s="22"/>
      <c r="EWP289" s="22"/>
      <c r="EWQ289" s="22"/>
      <c r="EWR289" s="22"/>
      <c r="EWS289" s="22"/>
      <c r="EWT289" s="22"/>
      <c r="EWU289" s="22"/>
      <c r="EWV289" s="22"/>
      <c r="EWW289" s="22"/>
      <c r="EWX289" s="22"/>
      <c r="EWY289" s="22"/>
      <c r="EWZ289" s="22"/>
      <c r="EXA289" s="22"/>
      <c r="EXB289" s="22"/>
      <c r="EXC289" s="22"/>
      <c r="EXD289" s="22"/>
      <c r="EXE289" s="22"/>
      <c r="EXF289" s="22"/>
      <c r="EXG289" s="22"/>
      <c r="EXH289" s="22"/>
      <c r="EXI289" s="22"/>
      <c r="EXJ289" s="22"/>
      <c r="EXK289" s="22"/>
      <c r="EXL289" s="22"/>
      <c r="EXM289" s="22"/>
      <c r="EXN289" s="22"/>
      <c r="EXO289" s="22"/>
      <c r="EXP289" s="22"/>
      <c r="EXQ289" s="22"/>
      <c r="EXR289" s="22"/>
      <c r="EXS289" s="22"/>
      <c r="EXT289" s="22"/>
      <c r="EXU289" s="22"/>
      <c r="EXV289" s="22"/>
      <c r="EXW289" s="22"/>
      <c r="EXX289" s="22"/>
      <c r="EXY289" s="22"/>
      <c r="EXZ289" s="22"/>
      <c r="EYA289" s="22"/>
      <c r="EYB289" s="22"/>
      <c r="EYC289" s="22"/>
      <c r="EYD289" s="22"/>
      <c r="EYE289" s="22"/>
      <c r="EYF289" s="22"/>
      <c r="EYG289" s="22"/>
      <c r="EYH289" s="22"/>
      <c r="EYI289" s="22"/>
      <c r="EYJ289" s="22"/>
      <c r="EYK289" s="22"/>
      <c r="EYL289" s="22"/>
      <c r="EYM289" s="22"/>
      <c r="EYN289" s="22"/>
      <c r="EYO289" s="22"/>
      <c r="EYP289" s="22"/>
      <c r="EYQ289" s="22"/>
      <c r="EYR289" s="22"/>
      <c r="EYS289" s="22"/>
      <c r="EYT289" s="22"/>
      <c r="EYU289" s="22"/>
      <c r="EYV289" s="22"/>
      <c r="EYW289" s="22"/>
      <c r="EYX289" s="22"/>
      <c r="EYY289" s="22"/>
      <c r="EYZ289" s="22"/>
      <c r="EZA289" s="22"/>
      <c r="EZB289" s="22"/>
      <c r="EZC289" s="22"/>
      <c r="EZD289" s="22"/>
      <c r="EZE289" s="22"/>
      <c r="EZF289" s="22"/>
      <c r="EZG289" s="22"/>
      <c r="EZH289" s="22"/>
      <c r="EZI289" s="22"/>
      <c r="EZJ289" s="22"/>
      <c r="EZK289" s="22"/>
      <c r="EZL289" s="22"/>
      <c r="EZM289" s="22"/>
      <c r="EZN289" s="22"/>
      <c r="EZO289" s="22"/>
      <c r="EZP289" s="22"/>
      <c r="EZQ289" s="22"/>
      <c r="EZR289" s="22"/>
      <c r="EZS289" s="22"/>
      <c r="EZT289" s="22"/>
      <c r="EZU289" s="22"/>
      <c r="EZV289" s="22"/>
      <c r="EZW289" s="22"/>
      <c r="EZX289" s="22"/>
      <c r="EZY289" s="22"/>
      <c r="EZZ289" s="22"/>
      <c r="FAA289" s="22"/>
      <c r="FAB289" s="22"/>
      <c r="FAC289" s="22"/>
      <c r="FAD289" s="22"/>
      <c r="FAE289" s="22"/>
      <c r="FAF289" s="22"/>
      <c r="FAG289" s="22"/>
      <c r="FAH289" s="22"/>
      <c r="FAI289" s="22"/>
      <c r="FAJ289" s="22"/>
      <c r="FAK289" s="22"/>
      <c r="FAL289" s="22"/>
      <c r="FAM289" s="22"/>
      <c r="FAN289" s="22"/>
      <c r="FAO289" s="22"/>
      <c r="FAP289" s="22"/>
      <c r="FAQ289" s="22"/>
      <c r="FAR289" s="22"/>
      <c r="FAS289" s="22"/>
      <c r="FAT289" s="22"/>
      <c r="FAU289" s="22"/>
      <c r="FAV289" s="22"/>
      <c r="FAW289" s="22"/>
      <c r="FAX289" s="22"/>
      <c r="FAY289" s="22"/>
      <c r="FAZ289" s="22"/>
      <c r="FBA289" s="22"/>
      <c r="FBB289" s="22"/>
      <c r="FBC289" s="22"/>
      <c r="FBD289" s="22"/>
      <c r="FBE289" s="22"/>
      <c r="FBF289" s="22"/>
      <c r="FBG289" s="22"/>
      <c r="FBH289" s="22"/>
      <c r="FBI289" s="22"/>
      <c r="FBJ289" s="22"/>
      <c r="FBK289" s="22"/>
      <c r="FBL289" s="22"/>
      <c r="FBM289" s="22"/>
      <c r="FBN289" s="22"/>
      <c r="FBO289" s="22"/>
      <c r="FBP289" s="22"/>
      <c r="FBQ289" s="22"/>
      <c r="FBR289" s="22"/>
      <c r="FBS289" s="22"/>
      <c r="FBT289" s="22"/>
      <c r="FBU289" s="22"/>
      <c r="FBV289" s="22"/>
      <c r="FBW289" s="22"/>
      <c r="FBX289" s="22"/>
      <c r="FBY289" s="22"/>
      <c r="FBZ289" s="22"/>
      <c r="FCA289" s="22"/>
      <c r="FCB289" s="22"/>
      <c r="FCC289" s="22"/>
      <c r="FCD289" s="22"/>
      <c r="FCE289" s="22"/>
      <c r="FCF289" s="22"/>
      <c r="FCG289" s="22"/>
      <c r="FCH289" s="22"/>
      <c r="FCI289" s="22"/>
      <c r="FCJ289" s="22"/>
      <c r="FCK289" s="22"/>
      <c r="FCL289" s="22"/>
      <c r="FCM289" s="22"/>
      <c r="FCN289" s="22"/>
      <c r="FCO289" s="22"/>
      <c r="FCP289" s="22"/>
      <c r="FCQ289" s="22"/>
      <c r="FCR289" s="22"/>
      <c r="FCS289" s="22"/>
      <c r="FCT289" s="22"/>
      <c r="FCU289" s="22"/>
      <c r="FCV289" s="22"/>
      <c r="FCW289" s="22"/>
      <c r="FCX289" s="22"/>
      <c r="FCY289" s="22"/>
      <c r="FCZ289" s="22"/>
      <c r="FDA289" s="22"/>
      <c r="FDB289" s="22"/>
      <c r="FDC289" s="22"/>
      <c r="FDD289" s="22"/>
      <c r="FDE289" s="22"/>
      <c r="FDF289" s="22"/>
      <c r="FDG289" s="22"/>
      <c r="FDH289" s="22"/>
      <c r="FDI289" s="22"/>
      <c r="FDJ289" s="22"/>
      <c r="FDK289" s="22"/>
      <c r="FDL289" s="22"/>
      <c r="FDM289" s="22"/>
      <c r="FDN289" s="22"/>
      <c r="FDO289" s="22"/>
      <c r="FDP289" s="22"/>
      <c r="FDQ289" s="22"/>
      <c r="FDR289" s="22"/>
      <c r="FDS289" s="22"/>
      <c r="FDT289" s="22"/>
      <c r="FDU289" s="22"/>
      <c r="FDV289" s="22"/>
      <c r="FDW289" s="22"/>
      <c r="FDX289" s="22"/>
      <c r="FDY289" s="22"/>
      <c r="FDZ289" s="22"/>
      <c r="FEA289" s="22"/>
      <c r="FEB289" s="22"/>
      <c r="FEC289" s="22"/>
      <c r="FED289" s="22"/>
      <c r="FEE289" s="22"/>
      <c r="FEF289" s="22"/>
      <c r="FEG289" s="22"/>
      <c r="FEH289" s="22"/>
      <c r="FEI289" s="22"/>
      <c r="FEJ289" s="22"/>
      <c r="FEK289" s="22"/>
      <c r="FEL289" s="22"/>
      <c r="FEM289" s="22"/>
      <c r="FEN289" s="22"/>
      <c r="FEO289" s="22"/>
      <c r="FEP289" s="22"/>
      <c r="FEQ289" s="22"/>
      <c r="FER289" s="22"/>
      <c r="FES289" s="22"/>
      <c r="FET289" s="22"/>
      <c r="FEU289" s="22"/>
      <c r="FEV289" s="22"/>
      <c r="FEW289" s="22"/>
      <c r="FEX289" s="22"/>
      <c r="FEY289" s="22"/>
      <c r="FEZ289" s="22"/>
      <c r="FFA289" s="22"/>
      <c r="FFB289" s="22"/>
      <c r="FFC289" s="22"/>
      <c r="FFD289" s="22"/>
      <c r="FFE289" s="22"/>
      <c r="FFF289" s="22"/>
      <c r="FFG289" s="22"/>
      <c r="FFH289" s="22"/>
      <c r="FFI289" s="22"/>
      <c r="FFJ289" s="22"/>
      <c r="FFK289" s="22"/>
      <c r="FFL289" s="22"/>
      <c r="FFM289" s="22"/>
      <c r="FFN289" s="22"/>
      <c r="FFO289" s="22"/>
      <c r="FFP289" s="22"/>
      <c r="FFQ289" s="22"/>
      <c r="FFR289" s="22"/>
      <c r="FFS289" s="22"/>
      <c r="FFT289" s="22"/>
      <c r="FFU289" s="22"/>
      <c r="FFV289" s="22"/>
      <c r="FFW289" s="22"/>
      <c r="FFX289" s="22"/>
      <c r="FFY289" s="22"/>
      <c r="FFZ289" s="22"/>
      <c r="FGA289" s="22"/>
      <c r="FGB289" s="22"/>
      <c r="FGC289" s="22"/>
      <c r="FGD289" s="22"/>
      <c r="FGE289" s="22"/>
      <c r="FGF289" s="22"/>
      <c r="FGG289" s="22"/>
      <c r="FGH289" s="22"/>
      <c r="FGI289" s="22"/>
      <c r="FGJ289" s="22"/>
      <c r="FGK289" s="22"/>
      <c r="FGL289" s="22"/>
      <c r="FGM289" s="22"/>
      <c r="FGN289" s="22"/>
      <c r="FGO289" s="22"/>
      <c r="FGP289" s="22"/>
      <c r="FGQ289" s="22"/>
      <c r="FGR289" s="22"/>
      <c r="FGS289" s="22"/>
      <c r="FGT289" s="22"/>
      <c r="FGU289" s="22"/>
      <c r="FGV289" s="22"/>
      <c r="FGW289" s="22"/>
      <c r="FGX289" s="22"/>
      <c r="FGY289" s="22"/>
      <c r="FGZ289" s="22"/>
      <c r="FHA289" s="22"/>
      <c r="FHB289" s="22"/>
      <c r="FHC289" s="22"/>
      <c r="FHD289" s="22"/>
      <c r="FHE289" s="22"/>
      <c r="FHF289" s="22"/>
      <c r="FHG289" s="22"/>
      <c r="FHH289" s="22"/>
      <c r="FHI289" s="22"/>
      <c r="FHJ289" s="22"/>
      <c r="FHK289" s="22"/>
      <c r="FHL289" s="22"/>
      <c r="FHM289" s="22"/>
      <c r="FHN289" s="22"/>
      <c r="FHO289" s="22"/>
      <c r="FHP289" s="22"/>
      <c r="FHQ289" s="22"/>
      <c r="FHR289" s="22"/>
      <c r="FHS289" s="22"/>
      <c r="FHT289" s="22"/>
      <c r="FHU289" s="22"/>
      <c r="FHV289" s="22"/>
      <c r="FHW289" s="22"/>
      <c r="FHX289" s="22"/>
      <c r="FHY289" s="22"/>
      <c r="FHZ289" s="22"/>
      <c r="FIA289" s="22"/>
      <c r="FIB289" s="22"/>
      <c r="FIC289" s="22"/>
      <c r="FID289" s="22"/>
      <c r="FIE289" s="22"/>
      <c r="FIF289" s="22"/>
      <c r="FIG289" s="22"/>
      <c r="FIH289" s="22"/>
      <c r="FII289" s="22"/>
      <c r="FIJ289" s="22"/>
      <c r="FIK289" s="22"/>
      <c r="FIL289" s="22"/>
      <c r="FIM289" s="22"/>
      <c r="FIN289" s="22"/>
      <c r="FIO289" s="22"/>
      <c r="FIP289" s="22"/>
      <c r="FIQ289" s="22"/>
      <c r="FIR289" s="22"/>
      <c r="FIS289" s="22"/>
      <c r="FIT289" s="22"/>
      <c r="FIU289" s="22"/>
      <c r="FIV289" s="22"/>
      <c r="FIW289" s="22"/>
      <c r="FIX289" s="22"/>
      <c r="FIY289" s="22"/>
      <c r="FIZ289" s="22"/>
      <c r="FJA289" s="22"/>
      <c r="FJB289" s="22"/>
      <c r="FJC289" s="22"/>
      <c r="FJD289" s="22"/>
      <c r="FJE289" s="22"/>
      <c r="FJF289" s="22"/>
      <c r="FJG289" s="22"/>
      <c r="FJH289" s="22"/>
      <c r="FJI289" s="22"/>
      <c r="FJJ289" s="22"/>
      <c r="FJK289" s="22"/>
      <c r="FJL289" s="22"/>
      <c r="FJM289" s="22"/>
      <c r="FJN289" s="22"/>
      <c r="FJO289" s="22"/>
      <c r="FJP289" s="22"/>
      <c r="FJQ289" s="22"/>
      <c r="FJR289" s="22"/>
      <c r="FJS289" s="22"/>
      <c r="FJT289" s="22"/>
      <c r="FJU289" s="22"/>
      <c r="FJV289" s="22"/>
      <c r="FJW289" s="22"/>
      <c r="FJX289" s="22"/>
      <c r="FJY289" s="22"/>
      <c r="FJZ289" s="22"/>
      <c r="FKA289" s="22"/>
      <c r="FKB289" s="22"/>
      <c r="FKC289" s="22"/>
      <c r="FKD289" s="22"/>
      <c r="FKE289" s="22"/>
      <c r="FKF289" s="22"/>
      <c r="FKG289" s="22"/>
      <c r="FKH289" s="22"/>
      <c r="FKI289" s="22"/>
      <c r="FKJ289" s="22"/>
      <c r="FKK289" s="22"/>
      <c r="FKL289" s="22"/>
      <c r="FKM289" s="22"/>
      <c r="FKN289" s="22"/>
      <c r="FKO289" s="22"/>
      <c r="FKP289" s="22"/>
      <c r="FKQ289" s="22"/>
      <c r="FKR289" s="22"/>
      <c r="FKS289" s="22"/>
      <c r="FKT289" s="22"/>
      <c r="FKU289" s="22"/>
      <c r="FKV289" s="22"/>
      <c r="FKW289" s="22"/>
      <c r="FKX289" s="22"/>
      <c r="FKY289" s="22"/>
      <c r="FKZ289" s="22"/>
      <c r="FLA289" s="22"/>
      <c r="FLB289" s="22"/>
      <c r="FLC289" s="22"/>
      <c r="FLD289" s="22"/>
      <c r="FLE289" s="22"/>
      <c r="FLF289" s="22"/>
      <c r="FLG289" s="22"/>
      <c r="FLH289" s="22"/>
      <c r="FLI289" s="22"/>
      <c r="FLJ289" s="22"/>
      <c r="FLK289" s="22"/>
      <c r="FLL289" s="22"/>
      <c r="FLM289" s="22"/>
      <c r="FLN289" s="22"/>
      <c r="FLO289" s="22"/>
      <c r="FLP289" s="22"/>
      <c r="FLQ289" s="22"/>
      <c r="FLR289" s="22"/>
      <c r="FLS289" s="22"/>
      <c r="FLT289" s="22"/>
      <c r="FLU289" s="22"/>
      <c r="FLV289" s="22"/>
      <c r="FLW289" s="22"/>
      <c r="FLX289" s="22"/>
      <c r="FLY289" s="22"/>
      <c r="FLZ289" s="22"/>
      <c r="FMA289" s="22"/>
      <c r="FMB289" s="22"/>
      <c r="FMC289" s="22"/>
      <c r="FMD289" s="22"/>
      <c r="FME289" s="22"/>
      <c r="FMF289" s="22"/>
      <c r="FMG289" s="22"/>
      <c r="FMH289" s="22"/>
      <c r="FMI289" s="22"/>
      <c r="FMJ289" s="22"/>
      <c r="FMK289" s="22"/>
      <c r="FML289" s="22"/>
      <c r="FMM289" s="22"/>
      <c r="FMN289" s="22"/>
      <c r="FMO289" s="22"/>
      <c r="FMP289" s="22"/>
      <c r="FMQ289" s="22"/>
      <c r="FMR289" s="22"/>
      <c r="FMS289" s="22"/>
      <c r="FMT289" s="22"/>
      <c r="FMU289" s="22"/>
      <c r="FMV289" s="22"/>
      <c r="FMW289" s="22"/>
      <c r="FMX289" s="22"/>
      <c r="FMY289" s="22"/>
      <c r="FMZ289" s="22"/>
      <c r="FNA289" s="22"/>
      <c r="FNB289" s="22"/>
      <c r="FNC289" s="22"/>
      <c r="FND289" s="22"/>
      <c r="FNE289" s="22"/>
      <c r="FNF289" s="22"/>
      <c r="FNG289" s="22"/>
      <c r="FNH289" s="22"/>
      <c r="FNI289" s="22"/>
      <c r="FNJ289" s="22"/>
      <c r="FNK289" s="22"/>
      <c r="FNL289" s="22"/>
      <c r="FNM289" s="22"/>
      <c r="FNN289" s="22"/>
      <c r="FNO289" s="22"/>
      <c r="FNP289" s="22"/>
      <c r="FNQ289" s="22"/>
      <c r="FNR289" s="22"/>
      <c r="FNS289" s="22"/>
      <c r="FNT289" s="22"/>
      <c r="FNU289" s="22"/>
      <c r="FNV289" s="22"/>
      <c r="FNW289" s="22"/>
      <c r="FNX289" s="22"/>
      <c r="FNY289" s="22"/>
      <c r="FNZ289" s="22"/>
      <c r="FOA289" s="22"/>
      <c r="FOB289" s="22"/>
      <c r="FOC289" s="22"/>
      <c r="FOD289" s="22"/>
      <c r="FOE289" s="22"/>
      <c r="FOF289" s="22"/>
      <c r="FOG289" s="22"/>
      <c r="FOH289" s="22"/>
      <c r="FOI289" s="22"/>
      <c r="FOJ289" s="22"/>
      <c r="FOK289" s="22"/>
      <c r="FOL289" s="22"/>
      <c r="FOM289" s="22"/>
      <c r="FON289" s="22"/>
      <c r="FOO289" s="22"/>
      <c r="FOP289" s="22"/>
      <c r="FOQ289" s="22"/>
      <c r="FOR289" s="22"/>
      <c r="FOS289" s="22"/>
      <c r="FOT289" s="22"/>
      <c r="FOU289" s="22"/>
      <c r="FOV289" s="22"/>
      <c r="FOW289" s="22"/>
      <c r="FOX289" s="22"/>
      <c r="FOY289" s="22"/>
      <c r="FOZ289" s="22"/>
      <c r="FPA289" s="22"/>
      <c r="FPB289" s="22"/>
      <c r="FPC289" s="22"/>
      <c r="FPD289" s="22"/>
      <c r="FPE289" s="22"/>
      <c r="FPF289" s="22"/>
      <c r="FPG289" s="22"/>
      <c r="FPH289" s="22"/>
      <c r="FPI289" s="22"/>
      <c r="FPJ289" s="22"/>
      <c r="FPK289" s="22"/>
      <c r="FPL289" s="22"/>
      <c r="FPM289" s="22"/>
      <c r="FPN289" s="22"/>
      <c r="FPO289" s="22"/>
      <c r="FPP289" s="22"/>
      <c r="FPQ289" s="22"/>
      <c r="FPR289" s="22"/>
      <c r="FPS289" s="22"/>
      <c r="FPT289" s="22"/>
      <c r="FPU289" s="22"/>
      <c r="FPV289" s="22"/>
      <c r="FPW289" s="22"/>
      <c r="FPX289" s="22"/>
      <c r="FPY289" s="22"/>
      <c r="FPZ289" s="22"/>
      <c r="FQA289" s="22"/>
      <c r="FQB289" s="22"/>
      <c r="FQC289" s="22"/>
      <c r="FQD289" s="22"/>
      <c r="FQE289" s="22"/>
      <c r="FQF289" s="22"/>
      <c r="FQG289" s="22"/>
      <c r="FQH289" s="22"/>
      <c r="FQI289" s="22"/>
      <c r="FQJ289" s="22"/>
      <c r="FQK289" s="22"/>
      <c r="FQL289" s="22"/>
      <c r="FQM289" s="22"/>
      <c r="FQN289" s="22"/>
      <c r="FQO289" s="22"/>
      <c r="FQP289" s="22"/>
      <c r="FQQ289" s="22"/>
      <c r="FQR289" s="22"/>
      <c r="FQS289" s="22"/>
      <c r="FQT289" s="22"/>
      <c r="FQU289" s="22"/>
      <c r="FQV289" s="22"/>
      <c r="FQW289" s="22"/>
      <c r="FQX289" s="22"/>
      <c r="FQY289" s="22"/>
      <c r="FQZ289" s="22"/>
      <c r="FRA289" s="22"/>
      <c r="FRB289" s="22"/>
      <c r="FRC289" s="22"/>
      <c r="FRD289" s="22"/>
      <c r="FRE289" s="22"/>
      <c r="FRF289" s="22"/>
      <c r="FRG289" s="22"/>
      <c r="FRH289" s="22"/>
      <c r="FRI289" s="22"/>
      <c r="FRJ289" s="22"/>
      <c r="FRK289" s="22"/>
      <c r="FRL289" s="22"/>
      <c r="FRM289" s="22"/>
      <c r="FRN289" s="22"/>
      <c r="FRO289" s="22"/>
      <c r="FRP289" s="22"/>
      <c r="FRQ289" s="22"/>
      <c r="FRR289" s="22"/>
      <c r="FRS289" s="22"/>
      <c r="FRT289" s="22"/>
      <c r="FRU289" s="22"/>
      <c r="FRV289" s="22"/>
      <c r="FRW289" s="22"/>
      <c r="FRX289" s="22"/>
      <c r="FRY289" s="22"/>
      <c r="FRZ289" s="22"/>
      <c r="FSA289" s="22"/>
      <c r="FSB289" s="22"/>
      <c r="FSC289" s="22"/>
      <c r="FSD289" s="22"/>
      <c r="FSE289" s="22"/>
      <c r="FSF289" s="22"/>
      <c r="FSG289" s="22"/>
      <c r="FSH289" s="22"/>
      <c r="FSI289" s="22"/>
      <c r="FSJ289" s="22"/>
      <c r="FSK289" s="22"/>
      <c r="FSL289" s="22"/>
      <c r="FSM289" s="22"/>
      <c r="FSN289" s="22"/>
      <c r="FSO289" s="22"/>
      <c r="FSP289" s="22"/>
      <c r="FSQ289" s="22"/>
      <c r="FSR289" s="22"/>
      <c r="FSS289" s="22"/>
      <c r="FST289" s="22"/>
      <c r="FSU289" s="22"/>
      <c r="FSV289" s="22"/>
      <c r="FSW289" s="22"/>
      <c r="FSX289" s="22"/>
      <c r="FSY289" s="22"/>
      <c r="FSZ289" s="22"/>
      <c r="FTA289" s="22"/>
      <c r="FTB289" s="22"/>
      <c r="FTC289" s="22"/>
      <c r="FTD289" s="22"/>
      <c r="FTE289" s="22"/>
      <c r="FTF289" s="22"/>
      <c r="FTG289" s="22"/>
      <c r="FTH289" s="22"/>
      <c r="FTI289" s="22"/>
      <c r="FTJ289" s="22"/>
      <c r="FTK289" s="22"/>
      <c r="FTL289" s="22"/>
      <c r="FTM289" s="22"/>
      <c r="FTN289" s="22"/>
      <c r="FTO289" s="22"/>
      <c r="FTP289" s="22"/>
      <c r="FTQ289" s="22"/>
      <c r="FTR289" s="22"/>
      <c r="FTS289" s="22"/>
      <c r="FTT289" s="22"/>
      <c r="FTU289" s="22"/>
      <c r="FTV289" s="22"/>
      <c r="FTW289" s="22"/>
      <c r="FTX289" s="22"/>
      <c r="FTY289" s="22"/>
      <c r="FTZ289" s="22"/>
      <c r="FUA289" s="22"/>
      <c r="FUB289" s="22"/>
      <c r="FUC289" s="22"/>
      <c r="FUD289" s="22"/>
      <c r="FUE289" s="22"/>
      <c r="FUF289" s="22"/>
      <c r="FUG289" s="22"/>
      <c r="FUH289" s="22"/>
      <c r="FUI289" s="22"/>
      <c r="FUJ289" s="22"/>
      <c r="FUK289" s="22"/>
      <c r="FUL289" s="22"/>
      <c r="FUM289" s="22"/>
      <c r="FUN289" s="22"/>
      <c r="FUO289" s="22"/>
      <c r="FUP289" s="22"/>
      <c r="FUQ289" s="22"/>
      <c r="FUR289" s="22"/>
      <c r="FUS289" s="22"/>
      <c r="FUT289" s="22"/>
      <c r="FUU289" s="22"/>
      <c r="FUV289" s="22"/>
      <c r="FUW289" s="22"/>
      <c r="FUX289" s="22"/>
      <c r="FUY289" s="22"/>
      <c r="FUZ289" s="22"/>
      <c r="FVA289" s="22"/>
      <c r="FVB289" s="22"/>
      <c r="FVC289" s="22"/>
      <c r="FVD289" s="22"/>
      <c r="FVE289" s="22"/>
      <c r="FVF289" s="22"/>
      <c r="FVG289" s="22"/>
      <c r="FVH289" s="22"/>
      <c r="FVI289" s="22"/>
      <c r="FVJ289" s="22"/>
      <c r="FVK289" s="22"/>
      <c r="FVL289" s="22"/>
      <c r="FVM289" s="22"/>
      <c r="FVN289" s="22"/>
      <c r="FVO289" s="22"/>
      <c r="FVP289" s="22"/>
      <c r="FVQ289" s="22"/>
      <c r="FVR289" s="22"/>
      <c r="FVS289" s="22"/>
      <c r="FVT289" s="22"/>
      <c r="FVU289" s="22"/>
      <c r="FVV289" s="22"/>
      <c r="FVW289" s="22"/>
      <c r="FVX289" s="22"/>
      <c r="FVY289" s="22"/>
      <c r="FVZ289" s="22"/>
      <c r="FWA289" s="22"/>
      <c r="FWB289" s="22"/>
      <c r="FWC289" s="22"/>
      <c r="FWD289" s="22"/>
      <c r="FWE289" s="22"/>
      <c r="FWF289" s="22"/>
      <c r="FWG289" s="22"/>
      <c r="FWH289" s="22"/>
      <c r="FWI289" s="22"/>
      <c r="FWJ289" s="22"/>
      <c r="FWK289" s="22"/>
      <c r="FWL289" s="22"/>
      <c r="FWM289" s="22"/>
      <c r="FWN289" s="22"/>
      <c r="FWO289" s="22"/>
      <c r="FWP289" s="22"/>
      <c r="FWQ289" s="22"/>
      <c r="FWR289" s="22"/>
      <c r="FWS289" s="22"/>
      <c r="FWT289" s="22"/>
      <c r="FWU289" s="22"/>
      <c r="FWV289" s="22"/>
      <c r="FWW289" s="22"/>
      <c r="FWX289" s="22"/>
      <c r="FWY289" s="22"/>
      <c r="FWZ289" s="22"/>
      <c r="FXA289" s="22"/>
      <c r="FXB289" s="22"/>
      <c r="FXC289" s="22"/>
      <c r="FXD289" s="22"/>
      <c r="FXE289" s="22"/>
      <c r="FXF289" s="22"/>
      <c r="FXG289" s="22"/>
      <c r="FXH289" s="22"/>
      <c r="FXI289" s="22"/>
      <c r="FXJ289" s="22"/>
      <c r="FXK289" s="22"/>
      <c r="FXL289" s="22"/>
      <c r="FXM289" s="22"/>
      <c r="FXN289" s="22"/>
      <c r="FXO289" s="22"/>
      <c r="FXP289" s="22"/>
      <c r="FXQ289" s="22"/>
      <c r="FXR289" s="22"/>
      <c r="FXS289" s="22"/>
      <c r="FXT289" s="22"/>
      <c r="FXU289" s="22"/>
      <c r="FXV289" s="22"/>
      <c r="FXW289" s="22"/>
      <c r="FXX289" s="22"/>
      <c r="FXY289" s="22"/>
      <c r="FXZ289" s="22"/>
      <c r="FYA289" s="22"/>
      <c r="FYB289" s="22"/>
      <c r="FYC289" s="22"/>
      <c r="FYD289" s="22"/>
      <c r="FYE289" s="22"/>
      <c r="FYF289" s="22"/>
      <c r="FYG289" s="22"/>
      <c r="FYH289" s="22"/>
      <c r="FYI289" s="22"/>
      <c r="FYJ289" s="22"/>
      <c r="FYK289" s="22"/>
      <c r="FYL289" s="22"/>
      <c r="FYM289" s="22"/>
      <c r="FYN289" s="22"/>
      <c r="FYO289" s="22"/>
      <c r="FYP289" s="22"/>
      <c r="FYQ289" s="22"/>
      <c r="FYR289" s="22"/>
      <c r="FYS289" s="22"/>
      <c r="FYT289" s="22"/>
      <c r="FYU289" s="22"/>
      <c r="FYV289" s="22"/>
      <c r="FYW289" s="22"/>
      <c r="FYX289" s="22"/>
      <c r="FYY289" s="22"/>
      <c r="FYZ289" s="22"/>
      <c r="FZA289" s="22"/>
      <c r="FZB289" s="22"/>
      <c r="FZC289" s="22"/>
      <c r="FZD289" s="22"/>
      <c r="FZE289" s="22"/>
      <c r="FZF289" s="22"/>
      <c r="FZG289" s="22"/>
      <c r="FZH289" s="22"/>
      <c r="FZI289" s="22"/>
      <c r="FZJ289" s="22"/>
      <c r="FZK289" s="22"/>
      <c r="FZL289" s="22"/>
      <c r="FZM289" s="22"/>
      <c r="FZN289" s="22"/>
      <c r="FZO289" s="22"/>
      <c r="FZP289" s="22"/>
      <c r="FZQ289" s="22"/>
      <c r="FZR289" s="22"/>
      <c r="FZS289" s="22"/>
      <c r="FZT289" s="22"/>
      <c r="FZU289" s="22"/>
      <c r="FZV289" s="22"/>
      <c r="FZW289" s="22"/>
      <c r="FZX289" s="22"/>
      <c r="FZY289" s="22"/>
      <c r="FZZ289" s="22"/>
      <c r="GAA289" s="22"/>
      <c r="GAB289" s="22"/>
      <c r="GAC289" s="22"/>
      <c r="GAD289" s="22"/>
      <c r="GAE289" s="22"/>
      <c r="GAF289" s="22"/>
      <c r="GAG289" s="22"/>
      <c r="GAH289" s="22"/>
      <c r="GAI289" s="22"/>
      <c r="GAJ289" s="22"/>
      <c r="GAK289" s="22"/>
      <c r="GAL289" s="22"/>
      <c r="GAM289" s="22"/>
      <c r="GAN289" s="22"/>
      <c r="GAO289" s="22"/>
      <c r="GAP289" s="22"/>
      <c r="GAQ289" s="22"/>
      <c r="GAR289" s="22"/>
      <c r="GAS289" s="22"/>
      <c r="GAT289" s="22"/>
      <c r="GAU289" s="22"/>
      <c r="GAV289" s="22"/>
      <c r="GAW289" s="22"/>
      <c r="GAX289" s="22"/>
      <c r="GAY289" s="22"/>
      <c r="GAZ289" s="22"/>
      <c r="GBA289" s="22"/>
      <c r="GBB289" s="22"/>
      <c r="GBC289" s="22"/>
      <c r="GBD289" s="22"/>
      <c r="GBE289" s="22"/>
      <c r="GBF289" s="22"/>
      <c r="GBG289" s="22"/>
      <c r="GBH289" s="22"/>
      <c r="GBI289" s="22"/>
      <c r="GBJ289" s="22"/>
      <c r="GBK289" s="22"/>
      <c r="GBL289" s="22"/>
      <c r="GBM289" s="22"/>
      <c r="GBN289" s="22"/>
      <c r="GBO289" s="22"/>
      <c r="GBP289" s="22"/>
      <c r="GBQ289" s="22"/>
      <c r="GBR289" s="22"/>
      <c r="GBS289" s="22"/>
      <c r="GBT289" s="22"/>
      <c r="GBU289" s="22"/>
      <c r="GBV289" s="22"/>
      <c r="GBW289" s="22"/>
      <c r="GBX289" s="22"/>
      <c r="GBY289" s="22"/>
      <c r="GBZ289" s="22"/>
      <c r="GCA289" s="22"/>
      <c r="GCB289" s="22"/>
      <c r="GCC289" s="22"/>
      <c r="GCD289" s="22"/>
      <c r="GCE289" s="22"/>
      <c r="GCF289" s="22"/>
      <c r="GCG289" s="22"/>
      <c r="GCH289" s="22"/>
      <c r="GCI289" s="22"/>
      <c r="GCJ289" s="22"/>
      <c r="GCK289" s="22"/>
      <c r="GCL289" s="22"/>
      <c r="GCM289" s="22"/>
      <c r="GCN289" s="22"/>
      <c r="GCO289" s="22"/>
      <c r="GCP289" s="22"/>
      <c r="GCQ289" s="22"/>
      <c r="GCR289" s="22"/>
      <c r="GCS289" s="22"/>
      <c r="GCT289" s="22"/>
      <c r="GCU289" s="22"/>
      <c r="GCV289" s="22"/>
      <c r="GCW289" s="22"/>
      <c r="GCX289" s="22"/>
      <c r="GCY289" s="22"/>
      <c r="GCZ289" s="22"/>
      <c r="GDA289" s="22"/>
      <c r="GDB289" s="22"/>
      <c r="GDC289" s="22"/>
      <c r="GDD289" s="22"/>
      <c r="GDE289" s="22"/>
      <c r="GDF289" s="22"/>
      <c r="GDG289" s="22"/>
      <c r="GDH289" s="22"/>
      <c r="GDI289" s="22"/>
      <c r="GDJ289" s="22"/>
      <c r="GDK289" s="22"/>
      <c r="GDL289" s="22"/>
      <c r="GDM289" s="22"/>
      <c r="GDN289" s="22"/>
      <c r="GDO289" s="22"/>
      <c r="GDP289" s="22"/>
      <c r="GDQ289" s="22"/>
      <c r="GDR289" s="22"/>
      <c r="GDS289" s="22"/>
      <c r="GDT289" s="22"/>
      <c r="GDU289" s="22"/>
      <c r="GDV289" s="22"/>
      <c r="GDW289" s="22"/>
      <c r="GDX289" s="22"/>
      <c r="GDY289" s="22"/>
      <c r="GDZ289" s="22"/>
      <c r="GEA289" s="22"/>
      <c r="GEB289" s="22"/>
      <c r="GEC289" s="22"/>
      <c r="GED289" s="22"/>
      <c r="GEE289" s="22"/>
      <c r="GEF289" s="22"/>
      <c r="GEG289" s="22"/>
      <c r="GEH289" s="22"/>
      <c r="GEI289" s="22"/>
      <c r="GEJ289" s="22"/>
      <c r="GEK289" s="22"/>
      <c r="GEL289" s="22"/>
      <c r="GEM289" s="22"/>
      <c r="GEN289" s="22"/>
      <c r="GEO289" s="22"/>
      <c r="GEP289" s="22"/>
      <c r="GEQ289" s="22"/>
      <c r="GER289" s="22"/>
      <c r="GES289" s="22"/>
      <c r="GET289" s="22"/>
      <c r="GEU289" s="22"/>
      <c r="GEV289" s="22"/>
      <c r="GEW289" s="22"/>
      <c r="GEX289" s="22"/>
      <c r="GEY289" s="22"/>
      <c r="GEZ289" s="22"/>
      <c r="GFA289" s="22"/>
      <c r="GFB289" s="22"/>
      <c r="GFC289" s="22"/>
      <c r="GFD289" s="22"/>
      <c r="GFE289" s="22"/>
      <c r="GFF289" s="22"/>
      <c r="GFG289" s="22"/>
      <c r="GFH289" s="22"/>
      <c r="GFI289" s="22"/>
      <c r="GFJ289" s="22"/>
      <c r="GFK289" s="22"/>
      <c r="GFL289" s="22"/>
      <c r="GFM289" s="22"/>
      <c r="GFN289" s="22"/>
      <c r="GFO289" s="22"/>
      <c r="GFP289" s="22"/>
      <c r="GFQ289" s="22"/>
      <c r="GFR289" s="22"/>
      <c r="GFS289" s="22"/>
      <c r="GFT289" s="22"/>
      <c r="GFU289" s="22"/>
      <c r="GFV289" s="22"/>
      <c r="GFW289" s="22"/>
      <c r="GFX289" s="22"/>
      <c r="GFY289" s="22"/>
      <c r="GFZ289" s="22"/>
      <c r="GGA289" s="22"/>
      <c r="GGB289" s="22"/>
      <c r="GGC289" s="22"/>
      <c r="GGD289" s="22"/>
      <c r="GGE289" s="22"/>
      <c r="GGF289" s="22"/>
      <c r="GGG289" s="22"/>
      <c r="GGH289" s="22"/>
      <c r="GGI289" s="22"/>
      <c r="GGJ289" s="22"/>
      <c r="GGK289" s="22"/>
      <c r="GGL289" s="22"/>
      <c r="GGM289" s="22"/>
      <c r="GGN289" s="22"/>
      <c r="GGO289" s="22"/>
      <c r="GGP289" s="22"/>
      <c r="GGQ289" s="22"/>
      <c r="GGR289" s="22"/>
      <c r="GGS289" s="22"/>
      <c r="GGT289" s="22"/>
      <c r="GGU289" s="22"/>
      <c r="GGV289" s="22"/>
      <c r="GGW289" s="22"/>
      <c r="GGX289" s="22"/>
      <c r="GGY289" s="22"/>
      <c r="GGZ289" s="22"/>
      <c r="GHA289" s="22"/>
      <c r="GHB289" s="22"/>
      <c r="GHC289" s="22"/>
      <c r="GHD289" s="22"/>
      <c r="GHE289" s="22"/>
      <c r="GHF289" s="22"/>
      <c r="GHG289" s="22"/>
      <c r="GHH289" s="22"/>
      <c r="GHI289" s="22"/>
      <c r="GHJ289" s="22"/>
      <c r="GHK289" s="22"/>
      <c r="GHL289" s="22"/>
      <c r="GHM289" s="22"/>
      <c r="GHN289" s="22"/>
      <c r="GHO289" s="22"/>
      <c r="GHP289" s="22"/>
      <c r="GHQ289" s="22"/>
      <c r="GHR289" s="22"/>
      <c r="GHS289" s="22"/>
      <c r="GHT289" s="22"/>
      <c r="GHU289" s="22"/>
      <c r="GHV289" s="22"/>
      <c r="GHW289" s="22"/>
      <c r="GHX289" s="22"/>
      <c r="GHY289" s="22"/>
      <c r="GHZ289" s="22"/>
      <c r="GIA289" s="22"/>
      <c r="GIB289" s="22"/>
      <c r="GIC289" s="22"/>
      <c r="GID289" s="22"/>
      <c r="GIE289" s="22"/>
      <c r="GIF289" s="22"/>
      <c r="GIG289" s="22"/>
      <c r="GIH289" s="22"/>
      <c r="GII289" s="22"/>
      <c r="GIJ289" s="22"/>
      <c r="GIK289" s="22"/>
      <c r="GIL289" s="22"/>
      <c r="GIM289" s="22"/>
      <c r="GIN289" s="22"/>
      <c r="GIO289" s="22"/>
      <c r="GIP289" s="22"/>
      <c r="GIQ289" s="22"/>
      <c r="GIR289" s="22"/>
      <c r="GIS289" s="22"/>
      <c r="GIT289" s="22"/>
      <c r="GIU289" s="22"/>
      <c r="GIV289" s="22"/>
      <c r="GIW289" s="22"/>
      <c r="GIX289" s="22"/>
      <c r="GIY289" s="22"/>
      <c r="GIZ289" s="22"/>
      <c r="GJA289" s="22"/>
      <c r="GJB289" s="22"/>
      <c r="GJC289" s="22"/>
      <c r="GJD289" s="22"/>
      <c r="GJE289" s="22"/>
      <c r="GJF289" s="22"/>
      <c r="GJG289" s="22"/>
      <c r="GJH289" s="22"/>
      <c r="GJI289" s="22"/>
      <c r="GJJ289" s="22"/>
      <c r="GJK289" s="22"/>
      <c r="GJL289" s="22"/>
      <c r="GJM289" s="22"/>
      <c r="GJN289" s="22"/>
      <c r="GJO289" s="22"/>
      <c r="GJP289" s="22"/>
      <c r="GJQ289" s="22"/>
      <c r="GJR289" s="22"/>
      <c r="GJS289" s="22"/>
      <c r="GJT289" s="22"/>
      <c r="GJU289" s="22"/>
      <c r="GJV289" s="22"/>
      <c r="GJW289" s="22"/>
      <c r="GJX289" s="22"/>
      <c r="GJY289" s="22"/>
      <c r="GJZ289" s="22"/>
      <c r="GKA289" s="22"/>
      <c r="GKB289" s="22"/>
      <c r="GKC289" s="22"/>
      <c r="GKD289" s="22"/>
      <c r="GKE289" s="22"/>
      <c r="GKF289" s="22"/>
      <c r="GKG289" s="22"/>
      <c r="GKH289" s="22"/>
      <c r="GKI289" s="22"/>
      <c r="GKJ289" s="22"/>
      <c r="GKK289" s="22"/>
      <c r="GKL289" s="22"/>
      <c r="GKM289" s="22"/>
      <c r="GKN289" s="22"/>
      <c r="GKO289" s="22"/>
      <c r="GKP289" s="22"/>
      <c r="GKQ289" s="22"/>
      <c r="GKR289" s="22"/>
      <c r="GKS289" s="22"/>
      <c r="GKT289" s="22"/>
      <c r="GKU289" s="22"/>
      <c r="GKV289" s="22"/>
      <c r="GKW289" s="22"/>
      <c r="GKX289" s="22"/>
      <c r="GKY289" s="22"/>
      <c r="GKZ289" s="22"/>
      <c r="GLA289" s="22"/>
      <c r="GLB289" s="22"/>
      <c r="GLC289" s="22"/>
      <c r="GLD289" s="22"/>
      <c r="GLE289" s="22"/>
      <c r="GLF289" s="22"/>
      <c r="GLG289" s="22"/>
      <c r="GLH289" s="22"/>
      <c r="GLI289" s="22"/>
      <c r="GLJ289" s="22"/>
      <c r="GLK289" s="22"/>
      <c r="GLL289" s="22"/>
      <c r="GLM289" s="22"/>
      <c r="GLN289" s="22"/>
      <c r="GLO289" s="22"/>
      <c r="GLP289" s="22"/>
      <c r="GLQ289" s="22"/>
      <c r="GLR289" s="22"/>
      <c r="GLS289" s="22"/>
      <c r="GLT289" s="22"/>
      <c r="GLU289" s="22"/>
      <c r="GLV289" s="22"/>
      <c r="GLW289" s="22"/>
      <c r="GLX289" s="22"/>
      <c r="GLY289" s="22"/>
      <c r="GLZ289" s="22"/>
      <c r="GMA289" s="22"/>
      <c r="GMB289" s="22"/>
      <c r="GMC289" s="22"/>
      <c r="GMD289" s="22"/>
      <c r="GME289" s="22"/>
      <c r="GMF289" s="22"/>
      <c r="GMG289" s="22"/>
      <c r="GMH289" s="22"/>
      <c r="GMI289" s="22"/>
      <c r="GMJ289" s="22"/>
      <c r="GMK289" s="22"/>
      <c r="GML289" s="22"/>
      <c r="GMM289" s="22"/>
      <c r="GMN289" s="22"/>
      <c r="GMO289" s="22"/>
      <c r="GMP289" s="22"/>
      <c r="GMQ289" s="22"/>
      <c r="GMR289" s="22"/>
      <c r="GMS289" s="22"/>
      <c r="GMT289" s="22"/>
      <c r="GMU289" s="22"/>
      <c r="GMV289" s="22"/>
      <c r="GMW289" s="22"/>
      <c r="GMX289" s="22"/>
      <c r="GMY289" s="22"/>
      <c r="GMZ289" s="22"/>
      <c r="GNA289" s="22"/>
      <c r="GNB289" s="22"/>
      <c r="GNC289" s="22"/>
      <c r="GND289" s="22"/>
      <c r="GNE289" s="22"/>
      <c r="GNF289" s="22"/>
      <c r="GNG289" s="22"/>
      <c r="GNH289" s="22"/>
      <c r="GNI289" s="22"/>
      <c r="GNJ289" s="22"/>
      <c r="GNK289" s="22"/>
      <c r="GNL289" s="22"/>
      <c r="GNM289" s="22"/>
      <c r="GNN289" s="22"/>
      <c r="GNO289" s="22"/>
      <c r="GNP289" s="22"/>
      <c r="GNQ289" s="22"/>
      <c r="GNR289" s="22"/>
      <c r="GNS289" s="22"/>
      <c r="GNT289" s="22"/>
      <c r="GNU289" s="22"/>
      <c r="GNV289" s="22"/>
      <c r="GNW289" s="22"/>
      <c r="GNX289" s="22"/>
      <c r="GNY289" s="22"/>
      <c r="GNZ289" s="22"/>
      <c r="GOA289" s="22"/>
      <c r="GOB289" s="22"/>
      <c r="GOC289" s="22"/>
      <c r="GOD289" s="22"/>
      <c r="GOE289" s="22"/>
      <c r="GOF289" s="22"/>
      <c r="GOG289" s="22"/>
      <c r="GOH289" s="22"/>
      <c r="GOI289" s="22"/>
      <c r="GOJ289" s="22"/>
      <c r="GOK289" s="22"/>
      <c r="GOL289" s="22"/>
      <c r="GOM289" s="22"/>
      <c r="GON289" s="22"/>
      <c r="GOO289" s="22"/>
      <c r="GOP289" s="22"/>
      <c r="GOQ289" s="22"/>
      <c r="GOR289" s="22"/>
      <c r="GOS289" s="22"/>
      <c r="GOT289" s="22"/>
      <c r="GOU289" s="22"/>
      <c r="GOV289" s="22"/>
      <c r="GOW289" s="22"/>
      <c r="GOX289" s="22"/>
      <c r="GOY289" s="22"/>
      <c r="GOZ289" s="22"/>
      <c r="GPA289" s="22"/>
      <c r="GPB289" s="22"/>
      <c r="GPC289" s="22"/>
      <c r="GPD289" s="22"/>
      <c r="GPE289" s="22"/>
      <c r="GPF289" s="22"/>
      <c r="GPG289" s="22"/>
      <c r="GPH289" s="22"/>
      <c r="GPI289" s="22"/>
      <c r="GPJ289" s="22"/>
      <c r="GPK289" s="22"/>
      <c r="GPL289" s="22"/>
      <c r="GPM289" s="22"/>
      <c r="GPN289" s="22"/>
      <c r="GPO289" s="22"/>
      <c r="GPP289" s="22"/>
      <c r="GPQ289" s="22"/>
      <c r="GPR289" s="22"/>
      <c r="GPS289" s="22"/>
      <c r="GPT289" s="22"/>
      <c r="GPU289" s="22"/>
      <c r="GPV289" s="22"/>
      <c r="GPW289" s="22"/>
      <c r="GPX289" s="22"/>
      <c r="GPY289" s="22"/>
      <c r="GPZ289" s="22"/>
      <c r="GQA289" s="22"/>
      <c r="GQB289" s="22"/>
      <c r="GQC289" s="22"/>
      <c r="GQD289" s="22"/>
      <c r="GQE289" s="22"/>
      <c r="GQF289" s="22"/>
      <c r="GQG289" s="22"/>
      <c r="GQH289" s="22"/>
      <c r="GQI289" s="22"/>
      <c r="GQJ289" s="22"/>
      <c r="GQK289" s="22"/>
      <c r="GQL289" s="22"/>
      <c r="GQM289" s="22"/>
      <c r="GQN289" s="22"/>
      <c r="GQO289" s="22"/>
      <c r="GQP289" s="22"/>
      <c r="GQQ289" s="22"/>
      <c r="GQR289" s="22"/>
      <c r="GQS289" s="22"/>
      <c r="GQT289" s="22"/>
      <c r="GQU289" s="22"/>
      <c r="GQV289" s="22"/>
      <c r="GQW289" s="22"/>
      <c r="GQX289" s="22"/>
      <c r="GQY289" s="22"/>
      <c r="GQZ289" s="22"/>
      <c r="GRA289" s="22"/>
      <c r="GRB289" s="22"/>
      <c r="GRC289" s="22"/>
      <c r="GRD289" s="22"/>
      <c r="GRE289" s="22"/>
      <c r="GRF289" s="22"/>
      <c r="GRG289" s="22"/>
      <c r="GRH289" s="22"/>
      <c r="GRI289" s="22"/>
      <c r="GRJ289" s="22"/>
      <c r="GRK289" s="22"/>
      <c r="GRL289" s="22"/>
      <c r="GRM289" s="22"/>
      <c r="GRN289" s="22"/>
      <c r="GRO289" s="22"/>
      <c r="GRP289" s="22"/>
      <c r="GRQ289" s="22"/>
      <c r="GRR289" s="22"/>
      <c r="GRS289" s="22"/>
      <c r="GRT289" s="22"/>
      <c r="GRU289" s="22"/>
      <c r="GRV289" s="22"/>
      <c r="GRW289" s="22"/>
      <c r="GRX289" s="22"/>
      <c r="GRY289" s="22"/>
      <c r="GRZ289" s="22"/>
      <c r="GSA289" s="22"/>
      <c r="GSB289" s="22"/>
      <c r="GSC289" s="22"/>
      <c r="GSD289" s="22"/>
      <c r="GSE289" s="22"/>
      <c r="GSF289" s="22"/>
      <c r="GSG289" s="22"/>
      <c r="GSH289" s="22"/>
      <c r="GSI289" s="22"/>
      <c r="GSJ289" s="22"/>
      <c r="GSK289" s="22"/>
      <c r="GSL289" s="22"/>
      <c r="GSM289" s="22"/>
      <c r="GSN289" s="22"/>
      <c r="GSO289" s="22"/>
      <c r="GSP289" s="22"/>
      <c r="GSQ289" s="22"/>
      <c r="GSR289" s="22"/>
      <c r="GSS289" s="22"/>
      <c r="GST289" s="22"/>
      <c r="GSU289" s="22"/>
      <c r="GSV289" s="22"/>
      <c r="GSW289" s="22"/>
      <c r="GSX289" s="22"/>
      <c r="GSY289" s="22"/>
      <c r="GSZ289" s="22"/>
      <c r="GTA289" s="22"/>
      <c r="GTB289" s="22"/>
      <c r="GTC289" s="22"/>
      <c r="GTD289" s="22"/>
      <c r="GTE289" s="22"/>
      <c r="GTF289" s="22"/>
      <c r="GTG289" s="22"/>
      <c r="GTH289" s="22"/>
      <c r="GTI289" s="22"/>
      <c r="GTJ289" s="22"/>
      <c r="GTK289" s="22"/>
      <c r="GTL289" s="22"/>
      <c r="GTM289" s="22"/>
      <c r="GTN289" s="22"/>
      <c r="GTO289" s="22"/>
      <c r="GTP289" s="22"/>
      <c r="GTQ289" s="22"/>
      <c r="GTR289" s="22"/>
      <c r="GTS289" s="22"/>
      <c r="GTT289" s="22"/>
      <c r="GTU289" s="22"/>
      <c r="GTV289" s="22"/>
      <c r="GTW289" s="22"/>
      <c r="GTX289" s="22"/>
      <c r="GTY289" s="22"/>
      <c r="GTZ289" s="22"/>
      <c r="GUA289" s="22"/>
      <c r="GUB289" s="22"/>
      <c r="GUC289" s="22"/>
      <c r="GUD289" s="22"/>
      <c r="GUE289" s="22"/>
      <c r="GUF289" s="22"/>
      <c r="GUG289" s="22"/>
      <c r="GUH289" s="22"/>
      <c r="GUI289" s="22"/>
      <c r="GUJ289" s="22"/>
      <c r="GUK289" s="22"/>
      <c r="GUL289" s="22"/>
      <c r="GUM289" s="22"/>
      <c r="GUN289" s="22"/>
      <c r="GUO289" s="22"/>
      <c r="GUP289" s="22"/>
      <c r="GUQ289" s="22"/>
      <c r="GUR289" s="22"/>
      <c r="GUS289" s="22"/>
      <c r="GUT289" s="22"/>
      <c r="GUU289" s="22"/>
      <c r="GUV289" s="22"/>
      <c r="GUW289" s="22"/>
      <c r="GUX289" s="22"/>
      <c r="GUY289" s="22"/>
      <c r="GUZ289" s="22"/>
      <c r="GVA289" s="22"/>
      <c r="GVB289" s="22"/>
      <c r="GVC289" s="22"/>
      <c r="GVD289" s="22"/>
      <c r="GVE289" s="22"/>
      <c r="GVF289" s="22"/>
      <c r="GVG289" s="22"/>
      <c r="GVH289" s="22"/>
      <c r="GVI289" s="22"/>
      <c r="GVJ289" s="22"/>
      <c r="GVK289" s="22"/>
      <c r="GVL289" s="22"/>
      <c r="GVM289" s="22"/>
      <c r="GVN289" s="22"/>
      <c r="GVO289" s="22"/>
      <c r="GVP289" s="22"/>
      <c r="GVQ289" s="22"/>
      <c r="GVR289" s="22"/>
      <c r="GVS289" s="22"/>
      <c r="GVT289" s="22"/>
      <c r="GVU289" s="22"/>
      <c r="GVV289" s="22"/>
      <c r="GVW289" s="22"/>
      <c r="GVX289" s="22"/>
      <c r="GVY289" s="22"/>
      <c r="GVZ289" s="22"/>
      <c r="GWA289" s="22"/>
      <c r="GWB289" s="22"/>
      <c r="GWC289" s="22"/>
      <c r="GWD289" s="22"/>
      <c r="GWE289" s="22"/>
      <c r="GWF289" s="22"/>
      <c r="GWG289" s="22"/>
      <c r="GWH289" s="22"/>
      <c r="GWI289" s="22"/>
      <c r="GWJ289" s="22"/>
      <c r="GWK289" s="22"/>
      <c r="GWL289" s="22"/>
      <c r="GWM289" s="22"/>
      <c r="GWN289" s="22"/>
      <c r="GWO289" s="22"/>
      <c r="GWP289" s="22"/>
      <c r="GWQ289" s="22"/>
      <c r="GWR289" s="22"/>
      <c r="GWS289" s="22"/>
      <c r="GWT289" s="22"/>
      <c r="GWU289" s="22"/>
      <c r="GWV289" s="22"/>
      <c r="GWW289" s="22"/>
      <c r="GWX289" s="22"/>
      <c r="GWY289" s="22"/>
      <c r="GWZ289" s="22"/>
      <c r="GXA289" s="22"/>
      <c r="GXB289" s="22"/>
      <c r="GXC289" s="22"/>
      <c r="GXD289" s="22"/>
      <c r="GXE289" s="22"/>
      <c r="GXF289" s="22"/>
      <c r="GXG289" s="22"/>
      <c r="GXH289" s="22"/>
      <c r="GXI289" s="22"/>
      <c r="GXJ289" s="22"/>
      <c r="GXK289" s="22"/>
      <c r="GXL289" s="22"/>
      <c r="GXM289" s="22"/>
      <c r="GXN289" s="22"/>
      <c r="GXO289" s="22"/>
      <c r="GXP289" s="22"/>
      <c r="GXQ289" s="22"/>
      <c r="GXR289" s="22"/>
      <c r="GXS289" s="22"/>
      <c r="GXT289" s="22"/>
      <c r="GXU289" s="22"/>
      <c r="GXV289" s="22"/>
      <c r="GXW289" s="22"/>
      <c r="GXX289" s="22"/>
      <c r="GXY289" s="22"/>
      <c r="GXZ289" s="22"/>
      <c r="GYA289" s="22"/>
      <c r="GYB289" s="22"/>
      <c r="GYC289" s="22"/>
      <c r="GYD289" s="22"/>
      <c r="GYE289" s="22"/>
      <c r="GYF289" s="22"/>
      <c r="GYG289" s="22"/>
      <c r="GYH289" s="22"/>
      <c r="GYI289" s="22"/>
      <c r="GYJ289" s="22"/>
      <c r="GYK289" s="22"/>
      <c r="GYL289" s="22"/>
      <c r="GYM289" s="22"/>
      <c r="GYN289" s="22"/>
      <c r="GYO289" s="22"/>
      <c r="GYP289" s="22"/>
      <c r="GYQ289" s="22"/>
      <c r="GYR289" s="22"/>
      <c r="GYS289" s="22"/>
      <c r="GYT289" s="22"/>
      <c r="GYU289" s="22"/>
      <c r="GYV289" s="22"/>
      <c r="GYW289" s="22"/>
      <c r="GYX289" s="22"/>
      <c r="GYY289" s="22"/>
      <c r="GYZ289" s="22"/>
      <c r="GZA289" s="22"/>
      <c r="GZB289" s="22"/>
      <c r="GZC289" s="22"/>
      <c r="GZD289" s="22"/>
      <c r="GZE289" s="22"/>
      <c r="GZF289" s="22"/>
      <c r="GZG289" s="22"/>
      <c r="GZH289" s="22"/>
      <c r="GZI289" s="22"/>
      <c r="GZJ289" s="22"/>
      <c r="GZK289" s="22"/>
      <c r="GZL289" s="22"/>
      <c r="GZM289" s="22"/>
      <c r="GZN289" s="22"/>
      <c r="GZO289" s="22"/>
      <c r="GZP289" s="22"/>
      <c r="GZQ289" s="22"/>
      <c r="GZR289" s="22"/>
      <c r="GZS289" s="22"/>
      <c r="GZT289" s="22"/>
      <c r="GZU289" s="22"/>
      <c r="GZV289" s="22"/>
      <c r="GZW289" s="22"/>
      <c r="GZX289" s="22"/>
      <c r="GZY289" s="22"/>
      <c r="GZZ289" s="22"/>
      <c r="HAA289" s="22"/>
      <c r="HAB289" s="22"/>
      <c r="HAC289" s="22"/>
      <c r="HAD289" s="22"/>
      <c r="HAE289" s="22"/>
      <c r="HAF289" s="22"/>
      <c r="HAG289" s="22"/>
      <c r="HAH289" s="22"/>
      <c r="HAI289" s="22"/>
      <c r="HAJ289" s="22"/>
      <c r="HAK289" s="22"/>
      <c r="HAL289" s="22"/>
      <c r="HAM289" s="22"/>
      <c r="HAN289" s="22"/>
      <c r="HAO289" s="22"/>
      <c r="HAP289" s="22"/>
      <c r="HAQ289" s="22"/>
      <c r="HAR289" s="22"/>
      <c r="HAS289" s="22"/>
      <c r="HAT289" s="22"/>
      <c r="HAU289" s="22"/>
      <c r="HAV289" s="22"/>
      <c r="HAW289" s="22"/>
      <c r="HAX289" s="22"/>
      <c r="HAY289" s="22"/>
      <c r="HAZ289" s="22"/>
      <c r="HBA289" s="22"/>
      <c r="HBB289" s="22"/>
      <c r="HBC289" s="22"/>
      <c r="HBD289" s="22"/>
      <c r="HBE289" s="22"/>
      <c r="HBF289" s="22"/>
      <c r="HBG289" s="22"/>
      <c r="HBH289" s="22"/>
      <c r="HBI289" s="22"/>
      <c r="HBJ289" s="22"/>
      <c r="HBK289" s="22"/>
      <c r="HBL289" s="22"/>
      <c r="HBM289" s="22"/>
      <c r="HBN289" s="22"/>
      <c r="HBO289" s="22"/>
      <c r="HBP289" s="22"/>
      <c r="HBQ289" s="22"/>
      <c r="HBR289" s="22"/>
      <c r="HBS289" s="22"/>
      <c r="HBT289" s="22"/>
      <c r="HBU289" s="22"/>
      <c r="HBV289" s="22"/>
      <c r="HBW289" s="22"/>
      <c r="HBX289" s="22"/>
      <c r="HBY289" s="22"/>
      <c r="HBZ289" s="22"/>
      <c r="HCA289" s="22"/>
      <c r="HCB289" s="22"/>
      <c r="HCC289" s="22"/>
      <c r="HCD289" s="22"/>
      <c r="HCE289" s="22"/>
      <c r="HCF289" s="22"/>
      <c r="HCG289" s="22"/>
      <c r="HCH289" s="22"/>
      <c r="HCI289" s="22"/>
      <c r="HCJ289" s="22"/>
      <c r="HCK289" s="22"/>
      <c r="HCL289" s="22"/>
      <c r="HCM289" s="22"/>
      <c r="HCN289" s="22"/>
      <c r="HCO289" s="22"/>
      <c r="HCP289" s="22"/>
      <c r="HCQ289" s="22"/>
      <c r="HCR289" s="22"/>
      <c r="HCS289" s="22"/>
      <c r="HCT289" s="22"/>
      <c r="HCU289" s="22"/>
      <c r="HCV289" s="22"/>
      <c r="HCW289" s="22"/>
      <c r="HCX289" s="22"/>
      <c r="HCY289" s="22"/>
      <c r="HCZ289" s="22"/>
      <c r="HDA289" s="22"/>
      <c r="HDB289" s="22"/>
      <c r="HDC289" s="22"/>
      <c r="HDD289" s="22"/>
      <c r="HDE289" s="22"/>
      <c r="HDF289" s="22"/>
      <c r="HDG289" s="22"/>
      <c r="HDH289" s="22"/>
      <c r="HDI289" s="22"/>
      <c r="HDJ289" s="22"/>
      <c r="HDK289" s="22"/>
      <c r="HDL289" s="22"/>
      <c r="HDM289" s="22"/>
      <c r="HDN289" s="22"/>
      <c r="HDO289" s="22"/>
      <c r="HDP289" s="22"/>
      <c r="HDQ289" s="22"/>
      <c r="HDR289" s="22"/>
      <c r="HDS289" s="22"/>
      <c r="HDT289" s="22"/>
      <c r="HDU289" s="22"/>
      <c r="HDV289" s="22"/>
      <c r="HDW289" s="22"/>
      <c r="HDX289" s="22"/>
      <c r="HDY289" s="22"/>
      <c r="HDZ289" s="22"/>
      <c r="HEA289" s="22"/>
      <c r="HEB289" s="22"/>
      <c r="HEC289" s="22"/>
      <c r="HED289" s="22"/>
      <c r="HEE289" s="22"/>
      <c r="HEF289" s="22"/>
      <c r="HEG289" s="22"/>
      <c r="HEH289" s="22"/>
      <c r="HEI289" s="22"/>
      <c r="HEJ289" s="22"/>
      <c r="HEK289" s="22"/>
      <c r="HEL289" s="22"/>
      <c r="HEM289" s="22"/>
      <c r="HEN289" s="22"/>
      <c r="HEO289" s="22"/>
      <c r="HEP289" s="22"/>
      <c r="HEQ289" s="22"/>
      <c r="HER289" s="22"/>
      <c r="HES289" s="22"/>
      <c r="HET289" s="22"/>
      <c r="HEU289" s="22"/>
      <c r="HEV289" s="22"/>
      <c r="HEW289" s="22"/>
      <c r="HEX289" s="22"/>
      <c r="HEY289" s="22"/>
      <c r="HEZ289" s="22"/>
      <c r="HFA289" s="22"/>
      <c r="HFB289" s="22"/>
      <c r="HFC289" s="22"/>
      <c r="HFD289" s="22"/>
      <c r="HFE289" s="22"/>
      <c r="HFF289" s="22"/>
      <c r="HFG289" s="22"/>
      <c r="HFH289" s="22"/>
      <c r="HFI289" s="22"/>
      <c r="HFJ289" s="22"/>
      <c r="HFK289" s="22"/>
      <c r="HFL289" s="22"/>
      <c r="HFM289" s="22"/>
      <c r="HFN289" s="22"/>
      <c r="HFO289" s="22"/>
      <c r="HFP289" s="22"/>
      <c r="HFQ289" s="22"/>
      <c r="HFR289" s="22"/>
      <c r="HFS289" s="22"/>
      <c r="HFT289" s="22"/>
      <c r="HFU289" s="22"/>
      <c r="HFV289" s="22"/>
      <c r="HFW289" s="22"/>
      <c r="HFX289" s="22"/>
      <c r="HFY289" s="22"/>
      <c r="HFZ289" s="22"/>
      <c r="HGA289" s="22"/>
      <c r="HGB289" s="22"/>
      <c r="HGC289" s="22"/>
      <c r="HGD289" s="22"/>
      <c r="HGE289" s="22"/>
      <c r="HGF289" s="22"/>
      <c r="HGG289" s="22"/>
      <c r="HGH289" s="22"/>
      <c r="HGI289" s="22"/>
      <c r="HGJ289" s="22"/>
      <c r="HGK289" s="22"/>
      <c r="HGL289" s="22"/>
      <c r="HGM289" s="22"/>
      <c r="HGN289" s="22"/>
      <c r="HGO289" s="22"/>
      <c r="HGP289" s="22"/>
      <c r="HGQ289" s="22"/>
      <c r="HGR289" s="22"/>
      <c r="HGS289" s="22"/>
      <c r="HGT289" s="22"/>
      <c r="HGU289" s="22"/>
      <c r="HGV289" s="22"/>
      <c r="HGW289" s="22"/>
      <c r="HGX289" s="22"/>
      <c r="HGY289" s="22"/>
      <c r="HGZ289" s="22"/>
      <c r="HHA289" s="22"/>
      <c r="HHB289" s="22"/>
      <c r="HHC289" s="22"/>
      <c r="HHD289" s="22"/>
      <c r="HHE289" s="22"/>
      <c r="HHF289" s="22"/>
      <c r="HHG289" s="22"/>
      <c r="HHH289" s="22"/>
      <c r="HHI289" s="22"/>
      <c r="HHJ289" s="22"/>
      <c r="HHK289" s="22"/>
      <c r="HHL289" s="22"/>
      <c r="HHM289" s="22"/>
      <c r="HHN289" s="22"/>
      <c r="HHO289" s="22"/>
      <c r="HHP289" s="22"/>
      <c r="HHQ289" s="22"/>
      <c r="HHR289" s="22"/>
      <c r="HHS289" s="22"/>
      <c r="HHT289" s="22"/>
      <c r="HHU289" s="22"/>
      <c r="HHV289" s="22"/>
      <c r="HHW289" s="22"/>
      <c r="HHX289" s="22"/>
      <c r="HHY289" s="22"/>
      <c r="HHZ289" s="22"/>
      <c r="HIA289" s="22"/>
      <c r="HIB289" s="22"/>
      <c r="HIC289" s="22"/>
      <c r="HID289" s="22"/>
      <c r="HIE289" s="22"/>
      <c r="HIF289" s="22"/>
      <c r="HIG289" s="22"/>
      <c r="HIH289" s="22"/>
      <c r="HII289" s="22"/>
      <c r="HIJ289" s="22"/>
      <c r="HIK289" s="22"/>
      <c r="HIL289" s="22"/>
      <c r="HIM289" s="22"/>
      <c r="HIN289" s="22"/>
      <c r="HIO289" s="22"/>
      <c r="HIP289" s="22"/>
      <c r="HIQ289" s="22"/>
      <c r="HIR289" s="22"/>
      <c r="HIS289" s="22"/>
      <c r="HIT289" s="22"/>
      <c r="HIU289" s="22"/>
      <c r="HIV289" s="22"/>
      <c r="HIW289" s="22"/>
      <c r="HIX289" s="22"/>
      <c r="HIY289" s="22"/>
      <c r="HIZ289" s="22"/>
      <c r="HJA289" s="22"/>
      <c r="HJB289" s="22"/>
      <c r="HJC289" s="22"/>
      <c r="HJD289" s="22"/>
      <c r="HJE289" s="22"/>
      <c r="HJF289" s="22"/>
      <c r="HJG289" s="22"/>
      <c r="HJH289" s="22"/>
      <c r="HJI289" s="22"/>
      <c r="HJJ289" s="22"/>
      <c r="HJK289" s="22"/>
      <c r="HJL289" s="22"/>
      <c r="HJM289" s="22"/>
      <c r="HJN289" s="22"/>
      <c r="HJO289" s="22"/>
      <c r="HJP289" s="22"/>
      <c r="HJQ289" s="22"/>
      <c r="HJR289" s="22"/>
      <c r="HJS289" s="22"/>
      <c r="HJT289" s="22"/>
      <c r="HJU289" s="22"/>
      <c r="HJV289" s="22"/>
      <c r="HJW289" s="22"/>
      <c r="HJX289" s="22"/>
      <c r="HJY289" s="22"/>
      <c r="HJZ289" s="22"/>
      <c r="HKA289" s="22"/>
      <c r="HKB289" s="22"/>
      <c r="HKC289" s="22"/>
      <c r="HKD289" s="22"/>
      <c r="HKE289" s="22"/>
      <c r="HKF289" s="22"/>
      <c r="HKG289" s="22"/>
      <c r="HKH289" s="22"/>
      <c r="HKI289" s="22"/>
      <c r="HKJ289" s="22"/>
      <c r="HKK289" s="22"/>
      <c r="HKL289" s="22"/>
      <c r="HKM289" s="22"/>
      <c r="HKN289" s="22"/>
      <c r="HKO289" s="22"/>
      <c r="HKP289" s="22"/>
      <c r="HKQ289" s="22"/>
      <c r="HKR289" s="22"/>
      <c r="HKS289" s="22"/>
      <c r="HKT289" s="22"/>
      <c r="HKU289" s="22"/>
      <c r="HKV289" s="22"/>
      <c r="HKW289" s="22"/>
      <c r="HKX289" s="22"/>
      <c r="HKY289" s="22"/>
      <c r="HKZ289" s="22"/>
      <c r="HLA289" s="22"/>
      <c r="HLB289" s="22"/>
      <c r="HLC289" s="22"/>
      <c r="HLD289" s="22"/>
      <c r="HLE289" s="22"/>
      <c r="HLF289" s="22"/>
      <c r="HLG289" s="22"/>
      <c r="HLH289" s="22"/>
      <c r="HLI289" s="22"/>
      <c r="HLJ289" s="22"/>
      <c r="HLK289" s="22"/>
      <c r="HLL289" s="22"/>
      <c r="HLM289" s="22"/>
      <c r="HLN289" s="22"/>
      <c r="HLO289" s="22"/>
      <c r="HLP289" s="22"/>
      <c r="HLQ289" s="22"/>
      <c r="HLR289" s="22"/>
      <c r="HLS289" s="22"/>
      <c r="HLT289" s="22"/>
      <c r="HLU289" s="22"/>
      <c r="HLV289" s="22"/>
      <c r="HLW289" s="22"/>
      <c r="HLX289" s="22"/>
      <c r="HLY289" s="22"/>
      <c r="HLZ289" s="22"/>
      <c r="HMA289" s="22"/>
      <c r="HMB289" s="22"/>
      <c r="HMC289" s="22"/>
      <c r="HMD289" s="22"/>
      <c r="HME289" s="22"/>
      <c r="HMF289" s="22"/>
      <c r="HMG289" s="22"/>
      <c r="HMH289" s="22"/>
      <c r="HMI289" s="22"/>
      <c r="HMJ289" s="22"/>
      <c r="HMK289" s="22"/>
      <c r="HML289" s="22"/>
      <c r="HMM289" s="22"/>
      <c r="HMN289" s="22"/>
      <c r="HMO289" s="22"/>
      <c r="HMP289" s="22"/>
      <c r="HMQ289" s="22"/>
      <c r="HMR289" s="22"/>
      <c r="HMS289" s="22"/>
      <c r="HMT289" s="22"/>
      <c r="HMU289" s="22"/>
      <c r="HMV289" s="22"/>
      <c r="HMW289" s="22"/>
      <c r="HMX289" s="22"/>
      <c r="HMY289" s="22"/>
      <c r="HMZ289" s="22"/>
      <c r="HNA289" s="22"/>
      <c r="HNB289" s="22"/>
      <c r="HNC289" s="22"/>
      <c r="HND289" s="22"/>
      <c r="HNE289" s="22"/>
      <c r="HNF289" s="22"/>
      <c r="HNG289" s="22"/>
      <c r="HNH289" s="22"/>
      <c r="HNI289" s="22"/>
      <c r="HNJ289" s="22"/>
      <c r="HNK289" s="22"/>
      <c r="HNL289" s="22"/>
      <c r="HNM289" s="22"/>
      <c r="HNN289" s="22"/>
      <c r="HNO289" s="22"/>
      <c r="HNP289" s="22"/>
      <c r="HNQ289" s="22"/>
      <c r="HNR289" s="22"/>
      <c r="HNS289" s="22"/>
      <c r="HNT289" s="22"/>
      <c r="HNU289" s="22"/>
      <c r="HNV289" s="22"/>
      <c r="HNW289" s="22"/>
      <c r="HNX289" s="22"/>
      <c r="HNY289" s="22"/>
      <c r="HNZ289" s="22"/>
      <c r="HOA289" s="22"/>
      <c r="HOB289" s="22"/>
      <c r="HOC289" s="22"/>
      <c r="HOD289" s="22"/>
      <c r="HOE289" s="22"/>
      <c r="HOF289" s="22"/>
      <c r="HOG289" s="22"/>
      <c r="HOH289" s="22"/>
      <c r="HOI289" s="22"/>
      <c r="HOJ289" s="22"/>
      <c r="HOK289" s="22"/>
      <c r="HOL289" s="22"/>
      <c r="HOM289" s="22"/>
      <c r="HON289" s="22"/>
      <c r="HOO289" s="22"/>
      <c r="HOP289" s="22"/>
      <c r="HOQ289" s="22"/>
      <c r="HOR289" s="22"/>
      <c r="HOS289" s="22"/>
      <c r="HOT289" s="22"/>
      <c r="HOU289" s="22"/>
      <c r="HOV289" s="22"/>
      <c r="HOW289" s="22"/>
      <c r="HOX289" s="22"/>
      <c r="HOY289" s="22"/>
      <c r="HOZ289" s="22"/>
      <c r="HPA289" s="22"/>
      <c r="HPB289" s="22"/>
      <c r="HPC289" s="22"/>
      <c r="HPD289" s="22"/>
      <c r="HPE289" s="22"/>
      <c r="HPF289" s="22"/>
      <c r="HPG289" s="22"/>
      <c r="HPH289" s="22"/>
      <c r="HPI289" s="22"/>
      <c r="HPJ289" s="22"/>
      <c r="HPK289" s="22"/>
      <c r="HPL289" s="22"/>
      <c r="HPM289" s="22"/>
      <c r="HPN289" s="22"/>
      <c r="HPO289" s="22"/>
      <c r="HPP289" s="22"/>
      <c r="HPQ289" s="22"/>
      <c r="HPR289" s="22"/>
      <c r="HPS289" s="22"/>
      <c r="HPT289" s="22"/>
      <c r="HPU289" s="22"/>
      <c r="HPV289" s="22"/>
      <c r="HPW289" s="22"/>
      <c r="HPX289" s="22"/>
      <c r="HPY289" s="22"/>
      <c r="HPZ289" s="22"/>
      <c r="HQA289" s="22"/>
      <c r="HQB289" s="22"/>
      <c r="HQC289" s="22"/>
      <c r="HQD289" s="22"/>
      <c r="HQE289" s="22"/>
      <c r="HQF289" s="22"/>
      <c r="HQG289" s="22"/>
      <c r="HQH289" s="22"/>
      <c r="HQI289" s="22"/>
      <c r="HQJ289" s="22"/>
      <c r="HQK289" s="22"/>
      <c r="HQL289" s="22"/>
      <c r="HQM289" s="22"/>
      <c r="HQN289" s="22"/>
      <c r="HQO289" s="22"/>
      <c r="HQP289" s="22"/>
      <c r="HQQ289" s="22"/>
      <c r="HQR289" s="22"/>
      <c r="HQS289" s="22"/>
      <c r="HQT289" s="22"/>
      <c r="HQU289" s="22"/>
      <c r="HQV289" s="22"/>
      <c r="HQW289" s="22"/>
      <c r="HQX289" s="22"/>
      <c r="HQY289" s="22"/>
      <c r="HQZ289" s="22"/>
      <c r="HRA289" s="22"/>
      <c r="HRB289" s="22"/>
      <c r="HRC289" s="22"/>
      <c r="HRD289" s="22"/>
      <c r="HRE289" s="22"/>
      <c r="HRF289" s="22"/>
      <c r="HRG289" s="22"/>
      <c r="HRH289" s="22"/>
      <c r="HRI289" s="22"/>
      <c r="HRJ289" s="22"/>
      <c r="HRK289" s="22"/>
      <c r="HRL289" s="22"/>
      <c r="HRM289" s="22"/>
      <c r="HRN289" s="22"/>
      <c r="HRO289" s="22"/>
      <c r="HRP289" s="22"/>
      <c r="HRQ289" s="22"/>
      <c r="HRR289" s="22"/>
      <c r="HRS289" s="22"/>
      <c r="HRT289" s="22"/>
      <c r="HRU289" s="22"/>
      <c r="HRV289" s="22"/>
      <c r="HRW289" s="22"/>
      <c r="HRX289" s="22"/>
      <c r="HRY289" s="22"/>
      <c r="HRZ289" s="22"/>
      <c r="HSA289" s="22"/>
      <c r="HSB289" s="22"/>
      <c r="HSC289" s="22"/>
      <c r="HSD289" s="22"/>
      <c r="HSE289" s="22"/>
      <c r="HSF289" s="22"/>
      <c r="HSG289" s="22"/>
      <c r="HSH289" s="22"/>
      <c r="HSI289" s="22"/>
      <c r="HSJ289" s="22"/>
      <c r="HSK289" s="22"/>
      <c r="HSL289" s="22"/>
      <c r="HSM289" s="22"/>
      <c r="HSN289" s="22"/>
      <c r="HSO289" s="22"/>
      <c r="HSP289" s="22"/>
      <c r="HSQ289" s="22"/>
      <c r="HSR289" s="22"/>
      <c r="HSS289" s="22"/>
      <c r="HST289" s="22"/>
      <c r="HSU289" s="22"/>
      <c r="HSV289" s="22"/>
      <c r="HSW289" s="22"/>
      <c r="HSX289" s="22"/>
      <c r="HSY289" s="22"/>
      <c r="HSZ289" s="22"/>
      <c r="HTA289" s="22"/>
      <c r="HTB289" s="22"/>
      <c r="HTC289" s="22"/>
      <c r="HTD289" s="22"/>
      <c r="HTE289" s="22"/>
      <c r="HTF289" s="22"/>
      <c r="HTG289" s="22"/>
      <c r="HTH289" s="22"/>
      <c r="HTI289" s="22"/>
      <c r="HTJ289" s="22"/>
      <c r="HTK289" s="22"/>
      <c r="HTL289" s="22"/>
      <c r="HTM289" s="22"/>
      <c r="HTN289" s="22"/>
      <c r="HTO289" s="22"/>
      <c r="HTP289" s="22"/>
      <c r="HTQ289" s="22"/>
      <c r="HTR289" s="22"/>
      <c r="HTS289" s="22"/>
      <c r="HTT289" s="22"/>
      <c r="HTU289" s="22"/>
      <c r="HTV289" s="22"/>
      <c r="HTW289" s="22"/>
      <c r="HTX289" s="22"/>
      <c r="HTY289" s="22"/>
      <c r="HTZ289" s="22"/>
      <c r="HUA289" s="22"/>
      <c r="HUB289" s="22"/>
      <c r="HUC289" s="22"/>
      <c r="HUD289" s="22"/>
      <c r="HUE289" s="22"/>
      <c r="HUF289" s="22"/>
      <c r="HUG289" s="22"/>
      <c r="HUH289" s="22"/>
      <c r="HUI289" s="22"/>
      <c r="HUJ289" s="22"/>
      <c r="HUK289" s="22"/>
      <c r="HUL289" s="22"/>
      <c r="HUM289" s="22"/>
      <c r="HUN289" s="22"/>
      <c r="HUO289" s="22"/>
      <c r="HUP289" s="22"/>
      <c r="HUQ289" s="22"/>
      <c r="HUR289" s="22"/>
      <c r="HUS289" s="22"/>
      <c r="HUT289" s="22"/>
      <c r="HUU289" s="22"/>
      <c r="HUV289" s="22"/>
      <c r="HUW289" s="22"/>
      <c r="HUX289" s="22"/>
      <c r="HUY289" s="22"/>
      <c r="HUZ289" s="22"/>
      <c r="HVA289" s="22"/>
      <c r="HVB289" s="22"/>
      <c r="HVC289" s="22"/>
      <c r="HVD289" s="22"/>
      <c r="HVE289" s="22"/>
      <c r="HVF289" s="22"/>
      <c r="HVG289" s="22"/>
      <c r="HVH289" s="22"/>
      <c r="HVI289" s="22"/>
      <c r="HVJ289" s="22"/>
      <c r="HVK289" s="22"/>
      <c r="HVL289" s="22"/>
      <c r="HVM289" s="22"/>
      <c r="HVN289" s="22"/>
      <c r="HVO289" s="22"/>
      <c r="HVP289" s="22"/>
      <c r="HVQ289" s="22"/>
      <c r="HVR289" s="22"/>
      <c r="HVS289" s="22"/>
      <c r="HVT289" s="22"/>
      <c r="HVU289" s="22"/>
      <c r="HVV289" s="22"/>
      <c r="HVW289" s="22"/>
      <c r="HVX289" s="22"/>
      <c r="HVY289" s="22"/>
      <c r="HVZ289" s="22"/>
      <c r="HWA289" s="22"/>
      <c r="HWB289" s="22"/>
      <c r="HWC289" s="22"/>
      <c r="HWD289" s="22"/>
      <c r="HWE289" s="22"/>
      <c r="HWF289" s="22"/>
      <c r="HWG289" s="22"/>
      <c r="HWH289" s="22"/>
      <c r="HWI289" s="22"/>
      <c r="HWJ289" s="22"/>
      <c r="HWK289" s="22"/>
      <c r="HWL289" s="22"/>
      <c r="HWM289" s="22"/>
      <c r="HWN289" s="22"/>
      <c r="HWO289" s="22"/>
      <c r="HWP289" s="22"/>
      <c r="HWQ289" s="22"/>
      <c r="HWR289" s="22"/>
      <c r="HWS289" s="22"/>
      <c r="HWT289" s="22"/>
      <c r="HWU289" s="22"/>
      <c r="HWV289" s="22"/>
      <c r="HWW289" s="22"/>
      <c r="HWX289" s="22"/>
      <c r="HWY289" s="22"/>
      <c r="HWZ289" s="22"/>
      <c r="HXA289" s="22"/>
      <c r="HXB289" s="22"/>
      <c r="HXC289" s="22"/>
      <c r="HXD289" s="22"/>
      <c r="HXE289" s="22"/>
      <c r="HXF289" s="22"/>
      <c r="HXG289" s="22"/>
      <c r="HXH289" s="22"/>
      <c r="HXI289" s="22"/>
      <c r="HXJ289" s="22"/>
      <c r="HXK289" s="22"/>
      <c r="HXL289" s="22"/>
      <c r="HXM289" s="22"/>
      <c r="HXN289" s="22"/>
      <c r="HXO289" s="22"/>
      <c r="HXP289" s="22"/>
      <c r="HXQ289" s="22"/>
      <c r="HXR289" s="22"/>
      <c r="HXS289" s="22"/>
      <c r="HXT289" s="22"/>
      <c r="HXU289" s="22"/>
      <c r="HXV289" s="22"/>
      <c r="HXW289" s="22"/>
      <c r="HXX289" s="22"/>
      <c r="HXY289" s="22"/>
      <c r="HXZ289" s="22"/>
      <c r="HYA289" s="22"/>
      <c r="HYB289" s="22"/>
      <c r="HYC289" s="22"/>
      <c r="HYD289" s="22"/>
      <c r="HYE289" s="22"/>
      <c r="HYF289" s="22"/>
      <c r="HYG289" s="22"/>
      <c r="HYH289" s="22"/>
      <c r="HYI289" s="22"/>
      <c r="HYJ289" s="22"/>
      <c r="HYK289" s="22"/>
      <c r="HYL289" s="22"/>
      <c r="HYM289" s="22"/>
      <c r="HYN289" s="22"/>
      <c r="HYO289" s="22"/>
      <c r="HYP289" s="22"/>
      <c r="HYQ289" s="22"/>
      <c r="HYR289" s="22"/>
      <c r="HYS289" s="22"/>
      <c r="HYT289" s="22"/>
      <c r="HYU289" s="22"/>
      <c r="HYV289" s="22"/>
      <c r="HYW289" s="22"/>
      <c r="HYX289" s="22"/>
      <c r="HYY289" s="22"/>
      <c r="HYZ289" s="22"/>
      <c r="HZA289" s="22"/>
      <c r="HZB289" s="22"/>
      <c r="HZC289" s="22"/>
      <c r="HZD289" s="22"/>
      <c r="HZE289" s="22"/>
      <c r="HZF289" s="22"/>
      <c r="HZG289" s="22"/>
      <c r="HZH289" s="22"/>
      <c r="HZI289" s="22"/>
      <c r="HZJ289" s="22"/>
      <c r="HZK289" s="22"/>
      <c r="HZL289" s="22"/>
      <c r="HZM289" s="22"/>
      <c r="HZN289" s="22"/>
      <c r="HZO289" s="22"/>
      <c r="HZP289" s="22"/>
      <c r="HZQ289" s="22"/>
      <c r="HZR289" s="22"/>
      <c r="HZS289" s="22"/>
      <c r="HZT289" s="22"/>
      <c r="HZU289" s="22"/>
      <c r="HZV289" s="22"/>
      <c r="HZW289" s="22"/>
      <c r="HZX289" s="22"/>
      <c r="HZY289" s="22"/>
      <c r="HZZ289" s="22"/>
      <c r="IAA289" s="22"/>
      <c r="IAB289" s="22"/>
      <c r="IAC289" s="22"/>
      <c r="IAD289" s="22"/>
      <c r="IAE289" s="22"/>
      <c r="IAF289" s="22"/>
      <c r="IAG289" s="22"/>
      <c r="IAH289" s="22"/>
      <c r="IAI289" s="22"/>
      <c r="IAJ289" s="22"/>
      <c r="IAK289" s="22"/>
      <c r="IAL289" s="22"/>
      <c r="IAM289" s="22"/>
      <c r="IAN289" s="22"/>
      <c r="IAO289" s="22"/>
      <c r="IAP289" s="22"/>
      <c r="IAQ289" s="22"/>
      <c r="IAR289" s="22"/>
      <c r="IAS289" s="22"/>
      <c r="IAT289" s="22"/>
      <c r="IAU289" s="22"/>
      <c r="IAV289" s="22"/>
      <c r="IAW289" s="22"/>
      <c r="IAX289" s="22"/>
      <c r="IAY289" s="22"/>
      <c r="IAZ289" s="22"/>
      <c r="IBA289" s="22"/>
      <c r="IBB289" s="22"/>
      <c r="IBC289" s="22"/>
      <c r="IBD289" s="22"/>
      <c r="IBE289" s="22"/>
      <c r="IBF289" s="22"/>
      <c r="IBG289" s="22"/>
      <c r="IBH289" s="22"/>
      <c r="IBI289" s="22"/>
      <c r="IBJ289" s="22"/>
      <c r="IBK289" s="22"/>
      <c r="IBL289" s="22"/>
      <c r="IBM289" s="22"/>
      <c r="IBN289" s="22"/>
      <c r="IBO289" s="22"/>
      <c r="IBP289" s="22"/>
      <c r="IBQ289" s="22"/>
      <c r="IBR289" s="22"/>
      <c r="IBS289" s="22"/>
      <c r="IBT289" s="22"/>
      <c r="IBU289" s="22"/>
      <c r="IBV289" s="22"/>
      <c r="IBW289" s="22"/>
      <c r="IBX289" s="22"/>
      <c r="IBY289" s="22"/>
      <c r="IBZ289" s="22"/>
      <c r="ICA289" s="22"/>
      <c r="ICB289" s="22"/>
      <c r="ICC289" s="22"/>
      <c r="ICD289" s="22"/>
      <c r="ICE289" s="22"/>
      <c r="ICF289" s="22"/>
      <c r="ICG289" s="22"/>
      <c r="ICH289" s="22"/>
      <c r="ICI289" s="22"/>
      <c r="ICJ289" s="22"/>
      <c r="ICK289" s="22"/>
      <c r="ICL289" s="22"/>
      <c r="ICM289" s="22"/>
      <c r="ICN289" s="22"/>
      <c r="ICO289" s="22"/>
      <c r="ICP289" s="22"/>
      <c r="ICQ289" s="22"/>
      <c r="ICR289" s="22"/>
      <c r="ICS289" s="22"/>
      <c r="ICT289" s="22"/>
      <c r="ICU289" s="22"/>
      <c r="ICV289" s="22"/>
      <c r="ICW289" s="22"/>
      <c r="ICX289" s="22"/>
      <c r="ICY289" s="22"/>
      <c r="ICZ289" s="22"/>
      <c r="IDA289" s="22"/>
      <c r="IDB289" s="22"/>
      <c r="IDC289" s="22"/>
      <c r="IDD289" s="22"/>
      <c r="IDE289" s="22"/>
      <c r="IDF289" s="22"/>
      <c r="IDG289" s="22"/>
      <c r="IDH289" s="22"/>
      <c r="IDI289" s="22"/>
      <c r="IDJ289" s="22"/>
      <c r="IDK289" s="22"/>
      <c r="IDL289" s="22"/>
      <c r="IDM289" s="22"/>
      <c r="IDN289" s="22"/>
      <c r="IDO289" s="22"/>
      <c r="IDP289" s="22"/>
      <c r="IDQ289" s="22"/>
      <c r="IDR289" s="22"/>
      <c r="IDS289" s="22"/>
      <c r="IDT289" s="22"/>
      <c r="IDU289" s="22"/>
      <c r="IDV289" s="22"/>
      <c r="IDW289" s="22"/>
      <c r="IDX289" s="22"/>
      <c r="IDY289" s="22"/>
      <c r="IDZ289" s="22"/>
      <c r="IEA289" s="22"/>
      <c r="IEB289" s="22"/>
      <c r="IEC289" s="22"/>
      <c r="IED289" s="22"/>
      <c r="IEE289" s="22"/>
      <c r="IEF289" s="22"/>
      <c r="IEG289" s="22"/>
      <c r="IEH289" s="22"/>
      <c r="IEI289" s="22"/>
      <c r="IEJ289" s="22"/>
      <c r="IEK289" s="22"/>
      <c r="IEL289" s="22"/>
      <c r="IEM289" s="22"/>
      <c r="IEN289" s="22"/>
      <c r="IEO289" s="22"/>
      <c r="IEP289" s="22"/>
      <c r="IEQ289" s="22"/>
      <c r="IER289" s="22"/>
      <c r="IES289" s="22"/>
      <c r="IET289" s="22"/>
      <c r="IEU289" s="22"/>
      <c r="IEV289" s="22"/>
      <c r="IEW289" s="22"/>
      <c r="IEX289" s="22"/>
      <c r="IEY289" s="22"/>
      <c r="IEZ289" s="22"/>
      <c r="IFA289" s="22"/>
      <c r="IFB289" s="22"/>
      <c r="IFC289" s="22"/>
      <c r="IFD289" s="22"/>
      <c r="IFE289" s="22"/>
      <c r="IFF289" s="22"/>
      <c r="IFG289" s="22"/>
      <c r="IFH289" s="22"/>
      <c r="IFI289" s="22"/>
      <c r="IFJ289" s="22"/>
      <c r="IFK289" s="22"/>
      <c r="IFL289" s="22"/>
      <c r="IFM289" s="22"/>
      <c r="IFN289" s="22"/>
      <c r="IFO289" s="22"/>
      <c r="IFP289" s="22"/>
      <c r="IFQ289" s="22"/>
      <c r="IFR289" s="22"/>
      <c r="IFS289" s="22"/>
      <c r="IFT289" s="22"/>
      <c r="IFU289" s="22"/>
      <c r="IFV289" s="22"/>
      <c r="IFW289" s="22"/>
      <c r="IFX289" s="22"/>
      <c r="IFY289" s="22"/>
      <c r="IFZ289" s="22"/>
      <c r="IGA289" s="22"/>
      <c r="IGB289" s="22"/>
      <c r="IGC289" s="22"/>
      <c r="IGD289" s="22"/>
      <c r="IGE289" s="22"/>
      <c r="IGF289" s="22"/>
      <c r="IGG289" s="22"/>
      <c r="IGH289" s="22"/>
      <c r="IGI289" s="22"/>
      <c r="IGJ289" s="22"/>
      <c r="IGK289" s="22"/>
      <c r="IGL289" s="22"/>
      <c r="IGM289" s="22"/>
      <c r="IGN289" s="22"/>
      <c r="IGO289" s="22"/>
      <c r="IGP289" s="22"/>
      <c r="IGQ289" s="22"/>
      <c r="IGR289" s="22"/>
      <c r="IGS289" s="22"/>
      <c r="IGT289" s="22"/>
      <c r="IGU289" s="22"/>
      <c r="IGV289" s="22"/>
      <c r="IGW289" s="22"/>
      <c r="IGX289" s="22"/>
      <c r="IGY289" s="22"/>
      <c r="IGZ289" s="22"/>
      <c r="IHA289" s="22"/>
      <c r="IHB289" s="22"/>
      <c r="IHC289" s="22"/>
      <c r="IHD289" s="22"/>
      <c r="IHE289" s="22"/>
      <c r="IHF289" s="22"/>
      <c r="IHG289" s="22"/>
      <c r="IHH289" s="22"/>
      <c r="IHI289" s="22"/>
      <c r="IHJ289" s="22"/>
      <c r="IHK289" s="22"/>
      <c r="IHL289" s="22"/>
      <c r="IHM289" s="22"/>
      <c r="IHN289" s="22"/>
      <c r="IHO289" s="22"/>
      <c r="IHP289" s="22"/>
      <c r="IHQ289" s="22"/>
      <c r="IHR289" s="22"/>
      <c r="IHS289" s="22"/>
      <c r="IHT289" s="22"/>
      <c r="IHU289" s="22"/>
      <c r="IHV289" s="22"/>
      <c r="IHW289" s="22"/>
      <c r="IHX289" s="22"/>
      <c r="IHY289" s="22"/>
      <c r="IHZ289" s="22"/>
      <c r="IIA289" s="22"/>
      <c r="IIB289" s="22"/>
      <c r="IIC289" s="22"/>
      <c r="IID289" s="22"/>
      <c r="IIE289" s="22"/>
      <c r="IIF289" s="22"/>
      <c r="IIG289" s="22"/>
      <c r="IIH289" s="22"/>
      <c r="III289" s="22"/>
      <c r="IIJ289" s="22"/>
      <c r="IIK289" s="22"/>
      <c r="IIL289" s="22"/>
      <c r="IIM289" s="22"/>
      <c r="IIN289" s="22"/>
      <c r="IIO289" s="22"/>
      <c r="IIP289" s="22"/>
      <c r="IIQ289" s="22"/>
      <c r="IIR289" s="22"/>
      <c r="IIS289" s="22"/>
      <c r="IIT289" s="22"/>
      <c r="IIU289" s="22"/>
      <c r="IIV289" s="22"/>
      <c r="IIW289" s="22"/>
      <c r="IIX289" s="22"/>
      <c r="IIY289" s="22"/>
      <c r="IIZ289" s="22"/>
      <c r="IJA289" s="22"/>
      <c r="IJB289" s="22"/>
      <c r="IJC289" s="22"/>
      <c r="IJD289" s="22"/>
      <c r="IJE289" s="22"/>
      <c r="IJF289" s="22"/>
      <c r="IJG289" s="22"/>
      <c r="IJH289" s="22"/>
      <c r="IJI289" s="22"/>
      <c r="IJJ289" s="22"/>
      <c r="IJK289" s="22"/>
      <c r="IJL289" s="22"/>
      <c r="IJM289" s="22"/>
      <c r="IJN289" s="22"/>
      <c r="IJO289" s="22"/>
      <c r="IJP289" s="22"/>
      <c r="IJQ289" s="22"/>
      <c r="IJR289" s="22"/>
      <c r="IJS289" s="22"/>
      <c r="IJT289" s="22"/>
      <c r="IJU289" s="22"/>
      <c r="IJV289" s="22"/>
      <c r="IJW289" s="22"/>
      <c r="IJX289" s="22"/>
      <c r="IJY289" s="22"/>
      <c r="IJZ289" s="22"/>
      <c r="IKA289" s="22"/>
      <c r="IKB289" s="22"/>
      <c r="IKC289" s="22"/>
      <c r="IKD289" s="22"/>
      <c r="IKE289" s="22"/>
      <c r="IKF289" s="22"/>
      <c r="IKG289" s="22"/>
      <c r="IKH289" s="22"/>
      <c r="IKI289" s="22"/>
      <c r="IKJ289" s="22"/>
      <c r="IKK289" s="22"/>
      <c r="IKL289" s="22"/>
      <c r="IKM289" s="22"/>
      <c r="IKN289" s="22"/>
      <c r="IKO289" s="22"/>
      <c r="IKP289" s="22"/>
      <c r="IKQ289" s="22"/>
      <c r="IKR289" s="22"/>
      <c r="IKS289" s="22"/>
      <c r="IKT289" s="22"/>
      <c r="IKU289" s="22"/>
      <c r="IKV289" s="22"/>
      <c r="IKW289" s="22"/>
      <c r="IKX289" s="22"/>
      <c r="IKY289" s="22"/>
      <c r="IKZ289" s="22"/>
      <c r="ILA289" s="22"/>
      <c r="ILB289" s="22"/>
      <c r="ILC289" s="22"/>
      <c r="ILD289" s="22"/>
      <c r="ILE289" s="22"/>
      <c r="ILF289" s="22"/>
      <c r="ILG289" s="22"/>
      <c r="ILH289" s="22"/>
      <c r="ILI289" s="22"/>
      <c r="ILJ289" s="22"/>
      <c r="ILK289" s="22"/>
      <c r="ILL289" s="22"/>
      <c r="ILM289" s="22"/>
      <c r="ILN289" s="22"/>
      <c r="ILO289" s="22"/>
      <c r="ILP289" s="22"/>
      <c r="ILQ289" s="22"/>
      <c r="ILR289" s="22"/>
      <c r="ILS289" s="22"/>
      <c r="ILT289" s="22"/>
      <c r="ILU289" s="22"/>
      <c r="ILV289" s="22"/>
      <c r="ILW289" s="22"/>
      <c r="ILX289" s="22"/>
      <c r="ILY289" s="22"/>
      <c r="ILZ289" s="22"/>
      <c r="IMA289" s="22"/>
      <c r="IMB289" s="22"/>
      <c r="IMC289" s="22"/>
      <c r="IMD289" s="22"/>
      <c r="IME289" s="22"/>
      <c r="IMF289" s="22"/>
      <c r="IMG289" s="22"/>
      <c r="IMH289" s="22"/>
      <c r="IMI289" s="22"/>
      <c r="IMJ289" s="22"/>
      <c r="IMK289" s="22"/>
      <c r="IML289" s="22"/>
      <c r="IMM289" s="22"/>
      <c r="IMN289" s="22"/>
      <c r="IMO289" s="22"/>
      <c r="IMP289" s="22"/>
      <c r="IMQ289" s="22"/>
      <c r="IMR289" s="22"/>
      <c r="IMS289" s="22"/>
      <c r="IMT289" s="22"/>
      <c r="IMU289" s="22"/>
      <c r="IMV289" s="22"/>
      <c r="IMW289" s="22"/>
      <c r="IMX289" s="22"/>
      <c r="IMY289" s="22"/>
      <c r="IMZ289" s="22"/>
      <c r="INA289" s="22"/>
      <c r="INB289" s="22"/>
      <c r="INC289" s="22"/>
      <c r="IND289" s="22"/>
      <c r="INE289" s="22"/>
      <c r="INF289" s="22"/>
      <c r="ING289" s="22"/>
      <c r="INH289" s="22"/>
      <c r="INI289" s="22"/>
      <c r="INJ289" s="22"/>
      <c r="INK289" s="22"/>
      <c r="INL289" s="22"/>
      <c r="INM289" s="22"/>
      <c r="INN289" s="22"/>
      <c r="INO289" s="22"/>
      <c r="INP289" s="22"/>
      <c r="INQ289" s="22"/>
      <c r="INR289" s="22"/>
      <c r="INS289" s="22"/>
      <c r="INT289" s="22"/>
      <c r="INU289" s="22"/>
      <c r="INV289" s="22"/>
      <c r="INW289" s="22"/>
      <c r="INX289" s="22"/>
      <c r="INY289" s="22"/>
      <c r="INZ289" s="22"/>
      <c r="IOA289" s="22"/>
      <c r="IOB289" s="22"/>
      <c r="IOC289" s="22"/>
      <c r="IOD289" s="22"/>
      <c r="IOE289" s="22"/>
      <c r="IOF289" s="22"/>
      <c r="IOG289" s="22"/>
      <c r="IOH289" s="22"/>
      <c r="IOI289" s="22"/>
      <c r="IOJ289" s="22"/>
      <c r="IOK289" s="22"/>
      <c r="IOL289" s="22"/>
      <c r="IOM289" s="22"/>
      <c r="ION289" s="22"/>
      <c r="IOO289" s="22"/>
      <c r="IOP289" s="22"/>
      <c r="IOQ289" s="22"/>
      <c r="IOR289" s="22"/>
      <c r="IOS289" s="22"/>
      <c r="IOT289" s="22"/>
      <c r="IOU289" s="22"/>
      <c r="IOV289" s="22"/>
      <c r="IOW289" s="22"/>
      <c r="IOX289" s="22"/>
      <c r="IOY289" s="22"/>
      <c r="IOZ289" s="22"/>
      <c r="IPA289" s="22"/>
      <c r="IPB289" s="22"/>
      <c r="IPC289" s="22"/>
      <c r="IPD289" s="22"/>
      <c r="IPE289" s="22"/>
      <c r="IPF289" s="22"/>
      <c r="IPG289" s="22"/>
      <c r="IPH289" s="22"/>
      <c r="IPI289" s="22"/>
      <c r="IPJ289" s="22"/>
      <c r="IPK289" s="22"/>
      <c r="IPL289" s="22"/>
      <c r="IPM289" s="22"/>
      <c r="IPN289" s="22"/>
      <c r="IPO289" s="22"/>
      <c r="IPP289" s="22"/>
      <c r="IPQ289" s="22"/>
      <c r="IPR289" s="22"/>
      <c r="IPS289" s="22"/>
      <c r="IPT289" s="22"/>
      <c r="IPU289" s="22"/>
      <c r="IPV289" s="22"/>
      <c r="IPW289" s="22"/>
      <c r="IPX289" s="22"/>
      <c r="IPY289" s="22"/>
      <c r="IPZ289" s="22"/>
      <c r="IQA289" s="22"/>
      <c r="IQB289" s="22"/>
      <c r="IQC289" s="22"/>
      <c r="IQD289" s="22"/>
      <c r="IQE289" s="22"/>
      <c r="IQF289" s="22"/>
      <c r="IQG289" s="22"/>
      <c r="IQH289" s="22"/>
      <c r="IQI289" s="22"/>
      <c r="IQJ289" s="22"/>
      <c r="IQK289" s="22"/>
      <c r="IQL289" s="22"/>
      <c r="IQM289" s="22"/>
      <c r="IQN289" s="22"/>
      <c r="IQO289" s="22"/>
      <c r="IQP289" s="22"/>
      <c r="IQQ289" s="22"/>
      <c r="IQR289" s="22"/>
      <c r="IQS289" s="22"/>
      <c r="IQT289" s="22"/>
      <c r="IQU289" s="22"/>
      <c r="IQV289" s="22"/>
      <c r="IQW289" s="22"/>
      <c r="IQX289" s="22"/>
      <c r="IQY289" s="22"/>
      <c r="IQZ289" s="22"/>
      <c r="IRA289" s="22"/>
      <c r="IRB289" s="22"/>
      <c r="IRC289" s="22"/>
      <c r="IRD289" s="22"/>
      <c r="IRE289" s="22"/>
      <c r="IRF289" s="22"/>
      <c r="IRG289" s="22"/>
      <c r="IRH289" s="22"/>
      <c r="IRI289" s="22"/>
      <c r="IRJ289" s="22"/>
      <c r="IRK289" s="22"/>
      <c r="IRL289" s="22"/>
      <c r="IRM289" s="22"/>
      <c r="IRN289" s="22"/>
      <c r="IRO289" s="22"/>
      <c r="IRP289" s="22"/>
      <c r="IRQ289" s="22"/>
      <c r="IRR289" s="22"/>
      <c r="IRS289" s="22"/>
      <c r="IRT289" s="22"/>
      <c r="IRU289" s="22"/>
      <c r="IRV289" s="22"/>
      <c r="IRW289" s="22"/>
      <c r="IRX289" s="22"/>
      <c r="IRY289" s="22"/>
      <c r="IRZ289" s="22"/>
      <c r="ISA289" s="22"/>
      <c r="ISB289" s="22"/>
      <c r="ISC289" s="22"/>
      <c r="ISD289" s="22"/>
      <c r="ISE289" s="22"/>
      <c r="ISF289" s="22"/>
      <c r="ISG289" s="22"/>
      <c r="ISH289" s="22"/>
      <c r="ISI289" s="22"/>
      <c r="ISJ289" s="22"/>
      <c r="ISK289" s="22"/>
      <c r="ISL289" s="22"/>
      <c r="ISM289" s="22"/>
      <c r="ISN289" s="22"/>
      <c r="ISO289" s="22"/>
      <c r="ISP289" s="22"/>
      <c r="ISQ289" s="22"/>
      <c r="ISR289" s="22"/>
      <c r="ISS289" s="22"/>
      <c r="IST289" s="22"/>
      <c r="ISU289" s="22"/>
      <c r="ISV289" s="22"/>
      <c r="ISW289" s="22"/>
      <c r="ISX289" s="22"/>
      <c r="ISY289" s="22"/>
      <c r="ISZ289" s="22"/>
      <c r="ITA289" s="22"/>
      <c r="ITB289" s="22"/>
      <c r="ITC289" s="22"/>
      <c r="ITD289" s="22"/>
      <c r="ITE289" s="22"/>
      <c r="ITF289" s="22"/>
      <c r="ITG289" s="22"/>
      <c r="ITH289" s="22"/>
      <c r="ITI289" s="22"/>
      <c r="ITJ289" s="22"/>
      <c r="ITK289" s="22"/>
      <c r="ITL289" s="22"/>
      <c r="ITM289" s="22"/>
      <c r="ITN289" s="22"/>
      <c r="ITO289" s="22"/>
      <c r="ITP289" s="22"/>
      <c r="ITQ289" s="22"/>
      <c r="ITR289" s="22"/>
      <c r="ITS289" s="22"/>
      <c r="ITT289" s="22"/>
      <c r="ITU289" s="22"/>
      <c r="ITV289" s="22"/>
      <c r="ITW289" s="22"/>
      <c r="ITX289" s="22"/>
      <c r="ITY289" s="22"/>
      <c r="ITZ289" s="22"/>
      <c r="IUA289" s="22"/>
      <c r="IUB289" s="22"/>
      <c r="IUC289" s="22"/>
      <c r="IUD289" s="22"/>
      <c r="IUE289" s="22"/>
      <c r="IUF289" s="22"/>
      <c r="IUG289" s="22"/>
      <c r="IUH289" s="22"/>
      <c r="IUI289" s="22"/>
      <c r="IUJ289" s="22"/>
      <c r="IUK289" s="22"/>
      <c r="IUL289" s="22"/>
      <c r="IUM289" s="22"/>
      <c r="IUN289" s="22"/>
      <c r="IUO289" s="22"/>
      <c r="IUP289" s="22"/>
      <c r="IUQ289" s="22"/>
      <c r="IUR289" s="22"/>
      <c r="IUS289" s="22"/>
      <c r="IUT289" s="22"/>
      <c r="IUU289" s="22"/>
      <c r="IUV289" s="22"/>
      <c r="IUW289" s="22"/>
      <c r="IUX289" s="22"/>
      <c r="IUY289" s="22"/>
      <c r="IUZ289" s="22"/>
      <c r="IVA289" s="22"/>
      <c r="IVB289" s="22"/>
      <c r="IVC289" s="22"/>
      <c r="IVD289" s="22"/>
      <c r="IVE289" s="22"/>
      <c r="IVF289" s="22"/>
      <c r="IVG289" s="22"/>
      <c r="IVH289" s="22"/>
      <c r="IVI289" s="22"/>
      <c r="IVJ289" s="22"/>
      <c r="IVK289" s="22"/>
      <c r="IVL289" s="22"/>
      <c r="IVM289" s="22"/>
      <c r="IVN289" s="22"/>
      <c r="IVO289" s="22"/>
      <c r="IVP289" s="22"/>
      <c r="IVQ289" s="22"/>
      <c r="IVR289" s="22"/>
      <c r="IVS289" s="22"/>
      <c r="IVT289" s="22"/>
      <c r="IVU289" s="22"/>
      <c r="IVV289" s="22"/>
      <c r="IVW289" s="22"/>
      <c r="IVX289" s="22"/>
      <c r="IVY289" s="22"/>
      <c r="IVZ289" s="22"/>
      <c r="IWA289" s="22"/>
      <c r="IWB289" s="22"/>
      <c r="IWC289" s="22"/>
      <c r="IWD289" s="22"/>
      <c r="IWE289" s="22"/>
      <c r="IWF289" s="22"/>
      <c r="IWG289" s="22"/>
      <c r="IWH289" s="22"/>
      <c r="IWI289" s="22"/>
      <c r="IWJ289" s="22"/>
      <c r="IWK289" s="22"/>
      <c r="IWL289" s="22"/>
      <c r="IWM289" s="22"/>
      <c r="IWN289" s="22"/>
      <c r="IWO289" s="22"/>
      <c r="IWP289" s="22"/>
      <c r="IWQ289" s="22"/>
      <c r="IWR289" s="22"/>
      <c r="IWS289" s="22"/>
      <c r="IWT289" s="22"/>
      <c r="IWU289" s="22"/>
      <c r="IWV289" s="22"/>
      <c r="IWW289" s="22"/>
      <c r="IWX289" s="22"/>
      <c r="IWY289" s="22"/>
      <c r="IWZ289" s="22"/>
      <c r="IXA289" s="22"/>
      <c r="IXB289" s="22"/>
      <c r="IXC289" s="22"/>
      <c r="IXD289" s="22"/>
      <c r="IXE289" s="22"/>
      <c r="IXF289" s="22"/>
      <c r="IXG289" s="22"/>
      <c r="IXH289" s="22"/>
      <c r="IXI289" s="22"/>
      <c r="IXJ289" s="22"/>
      <c r="IXK289" s="22"/>
      <c r="IXL289" s="22"/>
      <c r="IXM289" s="22"/>
      <c r="IXN289" s="22"/>
      <c r="IXO289" s="22"/>
      <c r="IXP289" s="22"/>
      <c r="IXQ289" s="22"/>
      <c r="IXR289" s="22"/>
      <c r="IXS289" s="22"/>
      <c r="IXT289" s="22"/>
      <c r="IXU289" s="22"/>
      <c r="IXV289" s="22"/>
      <c r="IXW289" s="22"/>
      <c r="IXX289" s="22"/>
      <c r="IXY289" s="22"/>
      <c r="IXZ289" s="22"/>
      <c r="IYA289" s="22"/>
      <c r="IYB289" s="22"/>
      <c r="IYC289" s="22"/>
      <c r="IYD289" s="22"/>
      <c r="IYE289" s="22"/>
      <c r="IYF289" s="22"/>
      <c r="IYG289" s="22"/>
      <c r="IYH289" s="22"/>
      <c r="IYI289" s="22"/>
      <c r="IYJ289" s="22"/>
      <c r="IYK289" s="22"/>
      <c r="IYL289" s="22"/>
      <c r="IYM289" s="22"/>
      <c r="IYN289" s="22"/>
      <c r="IYO289" s="22"/>
      <c r="IYP289" s="22"/>
      <c r="IYQ289" s="22"/>
      <c r="IYR289" s="22"/>
      <c r="IYS289" s="22"/>
      <c r="IYT289" s="22"/>
      <c r="IYU289" s="22"/>
      <c r="IYV289" s="22"/>
      <c r="IYW289" s="22"/>
      <c r="IYX289" s="22"/>
      <c r="IYY289" s="22"/>
      <c r="IYZ289" s="22"/>
      <c r="IZA289" s="22"/>
      <c r="IZB289" s="22"/>
      <c r="IZC289" s="22"/>
      <c r="IZD289" s="22"/>
      <c r="IZE289" s="22"/>
      <c r="IZF289" s="22"/>
      <c r="IZG289" s="22"/>
      <c r="IZH289" s="22"/>
      <c r="IZI289" s="22"/>
      <c r="IZJ289" s="22"/>
      <c r="IZK289" s="22"/>
      <c r="IZL289" s="22"/>
      <c r="IZM289" s="22"/>
      <c r="IZN289" s="22"/>
      <c r="IZO289" s="22"/>
      <c r="IZP289" s="22"/>
      <c r="IZQ289" s="22"/>
      <c r="IZR289" s="22"/>
      <c r="IZS289" s="22"/>
      <c r="IZT289" s="22"/>
      <c r="IZU289" s="22"/>
      <c r="IZV289" s="22"/>
      <c r="IZW289" s="22"/>
      <c r="IZX289" s="22"/>
      <c r="IZY289" s="22"/>
      <c r="IZZ289" s="22"/>
      <c r="JAA289" s="22"/>
      <c r="JAB289" s="22"/>
      <c r="JAC289" s="22"/>
      <c r="JAD289" s="22"/>
      <c r="JAE289" s="22"/>
      <c r="JAF289" s="22"/>
      <c r="JAG289" s="22"/>
      <c r="JAH289" s="22"/>
      <c r="JAI289" s="22"/>
      <c r="JAJ289" s="22"/>
      <c r="JAK289" s="22"/>
      <c r="JAL289" s="22"/>
      <c r="JAM289" s="22"/>
      <c r="JAN289" s="22"/>
      <c r="JAO289" s="22"/>
      <c r="JAP289" s="22"/>
      <c r="JAQ289" s="22"/>
      <c r="JAR289" s="22"/>
      <c r="JAS289" s="22"/>
      <c r="JAT289" s="22"/>
      <c r="JAU289" s="22"/>
      <c r="JAV289" s="22"/>
      <c r="JAW289" s="22"/>
      <c r="JAX289" s="22"/>
      <c r="JAY289" s="22"/>
      <c r="JAZ289" s="22"/>
      <c r="JBA289" s="22"/>
      <c r="JBB289" s="22"/>
      <c r="JBC289" s="22"/>
      <c r="JBD289" s="22"/>
      <c r="JBE289" s="22"/>
      <c r="JBF289" s="22"/>
      <c r="JBG289" s="22"/>
      <c r="JBH289" s="22"/>
      <c r="JBI289" s="22"/>
      <c r="JBJ289" s="22"/>
      <c r="JBK289" s="22"/>
      <c r="JBL289" s="22"/>
      <c r="JBM289" s="22"/>
      <c r="JBN289" s="22"/>
      <c r="JBO289" s="22"/>
      <c r="JBP289" s="22"/>
      <c r="JBQ289" s="22"/>
      <c r="JBR289" s="22"/>
      <c r="JBS289" s="22"/>
      <c r="JBT289" s="22"/>
      <c r="JBU289" s="22"/>
      <c r="JBV289" s="22"/>
      <c r="JBW289" s="22"/>
      <c r="JBX289" s="22"/>
      <c r="JBY289" s="22"/>
      <c r="JBZ289" s="22"/>
      <c r="JCA289" s="22"/>
      <c r="JCB289" s="22"/>
      <c r="JCC289" s="22"/>
      <c r="JCD289" s="22"/>
      <c r="JCE289" s="22"/>
      <c r="JCF289" s="22"/>
      <c r="JCG289" s="22"/>
      <c r="JCH289" s="22"/>
      <c r="JCI289" s="22"/>
      <c r="JCJ289" s="22"/>
      <c r="JCK289" s="22"/>
      <c r="JCL289" s="22"/>
      <c r="JCM289" s="22"/>
      <c r="JCN289" s="22"/>
      <c r="JCO289" s="22"/>
      <c r="JCP289" s="22"/>
      <c r="JCQ289" s="22"/>
      <c r="JCR289" s="22"/>
      <c r="JCS289" s="22"/>
      <c r="JCT289" s="22"/>
      <c r="JCU289" s="22"/>
      <c r="JCV289" s="22"/>
      <c r="JCW289" s="22"/>
      <c r="JCX289" s="22"/>
      <c r="JCY289" s="22"/>
      <c r="JCZ289" s="22"/>
      <c r="JDA289" s="22"/>
      <c r="JDB289" s="22"/>
      <c r="JDC289" s="22"/>
      <c r="JDD289" s="22"/>
      <c r="JDE289" s="22"/>
      <c r="JDF289" s="22"/>
      <c r="JDG289" s="22"/>
      <c r="JDH289" s="22"/>
      <c r="JDI289" s="22"/>
      <c r="JDJ289" s="22"/>
      <c r="JDK289" s="22"/>
      <c r="JDL289" s="22"/>
      <c r="JDM289" s="22"/>
      <c r="JDN289" s="22"/>
      <c r="JDO289" s="22"/>
      <c r="JDP289" s="22"/>
      <c r="JDQ289" s="22"/>
      <c r="JDR289" s="22"/>
      <c r="JDS289" s="22"/>
      <c r="JDT289" s="22"/>
      <c r="JDU289" s="22"/>
      <c r="JDV289" s="22"/>
      <c r="JDW289" s="22"/>
      <c r="JDX289" s="22"/>
      <c r="JDY289" s="22"/>
      <c r="JDZ289" s="22"/>
      <c r="JEA289" s="22"/>
      <c r="JEB289" s="22"/>
      <c r="JEC289" s="22"/>
      <c r="JED289" s="22"/>
      <c r="JEE289" s="22"/>
      <c r="JEF289" s="22"/>
      <c r="JEG289" s="22"/>
      <c r="JEH289" s="22"/>
      <c r="JEI289" s="22"/>
      <c r="JEJ289" s="22"/>
      <c r="JEK289" s="22"/>
      <c r="JEL289" s="22"/>
      <c r="JEM289" s="22"/>
      <c r="JEN289" s="22"/>
      <c r="JEO289" s="22"/>
      <c r="JEP289" s="22"/>
      <c r="JEQ289" s="22"/>
      <c r="JER289" s="22"/>
      <c r="JES289" s="22"/>
      <c r="JET289" s="22"/>
      <c r="JEU289" s="22"/>
      <c r="JEV289" s="22"/>
      <c r="JEW289" s="22"/>
      <c r="JEX289" s="22"/>
      <c r="JEY289" s="22"/>
      <c r="JEZ289" s="22"/>
      <c r="JFA289" s="22"/>
      <c r="JFB289" s="22"/>
      <c r="JFC289" s="22"/>
      <c r="JFD289" s="22"/>
      <c r="JFE289" s="22"/>
      <c r="JFF289" s="22"/>
      <c r="JFG289" s="22"/>
      <c r="JFH289" s="22"/>
      <c r="JFI289" s="22"/>
      <c r="JFJ289" s="22"/>
      <c r="JFK289" s="22"/>
      <c r="JFL289" s="22"/>
      <c r="JFM289" s="22"/>
      <c r="JFN289" s="22"/>
      <c r="JFO289" s="22"/>
      <c r="JFP289" s="22"/>
      <c r="JFQ289" s="22"/>
      <c r="JFR289" s="22"/>
      <c r="JFS289" s="22"/>
      <c r="JFT289" s="22"/>
      <c r="JFU289" s="22"/>
      <c r="JFV289" s="22"/>
      <c r="JFW289" s="22"/>
      <c r="JFX289" s="22"/>
      <c r="JFY289" s="22"/>
      <c r="JFZ289" s="22"/>
      <c r="JGA289" s="22"/>
      <c r="JGB289" s="22"/>
      <c r="JGC289" s="22"/>
      <c r="JGD289" s="22"/>
      <c r="JGE289" s="22"/>
      <c r="JGF289" s="22"/>
      <c r="JGG289" s="22"/>
      <c r="JGH289" s="22"/>
      <c r="JGI289" s="22"/>
      <c r="JGJ289" s="22"/>
      <c r="JGK289" s="22"/>
      <c r="JGL289" s="22"/>
      <c r="JGM289" s="22"/>
      <c r="JGN289" s="22"/>
      <c r="JGO289" s="22"/>
      <c r="JGP289" s="22"/>
      <c r="JGQ289" s="22"/>
      <c r="JGR289" s="22"/>
      <c r="JGS289" s="22"/>
      <c r="JGT289" s="22"/>
      <c r="JGU289" s="22"/>
      <c r="JGV289" s="22"/>
      <c r="JGW289" s="22"/>
      <c r="JGX289" s="22"/>
      <c r="JGY289" s="22"/>
      <c r="JGZ289" s="22"/>
      <c r="JHA289" s="22"/>
      <c r="JHB289" s="22"/>
      <c r="JHC289" s="22"/>
      <c r="JHD289" s="22"/>
      <c r="JHE289" s="22"/>
      <c r="JHF289" s="22"/>
      <c r="JHG289" s="22"/>
      <c r="JHH289" s="22"/>
      <c r="JHI289" s="22"/>
      <c r="JHJ289" s="22"/>
      <c r="JHK289" s="22"/>
      <c r="JHL289" s="22"/>
      <c r="JHM289" s="22"/>
      <c r="JHN289" s="22"/>
      <c r="JHO289" s="22"/>
      <c r="JHP289" s="22"/>
      <c r="JHQ289" s="22"/>
      <c r="JHR289" s="22"/>
      <c r="JHS289" s="22"/>
      <c r="JHT289" s="22"/>
      <c r="JHU289" s="22"/>
      <c r="JHV289" s="22"/>
      <c r="JHW289" s="22"/>
      <c r="JHX289" s="22"/>
      <c r="JHY289" s="22"/>
      <c r="JHZ289" s="22"/>
      <c r="JIA289" s="22"/>
      <c r="JIB289" s="22"/>
      <c r="JIC289" s="22"/>
      <c r="JID289" s="22"/>
      <c r="JIE289" s="22"/>
      <c r="JIF289" s="22"/>
      <c r="JIG289" s="22"/>
      <c r="JIH289" s="22"/>
      <c r="JII289" s="22"/>
      <c r="JIJ289" s="22"/>
      <c r="JIK289" s="22"/>
      <c r="JIL289" s="22"/>
      <c r="JIM289" s="22"/>
      <c r="JIN289" s="22"/>
      <c r="JIO289" s="22"/>
      <c r="JIP289" s="22"/>
      <c r="JIQ289" s="22"/>
      <c r="JIR289" s="22"/>
      <c r="JIS289" s="22"/>
      <c r="JIT289" s="22"/>
      <c r="JIU289" s="22"/>
      <c r="JIV289" s="22"/>
      <c r="JIW289" s="22"/>
      <c r="JIX289" s="22"/>
      <c r="JIY289" s="22"/>
      <c r="JIZ289" s="22"/>
      <c r="JJA289" s="22"/>
      <c r="JJB289" s="22"/>
      <c r="JJC289" s="22"/>
      <c r="JJD289" s="22"/>
      <c r="JJE289" s="22"/>
      <c r="JJF289" s="22"/>
      <c r="JJG289" s="22"/>
      <c r="JJH289" s="22"/>
      <c r="JJI289" s="22"/>
      <c r="JJJ289" s="22"/>
      <c r="JJK289" s="22"/>
      <c r="JJL289" s="22"/>
      <c r="JJM289" s="22"/>
      <c r="JJN289" s="22"/>
      <c r="JJO289" s="22"/>
      <c r="JJP289" s="22"/>
      <c r="JJQ289" s="22"/>
      <c r="JJR289" s="22"/>
      <c r="JJS289" s="22"/>
      <c r="JJT289" s="22"/>
      <c r="JJU289" s="22"/>
      <c r="JJV289" s="22"/>
      <c r="JJW289" s="22"/>
      <c r="JJX289" s="22"/>
      <c r="JJY289" s="22"/>
      <c r="JJZ289" s="22"/>
      <c r="JKA289" s="22"/>
      <c r="JKB289" s="22"/>
      <c r="JKC289" s="22"/>
      <c r="JKD289" s="22"/>
      <c r="JKE289" s="22"/>
      <c r="JKF289" s="22"/>
      <c r="JKG289" s="22"/>
      <c r="JKH289" s="22"/>
      <c r="JKI289" s="22"/>
      <c r="JKJ289" s="22"/>
      <c r="JKK289" s="22"/>
      <c r="JKL289" s="22"/>
      <c r="JKM289" s="22"/>
      <c r="JKN289" s="22"/>
      <c r="JKO289" s="22"/>
      <c r="JKP289" s="22"/>
      <c r="JKQ289" s="22"/>
      <c r="JKR289" s="22"/>
      <c r="JKS289" s="22"/>
      <c r="JKT289" s="22"/>
      <c r="JKU289" s="22"/>
      <c r="JKV289" s="22"/>
      <c r="JKW289" s="22"/>
      <c r="JKX289" s="22"/>
      <c r="JKY289" s="22"/>
      <c r="JKZ289" s="22"/>
      <c r="JLA289" s="22"/>
      <c r="JLB289" s="22"/>
      <c r="JLC289" s="22"/>
      <c r="JLD289" s="22"/>
      <c r="JLE289" s="22"/>
      <c r="JLF289" s="22"/>
      <c r="JLG289" s="22"/>
      <c r="JLH289" s="22"/>
      <c r="JLI289" s="22"/>
      <c r="JLJ289" s="22"/>
      <c r="JLK289" s="22"/>
      <c r="JLL289" s="22"/>
      <c r="JLM289" s="22"/>
      <c r="JLN289" s="22"/>
      <c r="JLO289" s="22"/>
      <c r="JLP289" s="22"/>
      <c r="JLQ289" s="22"/>
      <c r="JLR289" s="22"/>
      <c r="JLS289" s="22"/>
      <c r="JLT289" s="22"/>
      <c r="JLU289" s="22"/>
      <c r="JLV289" s="22"/>
      <c r="JLW289" s="22"/>
      <c r="JLX289" s="22"/>
      <c r="JLY289" s="22"/>
      <c r="JLZ289" s="22"/>
      <c r="JMA289" s="22"/>
      <c r="JMB289" s="22"/>
      <c r="JMC289" s="22"/>
      <c r="JMD289" s="22"/>
      <c r="JME289" s="22"/>
      <c r="JMF289" s="22"/>
      <c r="JMG289" s="22"/>
      <c r="JMH289" s="22"/>
      <c r="JMI289" s="22"/>
      <c r="JMJ289" s="22"/>
      <c r="JMK289" s="22"/>
      <c r="JML289" s="22"/>
      <c r="JMM289" s="22"/>
      <c r="JMN289" s="22"/>
      <c r="JMO289" s="22"/>
      <c r="JMP289" s="22"/>
      <c r="JMQ289" s="22"/>
      <c r="JMR289" s="22"/>
      <c r="JMS289" s="22"/>
      <c r="JMT289" s="22"/>
      <c r="JMU289" s="22"/>
      <c r="JMV289" s="22"/>
      <c r="JMW289" s="22"/>
      <c r="JMX289" s="22"/>
      <c r="JMY289" s="22"/>
      <c r="JMZ289" s="22"/>
      <c r="JNA289" s="22"/>
      <c r="JNB289" s="22"/>
      <c r="JNC289" s="22"/>
      <c r="JND289" s="22"/>
      <c r="JNE289" s="22"/>
      <c r="JNF289" s="22"/>
      <c r="JNG289" s="22"/>
      <c r="JNH289" s="22"/>
      <c r="JNI289" s="22"/>
      <c r="JNJ289" s="22"/>
      <c r="JNK289" s="22"/>
      <c r="JNL289" s="22"/>
      <c r="JNM289" s="22"/>
      <c r="JNN289" s="22"/>
      <c r="JNO289" s="22"/>
      <c r="JNP289" s="22"/>
      <c r="JNQ289" s="22"/>
      <c r="JNR289" s="22"/>
      <c r="JNS289" s="22"/>
      <c r="JNT289" s="22"/>
      <c r="JNU289" s="22"/>
      <c r="JNV289" s="22"/>
      <c r="JNW289" s="22"/>
      <c r="JNX289" s="22"/>
      <c r="JNY289" s="22"/>
      <c r="JNZ289" s="22"/>
      <c r="JOA289" s="22"/>
      <c r="JOB289" s="22"/>
      <c r="JOC289" s="22"/>
      <c r="JOD289" s="22"/>
      <c r="JOE289" s="22"/>
      <c r="JOF289" s="22"/>
      <c r="JOG289" s="22"/>
      <c r="JOH289" s="22"/>
      <c r="JOI289" s="22"/>
      <c r="JOJ289" s="22"/>
      <c r="JOK289" s="22"/>
      <c r="JOL289" s="22"/>
      <c r="JOM289" s="22"/>
      <c r="JON289" s="22"/>
      <c r="JOO289" s="22"/>
      <c r="JOP289" s="22"/>
      <c r="JOQ289" s="22"/>
      <c r="JOR289" s="22"/>
      <c r="JOS289" s="22"/>
      <c r="JOT289" s="22"/>
      <c r="JOU289" s="22"/>
      <c r="JOV289" s="22"/>
      <c r="JOW289" s="22"/>
      <c r="JOX289" s="22"/>
      <c r="JOY289" s="22"/>
      <c r="JOZ289" s="22"/>
      <c r="JPA289" s="22"/>
      <c r="JPB289" s="22"/>
      <c r="JPC289" s="22"/>
      <c r="JPD289" s="22"/>
      <c r="JPE289" s="22"/>
      <c r="JPF289" s="22"/>
      <c r="JPG289" s="22"/>
      <c r="JPH289" s="22"/>
      <c r="JPI289" s="22"/>
      <c r="JPJ289" s="22"/>
      <c r="JPK289" s="22"/>
      <c r="JPL289" s="22"/>
      <c r="JPM289" s="22"/>
      <c r="JPN289" s="22"/>
      <c r="JPO289" s="22"/>
      <c r="JPP289" s="22"/>
      <c r="JPQ289" s="22"/>
      <c r="JPR289" s="22"/>
      <c r="JPS289" s="22"/>
      <c r="JPT289" s="22"/>
      <c r="JPU289" s="22"/>
      <c r="JPV289" s="22"/>
      <c r="JPW289" s="22"/>
      <c r="JPX289" s="22"/>
      <c r="JPY289" s="22"/>
      <c r="JPZ289" s="22"/>
      <c r="JQA289" s="22"/>
      <c r="JQB289" s="22"/>
      <c r="JQC289" s="22"/>
      <c r="JQD289" s="22"/>
      <c r="JQE289" s="22"/>
      <c r="JQF289" s="22"/>
      <c r="JQG289" s="22"/>
      <c r="JQH289" s="22"/>
      <c r="JQI289" s="22"/>
      <c r="JQJ289" s="22"/>
      <c r="JQK289" s="22"/>
      <c r="JQL289" s="22"/>
      <c r="JQM289" s="22"/>
      <c r="JQN289" s="22"/>
      <c r="JQO289" s="22"/>
      <c r="JQP289" s="22"/>
      <c r="JQQ289" s="22"/>
      <c r="JQR289" s="22"/>
      <c r="JQS289" s="22"/>
      <c r="JQT289" s="22"/>
      <c r="JQU289" s="22"/>
      <c r="JQV289" s="22"/>
      <c r="JQW289" s="22"/>
      <c r="JQX289" s="22"/>
      <c r="JQY289" s="22"/>
      <c r="JQZ289" s="22"/>
      <c r="JRA289" s="22"/>
      <c r="JRB289" s="22"/>
      <c r="JRC289" s="22"/>
      <c r="JRD289" s="22"/>
      <c r="JRE289" s="22"/>
      <c r="JRF289" s="22"/>
      <c r="JRG289" s="22"/>
      <c r="JRH289" s="22"/>
      <c r="JRI289" s="22"/>
      <c r="JRJ289" s="22"/>
      <c r="JRK289" s="22"/>
      <c r="JRL289" s="22"/>
      <c r="JRM289" s="22"/>
      <c r="JRN289" s="22"/>
      <c r="JRO289" s="22"/>
      <c r="JRP289" s="22"/>
      <c r="JRQ289" s="22"/>
      <c r="JRR289" s="22"/>
      <c r="JRS289" s="22"/>
      <c r="JRT289" s="22"/>
      <c r="JRU289" s="22"/>
      <c r="JRV289" s="22"/>
      <c r="JRW289" s="22"/>
      <c r="JRX289" s="22"/>
      <c r="JRY289" s="22"/>
      <c r="JRZ289" s="22"/>
      <c r="JSA289" s="22"/>
      <c r="JSB289" s="22"/>
      <c r="JSC289" s="22"/>
      <c r="JSD289" s="22"/>
      <c r="JSE289" s="22"/>
      <c r="JSF289" s="22"/>
      <c r="JSG289" s="22"/>
      <c r="JSH289" s="22"/>
      <c r="JSI289" s="22"/>
      <c r="JSJ289" s="22"/>
      <c r="JSK289" s="22"/>
      <c r="JSL289" s="22"/>
      <c r="JSM289" s="22"/>
      <c r="JSN289" s="22"/>
      <c r="JSO289" s="22"/>
      <c r="JSP289" s="22"/>
      <c r="JSQ289" s="22"/>
      <c r="JSR289" s="22"/>
      <c r="JSS289" s="22"/>
      <c r="JST289" s="22"/>
      <c r="JSU289" s="22"/>
      <c r="JSV289" s="22"/>
      <c r="JSW289" s="22"/>
      <c r="JSX289" s="22"/>
      <c r="JSY289" s="22"/>
      <c r="JSZ289" s="22"/>
      <c r="JTA289" s="22"/>
      <c r="JTB289" s="22"/>
      <c r="JTC289" s="22"/>
      <c r="JTD289" s="22"/>
      <c r="JTE289" s="22"/>
      <c r="JTF289" s="22"/>
      <c r="JTG289" s="22"/>
      <c r="JTH289" s="22"/>
      <c r="JTI289" s="22"/>
      <c r="JTJ289" s="22"/>
      <c r="JTK289" s="22"/>
      <c r="JTL289" s="22"/>
      <c r="JTM289" s="22"/>
      <c r="JTN289" s="22"/>
      <c r="JTO289" s="22"/>
      <c r="JTP289" s="22"/>
      <c r="JTQ289" s="22"/>
      <c r="JTR289" s="22"/>
      <c r="JTS289" s="22"/>
      <c r="JTT289" s="22"/>
      <c r="JTU289" s="22"/>
      <c r="JTV289" s="22"/>
      <c r="JTW289" s="22"/>
      <c r="JTX289" s="22"/>
      <c r="JTY289" s="22"/>
      <c r="JTZ289" s="22"/>
      <c r="JUA289" s="22"/>
      <c r="JUB289" s="22"/>
      <c r="JUC289" s="22"/>
      <c r="JUD289" s="22"/>
      <c r="JUE289" s="22"/>
      <c r="JUF289" s="22"/>
      <c r="JUG289" s="22"/>
      <c r="JUH289" s="22"/>
      <c r="JUI289" s="22"/>
      <c r="JUJ289" s="22"/>
      <c r="JUK289" s="22"/>
      <c r="JUL289" s="22"/>
      <c r="JUM289" s="22"/>
      <c r="JUN289" s="22"/>
      <c r="JUO289" s="22"/>
      <c r="JUP289" s="22"/>
      <c r="JUQ289" s="22"/>
      <c r="JUR289" s="22"/>
      <c r="JUS289" s="22"/>
      <c r="JUT289" s="22"/>
      <c r="JUU289" s="22"/>
      <c r="JUV289" s="22"/>
      <c r="JUW289" s="22"/>
      <c r="JUX289" s="22"/>
      <c r="JUY289" s="22"/>
      <c r="JUZ289" s="22"/>
      <c r="JVA289" s="22"/>
      <c r="JVB289" s="22"/>
      <c r="JVC289" s="22"/>
      <c r="JVD289" s="22"/>
      <c r="JVE289" s="22"/>
      <c r="JVF289" s="22"/>
      <c r="JVG289" s="22"/>
      <c r="JVH289" s="22"/>
      <c r="JVI289" s="22"/>
      <c r="JVJ289" s="22"/>
      <c r="JVK289" s="22"/>
      <c r="JVL289" s="22"/>
      <c r="JVM289" s="22"/>
      <c r="JVN289" s="22"/>
      <c r="JVO289" s="22"/>
      <c r="JVP289" s="22"/>
      <c r="JVQ289" s="22"/>
      <c r="JVR289" s="22"/>
      <c r="JVS289" s="22"/>
      <c r="JVT289" s="22"/>
      <c r="JVU289" s="22"/>
      <c r="JVV289" s="22"/>
      <c r="JVW289" s="22"/>
      <c r="JVX289" s="22"/>
      <c r="JVY289" s="22"/>
      <c r="JVZ289" s="22"/>
      <c r="JWA289" s="22"/>
      <c r="JWB289" s="22"/>
      <c r="JWC289" s="22"/>
      <c r="JWD289" s="22"/>
      <c r="JWE289" s="22"/>
      <c r="JWF289" s="22"/>
      <c r="JWG289" s="22"/>
      <c r="JWH289" s="22"/>
      <c r="JWI289" s="22"/>
      <c r="JWJ289" s="22"/>
      <c r="JWK289" s="22"/>
      <c r="JWL289" s="22"/>
      <c r="JWM289" s="22"/>
      <c r="JWN289" s="22"/>
      <c r="JWO289" s="22"/>
      <c r="JWP289" s="22"/>
      <c r="JWQ289" s="22"/>
      <c r="JWR289" s="22"/>
      <c r="JWS289" s="22"/>
      <c r="JWT289" s="22"/>
      <c r="JWU289" s="22"/>
      <c r="JWV289" s="22"/>
      <c r="JWW289" s="22"/>
      <c r="JWX289" s="22"/>
      <c r="JWY289" s="22"/>
      <c r="JWZ289" s="22"/>
      <c r="JXA289" s="22"/>
      <c r="JXB289" s="22"/>
      <c r="JXC289" s="22"/>
      <c r="JXD289" s="22"/>
      <c r="JXE289" s="22"/>
      <c r="JXF289" s="22"/>
      <c r="JXG289" s="22"/>
      <c r="JXH289" s="22"/>
      <c r="JXI289" s="22"/>
      <c r="JXJ289" s="22"/>
      <c r="JXK289" s="22"/>
      <c r="JXL289" s="22"/>
      <c r="JXM289" s="22"/>
      <c r="JXN289" s="22"/>
      <c r="JXO289" s="22"/>
      <c r="JXP289" s="22"/>
      <c r="JXQ289" s="22"/>
      <c r="JXR289" s="22"/>
      <c r="JXS289" s="22"/>
      <c r="JXT289" s="22"/>
      <c r="JXU289" s="22"/>
      <c r="JXV289" s="22"/>
      <c r="JXW289" s="22"/>
      <c r="JXX289" s="22"/>
      <c r="JXY289" s="22"/>
      <c r="JXZ289" s="22"/>
      <c r="JYA289" s="22"/>
      <c r="JYB289" s="22"/>
      <c r="JYC289" s="22"/>
      <c r="JYD289" s="22"/>
      <c r="JYE289" s="22"/>
      <c r="JYF289" s="22"/>
      <c r="JYG289" s="22"/>
      <c r="JYH289" s="22"/>
      <c r="JYI289" s="22"/>
      <c r="JYJ289" s="22"/>
      <c r="JYK289" s="22"/>
      <c r="JYL289" s="22"/>
      <c r="JYM289" s="22"/>
      <c r="JYN289" s="22"/>
      <c r="JYO289" s="22"/>
      <c r="JYP289" s="22"/>
      <c r="JYQ289" s="22"/>
      <c r="JYR289" s="22"/>
      <c r="JYS289" s="22"/>
      <c r="JYT289" s="22"/>
      <c r="JYU289" s="22"/>
      <c r="JYV289" s="22"/>
      <c r="JYW289" s="22"/>
      <c r="JYX289" s="22"/>
      <c r="JYY289" s="22"/>
      <c r="JYZ289" s="22"/>
      <c r="JZA289" s="22"/>
      <c r="JZB289" s="22"/>
      <c r="JZC289" s="22"/>
      <c r="JZD289" s="22"/>
      <c r="JZE289" s="22"/>
      <c r="JZF289" s="22"/>
      <c r="JZG289" s="22"/>
      <c r="JZH289" s="22"/>
      <c r="JZI289" s="22"/>
      <c r="JZJ289" s="22"/>
      <c r="JZK289" s="22"/>
      <c r="JZL289" s="22"/>
      <c r="JZM289" s="22"/>
      <c r="JZN289" s="22"/>
      <c r="JZO289" s="22"/>
      <c r="JZP289" s="22"/>
      <c r="JZQ289" s="22"/>
      <c r="JZR289" s="22"/>
      <c r="JZS289" s="22"/>
      <c r="JZT289" s="22"/>
      <c r="JZU289" s="22"/>
      <c r="JZV289" s="22"/>
      <c r="JZW289" s="22"/>
      <c r="JZX289" s="22"/>
      <c r="JZY289" s="22"/>
      <c r="JZZ289" s="22"/>
      <c r="KAA289" s="22"/>
      <c r="KAB289" s="22"/>
      <c r="KAC289" s="22"/>
      <c r="KAD289" s="22"/>
      <c r="KAE289" s="22"/>
      <c r="KAF289" s="22"/>
      <c r="KAG289" s="22"/>
      <c r="KAH289" s="22"/>
      <c r="KAI289" s="22"/>
      <c r="KAJ289" s="22"/>
      <c r="KAK289" s="22"/>
      <c r="KAL289" s="22"/>
      <c r="KAM289" s="22"/>
      <c r="KAN289" s="22"/>
      <c r="KAO289" s="22"/>
      <c r="KAP289" s="22"/>
      <c r="KAQ289" s="22"/>
      <c r="KAR289" s="22"/>
      <c r="KAS289" s="22"/>
      <c r="KAT289" s="22"/>
      <c r="KAU289" s="22"/>
      <c r="KAV289" s="22"/>
      <c r="KAW289" s="22"/>
      <c r="KAX289" s="22"/>
      <c r="KAY289" s="22"/>
      <c r="KAZ289" s="22"/>
      <c r="KBA289" s="22"/>
      <c r="KBB289" s="22"/>
      <c r="KBC289" s="22"/>
      <c r="KBD289" s="22"/>
      <c r="KBE289" s="22"/>
      <c r="KBF289" s="22"/>
      <c r="KBG289" s="22"/>
      <c r="KBH289" s="22"/>
      <c r="KBI289" s="22"/>
      <c r="KBJ289" s="22"/>
      <c r="KBK289" s="22"/>
      <c r="KBL289" s="22"/>
      <c r="KBM289" s="22"/>
      <c r="KBN289" s="22"/>
      <c r="KBO289" s="22"/>
      <c r="KBP289" s="22"/>
      <c r="KBQ289" s="22"/>
      <c r="KBR289" s="22"/>
      <c r="KBS289" s="22"/>
      <c r="KBT289" s="22"/>
      <c r="KBU289" s="22"/>
      <c r="KBV289" s="22"/>
      <c r="KBW289" s="22"/>
      <c r="KBX289" s="22"/>
      <c r="KBY289" s="22"/>
      <c r="KBZ289" s="22"/>
      <c r="KCA289" s="22"/>
      <c r="KCB289" s="22"/>
      <c r="KCC289" s="22"/>
      <c r="KCD289" s="22"/>
      <c r="KCE289" s="22"/>
      <c r="KCF289" s="22"/>
      <c r="KCG289" s="22"/>
      <c r="KCH289" s="22"/>
      <c r="KCI289" s="22"/>
      <c r="KCJ289" s="22"/>
      <c r="KCK289" s="22"/>
      <c r="KCL289" s="22"/>
      <c r="KCM289" s="22"/>
      <c r="KCN289" s="22"/>
      <c r="KCO289" s="22"/>
      <c r="KCP289" s="22"/>
      <c r="KCQ289" s="22"/>
      <c r="KCR289" s="22"/>
      <c r="KCS289" s="22"/>
      <c r="KCT289" s="22"/>
      <c r="KCU289" s="22"/>
      <c r="KCV289" s="22"/>
      <c r="KCW289" s="22"/>
      <c r="KCX289" s="22"/>
      <c r="KCY289" s="22"/>
      <c r="KCZ289" s="22"/>
      <c r="KDA289" s="22"/>
      <c r="KDB289" s="22"/>
      <c r="KDC289" s="22"/>
      <c r="KDD289" s="22"/>
      <c r="KDE289" s="22"/>
      <c r="KDF289" s="22"/>
      <c r="KDG289" s="22"/>
      <c r="KDH289" s="22"/>
      <c r="KDI289" s="22"/>
      <c r="KDJ289" s="22"/>
      <c r="KDK289" s="22"/>
      <c r="KDL289" s="22"/>
      <c r="KDM289" s="22"/>
      <c r="KDN289" s="22"/>
      <c r="KDO289" s="22"/>
      <c r="KDP289" s="22"/>
      <c r="KDQ289" s="22"/>
      <c r="KDR289" s="22"/>
      <c r="KDS289" s="22"/>
      <c r="KDT289" s="22"/>
      <c r="KDU289" s="22"/>
      <c r="KDV289" s="22"/>
      <c r="KDW289" s="22"/>
      <c r="KDX289" s="22"/>
      <c r="KDY289" s="22"/>
      <c r="KDZ289" s="22"/>
      <c r="KEA289" s="22"/>
      <c r="KEB289" s="22"/>
      <c r="KEC289" s="22"/>
      <c r="KED289" s="22"/>
      <c r="KEE289" s="22"/>
      <c r="KEF289" s="22"/>
      <c r="KEG289" s="22"/>
      <c r="KEH289" s="22"/>
      <c r="KEI289" s="22"/>
      <c r="KEJ289" s="22"/>
      <c r="KEK289" s="22"/>
      <c r="KEL289" s="22"/>
      <c r="KEM289" s="22"/>
      <c r="KEN289" s="22"/>
      <c r="KEO289" s="22"/>
      <c r="KEP289" s="22"/>
      <c r="KEQ289" s="22"/>
      <c r="KER289" s="22"/>
      <c r="KES289" s="22"/>
      <c r="KET289" s="22"/>
      <c r="KEU289" s="22"/>
      <c r="KEV289" s="22"/>
      <c r="KEW289" s="22"/>
      <c r="KEX289" s="22"/>
      <c r="KEY289" s="22"/>
      <c r="KEZ289" s="22"/>
      <c r="KFA289" s="22"/>
      <c r="KFB289" s="22"/>
      <c r="KFC289" s="22"/>
      <c r="KFD289" s="22"/>
      <c r="KFE289" s="22"/>
      <c r="KFF289" s="22"/>
      <c r="KFG289" s="22"/>
      <c r="KFH289" s="22"/>
      <c r="KFI289" s="22"/>
      <c r="KFJ289" s="22"/>
      <c r="KFK289" s="22"/>
      <c r="KFL289" s="22"/>
      <c r="KFM289" s="22"/>
      <c r="KFN289" s="22"/>
      <c r="KFO289" s="22"/>
      <c r="KFP289" s="22"/>
      <c r="KFQ289" s="22"/>
      <c r="KFR289" s="22"/>
      <c r="KFS289" s="22"/>
      <c r="KFT289" s="22"/>
      <c r="KFU289" s="22"/>
      <c r="KFV289" s="22"/>
      <c r="KFW289" s="22"/>
      <c r="KFX289" s="22"/>
      <c r="KFY289" s="22"/>
      <c r="KFZ289" s="22"/>
      <c r="KGA289" s="22"/>
      <c r="KGB289" s="22"/>
      <c r="KGC289" s="22"/>
      <c r="KGD289" s="22"/>
      <c r="KGE289" s="22"/>
      <c r="KGF289" s="22"/>
      <c r="KGG289" s="22"/>
      <c r="KGH289" s="22"/>
      <c r="KGI289" s="22"/>
      <c r="KGJ289" s="22"/>
      <c r="KGK289" s="22"/>
      <c r="KGL289" s="22"/>
      <c r="KGM289" s="22"/>
      <c r="KGN289" s="22"/>
      <c r="KGO289" s="22"/>
      <c r="KGP289" s="22"/>
      <c r="KGQ289" s="22"/>
      <c r="KGR289" s="22"/>
      <c r="KGS289" s="22"/>
      <c r="KGT289" s="22"/>
      <c r="KGU289" s="22"/>
      <c r="KGV289" s="22"/>
      <c r="KGW289" s="22"/>
      <c r="KGX289" s="22"/>
      <c r="KGY289" s="22"/>
      <c r="KGZ289" s="22"/>
      <c r="KHA289" s="22"/>
      <c r="KHB289" s="22"/>
      <c r="KHC289" s="22"/>
      <c r="KHD289" s="22"/>
      <c r="KHE289" s="22"/>
      <c r="KHF289" s="22"/>
      <c r="KHG289" s="22"/>
      <c r="KHH289" s="22"/>
      <c r="KHI289" s="22"/>
      <c r="KHJ289" s="22"/>
      <c r="KHK289" s="22"/>
      <c r="KHL289" s="22"/>
      <c r="KHM289" s="22"/>
      <c r="KHN289" s="22"/>
      <c r="KHO289" s="22"/>
      <c r="KHP289" s="22"/>
      <c r="KHQ289" s="22"/>
      <c r="KHR289" s="22"/>
      <c r="KHS289" s="22"/>
      <c r="KHT289" s="22"/>
      <c r="KHU289" s="22"/>
      <c r="KHV289" s="22"/>
      <c r="KHW289" s="22"/>
      <c r="KHX289" s="22"/>
      <c r="KHY289" s="22"/>
      <c r="KHZ289" s="22"/>
      <c r="KIA289" s="22"/>
      <c r="KIB289" s="22"/>
      <c r="KIC289" s="22"/>
      <c r="KID289" s="22"/>
      <c r="KIE289" s="22"/>
      <c r="KIF289" s="22"/>
      <c r="KIG289" s="22"/>
      <c r="KIH289" s="22"/>
      <c r="KII289" s="22"/>
      <c r="KIJ289" s="22"/>
      <c r="KIK289" s="22"/>
      <c r="KIL289" s="22"/>
      <c r="KIM289" s="22"/>
      <c r="KIN289" s="22"/>
      <c r="KIO289" s="22"/>
      <c r="KIP289" s="22"/>
      <c r="KIQ289" s="22"/>
      <c r="KIR289" s="22"/>
      <c r="KIS289" s="22"/>
      <c r="KIT289" s="22"/>
      <c r="KIU289" s="22"/>
      <c r="KIV289" s="22"/>
      <c r="KIW289" s="22"/>
      <c r="KIX289" s="22"/>
      <c r="KIY289" s="22"/>
      <c r="KIZ289" s="22"/>
      <c r="KJA289" s="22"/>
      <c r="KJB289" s="22"/>
      <c r="KJC289" s="22"/>
      <c r="KJD289" s="22"/>
      <c r="KJE289" s="22"/>
      <c r="KJF289" s="22"/>
      <c r="KJG289" s="22"/>
      <c r="KJH289" s="22"/>
      <c r="KJI289" s="22"/>
      <c r="KJJ289" s="22"/>
      <c r="KJK289" s="22"/>
      <c r="KJL289" s="22"/>
      <c r="KJM289" s="22"/>
      <c r="KJN289" s="22"/>
      <c r="KJO289" s="22"/>
      <c r="KJP289" s="22"/>
      <c r="KJQ289" s="22"/>
      <c r="KJR289" s="22"/>
      <c r="KJS289" s="22"/>
      <c r="KJT289" s="22"/>
      <c r="KJU289" s="22"/>
      <c r="KJV289" s="22"/>
      <c r="KJW289" s="22"/>
      <c r="KJX289" s="22"/>
      <c r="KJY289" s="22"/>
      <c r="KJZ289" s="22"/>
      <c r="KKA289" s="22"/>
      <c r="KKB289" s="22"/>
      <c r="KKC289" s="22"/>
      <c r="KKD289" s="22"/>
      <c r="KKE289" s="22"/>
      <c r="KKF289" s="22"/>
      <c r="KKG289" s="22"/>
      <c r="KKH289" s="22"/>
      <c r="KKI289" s="22"/>
      <c r="KKJ289" s="22"/>
      <c r="KKK289" s="22"/>
      <c r="KKL289" s="22"/>
      <c r="KKM289" s="22"/>
      <c r="KKN289" s="22"/>
      <c r="KKO289" s="22"/>
      <c r="KKP289" s="22"/>
      <c r="KKQ289" s="22"/>
      <c r="KKR289" s="22"/>
      <c r="KKS289" s="22"/>
      <c r="KKT289" s="22"/>
      <c r="KKU289" s="22"/>
      <c r="KKV289" s="22"/>
      <c r="KKW289" s="22"/>
      <c r="KKX289" s="22"/>
      <c r="KKY289" s="22"/>
      <c r="KKZ289" s="22"/>
      <c r="KLA289" s="22"/>
      <c r="KLB289" s="22"/>
      <c r="KLC289" s="22"/>
      <c r="KLD289" s="22"/>
      <c r="KLE289" s="22"/>
      <c r="KLF289" s="22"/>
      <c r="KLG289" s="22"/>
      <c r="KLH289" s="22"/>
      <c r="KLI289" s="22"/>
      <c r="KLJ289" s="22"/>
      <c r="KLK289" s="22"/>
      <c r="KLL289" s="22"/>
      <c r="KLM289" s="22"/>
      <c r="KLN289" s="22"/>
      <c r="KLO289" s="22"/>
      <c r="KLP289" s="22"/>
      <c r="KLQ289" s="22"/>
      <c r="KLR289" s="22"/>
      <c r="KLS289" s="22"/>
      <c r="KLT289" s="22"/>
      <c r="KLU289" s="22"/>
      <c r="KLV289" s="22"/>
      <c r="KLW289" s="22"/>
      <c r="KLX289" s="22"/>
      <c r="KLY289" s="22"/>
      <c r="KLZ289" s="22"/>
      <c r="KMA289" s="22"/>
      <c r="KMB289" s="22"/>
      <c r="KMC289" s="22"/>
      <c r="KMD289" s="22"/>
      <c r="KME289" s="22"/>
      <c r="KMF289" s="22"/>
      <c r="KMG289" s="22"/>
      <c r="KMH289" s="22"/>
      <c r="KMI289" s="22"/>
      <c r="KMJ289" s="22"/>
      <c r="KMK289" s="22"/>
      <c r="KML289" s="22"/>
      <c r="KMM289" s="22"/>
      <c r="KMN289" s="22"/>
      <c r="KMO289" s="22"/>
      <c r="KMP289" s="22"/>
      <c r="KMQ289" s="22"/>
      <c r="KMR289" s="22"/>
      <c r="KMS289" s="22"/>
      <c r="KMT289" s="22"/>
      <c r="KMU289" s="22"/>
      <c r="KMV289" s="22"/>
      <c r="KMW289" s="22"/>
      <c r="KMX289" s="22"/>
      <c r="KMY289" s="22"/>
      <c r="KMZ289" s="22"/>
      <c r="KNA289" s="22"/>
      <c r="KNB289" s="22"/>
      <c r="KNC289" s="22"/>
      <c r="KND289" s="22"/>
      <c r="KNE289" s="22"/>
      <c r="KNF289" s="22"/>
      <c r="KNG289" s="22"/>
      <c r="KNH289" s="22"/>
      <c r="KNI289" s="22"/>
      <c r="KNJ289" s="22"/>
      <c r="KNK289" s="22"/>
      <c r="KNL289" s="22"/>
      <c r="KNM289" s="22"/>
      <c r="KNN289" s="22"/>
      <c r="KNO289" s="22"/>
      <c r="KNP289" s="22"/>
      <c r="KNQ289" s="22"/>
      <c r="KNR289" s="22"/>
      <c r="KNS289" s="22"/>
      <c r="KNT289" s="22"/>
      <c r="KNU289" s="22"/>
      <c r="KNV289" s="22"/>
      <c r="KNW289" s="22"/>
      <c r="KNX289" s="22"/>
      <c r="KNY289" s="22"/>
      <c r="KNZ289" s="22"/>
      <c r="KOA289" s="22"/>
      <c r="KOB289" s="22"/>
      <c r="KOC289" s="22"/>
      <c r="KOD289" s="22"/>
      <c r="KOE289" s="22"/>
      <c r="KOF289" s="22"/>
      <c r="KOG289" s="22"/>
      <c r="KOH289" s="22"/>
      <c r="KOI289" s="22"/>
      <c r="KOJ289" s="22"/>
      <c r="KOK289" s="22"/>
      <c r="KOL289" s="22"/>
      <c r="KOM289" s="22"/>
      <c r="KON289" s="22"/>
      <c r="KOO289" s="22"/>
      <c r="KOP289" s="22"/>
      <c r="KOQ289" s="22"/>
      <c r="KOR289" s="22"/>
      <c r="KOS289" s="22"/>
      <c r="KOT289" s="22"/>
      <c r="KOU289" s="22"/>
      <c r="KOV289" s="22"/>
      <c r="KOW289" s="22"/>
      <c r="KOX289" s="22"/>
      <c r="KOY289" s="22"/>
      <c r="KOZ289" s="22"/>
      <c r="KPA289" s="22"/>
      <c r="KPB289" s="22"/>
      <c r="KPC289" s="22"/>
      <c r="KPD289" s="22"/>
      <c r="KPE289" s="22"/>
      <c r="KPF289" s="22"/>
      <c r="KPG289" s="22"/>
      <c r="KPH289" s="22"/>
      <c r="KPI289" s="22"/>
      <c r="KPJ289" s="22"/>
      <c r="KPK289" s="22"/>
      <c r="KPL289" s="22"/>
      <c r="KPM289" s="22"/>
      <c r="KPN289" s="22"/>
      <c r="KPO289" s="22"/>
      <c r="KPP289" s="22"/>
      <c r="KPQ289" s="22"/>
      <c r="KPR289" s="22"/>
      <c r="KPS289" s="22"/>
      <c r="KPT289" s="22"/>
      <c r="KPU289" s="22"/>
      <c r="KPV289" s="22"/>
      <c r="KPW289" s="22"/>
      <c r="KPX289" s="22"/>
      <c r="KPY289" s="22"/>
      <c r="KPZ289" s="22"/>
      <c r="KQA289" s="22"/>
      <c r="KQB289" s="22"/>
      <c r="KQC289" s="22"/>
      <c r="KQD289" s="22"/>
      <c r="KQE289" s="22"/>
      <c r="KQF289" s="22"/>
      <c r="KQG289" s="22"/>
      <c r="KQH289" s="22"/>
      <c r="KQI289" s="22"/>
      <c r="KQJ289" s="22"/>
      <c r="KQK289" s="22"/>
      <c r="KQL289" s="22"/>
      <c r="KQM289" s="22"/>
      <c r="KQN289" s="22"/>
      <c r="KQO289" s="22"/>
      <c r="KQP289" s="22"/>
      <c r="KQQ289" s="22"/>
      <c r="KQR289" s="22"/>
      <c r="KQS289" s="22"/>
      <c r="KQT289" s="22"/>
      <c r="KQU289" s="22"/>
      <c r="KQV289" s="22"/>
      <c r="KQW289" s="22"/>
      <c r="KQX289" s="22"/>
      <c r="KQY289" s="22"/>
      <c r="KQZ289" s="22"/>
      <c r="KRA289" s="22"/>
      <c r="KRB289" s="22"/>
      <c r="KRC289" s="22"/>
      <c r="KRD289" s="22"/>
      <c r="KRE289" s="22"/>
      <c r="KRF289" s="22"/>
      <c r="KRG289" s="22"/>
      <c r="KRH289" s="22"/>
      <c r="KRI289" s="22"/>
      <c r="KRJ289" s="22"/>
      <c r="KRK289" s="22"/>
      <c r="KRL289" s="22"/>
      <c r="KRM289" s="22"/>
      <c r="KRN289" s="22"/>
      <c r="KRO289" s="22"/>
      <c r="KRP289" s="22"/>
      <c r="KRQ289" s="22"/>
      <c r="KRR289" s="22"/>
      <c r="KRS289" s="22"/>
      <c r="KRT289" s="22"/>
      <c r="KRU289" s="22"/>
      <c r="KRV289" s="22"/>
      <c r="KRW289" s="22"/>
      <c r="KRX289" s="22"/>
      <c r="KRY289" s="22"/>
      <c r="KRZ289" s="22"/>
      <c r="KSA289" s="22"/>
      <c r="KSB289" s="22"/>
      <c r="KSC289" s="22"/>
      <c r="KSD289" s="22"/>
      <c r="KSE289" s="22"/>
      <c r="KSF289" s="22"/>
      <c r="KSG289" s="22"/>
      <c r="KSH289" s="22"/>
      <c r="KSI289" s="22"/>
      <c r="KSJ289" s="22"/>
      <c r="KSK289" s="22"/>
      <c r="KSL289" s="22"/>
      <c r="KSM289" s="22"/>
      <c r="KSN289" s="22"/>
      <c r="KSO289" s="22"/>
      <c r="KSP289" s="22"/>
      <c r="KSQ289" s="22"/>
      <c r="KSR289" s="22"/>
      <c r="KSS289" s="22"/>
      <c r="KST289" s="22"/>
      <c r="KSU289" s="22"/>
      <c r="KSV289" s="22"/>
      <c r="KSW289" s="22"/>
      <c r="KSX289" s="22"/>
      <c r="KSY289" s="22"/>
      <c r="KSZ289" s="22"/>
      <c r="KTA289" s="22"/>
      <c r="KTB289" s="22"/>
      <c r="KTC289" s="22"/>
      <c r="KTD289" s="22"/>
      <c r="KTE289" s="22"/>
      <c r="KTF289" s="22"/>
      <c r="KTG289" s="22"/>
      <c r="KTH289" s="22"/>
      <c r="KTI289" s="22"/>
      <c r="KTJ289" s="22"/>
      <c r="KTK289" s="22"/>
      <c r="KTL289" s="22"/>
      <c r="KTM289" s="22"/>
      <c r="KTN289" s="22"/>
      <c r="KTO289" s="22"/>
      <c r="KTP289" s="22"/>
      <c r="KTQ289" s="22"/>
      <c r="KTR289" s="22"/>
      <c r="KTS289" s="22"/>
      <c r="KTT289" s="22"/>
      <c r="KTU289" s="22"/>
      <c r="KTV289" s="22"/>
      <c r="KTW289" s="22"/>
      <c r="KTX289" s="22"/>
      <c r="KTY289" s="22"/>
      <c r="KTZ289" s="22"/>
      <c r="KUA289" s="22"/>
      <c r="KUB289" s="22"/>
      <c r="KUC289" s="22"/>
      <c r="KUD289" s="22"/>
      <c r="KUE289" s="22"/>
      <c r="KUF289" s="22"/>
      <c r="KUG289" s="22"/>
      <c r="KUH289" s="22"/>
      <c r="KUI289" s="22"/>
      <c r="KUJ289" s="22"/>
      <c r="KUK289" s="22"/>
      <c r="KUL289" s="22"/>
      <c r="KUM289" s="22"/>
      <c r="KUN289" s="22"/>
      <c r="KUO289" s="22"/>
      <c r="KUP289" s="22"/>
      <c r="KUQ289" s="22"/>
      <c r="KUR289" s="22"/>
      <c r="KUS289" s="22"/>
      <c r="KUT289" s="22"/>
      <c r="KUU289" s="22"/>
      <c r="KUV289" s="22"/>
      <c r="KUW289" s="22"/>
      <c r="KUX289" s="22"/>
      <c r="KUY289" s="22"/>
      <c r="KUZ289" s="22"/>
      <c r="KVA289" s="22"/>
      <c r="KVB289" s="22"/>
      <c r="KVC289" s="22"/>
      <c r="KVD289" s="22"/>
      <c r="KVE289" s="22"/>
      <c r="KVF289" s="22"/>
      <c r="KVG289" s="22"/>
      <c r="KVH289" s="22"/>
      <c r="KVI289" s="22"/>
      <c r="KVJ289" s="22"/>
      <c r="KVK289" s="22"/>
      <c r="KVL289" s="22"/>
      <c r="KVM289" s="22"/>
      <c r="KVN289" s="22"/>
      <c r="KVO289" s="22"/>
      <c r="KVP289" s="22"/>
      <c r="KVQ289" s="22"/>
      <c r="KVR289" s="22"/>
      <c r="KVS289" s="22"/>
      <c r="KVT289" s="22"/>
      <c r="KVU289" s="22"/>
      <c r="KVV289" s="22"/>
      <c r="KVW289" s="22"/>
      <c r="KVX289" s="22"/>
      <c r="KVY289" s="22"/>
      <c r="KVZ289" s="22"/>
      <c r="KWA289" s="22"/>
      <c r="KWB289" s="22"/>
      <c r="KWC289" s="22"/>
      <c r="KWD289" s="22"/>
      <c r="KWE289" s="22"/>
      <c r="KWF289" s="22"/>
      <c r="KWG289" s="22"/>
      <c r="KWH289" s="22"/>
      <c r="KWI289" s="22"/>
      <c r="KWJ289" s="22"/>
      <c r="KWK289" s="22"/>
      <c r="KWL289" s="22"/>
      <c r="KWM289" s="22"/>
      <c r="KWN289" s="22"/>
      <c r="KWO289" s="22"/>
      <c r="KWP289" s="22"/>
      <c r="KWQ289" s="22"/>
      <c r="KWR289" s="22"/>
      <c r="KWS289" s="22"/>
      <c r="KWT289" s="22"/>
      <c r="KWU289" s="22"/>
      <c r="KWV289" s="22"/>
      <c r="KWW289" s="22"/>
      <c r="KWX289" s="22"/>
      <c r="KWY289" s="22"/>
      <c r="KWZ289" s="22"/>
      <c r="KXA289" s="22"/>
      <c r="KXB289" s="22"/>
      <c r="KXC289" s="22"/>
      <c r="KXD289" s="22"/>
      <c r="KXE289" s="22"/>
      <c r="KXF289" s="22"/>
      <c r="KXG289" s="22"/>
      <c r="KXH289" s="22"/>
      <c r="KXI289" s="22"/>
      <c r="KXJ289" s="22"/>
      <c r="KXK289" s="22"/>
      <c r="KXL289" s="22"/>
      <c r="KXM289" s="22"/>
      <c r="KXN289" s="22"/>
      <c r="KXO289" s="22"/>
      <c r="KXP289" s="22"/>
      <c r="KXQ289" s="22"/>
      <c r="KXR289" s="22"/>
      <c r="KXS289" s="22"/>
      <c r="KXT289" s="22"/>
      <c r="KXU289" s="22"/>
      <c r="KXV289" s="22"/>
      <c r="KXW289" s="22"/>
      <c r="KXX289" s="22"/>
      <c r="KXY289" s="22"/>
      <c r="KXZ289" s="22"/>
      <c r="KYA289" s="22"/>
      <c r="KYB289" s="22"/>
      <c r="KYC289" s="22"/>
      <c r="KYD289" s="22"/>
      <c r="KYE289" s="22"/>
      <c r="KYF289" s="22"/>
      <c r="KYG289" s="22"/>
      <c r="KYH289" s="22"/>
      <c r="KYI289" s="22"/>
      <c r="KYJ289" s="22"/>
      <c r="KYK289" s="22"/>
      <c r="KYL289" s="22"/>
      <c r="KYM289" s="22"/>
      <c r="KYN289" s="22"/>
      <c r="KYO289" s="22"/>
      <c r="KYP289" s="22"/>
      <c r="KYQ289" s="22"/>
      <c r="KYR289" s="22"/>
      <c r="KYS289" s="22"/>
      <c r="KYT289" s="22"/>
      <c r="KYU289" s="22"/>
      <c r="KYV289" s="22"/>
      <c r="KYW289" s="22"/>
      <c r="KYX289" s="22"/>
      <c r="KYY289" s="22"/>
      <c r="KYZ289" s="22"/>
      <c r="KZA289" s="22"/>
      <c r="KZB289" s="22"/>
      <c r="KZC289" s="22"/>
      <c r="KZD289" s="22"/>
      <c r="KZE289" s="22"/>
      <c r="KZF289" s="22"/>
      <c r="KZG289" s="22"/>
      <c r="KZH289" s="22"/>
      <c r="KZI289" s="22"/>
      <c r="KZJ289" s="22"/>
      <c r="KZK289" s="22"/>
      <c r="KZL289" s="22"/>
      <c r="KZM289" s="22"/>
      <c r="KZN289" s="22"/>
      <c r="KZO289" s="22"/>
      <c r="KZP289" s="22"/>
      <c r="KZQ289" s="22"/>
      <c r="KZR289" s="22"/>
      <c r="KZS289" s="22"/>
      <c r="KZT289" s="22"/>
      <c r="KZU289" s="22"/>
      <c r="KZV289" s="22"/>
      <c r="KZW289" s="22"/>
      <c r="KZX289" s="22"/>
      <c r="KZY289" s="22"/>
      <c r="KZZ289" s="22"/>
      <c r="LAA289" s="22"/>
      <c r="LAB289" s="22"/>
      <c r="LAC289" s="22"/>
      <c r="LAD289" s="22"/>
      <c r="LAE289" s="22"/>
      <c r="LAF289" s="22"/>
      <c r="LAG289" s="22"/>
      <c r="LAH289" s="22"/>
      <c r="LAI289" s="22"/>
      <c r="LAJ289" s="22"/>
      <c r="LAK289" s="22"/>
      <c r="LAL289" s="22"/>
      <c r="LAM289" s="22"/>
      <c r="LAN289" s="22"/>
      <c r="LAO289" s="22"/>
      <c r="LAP289" s="22"/>
      <c r="LAQ289" s="22"/>
      <c r="LAR289" s="22"/>
      <c r="LAS289" s="22"/>
      <c r="LAT289" s="22"/>
      <c r="LAU289" s="22"/>
      <c r="LAV289" s="22"/>
      <c r="LAW289" s="22"/>
      <c r="LAX289" s="22"/>
      <c r="LAY289" s="22"/>
      <c r="LAZ289" s="22"/>
      <c r="LBA289" s="22"/>
      <c r="LBB289" s="22"/>
      <c r="LBC289" s="22"/>
      <c r="LBD289" s="22"/>
      <c r="LBE289" s="22"/>
      <c r="LBF289" s="22"/>
      <c r="LBG289" s="22"/>
      <c r="LBH289" s="22"/>
      <c r="LBI289" s="22"/>
      <c r="LBJ289" s="22"/>
      <c r="LBK289" s="22"/>
      <c r="LBL289" s="22"/>
      <c r="LBM289" s="22"/>
      <c r="LBN289" s="22"/>
      <c r="LBO289" s="22"/>
      <c r="LBP289" s="22"/>
      <c r="LBQ289" s="22"/>
      <c r="LBR289" s="22"/>
      <c r="LBS289" s="22"/>
      <c r="LBT289" s="22"/>
      <c r="LBU289" s="22"/>
      <c r="LBV289" s="22"/>
      <c r="LBW289" s="22"/>
      <c r="LBX289" s="22"/>
      <c r="LBY289" s="22"/>
      <c r="LBZ289" s="22"/>
      <c r="LCA289" s="22"/>
      <c r="LCB289" s="22"/>
      <c r="LCC289" s="22"/>
      <c r="LCD289" s="22"/>
      <c r="LCE289" s="22"/>
      <c r="LCF289" s="22"/>
      <c r="LCG289" s="22"/>
      <c r="LCH289" s="22"/>
      <c r="LCI289" s="22"/>
      <c r="LCJ289" s="22"/>
      <c r="LCK289" s="22"/>
      <c r="LCL289" s="22"/>
      <c r="LCM289" s="22"/>
      <c r="LCN289" s="22"/>
      <c r="LCO289" s="22"/>
      <c r="LCP289" s="22"/>
      <c r="LCQ289" s="22"/>
      <c r="LCR289" s="22"/>
      <c r="LCS289" s="22"/>
      <c r="LCT289" s="22"/>
      <c r="LCU289" s="22"/>
      <c r="LCV289" s="22"/>
      <c r="LCW289" s="22"/>
      <c r="LCX289" s="22"/>
      <c r="LCY289" s="22"/>
      <c r="LCZ289" s="22"/>
      <c r="LDA289" s="22"/>
      <c r="LDB289" s="22"/>
      <c r="LDC289" s="22"/>
      <c r="LDD289" s="22"/>
      <c r="LDE289" s="22"/>
      <c r="LDF289" s="22"/>
      <c r="LDG289" s="22"/>
      <c r="LDH289" s="22"/>
      <c r="LDI289" s="22"/>
      <c r="LDJ289" s="22"/>
      <c r="LDK289" s="22"/>
      <c r="LDL289" s="22"/>
      <c r="LDM289" s="22"/>
      <c r="LDN289" s="22"/>
      <c r="LDO289" s="22"/>
      <c r="LDP289" s="22"/>
      <c r="LDQ289" s="22"/>
      <c r="LDR289" s="22"/>
      <c r="LDS289" s="22"/>
      <c r="LDT289" s="22"/>
      <c r="LDU289" s="22"/>
      <c r="LDV289" s="22"/>
      <c r="LDW289" s="22"/>
      <c r="LDX289" s="22"/>
      <c r="LDY289" s="22"/>
      <c r="LDZ289" s="22"/>
      <c r="LEA289" s="22"/>
      <c r="LEB289" s="22"/>
      <c r="LEC289" s="22"/>
      <c r="LED289" s="22"/>
      <c r="LEE289" s="22"/>
      <c r="LEF289" s="22"/>
      <c r="LEG289" s="22"/>
      <c r="LEH289" s="22"/>
      <c r="LEI289" s="22"/>
      <c r="LEJ289" s="22"/>
      <c r="LEK289" s="22"/>
      <c r="LEL289" s="22"/>
      <c r="LEM289" s="22"/>
      <c r="LEN289" s="22"/>
      <c r="LEO289" s="22"/>
      <c r="LEP289" s="22"/>
      <c r="LEQ289" s="22"/>
      <c r="LER289" s="22"/>
      <c r="LES289" s="22"/>
      <c r="LET289" s="22"/>
      <c r="LEU289" s="22"/>
      <c r="LEV289" s="22"/>
      <c r="LEW289" s="22"/>
      <c r="LEX289" s="22"/>
      <c r="LEY289" s="22"/>
      <c r="LEZ289" s="22"/>
      <c r="LFA289" s="22"/>
      <c r="LFB289" s="22"/>
      <c r="LFC289" s="22"/>
      <c r="LFD289" s="22"/>
      <c r="LFE289" s="22"/>
      <c r="LFF289" s="22"/>
      <c r="LFG289" s="22"/>
      <c r="LFH289" s="22"/>
      <c r="LFI289" s="22"/>
      <c r="LFJ289" s="22"/>
      <c r="LFK289" s="22"/>
      <c r="LFL289" s="22"/>
      <c r="LFM289" s="22"/>
      <c r="LFN289" s="22"/>
      <c r="LFO289" s="22"/>
      <c r="LFP289" s="22"/>
      <c r="LFQ289" s="22"/>
      <c r="LFR289" s="22"/>
      <c r="LFS289" s="22"/>
      <c r="LFT289" s="22"/>
      <c r="LFU289" s="22"/>
      <c r="LFV289" s="22"/>
      <c r="LFW289" s="22"/>
      <c r="LFX289" s="22"/>
      <c r="LFY289" s="22"/>
      <c r="LFZ289" s="22"/>
      <c r="LGA289" s="22"/>
      <c r="LGB289" s="22"/>
      <c r="LGC289" s="22"/>
      <c r="LGD289" s="22"/>
      <c r="LGE289" s="22"/>
      <c r="LGF289" s="22"/>
      <c r="LGG289" s="22"/>
      <c r="LGH289" s="22"/>
      <c r="LGI289" s="22"/>
      <c r="LGJ289" s="22"/>
      <c r="LGK289" s="22"/>
      <c r="LGL289" s="22"/>
      <c r="LGM289" s="22"/>
      <c r="LGN289" s="22"/>
      <c r="LGO289" s="22"/>
      <c r="LGP289" s="22"/>
      <c r="LGQ289" s="22"/>
      <c r="LGR289" s="22"/>
      <c r="LGS289" s="22"/>
      <c r="LGT289" s="22"/>
      <c r="LGU289" s="22"/>
      <c r="LGV289" s="22"/>
      <c r="LGW289" s="22"/>
      <c r="LGX289" s="22"/>
      <c r="LGY289" s="22"/>
      <c r="LGZ289" s="22"/>
      <c r="LHA289" s="22"/>
      <c r="LHB289" s="22"/>
      <c r="LHC289" s="22"/>
      <c r="LHD289" s="22"/>
      <c r="LHE289" s="22"/>
      <c r="LHF289" s="22"/>
      <c r="LHG289" s="22"/>
      <c r="LHH289" s="22"/>
      <c r="LHI289" s="22"/>
      <c r="LHJ289" s="22"/>
      <c r="LHK289" s="22"/>
      <c r="LHL289" s="22"/>
      <c r="LHM289" s="22"/>
      <c r="LHN289" s="22"/>
      <c r="LHO289" s="22"/>
      <c r="LHP289" s="22"/>
      <c r="LHQ289" s="22"/>
      <c r="LHR289" s="22"/>
      <c r="LHS289" s="22"/>
      <c r="LHT289" s="22"/>
      <c r="LHU289" s="22"/>
      <c r="LHV289" s="22"/>
      <c r="LHW289" s="22"/>
      <c r="LHX289" s="22"/>
      <c r="LHY289" s="22"/>
      <c r="LHZ289" s="22"/>
      <c r="LIA289" s="22"/>
      <c r="LIB289" s="22"/>
      <c r="LIC289" s="22"/>
      <c r="LID289" s="22"/>
      <c r="LIE289" s="22"/>
      <c r="LIF289" s="22"/>
      <c r="LIG289" s="22"/>
      <c r="LIH289" s="22"/>
      <c r="LII289" s="22"/>
      <c r="LIJ289" s="22"/>
      <c r="LIK289" s="22"/>
      <c r="LIL289" s="22"/>
      <c r="LIM289" s="22"/>
      <c r="LIN289" s="22"/>
      <c r="LIO289" s="22"/>
      <c r="LIP289" s="22"/>
      <c r="LIQ289" s="22"/>
      <c r="LIR289" s="22"/>
      <c r="LIS289" s="22"/>
      <c r="LIT289" s="22"/>
      <c r="LIU289" s="22"/>
      <c r="LIV289" s="22"/>
      <c r="LIW289" s="22"/>
      <c r="LIX289" s="22"/>
      <c r="LIY289" s="22"/>
      <c r="LIZ289" s="22"/>
      <c r="LJA289" s="22"/>
      <c r="LJB289" s="22"/>
      <c r="LJC289" s="22"/>
      <c r="LJD289" s="22"/>
      <c r="LJE289" s="22"/>
      <c r="LJF289" s="22"/>
      <c r="LJG289" s="22"/>
      <c r="LJH289" s="22"/>
      <c r="LJI289" s="22"/>
      <c r="LJJ289" s="22"/>
      <c r="LJK289" s="22"/>
      <c r="LJL289" s="22"/>
      <c r="LJM289" s="22"/>
      <c r="LJN289" s="22"/>
      <c r="LJO289" s="22"/>
      <c r="LJP289" s="22"/>
      <c r="LJQ289" s="22"/>
      <c r="LJR289" s="22"/>
      <c r="LJS289" s="22"/>
      <c r="LJT289" s="22"/>
      <c r="LJU289" s="22"/>
      <c r="LJV289" s="22"/>
      <c r="LJW289" s="22"/>
      <c r="LJX289" s="22"/>
      <c r="LJY289" s="22"/>
      <c r="LJZ289" s="22"/>
      <c r="LKA289" s="22"/>
      <c r="LKB289" s="22"/>
      <c r="LKC289" s="22"/>
      <c r="LKD289" s="22"/>
      <c r="LKE289" s="22"/>
      <c r="LKF289" s="22"/>
      <c r="LKG289" s="22"/>
      <c r="LKH289" s="22"/>
      <c r="LKI289" s="22"/>
      <c r="LKJ289" s="22"/>
      <c r="LKK289" s="22"/>
      <c r="LKL289" s="22"/>
      <c r="LKM289" s="22"/>
      <c r="LKN289" s="22"/>
      <c r="LKO289" s="22"/>
      <c r="LKP289" s="22"/>
      <c r="LKQ289" s="22"/>
      <c r="LKR289" s="22"/>
      <c r="LKS289" s="22"/>
      <c r="LKT289" s="22"/>
      <c r="LKU289" s="22"/>
      <c r="LKV289" s="22"/>
      <c r="LKW289" s="22"/>
      <c r="LKX289" s="22"/>
      <c r="LKY289" s="22"/>
      <c r="LKZ289" s="22"/>
      <c r="LLA289" s="22"/>
      <c r="LLB289" s="22"/>
      <c r="LLC289" s="22"/>
      <c r="LLD289" s="22"/>
      <c r="LLE289" s="22"/>
      <c r="LLF289" s="22"/>
      <c r="LLG289" s="22"/>
      <c r="LLH289" s="22"/>
      <c r="LLI289" s="22"/>
      <c r="LLJ289" s="22"/>
      <c r="LLK289" s="22"/>
      <c r="LLL289" s="22"/>
      <c r="LLM289" s="22"/>
      <c r="LLN289" s="22"/>
      <c r="LLO289" s="22"/>
      <c r="LLP289" s="22"/>
      <c r="LLQ289" s="22"/>
      <c r="LLR289" s="22"/>
      <c r="LLS289" s="22"/>
      <c r="LLT289" s="22"/>
      <c r="LLU289" s="22"/>
      <c r="LLV289" s="22"/>
      <c r="LLW289" s="22"/>
      <c r="LLX289" s="22"/>
      <c r="LLY289" s="22"/>
      <c r="LLZ289" s="22"/>
      <c r="LMA289" s="22"/>
      <c r="LMB289" s="22"/>
      <c r="LMC289" s="22"/>
      <c r="LMD289" s="22"/>
      <c r="LME289" s="22"/>
      <c r="LMF289" s="22"/>
      <c r="LMG289" s="22"/>
      <c r="LMH289" s="22"/>
      <c r="LMI289" s="22"/>
      <c r="LMJ289" s="22"/>
      <c r="LMK289" s="22"/>
      <c r="LML289" s="22"/>
      <c r="LMM289" s="22"/>
      <c r="LMN289" s="22"/>
      <c r="LMO289" s="22"/>
      <c r="LMP289" s="22"/>
      <c r="LMQ289" s="22"/>
      <c r="LMR289" s="22"/>
      <c r="LMS289" s="22"/>
      <c r="LMT289" s="22"/>
      <c r="LMU289" s="22"/>
      <c r="LMV289" s="22"/>
      <c r="LMW289" s="22"/>
      <c r="LMX289" s="22"/>
      <c r="LMY289" s="22"/>
      <c r="LMZ289" s="22"/>
      <c r="LNA289" s="22"/>
      <c r="LNB289" s="22"/>
      <c r="LNC289" s="22"/>
      <c r="LND289" s="22"/>
      <c r="LNE289" s="22"/>
      <c r="LNF289" s="22"/>
      <c r="LNG289" s="22"/>
      <c r="LNH289" s="22"/>
      <c r="LNI289" s="22"/>
      <c r="LNJ289" s="22"/>
      <c r="LNK289" s="22"/>
      <c r="LNL289" s="22"/>
      <c r="LNM289" s="22"/>
      <c r="LNN289" s="22"/>
      <c r="LNO289" s="22"/>
      <c r="LNP289" s="22"/>
      <c r="LNQ289" s="22"/>
      <c r="LNR289" s="22"/>
      <c r="LNS289" s="22"/>
      <c r="LNT289" s="22"/>
      <c r="LNU289" s="22"/>
      <c r="LNV289" s="22"/>
      <c r="LNW289" s="22"/>
      <c r="LNX289" s="22"/>
      <c r="LNY289" s="22"/>
      <c r="LNZ289" s="22"/>
      <c r="LOA289" s="22"/>
      <c r="LOB289" s="22"/>
      <c r="LOC289" s="22"/>
      <c r="LOD289" s="22"/>
      <c r="LOE289" s="22"/>
      <c r="LOF289" s="22"/>
      <c r="LOG289" s="22"/>
      <c r="LOH289" s="22"/>
      <c r="LOI289" s="22"/>
      <c r="LOJ289" s="22"/>
      <c r="LOK289" s="22"/>
      <c r="LOL289" s="22"/>
      <c r="LOM289" s="22"/>
      <c r="LON289" s="22"/>
      <c r="LOO289" s="22"/>
      <c r="LOP289" s="22"/>
      <c r="LOQ289" s="22"/>
      <c r="LOR289" s="22"/>
      <c r="LOS289" s="22"/>
      <c r="LOT289" s="22"/>
      <c r="LOU289" s="22"/>
      <c r="LOV289" s="22"/>
      <c r="LOW289" s="22"/>
      <c r="LOX289" s="22"/>
      <c r="LOY289" s="22"/>
      <c r="LOZ289" s="22"/>
      <c r="LPA289" s="22"/>
      <c r="LPB289" s="22"/>
      <c r="LPC289" s="22"/>
      <c r="LPD289" s="22"/>
      <c r="LPE289" s="22"/>
      <c r="LPF289" s="22"/>
      <c r="LPG289" s="22"/>
      <c r="LPH289" s="22"/>
      <c r="LPI289" s="22"/>
      <c r="LPJ289" s="22"/>
      <c r="LPK289" s="22"/>
      <c r="LPL289" s="22"/>
      <c r="LPM289" s="22"/>
      <c r="LPN289" s="22"/>
      <c r="LPO289" s="22"/>
      <c r="LPP289" s="22"/>
      <c r="LPQ289" s="22"/>
      <c r="LPR289" s="22"/>
      <c r="LPS289" s="22"/>
      <c r="LPT289" s="22"/>
      <c r="LPU289" s="22"/>
      <c r="LPV289" s="22"/>
      <c r="LPW289" s="22"/>
      <c r="LPX289" s="22"/>
      <c r="LPY289" s="22"/>
      <c r="LPZ289" s="22"/>
      <c r="LQA289" s="22"/>
      <c r="LQB289" s="22"/>
      <c r="LQC289" s="22"/>
      <c r="LQD289" s="22"/>
      <c r="LQE289" s="22"/>
      <c r="LQF289" s="22"/>
      <c r="LQG289" s="22"/>
      <c r="LQH289" s="22"/>
      <c r="LQI289" s="22"/>
      <c r="LQJ289" s="22"/>
      <c r="LQK289" s="22"/>
      <c r="LQL289" s="22"/>
      <c r="LQM289" s="22"/>
      <c r="LQN289" s="22"/>
      <c r="LQO289" s="22"/>
      <c r="LQP289" s="22"/>
      <c r="LQQ289" s="22"/>
      <c r="LQR289" s="22"/>
      <c r="LQS289" s="22"/>
      <c r="LQT289" s="22"/>
      <c r="LQU289" s="22"/>
      <c r="LQV289" s="22"/>
      <c r="LQW289" s="22"/>
      <c r="LQX289" s="22"/>
      <c r="LQY289" s="22"/>
      <c r="LQZ289" s="22"/>
      <c r="LRA289" s="22"/>
      <c r="LRB289" s="22"/>
      <c r="LRC289" s="22"/>
      <c r="LRD289" s="22"/>
      <c r="LRE289" s="22"/>
      <c r="LRF289" s="22"/>
      <c r="LRG289" s="22"/>
      <c r="LRH289" s="22"/>
      <c r="LRI289" s="22"/>
      <c r="LRJ289" s="22"/>
      <c r="LRK289" s="22"/>
      <c r="LRL289" s="22"/>
      <c r="LRM289" s="22"/>
      <c r="LRN289" s="22"/>
      <c r="LRO289" s="22"/>
      <c r="LRP289" s="22"/>
      <c r="LRQ289" s="22"/>
      <c r="LRR289" s="22"/>
      <c r="LRS289" s="22"/>
      <c r="LRT289" s="22"/>
      <c r="LRU289" s="22"/>
      <c r="LRV289" s="22"/>
      <c r="LRW289" s="22"/>
      <c r="LRX289" s="22"/>
      <c r="LRY289" s="22"/>
      <c r="LRZ289" s="22"/>
      <c r="LSA289" s="22"/>
      <c r="LSB289" s="22"/>
      <c r="LSC289" s="22"/>
      <c r="LSD289" s="22"/>
      <c r="LSE289" s="22"/>
      <c r="LSF289" s="22"/>
      <c r="LSG289" s="22"/>
      <c r="LSH289" s="22"/>
      <c r="LSI289" s="22"/>
      <c r="LSJ289" s="22"/>
      <c r="LSK289" s="22"/>
      <c r="LSL289" s="22"/>
      <c r="LSM289" s="22"/>
      <c r="LSN289" s="22"/>
      <c r="LSO289" s="22"/>
      <c r="LSP289" s="22"/>
      <c r="LSQ289" s="22"/>
      <c r="LSR289" s="22"/>
      <c r="LSS289" s="22"/>
      <c r="LST289" s="22"/>
      <c r="LSU289" s="22"/>
      <c r="LSV289" s="22"/>
      <c r="LSW289" s="22"/>
      <c r="LSX289" s="22"/>
      <c r="LSY289" s="22"/>
      <c r="LSZ289" s="22"/>
      <c r="LTA289" s="22"/>
      <c r="LTB289" s="22"/>
      <c r="LTC289" s="22"/>
      <c r="LTD289" s="22"/>
      <c r="LTE289" s="22"/>
      <c r="LTF289" s="22"/>
      <c r="LTG289" s="22"/>
      <c r="LTH289" s="22"/>
      <c r="LTI289" s="22"/>
      <c r="LTJ289" s="22"/>
      <c r="LTK289" s="22"/>
      <c r="LTL289" s="22"/>
      <c r="LTM289" s="22"/>
      <c r="LTN289" s="22"/>
      <c r="LTO289" s="22"/>
      <c r="LTP289" s="22"/>
      <c r="LTQ289" s="22"/>
      <c r="LTR289" s="22"/>
      <c r="LTS289" s="22"/>
      <c r="LTT289" s="22"/>
      <c r="LTU289" s="22"/>
      <c r="LTV289" s="22"/>
      <c r="LTW289" s="22"/>
      <c r="LTX289" s="22"/>
      <c r="LTY289" s="22"/>
      <c r="LTZ289" s="22"/>
      <c r="LUA289" s="22"/>
      <c r="LUB289" s="22"/>
      <c r="LUC289" s="22"/>
      <c r="LUD289" s="22"/>
      <c r="LUE289" s="22"/>
      <c r="LUF289" s="22"/>
      <c r="LUG289" s="22"/>
      <c r="LUH289" s="22"/>
      <c r="LUI289" s="22"/>
      <c r="LUJ289" s="22"/>
      <c r="LUK289" s="22"/>
      <c r="LUL289" s="22"/>
      <c r="LUM289" s="22"/>
      <c r="LUN289" s="22"/>
      <c r="LUO289" s="22"/>
      <c r="LUP289" s="22"/>
      <c r="LUQ289" s="22"/>
      <c r="LUR289" s="22"/>
      <c r="LUS289" s="22"/>
      <c r="LUT289" s="22"/>
      <c r="LUU289" s="22"/>
      <c r="LUV289" s="22"/>
      <c r="LUW289" s="22"/>
      <c r="LUX289" s="22"/>
      <c r="LUY289" s="22"/>
      <c r="LUZ289" s="22"/>
      <c r="LVA289" s="22"/>
      <c r="LVB289" s="22"/>
      <c r="LVC289" s="22"/>
      <c r="LVD289" s="22"/>
      <c r="LVE289" s="22"/>
      <c r="LVF289" s="22"/>
      <c r="LVG289" s="22"/>
      <c r="LVH289" s="22"/>
      <c r="LVI289" s="22"/>
      <c r="LVJ289" s="22"/>
      <c r="LVK289" s="22"/>
      <c r="LVL289" s="22"/>
      <c r="LVM289" s="22"/>
      <c r="LVN289" s="22"/>
      <c r="LVO289" s="22"/>
      <c r="LVP289" s="22"/>
      <c r="LVQ289" s="22"/>
      <c r="LVR289" s="22"/>
      <c r="LVS289" s="22"/>
      <c r="LVT289" s="22"/>
      <c r="LVU289" s="22"/>
      <c r="LVV289" s="22"/>
      <c r="LVW289" s="22"/>
      <c r="LVX289" s="22"/>
      <c r="LVY289" s="22"/>
      <c r="LVZ289" s="22"/>
      <c r="LWA289" s="22"/>
      <c r="LWB289" s="22"/>
      <c r="LWC289" s="22"/>
      <c r="LWD289" s="22"/>
      <c r="LWE289" s="22"/>
      <c r="LWF289" s="22"/>
      <c r="LWG289" s="22"/>
      <c r="LWH289" s="22"/>
      <c r="LWI289" s="22"/>
      <c r="LWJ289" s="22"/>
      <c r="LWK289" s="22"/>
      <c r="LWL289" s="22"/>
      <c r="LWM289" s="22"/>
      <c r="LWN289" s="22"/>
      <c r="LWO289" s="22"/>
      <c r="LWP289" s="22"/>
      <c r="LWQ289" s="22"/>
      <c r="LWR289" s="22"/>
      <c r="LWS289" s="22"/>
      <c r="LWT289" s="22"/>
      <c r="LWU289" s="22"/>
      <c r="LWV289" s="22"/>
      <c r="LWW289" s="22"/>
      <c r="LWX289" s="22"/>
      <c r="LWY289" s="22"/>
      <c r="LWZ289" s="22"/>
      <c r="LXA289" s="22"/>
      <c r="LXB289" s="22"/>
      <c r="LXC289" s="22"/>
      <c r="LXD289" s="22"/>
      <c r="LXE289" s="22"/>
      <c r="LXF289" s="22"/>
      <c r="LXG289" s="22"/>
      <c r="LXH289" s="22"/>
      <c r="LXI289" s="22"/>
      <c r="LXJ289" s="22"/>
      <c r="LXK289" s="22"/>
      <c r="LXL289" s="22"/>
      <c r="LXM289" s="22"/>
      <c r="LXN289" s="22"/>
      <c r="LXO289" s="22"/>
      <c r="LXP289" s="22"/>
      <c r="LXQ289" s="22"/>
      <c r="LXR289" s="22"/>
      <c r="LXS289" s="22"/>
      <c r="LXT289" s="22"/>
      <c r="LXU289" s="22"/>
      <c r="LXV289" s="22"/>
      <c r="LXW289" s="22"/>
      <c r="LXX289" s="22"/>
      <c r="LXY289" s="22"/>
      <c r="LXZ289" s="22"/>
      <c r="LYA289" s="22"/>
      <c r="LYB289" s="22"/>
      <c r="LYC289" s="22"/>
      <c r="LYD289" s="22"/>
      <c r="LYE289" s="22"/>
      <c r="LYF289" s="22"/>
      <c r="LYG289" s="22"/>
      <c r="LYH289" s="22"/>
      <c r="LYI289" s="22"/>
      <c r="LYJ289" s="22"/>
      <c r="LYK289" s="22"/>
      <c r="LYL289" s="22"/>
      <c r="LYM289" s="22"/>
      <c r="LYN289" s="22"/>
      <c r="LYO289" s="22"/>
      <c r="LYP289" s="22"/>
      <c r="LYQ289" s="22"/>
      <c r="LYR289" s="22"/>
      <c r="LYS289" s="22"/>
      <c r="LYT289" s="22"/>
      <c r="LYU289" s="22"/>
      <c r="LYV289" s="22"/>
      <c r="LYW289" s="22"/>
      <c r="LYX289" s="22"/>
      <c r="LYY289" s="22"/>
      <c r="LYZ289" s="22"/>
      <c r="LZA289" s="22"/>
      <c r="LZB289" s="22"/>
      <c r="LZC289" s="22"/>
      <c r="LZD289" s="22"/>
      <c r="LZE289" s="22"/>
      <c r="LZF289" s="22"/>
      <c r="LZG289" s="22"/>
      <c r="LZH289" s="22"/>
      <c r="LZI289" s="22"/>
      <c r="LZJ289" s="22"/>
      <c r="LZK289" s="22"/>
      <c r="LZL289" s="22"/>
      <c r="LZM289" s="22"/>
      <c r="LZN289" s="22"/>
      <c r="LZO289" s="22"/>
      <c r="LZP289" s="22"/>
      <c r="LZQ289" s="22"/>
      <c r="LZR289" s="22"/>
      <c r="LZS289" s="22"/>
      <c r="LZT289" s="22"/>
      <c r="LZU289" s="22"/>
      <c r="LZV289" s="22"/>
      <c r="LZW289" s="22"/>
      <c r="LZX289" s="22"/>
      <c r="LZY289" s="22"/>
      <c r="LZZ289" s="22"/>
      <c r="MAA289" s="22"/>
      <c r="MAB289" s="22"/>
      <c r="MAC289" s="22"/>
      <c r="MAD289" s="22"/>
      <c r="MAE289" s="22"/>
      <c r="MAF289" s="22"/>
      <c r="MAG289" s="22"/>
      <c r="MAH289" s="22"/>
      <c r="MAI289" s="22"/>
      <c r="MAJ289" s="22"/>
      <c r="MAK289" s="22"/>
      <c r="MAL289" s="22"/>
      <c r="MAM289" s="22"/>
      <c r="MAN289" s="22"/>
      <c r="MAO289" s="22"/>
      <c r="MAP289" s="22"/>
      <c r="MAQ289" s="22"/>
      <c r="MAR289" s="22"/>
      <c r="MAS289" s="22"/>
      <c r="MAT289" s="22"/>
      <c r="MAU289" s="22"/>
      <c r="MAV289" s="22"/>
      <c r="MAW289" s="22"/>
      <c r="MAX289" s="22"/>
      <c r="MAY289" s="22"/>
      <c r="MAZ289" s="22"/>
      <c r="MBA289" s="22"/>
      <c r="MBB289" s="22"/>
      <c r="MBC289" s="22"/>
      <c r="MBD289" s="22"/>
      <c r="MBE289" s="22"/>
      <c r="MBF289" s="22"/>
      <c r="MBG289" s="22"/>
      <c r="MBH289" s="22"/>
      <c r="MBI289" s="22"/>
      <c r="MBJ289" s="22"/>
      <c r="MBK289" s="22"/>
      <c r="MBL289" s="22"/>
      <c r="MBM289" s="22"/>
      <c r="MBN289" s="22"/>
      <c r="MBO289" s="22"/>
      <c r="MBP289" s="22"/>
      <c r="MBQ289" s="22"/>
      <c r="MBR289" s="22"/>
      <c r="MBS289" s="22"/>
      <c r="MBT289" s="22"/>
      <c r="MBU289" s="22"/>
      <c r="MBV289" s="22"/>
      <c r="MBW289" s="22"/>
      <c r="MBX289" s="22"/>
      <c r="MBY289" s="22"/>
      <c r="MBZ289" s="22"/>
      <c r="MCA289" s="22"/>
      <c r="MCB289" s="22"/>
      <c r="MCC289" s="22"/>
      <c r="MCD289" s="22"/>
      <c r="MCE289" s="22"/>
      <c r="MCF289" s="22"/>
      <c r="MCG289" s="22"/>
      <c r="MCH289" s="22"/>
      <c r="MCI289" s="22"/>
      <c r="MCJ289" s="22"/>
      <c r="MCK289" s="22"/>
      <c r="MCL289" s="22"/>
      <c r="MCM289" s="22"/>
      <c r="MCN289" s="22"/>
      <c r="MCO289" s="22"/>
      <c r="MCP289" s="22"/>
      <c r="MCQ289" s="22"/>
      <c r="MCR289" s="22"/>
      <c r="MCS289" s="22"/>
      <c r="MCT289" s="22"/>
      <c r="MCU289" s="22"/>
      <c r="MCV289" s="22"/>
      <c r="MCW289" s="22"/>
      <c r="MCX289" s="22"/>
      <c r="MCY289" s="22"/>
      <c r="MCZ289" s="22"/>
      <c r="MDA289" s="22"/>
      <c r="MDB289" s="22"/>
      <c r="MDC289" s="22"/>
      <c r="MDD289" s="22"/>
      <c r="MDE289" s="22"/>
      <c r="MDF289" s="22"/>
      <c r="MDG289" s="22"/>
      <c r="MDH289" s="22"/>
      <c r="MDI289" s="22"/>
      <c r="MDJ289" s="22"/>
      <c r="MDK289" s="22"/>
      <c r="MDL289" s="22"/>
      <c r="MDM289" s="22"/>
      <c r="MDN289" s="22"/>
      <c r="MDO289" s="22"/>
      <c r="MDP289" s="22"/>
      <c r="MDQ289" s="22"/>
      <c r="MDR289" s="22"/>
      <c r="MDS289" s="22"/>
      <c r="MDT289" s="22"/>
      <c r="MDU289" s="22"/>
      <c r="MDV289" s="22"/>
      <c r="MDW289" s="22"/>
      <c r="MDX289" s="22"/>
      <c r="MDY289" s="22"/>
      <c r="MDZ289" s="22"/>
      <c r="MEA289" s="22"/>
      <c r="MEB289" s="22"/>
      <c r="MEC289" s="22"/>
      <c r="MED289" s="22"/>
      <c r="MEE289" s="22"/>
      <c r="MEF289" s="22"/>
      <c r="MEG289" s="22"/>
      <c r="MEH289" s="22"/>
      <c r="MEI289" s="22"/>
      <c r="MEJ289" s="22"/>
      <c r="MEK289" s="22"/>
      <c r="MEL289" s="22"/>
      <c r="MEM289" s="22"/>
      <c r="MEN289" s="22"/>
      <c r="MEO289" s="22"/>
      <c r="MEP289" s="22"/>
      <c r="MEQ289" s="22"/>
      <c r="MER289" s="22"/>
      <c r="MES289" s="22"/>
      <c r="MET289" s="22"/>
      <c r="MEU289" s="22"/>
      <c r="MEV289" s="22"/>
      <c r="MEW289" s="22"/>
      <c r="MEX289" s="22"/>
      <c r="MEY289" s="22"/>
      <c r="MEZ289" s="22"/>
      <c r="MFA289" s="22"/>
      <c r="MFB289" s="22"/>
      <c r="MFC289" s="22"/>
      <c r="MFD289" s="22"/>
      <c r="MFE289" s="22"/>
      <c r="MFF289" s="22"/>
      <c r="MFG289" s="22"/>
      <c r="MFH289" s="22"/>
      <c r="MFI289" s="22"/>
      <c r="MFJ289" s="22"/>
      <c r="MFK289" s="22"/>
      <c r="MFL289" s="22"/>
      <c r="MFM289" s="22"/>
      <c r="MFN289" s="22"/>
      <c r="MFO289" s="22"/>
      <c r="MFP289" s="22"/>
      <c r="MFQ289" s="22"/>
      <c r="MFR289" s="22"/>
      <c r="MFS289" s="22"/>
      <c r="MFT289" s="22"/>
      <c r="MFU289" s="22"/>
      <c r="MFV289" s="22"/>
      <c r="MFW289" s="22"/>
      <c r="MFX289" s="22"/>
      <c r="MFY289" s="22"/>
      <c r="MFZ289" s="22"/>
      <c r="MGA289" s="22"/>
      <c r="MGB289" s="22"/>
      <c r="MGC289" s="22"/>
      <c r="MGD289" s="22"/>
      <c r="MGE289" s="22"/>
      <c r="MGF289" s="22"/>
      <c r="MGG289" s="22"/>
      <c r="MGH289" s="22"/>
      <c r="MGI289" s="22"/>
      <c r="MGJ289" s="22"/>
      <c r="MGK289" s="22"/>
      <c r="MGL289" s="22"/>
      <c r="MGM289" s="22"/>
      <c r="MGN289" s="22"/>
      <c r="MGO289" s="22"/>
      <c r="MGP289" s="22"/>
      <c r="MGQ289" s="22"/>
      <c r="MGR289" s="22"/>
      <c r="MGS289" s="22"/>
      <c r="MGT289" s="22"/>
      <c r="MGU289" s="22"/>
      <c r="MGV289" s="22"/>
      <c r="MGW289" s="22"/>
      <c r="MGX289" s="22"/>
      <c r="MGY289" s="22"/>
      <c r="MGZ289" s="22"/>
      <c r="MHA289" s="22"/>
      <c r="MHB289" s="22"/>
      <c r="MHC289" s="22"/>
      <c r="MHD289" s="22"/>
      <c r="MHE289" s="22"/>
      <c r="MHF289" s="22"/>
      <c r="MHG289" s="22"/>
      <c r="MHH289" s="22"/>
      <c r="MHI289" s="22"/>
      <c r="MHJ289" s="22"/>
      <c r="MHK289" s="22"/>
      <c r="MHL289" s="22"/>
      <c r="MHM289" s="22"/>
      <c r="MHN289" s="22"/>
      <c r="MHO289" s="22"/>
      <c r="MHP289" s="22"/>
      <c r="MHQ289" s="22"/>
      <c r="MHR289" s="22"/>
      <c r="MHS289" s="22"/>
      <c r="MHT289" s="22"/>
      <c r="MHU289" s="22"/>
      <c r="MHV289" s="22"/>
      <c r="MHW289" s="22"/>
      <c r="MHX289" s="22"/>
      <c r="MHY289" s="22"/>
      <c r="MHZ289" s="22"/>
      <c r="MIA289" s="22"/>
      <c r="MIB289" s="22"/>
      <c r="MIC289" s="22"/>
      <c r="MID289" s="22"/>
      <c r="MIE289" s="22"/>
      <c r="MIF289" s="22"/>
      <c r="MIG289" s="22"/>
      <c r="MIH289" s="22"/>
      <c r="MII289" s="22"/>
      <c r="MIJ289" s="22"/>
      <c r="MIK289" s="22"/>
      <c r="MIL289" s="22"/>
      <c r="MIM289" s="22"/>
      <c r="MIN289" s="22"/>
      <c r="MIO289" s="22"/>
      <c r="MIP289" s="22"/>
      <c r="MIQ289" s="22"/>
      <c r="MIR289" s="22"/>
      <c r="MIS289" s="22"/>
      <c r="MIT289" s="22"/>
      <c r="MIU289" s="22"/>
      <c r="MIV289" s="22"/>
      <c r="MIW289" s="22"/>
      <c r="MIX289" s="22"/>
      <c r="MIY289" s="22"/>
      <c r="MIZ289" s="22"/>
      <c r="MJA289" s="22"/>
      <c r="MJB289" s="22"/>
      <c r="MJC289" s="22"/>
      <c r="MJD289" s="22"/>
      <c r="MJE289" s="22"/>
      <c r="MJF289" s="22"/>
      <c r="MJG289" s="22"/>
      <c r="MJH289" s="22"/>
      <c r="MJI289" s="22"/>
      <c r="MJJ289" s="22"/>
      <c r="MJK289" s="22"/>
      <c r="MJL289" s="22"/>
      <c r="MJM289" s="22"/>
      <c r="MJN289" s="22"/>
      <c r="MJO289" s="22"/>
      <c r="MJP289" s="22"/>
      <c r="MJQ289" s="22"/>
      <c r="MJR289" s="22"/>
      <c r="MJS289" s="22"/>
      <c r="MJT289" s="22"/>
      <c r="MJU289" s="22"/>
      <c r="MJV289" s="22"/>
      <c r="MJW289" s="22"/>
      <c r="MJX289" s="22"/>
      <c r="MJY289" s="22"/>
      <c r="MJZ289" s="22"/>
      <c r="MKA289" s="22"/>
      <c r="MKB289" s="22"/>
      <c r="MKC289" s="22"/>
      <c r="MKD289" s="22"/>
      <c r="MKE289" s="22"/>
      <c r="MKF289" s="22"/>
      <c r="MKG289" s="22"/>
      <c r="MKH289" s="22"/>
      <c r="MKI289" s="22"/>
      <c r="MKJ289" s="22"/>
      <c r="MKK289" s="22"/>
      <c r="MKL289" s="22"/>
      <c r="MKM289" s="22"/>
      <c r="MKN289" s="22"/>
      <c r="MKO289" s="22"/>
      <c r="MKP289" s="22"/>
      <c r="MKQ289" s="22"/>
      <c r="MKR289" s="22"/>
      <c r="MKS289" s="22"/>
      <c r="MKT289" s="22"/>
      <c r="MKU289" s="22"/>
      <c r="MKV289" s="22"/>
      <c r="MKW289" s="22"/>
      <c r="MKX289" s="22"/>
      <c r="MKY289" s="22"/>
      <c r="MKZ289" s="22"/>
      <c r="MLA289" s="22"/>
      <c r="MLB289" s="22"/>
      <c r="MLC289" s="22"/>
      <c r="MLD289" s="22"/>
      <c r="MLE289" s="22"/>
      <c r="MLF289" s="22"/>
      <c r="MLG289" s="22"/>
      <c r="MLH289" s="22"/>
      <c r="MLI289" s="22"/>
      <c r="MLJ289" s="22"/>
      <c r="MLK289" s="22"/>
      <c r="MLL289" s="22"/>
      <c r="MLM289" s="22"/>
      <c r="MLN289" s="22"/>
      <c r="MLO289" s="22"/>
      <c r="MLP289" s="22"/>
      <c r="MLQ289" s="22"/>
      <c r="MLR289" s="22"/>
      <c r="MLS289" s="22"/>
      <c r="MLT289" s="22"/>
      <c r="MLU289" s="22"/>
      <c r="MLV289" s="22"/>
      <c r="MLW289" s="22"/>
      <c r="MLX289" s="22"/>
      <c r="MLY289" s="22"/>
      <c r="MLZ289" s="22"/>
      <c r="MMA289" s="22"/>
      <c r="MMB289" s="22"/>
      <c r="MMC289" s="22"/>
      <c r="MMD289" s="22"/>
      <c r="MME289" s="22"/>
      <c r="MMF289" s="22"/>
      <c r="MMG289" s="22"/>
      <c r="MMH289" s="22"/>
      <c r="MMI289" s="22"/>
      <c r="MMJ289" s="22"/>
      <c r="MMK289" s="22"/>
      <c r="MML289" s="22"/>
      <c r="MMM289" s="22"/>
      <c r="MMN289" s="22"/>
      <c r="MMO289" s="22"/>
      <c r="MMP289" s="22"/>
      <c r="MMQ289" s="22"/>
      <c r="MMR289" s="22"/>
      <c r="MMS289" s="22"/>
      <c r="MMT289" s="22"/>
      <c r="MMU289" s="22"/>
      <c r="MMV289" s="22"/>
      <c r="MMW289" s="22"/>
      <c r="MMX289" s="22"/>
      <c r="MMY289" s="22"/>
      <c r="MMZ289" s="22"/>
      <c r="MNA289" s="22"/>
      <c r="MNB289" s="22"/>
      <c r="MNC289" s="22"/>
      <c r="MND289" s="22"/>
      <c r="MNE289" s="22"/>
      <c r="MNF289" s="22"/>
      <c r="MNG289" s="22"/>
      <c r="MNH289" s="22"/>
      <c r="MNI289" s="22"/>
      <c r="MNJ289" s="22"/>
      <c r="MNK289" s="22"/>
      <c r="MNL289" s="22"/>
      <c r="MNM289" s="22"/>
      <c r="MNN289" s="22"/>
      <c r="MNO289" s="22"/>
      <c r="MNP289" s="22"/>
      <c r="MNQ289" s="22"/>
      <c r="MNR289" s="22"/>
      <c r="MNS289" s="22"/>
      <c r="MNT289" s="22"/>
      <c r="MNU289" s="22"/>
      <c r="MNV289" s="22"/>
      <c r="MNW289" s="22"/>
      <c r="MNX289" s="22"/>
      <c r="MNY289" s="22"/>
      <c r="MNZ289" s="22"/>
      <c r="MOA289" s="22"/>
      <c r="MOB289" s="22"/>
      <c r="MOC289" s="22"/>
      <c r="MOD289" s="22"/>
      <c r="MOE289" s="22"/>
      <c r="MOF289" s="22"/>
      <c r="MOG289" s="22"/>
      <c r="MOH289" s="22"/>
      <c r="MOI289" s="22"/>
      <c r="MOJ289" s="22"/>
      <c r="MOK289" s="22"/>
      <c r="MOL289" s="22"/>
      <c r="MOM289" s="22"/>
      <c r="MON289" s="22"/>
      <c r="MOO289" s="22"/>
      <c r="MOP289" s="22"/>
      <c r="MOQ289" s="22"/>
      <c r="MOR289" s="22"/>
      <c r="MOS289" s="22"/>
      <c r="MOT289" s="22"/>
      <c r="MOU289" s="22"/>
      <c r="MOV289" s="22"/>
      <c r="MOW289" s="22"/>
      <c r="MOX289" s="22"/>
      <c r="MOY289" s="22"/>
      <c r="MOZ289" s="22"/>
      <c r="MPA289" s="22"/>
      <c r="MPB289" s="22"/>
      <c r="MPC289" s="22"/>
      <c r="MPD289" s="22"/>
      <c r="MPE289" s="22"/>
      <c r="MPF289" s="22"/>
      <c r="MPG289" s="22"/>
      <c r="MPH289" s="22"/>
      <c r="MPI289" s="22"/>
      <c r="MPJ289" s="22"/>
      <c r="MPK289" s="22"/>
      <c r="MPL289" s="22"/>
      <c r="MPM289" s="22"/>
      <c r="MPN289" s="22"/>
      <c r="MPO289" s="22"/>
      <c r="MPP289" s="22"/>
      <c r="MPQ289" s="22"/>
      <c r="MPR289" s="22"/>
      <c r="MPS289" s="22"/>
      <c r="MPT289" s="22"/>
      <c r="MPU289" s="22"/>
      <c r="MPV289" s="22"/>
      <c r="MPW289" s="22"/>
      <c r="MPX289" s="22"/>
      <c r="MPY289" s="22"/>
      <c r="MPZ289" s="22"/>
      <c r="MQA289" s="22"/>
      <c r="MQB289" s="22"/>
      <c r="MQC289" s="22"/>
      <c r="MQD289" s="22"/>
      <c r="MQE289" s="22"/>
      <c r="MQF289" s="22"/>
      <c r="MQG289" s="22"/>
      <c r="MQH289" s="22"/>
      <c r="MQI289" s="22"/>
      <c r="MQJ289" s="22"/>
      <c r="MQK289" s="22"/>
      <c r="MQL289" s="22"/>
      <c r="MQM289" s="22"/>
      <c r="MQN289" s="22"/>
      <c r="MQO289" s="22"/>
      <c r="MQP289" s="22"/>
      <c r="MQQ289" s="22"/>
      <c r="MQR289" s="22"/>
      <c r="MQS289" s="22"/>
      <c r="MQT289" s="22"/>
      <c r="MQU289" s="22"/>
      <c r="MQV289" s="22"/>
      <c r="MQW289" s="22"/>
      <c r="MQX289" s="22"/>
      <c r="MQY289" s="22"/>
      <c r="MQZ289" s="22"/>
      <c r="MRA289" s="22"/>
      <c r="MRB289" s="22"/>
      <c r="MRC289" s="22"/>
      <c r="MRD289" s="22"/>
      <c r="MRE289" s="22"/>
      <c r="MRF289" s="22"/>
      <c r="MRG289" s="22"/>
      <c r="MRH289" s="22"/>
      <c r="MRI289" s="22"/>
      <c r="MRJ289" s="22"/>
      <c r="MRK289" s="22"/>
      <c r="MRL289" s="22"/>
      <c r="MRM289" s="22"/>
      <c r="MRN289" s="22"/>
      <c r="MRO289" s="22"/>
      <c r="MRP289" s="22"/>
      <c r="MRQ289" s="22"/>
      <c r="MRR289" s="22"/>
      <c r="MRS289" s="22"/>
      <c r="MRT289" s="22"/>
      <c r="MRU289" s="22"/>
      <c r="MRV289" s="22"/>
      <c r="MRW289" s="22"/>
      <c r="MRX289" s="22"/>
      <c r="MRY289" s="22"/>
      <c r="MRZ289" s="22"/>
      <c r="MSA289" s="22"/>
      <c r="MSB289" s="22"/>
      <c r="MSC289" s="22"/>
      <c r="MSD289" s="22"/>
      <c r="MSE289" s="22"/>
      <c r="MSF289" s="22"/>
      <c r="MSG289" s="22"/>
      <c r="MSH289" s="22"/>
      <c r="MSI289" s="22"/>
      <c r="MSJ289" s="22"/>
      <c r="MSK289" s="22"/>
      <c r="MSL289" s="22"/>
      <c r="MSM289" s="22"/>
      <c r="MSN289" s="22"/>
      <c r="MSO289" s="22"/>
      <c r="MSP289" s="22"/>
      <c r="MSQ289" s="22"/>
      <c r="MSR289" s="22"/>
      <c r="MSS289" s="22"/>
      <c r="MST289" s="22"/>
      <c r="MSU289" s="22"/>
      <c r="MSV289" s="22"/>
      <c r="MSW289" s="22"/>
      <c r="MSX289" s="22"/>
      <c r="MSY289" s="22"/>
      <c r="MSZ289" s="22"/>
      <c r="MTA289" s="22"/>
      <c r="MTB289" s="22"/>
      <c r="MTC289" s="22"/>
      <c r="MTD289" s="22"/>
      <c r="MTE289" s="22"/>
      <c r="MTF289" s="22"/>
      <c r="MTG289" s="22"/>
      <c r="MTH289" s="22"/>
      <c r="MTI289" s="22"/>
      <c r="MTJ289" s="22"/>
      <c r="MTK289" s="22"/>
      <c r="MTL289" s="22"/>
      <c r="MTM289" s="22"/>
      <c r="MTN289" s="22"/>
      <c r="MTO289" s="22"/>
      <c r="MTP289" s="22"/>
      <c r="MTQ289" s="22"/>
      <c r="MTR289" s="22"/>
      <c r="MTS289" s="22"/>
      <c r="MTT289" s="22"/>
      <c r="MTU289" s="22"/>
      <c r="MTV289" s="22"/>
      <c r="MTW289" s="22"/>
      <c r="MTX289" s="22"/>
      <c r="MTY289" s="22"/>
      <c r="MTZ289" s="22"/>
      <c r="MUA289" s="22"/>
      <c r="MUB289" s="22"/>
      <c r="MUC289" s="22"/>
      <c r="MUD289" s="22"/>
      <c r="MUE289" s="22"/>
      <c r="MUF289" s="22"/>
      <c r="MUG289" s="22"/>
      <c r="MUH289" s="22"/>
      <c r="MUI289" s="22"/>
      <c r="MUJ289" s="22"/>
      <c r="MUK289" s="22"/>
      <c r="MUL289" s="22"/>
      <c r="MUM289" s="22"/>
      <c r="MUN289" s="22"/>
      <c r="MUO289" s="22"/>
      <c r="MUP289" s="22"/>
      <c r="MUQ289" s="22"/>
      <c r="MUR289" s="22"/>
      <c r="MUS289" s="22"/>
      <c r="MUT289" s="22"/>
      <c r="MUU289" s="22"/>
      <c r="MUV289" s="22"/>
      <c r="MUW289" s="22"/>
      <c r="MUX289" s="22"/>
      <c r="MUY289" s="22"/>
      <c r="MUZ289" s="22"/>
      <c r="MVA289" s="22"/>
      <c r="MVB289" s="22"/>
      <c r="MVC289" s="22"/>
      <c r="MVD289" s="22"/>
      <c r="MVE289" s="22"/>
      <c r="MVF289" s="22"/>
      <c r="MVG289" s="22"/>
      <c r="MVH289" s="22"/>
      <c r="MVI289" s="22"/>
      <c r="MVJ289" s="22"/>
      <c r="MVK289" s="22"/>
      <c r="MVL289" s="22"/>
      <c r="MVM289" s="22"/>
      <c r="MVN289" s="22"/>
      <c r="MVO289" s="22"/>
      <c r="MVP289" s="22"/>
      <c r="MVQ289" s="22"/>
      <c r="MVR289" s="22"/>
      <c r="MVS289" s="22"/>
      <c r="MVT289" s="22"/>
      <c r="MVU289" s="22"/>
      <c r="MVV289" s="22"/>
      <c r="MVW289" s="22"/>
      <c r="MVX289" s="22"/>
      <c r="MVY289" s="22"/>
      <c r="MVZ289" s="22"/>
      <c r="MWA289" s="22"/>
      <c r="MWB289" s="22"/>
      <c r="MWC289" s="22"/>
      <c r="MWD289" s="22"/>
      <c r="MWE289" s="22"/>
      <c r="MWF289" s="22"/>
      <c r="MWG289" s="22"/>
      <c r="MWH289" s="22"/>
      <c r="MWI289" s="22"/>
      <c r="MWJ289" s="22"/>
      <c r="MWK289" s="22"/>
      <c r="MWL289" s="22"/>
      <c r="MWM289" s="22"/>
      <c r="MWN289" s="22"/>
      <c r="MWO289" s="22"/>
      <c r="MWP289" s="22"/>
      <c r="MWQ289" s="22"/>
      <c r="MWR289" s="22"/>
      <c r="MWS289" s="22"/>
      <c r="MWT289" s="22"/>
      <c r="MWU289" s="22"/>
      <c r="MWV289" s="22"/>
      <c r="MWW289" s="22"/>
      <c r="MWX289" s="22"/>
      <c r="MWY289" s="22"/>
      <c r="MWZ289" s="22"/>
      <c r="MXA289" s="22"/>
      <c r="MXB289" s="22"/>
      <c r="MXC289" s="22"/>
      <c r="MXD289" s="22"/>
      <c r="MXE289" s="22"/>
      <c r="MXF289" s="22"/>
      <c r="MXG289" s="22"/>
      <c r="MXH289" s="22"/>
      <c r="MXI289" s="22"/>
      <c r="MXJ289" s="22"/>
      <c r="MXK289" s="22"/>
      <c r="MXL289" s="22"/>
      <c r="MXM289" s="22"/>
      <c r="MXN289" s="22"/>
      <c r="MXO289" s="22"/>
      <c r="MXP289" s="22"/>
      <c r="MXQ289" s="22"/>
      <c r="MXR289" s="22"/>
      <c r="MXS289" s="22"/>
      <c r="MXT289" s="22"/>
      <c r="MXU289" s="22"/>
      <c r="MXV289" s="22"/>
      <c r="MXW289" s="22"/>
      <c r="MXX289" s="22"/>
      <c r="MXY289" s="22"/>
      <c r="MXZ289" s="22"/>
      <c r="MYA289" s="22"/>
      <c r="MYB289" s="22"/>
      <c r="MYC289" s="22"/>
      <c r="MYD289" s="22"/>
      <c r="MYE289" s="22"/>
      <c r="MYF289" s="22"/>
      <c r="MYG289" s="22"/>
      <c r="MYH289" s="22"/>
      <c r="MYI289" s="22"/>
      <c r="MYJ289" s="22"/>
      <c r="MYK289" s="22"/>
      <c r="MYL289" s="22"/>
      <c r="MYM289" s="22"/>
      <c r="MYN289" s="22"/>
      <c r="MYO289" s="22"/>
      <c r="MYP289" s="22"/>
      <c r="MYQ289" s="22"/>
      <c r="MYR289" s="22"/>
      <c r="MYS289" s="22"/>
      <c r="MYT289" s="22"/>
      <c r="MYU289" s="22"/>
      <c r="MYV289" s="22"/>
      <c r="MYW289" s="22"/>
      <c r="MYX289" s="22"/>
      <c r="MYY289" s="22"/>
      <c r="MYZ289" s="22"/>
      <c r="MZA289" s="22"/>
      <c r="MZB289" s="22"/>
      <c r="MZC289" s="22"/>
      <c r="MZD289" s="22"/>
      <c r="MZE289" s="22"/>
      <c r="MZF289" s="22"/>
      <c r="MZG289" s="22"/>
      <c r="MZH289" s="22"/>
      <c r="MZI289" s="22"/>
      <c r="MZJ289" s="22"/>
      <c r="MZK289" s="22"/>
      <c r="MZL289" s="22"/>
      <c r="MZM289" s="22"/>
      <c r="MZN289" s="22"/>
      <c r="MZO289" s="22"/>
      <c r="MZP289" s="22"/>
      <c r="MZQ289" s="22"/>
      <c r="MZR289" s="22"/>
      <c r="MZS289" s="22"/>
      <c r="MZT289" s="22"/>
      <c r="MZU289" s="22"/>
      <c r="MZV289" s="22"/>
      <c r="MZW289" s="22"/>
      <c r="MZX289" s="22"/>
      <c r="MZY289" s="22"/>
      <c r="MZZ289" s="22"/>
      <c r="NAA289" s="22"/>
      <c r="NAB289" s="22"/>
      <c r="NAC289" s="22"/>
      <c r="NAD289" s="22"/>
      <c r="NAE289" s="22"/>
      <c r="NAF289" s="22"/>
      <c r="NAG289" s="22"/>
      <c r="NAH289" s="22"/>
      <c r="NAI289" s="22"/>
      <c r="NAJ289" s="22"/>
      <c r="NAK289" s="22"/>
      <c r="NAL289" s="22"/>
      <c r="NAM289" s="22"/>
      <c r="NAN289" s="22"/>
      <c r="NAO289" s="22"/>
      <c r="NAP289" s="22"/>
      <c r="NAQ289" s="22"/>
      <c r="NAR289" s="22"/>
      <c r="NAS289" s="22"/>
      <c r="NAT289" s="22"/>
      <c r="NAU289" s="22"/>
      <c r="NAV289" s="22"/>
      <c r="NAW289" s="22"/>
      <c r="NAX289" s="22"/>
      <c r="NAY289" s="22"/>
      <c r="NAZ289" s="22"/>
      <c r="NBA289" s="22"/>
      <c r="NBB289" s="22"/>
      <c r="NBC289" s="22"/>
      <c r="NBD289" s="22"/>
      <c r="NBE289" s="22"/>
      <c r="NBF289" s="22"/>
      <c r="NBG289" s="22"/>
      <c r="NBH289" s="22"/>
      <c r="NBI289" s="22"/>
      <c r="NBJ289" s="22"/>
      <c r="NBK289" s="22"/>
      <c r="NBL289" s="22"/>
      <c r="NBM289" s="22"/>
      <c r="NBN289" s="22"/>
      <c r="NBO289" s="22"/>
      <c r="NBP289" s="22"/>
      <c r="NBQ289" s="22"/>
      <c r="NBR289" s="22"/>
      <c r="NBS289" s="22"/>
      <c r="NBT289" s="22"/>
      <c r="NBU289" s="22"/>
      <c r="NBV289" s="22"/>
      <c r="NBW289" s="22"/>
      <c r="NBX289" s="22"/>
      <c r="NBY289" s="22"/>
      <c r="NBZ289" s="22"/>
      <c r="NCA289" s="22"/>
      <c r="NCB289" s="22"/>
      <c r="NCC289" s="22"/>
      <c r="NCD289" s="22"/>
      <c r="NCE289" s="22"/>
      <c r="NCF289" s="22"/>
      <c r="NCG289" s="22"/>
      <c r="NCH289" s="22"/>
      <c r="NCI289" s="22"/>
      <c r="NCJ289" s="22"/>
      <c r="NCK289" s="22"/>
      <c r="NCL289" s="22"/>
      <c r="NCM289" s="22"/>
      <c r="NCN289" s="22"/>
      <c r="NCO289" s="22"/>
      <c r="NCP289" s="22"/>
      <c r="NCQ289" s="22"/>
      <c r="NCR289" s="22"/>
      <c r="NCS289" s="22"/>
      <c r="NCT289" s="22"/>
      <c r="NCU289" s="22"/>
      <c r="NCV289" s="22"/>
      <c r="NCW289" s="22"/>
      <c r="NCX289" s="22"/>
      <c r="NCY289" s="22"/>
      <c r="NCZ289" s="22"/>
      <c r="NDA289" s="22"/>
      <c r="NDB289" s="22"/>
      <c r="NDC289" s="22"/>
      <c r="NDD289" s="22"/>
      <c r="NDE289" s="22"/>
      <c r="NDF289" s="22"/>
      <c r="NDG289" s="22"/>
      <c r="NDH289" s="22"/>
      <c r="NDI289" s="22"/>
      <c r="NDJ289" s="22"/>
      <c r="NDK289" s="22"/>
      <c r="NDL289" s="22"/>
      <c r="NDM289" s="22"/>
      <c r="NDN289" s="22"/>
      <c r="NDO289" s="22"/>
      <c r="NDP289" s="22"/>
      <c r="NDQ289" s="22"/>
      <c r="NDR289" s="22"/>
      <c r="NDS289" s="22"/>
      <c r="NDT289" s="22"/>
      <c r="NDU289" s="22"/>
      <c r="NDV289" s="22"/>
      <c r="NDW289" s="22"/>
      <c r="NDX289" s="22"/>
      <c r="NDY289" s="22"/>
      <c r="NDZ289" s="22"/>
      <c r="NEA289" s="22"/>
      <c r="NEB289" s="22"/>
      <c r="NEC289" s="22"/>
      <c r="NED289" s="22"/>
      <c r="NEE289" s="22"/>
      <c r="NEF289" s="22"/>
      <c r="NEG289" s="22"/>
      <c r="NEH289" s="22"/>
      <c r="NEI289" s="22"/>
      <c r="NEJ289" s="22"/>
      <c r="NEK289" s="22"/>
      <c r="NEL289" s="22"/>
      <c r="NEM289" s="22"/>
      <c r="NEN289" s="22"/>
      <c r="NEO289" s="22"/>
      <c r="NEP289" s="22"/>
      <c r="NEQ289" s="22"/>
      <c r="NER289" s="22"/>
      <c r="NES289" s="22"/>
      <c r="NET289" s="22"/>
      <c r="NEU289" s="22"/>
      <c r="NEV289" s="22"/>
      <c r="NEW289" s="22"/>
      <c r="NEX289" s="22"/>
      <c r="NEY289" s="22"/>
      <c r="NEZ289" s="22"/>
      <c r="NFA289" s="22"/>
      <c r="NFB289" s="22"/>
      <c r="NFC289" s="22"/>
      <c r="NFD289" s="22"/>
      <c r="NFE289" s="22"/>
      <c r="NFF289" s="22"/>
      <c r="NFG289" s="22"/>
      <c r="NFH289" s="22"/>
      <c r="NFI289" s="22"/>
      <c r="NFJ289" s="22"/>
      <c r="NFK289" s="22"/>
      <c r="NFL289" s="22"/>
      <c r="NFM289" s="22"/>
      <c r="NFN289" s="22"/>
      <c r="NFO289" s="22"/>
      <c r="NFP289" s="22"/>
      <c r="NFQ289" s="22"/>
      <c r="NFR289" s="22"/>
      <c r="NFS289" s="22"/>
      <c r="NFT289" s="22"/>
      <c r="NFU289" s="22"/>
      <c r="NFV289" s="22"/>
      <c r="NFW289" s="22"/>
      <c r="NFX289" s="22"/>
      <c r="NFY289" s="22"/>
      <c r="NFZ289" s="22"/>
      <c r="NGA289" s="22"/>
      <c r="NGB289" s="22"/>
      <c r="NGC289" s="22"/>
      <c r="NGD289" s="22"/>
      <c r="NGE289" s="22"/>
      <c r="NGF289" s="22"/>
      <c r="NGG289" s="22"/>
      <c r="NGH289" s="22"/>
      <c r="NGI289" s="22"/>
      <c r="NGJ289" s="22"/>
      <c r="NGK289" s="22"/>
      <c r="NGL289" s="22"/>
      <c r="NGM289" s="22"/>
      <c r="NGN289" s="22"/>
      <c r="NGO289" s="22"/>
      <c r="NGP289" s="22"/>
      <c r="NGQ289" s="22"/>
      <c r="NGR289" s="22"/>
      <c r="NGS289" s="22"/>
      <c r="NGT289" s="22"/>
      <c r="NGU289" s="22"/>
      <c r="NGV289" s="22"/>
      <c r="NGW289" s="22"/>
      <c r="NGX289" s="22"/>
      <c r="NGY289" s="22"/>
      <c r="NGZ289" s="22"/>
      <c r="NHA289" s="22"/>
      <c r="NHB289" s="22"/>
      <c r="NHC289" s="22"/>
      <c r="NHD289" s="22"/>
      <c r="NHE289" s="22"/>
      <c r="NHF289" s="22"/>
      <c r="NHG289" s="22"/>
      <c r="NHH289" s="22"/>
      <c r="NHI289" s="22"/>
      <c r="NHJ289" s="22"/>
      <c r="NHK289" s="22"/>
      <c r="NHL289" s="22"/>
      <c r="NHM289" s="22"/>
      <c r="NHN289" s="22"/>
      <c r="NHO289" s="22"/>
      <c r="NHP289" s="22"/>
      <c r="NHQ289" s="22"/>
      <c r="NHR289" s="22"/>
      <c r="NHS289" s="22"/>
      <c r="NHT289" s="22"/>
      <c r="NHU289" s="22"/>
      <c r="NHV289" s="22"/>
      <c r="NHW289" s="22"/>
      <c r="NHX289" s="22"/>
      <c r="NHY289" s="22"/>
      <c r="NHZ289" s="22"/>
      <c r="NIA289" s="22"/>
      <c r="NIB289" s="22"/>
      <c r="NIC289" s="22"/>
      <c r="NID289" s="22"/>
      <c r="NIE289" s="22"/>
      <c r="NIF289" s="22"/>
      <c r="NIG289" s="22"/>
      <c r="NIH289" s="22"/>
      <c r="NII289" s="22"/>
      <c r="NIJ289" s="22"/>
      <c r="NIK289" s="22"/>
      <c r="NIL289" s="22"/>
      <c r="NIM289" s="22"/>
      <c r="NIN289" s="22"/>
      <c r="NIO289" s="22"/>
      <c r="NIP289" s="22"/>
      <c r="NIQ289" s="22"/>
      <c r="NIR289" s="22"/>
      <c r="NIS289" s="22"/>
      <c r="NIT289" s="22"/>
      <c r="NIU289" s="22"/>
      <c r="NIV289" s="22"/>
      <c r="NIW289" s="22"/>
      <c r="NIX289" s="22"/>
      <c r="NIY289" s="22"/>
      <c r="NIZ289" s="22"/>
      <c r="NJA289" s="22"/>
      <c r="NJB289" s="22"/>
      <c r="NJC289" s="22"/>
      <c r="NJD289" s="22"/>
      <c r="NJE289" s="22"/>
      <c r="NJF289" s="22"/>
      <c r="NJG289" s="22"/>
      <c r="NJH289" s="22"/>
      <c r="NJI289" s="22"/>
      <c r="NJJ289" s="22"/>
      <c r="NJK289" s="22"/>
      <c r="NJL289" s="22"/>
      <c r="NJM289" s="22"/>
      <c r="NJN289" s="22"/>
      <c r="NJO289" s="22"/>
      <c r="NJP289" s="22"/>
      <c r="NJQ289" s="22"/>
      <c r="NJR289" s="22"/>
      <c r="NJS289" s="22"/>
      <c r="NJT289" s="22"/>
      <c r="NJU289" s="22"/>
      <c r="NJV289" s="22"/>
      <c r="NJW289" s="22"/>
      <c r="NJX289" s="22"/>
      <c r="NJY289" s="22"/>
      <c r="NJZ289" s="22"/>
      <c r="NKA289" s="22"/>
      <c r="NKB289" s="22"/>
      <c r="NKC289" s="22"/>
      <c r="NKD289" s="22"/>
      <c r="NKE289" s="22"/>
      <c r="NKF289" s="22"/>
      <c r="NKG289" s="22"/>
      <c r="NKH289" s="22"/>
      <c r="NKI289" s="22"/>
      <c r="NKJ289" s="22"/>
      <c r="NKK289" s="22"/>
      <c r="NKL289" s="22"/>
      <c r="NKM289" s="22"/>
      <c r="NKN289" s="22"/>
      <c r="NKO289" s="22"/>
      <c r="NKP289" s="22"/>
      <c r="NKQ289" s="22"/>
      <c r="NKR289" s="22"/>
      <c r="NKS289" s="22"/>
      <c r="NKT289" s="22"/>
      <c r="NKU289" s="22"/>
      <c r="NKV289" s="22"/>
      <c r="NKW289" s="22"/>
      <c r="NKX289" s="22"/>
      <c r="NKY289" s="22"/>
      <c r="NKZ289" s="22"/>
      <c r="NLA289" s="22"/>
      <c r="NLB289" s="22"/>
      <c r="NLC289" s="22"/>
      <c r="NLD289" s="22"/>
      <c r="NLE289" s="22"/>
      <c r="NLF289" s="22"/>
      <c r="NLG289" s="22"/>
      <c r="NLH289" s="22"/>
      <c r="NLI289" s="22"/>
      <c r="NLJ289" s="22"/>
      <c r="NLK289" s="22"/>
      <c r="NLL289" s="22"/>
      <c r="NLM289" s="22"/>
      <c r="NLN289" s="22"/>
      <c r="NLO289" s="22"/>
      <c r="NLP289" s="22"/>
      <c r="NLQ289" s="22"/>
      <c r="NLR289" s="22"/>
      <c r="NLS289" s="22"/>
      <c r="NLT289" s="22"/>
      <c r="NLU289" s="22"/>
      <c r="NLV289" s="22"/>
      <c r="NLW289" s="22"/>
      <c r="NLX289" s="22"/>
      <c r="NLY289" s="22"/>
      <c r="NLZ289" s="22"/>
      <c r="NMA289" s="22"/>
      <c r="NMB289" s="22"/>
      <c r="NMC289" s="22"/>
      <c r="NMD289" s="22"/>
      <c r="NME289" s="22"/>
      <c r="NMF289" s="22"/>
      <c r="NMG289" s="22"/>
      <c r="NMH289" s="22"/>
      <c r="NMI289" s="22"/>
      <c r="NMJ289" s="22"/>
      <c r="NMK289" s="22"/>
      <c r="NML289" s="22"/>
      <c r="NMM289" s="22"/>
      <c r="NMN289" s="22"/>
      <c r="NMO289" s="22"/>
      <c r="NMP289" s="22"/>
      <c r="NMQ289" s="22"/>
      <c r="NMR289" s="22"/>
      <c r="NMS289" s="22"/>
      <c r="NMT289" s="22"/>
      <c r="NMU289" s="22"/>
      <c r="NMV289" s="22"/>
      <c r="NMW289" s="22"/>
      <c r="NMX289" s="22"/>
      <c r="NMY289" s="22"/>
      <c r="NMZ289" s="22"/>
      <c r="NNA289" s="22"/>
      <c r="NNB289" s="22"/>
      <c r="NNC289" s="22"/>
      <c r="NND289" s="22"/>
      <c r="NNE289" s="22"/>
      <c r="NNF289" s="22"/>
      <c r="NNG289" s="22"/>
      <c r="NNH289" s="22"/>
      <c r="NNI289" s="22"/>
      <c r="NNJ289" s="22"/>
      <c r="NNK289" s="22"/>
      <c r="NNL289" s="22"/>
      <c r="NNM289" s="22"/>
      <c r="NNN289" s="22"/>
      <c r="NNO289" s="22"/>
      <c r="NNP289" s="22"/>
      <c r="NNQ289" s="22"/>
      <c r="NNR289" s="22"/>
      <c r="NNS289" s="22"/>
      <c r="NNT289" s="22"/>
      <c r="NNU289" s="22"/>
      <c r="NNV289" s="22"/>
      <c r="NNW289" s="22"/>
      <c r="NNX289" s="22"/>
      <c r="NNY289" s="22"/>
      <c r="NNZ289" s="22"/>
      <c r="NOA289" s="22"/>
      <c r="NOB289" s="22"/>
      <c r="NOC289" s="22"/>
      <c r="NOD289" s="22"/>
      <c r="NOE289" s="22"/>
      <c r="NOF289" s="22"/>
      <c r="NOG289" s="22"/>
      <c r="NOH289" s="22"/>
      <c r="NOI289" s="22"/>
      <c r="NOJ289" s="22"/>
      <c r="NOK289" s="22"/>
      <c r="NOL289" s="22"/>
      <c r="NOM289" s="22"/>
      <c r="NON289" s="22"/>
      <c r="NOO289" s="22"/>
      <c r="NOP289" s="22"/>
      <c r="NOQ289" s="22"/>
      <c r="NOR289" s="22"/>
      <c r="NOS289" s="22"/>
      <c r="NOT289" s="22"/>
      <c r="NOU289" s="22"/>
      <c r="NOV289" s="22"/>
      <c r="NOW289" s="22"/>
      <c r="NOX289" s="22"/>
      <c r="NOY289" s="22"/>
      <c r="NOZ289" s="22"/>
      <c r="NPA289" s="22"/>
      <c r="NPB289" s="22"/>
      <c r="NPC289" s="22"/>
      <c r="NPD289" s="22"/>
      <c r="NPE289" s="22"/>
      <c r="NPF289" s="22"/>
      <c r="NPG289" s="22"/>
      <c r="NPH289" s="22"/>
      <c r="NPI289" s="22"/>
      <c r="NPJ289" s="22"/>
      <c r="NPK289" s="22"/>
      <c r="NPL289" s="22"/>
      <c r="NPM289" s="22"/>
      <c r="NPN289" s="22"/>
      <c r="NPO289" s="22"/>
      <c r="NPP289" s="22"/>
      <c r="NPQ289" s="22"/>
      <c r="NPR289" s="22"/>
      <c r="NPS289" s="22"/>
      <c r="NPT289" s="22"/>
      <c r="NPU289" s="22"/>
      <c r="NPV289" s="22"/>
      <c r="NPW289" s="22"/>
      <c r="NPX289" s="22"/>
      <c r="NPY289" s="22"/>
      <c r="NPZ289" s="22"/>
      <c r="NQA289" s="22"/>
      <c r="NQB289" s="22"/>
      <c r="NQC289" s="22"/>
      <c r="NQD289" s="22"/>
      <c r="NQE289" s="22"/>
      <c r="NQF289" s="22"/>
      <c r="NQG289" s="22"/>
      <c r="NQH289" s="22"/>
      <c r="NQI289" s="22"/>
      <c r="NQJ289" s="22"/>
      <c r="NQK289" s="22"/>
      <c r="NQL289" s="22"/>
      <c r="NQM289" s="22"/>
      <c r="NQN289" s="22"/>
      <c r="NQO289" s="22"/>
      <c r="NQP289" s="22"/>
      <c r="NQQ289" s="22"/>
      <c r="NQR289" s="22"/>
      <c r="NQS289" s="22"/>
      <c r="NQT289" s="22"/>
      <c r="NQU289" s="22"/>
      <c r="NQV289" s="22"/>
      <c r="NQW289" s="22"/>
      <c r="NQX289" s="22"/>
      <c r="NQY289" s="22"/>
      <c r="NQZ289" s="22"/>
      <c r="NRA289" s="22"/>
      <c r="NRB289" s="22"/>
      <c r="NRC289" s="22"/>
      <c r="NRD289" s="22"/>
      <c r="NRE289" s="22"/>
      <c r="NRF289" s="22"/>
      <c r="NRG289" s="22"/>
      <c r="NRH289" s="22"/>
      <c r="NRI289" s="22"/>
      <c r="NRJ289" s="22"/>
      <c r="NRK289" s="22"/>
      <c r="NRL289" s="22"/>
      <c r="NRM289" s="22"/>
      <c r="NRN289" s="22"/>
      <c r="NRO289" s="22"/>
      <c r="NRP289" s="22"/>
      <c r="NRQ289" s="22"/>
      <c r="NRR289" s="22"/>
      <c r="NRS289" s="22"/>
      <c r="NRT289" s="22"/>
      <c r="NRU289" s="22"/>
      <c r="NRV289" s="22"/>
      <c r="NRW289" s="22"/>
      <c r="NRX289" s="22"/>
      <c r="NRY289" s="22"/>
      <c r="NRZ289" s="22"/>
      <c r="NSA289" s="22"/>
      <c r="NSB289" s="22"/>
      <c r="NSC289" s="22"/>
      <c r="NSD289" s="22"/>
      <c r="NSE289" s="22"/>
      <c r="NSF289" s="22"/>
      <c r="NSG289" s="22"/>
      <c r="NSH289" s="22"/>
      <c r="NSI289" s="22"/>
      <c r="NSJ289" s="22"/>
      <c r="NSK289" s="22"/>
      <c r="NSL289" s="22"/>
      <c r="NSM289" s="22"/>
      <c r="NSN289" s="22"/>
      <c r="NSO289" s="22"/>
      <c r="NSP289" s="22"/>
      <c r="NSQ289" s="22"/>
      <c r="NSR289" s="22"/>
      <c r="NSS289" s="22"/>
      <c r="NST289" s="22"/>
      <c r="NSU289" s="22"/>
      <c r="NSV289" s="22"/>
      <c r="NSW289" s="22"/>
      <c r="NSX289" s="22"/>
      <c r="NSY289" s="22"/>
      <c r="NSZ289" s="22"/>
      <c r="NTA289" s="22"/>
      <c r="NTB289" s="22"/>
      <c r="NTC289" s="22"/>
      <c r="NTD289" s="22"/>
      <c r="NTE289" s="22"/>
      <c r="NTF289" s="22"/>
      <c r="NTG289" s="22"/>
      <c r="NTH289" s="22"/>
      <c r="NTI289" s="22"/>
      <c r="NTJ289" s="22"/>
      <c r="NTK289" s="22"/>
      <c r="NTL289" s="22"/>
      <c r="NTM289" s="22"/>
      <c r="NTN289" s="22"/>
      <c r="NTO289" s="22"/>
      <c r="NTP289" s="22"/>
      <c r="NTQ289" s="22"/>
      <c r="NTR289" s="22"/>
      <c r="NTS289" s="22"/>
      <c r="NTT289" s="22"/>
      <c r="NTU289" s="22"/>
      <c r="NTV289" s="22"/>
      <c r="NTW289" s="22"/>
      <c r="NTX289" s="22"/>
      <c r="NTY289" s="22"/>
      <c r="NTZ289" s="22"/>
      <c r="NUA289" s="22"/>
      <c r="NUB289" s="22"/>
      <c r="NUC289" s="22"/>
      <c r="NUD289" s="22"/>
      <c r="NUE289" s="22"/>
      <c r="NUF289" s="22"/>
      <c r="NUG289" s="22"/>
      <c r="NUH289" s="22"/>
      <c r="NUI289" s="22"/>
      <c r="NUJ289" s="22"/>
      <c r="NUK289" s="22"/>
      <c r="NUL289" s="22"/>
      <c r="NUM289" s="22"/>
      <c r="NUN289" s="22"/>
      <c r="NUO289" s="22"/>
      <c r="NUP289" s="22"/>
      <c r="NUQ289" s="22"/>
      <c r="NUR289" s="22"/>
      <c r="NUS289" s="22"/>
      <c r="NUT289" s="22"/>
      <c r="NUU289" s="22"/>
      <c r="NUV289" s="22"/>
      <c r="NUW289" s="22"/>
      <c r="NUX289" s="22"/>
      <c r="NUY289" s="22"/>
      <c r="NUZ289" s="22"/>
      <c r="NVA289" s="22"/>
      <c r="NVB289" s="22"/>
      <c r="NVC289" s="22"/>
      <c r="NVD289" s="22"/>
      <c r="NVE289" s="22"/>
      <c r="NVF289" s="22"/>
      <c r="NVG289" s="22"/>
      <c r="NVH289" s="22"/>
      <c r="NVI289" s="22"/>
      <c r="NVJ289" s="22"/>
      <c r="NVK289" s="22"/>
      <c r="NVL289" s="22"/>
      <c r="NVM289" s="22"/>
      <c r="NVN289" s="22"/>
      <c r="NVO289" s="22"/>
      <c r="NVP289" s="22"/>
      <c r="NVQ289" s="22"/>
      <c r="NVR289" s="22"/>
      <c r="NVS289" s="22"/>
      <c r="NVT289" s="22"/>
      <c r="NVU289" s="22"/>
      <c r="NVV289" s="22"/>
      <c r="NVW289" s="22"/>
      <c r="NVX289" s="22"/>
      <c r="NVY289" s="22"/>
      <c r="NVZ289" s="22"/>
      <c r="NWA289" s="22"/>
      <c r="NWB289" s="22"/>
      <c r="NWC289" s="22"/>
      <c r="NWD289" s="22"/>
      <c r="NWE289" s="22"/>
      <c r="NWF289" s="22"/>
      <c r="NWG289" s="22"/>
      <c r="NWH289" s="22"/>
      <c r="NWI289" s="22"/>
      <c r="NWJ289" s="22"/>
      <c r="NWK289" s="22"/>
      <c r="NWL289" s="22"/>
      <c r="NWM289" s="22"/>
      <c r="NWN289" s="22"/>
      <c r="NWO289" s="22"/>
      <c r="NWP289" s="22"/>
      <c r="NWQ289" s="22"/>
      <c r="NWR289" s="22"/>
      <c r="NWS289" s="22"/>
      <c r="NWT289" s="22"/>
      <c r="NWU289" s="22"/>
      <c r="NWV289" s="22"/>
      <c r="NWW289" s="22"/>
      <c r="NWX289" s="22"/>
      <c r="NWY289" s="22"/>
      <c r="NWZ289" s="22"/>
      <c r="NXA289" s="22"/>
      <c r="NXB289" s="22"/>
      <c r="NXC289" s="22"/>
      <c r="NXD289" s="22"/>
      <c r="NXE289" s="22"/>
      <c r="NXF289" s="22"/>
      <c r="NXG289" s="22"/>
      <c r="NXH289" s="22"/>
      <c r="NXI289" s="22"/>
      <c r="NXJ289" s="22"/>
      <c r="NXK289" s="22"/>
      <c r="NXL289" s="22"/>
      <c r="NXM289" s="22"/>
      <c r="NXN289" s="22"/>
      <c r="NXO289" s="22"/>
      <c r="NXP289" s="22"/>
      <c r="NXQ289" s="22"/>
      <c r="NXR289" s="22"/>
      <c r="NXS289" s="22"/>
      <c r="NXT289" s="22"/>
      <c r="NXU289" s="22"/>
      <c r="NXV289" s="22"/>
      <c r="NXW289" s="22"/>
      <c r="NXX289" s="22"/>
      <c r="NXY289" s="22"/>
      <c r="NXZ289" s="22"/>
      <c r="NYA289" s="22"/>
      <c r="NYB289" s="22"/>
      <c r="NYC289" s="22"/>
      <c r="NYD289" s="22"/>
      <c r="NYE289" s="22"/>
      <c r="NYF289" s="22"/>
      <c r="NYG289" s="22"/>
      <c r="NYH289" s="22"/>
      <c r="NYI289" s="22"/>
      <c r="NYJ289" s="22"/>
      <c r="NYK289" s="22"/>
      <c r="NYL289" s="22"/>
      <c r="NYM289" s="22"/>
      <c r="NYN289" s="22"/>
      <c r="NYO289" s="22"/>
      <c r="NYP289" s="22"/>
      <c r="NYQ289" s="22"/>
      <c r="NYR289" s="22"/>
      <c r="NYS289" s="22"/>
      <c r="NYT289" s="22"/>
      <c r="NYU289" s="22"/>
      <c r="NYV289" s="22"/>
      <c r="NYW289" s="22"/>
      <c r="NYX289" s="22"/>
      <c r="NYY289" s="22"/>
      <c r="NYZ289" s="22"/>
      <c r="NZA289" s="22"/>
      <c r="NZB289" s="22"/>
      <c r="NZC289" s="22"/>
      <c r="NZD289" s="22"/>
      <c r="NZE289" s="22"/>
      <c r="NZF289" s="22"/>
      <c r="NZG289" s="22"/>
      <c r="NZH289" s="22"/>
      <c r="NZI289" s="22"/>
      <c r="NZJ289" s="22"/>
      <c r="NZK289" s="22"/>
      <c r="NZL289" s="22"/>
      <c r="NZM289" s="22"/>
      <c r="NZN289" s="22"/>
      <c r="NZO289" s="22"/>
      <c r="NZP289" s="22"/>
      <c r="NZQ289" s="22"/>
      <c r="NZR289" s="22"/>
      <c r="NZS289" s="22"/>
      <c r="NZT289" s="22"/>
      <c r="NZU289" s="22"/>
      <c r="NZV289" s="22"/>
      <c r="NZW289" s="22"/>
      <c r="NZX289" s="22"/>
      <c r="NZY289" s="22"/>
      <c r="NZZ289" s="22"/>
      <c r="OAA289" s="22"/>
      <c r="OAB289" s="22"/>
      <c r="OAC289" s="22"/>
      <c r="OAD289" s="22"/>
      <c r="OAE289" s="22"/>
      <c r="OAF289" s="22"/>
      <c r="OAG289" s="22"/>
      <c r="OAH289" s="22"/>
      <c r="OAI289" s="22"/>
      <c r="OAJ289" s="22"/>
      <c r="OAK289" s="22"/>
      <c r="OAL289" s="22"/>
      <c r="OAM289" s="22"/>
      <c r="OAN289" s="22"/>
      <c r="OAO289" s="22"/>
      <c r="OAP289" s="22"/>
      <c r="OAQ289" s="22"/>
      <c r="OAR289" s="22"/>
      <c r="OAS289" s="22"/>
      <c r="OAT289" s="22"/>
      <c r="OAU289" s="22"/>
      <c r="OAV289" s="22"/>
      <c r="OAW289" s="22"/>
      <c r="OAX289" s="22"/>
      <c r="OAY289" s="22"/>
      <c r="OAZ289" s="22"/>
      <c r="OBA289" s="22"/>
      <c r="OBB289" s="22"/>
      <c r="OBC289" s="22"/>
      <c r="OBD289" s="22"/>
      <c r="OBE289" s="22"/>
      <c r="OBF289" s="22"/>
      <c r="OBG289" s="22"/>
      <c r="OBH289" s="22"/>
      <c r="OBI289" s="22"/>
      <c r="OBJ289" s="22"/>
      <c r="OBK289" s="22"/>
      <c r="OBL289" s="22"/>
      <c r="OBM289" s="22"/>
      <c r="OBN289" s="22"/>
      <c r="OBO289" s="22"/>
      <c r="OBP289" s="22"/>
      <c r="OBQ289" s="22"/>
      <c r="OBR289" s="22"/>
      <c r="OBS289" s="22"/>
      <c r="OBT289" s="22"/>
      <c r="OBU289" s="22"/>
      <c r="OBV289" s="22"/>
      <c r="OBW289" s="22"/>
      <c r="OBX289" s="22"/>
      <c r="OBY289" s="22"/>
      <c r="OBZ289" s="22"/>
      <c r="OCA289" s="22"/>
      <c r="OCB289" s="22"/>
      <c r="OCC289" s="22"/>
      <c r="OCD289" s="22"/>
      <c r="OCE289" s="22"/>
      <c r="OCF289" s="22"/>
      <c r="OCG289" s="22"/>
      <c r="OCH289" s="22"/>
      <c r="OCI289" s="22"/>
      <c r="OCJ289" s="22"/>
      <c r="OCK289" s="22"/>
      <c r="OCL289" s="22"/>
      <c r="OCM289" s="22"/>
      <c r="OCN289" s="22"/>
      <c r="OCO289" s="22"/>
      <c r="OCP289" s="22"/>
      <c r="OCQ289" s="22"/>
      <c r="OCR289" s="22"/>
      <c r="OCS289" s="22"/>
      <c r="OCT289" s="22"/>
      <c r="OCU289" s="22"/>
      <c r="OCV289" s="22"/>
      <c r="OCW289" s="22"/>
      <c r="OCX289" s="22"/>
      <c r="OCY289" s="22"/>
      <c r="OCZ289" s="22"/>
      <c r="ODA289" s="22"/>
      <c r="ODB289" s="22"/>
      <c r="ODC289" s="22"/>
      <c r="ODD289" s="22"/>
      <c r="ODE289" s="22"/>
      <c r="ODF289" s="22"/>
      <c r="ODG289" s="22"/>
      <c r="ODH289" s="22"/>
      <c r="ODI289" s="22"/>
      <c r="ODJ289" s="22"/>
      <c r="ODK289" s="22"/>
      <c r="ODL289" s="22"/>
      <c r="ODM289" s="22"/>
      <c r="ODN289" s="22"/>
      <c r="ODO289" s="22"/>
      <c r="ODP289" s="22"/>
      <c r="ODQ289" s="22"/>
      <c r="ODR289" s="22"/>
      <c r="ODS289" s="22"/>
      <c r="ODT289" s="22"/>
      <c r="ODU289" s="22"/>
      <c r="ODV289" s="22"/>
      <c r="ODW289" s="22"/>
      <c r="ODX289" s="22"/>
      <c r="ODY289" s="22"/>
      <c r="ODZ289" s="22"/>
      <c r="OEA289" s="22"/>
      <c r="OEB289" s="22"/>
      <c r="OEC289" s="22"/>
      <c r="OED289" s="22"/>
      <c r="OEE289" s="22"/>
      <c r="OEF289" s="22"/>
      <c r="OEG289" s="22"/>
      <c r="OEH289" s="22"/>
      <c r="OEI289" s="22"/>
      <c r="OEJ289" s="22"/>
      <c r="OEK289" s="22"/>
      <c r="OEL289" s="22"/>
      <c r="OEM289" s="22"/>
      <c r="OEN289" s="22"/>
      <c r="OEO289" s="22"/>
      <c r="OEP289" s="22"/>
      <c r="OEQ289" s="22"/>
      <c r="OER289" s="22"/>
      <c r="OES289" s="22"/>
      <c r="OET289" s="22"/>
      <c r="OEU289" s="22"/>
      <c r="OEV289" s="22"/>
      <c r="OEW289" s="22"/>
      <c r="OEX289" s="22"/>
      <c r="OEY289" s="22"/>
      <c r="OEZ289" s="22"/>
      <c r="OFA289" s="22"/>
      <c r="OFB289" s="22"/>
      <c r="OFC289" s="22"/>
      <c r="OFD289" s="22"/>
      <c r="OFE289" s="22"/>
      <c r="OFF289" s="22"/>
      <c r="OFG289" s="22"/>
      <c r="OFH289" s="22"/>
      <c r="OFI289" s="22"/>
      <c r="OFJ289" s="22"/>
      <c r="OFK289" s="22"/>
      <c r="OFL289" s="22"/>
      <c r="OFM289" s="22"/>
      <c r="OFN289" s="22"/>
      <c r="OFO289" s="22"/>
      <c r="OFP289" s="22"/>
      <c r="OFQ289" s="22"/>
      <c r="OFR289" s="22"/>
      <c r="OFS289" s="22"/>
      <c r="OFT289" s="22"/>
      <c r="OFU289" s="22"/>
      <c r="OFV289" s="22"/>
      <c r="OFW289" s="22"/>
      <c r="OFX289" s="22"/>
      <c r="OFY289" s="22"/>
      <c r="OFZ289" s="22"/>
      <c r="OGA289" s="22"/>
      <c r="OGB289" s="22"/>
      <c r="OGC289" s="22"/>
      <c r="OGD289" s="22"/>
      <c r="OGE289" s="22"/>
      <c r="OGF289" s="22"/>
      <c r="OGG289" s="22"/>
      <c r="OGH289" s="22"/>
      <c r="OGI289" s="22"/>
      <c r="OGJ289" s="22"/>
      <c r="OGK289" s="22"/>
      <c r="OGL289" s="22"/>
      <c r="OGM289" s="22"/>
      <c r="OGN289" s="22"/>
      <c r="OGO289" s="22"/>
      <c r="OGP289" s="22"/>
      <c r="OGQ289" s="22"/>
      <c r="OGR289" s="22"/>
      <c r="OGS289" s="22"/>
      <c r="OGT289" s="22"/>
      <c r="OGU289" s="22"/>
      <c r="OGV289" s="22"/>
      <c r="OGW289" s="22"/>
      <c r="OGX289" s="22"/>
      <c r="OGY289" s="22"/>
      <c r="OGZ289" s="22"/>
      <c r="OHA289" s="22"/>
      <c r="OHB289" s="22"/>
      <c r="OHC289" s="22"/>
      <c r="OHD289" s="22"/>
      <c r="OHE289" s="22"/>
      <c r="OHF289" s="22"/>
      <c r="OHG289" s="22"/>
      <c r="OHH289" s="22"/>
      <c r="OHI289" s="22"/>
      <c r="OHJ289" s="22"/>
      <c r="OHK289" s="22"/>
      <c r="OHL289" s="22"/>
      <c r="OHM289" s="22"/>
      <c r="OHN289" s="22"/>
      <c r="OHO289" s="22"/>
      <c r="OHP289" s="22"/>
      <c r="OHQ289" s="22"/>
      <c r="OHR289" s="22"/>
      <c r="OHS289" s="22"/>
      <c r="OHT289" s="22"/>
      <c r="OHU289" s="22"/>
      <c r="OHV289" s="22"/>
      <c r="OHW289" s="22"/>
      <c r="OHX289" s="22"/>
      <c r="OHY289" s="22"/>
      <c r="OHZ289" s="22"/>
      <c r="OIA289" s="22"/>
      <c r="OIB289" s="22"/>
      <c r="OIC289" s="22"/>
      <c r="OID289" s="22"/>
      <c r="OIE289" s="22"/>
      <c r="OIF289" s="22"/>
      <c r="OIG289" s="22"/>
      <c r="OIH289" s="22"/>
      <c r="OII289" s="22"/>
      <c r="OIJ289" s="22"/>
      <c r="OIK289" s="22"/>
      <c r="OIL289" s="22"/>
      <c r="OIM289" s="22"/>
      <c r="OIN289" s="22"/>
      <c r="OIO289" s="22"/>
      <c r="OIP289" s="22"/>
      <c r="OIQ289" s="22"/>
      <c r="OIR289" s="22"/>
      <c r="OIS289" s="22"/>
      <c r="OIT289" s="22"/>
      <c r="OIU289" s="22"/>
      <c r="OIV289" s="22"/>
      <c r="OIW289" s="22"/>
      <c r="OIX289" s="22"/>
      <c r="OIY289" s="22"/>
      <c r="OIZ289" s="22"/>
      <c r="OJA289" s="22"/>
      <c r="OJB289" s="22"/>
      <c r="OJC289" s="22"/>
      <c r="OJD289" s="22"/>
      <c r="OJE289" s="22"/>
      <c r="OJF289" s="22"/>
      <c r="OJG289" s="22"/>
      <c r="OJH289" s="22"/>
      <c r="OJI289" s="22"/>
      <c r="OJJ289" s="22"/>
      <c r="OJK289" s="22"/>
      <c r="OJL289" s="22"/>
      <c r="OJM289" s="22"/>
      <c r="OJN289" s="22"/>
      <c r="OJO289" s="22"/>
      <c r="OJP289" s="22"/>
      <c r="OJQ289" s="22"/>
      <c r="OJR289" s="22"/>
      <c r="OJS289" s="22"/>
      <c r="OJT289" s="22"/>
      <c r="OJU289" s="22"/>
      <c r="OJV289" s="22"/>
      <c r="OJW289" s="22"/>
      <c r="OJX289" s="22"/>
      <c r="OJY289" s="22"/>
      <c r="OJZ289" s="22"/>
      <c r="OKA289" s="22"/>
      <c r="OKB289" s="22"/>
      <c r="OKC289" s="22"/>
      <c r="OKD289" s="22"/>
      <c r="OKE289" s="22"/>
      <c r="OKF289" s="22"/>
      <c r="OKG289" s="22"/>
      <c r="OKH289" s="22"/>
      <c r="OKI289" s="22"/>
      <c r="OKJ289" s="22"/>
      <c r="OKK289" s="22"/>
      <c r="OKL289" s="22"/>
      <c r="OKM289" s="22"/>
      <c r="OKN289" s="22"/>
      <c r="OKO289" s="22"/>
      <c r="OKP289" s="22"/>
      <c r="OKQ289" s="22"/>
      <c r="OKR289" s="22"/>
      <c r="OKS289" s="22"/>
      <c r="OKT289" s="22"/>
      <c r="OKU289" s="22"/>
      <c r="OKV289" s="22"/>
      <c r="OKW289" s="22"/>
      <c r="OKX289" s="22"/>
      <c r="OKY289" s="22"/>
      <c r="OKZ289" s="22"/>
      <c r="OLA289" s="22"/>
      <c r="OLB289" s="22"/>
      <c r="OLC289" s="22"/>
      <c r="OLD289" s="22"/>
      <c r="OLE289" s="22"/>
      <c r="OLF289" s="22"/>
      <c r="OLG289" s="22"/>
      <c r="OLH289" s="22"/>
      <c r="OLI289" s="22"/>
      <c r="OLJ289" s="22"/>
      <c r="OLK289" s="22"/>
      <c r="OLL289" s="22"/>
      <c r="OLM289" s="22"/>
      <c r="OLN289" s="22"/>
      <c r="OLO289" s="22"/>
      <c r="OLP289" s="22"/>
      <c r="OLQ289" s="22"/>
      <c r="OLR289" s="22"/>
      <c r="OLS289" s="22"/>
      <c r="OLT289" s="22"/>
      <c r="OLU289" s="22"/>
      <c r="OLV289" s="22"/>
      <c r="OLW289" s="22"/>
      <c r="OLX289" s="22"/>
      <c r="OLY289" s="22"/>
      <c r="OLZ289" s="22"/>
      <c r="OMA289" s="22"/>
      <c r="OMB289" s="22"/>
      <c r="OMC289" s="22"/>
      <c r="OMD289" s="22"/>
      <c r="OME289" s="22"/>
      <c r="OMF289" s="22"/>
      <c r="OMG289" s="22"/>
      <c r="OMH289" s="22"/>
      <c r="OMI289" s="22"/>
      <c r="OMJ289" s="22"/>
      <c r="OMK289" s="22"/>
      <c r="OML289" s="22"/>
      <c r="OMM289" s="22"/>
      <c r="OMN289" s="22"/>
      <c r="OMO289" s="22"/>
      <c r="OMP289" s="22"/>
      <c r="OMQ289" s="22"/>
      <c r="OMR289" s="22"/>
      <c r="OMS289" s="22"/>
      <c r="OMT289" s="22"/>
      <c r="OMU289" s="22"/>
      <c r="OMV289" s="22"/>
      <c r="OMW289" s="22"/>
      <c r="OMX289" s="22"/>
      <c r="OMY289" s="22"/>
      <c r="OMZ289" s="22"/>
      <c r="ONA289" s="22"/>
      <c r="ONB289" s="22"/>
      <c r="ONC289" s="22"/>
      <c r="OND289" s="22"/>
      <c r="ONE289" s="22"/>
      <c r="ONF289" s="22"/>
      <c r="ONG289" s="22"/>
      <c r="ONH289" s="22"/>
      <c r="ONI289" s="22"/>
      <c r="ONJ289" s="22"/>
      <c r="ONK289" s="22"/>
      <c r="ONL289" s="22"/>
      <c r="ONM289" s="22"/>
      <c r="ONN289" s="22"/>
      <c r="ONO289" s="22"/>
      <c r="ONP289" s="22"/>
      <c r="ONQ289" s="22"/>
      <c r="ONR289" s="22"/>
      <c r="ONS289" s="22"/>
      <c r="ONT289" s="22"/>
      <c r="ONU289" s="22"/>
      <c r="ONV289" s="22"/>
      <c r="ONW289" s="22"/>
      <c r="ONX289" s="22"/>
      <c r="ONY289" s="22"/>
      <c r="ONZ289" s="22"/>
      <c r="OOA289" s="22"/>
      <c r="OOB289" s="22"/>
      <c r="OOC289" s="22"/>
      <c r="OOD289" s="22"/>
      <c r="OOE289" s="22"/>
      <c r="OOF289" s="22"/>
      <c r="OOG289" s="22"/>
      <c r="OOH289" s="22"/>
      <c r="OOI289" s="22"/>
      <c r="OOJ289" s="22"/>
      <c r="OOK289" s="22"/>
      <c r="OOL289" s="22"/>
      <c r="OOM289" s="22"/>
      <c r="OON289" s="22"/>
      <c r="OOO289" s="22"/>
      <c r="OOP289" s="22"/>
      <c r="OOQ289" s="22"/>
      <c r="OOR289" s="22"/>
      <c r="OOS289" s="22"/>
      <c r="OOT289" s="22"/>
      <c r="OOU289" s="22"/>
      <c r="OOV289" s="22"/>
      <c r="OOW289" s="22"/>
      <c r="OOX289" s="22"/>
      <c r="OOY289" s="22"/>
      <c r="OOZ289" s="22"/>
      <c r="OPA289" s="22"/>
      <c r="OPB289" s="22"/>
      <c r="OPC289" s="22"/>
      <c r="OPD289" s="22"/>
      <c r="OPE289" s="22"/>
      <c r="OPF289" s="22"/>
      <c r="OPG289" s="22"/>
      <c r="OPH289" s="22"/>
      <c r="OPI289" s="22"/>
      <c r="OPJ289" s="22"/>
      <c r="OPK289" s="22"/>
      <c r="OPL289" s="22"/>
      <c r="OPM289" s="22"/>
      <c r="OPN289" s="22"/>
      <c r="OPO289" s="22"/>
      <c r="OPP289" s="22"/>
      <c r="OPQ289" s="22"/>
      <c r="OPR289" s="22"/>
      <c r="OPS289" s="22"/>
      <c r="OPT289" s="22"/>
      <c r="OPU289" s="22"/>
      <c r="OPV289" s="22"/>
      <c r="OPW289" s="22"/>
      <c r="OPX289" s="22"/>
      <c r="OPY289" s="22"/>
      <c r="OPZ289" s="22"/>
      <c r="OQA289" s="22"/>
      <c r="OQB289" s="22"/>
      <c r="OQC289" s="22"/>
      <c r="OQD289" s="22"/>
      <c r="OQE289" s="22"/>
      <c r="OQF289" s="22"/>
      <c r="OQG289" s="22"/>
      <c r="OQH289" s="22"/>
      <c r="OQI289" s="22"/>
      <c r="OQJ289" s="22"/>
      <c r="OQK289" s="22"/>
      <c r="OQL289" s="22"/>
      <c r="OQM289" s="22"/>
      <c r="OQN289" s="22"/>
      <c r="OQO289" s="22"/>
      <c r="OQP289" s="22"/>
      <c r="OQQ289" s="22"/>
      <c r="OQR289" s="22"/>
      <c r="OQS289" s="22"/>
      <c r="OQT289" s="22"/>
      <c r="OQU289" s="22"/>
      <c r="OQV289" s="22"/>
      <c r="OQW289" s="22"/>
      <c r="OQX289" s="22"/>
      <c r="OQY289" s="22"/>
      <c r="OQZ289" s="22"/>
      <c r="ORA289" s="22"/>
      <c r="ORB289" s="22"/>
      <c r="ORC289" s="22"/>
      <c r="ORD289" s="22"/>
      <c r="ORE289" s="22"/>
      <c r="ORF289" s="22"/>
      <c r="ORG289" s="22"/>
      <c r="ORH289" s="22"/>
      <c r="ORI289" s="22"/>
      <c r="ORJ289" s="22"/>
      <c r="ORK289" s="22"/>
      <c r="ORL289" s="22"/>
      <c r="ORM289" s="22"/>
      <c r="ORN289" s="22"/>
      <c r="ORO289" s="22"/>
      <c r="ORP289" s="22"/>
      <c r="ORQ289" s="22"/>
      <c r="ORR289" s="22"/>
      <c r="ORS289" s="22"/>
      <c r="ORT289" s="22"/>
      <c r="ORU289" s="22"/>
      <c r="ORV289" s="22"/>
      <c r="ORW289" s="22"/>
      <c r="ORX289" s="22"/>
      <c r="ORY289" s="22"/>
      <c r="ORZ289" s="22"/>
      <c r="OSA289" s="22"/>
      <c r="OSB289" s="22"/>
      <c r="OSC289" s="22"/>
      <c r="OSD289" s="22"/>
      <c r="OSE289" s="22"/>
      <c r="OSF289" s="22"/>
      <c r="OSG289" s="22"/>
      <c r="OSH289" s="22"/>
      <c r="OSI289" s="22"/>
      <c r="OSJ289" s="22"/>
      <c r="OSK289" s="22"/>
      <c r="OSL289" s="22"/>
      <c r="OSM289" s="22"/>
      <c r="OSN289" s="22"/>
      <c r="OSO289" s="22"/>
      <c r="OSP289" s="22"/>
      <c r="OSQ289" s="22"/>
      <c r="OSR289" s="22"/>
      <c r="OSS289" s="22"/>
      <c r="OST289" s="22"/>
      <c r="OSU289" s="22"/>
      <c r="OSV289" s="22"/>
      <c r="OSW289" s="22"/>
      <c r="OSX289" s="22"/>
      <c r="OSY289" s="22"/>
      <c r="OSZ289" s="22"/>
      <c r="OTA289" s="22"/>
      <c r="OTB289" s="22"/>
      <c r="OTC289" s="22"/>
      <c r="OTD289" s="22"/>
      <c r="OTE289" s="22"/>
      <c r="OTF289" s="22"/>
      <c r="OTG289" s="22"/>
      <c r="OTH289" s="22"/>
      <c r="OTI289" s="22"/>
      <c r="OTJ289" s="22"/>
      <c r="OTK289" s="22"/>
      <c r="OTL289" s="22"/>
      <c r="OTM289" s="22"/>
      <c r="OTN289" s="22"/>
      <c r="OTO289" s="22"/>
      <c r="OTP289" s="22"/>
      <c r="OTQ289" s="22"/>
      <c r="OTR289" s="22"/>
      <c r="OTS289" s="22"/>
      <c r="OTT289" s="22"/>
      <c r="OTU289" s="22"/>
      <c r="OTV289" s="22"/>
      <c r="OTW289" s="22"/>
      <c r="OTX289" s="22"/>
      <c r="OTY289" s="22"/>
      <c r="OTZ289" s="22"/>
      <c r="OUA289" s="22"/>
      <c r="OUB289" s="22"/>
      <c r="OUC289" s="22"/>
      <c r="OUD289" s="22"/>
      <c r="OUE289" s="22"/>
      <c r="OUF289" s="22"/>
      <c r="OUG289" s="22"/>
      <c r="OUH289" s="22"/>
      <c r="OUI289" s="22"/>
      <c r="OUJ289" s="22"/>
      <c r="OUK289" s="22"/>
      <c r="OUL289" s="22"/>
      <c r="OUM289" s="22"/>
      <c r="OUN289" s="22"/>
      <c r="OUO289" s="22"/>
      <c r="OUP289" s="22"/>
      <c r="OUQ289" s="22"/>
      <c r="OUR289" s="22"/>
      <c r="OUS289" s="22"/>
      <c r="OUT289" s="22"/>
      <c r="OUU289" s="22"/>
      <c r="OUV289" s="22"/>
      <c r="OUW289" s="22"/>
      <c r="OUX289" s="22"/>
      <c r="OUY289" s="22"/>
      <c r="OUZ289" s="22"/>
      <c r="OVA289" s="22"/>
      <c r="OVB289" s="22"/>
      <c r="OVC289" s="22"/>
      <c r="OVD289" s="22"/>
      <c r="OVE289" s="22"/>
      <c r="OVF289" s="22"/>
      <c r="OVG289" s="22"/>
      <c r="OVH289" s="22"/>
      <c r="OVI289" s="22"/>
      <c r="OVJ289" s="22"/>
      <c r="OVK289" s="22"/>
      <c r="OVL289" s="22"/>
      <c r="OVM289" s="22"/>
      <c r="OVN289" s="22"/>
      <c r="OVO289" s="22"/>
      <c r="OVP289" s="22"/>
      <c r="OVQ289" s="22"/>
      <c r="OVR289" s="22"/>
      <c r="OVS289" s="22"/>
      <c r="OVT289" s="22"/>
      <c r="OVU289" s="22"/>
      <c r="OVV289" s="22"/>
      <c r="OVW289" s="22"/>
      <c r="OVX289" s="22"/>
      <c r="OVY289" s="22"/>
      <c r="OVZ289" s="22"/>
      <c r="OWA289" s="22"/>
      <c r="OWB289" s="22"/>
      <c r="OWC289" s="22"/>
      <c r="OWD289" s="22"/>
      <c r="OWE289" s="22"/>
      <c r="OWF289" s="22"/>
      <c r="OWG289" s="22"/>
      <c r="OWH289" s="22"/>
      <c r="OWI289" s="22"/>
      <c r="OWJ289" s="22"/>
      <c r="OWK289" s="22"/>
      <c r="OWL289" s="22"/>
      <c r="OWM289" s="22"/>
      <c r="OWN289" s="22"/>
      <c r="OWO289" s="22"/>
      <c r="OWP289" s="22"/>
      <c r="OWQ289" s="22"/>
      <c r="OWR289" s="22"/>
      <c r="OWS289" s="22"/>
      <c r="OWT289" s="22"/>
      <c r="OWU289" s="22"/>
      <c r="OWV289" s="22"/>
      <c r="OWW289" s="22"/>
      <c r="OWX289" s="22"/>
      <c r="OWY289" s="22"/>
      <c r="OWZ289" s="22"/>
      <c r="OXA289" s="22"/>
      <c r="OXB289" s="22"/>
      <c r="OXC289" s="22"/>
      <c r="OXD289" s="22"/>
      <c r="OXE289" s="22"/>
      <c r="OXF289" s="22"/>
      <c r="OXG289" s="22"/>
      <c r="OXH289" s="22"/>
      <c r="OXI289" s="22"/>
      <c r="OXJ289" s="22"/>
      <c r="OXK289" s="22"/>
      <c r="OXL289" s="22"/>
      <c r="OXM289" s="22"/>
      <c r="OXN289" s="22"/>
      <c r="OXO289" s="22"/>
      <c r="OXP289" s="22"/>
      <c r="OXQ289" s="22"/>
      <c r="OXR289" s="22"/>
      <c r="OXS289" s="22"/>
      <c r="OXT289" s="22"/>
      <c r="OXU289" s="22"/>
      <c r="OXV289" s="22"/>
      <c r="OXW289" s="22"/>
      <c r="OXX289" s="22"/>
      <c r="OXY289" s="22"/>
      <c r="OXZ289" s="22"/>
      <c r="OYA289" s="22"/>
      <c r="OYB289" s="22"/>
      <c r="OYC289" s="22"/>
      <c r="OYD289" s="22"/>
      <c r="OYE289" s="22"/>
      <c r="OYF289" s="22"/>
      <c r="OYG289" s="22"/>
      <c r="OYH289" s="22"/>
      <c r="OYI289" s="22"/>
      <c r="OYJ289" s="22"/>
      <c r="OYK289" s="22"/>
      <c r="OYL289" s="22"/>
      <c r="OYM289" s="22"/>
      <c r="OYN289" s="22"/>
      <c r="OYO289" s="22"/>
      <c r="OYP289" s="22"/>
      <c r="OYQ289" s="22"/>
      <c r="OYR289" s="22"/>
      <c r="OYS289" s="22"/>
      <c r="OYT289" s="22"/>
      <c r="OYU289" s="22"/>
      <c r="OYV289" s="22"/>
      <c r="OYW289" s="22"/>
      <c r="OYX289" s="22"/>
      <c r="OYY289" s="22"/>
      <c r="OYZ289" s="22"/>
      <c r="OZA289" s="22"/>
      <c r="OZB289" s="22"/>
      <c r="OZC289" s="22"/>
      <c r="OZD289" s="22"/>
      <c r="OZE289" s="22"/>
      <c r="OZF289" s="22"/>
      <c r="OZG289" s="22"/>
      <c r="OZH289" s="22"/>
      <c r="OZI289" s="22"/>
      <c r="OZJ289" s="22"/>
      <c r="OZK289" s="22"/>
      <c r="OZL289" s="22"/>
      <c r="OZM289" s="22"/>
      <c r="OZN289" s="22"/>
      <c r="OZO289" s="22"/>
      <c r="OZP289" s="22"/>
      <c r="OZQ289" s="22"/>
      <c r="OZR289" s="22"/>
      <c r="OZS289" s="22"/>
      <c r="OZT289" s="22"/>
      <c r="OZU289" s="22"/>
      <c r="OZV289" s="22"/>
      <c r="OZW289" s="22"/>
      <c r="OZX289" s="22"/>
      <c r="OZY289" s="22"/>
      <c r="OZZ289" s="22"/>
      <c r="PAA289" s="22"/>
      <c r="PAB289" s="22"/>
      <c r="PAC289" s="22"/>
      <c r="PAD289" s="22"/>
      <c r="PAE289" s="22"/>
      <c r="PAF289" s="22"/>
      <c r="PAG289" s="22"/>
      <c r="PAH289" s="22"/>
      <c r="PAI289" s="22"/>
      <c r="PAJ289" s="22"/>
      <c r="PAK289" s="22"/>
      <c r="PAL289" s="22"/>
      <c r="PAM289" s="22"/>
      <c r="PAN289" s="22"/>
      <c r="PAO289" s="22"/>
      <c r="PAP289" s="22"/>
      <c r="PAQ289" s="22"/>
      <c r="PAR289" s="22"/>
      <c r="PAS289" s="22"/>
      <c r="PAT289" s="22"/>
      <c r="PAU289" s="22"/>
      <c r="PAV289" s="22"/>
      <c r="PAW289" s="22"/>
      <c r="PAX289" s="22"/>
      <c r="PAY289" s="22"/>
      <c r="PAZ289" s="22"/>
      <c r="PBA289" s="22"/>
      <c r="PBB289" s="22"/>
      <c r="PBC289" s="22"/>
      <c r="PBD289" s="22"/>
      <c r="PBE289" s="22"/>
      <c r="PBF289" s="22"/>
      <c r="PBG289" s="22"/>
      <c r="PBH289" s="22"/>
      <c r="PBI289" s="22"/>
      <c r="PBJ289" s="22"/>
      <c r="PBK289" s="22"/>
      <c r="PBL289" s="22"/>
      <c r="PBM289" s="22"/>
      <c r="PBN289" s="22"/>
      <c r="PBO289" s="22"/>
      <c r="PBP289" s="22"/>
      <c r="PBQ289" s="22"/>
      <c r="PBR289" s="22"/>
      <c r="PBS289" s="22"/>
      <c r="PBT289" s="22"/>
      <c r="PBU289" s="22"/>
      <c r="PBV289" s="22"/>
      <c r="PBW289" s="22"/>
      <c r="PBX289" s="22"/>
      <c r="PBY289" s="22"/>
      <c r="PBZ289" s="22"/>
      <c r="PCA289" s="22"/>
      <c r="PCB289" s="22"/>
      <c r="PCC289" s="22"/>
      <c r="PCD289" s="22"/>
      <c r="PCE289" s="22"/>
      <c r="PCF289" s="22"/>
      <c r="PCG289" s="22"/>
      <c r="PCH289" s="22"/>
      <c r="PCI289" s="22"/>
      <c r="PCJ289" s="22"/>
      <c r="PCK289" s="22"/>
      <c r="PCL289" s="22"/>
      <c r="PCM289" s="22"/>
      <c r="PCN289" s="22"/>
      <c r="PCO289" s="22"/>
      <c r="PCP289" s="22"/>
      <c r="PCQ289" s="22"/>
      <c r="PCR289" s="22"/>
      <c r="PCS289" s="22"/>
      <c r="PCT289" s="22"/>
      <c r="PCU289" s="22"/>
      <c r="PCV289" s="22"/>
      <c r="PCW289" s="22"/>
      <c r="PCX289" s="22"/>
      <c r="PCY289" s="22"/>
      <c r="PCZ289" s="22"/>
      <c r="PDA289" s="22"/>
      <c r="PDB289" s="22"/>
      <c r="PDC289" s="22"/>
      <c r="PDD289" s="22"/>
      <c r="PDE289" s="22"/>
      <c r="PDF289" s="22"/>
      <c r="PDG289" s="22"/>
      <c r="PDH289" s="22"/>
      <c r="PDI289" s="22"/>
      <c r="PDJ289" s="22"/>
      <c r="PDK289" s="22"/>
      <c r="PDL289" s="22"/>
      <c r="PDM289" s="22"/>
      <c r="PDN289" s="22"/>
      <c r="PDO289" s="22"/>
      <c r="PDP289" s="22"/>
      <c r="PDQ289" s="22"/>
      <c r="PDR289" s="22"/>
      <c r="PDS289" s="22"/>
      <c r="PDT289" s="22"/>
      <c r="PDU289" s="22"/>
      <c r="PDV289" s="22"/>
      <c r="PDW289" s="22"/>
      <c r="PDX289" s="22"/>
      <c r="PDY289" s="22"/>
      <c r="PDZ289" s="22"/>
      <c r="PEA289" s="22"/>
      <c r="PEB289" s="22"/>
      <c r="PEC289" s="22"/>
      <c r="PED289" s="22"/>
      <c r="PEE289" s="22"/>
      <c r="PEF289" s="22"/>
      <c r="PEG289" s="22"/>
      <c r="PEH289" s="22"/>
      <c r="PEI289" s="22"/>
      <c r="PEJ289" s="22"/>
      <c r="PEK289" s="22"/>
      <c r="PEL289" s="22"/>
      <c r="PEM289" s="22"/>
      <c r="PEN289" s="22"/>
      <c r="PEO289" s="22"/>
      <c r="PEP289" s="22"/>
      <c r="PEQ289" s="22"/>
      <c r="PER289" s="22"/>
      <c r="PES289" s="22"/>
      <c r="PET289" s="22"/>
      <c r="PEU289" s="22"/>
      <c r="PEV289" s="22"/>
      <c r="PEW289" s="22"/>
      <c r="PEX289" s="22"/>
      <c r="PEY289" s="22"/>
      <c r="PEZ289" s="22"/>
      <c r="PFA289" s="22"/>
      <c r="PFB289" s="22"/>
      <c r="PFC289" s="22"/>
      <c r="PFD289" s="22"/>
      <c r="PFE289" s="22"/>
      <c r="PFF289" s="22"/>
      <c r="PFG289" s="22"/>
      <c r="PFH289" s="22"/>
      <c r="PFI289" s="22"/>
      <c r="PFJ289" s="22"/>
      <c r="PFK289" s="22"/>
      <c r="PFL289" s="22"/>
      <c r="PFM289" s="22"/>
      <c r="PFN289" s="22"/>
      <c r="PFO289" s="22"/>
      <c r="PFP289" s="22"/>
      <c r="PFQ289" s="22"/>
      <c r="PFR289" s="22"/>
      <c r="PFS289" s="22"/>
      <c r="PFT289" s="22"/>
      <c r="PFU289" s="22"/>
      <c r="PFV289" s="22"/>
      <c r="PFW289" s="22"/>
      <c r="PFX289" s="22"/>
      <c r="PFY289" s="22"/>
      <c r="PFZ289" s="22"/>
      <c r="PGA289" s="22"/>
      <c r="PGB289" s="22"/>
      <c r="PGC289" s="22"/>
      <c r="PGD289" s="22"/>
      <c r="PGE289" s="22"/>
      <c r="PGF289" s="22"/>
      <c r="PGG289" s="22"/>
      <c r="PGH289" s="22"/>
      <c r="PGI289" s="22"/>
      <c r="PGJ289" s="22"/>
      <c r="PGK289" s="22"/>
      <c r="PGL289" s="22"/>
      <c r="PGM289" s="22"/>
      <c r="PGN289" s="22"/>
      <c r="PGO289" s="22"/>
      <c r="PGP289" s="22"/>
      <c r="PGQ289" s="22"/>
      <c r="PGR289" s="22"/>
      <c r="PGS289" s="22"/>
      <c r="PGT289" s="22"/>
      <c r="PGU289" s="22"/>
      <c r="PGV289" s="22"/>
      <c r="PGW289" s="22"/>
      <c r="PGX289" s="22"/>
      <c r="PGY289" s="22"/>
      <c r="PGZ289" s="22"/>
      <c r="PHA289" s="22"/>
      <c r="PHB289" s="22"/>
      <c r="PHC289" s="22"/>
      <c r="PHD289" s="22"/>
      <c r="PHE289" s="22"/>
      <c r="PHF289" s="22"/>
      <c r="PHG289" s="22"/>
      <c r="PHH289" s="22"/>
      <c r="PHI289" s="22"/>
      <c r="PHJ289" s="22"/>
      <c r="PHK289" s="22"/>
      <c r="PHL289" s="22"/>
      <c r="PHM289" s="22"/>
      <c r="PHN289" s="22"/>
      <c r="PHO289" s="22"/>
      <c r="PHP289" s="22"/>
      <c r="PHQ289" s="22"/>
      <c r="PHR289" s="22"/>
      <c r="PHS289" s="22"/>
      <c r="PHT289" s="22"/>
      <c r="PHU289" s="22"/>
      <c r="PHV289" s="22"/>
      <c r="PHW289" s="22"/>
      <c r="PHX289" s="22"/>
      <c r="PHY289" s="22"/>
      <c r="PHZ289" s="22"/>
      <c r="PIA289" s="22"/>
      <c r="PIB289" s="22"/>
      <c r="PIC289" s="22"/>
      <c r="PID289" s="22"/>
      <c r="PIE289" s="22"/>
      <c r="PIF289" s="22"/>
      <c r="PIG289" s="22"/>
      <c r="PIH289" s="22"/>
      <c r="PII289" s="22"/>
      <c r="PIJ289" s="22"/>
      <c r="PIK289" s="22"/>
      <c r="PIL289" s="22"/>
      <c r="PIM289" s="22"/>
      <c r="PIN289" s="22"/>
      <c r="PIO289" s="22"/>
      <c r="PIP289" s="22"/>
      <c r="PIQ289" s="22"/>
      <c r="PIR289" s="22"/>
      <c r="PIS289" s="22"/>
      <c r="PIT289" s="22"/>
      <c r="PIU289" s="22"/>
      <c r="PIV289" s="22"/>
      <c r="PIW289" s="22"/>
      <c r="PIX289" s="22"/>
      <c r="PIY289" s="22"/>
      <c r="PIZ289" s="22"/>
      <c r="PJA289" s="22"/>
      <c r="PJB289" s="22"/>
      <c r="PJC289" s="22"/>
      <c r="PJD289" s="22"/>
      <c r="PJE289" s="22"/>
      <c r="PJF289" s="22"/>
      <c r="PJG289" s="22"/>
      <c r="PJH289" s="22"/>
      <c r="PJI289" s="22"/>
      <c r="PJJ289" s="22"/>
      <c r="PJK289" s="22"/>
      <c r="PJL289" s="22"/>
      <c r="PJM289" s="22"/>
      <c r="PJN289" s="22"/>
      <c r="PJO289" s="22"/>
      <c r="PJP289" s="22"/>
      <c r="PJQ289" s="22"/>
      <c r="PJR289" s="22"/>
      <c r="PJS289" s="22"/>
      <c r="PJT289" s="22"/>
      <c r="PJU289" s="22"/>
      <c r="PJV289" s="22"/>
      <c r="PJW289" s="22"/>
      <c r="PJX289" s="22"/>
      <c r="PJY289" s="22"/>
      <c r="PJZ289" s="22"/>
      <c r="PKA289" s="22"/>
      <c r="PKB289" s="22"/>
      <c r="PKC289" s="22"/>
      <c r="PKD289" s="22"/>
      <c r="PKE289" s="22"/>
      <c r="PKF289" s="22"/>
      <c r="PKG289" s="22"/>
      <c r="PKH289" s="22"/>
      <c r="PKI289" s="22"/>
      <c r="PKJ289" s="22"/>
      <c r="PKK289" s="22"/>
      <c r="PKL289" s="22"/>
      <c r="PKM289" s="22"/>
      <c r="PKN289" s="22"/>
      <c r="PKO289" s="22"/>
      <c r="PKP289" s="22"/>
      <c r="PKQ289" s="22"/>
      <c r="PKR289" s="22"/>
      <c r="PKS289" s="22"/>
      <c r="PKT289" s="22"/>
      <c r="PKU289" s="22"/>
      <c r="PKV289" s="22"/>
      <c r="PKW289" s="22"/>
      <c r="PKX289" s="22"/>
      <c r="PKY289" s="22"/>
      <c r="PKZ289" s="22"/>
      <c r="PLA289" s="22"/>
      <c r="PLB289" s="22"/>
      <c r="PLC289" s="22"/>
      <c r="PLD289" s="22"/>
      <c r="PLE289" s="22"/>
      <c r="PLF289" s="22"/>
      <c r="PLG289" s="22"/>
      <c r="PLH289" s="22"/>
      <c r="PLI289" s="22"/>
      <c r="PLJ289" s="22"/>
      <c r="PLK289" s="22"/>
      <c r="PLL289" s="22"/>
      <c r="PLM289" s="22"/>
      <c r="PLN289" s="22"/>
      <c r="PLO289" s="22"/>
      <c r="PLP289" s="22"/>
      <c r="PLQ289" s="22"/>
      <c r="PLR289" s="22"/>
      <c r="PLS289" s="22"/>
      <c r="PLT289" s="22"/>
      <c r="PLU289" s="22"/>
      <c r="PLV289" s="22"/>
      <c r="PLW289" s="22"/>
      <c r="PLX289" s="22"/>
      <c r="PLY289" s="22"/>
      <c r="PLZ289" s="22"/>
      <c r="PMA289" s="22"/>
      <c r="PMB289" s="22"/>
      <c r="PMC289" s="22"/>
      <c r="PMD289" s="22"/>
      <c r="PME289" s="22"/>
      <c r="PMF289" s="22"/>
      <c r="PMG289" s="22"/>
      <c r="PMH289" s="22"/>
      <c r="PMI289" s="22"/>
      <c r="PMJ289" s="22"/>
      <c r="PMK289" s="22"/>
      <c r="PML289" s="22"/>
      <c r="PMM289" s="22"/>
      <c r="PMN289" s="22"/>
      <c r="PMO289" s="22"/>
      <c r="PMP289" s="22"/>
      <c r="PMQ289" s="22"/>
      <c r="PMR289" s="22"/>
      <c r="PMS289" s="22"/>
      <c r="PMT289" s="22"/>
      <c r="PMU289" s="22"/>
      <c r="PMV289" s="22"/>
      <c r="PMW289" s="22"/>
      <c r="PMX289" s="22"/>
      <c r="PMY289" s="22"/>
      <c r="PMZ289" s="22"/>
      <c r="PNA289" s="22"/>
      <c r="PNB289" s="22"/>
      <c r="PNC289" s="22"/>
      <c r="PND289" s="22"/>
      <c r="PNE289" s="22"/>
      <c r="PNF289" s="22"/>
      <c r="PNG289" s="22"/>
      <c r="PNH289" s="22"/>
      <c r="PNI289" s="22"/>
      <c r="PNJ289" s="22"/>
      <c r="PNK289" s="22"/>
      <c r="PNL289" s="22"/>
      <c r="PNM289" s="22"/>
      <c r="PNN289" s="22"/>
      <c r="PNO289" s="22"/>
      <c r="PNP289" s="22"/>
      <c r="PNQ289" s="22"/>
      <c r="PNR289" s="22"/>
      <c r="PNS289" s="22"/>
      <c r="PNT289" s="22"/>
      <c r="PNU289" s="22"/>
      <c r="PNV289" s="22"/>
      <c r="PNW289" s="22"/>
      <c r="PNX289" s="22"/>
      <c r="PNY289" s="22"/>
      <c r="PNZ289" s="22"/>
      <c r="POA289" s="22"/>
      <c r="POB289" s="22"/>
      <c r="POC289" s="22"/>
      <c r="POD289" s="22"/>
      <c r="POE289" s="22"/>
      <c r="POF289" s="22"/>
      <c r="POG289" s="22"/>
      <c r="POH289" s="22"/>
      <c r="POI289" s="22"/>
      <c r="POJ289" s="22"/>
      <c r="POK289" s="22"/>
      <c r="POL289" s="22"/>
      <c r="POM289" s="22"/>
      <c r="PON289" s="22"/>
      <c r="POO289" s="22"/>
      <c r="POP289" s="22"/>
      <c r="POQ289" s="22"/>
      <c r="POR289" s="22"/>
      <c r="POS289" s="22"/>
      <c r="POT289" s="22"/>
      <c r="POU289" s="22"/>
      <c r="POV289" s="22"/>
      <c r="POW289" s="22"/>
      <c r="POX289" s="22"/>
      <c r="POY289" s="22"/>
      <c r="POZ289" s="22"/>
      <c r="PPA289" s="22"/>
      <c r="PPB289" s="22"/>
      <c r="PPC289" s="22"/>
      <c r="PPD289" s="22"/>
      <c r="PPE289" s="22"/>
      <c r="PPF289" s="22"/>
      <c r="PPG289" s="22"/>
      <c r="PPH289" s="22"/>
      <c r="PPI289" s="22"/>
      <c r="PPJ289" s="22"/>
      <c r="PPK289" s="22"/>
      <c r="PPL289" s="22"/>
      <c r="PPM289" s="22"/>
      <c r="PPN289" s="22"/>
      <c r="PPO289" s="22"/>
      <c r="PPP289" s="22"/>
      <c r="PPQ289" s="22"/>
      <c r="PPR289" s="22"/>
      <c r="PPS289" s="22"/>
      <c r="PPT289" s="22"/>
      <c r="PPU289" s="22"/>
      <c r="PPV289" s="22"/>
      <c r="PPW289" s="22"/>
      <c r="PPX289" s="22"/>
      <c r="PPY289" s="22"/>
      <c r="PPZ289" s="22"/>
      <c r="PQA289" s="22"/>
      <c r="PQB289" s="22"/>
      <c r="PQC289" s="22"/>
      <c r="PQD289" s="22"/>
      <c r="PQE289" s="22"/>
      <c r="PQF289" s="22"/>
      <c r="PQG289" s="22"/>
      <c r="PQH289" s="22"/>
      <c r="PQI289" s="22"/>
      <c r="PQJ289" s="22"/>
      <c r="PQK289" s="22"/>
      <c r="PQL289" s="22"/>
      <c r="PQM289" s="22"/>
      <c r="PQN289" s="22"/>
      <c r="PQO289" s="22"/>
      <c r="PQP289" s="22"/>
      <c r="PQQ289" s="22"/>
      <c r="PQR289" s="22"/>
      <c r="PQS289" s="22"/>
      <c r="PQT289" s="22"/>
      <c r="PQU289" s="22"/>
      <c r="PQV289" s="22"/>
      <c r="PQW289" s="22"/>
      <c r="PQX289" s="22"/>
      <c r="PQY289" s="22"/>
      <c r="PQZ289" s="22"/>
      <c r="PRA289" s="22"/>
      <c r="PRB289" s="22"/>
      <c r="PRC289" s="22"/>
      <c r="PRD289" s="22"/>
      <c r="PRE289" s="22"/>
      <c r="PRF289" s="22"/>
      <c r="PRG289" s="22"/>
      <c r="PRH289" s="22"/>
      <c r="PRI289" s="22"/>
      <c r="PRJ289" s="22"/>
      <c r="PRK289" s="22"/>
      <c r="PRL289" s="22"/>
      <c r="PRM289" s="22"/>
      <c r="PRN289" s="22"/>
      <c r="PRO289" s="22"/>
      <c r="PRP289" s="22"/>
      <c r="PRQ289" s="22"/>
      <c r="PRR289" s="22"/>
      <c r="PRS289" s="22"/>
      <c r="PRT289" s="22"/>
      <c r="PRU289" s="22"/>
      <c r="PRV289" s="22"/>
      <c r="PRW289" s="22"/>
      <c r="PRX289" s="22"/>
      <c r="PRY289" s="22"/>
      <c r="PRZ289" s="22"/>
      <c r="PSA289" s="22"/>
      <c r="PSB289" s="22"/>
      <c r="PSC289" s="22"/>
      <c r="PSD289" s="22"/>
      <c r="PSE289" s="22"/>
      <c r="PSF289" s="22"/>
      <c r="PSG289" s="22"/>
      <c r="PSH289" s="22"/>
      <c r="PSI289" s="22"/>
      <c r="PSJ289" s="22"/>
      <c r="PSK289" s="22"/>
      <c r="PSL289" s="22"/>
      <c r="PSM289" s="22"/>
      <c r="PSN289" s="22"/>
      <c r="PSO289" s="22"/>
      <c r="PSP289" s="22"/>
      <c r="PSQ289" s="22"/>
      <c r="PSR289" s="22"/>
      <c r="PSS289" s="22"/>
      <c r="PST289" s="22"/>
      <c r="PSU289" s="22"/>
      <c r="PSV289" s="22"/>
      <c r="PSW289" s="22"/>
      <c r="PSX289" s="22"/>
      <c r="PSY289" s="22"/>
      <c r="PSZ289" s="22"/>
      <c r="PTA289" s="22"/>
      <c r="PTB289" s="22"/>
      <c r="PTC289" s="22"/>
      <c r="PTD289" s="22"/>
      <c r="PTE289" s="22"/>
      <c r="PTF289" s="22"/>
      <c r="PTG289" s="22"/>
      <c r="PTH289" s="22"/>
      <c r="PTI289" s="22"/>
      <c r="PTJ289" s="22"/>
      <c r="PTK289" s="22"/>
      <c r="PTL289" s="22"/>
      <c r="PTM289" s="22"/>
      <c r="PTN289" s="22"/>
      <c r="PTO289" s="22"/>
      <c r="PTP289" s="22"/>
      <c r="PTQ289" s="22"/>
      <c r="PTR289" s="22"/>
      <c r="PTS289" s="22"/>
      <c r="PTT289" s="22"/>
      <c r="PTU289" s="22"/>
      <c r="PTV289" s="22"/>
      <c r="PTW289" s="22"/>
      <c r="PTX289" s="22"/>
      <c r="PTY289" s="22"/>
      <c r="PTZ289" s="22"/>
      <c r="PUA289" s="22"/>
      <c r="PUB289" s="22"/>
      <c r="PUC289" s="22"/>
      <c r="PUD289" s="22"/>
      <c r="PUE289" s="22"/>
      <c r="PUF289" s="22"/>
      <c r="PUG289" s="22"/>
      <c r="PUH289" s="22"/>
      <c r="PUI289" s="22"/>
      <c r="PUJ289" s="22"/>
      <c r="PUK289" s="22"/>
      <c r="PUL289" s="22"/>
      <c r="PUM289" s="22"/>
      <c r="PUN289" s="22"/>
      <c r="PUO289" s="22"/>
      <c r="PUP289" s="22"/>
      <c r="PUQ289" s="22"/>
      <c r="PUR289" s="22"/>
      <c r="PUS289" s="22"/>
      <c r="PUT289" s="22"/>
      <c r="PUU289" s="22"/>
      <c r="PUV289" s="22"/>
      <c r="PUW289" s="22"/>
      <c r="PUX289" s="22"/>
      <c r="PUY289" s="22"/>
      <c r="PUZ289" s="22"/>
      <c r="PVA289" s="22"/>
      <c r="PVB289" s="22"/>
      <c r="PVC289" s="22"/>
      <c r="PVD289" s="22"/>
      <c r="PVE289" s="22"/>
      <c r="PVF289" s="22"/>
      <c r="PVG289" s="22"/>
      <c r="PVH289" s="22"/>
      <c r="PVI289" s="22"/>
      <c r="PVJ289" s="22"/>
      <c r="PVK289" s="22"/>
      <c r="PVL289" s="22"/>
      <c r="PVM289" s="22"/>
      <c r="PVN289" s="22"/>
      <c r="PVO289" s="22"/>
      <c r="PVP289" s="22"/>
      <c r="PVQ289" s="22"/>
      <c r="PVR289" s="22"/>
      <c r="PVS289" s="22"/>
      <c r="PVT289" s="22"/>
      <c r="PVU289" s="22"/>
      <c r="PVV289" s="22"/>
      <c r="PVW289" s="22"/>
      <c r="PVX289" s="22"/>
      <c r="PVY289" s="22"/>
      <c r="PVZ289" s="22"/>
      <c r="PWA289" s="22"/>
      <c r="PWB289" s="22"/>
      <c r="PWC289" s="22"/>
      <c r="PWD289" s="22"/>
      <c r="PWE289" s="22"/>
      <c r="PWF289" s="22"/>
      <c r="PWG289" s="22"/>
      <c r="PWH289" s="22"/>
      <c r="PWI289" s="22"/>
      <c r="PWJ289" s="22"/>
      <c r="PWK289" s="22"/>
      <c r="PWL289" s="22"/>
      <c r="PWM289" s="22"/>
      <c r="PWN289" s="22"/>
      <c r="PWO289" s="22"/>
      <c r="PWP289" s="22"/>
      <c r="PWQ289" s="22"/>
      <c r="PWR289" s="22"/>
      <c r="PWS289" s="22"/>
      <c r="PWT289" s="22"/>
      <c r="PWU289" s="22"/>
      <c r="PWV289" s="22"/>
      <c r="PWW289" s="22"/>
      <c r="PWX289" s="22"/>
      <c r="PWY289" s="22"/>
      <c r="PWZ289" s="22"/>
      <c r="PXA289" s="22"/>
      <c r="PXB289" s="22"/>
      <c r="PXC289" s="22"/>
      <c r="PXD289" s="22"/>
      <c r="PXE289" s="22"/>
      <c r="PXF289" s="22"/>
      <c r="PXG289" s="22"/>
      <c r="PXH289" s="22"/>
      <c r="PXI289" s="22"/>
      <c r="PXJ289" s="22"/>
      <c r="PXK289" s="22"/>
      <c r="PXL289" s="22"/>
      <c r="PXM289" s="22"/>
      <c r="PXN289" s="22"/>
      <c r="PXO289" s="22"/>
      <c r="PXP289" s="22"/>
      <c r="PXQ289" s="22"/>
      <c r="PXR289" s="22"/>
      <c r="PXS289" s="22"/>
      <c r="PXT289" s="22"/>
      <c r="PXU289" s="22"/>
      <c r="PXV289" s="22"/>
      <c r="PXW289" s="22"/>
      <c r="PXX289" s="22"/>
      <c r="PXY289" s="22"/>
      <c r="PXZ289" s="22"/>
      <c r="PYA289" s="22"/>
      <c r="PYB289" s="22"/>
      <c r="PYC289" s="22"/>
      <c r="PYD289" s="22"/>
      <c r="PYE289" s="22"/>
      <c r="PYF289" s="22"/>
      <c r="PYG289" s="22"/>
      <c r="PYH289" s="22"/>
      <c r="PYI289" s="22"/>
      <c r="PYJ289" s="22"/>
      <c r="PYK289" s="22"/>
      <c r="PYL289" s="22"/>
      <c r="PYM289" s="22"/>
      <c r="PYN289" s="22"/>
      <c r="PYO289" s="22"/>
      <c r="PYP289" s="22"/>
      <c r="PYQ289" s="22"/>
      <c r="PYR289" s="22"/>
      <c r="PYS289" s="22"/>
      <c r="PYT289" s="22"/>
      <c r="PYU289" s="22"/>
      <c r="PYV289" s="22"/>
      <c r="PYW289" s="22"/>
      <c r="PYX289" s="22"/>
      <c r="PYY289" s="22"/>
      <c r="PYZ289" s="22"/>
      <c r="PZA289" s="22"/>
      <c r="PZB289" s="22"/>
      <c r="PZC289" s="22"/>
      <c r="PZD289" s="22"/>
      <c r="PZE289" s="22"/>
      <c r="PZF289" s="22"/>
      <c r="PZG289" s="22"/>
      <c r="PZH289" s="22"/>
      <c r="PZI289" s="22"/>
      <c r="PZJ289" s="22"/>
      <c r="PZK289" s="22"/>
      <c r="PZL289" s="22"/>
      <c r="PZM289" s="22"/>
      <c r="PZN289" s="22"/>
      <c r="PZO289" s="22"/>
      <c r="PZP289" s="22"/>
      <c r="PZQ289" s="22"/>
      <c r="PZR289" s="22"/>
      <c r="PZS289" s="22"/>
      <c r="PZT289" s="22"/>
      <c r="PZU289" s="22"/>
      <c r="PZV289" s="22"/>
      <c r="PZW289" s="22"/>
      <c r="PZX289" s="22"/>
      <c r="PZY289" s="22"/>
      <c r="PZZ289" s="22"/>
      <c r="QAA289" s="22"/>
      <c r="QAB289" s="22"/>
      <c r="QAC289" s="22"/>
      <c r="QAD289" s="22"/>
      <c r="QAE289" s="22"/>
      <c r="QAF289" s="22"/>
      <c r="QAG289" s="22"/>
      <c r="QAH289" s="22"/>
      <c r="QAI289" s="22"/>
      <c r="QAJ289" s="22"/>
      <c r="QAK289" s="22"/>
      <c r="QAL289" s="22"/>
      <c r="QAM289" s="22"/>
      <c r="QAN289" s="22"/>
      <c r="QAO289" s="22"/>
      <c r="QAP289" s="22"/>
      <c r="QAQ289" s="22"/>
      <c r="QAR289" s="22"/>
      <c r="QAS289" s="22"/>
      <c r="QAT289" s="22"/>
      <c r="QAU289" s="22"/>
      <c r="QAV289" s="22"/>
      <c r="QAW289" s="22"/>
      <c r="QAX289" s="22"/>
      <c r="QAY289" s="22"/>
      <c r="QAZ289" s="22"/>
      <c r="QBA289" s="22"/>
      <c r="QBB289" s="22"/>
      <c r="QBC289" s="22"/>
      <c r="QBD289" s="22"/>
      <c r="QBE289" s="22"/>
      <c r="QBF289" s="22"/>
      <c r="QBG289" s="22"/>
      <c r="QBH289" s="22"/>
      <c r="QBI289" s="22"/>
      <c r="QBJ289" s="22"/>
      <c r="QBK289" s="22"/>
      <c r="QBL289" s="22"/>
      <c r="QBM289" s="22"/>
      <c r="QBN289" s="22"/>
      <c r="QBO289" s="22"/>
      <c r="QBP289" s="22"/>
      <c r="QBQ289" s="22"/>
      <c r="QBR289" s="22"/>
      <c r="QBS289" s="22"/>
      <c r="QBT289" s="22"/>
      <c r="QBU289" s="22"/>
      <c r="QBV289" s="22"/>
      <c r="QBW289" s="22"/>
      <c r="QBX289" s="22"/>
      <c r="QBY289" s="22"/>
      <c r="QBZ289" s="22"/>
      <c r="QCA289" s="22"/>
      <c r="QCB289" s="22"/>
      <c r="QCC289" s="22"/>
      <c r="QCD289" s="22"/>
      <c r="QCE289" s="22"/>
      <c r="QCF289" s="22"/>
      <c r="QCG289" s="22"/>
      <c r="QCH289" s="22"/>
      <c r="QCI289" s="22"/>
      <c r="QCJ289" s="22"/>
      <c r="QCK289" s="22"/>
      <c r="QCL289" s="22"/>
      <c r="QCM289" s="22"/>
      <c r="QCN289" s="22"/>
      <c r="QCO289" s="22"/>
      <c r="QCP289" s="22"/>
      <c r="QCQ289" s="22"/>
      <c r="QCR289" s="22"/>
      <c r="QCS289" s="22"/>
      <c r="QCT289" s="22"/>
      <c r="QCU289" s="22"/>
      <c r="QCV289" s="22"/>
      <c r="QCW289" s="22"/>
      <c r="QCX289" s="22"/>
      <c r="QCY289" s="22"/>
      <c r="QCZ289" s="22"/>
      <c r="QDA289" s="22"/>
      <c r="QDB289" s="22"/>
      <c r="QDC289" s="22"/>
      <c r="QDD289" s="22"/>
      <c r="QDE289" s="22"/>
      <c r="QDF289" s="22"/>
      <c r="QDG289" s="22"/>
      <c r="QDH289" s="22"/>
      <c r="QDI289" s="22"/>
      <c r="QDJ289" s="22"/>
      <c r="QDK289" s="22"/>
      <c r="QDL289" s="22"/>
      <c r="QDM289" s="22"/>
      <c r="QDN289" s="22"/>
      <c r="QDO289" s="22"/>
      <c r="QDP289" s="22"/>
      <c r="QDQ289" s="22"/>
      <c r="QDR289" s="22"/>
      <c r="QDS289" s="22"/>
      <c r="QDT289" s="22"/>
      <c r="QDU289" s="22"/>
      <c r="QDV289" s="22"/>
      <c r="QDW289" s="22"/>
      <c r="QDX289" s="22"/>
      <c r="QDY289" s="22"/>
      <c r="QDZ289" s="22"/>
      <c r="QEA289" s="22"/>
      <c r="QEB289" s="22"/>
      <c r="QEC289" s="22"/>
      <c r="QED289" s="22"/>
      <c r="QEE289" s="22"/>
      <c r="QEF289" s="22"/>
      <c r="QEG289" s="22"/>
      <c r="QEH289" s="22"/>
      <c r="QEI289" s="22"/>
      <c r="QEJ289" s="22"/>
      <c r="QEK289" s="22"/>
      <c r="QEL289" s="22"/>
      <c r="QEM289" s="22"/>
      <c r="QEN289" s="22"/>
      <c r="QEO289" s="22"/>
      <c r="QEP289" s="22"/>
      <c r="QEQ289" s="22"/>
      <c r="QER289" s="22"/>
      <c r="QES289" s="22"/>
      <c r="QET289" s="22"/>
      <c r="QEU289" s="22"/>
      <c r="QEV289" s="22"/>
      <c r="QEW289" s="22"/>
      <c r="QEX289" s="22"/>
      <c r="QEY289" s="22"/>
      <c r="QEZ289" s="22"/>
      <c r="QFA289" s="22"/>
      <c r="QFB289" s="22"/>
      <c r="QFC289" s="22"/>
      <c r="QFD289" s="22"/>
      <c r="QFE289" s="22"/>
      <c r="QFF289" s="22"/>
      <c r="QFG289" s="22"/>
      <c r="QFH289" s="22"/>
      <c r="QFI289" s="22"/>
      <c r="QFJ289" s="22"/>
      <c r="QFK289" s="22"/>
      <c r="QFL289" s="22"/>
      <c r="QFM289" s="22"/>
      <c r="QFN289" s="22"/>
      <c r="QFO289" s="22"/>
      <c r="QFP289" s="22"/>
      <c r="QFQ289" s="22"/>
      <c r="QFR289" s="22"/>
      <c r="QFS289" s="22"/>
      <c r="QFT289" s="22"/>
      <c r="QFU289" s="22"/>
      <c r="QFV289" s="22"/>
      <c r="QFW289" s="22"/>
      <c r="QFX289" s="22"/>
      <c r="QFY289" s="22"/>
      <c r="QFZ289" s="22"/>
      <c r="QGA289" s="22"/>
      <c r="QGB289" s="22"/>
      <c r="QGC289" s="22"/>
      <c r="QGD289" s="22"/>
      <c r="QGE289" s="22"/>
      <c r="QGF289" s="22"/>
      <c r="QGG289" s="22"/>
      <c r="QGH289" s="22"/>
      <c r="QGI289" s="22"/>
      <c r="QGJ289" s="22"/>
      <c r="QGK289" s="22"/>
      <c r="QGL289" s="22"/>
      <c r="QGM289" s="22"/>
      <c r="QGN289" s="22"/>
      <c r="QGO289" s="22"/>
      <c r="QGP289" s="22"/>
      <c r="QGQ289" s="22"/>
      <c r="QGR289" s="22"/>
      <c r="QGS289" s="22"/>
      <c r="QGT289" s="22"/>
      <c r="QGU289" s="22"/>
      <c r="QGV289" s="22"/>
      <c r="QGW289" s="22"/>
      <c r="QGX289" s="22"/>
      <c r="QGY289" s="22"/>
      <c r="QGZ289" s="22"/>
      <c r="QHA289" s="22"/>
      <c r="QHB289" s="22"/>
      <c r="QHC289" s="22"/>
      <c r="QHD289" s="22"/>
      <c r="QHE289" s="22"/>
      <c r="QHF289" s="22"/>
      <c r="QHG289" s="22"/>
      <c r="QHH289" s="22"/>
      <c r="QHI289" s="22"/>
      <c r="QHJ289" s="22"/>
      <c r="QHK289" s="22"/>
      <c r="QHL289" s="22"/>
      <c r="QHM289" s="22"/>
      <c r="QHN289" s="22"/>
      <c r="QHO289" s="22"/>
      <c r="QHP289" s="22"/>
      <c r="QHQ289" s="22"/>
      <c r="QHR289" s="22"/>
      <c r="QHS289" s="22"/>
      <c r="QHT289" s="22"/>
      <c r="QHU289" s="22"/>
      <c r="QHV289" s="22"/>
      <c r="QHW289" s="22"/>
      <c r="QHX289" s="22"/>
      <c r="QHY289" s="22"/>
      <c r="QHZ289" s="22"/>
      <c r="QIA289" s="22"/>
      <c r="QIB289" s="22"/>
      <c r="QIC289" s="22"/>
      <c r="QID289" s="22"/>
      <c r="QIE289" s="22"/>
      <c r="QIF289" s="22"/>
      <c r="QIG289" s="22"/>
      <c r="QIH289" s="22"/>
      <c r="QII289" s="22"/>
      <c r="QIJ289" s="22"/>
      <c r="QIK289" s="22"/>
      <c r="QIL289" s="22"/>
      <c r="QIM289" s="22"/>
      <c r="QIN289" s="22"/>
      <c r="QIO289" s="22"/>
      <c r="QIP289" s="22"/>
      <c r="QIQ289" s="22"/>
      <c r="QIR289" s="22"/>
      <c r="QIS289" s="22"/>
      <c r="QIT289" s="22"/>
      <c r="QIU289" s="22"/>
      <c r="QIV289" s="22"/>
      <c r="QIW289" s="22"/>
      <c r="QIX289" s="22"/>
      <c r="QIY289" s="22"/>
      <c r="QIZ289" s="22"/>
      <c r="QJA289" s="22"/>
      <c r="QJB289" s="22"/>
      <c r="QJC289" s="22"/>
      <c r="QJD289" s="22"/>
      <c r="QJE289" s="22"/>
      <c r="QJF289" s="22"/>
      <c r="QJG289" s="22"/>
      <c r="QJH289" s="22"/>
      <c r="QJI289" s="22"/>
      <c r="QJJ289" s="22"/>
      <c r="QJK289" s="22"/>
      <c r="QJL289" s="22"/>
      <c r="QJM289" s="22"/>
      <c r="QJN289" s="22"/>
      <c r="QJO289" s="22"/>
      <c r="QJP289" s="22"/>
      <c r="QJQ289" s="22"/>
      <c r="QJR289" s="22"/>
      <c r="QJS289" s="22"/>
      <c r="QJT289" s="22"/>
      <c r="QJU289" s="22"/>
      <c r="QJV289" s="22"/>
      <c r="QJW289" s="22"/>
      <c r="QJX289" s="22"/>
      <c r="QJY289" s="22"/>
      <c r="QJZ289" s="22"/>
      <c r="QKA289" s="22"/>
      <c r="QKB289" s="22"/>
      <c r="QKC289" s="22"/>
      <c r="QKD289" s="22"/>
      <c r="QKE289" s="22"/>
      <c r="QKF289" s="22"/>
      <c r="QKG289" s="22"/>
      <c r="QKH289" s="22"/>
      <c r="QKI289" s="22"/>
      <c r="QKJ289" s="22"/>
      <c r="QKK289" s="22"/>
      <c r="QKL289" s="22"/>
      <c r="QKM289" s="22"/>
      <c r="QKN289" s="22"/>
      <c r="QKO289" s="22"/>
      <c r="QKP289" s="22"/>
      <c r="QKQ289" s="22"/>
      <c r="QKR289" s="22"/>
      <c r="QKS289" s="22"/>
      <c r="QKT289" s="22"/>
      <c r="QKU289" s="22"/>
      <c r="QKV289" s="22"/>
      <c r="QKW289" s="22"/>
      <c r="QKX289" s="22"/>
      <c r="QKY289" s="22"/>
      <c r="QKZ289" s="22"/>
      <c r="QLA289" s="22"/>
      <c r="QLB289" s="22"/>
      <c r="QLC289" s="22"/>
      <c r="QLD289" s="22"/>
      <c r="QLE289" s="22"/>
      <c r="QLF289" s="22"/>
      <c r="QLG289" s="22"/>
      <c r="QLH289" s="22"/>
      <c r="QLI289" s="22"/>
      <c r="QLJ289" s="22"/>
      <c r="QLK289" s="22"/>
      <c r="QLL289" s="22"/>
      <c r="QLM289" s="22"/>
      <c r="QLN289" s="22"/>
      <c r="QLO289" s="22"/>
      <c r="QLP289" s="22"/>
      <c r="QLQ289" s="22"/>
      <c r="QLR289" s="22"/>
      <c r="QLS289" s="22"/>
      <c r="QLT289" s="22"/>
      <c r="QLU289" s="22"/>
      <c r="QLV289" s="22"/>
      <c r="QLW289" s="22"/>
      <c r="QLX289" s="22"/>
      <c r="QLY289" s="22"/>
      <c r="QLZ289" s="22"/>
      <c r="QMA289" s="22"/>
      <c r="QMB289" s="22"/>
      <c r="QMC289" s="22"/>
      <c r="QMD289" s="22"/>
      <c r="QME289" s="22"/>
      <c r="QMF289" s="22"/>
      <c r="QMG289" s="22"/>
      <c r="QMH289" s="22"/>
      <c r="QMI289" s="22"/>
      <c r="QMJ289" s="22"/>
      <c r="QMK289" s="22"/>
      <c r="QML289" s="22"/>
      <c r="QMM289" s="22"/>
      <c r="QMN289" s="22"/>
      <c r="QMO289" s="22"/>
      <c r="QMP289" s="22"/>
      <c r="QMQ289" s="22"/>
      <c r="QMR289" s="22"/>
      <c r="QMS289" s="22"/>
      <c r="QMT289" s="22"/>
      <c r="QMU289" s="22"/>
      <c r="QMV289" s="22"/>
      <c r="QMW289" s="22"/>
      <c r="QMX289" s="22"/>
      <c r="QMY289" s="22"/>
      <c r="QMZ289" s="22"/>
      <c r="QNA289" s="22"/>
      <c r="QNB289" s="22"/>
      <c r="QNC289" s="22"/>
      <c r="QND289" s="22"/>
      <c r="QNE289" s="22"/>
      <c r="QNF289" s="22"/>
      <c r="QNG289" s="22"/>
      <c r="QNH289" s="22"/>
      <c r="QNI289" s="22"/>
      <c r="QNJ289" s="22"/>
      <c r="QNK289" s="22"/>
      <c r="QNL289" s="22"/>
      <c r="QNM289" s="22"/>
      <c r="QNN289" s="22"/>
      <c r="QNO289" s="22"/>
      <c r="QNP289" s="22"/>
      <c r="QNQ289" s="22"/>
      <c r="QNR289" s="22"/>
      <c r="QNS289" s="22"/>
      <c r="QNT289" s="22"/>
      <c r="QNU289" s="22"/>
      <c r="QNV289" s="22"/>
      <c r="QNW289" s="22"/>
      <c r="QNX289" s="22"/>
      <c r="QNY289" s="22"/>
      <c r="QNZ289" s="22"/>
      <c r="QOA289" s="22"/>
      <c r="QOB289" s="22"/>
      <c r="QOC289" s="22"/>
      <c r="QOD289" s="22"/>
      <c r="QOE289" s="22"/>
      <c r="QOF289" s="22"/>
      <c r="QOG289" s="22"/>
      <c r="QOH289" s="22"/>
      <c r="QOI289" s="22"/>
      <c r="QOJ289" s="22"/>
      <c r="QOK289" s="22"/>
      <c r="QOL289" s="22"/>
      <c r="QOM289" s="22"/>
      <c r="QON289" s="22"/>
      <c r="QOO289" s="22"/>
      <c r="QOP289" s="22"/>
      <c r="QOQ289" s="22"/>
      <c r="QOR289" s="22"/>
      <c r="QOS289" s="22"/>
      <c r="QOT289" s="22"/>
      <c r="QOU289" s="22"/>
      <c r="QOV289" s="22"/>
      <c r="QOW289" s="22"/>
      <c r="QOX289" s="22"/>
      <c r="QOY289" s="22"/>
      <c r="QOZ289" s="22"/>
      <c r="QPA289" s="22"/>
      <c r="QPB289" s="22"/>
      <c r="QPC289" s="22"/>
      <c r="QPD289" s="22"/>
      <c r="QPE289" s="22"/>
      <c r="QPF289" s="22"/>
      <c r="QPG289" s="22"/>
      <c r="QPH289" s="22"/>
      <c r="QPI289" s="22"/>
      <c r="QPJ289" s="22"/>
      <c r="QPK289" s="22"/>
      <c r="QPL289" s="22"/>
      <c r="QPM289" s="22"/>
      <c r="QPN289" s="22"/>
      <c r="QPO289" s="22"/>
      <c r="QPP289" s="22"/>
      <c r="QPQ289" s="22"/>
      <c r="QPR289" s="22"/>
      <c r="QPS289" s="22"/>
      <c r="QPT289" s="22"/>
      <c r="QPU289" s="22"/>
      <c r="QPV289" s="22"/>
      <c r="QPW289" s="22"/>
      <c r="QPX289" s="22"/>
      <c r="QPY289" s="22"/>
      <c r="QPZ289" s="22"/>
      <c r="QQA289" s="22"/>
      <c r="QQB289" s="22"/>
      <c r="QQC289" s="22"/>
      <c r="QQD289" s="22"/>
      <c r="QQE289" s="22"/>
      <c r="QQF289" s="22"/>
      <c r="QQG289" s="22"/>
      <c r="QQH289" s="22"/>
      <c r="QQI289" s="22"/>
      <c r="QQJ289" s="22"/>
      <c r="QQK289" s="22"/>
      <c r="QQL289" s="22"/>
      <c r="QQM289" s="22"/>
      <c r="QQN289" s="22"/>
      <c r="QQO289" s="22"/>
      <c r="QQP289" s="22"/>
      <c r="QQQ289" s="22"/>
      <c r="QQR289" s="22"/>
      <c r="QQS289" s="22"/>
      <c r="QQT289" s="22"/>
      <c r="QQU289" s="22"/>
      <c r="QQV289" s="22"/>
      <c r="QQW289" s="22"/>
      <c r="QQX289" s="22"/>
      <c r="QQY289" s="22"/>
      <c r="QQZ289" s="22"/>
      <c r="QRA289" s="22"/>
      <c r="QRB289" s="22"/>
      <c r="QRC289" s="22"/>
      <c r="QRD289" s="22"/>
      <c r="QRE289" s="22"/>
      <c r="QRF289" s="22"/>
      <c r="QRG289" s="22"/>
      <c r="QRH289" s="22"/>
      <c r="QRI289" s="22"/>
      <c r="QRJ289" s="22"/>
      <c r="QRK289" s="22"/>
      <c r="QRL289" s="22"/>
      <c r="QRM289" s="22"/>
      <c r="QRN289" s="22"/>
      <c r="QRO289" s="22"/>
      <c r="QRP289" s="22"/>
      <c r="QRQ289" s="22"/>
      <c r="QRR289" s="22"/>
      <c r="QRS289" s="22"/>
      <c r="QRT289" s="22"/>
      <c r="QRU289" s="22"/>
      <c r="QRV289" s="22"/>
      <c r="QRW289" s="22"/>
      <c r="QRX289" s="22"/>
      <c r="QRY289" s="22"/>
      <c r="QRZ289" s="22"/>
      <c r="QSA289" s="22"/>
      <c r="QSB289" s="22"/>
      <c r="QSC289" s="22"/>
      <c r="QSD289" s="22"/>
      <c r="QSE289" s="22"/>
      <c r="QSF289" s="22"/>
      <c r="QSG289" s="22"/>
      <c r="QSH289" s="22"/>
      <c r="QSI289" s="22"/>
      <c r="QSJ289" s="22"/>
      <c r="QSK289" s="22"/>
      <c r="QSL289" s="22"/>
      <c r="QSM289" s="22"/>
      <c r="QSN289" s="22"/>
      <c r="QSO289" s="22"/>
      <c r="QSP289" s="22"/>
      <c r="QSQ289" s="22"/>
      <c r="QSR289" s="22"/>
      <c r="QSS289" s="22"/>
      <c r="QST289" s="22"/>
      <c r="QSU289" s="22"/>
      <c r="QSV289" s="22"/>
      <c r="QSW289" s="22"/>
      <c r="QSX289" s="22"/>
      <c r="QSY289" s="22"/>
      <c r="QSZ289" s="22"/>
      <c r="QTA289" s="22"/>
      <c r="QTB289" s="22"/>
      <c r="QTC289" s="22"/>
      <c r="QTD289" s="22"/>
      <c r="QTE289" s="22"/>
      <c r="QTF289" s="22"/>
      <c r="QTG289" s="22"/>
      <c r="QTH289" s="22"/>
      <c r="QTI289" s="22"/>
      <c r="QTJ289" s="22"/>
      <c r="QTK289" s="22"/>
      <c r="QTL289" s="22"/>
      <c r="QTM289" s="22"/>
      <c r="QTN289" s="22"/>
      <c r="QTO289" s="22"/>
      <c r="QTP289" s="22"/>
      <c r="QTQ289" s="22"/>
      <c r="QTR289" s="22"/>
      <c r="QTS289" s="22"/>
      <c r="QTT289" s="22"/>
      <c r="QTU289" s="22"/>
      <c r="QTV289" s="22"/>
      <c r="QTW289" s="22"/>
      <c r="QTX289" s="22"/>
      <c r="QTY289" s="22"/>
      <c r="QTZ289" s="22"/>
      <c r="QUA289" s="22"/>
      <c r="QUB289" s="22"/>
      <c r="QUC289" s="22"/>
      <c r="QUD289" s="22"/>
      <c r="QUE289" s="22"/>
      <c r="QUF289" s="22"/>
      <c r="QUG289" s="22"/>
      <c r="QUH289" s="22"/>
      <c r="QUI289" s="22"/>
      <c r="QUJ289" s="22"/>
      <c r="QUK289" s="22"/>
      <c r="QUL289" s="22"/>
      <c r="QUM289" s="22"/>
      <c r="QUN289" s="22"/>
      <c r="QUO289" s="22"/>
      <c r="QUP289" s="22"/>
      <c r="QUQ289" s="22"/>
      <c r="QUR289" s="22"/>
      <c r="QUS289" s="22"/>
      <c r="QUT289" s="22"/>
      <c r="QUU289" s="22"/>
      <c r="QUV289" s="22"/>
      <c r="QUW289" s="22"/>
      <c r="QUX289" s="22"/>
      <c r="QUY289" s="22"/>
      <c r="QUZ289" s="22"/>
      <c r="QVA289" s="22"/>
      <c r="QVB289" s="22"/>
      <c r="QVC289" s="22"/>
      <c r="QVD289" s="22"/>
      <c r="QVE289" s="22"/>
      <c r="QVF289" s="22"/>
      <c r="QVG289" s="22"/>
      <c r="QVH289" s="22"/>
      <c r="QVI289" s="22"/>
      <c r="QVJ289" s="22"/>
      <c r="QVK289" s="22"/>
      <c r="QVL289" s="22"/>
      <c r="QVM289" s="22"/>
      <c r="QVN289" s="22"/>
      <c r="QVO289" s="22"/>
      <c r="QVP289" s="22"/>
      <c r="QVQ289" s="22"/>
      <c r="QVR289" s="22"/>
      <c r="QVS289" s="22"/>
      <c r="QVT289" s="22"/>
      <c r="QVU289" s="22"/>
      <c r="QVV289" s="22"/>
      <c r="QVW289" s="22"/>
      <c r="QVX289" s="22"/>
      <c r="QVY289" s="22"/>
      <c r="QVZ289" s="22"/>
      <c r="QWA289" s="22"/>
      <c r="QWB289" s="22"/>
      <c r="QWC289" s="22"/>
      <c r="QWD289" s="22"/>
      <c r="QWE289" s="22"/>
      <c r="QWF289" s="22"/>
      <c r="QWG289" s="22"/>
      <c r="QWH289" s="22"/>
      <c r="QWI289" s="22"/>
      <c r="QWJ289" s="22"/>
      <c r="QWK289" s="22"/>
      <c r="QWL289" s="22"/>
      <c r="QWM289" s="22"/>
      <c r="QWN289" s="22"/>
      <c r="QWO289" s="22"/>
      <c r="QWP289" s="22"/>
      <c r="QWQ289" s="22"/>
      <c r="QWR289" s="22"/>
      <c r="QWS289" s="22"/>
      <c r="QWT289" s="22"/>
      <c r="QWU289" s="22"/>
      <c r="QWV289" s="22"/>
      <c r="QWW289" s="22"/>
      <c r="QWX289" s="22"/>
      <c r="QWY289" s="22"/>
      <c r="QWZ289" s="22"/>
      <c r="QXA289" s="22"/>
      <c r="QXB289" s="22"/>
      <c r="QXC289" s="22"/>
      <c r="QXD289" s="22"/>
      <c r="QXE289" s="22"/>
      <c r="QXF289" s="22"/>
      <c r="QXG289" s="22"/>
      <c r="QXH289" s="22"/>
      <c r="QXI289" s="22"/>
      <c r="QXJ289" s="22"/>
      <c r="QXK289" s="22"/>
      <c r="QXL289" s="22"/>
      <c r="QXM289" s="22"/>
      <c r="QXN289" s="22"/>
      <c r="QXO289" s="22"/>
      <c r="QXP289" s="22"/>
      <c r="QXQ289" s="22"/>
      <c r="QXR289" s="22"/>
      <c r="QXS289" s="22"/>
      <c r="QXT289" s="22"/>
      <c r="QXU289" s="22"/>
      <c r="QXV289" s="22"/>
      <c r="QXW289" s="22"/>
      <c r="QXX289" s="22"/>
      <c r="QXY289" s="22"/>
      <c r="QXZ289" s="22"/>
      <c r="QYA289" s="22"/>
      <c r="QYB289" s="22"/>
      <c r="QYC289" s="22"/>
      <c r="QYD289" s="22"/>
      <c r="QYE289" s="22"/>
      <c r="QYF289" s="22"/>
      <c r="QYG289" s="22"/>
      <c r="QYH289" s="22"/>
      <c r="QYI289" s="22"/>
      <c r="QYJ289" s="22"/>
      <c r="QYK289" s="22"/>
      <c r="QYL289" s="22"/>
      <c r="QYM289" s="22"/>
      <c r="QYN289" s="22"/>
      <c r="QYO289" s="22"/>
      <c r="QYP289" s="22"/>
      <c r="QYQ289" s="22"/>
      <c r="QYR289" s="22"/>
      <c r="QYS289" s="22"/>
      <c r="QYT289" s="22"/>
      <c r="QYU289" s="22"/>
      <c r="QYV289" s="22"/>
      <c r="QYW289" s="22"/>
      <c r="QYX289" s="22"/>
      <c r="QYY289" s="22"/>
      <c r="QYZ289" s="22"/>
      <c r="QZA289" s="22"/>
      <c r="QZB289" s="22"/>
      <c r="QZC289" s="22"/>
      <c r="QZD289" s="22"/>
      <c r="QZE289" s="22"/>
      <c r="QZF289" s="22"/>
      <c r="QZG289" s="22"/>
      <c r="QZH289" s="22"/>
      <c r="QZI289" s="22"/>
      <c r="QZJ289" s="22"/>
      <c r="QZK289" s="22"/>
      <c r="QZL289" s="22"/>
      <c r="QZM289" s="22"/>
      <c r="QZN289" s="22"/>
      <c r="QZO289" s="22"/>
      <c r="QZP289" s="22"/>
      <c r="QZQ289" s="22"/>
      <c r="QZR289" s="22"/>
      <c r="QZS289" s="22"/>
      <c r="QZT289" s="22"/>
      <c r="QZU289" s="22"/>
      <c r="QZV289" s="22"/>
      <c r="QZW289" s="22"/>
      <c r="QZX289" s="22"/>
      <c r="QZY289" s="22"/>
      <c r="QZZ289" s="22"/>
      <c r="RAA289" s="22"/>
      <c r="RAB289" s="22"/>
      <c r="RAC289" s="22"/>
      <c r="RAD289" s="22"/>
      <c r="RAE289" s="22"/>
      <c r="RAF289" s="22"/>
      <c r="RAG289" s="22"/>
      <c r="RAH289" s="22"/>
      <c r="RAI289" s="22"/>
      <c r="RAJ289" s="22"/>
      <c r="RAK289" s="22"/>
      <c r="RAL289" s="22"/>
      <c r="RAM289" s="22"/>
      <c r="RAN289" s="22"/>
      <c r="RAO289" s="22"/>
      <c r="RAP289" s="22"/>
      <c r="RAQ289" s="22"/>
      <c r="RAR289" s="22"/>
      <c r="RAS289" s="22"/>
      <c r="RAT289" s="22"/>
      <c r="RAU289" s="22"/>
      <c r="RAV289" s="22"/>
      <c r="RAW289" s="22"/>
      <c r="RAX289" s="22"/>
      <c r="RAY289" s="22"/>
      <c r="RAZ289" s="22"/>
      <c r="RBA289" s="22"/>
      <c r="RBB289" s="22"/>
      <c r="RBC289" s="22"/>
      <c r="RBD289" s="22"/>
      <c r="RBE289" s="22"/>
      <c r="RBF289" s="22"/>
      <c r="RBG289" s="22"/>
      <c r="RBH289" s="22"/>
      <c r="RBI289" s="22"/>
      <c r="RBJ289" s="22"/>
      <c r="RBK289" s="22"/>
      <c r="RBL289" s="22"/>
      <c r="RBM289" s="22"/>
      <c r="RBN289" s="22"/>
      <c r="RBO289" s="22"/>
      <c r="RBP289" s="22"/>
      <c r="RBQ289" s="22"/>
      <c r="RBR289" s="22"/>
      <c r="RBS289" s="22"/>
      <c r="RBT289" s="22"/>
      <c r="RBU289" s="22"/>
      <c r="RBV289" s="22"/>
      <c r="RBW289" s="22"/>
      <c r="RBX289" s="22"/>
      <c r="RBY289" s="22"/>
      <c r="RBZ289" s="22"/>
      <c r="RCA289" s="22"/>
      <c r="RCB289" s="22"/>
      <c r="RCC289" s="22"/>
      <c r="RCD289" s="22"/>
      <c r="RCE289" s="22"/>
      <c r="RCF289" s="22"/>
      <c r="RCG289" s="22"/>
      <c r="RCH289" s="22"/>
      <c r="RCI289" s="22"/>
      <c r="RCJ289" s="22"/>
      <c r="RCK289" s="22"/>
      <c r="RCL289" s="22"/>
      <c r="RCM289" s="22"/>
      <c r="RCN289" s="22"/>
      <c r="RCO289" s="22"/>
      <c r="RCP289" s="22"/>
      <c r="RCQ289" s="22"/>
      <c r="RCR289" s="22"/>
      <c r="RCS289" s="22"/>
      <c r="RCT289" s="22"/>
      <c r="RCU289" s="22"/>
      <c r="RCV289" s="22"/>
      <c r="RCW289" s="22"/>
      <c r="RCX289" s="22"/>
      <c r="RCY289" s="22"/>
      <c r="RCZ289" s="22"/>
      <c r="RDA289" s="22"/>
      <c r="RDB289" s="22"/>
      <c r="RDC289" s="22"/>
      <c r="RDD289" s="22"/>
      <c r="RDE289" s="22"/>
      <c r="RDF289" s="22"/>
      <c r="RDG289" s="22"/>
      <c r="RDH289" s="22"/>
      <c r="RDI289" s="22"/>
      <c r="RDJ289" s="22"/>
      <c r="RDK289" s="22"/>
      <c r="RDL289" s="22"/>
      <c r="RDM289" s="22"/>
      <c r="RDN289" s="22"/>
      <c r="RDO289" s="22"/>
      <c r="RDP289" s="22"/>
      <c r="RDQ289" s="22"/>
      <c r="RDR289" s="22"/>
      <c r="RDS289" s="22"/>
      <c r="RDT289" s="22"/>
      <c r="RDU289" s="22"/>
      <c r="RDV289" s="22"/>
      <c r="RDW289" s="22"/>
      <c r="RDX289" s="22"/>
      <c r="RDY289" s="22"/>
      <c r="RDZ289" s="22"/>
      <c r="REA289" s="22"/>
      <c r="REB289" s="22"/>
      <c r="REC289" s="22"/>
      <c r="RED289" s="22"/>
      <c r="REE289" s="22"/>
      <c r="REF289" s="22"/>
      <c r="REG289" s="22"/>
      <c r="REH289" s="22"/>
      <c r="REI289" s="22"/>
      <c r="REJ289" s="22"/>
      <c r="REK289" s="22"/>
      <c r="REL289" s="22"/>
      <c r="REM289" s="22"/>
      <c r="REN289" s="22"/>
      <c r="REO289" s="22"/>
      <c r="REP289" s="22"/>
      <c r="REQ289" s="22"/>
      <c r="RER289" s="22"/>
      <c r="RES289" s="22"/>
      <c r="RET289" s="22"/>
      <c r="REU289" s="22"/>
      <c r="REV289" s="22"/>
      <c r="REW289" s="22"/>
      <c r="REX289" s="22"/>
      <c r="REY289" s="22"/>
      <c r="REZ289" s="22"/>
      <c r="RFA289" s="22"/>
      <c r="RFB289" s="22"/>
      <c r="RFC289" s="22"/>
      <c r="RFD289" s="22"/>
      <c r="RFE289" s="22"/>
      <c r="RFF289" s="22"/>
      <c r="RFG289" s="22"/>
      <c r="RFH289" s="22"/>
      <c r="RFI289" s="22"/>
      <c r="RFJ289" s="22"/>
      <c r="RFK289" s="22"/>
      <c r="RFL289" s="22"/>
      <c r="RFM289" s="22"/>
      <c r="RFN289" s="22"/>
      <c r="RFO289" s="22"/>
      <c r="RFP289" s="22"/>
      <c r="RFQ289" s="22"/>
      <c r="RFR289" s="22"/>
      <c r="RFS289" s="22"/>
      <c r="RFT289" s="22"/>
      <c r="RFU289" s="22"/>
      <c r="RFV289" s="22"/>
      <c r="RFW289" s="22"/>
      <c r="RFX289" s="22"/>
      <c r="RFY289" s="22"/>
      <c r="RFZ289" s="22"/>
      <c r="RGA289" s="22"/>
      <c r="RGB289" s="22"/>
      <c r="RGC289" s="22"/>
      <c r="RGD289" s="22"/>
      <c r="RGE289" s="22"/>
      <c r="RGF289" s="22"/>
      <c r="RGG289" s="22"/>
      <c r="RGH289" s="22"/>
      <c r="RGI289" s="22"/>
      <c r="RGJ289" s="22"/>
      <c r="RGK289" s="22"/>
      <c r="RGL289" s="22"/>
      <c r="RGM289" s="22"/>
      <c r="RGN289" s="22"/>
      <c r="RGO289" s="22"/>
      <c r="RGP289" s="22"/>
      <c r="RGQ289" s="22"/>
      <c r="RGR289" s="22"/>
      <c r="RGS289" s="22"/>
      <c r="RGT289" s="22"/>
      <c r="RGU289" s="22"/>
      <c r="RGV289" s="22"/>
      <c r="RGW289" s="22"/>
      <c r="RGX289" s="22"/>
      <c r="RGY289" s="22"/>
      <c r="RGZ289" s="22"/>
      <c r="RHA289" s="22"/>
      <c r="RHB289" s="22"/>
      <c r="RHC289" s="22"/>
      <c r="RHD289" s="22"/>
      <c r="RHE289" s="22"/>
      <c r="RHF289" s="22"/>
      <c r="RHG289" s="22"/>
      <c r="RHH289" s="22"/>
      <c r="RHI289" s="22"/>
      <c r="RHJ289" s="22"/>
      <c r="RHK289" s="22"/>
      <c r="RHL289" s="22"/>
      <c r="RHM289" s="22"/>
      <c r="RHN289" s="22"/>
      <c r="RHO289" s="22"/>
      <c r="RHP289" s="22"/>
      <c r="RHQ289" s="22"/>
      <c r="RHR289" s="22"/>
      <c r="RHS289" s="22"/>
      <c r="RHT289" s="22"/>
      <c r="RHU289" s="22"/>
      <c r="RHV289" s="22"/>
      <c r="RHW289" s="22"/>
      <c r="RHX289" s="22"/>
      <c r="RHY289" s="22"/>
      <c r="RHZ289" s="22"/>
      <c r="RIA289" s="22"/>
      <c r="RIB289" s="22"/>
      <c r="RIC289" s="22"/>
      <c r="RID289" s="22"/>
      <c r="RIE289" s="22"/>
      <c r="RIF289" s="22"/>
      <c r="RIG289" s="22"/>
      <c r="RIH289" s="22"/>
      <c r="RII289" s="22"/>
      <c r="RIJ289" s="22"/>
      <c r="RIK289" s="22"/>
      <c r="RIL289" s="22"/>
      <c r="RIM289" s="22"/>
      <c r="RIN289" s="22"/>
      <c r="RIO289" s="22"/>
      <c r="RIP289" s="22"/>
      <c r="RIQ289" s="22"/>
      <c r="RIR289" s="22"/>
      <c r="RIS289" s="22"/>
      <c r="RIT289" s="22"/>
      <c r="RIU289" s="22"/>
      <c r="RIV289" s="22"/>
      <c r="RIW289" s="22"/>
      <c r="RIX289" s="22"/>
      <c r="RIY289" s="22"/>
      <c r="RIZ289" s="22"/>
      <c r="RJA289" s="22"/>
      <c r="RJB289" s="22"/>
      <c r="RJC289" s="22"/>
      <c r="RJD289" s="22"/>
      <c r="RJE289" s="22"/>
      <c r="RJF289" s="22"/>
      <c r="RJG289" s="22"/>
      <c r="RJH289" s="22"/>
      <c r="RJI289" s="22"/>
      <c r="RJJ289" s="22"/>
      <c r="RJK289" s="22"/>
      <c r="RJL289" s="22"/>
      <c r="RJM289" s="22"/>
      <c r="RJN289" s="22"/>
      <c r="RJO289" s="22"/>
      <c r="RJP289" s="22"/>
      <c r="RJQ289" s="22"/>
      <c r="RJR289" s="22"/>
      <c r="RJS289" s="22"/>
      <c r="RJT289" s="22"/>
      <c r="RJU289" s="22"/>
      <c r="RJV289" s="22"/>
      <c r="RJW289" s="22"/>
      <c r="RJX289" s="22"/>
      <c r="RJY289" s="22"/>
      <c r="RJZ289" s="22"/>
      <c r="RKA289" s="22"/>
      <c r="RKB289" s="22"/>
      <c r="RKC289" s="22"/>
      <c r="RKD289" s="22"/>
      <c r="RKE289" s="22"/>
      <c r="RKF289" s="22"/>
      <c r="RKG289" s="22"/>
      <c r="RKH289" s="22"/>
      <c r="RKI289" s="22"/>
      <c r="RKJ289" s="22"/>
      <c r="RKK289" s="22"/>
      <c r="RKL289" s="22"/>
      <c r="RKM289" s="22"/>
      <c r="RKN289" s="22"/>
      <c r="RKO289" s="22"/>
      <c r="RKP289" s="22"/>
      <c r="RKQ289" s="22"/>
      <c r="RKR289" s="22"/>
      <c r="RKS289" s="22"/>
      <c r="RKT289" s="22"/>
      <c r="RKU289" s="22"/>
      <c r="RKV289" s="22"/>
      <c r="RKW289" s="22"/>
      <c r="RKX289" s="22"/>
      <c r="RKY289" s="22"/>
      <c r="RKZ289" s="22"/>
      <c r="RLA289" s="22"/>
      <c r="RLB289" s="22"/>
      <c r="RLC289" s="22"/>
      <c r="RLD289" s="22"/>
      <c r="RLE289" s="22"/>
      <c r="RLF289" s="22"/>
      <c r="RLG289" s="22"/>
      <c r="RLH289" s="22"/>
      <c r="RLI289" s="22"/>
      <c r="RLJ289" s="22"/>
      <c r="RLK289" s="22"/>
      <c r="RLL289" s="22"/>
      <c r="RLM289" s="22"/>
      <c r="RLN289" s="22"/>
      <c r="RLO289" s="22"/>
      <c r="RLP289" s="22"/>
      <c r="RLQ289" s="22"/>
      <c r="RLR289" s="22"/>
      <c r="RLS289" s="22"/>
      <c r="RLT289" s="22"/>
      <c r="RLU289" s="22"/>
      <c r="RLV289" s="22"/>
      <c r="RLW289" s="22"/>
      <c r="RLX289" s="22"/>
      <c r="RLY289" s="22"/>
      <c r="RLZ289" s="22"/>
      <c r="RMA289" s="22"/>
      <c r="RMB289" s="22"/>
      <c r="RMC289" s="22"/>
      <c r="RMD289" s="22"/>
      <c r="RME289" s="22"/>
      <c r="RMF289" s="22"/>
      <c r="RMG289" s="22"/>
      <c r="RMH289" s="22"/>
      <c r="RMI289" s="22"/>
      <c r="RMJ289" s="22"/>
      <c r="RMK289" s="22"/>
      <c r="RML289" s="22"/>
      <c r="RMM289" s="22"/>
      <c r="RMN289" s="22"/>
      <c r="RMO289" s="22"/>
      <c r="RMP289" s="22"/>
      <c r="RMQ289" s="22"/>
      <c r="RMR289" s="22"/>
      <c r="RMS289" s="22"/>
      <c r="RMT289" s="22"/>
      <c r="RMU289" s="22"/>
      <c r="RMV289" s="22"/>
      <c r="RMW289" s="22"/>
      <c r="RMX289" s="22"/>
      <c r="RMY289" s="22"/>
      <c r="RMZ289" s="22"/>
      <c r="RNA289" s="22"/>
      <c r="RNB289" s="22"/>
      <c r="RNC289" s="22"/>
      <c r="RND289" s="22"/>
      <c r="RNE289" s="22"/>
      <c r="RNF289" s="22"/>
      <c r="RNG289" s="22"/>
      <c r="RNH289" s="22"/>
      <c r="RNI289" s="22"/>
      <c r="RNJ289" s="22"/>
      <c r="RNK289" s="22"/>
      <c r="RNL289" s="22"/>
      <c r="RNM289" s="22"/>
      <c r="RNN289" s="22"/>
      <c r="RNO289" s="22"/>
      <c r="RNP289" s="22"/>
      <c r="RNQ289" s="22"/>
      <c r="RNR289" s="22"/>
      <c r="RNS289" s="22"/>
      <c r="RNT289" s="22"/>
      <c r="RNU289" s="22"/>
      <c r="RNV289" s="22"/>
      <c r="RNW289" s="22"/>
      <c r="RNX289" s="22"/>
      <c r="RNY289" s="22"/>
      <c r="RNZ289" s="22"/>
      <c r="ROA289" s="22"/>
      <c r="ROB289" s="22"/>
      <c r="ROC289" s="22"/>
      <c r="ROD289" s="22"/>
      <c r="ROE289" s="22"/>
      <c r="ROF289" s="22"/>
      <c r="ROG289" s="22"/>
      <c r="ROH289" s="22"/>
      <c r="ROI289" s="22"/>
      <c r="ROJ289" s="22"/>
      <c r="ROK289" s="22"/>
      <c r="ROL289" s="22"/>
      <c r="ROM289" s="22"/>
      <c r="RON289" s="22"/>
      <c r="ROO289" s="22"/>
      <c r="ROP289" s="22"/>
      <c r="ROQ289" s="22"/>
      <c r="ROR289" s="22"/>
      <c r="ROS289" s="22"/>
      <c r="ROT289" s="22"/>
      <c r="ROU289" s="22"/>
      <c r="ROV289" s="22"/>
      <c r="ROW289" s="22"/>
      <c r="ROX289" s="22"/>
      <c r="ROY289" s="22"/>
      <c r="ROZ289" s="22"/>
      <c r="RPA289" s="22"/>
      <c r="RPB289" s="22"/>
      <c r="RPC289" s="22"/>
      <c r="RPD289" s="22"/>
      <c r="RPE289" s="22"/>
      <c r="RPF289" s="22"/>
      <c r="RPG289" s="22"/>
      <c r="RPH289" s="22"/>
      <c r="RPI289" s="22"/>
      <c r="RPJ289" s="22"/>
      <c r="RPK289" s="22"/>
      <c r="RPL289" s="22"/>
      <c r="RPM289" s="22"/>
      <c r="RPN289" s="22"/>
      <c r="RPO289" s="22"/>
      <c r="RPP289" s="22"/>
      <c r="RPQ289" s="22"/>
      <c r="RPR289" s="22"/>
      <c r="RPS289" s="22"/>
      <c r="RPT289" s="22"/>
      <c r="RPU289" s="22"/>
      <c r="RPV289" s="22"/>
      <c r="RPW289" s="22"/>
      <c r="RPX289" s="22"/>
      <c r="RPY289" s="22"/>
      <c r="RPZ289" s="22"/>
      <c r="RQA289" s="22"/>
      <c r="RQB289" s="22"/>
      <c r="RQC289" s="22"/>
      <c r="RQD289" s="22"/>
      <c r="RQE289" s="22"/>
      <c r="RQF289" s="22"/>
      <c r="RQG289" s="22"/>
      <c r="RQH289" s="22"/>
      <c r="RQI289" s="22"/>
      <c r="RQJ289" s="22"/>
      <c r="RQK289" s="22"/>
      <c r="RQL289" s="22"/>
      <c r="RQM289" s="22"/>
      <c r="RQN289" s="22"/>
      <c r="RQO289" s="22"/>
      <c r="RQP289" s="22"/>
      <c r="RQQ289" s="22"/>
      <c r="RQR289" s="22"/>
      <c r="RQS289" s="22"/>
      <c r="RQT289" s="22"/>
      <c r="RQU289" s="22"/>
      <c r="RQV289" s="22"/>
      <c r="RQW289" s="22"/>
      <c r="RQX289" s="22"/>
      <c r="RQY289" s="22"/>
      <c r="RQZ289" s="22"/>
      <c r="RRA289" s="22"/>
      <c r="RRB289" s="22"/>
      <c r="RRC289" s="22"/>
      <c r="RRD289" s="22"/>
      <c r="RRE289" s="22"/>
      <c r="RRF289" s="22"/>
      <c r="RRG289" s="22"/>
      <c r="RRH289" s="22"/>
      <c r="RRI289" s="22"/>
      <c r="RRJ289" s="22"/>
      <c r="RRK289" s="22"/>
      <c r="RRL289" s="22"/>
      <c r="RRM289" s="22"/>
      <c r="RRN289" s="22"/>
      <c r="RRO289" s="22"/>
      <c r="RRP289" s="22"/>
      <c r="RRQ289" s="22"/>
      <c r="RRR289" s="22"/>
      <c r="RRS289" s="22"/>
      <c r="RRT289" s="22"/>
      <c r="RRU289" s="22"/>
      <c r="RRV289" s="22"/>
      <c r="RRW289" s="22"/>
      <c r="RRX289" s="22"/>
      <c r="RRY289" s="22"/>
      <c r="RRZ289" s="22"/>
      <c r="RSA289" s="22"/>
      <c r="RSB289" s="22"/>
      <c r="RSC289" s="22"/>
      <c r="RSD289" s="22"/>
      <c r="RSE289" s="22"/>
      <c r="RSF289" s="22"/>
      <c r="RSG289" s="22"/>
      <c r="RSH289" s="22"/>
      <c r="RSI289" s="22"/>
      <c r="RSJ289" s="22"/>
      <c r="RSK289" s="22"/>
      <c r="RSL289" s="22"/>
      <c r="RSM289" s="22"/>
      <c r="RSN289" s="22"/>
      <c r="RSO289" s="22"/>
      <c r="RSP289" s="22"/>
      <c r="RSQ289" s="22"/>
      <c r="RSR289" s="22"/>
      <c r="RSS289" s="22"/>
      <c r="RST289" s="22"/>
      <c r="RSU289" s="22"/>
      <c r="RSV289" s="22"/>
      <c r="RSW289" s="22"/>
      <c r="RSX289" s="22"/>
      <c r="RSY289" s="22"/>
      <c r="RSZ289" s="22"/>
      <c r="RTA289" s="22"/>
      <c r="RTB289" s="22"/>
      <c r="RTC289" s="22"/>
      <c r="RTD289" s="22"/>
      <c r="RTE289" s="22"/>
      <c r="RTF289" s="22"/>
      <c r="RTG289" s="22"/>
      <c r="RTH289" s="22"/>
      <c r="RTI289" s="22"/>
      <c r="RTJ289" s="22"/>
      <c r="RTK289" s="22"/>
      <c r="RTL289" s="22"/>
      <c r="RTM289" s="22"/>
      <c r="RTN289" s="22"/>
      <c r="RTO289" s="22"/>
      <c r="RTP289" s="22"/>
      <c r="RTQ289" s="22"/>
      <c r="RTR289" s="22"/>
      <c r="RTS289" s="22"/>
      <c r="RTT289" s="22"/>
      <c r="RTU289" s="22"/>
      <c r="RTV289" s="22"/>
      <c r="RTW289" s="22"/>
      <c r="RTX289" s="22"/>
      <c r="RTY289" s="22"/>
      <c r="RTZ289" s="22"/>
      <c r="RUA289" s="22"/>
      <c r="RUB289" s="22"/>
      <c r="RUC289" s="22"/>
      <c r="RUD289" s="22"/>
      <c r="RUE289" s="22"/>
      <c r="RUF289" s="22"/>
      <c r="RUG289" s="22"/>
      <c r="RUH289" s="22"/>
      <c r="RUI289" s="22"/>
      <c r="RUJ289" s="22"/>
      <c r="RUK289" s="22"/>
      <c r="RUL289" s="22"/>
      <c r="RUM289" s="22"/>
      <c r="RUN289" s="22"/>
      <c r="RUO289" s="22"/>
      <c r="RUP289" s="22"/>
      <c r="RUQ289" s="22"/>
      <c r="RUR289" s="22"/>
      <c r="RUS289" s="22"/>
      <c r="RUT289" s="22"/>
      <c r="RUU289" s="22"/>
      <c r="RUV289" s="22"/>
      <c r="RUW289" s="22"/>
      <c r="RUX289" s="22"/>
      <c r="RUY289" s="22"/>
      <c r="RUZ289" s="22"/>
      <c r="RVA289" s="22"/>
      <c r="RVB289" s="22"/>
      <c r="RVC289" s="22"/>
      <c r="RVD289" s="22"/>
      <c r="RVE289" s="22"/>
      <c r="RVF289" s="22"/>
      <c r="RVG289" s="22"/>
      <c r="RVH289" s="22"/>
      <c r="RVI289" s="22"/>
      <c r="RVJ289" s="22"/>
      <c r="RVK289" s="22"/>
      <c r="RVL289" s="22"/>
      <c r="RVM289" s="22"/>
      <c r="RVN289" s="22"/>
      <c r="RVO289" s="22"/>
      <c r="RVP289" s="22"/>
      <c r="RVQ289" s="22"/>
      <c r="RVR289" s="22"/>
      <c r="RVS289" s="22"/>
      <c r="RVT289" s="22"/>
      <c r="RVU289" s="22"/>
      <c r="RVV289" s="22"/>
      <c r="RVW289" s="22"/>
      <c r="RVX289" s="22"/>
      <c r="RVY289" s="22"/>
      <c r="RVZ289" s="22"/>
      <c r="RWA289" s="22"/>
      <c r="RWB289" s="22"/>
      <c r="RWC289" s="22"/>
      <c r="RWD289" s="22"/>
      <c r="RWE289" s="22"/>
      <c r="RWF289" s="22"/>
      <c r="RWG289" s="22"/>
      <c r="RWH289" s="22"/>
      <c r="RWI289" s="22"/>
      <c r="RWJ289" s="22"/>
      <c r="RWK289" s="22"/>
      <c r="RWL289" s="22"/>
      <c r="RWM289" s="22"/>
      <c r="RWN289" s="22"/>
      <c r="RWO289" s="22"/>
      <c r="RWP289" s="22"/>
      <c r="RWQ289" s="22"/>
      <c r="RWR289" s="22"/>
      <c r="RWS289" s="22"/>
      <c r="RWT289" s="22"/>
      <c r="RWU289" s="22"/>
      <c r="RWV289" s="22"/>
      <c r="RWW289" s="22"/>
      <c r="RWX289" s="22"/>
      <c r="RWY289" s="22"/>
      <c r="RWZ289" s="22"/>
      <c r="RXA289" s="22"/>
      <c r="RXB289" s="22"/>
      <c r="RXC289" s="22"/>
      <c r="RXD289" s="22"/>
      <c r="RXE289" s="22"/>
      <c r="RXF289" s="22"/>
      <c r="RXG289" s="22"/>
      <c r="RXH289" s="22"/>
      <c r="RXI289" s="22"/>
      <c r="RXJ289" s="22"/>
      <c r="RXK289" s="22"/>
      <c r="RXL289" s="22"/>
      <c r="RXM289" s="22"/>
      <c r="RXN289" s="22"/>
      <c r="RXO289" s="22"/>
      <c r="RXP289" s="22"/>
      <c r="RXQ289" s="22"/>
      <c r="RXR289" s="22"/>
      <c r="RXS289" s="22"/>
      <c r="RXT289" s="22"/>
      <c r="RXU289" s="22"/>
      <c r="RXV289" s="22"/>
      <c r="RXW289" s="22"/>
      <c r="RXX289" s="22"/>
      <c r="RXY289" s="22"/>
      <c r="RXZ289" s="22"/>
      <c r="RYA289" s="22"/>
      <c r="RYB289" s="22"/>
      <c r="RYC289" s="22"/>
      <c r="RYD289" s="22"/>
      <c r="RYE289" s="22"/>
      <c r="RYF289" s="22"/>
      <c r="RYG289" s="22"/>
      <c r="RYH289" s="22"/>
      <c r="RYI289" s="22"/>
      <c r="RYJ289" s="22"/>
      <c r="RYK289" s="22"/>
      <c r="RYL289" s="22"/>
      <c r="RYM289" s="22"/>
      <c r="RYN289" s="22"/>
      <c r="RYO289" s="22"/>
      <c r="RYP289" s="22"/>
      <c r="RYQ289" s="22"/>
      <c r="RYR289" s="22"/>
      <c r="RYS289" s="22"/>
      <c r="RYT289" s="22"/>
      <c r="RYU289" s="22"/>
      <c r="RYV289" s="22"/>
      <c r="RYW289" s="22"/>
      <c r="RYX289" s="22"/>
      <c r="RYY289" s="22"/>
      <c r="RYZ289" s="22"/>
      <c r="RZA289" s="22"/>
      <c r="RZB289" s="22"/>
      <c r="RZC289" s="22"/>
      <c r="RZD289" s="22"/>
      <c r="RZE289" s="22"/>
      <c r="RZF289" s="22"/>
      <c r="RZG289" s="22"/>
      <c r="RZH289" s="22"/>
      <c r="RZI289" s="22"/>
      <c r="RZJ289" s="22"/>
      <c r="RZK289" s="22"/>
      <c r="RZL289" s="22"/>
      <c r="RZM289" s="22"/>
      <c r="RZN289" s="22"/>
      <c r="RZO289" s="22"/>
      <c r="RZP289" s="22"/>
      <c r="RZQ289" s="22"/>
      <c r="RZR289" s="22"/>
      <c r="RZS289" s="22"/>
      <c r="RZT289" s="22"/>
      <c r="RZU289" s="22"/>
      <c r="RZV289" s="22"/>
      <c r="RZW289" s="22"/>
      <c r="RZX289" s="22"/>
      <c r="RZY289" s="22"/>
      <c r="RZZ289" s="22"/>
      <c r="SAA289" s="22"/>
      <c r="SAB289" s="22"/>
      <c r="SAC289" s="22"/>
      <c r="SAD289" s="22"/>
      <c r="SAE289" s="22"/>
      <c r="SAF289" s="22"/>
      <c r="SAG289" s="22"/>
      <c r="SAH289" s="22"/>
      <c r="SAI289" s="22"/>
      <c r="SAJ289" s="22"/>
      <c r="SAK289" s="22"/>
      <c r="SAL289" s="22"/>
      <c r="SAM289" s="22"/>
      <c r="SAN289" s="22"/>
      <c r="SAO289" s="22"/>
      <c r="SAP289" s="22"/>
      <c r="SAQ289" s="22"/>
      <c r="SAR289" s="22"/>
      <c r="SAS289" s="22"/>
      <c r="SAT289" s="22"/>
      <c r="SAU289" s="22"/>
      <c r="SAV289" s="22"/>
      <c r="SAW289" s="22"/>
      <c r="SAX289" s="22"/>
      <c r="SAY289" s="22"/>
      <c r="SAZ289" s="22"/>
      <c r="SBA289" s="22"/>
      <c r="SBB289" s="22"/>
      <c r="SBC289" s="22"/>
      <c r="SBD289" s="22"/>
      <c r="SBE289" s="22"/>
      <c r="SBF289" s="22"/>
      <c r="SBG289" s="22"/>
      <c r="SBH289" s="22"/>
      <c r="SBI289" s="22"/>
      <c r="SBJ289" s="22"/>
      <c r="SBK289" s="22"/>
      <c r="SBL289" s="22"/>
      <c r="SBM289" s="22"/>
      <c r="SBN289" s="22"/>
      <c r="SBO289" s="22"/>
      <c r="SBP289" s="22"/>
      <c r="SBQ289" s="22"/>
      <c r="SBR289" s="22"/>
      <c r="SBS289" s="22"/>
      <c r="SBT289" s="22"/>
      <c r="SBU289" s="22"/>
      <c r="SBV289" s="22"/>
      <c r="SBW289" s="22"/>
      <c r="SBX289" s="22"/>
      <c r="SBY289" s="22"/>
      <c r="SBZ289" s="22"/>
      <c r="SCA289" s="22"/>
      <c r="SCB289" s="22"/>
      <c r="SCC289" s="22"/>
      <c r="SCD289" s="22"/>
      <c r="SCE289" s="22"/>
      <c r="SCF289" s="22"/>
      <c r="SCG289" s="22"/>
      <c r="SCH289" s="22"/>
      <c r="SCI289" s="22"/>
      <c r="SCJ289" s="22"/>
      <c r="SCK289" s="22"/>
      <c r="SCL289" s="22"/>
      <c r="SCM289" s="22"/>
      <c r="SCN289" s="22"/>
      <c r="SCO289" s="22"/>
      <c r="SCP289" s="22"/>
      <c r="SCQ289" s="22"/>
      <c r="SCR289" s="22"/>
      <c r="SCS289" s="22"/>
      <c r="SCT289" s="22"/>
      <c r="SCU289" s="22"/>
      <c r="SCV289" s="22"/>
      <c r="SCW289" s="22"/>
      <c r="SCX289" s="22"/>
      <c r="SCY289" s="22"/>
      <c r="SCZ289" s="22"/>
      <c r="SDA289" s="22"/>
      <c r="SDB289" s="22"/>
      <c r="SDC289" s="22"/>
      <c r="SDD289" s="22"/>
      <c r="SDE289" s="22"/>
      <c r="SDF289" s="22"/>
      <c r="SDG289" s="22"/>
      <c r="SDH289" s="22"/>
      <c r="SDI289" s="22"/>
      <c r="SDJ289" s="22"/>
      <c r="SDK289" s="22"/>
      <c r="SDL289" s="22"/>
      <c r="SDM289" s="22"/>
      <c r="SDN289" s="22"/>
      <c r="SDO289" s="22"/>
      <c r="SDP289" s="22"/>
      <c r="SDQ289" s="22"/>
      <c r="SDR289" s="22"/>
      <c r="SDS289" s="22"/>
      <c r="SDT289" s="22"/>
      <c r="SDU289" s="22"/>
      <c r="SDV289" s="22"/>
      <c r="SDW289" s="22"/>
      <c r="SDX289" s="22"/>
      <c r="SDY289" s="22"/>
      <c r="SDZ289" s="22"/>
      <c r="SEA289" s="22"/>
      <c r="SEB289" s="22"/>
      <c r="SEC289" s="22"/>
      <c r="SED289" s="22"/>
      <c r="SEE289" s="22"/>
      <c r="SEF289" s="22"/>
      <c r="SEG289" s="22"/>
      <c r="SEH289" s="22"/>
      <c r="SEI289" s="22"/>
      <c r="SEJ289" s="22"/>
      <c r="SEK289" s="22"/>
      <c r="SEL289" s="22"/>
      <c r="SEM289" s="22"/>
      <c r="SEN289" s="22"/>
      <c r="SEO289" s="22"/>
      <c r="SEP289" s="22"/>
      <c r="SEQ289" s="22"/>
      <c r="SER289" s="22"/>
      <c r="SES289" s="22"/>
      <c r="SET289" s="22"/>
      <c r="SEU289" s="22"/>
      <c r="SEV289" s="22"/>
      <c r="SEW289" s="22"/>
      <c r="SEX289" s="22"/>
      <c r="SEY289" s="22"/>
      <c r="SEZ289" s="22"/>
      <c r="SFA289" s="22"/>
      <c r="SFB289" s="22"/>
      <c r="SFC289" s="22"/>
      <c r="SFD289" s="22"/>
      <c r="SFE289" s="22"/>
      <c r="SFF289" s="22"/>
      <c r="SFG289" s="22"/>
      <c r="SFH289" s="22"/>
      <c r="SFI289" s="22"/>
      <c r="SFJ289" s="22"/>
      <c r="SFK289" s="22"/>
      <c r="SFL289" s="22"/>
      <c r="SFM289" s="22"/>
      <c r="SFN289" s="22"/>
      <c r="SFO289" s="22"/>
      <c r="SFP289" s="22"/>
      <c r="SFQ289" s="22"/>
      <c r="SFR289" s="22"/>
      <c r="SFS289" s="22"/>
      <c r="SFT289" s="22"/>
      <c r="SFU289" s="22"/>
      <c r="SFV289" s="22"/>
      <c r="SFW289" s="22"/>
      <c r="SFX289" s="22"/>
      <c r="SFY289" s="22"/>
      <c r="SFZ289" s="22"/>
      <c r="SGA289" s="22"/>
      <c r="SGB289" s="22"/>
      <c r="SGC289" s="22"/>
      <c r="SGD289" s="22"/>
      <c r="SGE289" s="22"/>
      <c r="SGF289" s="22"/>
      <c r="SGG289" s="22"/>
      <c r="SGH289" s="22"/>
      <c r="SGI289" s="22"/>
      <c r="SGJ289" s="22"/>
      <c r="SGK289" s="22"/>
      <c r="SGL289" s="22"/>
      <c r="SGM289" s="22"/>
      <c r="SGN289" s="22"/>
      <c r="SGO289" s="22"/>
      <c r="SGP289" s="22"/>
      <c r="SGQ289" s="22"/>
      <c r="SGR289" s="22"/>
      <c r="SGS289" s="22"/>
      <c r="SGT289" s="22"/>
      <c r="SGU289" s="22"/>
      <c r="SGV289" s="22"/>
      <c r="SGW289" s="22"/>
      <c r="SGX289" s="22"/>
      <c r="SGY289" s="22"/>
      <c r="SGZ289" s="22"/>
      <c r="SHA289" s="22"/>
      <c r="SHB289" s="22"/>
      <c r="SHC289" s="22"/>
      <c r="SHD289" s="22"/>
      <c r="SHE289" s="22"/>
      <c r="SHF289" s="22"/>
      <c r="SHG289" s="22"/>
      <c r="SHH289" s="22"/>
      <c r="SHI289" s="22"/>
      <c r="SHJ289" s="22"/>
      <c r="SHK289" s="22"/>
      <c r="SHL289" s="22"/>
      <c r="SHM289" s="22"/>
      <c r="SHN289" s="22"/>
      <c r="SHO289" s="22"/>
      <c r="SHP289" s="22"/>
      <c r="SHQ289" s="22"/>
      <c r="SHR289" s="22"/>
      <c r="SHS289" s="22"/>
      <c r="SHT289" s="22"/>
      <c r="SHU289" s="22"/>
      <c r="SHV289" s="22"/>
      <c r="SHW289" s="22"/>
      <c r="SHX289" s="22"/>
      <c r="SHY289" s="22"/>
      <c r="SHZ289" s="22"/>
      <c r="SIA289" s="22"/>
      <c r="SIB289" s="22"/>
      <c r="SIC289" s="22"/>
      <c r="SID289" s="22"/>
      <c r="SIE289" s="22"/>
      <c r="SIF289" s="22"/>
      <c r="SIG289" s="22"/>
      <c r="SIH289" s="22"/>
      <c r="SII289" s="22"/>
      <c r="SIJ289" s="22"/>
      <c r="SIK289" s="22"/>
      <c r="SIL289" s="22"/>
      <c r="SIM289" s="22"/>
      <c r="SIN289" s="22"/>
      <c r="SIO289" s="22"/>
      <c r="SIP289" s="22"/>
      <c r="SIQ289" s="22"/>
      <c r="SIR289" s="22"/>
      <c r="SIS289" s="22"/>
      <c r="SIT289" s="22"/>
      <c r="SIU289" s="22"/>
      <c r="SIV289" s="22"/>
      <c r="SIW289" s="22"/>
      <c r="SIX289" s="22"/>
      <c r="SIY289" s="22"/>
      <c r="SIZ289" s="22"/>
      <c r="SJA289" s="22"/>
      <c r="SJB289" s="22"/>
      <c r="SJC289" s="22"/>
      <c r="SJD289" s="22"/>
      <c r="SJE289" s="22"/>
      <c r="SJF289" s="22"/>
      <c r="SJG289" s="22"/>
      <c r="SJH289" s="22"/>
      <c r="SJI289" s="22"/>
      <c r="SJJ289" s="22"/>
      <c r="SJK289" s="22"/>
      <c r="SJL289" s="22"/>
      <c r="SJM289" s="22"/>
      <c r="SJN289" s="22"/>
      <c r="SJO289" s="22"/>
      <c r="SJP289" s="22"/>
      <c r="SJQ289" s="22"/>
      <c r="SJR289" s="22"/>
      <c r="SJS289" s="22"/>
      <c r="SJT289" s="22"/>
      <c r="SJU289" s="22"/>
      <c r="SJV289" s="22"/>
      <c r="SJW289" s="22"/>
      <c r="SJX289" s="22"/>
      <c r="SJY289" s="22"/>
      <c r="SJZ289" s="22"/>
      <c r="SKA289" s="22"/>
      <c r="SKB289" s="22"/>
      <c r="SKC289" s="22"/>
      <c r="SKD289" s="22"/>
      <c r="SKE289" s="22"/>
      <c r="SKF289" s="22"/>
      <c r="SKG289" s="22"/>
      <c r="SKH289" s="22"/>
      <c r="SKI289" s="22"/>
      <c r="SKJ289" s="22"/>
      <c r="SKK289" s="22"/>
      <c r="SKL289" s="22"/>
      <c r="SKM289" s="22"/>
      <c r="SKN289" s="22"/>
      <c r="SKO289" s="22"/>
      <c r="SKP289" s="22"/>
      <c r="SKQ289" s="22"/>
      <c r="SKR289" s="22"/>
      <c r="SKS289" s="22"/>
      <c r="SKT289" s="22"/>
      <c r="SKU289" s="22"/>
      <c r="SKV289" s="22"/>
      <c r="SKW289" s="22"/>
      <c r="SKX289" s="22"/>
      <c r="SKY289" s="22"/>
      <c r="SKZ289" s="22"/>
      <c r="SLA289" s="22"/>
      <c r="SLB289" s="22"/>
      <c r="SLC289" s="22"/>
      <c r="SLD289" s="22"/>
      <c r="SLE289" s="22"/>
      <c r="SLF289" s="22"/>
      <c r="SLG289" s="22"/>
      <c r="SLH289" s="22"/>
      <c r="SLI289" s="22"/>
      <c r="SLJ289" s="22"/>
      <c r="SLK289" s="22"/>
      <c r="SLL289" s="22"/>
      <c r="SLM289" s="22"/>
      <c r="SLN289" s="22"/>
      <c r="SLO289" s="22"/>
      <c r="SLP289" s="22"/>
      <c r="SLQ289" s="22"/>
      <c r="SLR289" s="22"/>
      <c r="SLS289" s="22"/>
      <c r="SLT289" s="22"/>
      <c r="SLU289" s="22"/>
      <c r="SLV289" s="22"/>
      <c r="SLW289" s="22"/>
      <c r="SLX289" s="22"/>
      <c r="SLY289" s="22"/>
      <c r="SLZ289" s="22"/>
      <c r="SMA289" s="22"/>
      <c r="SMB289" s="22"/>
      <c r="SMC289" s="22"/>
      <c r="SMD289" s="22"/>
      <c r="SME289" s="22"/>
      <c r="SMF289" s="22"/>
      <c r="SMG289" s="22"/>
      <c r="SMH289" s="22"/>
      <c r="SMI289" s="22"/>
      <c r="SMJ289" s="22"/>
      <c r="SMK289" s="22"/>
      <c r="SML289" s="22"/>
      <c r="SMM289" s="22"/>
      <c r="SMN289" s="22"/>
      <c r="SMO289" s="22"/>
      <c r="SMP289" s="22"/>
      <c r="SMQ289" s="22"/>
      <c r="SMR289" s="22"/>
      <c r="SMS289" s="22"/>
      <c r="SMT289" s="22"/>
      <c r="SMU289" s="22"/>
      <c r="SMV289" s="22"/>
      <c r="SMW289" s="22"/>
      <c r="SMX289" s="22"/>
      <c r="SMY289" s="22"/>
      <c r="SMZ289" s="22"/>
      <c r="SNA289" s="22"/>
      <c r="SNB289" s="22"/>
      <c r="SNC289" s="22"/>
      <c r="SND289" s="22"/>
      <c r="SNE289" s="22"/>
      <c r="SNF289" s="22"/>
      <c r="SNG289" s="22"/>
      <c r="SNH289" s="22"/>
      <c r="SNI289" s="22"/>
      <c r="SNJ289" s="22"/>
      <c r="SNK289" s="22"/>
      <c r="SNL289" s="22"/>
      <c r="SNM289" s="22"/>
      <c r="SNN289" s="22"/>
      <c r="SNO289" s="22"/>
      <c r="SNP289" s="22"/>
      <c r="SNQ289" s="22"/>
      <c r="SNR289" s="22"/>
      <c r="SNS289" s="22"/>
      <c r="SNT289" s="22"/>
      <c r="SNU289" s="22"/>
      <c r="SNV289" s="22"/>
      <c r="SNW289" s="22"/>
      <c r="SNX289" s="22"/>
      <c r="SNY289" s="22"/>
      <c r="SNZ289" s="22"/>
      <c r="SOA289" s="22"/>
      <c r="SOB289" s="22"/>
      <c r="SOC289" s="22"/>
      <c r="SOD289" s="22"/>
      <c r="SOE289" s="22"/>
      <c r="SOF289" s="22"/>
      <c r="SOG289" s="22"/>
      <c r="SOH289" s="22"/>
      <c r="SOI289" s="22"/>
      <c r="SOJ289" s="22"/>
      <c r="SOK289" s="22"/>
      <c r="SOL289" s="22"/>
      <c r="SOM289" s="22"/>
      <c r="SON289" s="22"/>
      <c r="SOO289" s="22"/>
      <c r="SOP289" s="22"/>
      <c r="SOQ289" s="22"/>
      <c r="SOR289" s="22"/>
      <c r="SOS289" s="22"/>
      <c r="SOT289" s="22"/>
      <c r="SOU289" s="22"/>
      <c r="SOV289" s="22"/>
      <c r="SOW289" s="22"/>
      <c r="SOX289" s="22"/>
      <c r="SOY289" s="22"/>
      <c r="SOZ289" s="22"/>
      <c r="SPA289" s="22"/>
      <c r="SPB289" s="22"/>
      <c r="SPC289" s="22"/>
      <c r="SPD289" s="22"/>
      <c r="SPE289" s="22"/>
      <c r="SPF289" s="22"/>
      <c r="SPG289" s="22"/>
      <c r="SPH289" s="22"/>
      <c r="SPI289" s="22"/>
      <c r="SPJ289" s="22"/>
      <c r="SPK289" s="22"/>
      <c r="SPL289" s="22"/>
      <c r="SPM289" s="22"/>
      <c r="SPN289" s="22"/>
      <c r="SPO289" s="22"/>
      <c r="SPP289" s="22"/>
      <c r="SPQ289" s="22"/>
      <c r="SPR289" s="22"/>
      <c r="SPS289" s="22"/>
      <c r="SPT289" s="22"/>
      <c r="SPU289" s="22"/>
      <c r="SPV289" s="22"/>
      <c r="SPW289" s="22"/>
      <c r="SPX289" s="22"/>
      <c r="SPY289" s="22"/>
      <c r="SPZ289" s="22"/>
      <c r="SQA289" s="22"/>
      <c r="SQB289" s="22"/>
      <c r="SQC289" s="22"/>
      <c r="SQD289" s="22"/>
      <c r="SQE289" s="22"/>
      <c r="SQF289" s="22"/>
      <c r="SQG289" s="22"/>
      <c r="SQH289" s="22"/>
      <c r="SQI289" s="22"/>
      <c r="SQJ289" s="22"/>
      <c r="SQK289" s="22"/>
      <c r="SQL289" s="22"/>
      <c r="SQM289" s="22"/>
      <c r="SQN289" s="22"/>
      <c r="SQO289" s="22"/>
      <c r="SQP289" s="22"/>
      <c r="SQQ289" s="22"/>
      <c r="SQR289" s="22"/>
      <c r="SQS289" s="22"/>
      <c r="SQT289" s="22"/>
      <c r="SQU289" s="22"/>
      <c r="SQV289" s="22"/>
      <c r="SQW289" s="22"/>
      <c r="SQX289" s="22"/>
      <c r="SQY289" s="22"/>
      <c r="SQZ289" s="22"/>
      <c r="SRA289" s="22"/>
      <c r="SRB289" s="22"/>
      <c r="SRC289" s="22"/>
      <c r="SRD289" s="22"/>
      <c r="SRE289" s="22"/>
      <c r="SRF289" s="22"/>
      <c r="SRG289" s="22"/>
      <c r="SRH289" s="22"/>
      <c r="SRI289" s="22"/>
      <c r="SRJ289" s="22"/>
      <c r="SRK289" s="22"/>
      <c r="SRL289" s="22"/>
      <c r="SRM289" s="22"/>
      <c r="SRN289" s="22"/>
      <c r="SRO289" s="22"/>
      <c r="SRP289" s="22"/>
      <c r="SRQ289" s="22"/>
      <c r="SRR289" s="22"/>
      <c r="SRS289" s="22"/>
      <c r="SRT289" s="22"/>
      <c r="SRU289" s="22"/>
      <c r="SRV289" s="22"/>
      <c r="SRW289" s="22"/>
      <c r="SRX289" s="22"/>
      <c r="SRY289" s="22"/>
      <c r="SRZ289" s="22"/>
      <c r="SSA289" s="22"/>
      <c r="SSB289" s="22"/>
      <c r="SSC289" s="22"/>
      <c r="SSD289" s="22"/>
      <c r="SSE289" s="22"/>
      <c r="SSF289" s="22"/>
      <c r="SSG289" s="22"/>
      <c r="SSH289" s="22"/>
      <c r="SSI289" s="22"/>
      <c r="SSJ289" s="22"/>
      <c r="SSK289" s="22"/>
      <c r="SSL289" s="22"/>
      <c r="SSM289" s="22"/>
      <c r="SSN289" s="22"/>
      <c r="SSO289" s="22"/>
      <c r="SSP289" s="22"/>
      <c r="SSQ289" s="22"/>
      <c r="SSR289" s="22"/>
      <c r="SSS289" s="22"/>
      <c r="SST289" s="22"/>
      <c r="SSU289" s="22"/>
      <c r="SSV289" s="22"/>
      <c r="SSW289" s="22"/>
      <c r="SSX289" s="22"/>
      <c r="SSY289" s="22"/>
      <c r="SSZ289" s="22"/>
      <c r="STA289" s="22"/>
      <c r="STB289" s="22"/>
      <c r="STC289" s="22"/>
      <c r="STD289" s="22"/>
      <c r="STE289" s="22"/>
      <c r="STF289" s="22"/>
      <c r="STG289" s="22"/>
      <c r="STH289" s="22"/>
      <c r="STI289" s="22"/>
      <c r="STJ289" s="22"/>
      <c r="STK289" s="22"/>
      <c r="STL289" s="22"/>
      <c r="STM289" s="22"/>
      <c r="STN289" s="22"/>
      <c r="STO289" s="22"/>
      <c r="STP289" s="22"/>
      <c r="STQ289" s="22"/>
      <c r="STR289" s="22"/>
      <c r="STS289" s="22"/>
      <c r="STT289" s="22"/>
      <c r="STU289" s="22"/>
      <c r="STV289" s="22"/>
      <c r="STW289" s="22"/>
      <c r="STX289" s="22"/>
      <c r="STY289" s="22"/>
      <c r="STZ289" s="22"/>
      <c r="SUA289" s="22"/>
      <c r="SUB289" s="22"/>
      <c r="SUC289" s="22"/>
      <c r="SUD289" s="22"/>
      <c r="SUE289" s="22"/>
      <c r="SUF289" s="22"/>
      <c r="SUG289" s="22"/>
      <c r="SUH289" s="22"/>
      <c r="SUI289" s="22"/>
      <c r="SUJ289" s="22"/>
      <c r="SUK289" s="22"/>
      <c r="SUL289" s="22"/>
      <c r="SUM289" s="22"/>
      <c r="SUN289" s="22"/>
      <c r="SUO289" s="22"/>
      <c r="SUP289" s="22"/>
      <c r="SUQ289" s="22"/>
      <c r="SUR289" s="22"/>
      <c r="SUS289" s="22"/>
      <c r="SUT289" s="22"/>
      <c r="SUU289" s="22"/>
      <c r="SUV289" s="22"/>
      <c r="SUW289" s="22"/>
      <c r="SUX289" s="22"/>
      <c r="SUY289" s="22"/>
      <c r="SUZ289" s="22"/>
      <c r="SVA289" s="22"/>
      <c r="SVB289" s="22"/>
      <c r="SVC289" s="22"/>
      <c r="SVD289" s="22"/>
      <c r="SVE289" s="22"/>
      <c r="SVF289" s="22"/>
      <c r="SVG289" s="22"/>
      <c r="SVH289" s="22"/>
      <c r="SVI289" s="22"/>
      <c r="SVJ289" s="22"/>
      <c r="SVK289" s="22"/>
      <c r="SVL289" s="22"/>
      <c r="SVM289" s="22"/>
      <c r="SVN289" s="22"/>
      <c r="SVO289" s="22"/>
      <c r="SVP289" s="22"/>
      <c r="SVQ289" s="22"/>
      <c r="SVR289" s="22"/>
      <c r="SVS289" s="22"/>
      <c r="SVT289" s="22"/>
      <c r="SVU289" s="22"/>
      <c r="SVV289" s="22"/>
      <c r="SVW289" s="22"/>
      <c r="SVX289" s="22"/>
      <c r="SVY289" s="22"/>
      <c r="SVZ289" s="22"/>
      <c r="SWA289" s="22"/>
      <c r="SWB289" s="22"/>
      <c r="SWC289" s="22"/>
      <c r="SWD289" s="22"/>
      <c r="SWE289" s="22"/>
      <c r="SWF289" s="22"/>
      <c r="SWG289" s="22"/>
      <c r="SWH289" s="22"/>
      <c r="SWI289" s="22"/>
      <c r="SWJ289" s="22"/>
      <c r="SWK289" s="22"/>
      <c r="SWL289" s="22"/>
      <c r="SWM289" s="22"/>
      <c r="SWN289" s="22"/>
      <c r="SWO289" s="22"/>
      <c r="SWP289" s="22"/>
      <c r="SWQ289" s="22"/>
      <c r="SWR289" s="22"/>
      <c r="SWS289" s="22"/>
      <c r="SWT289" s="22"/>
      <c r="SWU289" s="22"/>
      <c r="SWV289" s="22"/>
      <c r="SWW289" s="22"/>
      <c r="SWX289" s="22"/>
      <c r="SWY289" s="22"/>
      <c r="SWZ289" s="22"/>
      <c r="SXA289" s="22"/>
      <c r="SXB289" s="22"/>
      <c r="SXC289" s="22"/>
      <c r="SXD289" s="22"/>
      <c r="SXE289" s="22"/>
      <c r="SXF289" s="22"/>
      <c r="SXG289" s="22"/>
      <c r="SXH289" s="22"/>
      <c r="SXI289" s="22"/>
      <c r="SXJ289" s="22"/>
      <c r="SXK289" s="22"/>
      <c r="SXL289" s="22"/>
      <c r="SXM289" s="22"/>
      <c r="SXN289" s="22"/>
      <c r="SXO289" s="22"/>
      <c r="SXP289" s="22"/>
      <c r="SXQ289" s="22"/>
      <c r="SXR289" s="22"/>
      <c r="SXS289" s="22"/>
      <c r="SXT289" s="22"/>
      <c r="SXU289" s="22"/>
      <c r="SXV289" s="22"/>
      <c r="SXW289" s="22"/>
      <c r="SXX289" s="22"/>
      <c r="SXY289" s="22"/>
      <c r="SXZ289" s="22"/>
      <c r="SYA289" s="22"/>
      <c r="SYB289" s="22"/>
      <c r="SYC289" s="22"/>
      <c r="SYD289" s="22"/>
      <c r="SYE289" s="22"/>
      <c r="SYF289" s="22"/>
      <c r="SYG289" s="22"/>
      <c r="SYH289" s="22"/>
      <c r="SYI289" s="22"/>
      <c r="SYJ289" s="22"/>
      <c r="SYK289" s="22"/>
      <c r="SYL289" s="22"/>
      <c r="SYM289" s="22"/>
      <c r="SYN289" s="22"/>
      <c r="SYO289" s="22"/>
      <c r="SYP289" s="22"/>
      <c r="SYQ289" s="22"/>
      <c r="SYR289" s="22"/>
      <c r="SYS289" s="22"/>
      <c r="SYT289" s="22"/>
      <c r="SYU289" s="22"/>
      <c r="SYV289" s="22"/>
      <c r="SYW289" s="22"/>
      <c r="SYX289" s="22"/>
      <c r="SYY289" s="22"/>
      <c r="SYZ289" s="22"/>
      <c r="SZA289" s="22"/>
      <c r="SZB289" s="22"/>
      <c r="SZC289" s="22"/>
      <c r="SZD289" s="22"/>
      <c r="SZE289" s="22"/>
      <c r="SZF289" s="22"/>
      <c r="SZG289" s="22"/>
      <c r="SZH289" s="22"/>
      <c r="SZI289" s="22"/>
      <c r="SZJ289" s="22"/>
      <c r="SZK289" s="22"/>
      <c r="SZL289" s="22"/>
      <c r="SZM289" s="22"/>
      <c r="SZN289" s="22"/>
      <c r="SZO289" s="22"/>
      <c r="SZP289" s="22"/>
      <c r="SZQ289" s="22"/>
      <c r="SZR289" s="22"/>
      <c r="SZS289" s="22"/>
      <c r="SZT289" s="22"/>
      <c r="SZU289" s="22"/>
      <c r="SZV289" s="22"/>
      <c r="SZW289" s="22"/>
      <c r="SZX289" s="22"/>
      <c r="SZY289" s="22"/>
      <c r="SZZ289" s="22"/>
      <c r="TAA289" s="22"/>
      <c r="TAB289" s="22"/>
      <c r="TAC289" s="22"/>
      <c r="TAD289" s="22"/>
      <c r="TAE289" s="22"/>
      <c r="TAF289" s="22"/>
      <c r="TAG289" s="22"/>
      <c r="TAH289" s="22"/>
      <c r="TAI289" s="22"/>
      <c r="TAJ289" s="22"/>
      <c r="TAK289" s="22"/>
      <c r="TAL289" s="22"/>
      <c r="TAM289" s="22"/>
      <c r="TAN289" s="22"/>
      <c r="TAO289" s="22"/>
      <c r="TAP289" s="22"/>
      <c r="TAQ289" s="22"/>
      <c r="TAR289" s="22"/>
      <c r="TAS289" s="22"/>
      <c r="TAT289" s="22"/>
      <c r="TAU289" s="22"/>
      <c r="TAV289" s="22"/>
      <c r="TAW289" s="22"/>
      <c r="TAX289" s="22"/>
      <c r="TAY289" s="22"/>
      <c r="TAZ289" s="22"/>
      <c r="TBA289" s="22"/>
      <c r="TBB289" s="22"/>
      <c r="TBC289" s="22"/>
      <c r="TBD289" s="22"/>
      <c r="TBE289" s="22"/>
      <c r="TBF289" s="22"/>
      <c r="TBG289" s="22"/>
      <c r="TBH289" s="22"/>
      <c r="TBI289" s="22"/>
      <c r="TBJ289" s="22"/>
      <c r="TBK289" s="22"/>
      <c r="TBL289" s="22"/>
      <c r="TBM289" s="22"/>
      <c r="TBN289" s="22"/>
      <c r="TBO289" s="22"/>
      <c r="TBP289" s="22"/>
      <c r="TBQ289" s="22"/>
      <c r="TBR289" s="22"/>
      <c r="TBS289" s="22"/>
      <c r="TBT289" s="22"/>
      <c r="TBU289" s="22"/>
      <c r="TBV289" s="22"/>
      <c r="TBW289" s="22"/>
      <c r="TBX289" s="22"/>
      <c r="TBY289" s="22"/>
      <c r="TBZ289" s="22"/>
      <c r="TCA289" s="22"/>
      <c r="TCB289" s="22"/>
      <c r="TCC289" s="22"/>
      <c r="TCD289" s="22"/>
      <c r="TCE289" s="22"/>
      <c r="TCF289" s="22"/>
      <c r="TCG289" s="22"/>
      <c r="TCH289" s="22"/>
      <c r="TCI289" s="22"/>
      <c r="TCJ289" s="22"/>
      <c r="TCK289" s="22"/>
      <c r="TCL289" s="22"/>
      <c r="TCM289" s="22"/>
      <c r="TCN289" s="22"/>
      <c r="TCO289" s="22"/>
      <c r="TCP289" s="22"/>
      <c r="TCQ289" s="22"/>
      <c r="TCR289" s="22"/>
      <c r="TCS289" s="22"/>
      <c r="TCT289" s="22"/>
      <c r="TCU289" s="22"/>
      <c r="TCV289" s="22"/>
      <c r="TCW289" s="22"/>
      <c r="TCX289" s="22"/>
      <c r="TCY289" s="22"/>
      <c r="TCZ289" s="22"/>
      <c r="TDA289" s="22"/>
      <c r="TDB289" s="22"/>
      <c r="TDC289" s="22"/>
      <c r="TDD289" s="22"/>
      <c r="TDE289" s="22"/>
      <c r="TDF289" s="22"/>
      <c r="TDG289" s="22"/>
      <c r="TDH289" s="22"/>
      <c r="TDI289" s="22"/>
      <c r="TDJ289" s="22"/>
      <c r="TDK289" s="22"/>
      <c r="TDL289" s="22"/>
      <c r="TDM289" s="22"/>
      <c r="TDN289" s="22"/>
      <c r="TDO289" s="22"/>
      <c r="TDP289" s="22"/>
      <c r="TDQ289" s="22"/>
      <c r="TDR289" s="22"/>
      <c r="TDS289" s="22"/>
      <c r="TDT289" s="22"/>
      <c r="TDU289" s="22"/>
      <c r="TDV289" s="22"/>
      <c r="TDW289" s="22"/>
      <c r="TDX289" s="22"/>
      <c r="TDY289" s="22"/>
      <c r="TDZ289" s="22"/>
      <c r="TEA289" s="22"/>
      <c r="TEB289" s="22"/>
      <c r="TEC289" s="22"/>
      <c r="TED289" s="22"/>
      <c r="TEE289" s="22"/>
      <c r="TEF289" s="22"/>
      <c r="TEG289" s="22"/>
      <c r="TEH289" s="22"/>
      <c r="TEI289" s="22"/>
      <c r="TEJ289" s="22"/>
      <c r="TEK289" s="22"/>
      <c r="TEL289" s="22"/>
      <c r="TEM289" s="22"/>
      <c r="TEN289" s="22"/>
      <c r="TEO289" s="22"/>
      <c r="TEP289" s="22"/>
      <c r="TEQ289" s="22"/>
      <c r="TER289" s="22"/>
      <c r="TES289" s="22"/>
      <c r="TET289" s="22"/>
      <c r="TEU289" s="22"/>
      <c r="TEV289" s="22"/>
      <c r="TEW289" s="22"/>
      <c r="TEX289" s="22"/>
      <c r="TEY289" s="22"/>
      <c r="TEZ289" s="22"/>
      <c r="TFA289" s="22"/>
      <c r="TFB289" s="22"/>
      <c r="TFC289" s="22"/>
      <c r="TFD289" s="22"/>
      <c r="TFE289" s="22"/>
      <c r="TFF289" s="22"/>
      <c r="TFG289" s="22"/>
      <c r="TFH289" s="22"/>
      <c r="TFI289" s="22"/>
      <c r="TFJ289" s="22"/>
      <c r="TFK289" s="22"/>
      <c r="TFL289" s="22"/>
      <c r="TFM289" s="22"/>
      <c r="TFN289" s="22"/>
      <c r="TFO289" s="22"/>
      <c r="TFP289" s="22"/>
      <c r="TFQ289" s="22"/>
      <c r="TFR289" s="22"/>
      <c r="TFS289" s="22"/>
      <c r="TFT289" s="22"/>
      <c r="TFU289" s="22"/>
      <c r="TFV289" s="22"/>
      <c r="TFW289" s="22"/>
      <c r="TFX289" s="22"/>
      <c r="TFY289" s="22"/>
      <c r="TFZ289" s="22"/>
      <c r="TGA289" s="22"/>
      <c r="TGB289" s="22"/>
      <c r="TGC289" s="22"/>
      <c r="TGD289" s="22"/>
      <c r="TGE289" s="22"/>
      <c r="TGF289" s="22"/>
      <c r="TGG289" s="22"/>
      <c r="TGH289" s="22"/>
      <c r="TGI289" s="22"/>
      <c r="TGJ289" s="22"/>
      <c r="TGK289" s="22"/>
      <c r="TGL289" s="22"/>
      <c r="TGM289" s="22"/>
      <c r="TGN289" s="22"/>
      <c r="TGO289" s="22"/>
      <c r="TGP289" s="22"/>
      <c r="TGQ289" s="22"/>
      <c r="TGR289" s="22"/>
      <c r="TGS289" s="22"/>
      <c r="TGT289" s="22"/>
      <c r="TGU289" s="22"/>
      <c r="TGV289" s="22"/>
      <c r="TGW289" s="22"/>
      <c r="TGX289" s="22"/>
      <c r="TGY289" s="22"/>
      <c r="TGZ289" s="22"/>
      <c r="THA289" s="22"/>
      <c r="THB289" s="22"/>
      <c r="THC289" s="22"/>
      <c r="THD289" s="22"/>
      <c r="THE289" s="22"/>
      <c r="THF289" s="22"/>
      <c r="THG289" s="22"/>
      <c r="THH289" s="22"/>
      <c r="THI289" s="22"/>
      <c r="THJ289" s="22"/>
      <c r="THK289" s="22"/>
      <c r="THL289" s="22"/>
      <c r="THM289" s="22"/>
      <c r="THN289" s="22"/>
      <c r="THO289" s="22"/>
      <c r="THP289" s="22"/>
      <c r="THQ289" s="22"/>
      <c r="THR289" s="22"/>
      <c r="THS289" s="22"/>
      <c r="THT289" s="22"/>
      <c r="THU289" s="22"/>
      <c r="THV289" s="22"/>
      <c r="THW289" s="22"/>
      <c r="THX289" s="22"/>
      <c r="THY289" s="22"/>
      <c r="THZ289" s="22"/>
      <c r="TIA289" s="22"/>
      <c r="TIB289" s="22"/>
      <c r="TIC289" s="22"/>
      <c r="TID289" s="22"/>
      <c r="TIE289" s="22"/>
      <c r="TIF289" s="22"/>
      <c r="TIG289" s="22"/>
      <c r="TIH289" s="22"/>
      <c r="TII289" s="22"/>
      <c r="TIJ289" s="22"/>
      <c r="TIK289" s="22"/>
      <c r="TIL289" s="22"/>
      <c r="TIM289" s="22"/>
      <c r="TIN289" s="22"/>
      <c r="TIO289" s="22"/>
      <c r="TIP289" s="22"/>
      <c r="TIQ289" s="22"/>
      <c r="TIR289" s="22"/>
      <c r="TIS289" s="22"/>
      <c r="TIT289" s="22"/>
      <c r="TIU289" s="22"/>
      <c r="TIV289" s="22"/>
      <c r="TIW289" s="22"/>
      <c r="TIX289" s="22"/>
      <c r="TIY289" s="22"/>
      <c r="TIZ289" s="22"/>
      <c r="TJA289" s="22"/>
      <c r="TJB289" s="22"/>
      <c r="TJC289" s="22"/>
      <c r="TJD289" s="22"/>
      <c r="TJE289" s="22"/>
      <c r="TJF289" s="22"/>
      <c r="TJG289" s="22"/>
      <c r="TJH289" s="22"/>
      <c r="TJI289" s="22"/>
      <c r="TJJ289" s="22"/>
      <c r="TJK289" s="22"/>
      <c r="TJL289" s="22"/>
      <c r="TJM289" s="22"/>
      <c r="TJN289" s="22"/>
      <c r="TJO289" s="22"/>
      <c r="TJP289" s="22"/>
      <c r="TJQ289" s="22"/>
      <c r="TJR289" s="22"/>
      <c r="TJS289" s="22"/>
      <c r="TJT289" s="22"/>
      <c r="TJU289" s="22"/>
      <c r="TJV289" s="22"/>
      <c r="TJW289" s="22"/>
      <c r="TJX289" s="22"/>
      <c r="TJY289" s="22"/>
      <c r="TJZ289" s="22"/>
      <c r="TKA289" s="22"/>
      <c r="TKB289" s="22"/>
      <c r="TKC289" s="22"/>
      <c r="TKD289" s="22"/>
      <c r="TKE289" s="22"/>
      <c r="TKF289" s="22"/>
      <c r="TKG289" s="22"/>
      <c r="TKH289" s="22"/>
      <c r="TKI289" s="22"/>
      <c r="TKJ289" s="22"/>
      <c r="TKK289" s="22"/>
      <c r="TKL289" s="22"/>
      <c r="TKM289" s="22"/>
      <c r="TKN289" s="22"/>
      <c r="TKO289" s="22"/>
      <c r="TKP289" s="22"/>
      <c r="TKQ289" s="22"/>
      <c r="TKR289" s="22"/>
      <c r="TKS289" s="22"/>
      <c r="TKT289" s="22"/>
      <c r="TKU289" s="22"/>
      <c r="TKV289" s="22"/>
      <c r="TKW289" s="22"/>
      <c r="TKX289" s="22"/>
      <c r="TKY289" s="22"/>
      <c r="TKZ289" s="22"/>
      <c r="TLA289" s="22"/>
      <c r="TLB289" s="22"/>
      <c r="TLC289" s="22"/>
      <c r="TLD289" s="22"/>
      <c r="TLE289" s="22"/>
      <c r="TLF289" s="22"/>
      <c r="TLG289" s="22"/>
      <c r="TLH289" s="22"/>
      <c r="TLI289" s="22"/>
      <c r="TLJ289" s="22"/>
      <c r="TLK289" s="22"/>
      <c r="TLL289" s="22"/>
      <c r="TLM289" s="22"/>
      <c r="TLN289" s="22"/>
      <c r="TLO289" s="22"/>
      <c r="TLP289" s="22"/>
      <c r="TLQ289" s="22"/>
      <c r="TLR289" s="22"/>
      <c r="TLS289" s="22"/>
      <c r="TLT289" s="22"/>
      <c r="TLU289" s="22"/>
      <c r="TLV289" s="22"/>
      <c r="TLW289" s="22"/>
      <c r="TLX289" s="22"/>
      <c r="TLY289" s="22"/>
      <c r="TLZ289" s="22"/>
      <c r="TMA289" s="22"/>
      <c r="TMB289" s="22"/>
      <c r="TMC289" s="22"/>
      <c r="TMD289" s="22"/>
      <c r="TME289" s="22"/>
      <c r="TMF289" s="22"/>
      <c r="TMG289" s="22"/>
      <c r="TMH289" s="22"/>
      <c r="TMI289" s="22"/>
      <c r="TMJ289" s="22"/>
      <c r="TMK289" s="22"/>
      <c r="TML289" s="22"/>
      <c r="TMM289" s="22"/>
      <c r="TMN289" s="22"/>
      <c r="TMO289" s="22"/>
      <c r="TMP289" s="22"/>
      <c r="TMQ289" s="22"/>
      <c r="TMR289" s="22"/>
      <c r="TMS289" s="22"/>
      <c r="TMT289" s="22"/>
      <c r="TMU289" s="22"/>
      <c r="TMV289" s="22"/>
      <c r="TMW289" s="22"/>
      <c r="TMX289" s="22"/>
      <c r="TMY289" s="22"/>
      <c r="TMZ289" s="22"/>
      <c r="TNA289" s="22"/>
      <c r="TNB289" s="22"/>
      <c r="TNC289" s="22"/>
      <c r="TND289" s="22"/>
      <c r="TNE289" s="22"/>
      <c r="TNF289" s="22"/>
      <c r="TNG289" s="22"/>
      <c r="TNH289" s="22"/>
      <c r="TNI289" s="22"/>
      <c r="TNJ289" s="22"/>
      <c r="TNK289" s="22"/>
      <c r="TNL289" s="22"/>
      <c r="TNM289" s="22"/>
      <c r="TNN289" s="22"/>
      <c r="TNO289" s="22"/>
      <c r="TNP289" s="22"/>
      <c r="TNQ289" s="22"/>
      <c r="TNR289" s="22"/>
      <c r="TNS289" s="22"/>
      <c r="TNT289" s="22"/>
      <c r="TNU289" s="22"/>
      <c r="TNV289" s="22"/>
      <c r="TNW289" s="22"/>
      <c r="TNX289" s="22"/>
      <c r="TNY289" s="22"/>
      <c r="TNZ289" s="22"/>
      <c r="TOA289" s="22"/>
      <c r="TOB289" s="22"/>
      <c r="TOC289" s="22"/>
      <c r="TOD289" s="22"/>
      <c r="TOE289" s="22"/>
      <c r="TOF289" s="22"/>
      <c r="TOG289" s="22"/>
      <c r="TOH289" s="22"/>
      <c r="TOI289" s="22"/>
      <c r="TOJ289" s="22"/>
      <c r="TOK289" s="22"/>
      <c r="TOL289" s="22"/>
      <c r="TOM289" s="22"/>
      <c r="TON289" s="22"/>
      <c r="TOO289" s="22"/>
      <c r="TOP289" s="22"/>
      <c r="TOQ289" s="22"/>
      <c r="TOR289" s="22"/>
      <c r="TOS289" s="22"/>
      <c r="TOT289" s="22"/>
      <c r="TOU289" s="22"/>
      <c r="TOV289" s="22"/>
      <c r="TOW289" s="22"/>
      <c r="TOX289" s="22"/>
      <c r="TOY289" s="22"/>
      <c r="TOZ289" s="22"/>
      <c r="TPA289" s="22"/>
      <c r="TPB289" s="22"/>
      <c r="TPC289" s="22"/>
      <c r="TPD289" s="22"/>
      <c r="TPE289" s="22"/>
      <c r="TPF289" s="22"/>
      <c r="TPG289" s="22"/>
      <c r="TPH289" s="22"/>
      <c r="TPI289" s="22"/>
      <c r="TPJ289" s="22"/>
      <c r="TPK289" s="22"/>
      <c r="TPL289" s="22"/>
      <c r="TPM289" s="22"/>
      <c r="TPN289" s="22"/>
      <c r="TPO289" s="22"/>
      <c r="TPP289" s="22"/>
      <c r="TPQ289" s="22"/>
      <c r="TPR289" s="22"/>
      <c r="TPS289" s="22"/>
      <c r="TPT289" s="22"/>
      <c r="TPU289" s="22"/>
      <c r="TPV289" s="22"/>
      <c r="TPW289" s="22"/>
      <c r="TPX289" s="22"/>
      <c r="TPY289" s="22"/>
      <c r="TPZ289" s="22"/>
      <c r="TQA289" s="22"/>
      <c r="TQB289" s="22"/>
      <c r="TQC289" s="22"/>
      <c r="TQD289" s="22"/>
      <c r="TQE289" s="22"/>
      <c r="TQF289" s="22"/>
      <c r="TQG289" s="22"/>
      <c r="TQH289" s="22"/>
      <c r="TQI289" s="22"/>
      <c r="TQJ289" s="22"/>
      <c r="TQK289" s="22"/>
      <c r="TQL289" s="22"/>
      <c r="TQM289" s="22"/>
      <c r="TQN289" s="22"/>
      <c r="TQO289" s="22"/>
      <c r="TQP289" s="22"/>
      <c r="TQQ289" s="22"/>
      <c r="TQR289" s="22"/>
      <c r="TQS289" s="22"/>
      <c r="TQT289" s="22"/>
      <c r="TQU289" s="22"/>
      <c r="TQV289" s="22"/>
      <c r="TQW289" s="22"/>
      <c r="TQX289" s="22"/>
      <c r="TQY289" s="22"/>
      <c r="TQZ289" s="22"/>
      <c r="TRA289" s="22"/>
      <c r="TRB289" s="22"/>
      <c r="TRC289" s="22"/>
      <c r="TRD289" s="22"/>
      <c r="TRE289" s="22"/>
      <c r="TRF289" s="22"/>
      <c r="TRG289" s="22"/>
      <c r="TRH289" s="22"/>
      <c r="TRI289" s="22"/>
      <c r="TRJ289" s="22"/>
      <c r="TRK289" s="22"/>
      <c r="TRL289" s="22"/>
      <c r="TRM289" s="22"/>
      <c r="TRN289" s="22"/>
      <c r="TRO289" s="22"/>
      <c r="TRP289" s="22"/>
      <c r="TRQ289" s="22"/>
      <c r="TRR289" s="22"/>
      <c r="TRS289" s="22"/>
      <c r="TRT289" s="22"/>
      <c r="TRU289" s="22"/>
      <c r="TRV289" s="22"/>
      <c r="TRW289" s="22"/>
      <c r="TRX289" s="22"/>
      <c r="TRY289" s="22"/>
      <c r="TRZ289" s="22"/>
      <c r="TSA289" s="22"/>
      <c r="TSB289" s="22"/>
      <c r="TSC289" s="22"/>
      <c r="TSD289" s="22"/>
      <c r="TSE289" s="22"/>
      <c r="TSF289" s="22"/>
      <c r="TSG289" s="22"/>
      <c r="TSH289" s="22"/>
      <c r="TSI289" s="22"/>
      <c r="TSJ289" s="22"/>
      <c r="TSK289" s="22"/>
      <c r="TSL289" s="22"/>
      <c r="TSM289" s="22"/>
      <c r="TSN289" s="22"/>
      <c r="TSO289" s="22"/>
      <c r="TSP289" s="22"/>
      <c r="TSQ289" s="22"/>
      <c r="TSR289" s="22"/>
      <c r="TSS289" s="22"/>
      <c r="TST289" s="22"/>
      <c r="TSU289" s="22"/>
      <c r="TSV289" s="22"/>
      <c r="TSW289" s="22"/>
      <c r="TSX289" s="22"/>
      <c r="TSY289" s="22"/>
      <c r="TSZ289" s="22"/>
      <c r="TTA289" s="22"/>
      <c r="TTB289" s="22"/>
      <c r="TTC289" s="22"/>
      <c r="TTD289" s="22"/>
      <c r="TTE289" s="22"/>
      <c r="TTF289" s="22"/>
      <c r="TTG289" s="22"/>
      <c r="TTH289" s="22"/>
      <c r="TTI289" s="22"/>
      <c r="TTJ289" s="22"/>
      <c r="TTK289" s="22"/>
      <c r="TTL289" s="22"/>
      <c r="TTM289" s="22"/>
      <c r="TTN289" s="22"/>
      <c r="TTO289" s="22"/>
      <c r="TTP289" s="22"/>
      <c r="TTQ289" s="22"/>
      <c r="TTR289" s="22"/>
      <c r="TTS289" s="22"/>
      <c r="TTT289" s="22"/>
      <c r="TTU289" s="22"/>
      <c r="TTV289" s="22"/>
      <c r="TTW289" s="22"/>
      <c r="TTX289" s="22"/>
      <c r="TTY289" s="22"/>
      <c r="TTZ289" s="22"/>
      <c r="TUA289" s="22"/>
      <c r="TUB289" s="22"/>
      <c r="TUC289" s="22"/>
      <c r="TUD289" s="22"/>
      <c r="TUE289" s="22"/>
      <c r="TUF289" s="22"/>
      <c r="TUG289" s="22"/>
      <c r="TUH289" s="22"/>
      <c r="TUI289" s="22"/>
      <c r="TUJ289" s="22"/>
      <c r="TUK289" s="22"/>
      <c r="TUL289" s="22"/>
      <c r="TUM289" s="22"/>
      <c r="TUN289" s="22"/>
      <c r="TUO289" s="22"/>
      <c r="TUP289" s="22"/>
      <c r="TUQ289" s="22"/>
      <c r="TUR289" s="22"/>
      <c r="TUS289" s="22"/>
      <c r="TUT289" s="22"/>
      <c r="TUU289" s="22"/>
      <c r="TUV289" s="22"/>
      <c r="TUW289" s="22"/>
      <c r="TUX289" s="22"/>
      <c r="TUY289" s="22"/>
      <c r="TUZ289" s="22"/>
      <c r="TVA289" s="22"/>
      <c r="TVB289" s="22"/>
      <c r="TVC289" s="22"/>
      <c r="TVD289" s="22"/>
      <c r="TVE289" s="22"/>
      <c r="TVF289" s="22"/>
      <c r="TVG289" s="22"/>
      <c r="TVH289" s="22"/>
      <c r="TVI289" s="22"/>
      <c r="TVJ289" s="22"/>
      <c r="TVK289" s="22"/>
      <c r="TVL289" s="22"/>
      <c r="TVM289" s="22"/>
      <c r="TVN289" s="22"/>
      <c r="TVO289" s="22"/>
      <c r="TVP289" s="22"/>
      <c r="TVQ289" s="22"/>
      <c r="TVR289" s="22"/>
      <c r="TVS289" s="22"/>
      <c r="TVT289" s="22"/>
      <c r="TVU289" s="22"/>
      <c r="TVV289" s="22"/>
      <c r="TVW289" s="22"/>
      <c r="TVX289" s="22"/>
      <c r="TVY289" s="22"/>
      <c r="TVZ289" s="22"/>
      <c r="TWA289" s="22"/>
      <c r="TWB289" s="22"/>
      <c r="TWC289" s="22"/>
      <c r="TWD289" s="22"/>
      <c r="TWE289" s="22"/>
      <c r="TWF289" s="22"/>
      <c r="TWG289" s="22"/>
      <c r="TWH289" s="22"/>
      <c r="TWI289" s="22"/>
      <c r="TWJ289" s="22"/>
      <c r="TWK289" s="22"/>
      <c r="TWL289" s="22"/>
      <c r="TWM289" s="22"/>
      <c r="TWN289" s="22"/>
      <c r="TWO289" s="22"/>
      <c r="TWP289" s="22"/>
      <c r="TWQ289" s="22"/>
      <c r="TWR289" s="22"/>
      <c r="TWS289" s="22"/>
      <c r="TWT289" s="22"/>
      <c r="TWU289" s="22"/>
      <c r="TWV289" s="22"/>
      <c r="TWW289" s="22"/>
      <c r="TWX289" s="22"/>
      <c r="TWY289" s="22"/>
      <c r="TWZ289" s="22"/>
      <c r="TXA289" s="22"/>
      <c r="TXB289" s="22"/>
      <c r="TXC289" s="22"/>
      <c r="TXD289" s="22"/>
      <c r="TXE289" s="22"/>
      <c r="TXF289" s="22"/>
      <c r="TXG289" s="22"/>
      <c r="TXH289" s="22"/>
      <c r="TXI289" s="22"/>
      <c r="TXJ289" s="22"/>
      <c r="TXK289" s="22"/>
      <c r="TXL289" s="22"/>
      <c r="TXM289" s="22"/>
      <c r="TXN289" s="22"/>
      <c r="TXO289" s="22"/>
      <c r="TXP289" s="22"/>
      <c r="TXQ289" s="22"/>
      <c r="TXR289" s="22"/>
      <c r="TXS289" s="22"/>
      <c r="TXT289" s="22"/>
      <c r="TXU289" s="22"/>
      <c r="TXV289" s="22"/>
      <c r="TXW289" s="22"/>
      <c r="TXX289" s="22"/>
      <c r="TXY289" s="22"/>
      <c r="TXZ289" s="22"/>
      <c r="TYA289" s="22"/>
      <c r="TYB289" s="22"/>
      <c r="TYC289" s="22"/>
      <c r="TYD289" s="22"/>
      <c r="TYE289" s="22"/>
      <c r="TYF289" s="22"/>
      <c r="TYG289" s="22"/>
      <c r="TYH289" s="22"/>
      <c r="TYI289" s="22"/>
      <c r="TYJ289" s="22"/>
      <c r="TYK289" s="22"/>
      <c r="TYL289" s="22"/>
      <c r="TYM289" s="22"/>
      <c r="TYN289" s="22"/>
      <c r="TYO289" s="22"/>
      <c r="TYP289" s="22"/>
      <c r="TYQ289" s="22"/>
      <c r="TYR289" s="22"/>
      <c r="TYS289" s="22"/>
      <c r="TYT289" s="22"/>
      <c r="TYU289" s="22"/>
      <c r="TYV289" s="22"/>
      <c r="TYW289" s="22"/>
      <c r="TYX289" s="22"/>
      <c r="TYY289" s="22"/>
      <c r="TYZ289" s="22"/>
      <c r="TZA289" s="22"/>
      <c r="TZB289" s="22"/>
      <c r="TZC289" s="22"/>
      <c r="TZD289" s="22"/>
      <c r="TZE289" s="22"/>
      <c r="TZF289" s="22"/>
      <c r="TZG289" s="22"/>
      <c r="TZH289" s="22"/>
      <c r="TZI289" s="22"/>
      <c r="TZJ289" s="22"/>
      <c r="TZK289" s="22"/>
      <c r="TZL289" s="22"/>
      <c r="TZM289" s="22"/>
      <c r="TZN289" s="22"/>
      <c r="TZO289" s="22"/>
      <c r="TZP289" s="22"/>
      <c r="TZQ289" s="22"/>
      <c r="TZR289" s="22"/>
      <c r="TZS289" s="22"/>
      <c r="TZT289" s="22"/>
      <c r="TZU289" s="22"/>
      <c r="TZV289" s="22"/>
      <c r="TZW289" s="22"/>
      <c r="TZX289" s="22"/>
      <c r="TZY289" s="22"/>
      <c r="TZZ289" s="22"/>
      <c r="UAA289" s="22"/>
      <c r="UAB289" s="22"/>
      <c r="UAC289" s="22"/>
      <c r="UAD289" s="22"/>
      <c r="UAE289" s="22"/>
      <c r="UAF289" s="22"/>
      <c r="UAG289" s="22"/>
      <c r="UAH289" s="22"/>
      <c r="UAI289" s="22"/>
      <c r="UAJ289" s="22"/>
      <c r="UAK289" s="22"/>
      <c r="UAL289" s="22"/>
      <c r="UAM289" s="22"/>
      <c r="UAN289" s="22"/>
      <c r="UAO289" s="22"/>
      <c r="UAP289" s="22"/>
      <c r="UAQ289" s="22"/>
      <c r="UAR289" s="22"/>
      <c r="UAS289" s="22"/>
      <c r="UAT289" s="22"/>
      <c r="UAU289" s="22"/>
      <c r="UAV289" s="22"/>
      <c r="UAW289" s="22"/>
      <c r="UAX289" s="22"/>
      <c r="UAY289" s="22"/>
      <c r="UAZ289" s="22"/>
      <c r="UBA289" s="22"/>
      <c r="UBB289" s="22"/>
      <c r="UBC289" s="22"/>
      <c r="UBD289" s="22"/>
      <c r="UBE289" s="22"/>
      <c r="UBF289" s="22"/>
      <c r="UBG289" s="22"/>
      <c r="UBH289" s="22"/>
      <c r="UBI289" s="22"/>
      <c r="UBJ289" s="22"/>
      <c r="UBK289" s="22"/>
      <c r="UBL289" s="22"/>
      <c r="UBM289" s="22"/>
      <c r="UBN289" s="22"/>
      <c r="UBO289" s="22"/>
      <c r="UBP289" s="22"/>
      <c r="UBQ289" s="22"/>
      <c r="UBR289" s="22"/>
      <c r="UBS289" s="22"/>
      <c r="UBT289" s="22"/>
      <c r="UBU289" s="22"/>
      <c r="UBV289" s="22"/>
      <c r="UBW289" s="22"/>
      <c r="UBX289" s="22"/>
      <c r="UBY289" s="22"/>
      <c r="UBZ289" s="22"/>
      <c r="UCA289" s="22"/>
      <c r="UCB289" s="22"/>
      <c r="UCC289" s="22"/>
      <c r="UCD289" s="22"/>
      <c r="UCE289" s="22"/>
      <c r="UCF289" s="22"/>
      <c r="UCG289" s="22"/>
      <c r="UCH289" s="22"/>
      <c r="UCI289" s="22"/>
      <c r="UCJ289" s="22"/>
      <c r="UCK289" s="22"/>
      <c r="UCL289" s="22"/>
      <c r="UCM289" s="22"/>
      <c r="UCN289" s="22"/>
      <c r="UCO289" s="22"/>
      <c r="UCP289" s="22"/>
      <c r="UCQ289" s="22"/>
      <c r="UCR289" s="22"/>
      <c r="UCS289" s="22"/>
      <c r="UCT289" s="22"/>
      <c r="UCU289" s="22"/>
      <c r="UCV289" s="22"/>
      <c r="UCW289" s="22"/>
      <c r="UCX289" s="22"/>
      <c r="UCY289" s="22"/>
      <c r="UCZ289" s="22"/>
      <c r="UDA289" s="22"/>
      <c r="UDB289" s="22"/>
      <c r="UDC289" s="22"/>
      <c r="UDD289" s="22"/>
      <c r="UDE289" s="22"/>
      <c r="UDF289" s="22"/>
      <c r="UDG289" s="22"/>
      <c r="UDH289" s="22"/>
      <c r="UDI289" s="22"/>
      <c r="UDJ289" s="22"/>
      <c r="UDK289" s="22"/>
      <c r="UDL289" s="22"/>
      <c r="UDM289" s="22"/>
      <c r="UDN289" s="22"/>
      <c r="UDO289" s="22"/>
      <c r="UDP289" s="22"/>
      <c r="UDQ289" s="22"/>
      <c r="UDR289" s="22"/>
      <c r="UDS289" s="22"/>
      <c r="UDT289" s="22"/>
      <c r="UDU289" s="22"/>
      <c r="UDV289" s="22"/>
      <c r="UDW289" s="22"/>
      <c r="UDX289" s="22"/>
      <c r="UDY289" s="22"/>
      <c r="UDZ289" s="22"/>
      <c r="UEA289" s="22"/>
      <c r="UEB289" s="22"/>
      <c r="UEC289" s="22"/>
      <c r="UED289" s="22"/>
      <c r="UEE289" s="22"/>
      <c r="UEF289" s="22"/>
      <c r="UEG289" s="22"/>
      <c r="UEH289" s="22"/>
      <c r="UEI289" s="22"/>
      <c r="UEJ289" s="22"/>
      <c r="UEK289" s="22"/>
      <c r="UEL289" s="22"/>
      <c r="UEM289" s="22"/>
      <c r="UEN289" s="22"/>
      <c r="UEO289" s="22"/>
      <c r="UEP289" s="22"/>
      <c r="UEQ289" s="22"/>
      <c r="UER289" s="22"/>
      <c r="UES289" s="22"/>
      <c r="UET289" s="22"/>
      <c r="UEU289" s="22"/>
      <c r="UEV289" s="22"/>
      <c r="UEW289" s="22"/>
      <c r="UEX289" s="22"/>
      <c r="UEY289" s="22"/>
      <c r="UEZ289" s="22"/>
      <c r="UFA289" s="22"/>
      <c r="UFB289" s="22"/>
      <c r="UFC289" s="22"/>
      <c r="UFD289" s="22"/>
      <c r="UFE289" s="22"/>
      <c r="UFF289" s="22"/>
      <c r="UFG289" s="22"/>
      <c r="UFH289" s="22"/>
      <c r="UFI289" s="22"/>
      <c r="UFJ289" s="22"/>
      <c r="UFK289" s="22"/>
      <c r="UFL289" s="22"/>
      <c r="UFM289" s="22"/>
      <c r="UFN289" s="22"/>
      <c r="UFO289" s="22"/>
      <c r="UFP289" s="22"/>
      <c r="UFQ289" s="22"/>
      <c r="UFR289" s="22"/>
      <c r="UFS289" s="22"/>
      <c r="UFT289" s="22"/>
      <c r="UFU289" s="22"/>
      <c r="UFV289" s="22"/>
      <c r="UFW289" s="22"/>
      <c r="UFX289" s="22"/>
      <c r="UFY289" s="22"/>
      <c r="UFZ289" s="22"/>
      <c r="UGA289" s="22"/>
      <c r="UGB289" s="22"/>
      <c r="UGC289" s="22"/>
      <c r="UGD289" s="22"/>
      <c r="UGE289" s="22"/>
      <c r="UGF289" s="22"/>
      <c r="UGG289" s="22"/>
      <c r="UGH289" s="22"/>
      <c r="UGI289" s="22"/>
      <c r="UGJ289" s="22"/>
      <c r="UGK289" s="22"/>
      <c r="UGL289" s="22"/>
      <c r="UGM289" s="22"/>
      <c r="UGN289" s="22"/>
      <c r="UGO289" s="22"/>
      <c r="UGP289" s="22"/>
      <c r="UGQ289" s="22"/>
      <c r="UGR289" s="22"/>
      <c r="UGS289" s="22"/>
      <c r="UGT289" s="22"/>
      <c r="UGU289" s="22"/>
      <c r="UGV289" s="22"/>
      <c r="UGW289" s="22"/>
      <c r="UGX289" s="22"/>
      <c r="UGY289" s="22"/>
      <c r="UGZ289" s="22"/>
      <c r="UHA289" s="22"/>
      <c r="UHB289" s="22"/>
      <c r="UHC289" s="22"/>
      <c r="UHD289" s="22"/>
      <c r="UHE289" s="22"/>
      <c r="UHF289" s="22"/>
      <c r="UHG289" s="22"/>
      <c r="UHH289" s="22"/>
      <c r="UHI289" s="22"/>
      <c r="UHJ289" s="22"/>
      <c r="UHK289" s="22"/>
      <c r="UHL289" s="22"/>
      <c r="UHM289" s="22"/>
      <c r="UHN289" s="22"/>
      <c r="UHO289" s="22"/>
      <c r="UHP289" s="22"/>
      <c r="UHQ289" s="22"/>
      <c r="UHR289" s="22"/>
      <c r="UHS289" s="22"/>
      <c r="UHT289" s="22"/>
      <c r="UHU289" s="22"/>
      <c r="UHV289" s="22"/>
      <c r="UHW289" s="22"/>
      <c r="UHX289" s="22"/>
      <c r="UHY289" s="22"/>
      <c r="UHZ289" s="22"/>
      <c r="UIA289" s="22"/>
      <c r="UIB289" s="22"/>
      <c r="UIC289" s="22"/>
      <c r="UID289" s="22"/>
      <c r="UIE289" s="22"/>
      <c r="UIF289" s="22"/>
      <c r="UIG289" s="22"/>
      <c r="UIH289" s="22"/>
      <c r="UII289" s="22"/>
      <c r="UIJ289" s="22"/>
      <c r="UIK289" s="22"/>
      <c r="UIL289" s="22"/>
      <c r="UIM289" s="22"/>
      <c r="UIN289" s="22"/>
      <c r="UIO289" s="22"/>
      <c r="UIP289" s="22"/>
      <c r="UIQ289" s="22"/>
      <c r="UIR289" s="22"/>
      <c r="UIS289" s="22"/>
      <c r="UIT289" s="22"/>
      <c r="UIU289" s="22"/>
      <c r="UIV289" s="22"/>
      <c r="UIW289" s="22"/>
      <c r="UIX289" s="22"/>
      <c r="UIY289" s="22"/>
      <c r="UIZ289" s="22"/>
      <c r="UJA289" s="22"/>
      <c r="UJB289" s="22"/>
      <c r="UJC289" s="22"/>
      <c r="UJD289" s="22"/>
      <c r="UJE289" s="22"/>
      <c r="UJF289" s="22"/>
      <c r="UJG289" s="22"/>
      <c r="UJH289" s="22"/>
      <c r="UJI289" s="22"/>
      <c r="UJJ289" s="22"/>
      <c r="UJK289" s="22"/>
      <c r="UJL289" s="22"/>
      <c r="UJM289" s="22"/>
      <c r="UJN289" s="22"/>
      <c r="UJO289" s="22"/>
      <c r="UJP289" s="22"/>
      <c r="UJQ289" s="22"/>
      <c r="UJR289" s="22"/>
      <c r="UJS289" s="22"/>
      <c r="UJT289" s="22"/>
      <c r="UJU289" s="22"/>
      <c r="UJV289" s="22"/>
      <c r="UJW289" s="22"/>
      <c r="UJX289" s="22"/>
      <c r="UJY289" s="22"/>
      <c r="UJZ289" s="22"/>
      <c r="UKA289" s="22"/>
      <c r="UKB289" s="22"/>
      <c r="UKC289" s="22"/>
      <c r="UKD289" s="22"/>
      <c r="UKE289" s="22"/>
      <c r="UKF289" s="22"/>
      <c r="UKG289" s="22"/>
      <c r="UKH289" s="22"/>
      <c r="UKI289" s="22"/>
      <c r="UKJ289" s="22"/>
      <c r="UKK289" s="22"/>
      <c r="UKL289" s="22"/>
      <c r="UKM289" s="22"/>
      <c r="UKN289" s="22"/>
      <c r="UKO289" s="22"/>
      <c r="UKP289" s="22"/>
      <c r="UKQ289" s="22"/>
      <c r="UKR289" s="22"/>
      <c r="UKS289" s="22"/>
      <c r="UKT289" s="22"/>
      <c r="UKU289" s="22"/>
      <c r="UKV289" s="22"/>
      <c r="UKW289" s="22"/>
      <c r="UKX289" s="22"/>
      <c r="UKY289" s="22"/>
      <c r="UKZ289" s="22"/>
      <c r="ULA289" s="22"/>
      <c r="ULB289" s="22"/>
      <c r="ULC289" s="22"/>
      <c r="ULD289" s="22"/>
      <c r="ULE289" s="22"/>
      <c r="ULF289" s="22"/>
      <c r="ULG289" s="22"/>
      <c r="ULH289" s="22"/>
      <c r="ULI289" s="22"/>
      <c r="ULJ289" s="22"/>
      <c r="ULK289" s="22"/>
      <c r="ULL289" s="22"/>
      <c r="ULM289" s="22"/>
      <c r="ULN289" s="22"/>
      <c r="ULO289" s="22"/>
      <c r="ULP289" s="22"/>
      <c r="ULQ289" s="22"/>
      <c r="ULR289" s="22"/>
      <c r="ULS289" s="22"/>
      <c r="ULT289" s="22"/>
      <c r="ULU289" s="22"/>
      <c r="ULV289" s="22"/>
      <c r="ULW289" s="22"/>
      <c r="ULX289" s="22"/>
      <c r="ULY289" s="22"/>
      <c r="ULZ289" s="22"/>
      <c r="UMA289" s="22"/>
      <c r="UMB289" s="22"/>
      <c r="UMC289" s="22"/>
      <c r="UMD289" s="22"/>
      <c r="UME289" s="22"/>
      <c r="UMF289" s="22"/>
      <c r="UMG289" s="22"/>
      <c r="UMH289" s="22"/>
      <c r="UMI289" s="22"/>
      <c r="UMJ289" s="22"/>
      <c r="UMK289" s="22"/>
      <c r="UML289" s="22"/>
      <c r="UMM289" s="22"/>
      <c r="UMN289" s="22"/>
      <c r="UMO289" s="22"/>
      <c r="UMP289" s="22"/>
      <c r="UMQ289" s="22"/>
      <c r="UMR289" s="22"/>
      <c r="UMS289" s="22"/>
      <c r="UMT289" s="22"/>
      <c r="UMU289" s="22"/>
      <c r="UMV289" s="22"/>
      <c r="UMW289" s="22"/>
      <c r="UMX289" s="22"/>
      <c r="UMY289" s="22"/>
      <c r="UMZ289" s="22"/>
      <c r="UNA289" s="22"/>
      <c r="UNB289" s="22"/>
      <c r="UNC289" s="22"/>
      <c r="UND289" s="22"/>
      <c r="UNE289" s="22"/>
      <c r="UNF289" s="22"/>
      <c r="UNG289" s="22"/>
      <c r="UNH289" s="22"/>
      <c r="UNI289" s="22"/>
      <c r="UNJ289" s="22"/>
      <c r="UNK289" s="22"/>
      <c r="UNL289" s="22"/>
      <c r="UNM289" s="22"/>
      <c r="UNN289" s="22"/>
      <c r="UNO289" s="22"/>
      <c r="UNP289" s="22"/>
      <c r="UNQ289" s="22"/>
      <c r="UNR289" s="22"/>
      <c r="UNS289" s="22"/>
      <c r="UNT289" s="22"/>
      <c r="UNU289" s="22"/>
      <c r="UNV289" s="22"/>
      <c r="UNW289" s="22"/>
      <c r="UNX289" s="22"/>
      <c r="UNY289" s="22"/>
      <c r="UNZ289" s="22"/>
      <c r="UOA289" s="22"/>
      <c r="UOB289" s="22"/>
      <c r="UOC289" s="22"/>
      <c r="UOD289" s="22"/>
      <c r="UOE289" s="22"/>
      <c r="UOF289" s="22"/>
      <c r="UOG289" s="22"/>
      <c r="UOH289" s="22"/>
      <c r="UOI289" s="22"/>
      <c r="UOJ289" s="22"/>
      <c r="UOK289" s="22"/>
      <c r="UOL289" s="22"/>
      <c r="UOM289" s="22"/>
      <c r="UON289" s="22"/>
      <c r="UOO289" s="22"/>
      <c r="UOP289" s="22"/>
      <c r="UOQ289" s="22"/>
      <c r="UOR289" s="22"/>
      <c r="UOS289" s="22"/>
      <c r="UOT289" s="22"/>
      <c r="UOU289" s="22"/>
      <c r="UOV289" s="22"/>
      <c r="UOW289" s="22"/>
      <c r="UOX289" s="22"/>
      <c r="UOY289" s="22"/>
      <c r="UOZ289" s="22"/>
      <c r="UPA289" s="22"/>
      <c r="UPB289" s="22"/>
      <c r="UPC289" s="22"/>
      <c r="UPD289" s="22"/>
      <c r="UPE289" s="22"/>
      <c r="UPF289" s="22"/>
      <c r="UPG289" s="22"/>
      <c r="UPH289" s="22"/>
      <c r="UPI289" s="22"/>
      <c r="UPJ289" s="22"/>
      <c r="UPK289" s="22"/>
      <c r="UPL289" s="22"/>
      <c r="UPM289" s="22"/>
      <c r="UPN289" s="22"/>
      <c r="UPO289" s="22"/>
      <c r="UPP289" s="22"/>
      <c r="UPQ289" s="22"/>
      <c r="UPR289" s="22"/>
      <c r="UPS289" s="22"/>
      <c r="UPT289" s="22"/>
      <c r="UPU289" s="22"/>
      <c r="UPV289" s="22"/>
      <c r="UPW289" s="22"/>
      <c r="UPX289" s="22"/>
      <c r="UPY289" s="22"/>
      <c r="UPZ289" s="22"/>
      <c r="UQA289" s="22"/>
      <c r="UQB289" s="22"/>
      <c r="UQC289" s="22"/>
      <c r="UQD289" s="22"/>
      <c r="UQE289" s="22"/>
      <c r="UQF289" s="22"/>
      <c r="UQG289" s="22"/>
      <c r="UQH289" s="22"/>
      <c r="UQI289" s="22"/>
      <c r="UQJ289" s="22"/>
      <c r="UQK289" s="22"/>
      <c r="UQL289" s="22"/>
      <c r="UQM289" s="22"/>
      <c r="UQN289" s="22"/>
      <c r="UQO289" s="22"/>
      <c r="UQP289" s="22"/>
      <c r="UQQ289" s="22"/>
      <c r="UQR289" s="22"/>
      <c r="UQS289" s="22"/>
      <c r="UQT289" s="22"/>
      <c r="UQU289" s="22"/>
      <c r="UQV289" s="22"/>
      <c r="UQW289" s="22"/>
      <c r="UQX289" s="22"/>
      <c r="UQY289" s="22"/>
      <c r="UQZ289" s="22"/>
      <c r="URA289" s="22"/>
      <c r="URB289" s="22"/>
      <c r="URC289" s="22"/>
      <c r="URD289" s="22"/>
      <c r="URE289" s="22"/>
      <c r="URF289" s="22"/>
      <c r="URG289" s="22"/>
      <c r="URH289" s="22"/>
      <c r="URI289" s="22"/>
      <c r="URJ289" s="22"/>
      <c r="URK289" s="22"/>
      <c r="URL289" s="22"/>
      <c r="URM289" s="22"/>
      <c r="URN289" s="22"/>
      <c r="URO289" s="22"/>
      <c r="URP289" s="22"/>
      <c r="URQ289" s="22"/>
      <c r="URR289" s="22"/>
      <c r="URS289" s="22"/>
      <c r="URT289" s="22"/>
      <c r="URU289" s="22"/>
      <c r="URV289" s="22"/>
      <c r="URW289" s="22"/>
      <c r="URX289" s="22"/>
      <c r="URY289" s="22"/>
      <c r="URZ289" s="22"/>
      <c r="USA289" s="22"/>
      <c r="USB289" s="22"/>
      <c r="USC289" s="22"/>
      <c r="USD289" s="22"/>
      <c r="USE289" s="22"/>
      <c r="USF289" s="22"/>
      <c r="USG289" s="22"/>
      <c r="USH289" s="22"/>
      <c r="USI289" s="22"/>
      <c r="USJ289" s="22"/>
      <c r="USK289" s="22"/>
      <c r="USL289" s="22"/>
      <c r="USM289" s="22"/>
      <c r="USN289" s="22"/>
      <c r="USO289" s="22"/>
      <c r="USP289" s="22"/>
      <c r="USQ289" s="22"/>
      <c r="USR289" s="22"/>
      <c r="USS289" s="22"/>
      <c r="UST289" s="22"/>
      <c r="USU289" s="22"/>
      <c r="USV289" s="22"/>
      <c r="USW289" s="22"/>
      <c r="USX289" s="22"/>
      <c r="USY289" s="22"/>
      <c r="USZ289" s="22"/>
      <c r="UTA289" s="22"/>
      <c r="UTB289" s="22"/>
      <c r="UTC289" s="22"/>
      <c r="UTD289" s="22"/>
      <c r="UTE289" s="22"/>
      <c r="UTF289" s="22"/>
      <c r="UTG289" s="22"/>
      <c r="UTH289" s="22"/>
      <c r="UTI289" s="22"/>
      <c r="UTJ289" s="22"/>
      <c r="UTK289" s="22"/>
      <c r="UTL289" s="22"/>
      <c r="UTM289" s="22"/>
      <c r="UTN289" s="22"/>
      <c r="UTO289" s="22"/>
      <c r="UTP289" s="22"/>
      <c r="UTQ289" s="22"/>
      <c r="UTR289" s="22"/>
      <c r="UTS289" s="22"/>
      <c r="UTT289" s="22"/>
      <c r="UTU289" s="22"/>
      <c r="UTV289" s="22"/>
      <c r="UTW289" s="22"/>
      <c r="UTX289" s="22"/>
      <c r="UTY289" s="22"/>
      <c r="UTZ289" s="22"/>
      <c r="UUA289" s="22"/>
      <c r="UUB289" s="22"/>
      <c r="UUC289" s="22"/>
      <c r="UUD289" s="22"/>
      <c r="UUE289" s="22"/>
      <c r="UUF289" s="22"/>
      <c r="UUG289" s="22"/>
      <c r="UUH289" s="22"/>
      <c r="UUI289" s="22"/>
      <c r="UUJ289" s="22"/>
      <c r="UUK289" s="22"/>
      <c r="UUL289" s="22"/>
      <c r="UUM289" s="22"/>
      <c r="UUN289" s="22"/>
      <c r="UUO289" s="22"/>
      <c r="UUP289" s="22"/>
      <c r="UUQ289" s="22"/>
      <c r="UUR289" s="22"/>
      <c r="UUS289" s="22"/>
      <c r="UUT289" s="22"/>
      <c r="UUU289" s="22"/>
      <c r="UUV289" s="22"/>
      <c r="UUW289" s="22"/>
      <c r="UUX289" s="22"/>
      <c r="UUY289" s="22"/>
      <c r="UUZ289" s="22"/>
      <c r="UVA289" s="22"/>
      <c r="UVB289" s="22"/>
      <c r="UVC289" s="22"/>
      <c r="UVD289" s="22"/>
      <c r="UVE289" s="22"/>
      <c r="UVF289" s="22"/>
      <c r="UVG289" s="22"/>
      <c r="UVH289" s="22"/>
      <c r="UVI289" s="22"/>
      <c r="UVJ289" s="22"/>
      <c r="UVK289" s="22"/>
      <c r="UVL289" s="22"/>
      <c r="UVM289" s="22"/>
      <c r="UVN289" s="22"/>
      <c r="UVO289" s="22"/>
      <c r="UVP289" s="22"/>
      <c r="UVQ289" s="22"/>
      <c r="UVR289" s="22"/>
      <c r="UVS289" s="22"/>
      <c r="UVT289" s="22"/>
      <c r="UVU289" s="22"/>
      <c r="UVV289" s="22"/>
      <c r="UVW289" s="22"/>
      <c r="UVX289" s="22"/>
      <c r="UVY289" s="22"/>
      <c r="UVZ289" s="22"/>
      <c r="UWA289" s="22"/>
      <c r="UWB289" s="22"/>
      <c r="UWC289" s="22"/>
      <c r="UWD289" s="22"/>
      <c r="UWE289" s="22"/>
      <c r="UWF289" s="22"/>
      <c r="UWG289" s="22"/>
      <c r="UWH289" s="22"/>
      <c r="UWI289" s="22"/>
      <c r="UWJ289" s="22"/>
      <c r="UWK289" s="22"/>
      <c r="UWL289" s="22"/>
      <c r="UWM289" s="22"/>
      <c r="UWN289" s="22"/>
      <c r="UWO289" s="22"/>
      <c r="UWP289" s="22"/>
      <c r="UWQ289" s="22"/>
      <c r="UWR289" s="22"/>
      <c r="UWS289" s="22"/>
      <c r="UWT289" s="22"/>
      <c r="UWU289" s="22"/>
      <c r="UWV289" s="22"/>
      <c r="UWW289" s="22"/>
      <c r="UWX289" s="22"/>
      <c r="UWY289" s="22"/>
      <c r="UWZ289" s="22"/>
      <c r="UXA289" s="22"/>
      <c r="UXB289" s="22"/>
      <c r="UXC289" s="22"/>
      <c r="UXD289" s="22"/>
      <c r="UXE289" s="22"/>
      <c r="UXF289" s="22"/>
      <c r="UXG289" s="22"/>
      <c r="UXH289" s="22"/>
      <c r="UXI289" s="22"/>
      <c r="UXJ289" s="22"/>
      <c r="UXK289" s="22"/>
      <c r="UXL289" s="22"/>
      <c r="UXM289" s="22"/>
      <c r="UXN289" s="22"/>
      <c r="UXO289" s="22"/>
      <c r="UXP289" s="22"/>
      <c r="UXQ289" s="22"/>
      <c r="UXR289" s="22"/>
      <c r="UXS289" s="22"/>
      <c r="UXT289" s="22"/>
      <c r="UXU289" s="22"/>
      <c r="UXV289" s="22"/>
      <c r="UXW289" s="22"/>
      <c r="UXX289" s="22"/>
      <c r="UXY289" s="22"/>
      <c r="UXZ289" s="22"/>
      <c r="UYA289" s="22"/>
      <c r="UYB289" s="22"/>
      <c r="UYC289" s="22"/>
      <c r="UYD289" s="22"/>
      <c r="UYE289" s="22"/>
      <c r="UYF289" s="22"/>
      <c r="UYG289" s="22"/>
      <c r="UYH289" s="22"/>
      <c r="UYI289" s="22"/>
      <c r="UYJ289" s="22"/>
      <c r="UYK289" s="22"/>
      <c r="UYL289" s="22"/>
      <c r="UYM289" s="22"/>
      <c r="UYN289" s="22"/>
      <c r="UYO289" s="22"/>
      <c r="UYP289" s="22"/>
      <c r="UYQ289" s="22"/>
      <c r="UYR289" s="22"/>
      <c r="UYS289" s="22"/>
      <c r="UYT289" s="22"/>
      <c r="UYU289" s="22"/>
      <c r="UYV289" s="22"/>
      <c r="UYW289" s="22"/>
      <c r="UYX289" s="22"/>
      <c r="UYY289" s="22"/>
      <c r="UYZ289" s="22"/>
      <c r="UZA289" s="22"/>
      <c r="UZB289" s="22"/>
      <c r="UZC289" s="22"/>
      <c r="UZD289" s="22"/>
      <c r="UZE289" s="22"/>
      <c r="UZF289" s="22"/>
      <c r="UZG289" s="22"/>
      <c r="UZH289" s="22"/>
      <c r="UZI289" s="22"/>
      <c r="UZJ289" s="22"/>
      <c r="UZK289" s="22"/>
      <c r="UZL289" s="22"/>
      <c r="UZM289" s="22"/>
      <c r="UZN289" s="22"/>
      <c r="UZO289" s="22"/>
      <c r="UZP289" s="22"/>
      <c r="UZQ289" s="22"/>
      <c r="UZR289" s="22"/>
      <c r="UZS289" s="22"/>
      <c r="UZT289" s="22"/>
      <c r="UZU289" s="22"/>
      <c r="UZV289" s="22"/>
      <c r="UZW289" s="22"/>
      <c r="UZX289" s="22"/>
      <c r="UZY289" s="22"/>
      <c r="UZZ289" s="22"/>
      <c r="VAA289" s="22"/>
      <c r="VAB289" s="22"/>
      <c r="VAC289" s="22"/>
      <c r="VAD289" s="22"/>
      <c r="VAE289" s="22"/>
      <c r="VAF289" s="22"/>
      <c r="VAG289" s="22"/>
      <c r="VAH289" s="22"/>
      <c r="VAI289" s="22"/>
      <c r="VAJ289" s="22"/>
      <c r="VAK289" s="22"/>
      <c r="VAL289" s="22"/>
      <c r="VAM289" s="22"/>
      <c r="VAN289" s="22"/>
      <c r="VAO289" s="22"/>
      <c r="VAP289" s="22"/>
      <c r="VAQ289" s="22"/>
      <c r="VAR289" s="22"/>
      <c r="VAS289" s="22"/>
      <c r="VAT289" s="22"/>
      <c r="VAU289" s="22"/>
      <c r="VAV289" s="22"/>
      <c r="VAW289" s="22"/>
      <c r="VAX289" s="22"/>
      <c r="VAY289" s="22"/>
      <c r="VAZ289" s="22"/>
      <c r="VBA289" s="22"/>
      <c r="VBB289" s="22"/>
      <c r="VBC289" s="22"/>
      <c r="VBD289" s="22"/>
      <c r="VBE289" s="22"/>
      <c r="VBF289" s="22"/>
      <c r="VBG289" s="22"/>
      <c r="VBH289" s="22"/>
      <c r="VBI289" s="22"/>
      <c r="VBJ289" s="22"/>
      <c r="VBK289" s="22"/>
      <c r="VBL289" s="22"/>
      <c r="VBM289" s="22"/>
      <c r="VBN289" s="22"/>
      <c r="VBO289" s="22"/>
      <c r="VBP289" s="22"/>
      <c r="VBQ289" s="22"/>
      <c r="VBR289" s="22"/>
      <c r="VBS289" s="22"/>
      <c r="VBT289" s="22"/>
      <c r="VBU289" s="22"/>
      <c r="VBV289" s="22"/>
      <c r="VBW289" s="22"/>
      <c r="VBX289" s="22"/>
      <c r="VBY289" s="22"/>
      <c r="VBZ289" s="22"/>
      <c r="VCA289" s="22"/>
      <c r="VCB289" s="22"/>
      <c r="VCC289" s="22"/>
      <c r="VCD289" s="22"/>
      <c r="VCE289" s="22"/>
      <c r="VCF289" s="22"/>
      <c r="VCG289" s="22"/>
      <c r="VCH289" s="22"/>
      <c r="VCI289" s="22"/>
      <c r="VCJ289" s="22"/>
      <c r="VCK289" s="22"/>
      <c r="VCL289" s="22"/>
      <c r="VCM289" s="22"/>
      <c r="VCN289" s="22"/>
      <c r="VCO289" s="22"/>
      <c r="VCP289" s="22"/>
      <c r="VCQ289" s="22"/>
      <c r="VCR289" s="22"/>
      <c r="VCS289" s="22"/>
      <c r="VCT289" s="22"/>
      <c r="VCU289" s="22"/>
      <c r="VCV289" s="22"/>
      <c r="VCW289" s="22"/>
      <c r="VCX289" s="22"/>
      <c r="VCY289" s="22"/>
      <c r="VCZ289" s="22"/>
      <c r="VDA289" s="22"/>
      <c r="VDB289" s="22"/>
      <c r="VDC289" s="22"/>
      <c r="VDD289" s="22"/>
      <c r="VDE289" s="22"/>
      <c r="VDF289" s="22"/>
      <c r="VDG289" s="22"/>
      <c r="VDH289" s="22"/>
      <c r="VDI289" s="22"/>
      <c r="VDJ289" s="22"/>
      <c r="VDK289" s="22"/>
      <c r="VDL289" s="22"/>
      <c r="VDM289" s="22"/>
      <c r="VDN289" s="22"/>
      <c r="VDO289" s="22"/>
      <c r="VDP289" s="22"/>
      <c r="VDQ289" s="22"/>
      <c r="VDR289" s="22"/>
      <c r="VDS289" s="22"/>
      <c r="VDT289" s="22"/>
      <c r="VDU289" s="22"/>
      <c r="VDV289" s="22"/>
      <c r="VDW289" s="22"/>
      <c r="VDX289" s="22"/>
      <c r="VDY289" s="22"/>
      <c r="VDZ289" s="22"/>
      <c r="VEA289" s="22"/>
      <c r="VEB289" s="22"/>
      <c r="VEC289" s="22"/>
      <c r="VED289" s="22"/>
      <c r="VEE289" s="22"/>
      <c r="VEF289" s="22"/>
      <c r="VEG289" s="22"/>
      <c r="VEH289" s="22"/>
      <c r="VEI289" s="22"/>
      <c r="VEJ289" s="22"/>
      <c r="VEK289" s="22"/>
      <c r="VEL289" s="22"/>
      <c r="VEM289" s="22"/>
      <c r="VEN289" s="22"/>
      <c r="VEO289" s="22"/>
      <c r="VEP289" s="22"/>
      <c r="VEQ289" s="22"/>
      <c r="VER289" s="22"/>
      <c r="VES289" s="22"/>
      <c r="VET289" s="22"/>
      <c r="VEU289" s="22"/>
      <c r="VEV289" s="22"/>
      <c r="VEW289" s="22"/>
      <c r="VEX289" s="22"/>
      <c r="VEY289" s="22"/>
      <c r="VEZ289" s="22"/>
      <c r="VFA289" s="22"/>
      <c r="VFB289" s="22"/>
      <c r="VFC289" s="22"/>
      <c r="VFD289" s="22"/>
      <c r="VFE289" s="22"/>
      <c r="VFF289" s="22"/>
      <c r="VFG289" s="22"/>
      <c r="VFH289" s="22"/>
      <c r="VFI289" s="22"/>
      <c r="VFJ289" s="22"/>
      <c r="VFK289" s="22"/>
      <c r="VFL289" s="22"/>
      <c r="VFM289" s="22"/>
      <c r="VFN289" s="22"/>
      <c r="VFO289" s="22"/>
      <c r="VFP289" s="22"/>
      <c r="VFQ289" s="22"/>
      <c r="VFR289" s="22"/>
      <c r="VFS289" s="22"/>
      <c r="VFT289" s="22"/>
      <c r="VFU289" s="22"/>
      <c r="VFV289" s="22"/>
      <c r="VFW289" s="22"/>
      <c r="VFX289" s="22"/>
      <c r="VFY289" s="22"/>
      <c r="VFZ289" s="22"/>
      <c r="VGA289" s="22"/>
      <c r="VGB289" s="22"/>
      <c r="VGC289" s="22"/>
      <c r="VGD289" s="22"/>
      <c r="VGE289" s="22"/>
      <c r="VGF289" s="22"/>
      <c r="VGG289" s="22"/>
      <c r="VGH289" s="22"/>
      <c r="VGI289" s="22"/>
      <c r="VGJ289" s="22"/>
      <c r="VGK289" s="22"/>
      <c r="VGL289" s="22"/>
      <c r="VGM289" s="22"/>
      <c r="VGN289" s="22"/>
      <c r="VGO289" s="22"/>
      <c r="VGP289" s="22"/>
      <c r="VGQ289" s="22"/>
      <c r="VGR289" s="22"/>
      <c r="VGS289" s="22"/>
      <c r="VGT289" s="22"/>
      <c r="VGU289" s="22"/>
      <c r="VGV289" s="22"/>
      <c r="VGW289" s="22"/>
      <c r="VGX289" s="22"/>
      <c r="VGY289" s="22"/>
      <c r="VGZ289" s="22"/>
      <c r="VHA289" s="22"/>
      <c r="VHB289" s="22"/>
      <c r="VHC289" s="22"/>
      <c r="VHD289" s="22"/>
      <c r="VHE289" s="22"/>
      <c r="VHF289" s="22"/>
      <c r="VHG289" s="22"/>
      <c r="VHH289" s="22"/>
      <c r="VHI289" s="22"/>
      <c r="VHJ289" s="22"/>
      <c r="VHK289" s="22"/>
      <c r="VHL289" s="22"/>
      <c r="VHM289" s="22"/>
      <c r="VHN289" s="22"/>
      <c r="VHO289" s="22"/>
      <c r="VHP289" s="22"/>
      <c r="VHQ289" s="22"/>
      <c r="VHR289" s="22"/>
      <c r="VHS289" s="22"/>
      <c r="VHT289" s="22"/>
      <c r="VHU289" s="22"/>
      <c r="VHV289" s="22"/>
      <c r="VHW289" s="22"/>
      <c r="VHX289" s="22"/>
      <c r="VHY289" s="22"/>
      <c r="VHZ289" s="22"/>
      <c r="VIA289" s="22"/>
      <c r="VIB289" s="22"/>
      <c r="VIC289" s="22"/>
      <c r="VID289" s="22"/>
      <c r="VIE289" s="22"/>
      <c r="VIF289" s="22"/>
      <c r="VIG289" s="22"/>
      <c r="VIH289" s="22"/>
      <c r="VII289" s="22"/>
      <c r="VIJ289" s="22"/>
      <c r="VIK289" s="22"/>
      <c r="VIL289" s="22"/>
      <c r="VIM289" s="22"/>
      <c r="VIN289" s="22"/>
      <c r="VIO289" s="22"/>
      <c r="VIP289" s="22"/>
      <c r="VIQ289" s="22"/>
      <c r="VIR289" s="22"/>
      <c r="VIS289" s="22"/>
      <c r="VIT289" s="22"/>
      <c r="VIU289" s="22"/>
      <c r="VIV289" s="22"/>
      <c r="VIW289" s="22"/>
      <c r="VIX289" s="22"/>
      <c r="VIY289" s="22"/>
      <c r="VIZ289" s="22"/>
      <c r="VJA289" s="22"/>
      <c r="VJB289" s="22"/>
      <c r="VJC289" s="22"/>
      <c r="VJD289" s="22"/>
      <c r="VJE289" s="22"/>
      <c r="VJF289" s="22"/>
      <c r="VJG289" s="22"/>
      <c r="VJH289" s="22"/>
      <c r="VJI289" s="22"/>
      <c r="VJJ289" s="22"/>
      <c r="VJK289" s="22"/>
      <c r="VJL289" s="22"/>
      <c r="VJM289" s="22"/>
      <c r="VJN289" s="22"/>
      <c r="VJO289" s="22"/>
      <c r="VJP289" s="22"/>
      <c r="VJQ289" s="22"/>
      <c r="VJR289" s="22"/>
      <c r="VJS289" s="22"/>
      <c r="VJT289" s="22"/>
      <c r="VJU289" s="22"/>
      <c r="VJV289" s="22"/>
      <c r="VJW289" s="22"/>
      <c r="VJX289" s="22"/>
      <c r="VJY289" s="22"/>
      <c r="VJZ289" s="22"/>
      <c r="VKA289" s="22"/>
      <c r="VKB289" s="22"/>
      <c r="VKC289" s="22"/>
      <c r="VKD289" s="22"/>
      <c r="VKE289" s="22"/>
      <c r="VKF289" s="22"/>
      <c r="VKG289" s="22"/>
      <c r="VKH289" s="22"/>
      <c r="VKI289" s="22"/>
      <c r="VKJ289" s="22"/>
      <c r="VKK289" s="22"/>
      <c r="VKL289" s="22"/>
      <c r="VKM289" s="22"/>
      <c r="VKN289" s="22"/>
      <c r="VKO289" s="22"/>
      <c r="VKP289" s="22"/>
      <c r="VKQ289" s="22"/>
      <c r="VKR289" s="22"/>
      <c r="VKS289" s="22"/>
      <c r="VKT289" s="22"/>
      <c r="VKU289" s="22"/>
      <c r="VKV289" s="22"/>
      <c r="VKW289" s="22"/>
      <c r="VKX289" s="22"/>
      <c r="VKY289" s="22"/>
      <c r="VKZ289" s="22"/>
      <c r="VLA289" s="22"/>
      <c r="VLB289" s="22"/>
      <c r="VLC289" s="22"/>
      <c r="VLD289" s="22"/>
      <c r="VLE289" s="22"/>
      <c r="VLF289" s="22"/>
      <c r="VLG289" s="22"/>
      <c r="VLH289" s="22"/>
      <c r="VLI289" s="22"/>
      <c r="VLJ289" s="22"/>
      <c r="VLK289" s="22"/>
      <c r="VLL289" s="22"/>
      <c r="VLM289" s="22"/>
      <c r="VLN289" s="22"/>
      <c r="VLO289" s="22"/>
      <c r="VLP289" s="22"/>
      <c r="VLQ289" s="22"/>
      <c r="VLR289" s="22"/>
      <c r="VLS289" s="22"/>
      <c r="VLT289" s="22"/>
      <c r="VLU289" s="22"/>
      <c r="VLV289" s="22"/>
      <c r="VLW289" s="22"/>
      <c r="VLX289" s="22"/>
      <c r="VLY289" s="22"/>
      <c r="VLZ289" s="22"/>
      <c r="VMA289" s="22"/>
      <c r="VMB289" s="22"/>
      <c r="VMC289" s="22"/>
      <c r="VMD289" s="22"/>
      <c r="VME289" s="22"/>
      <c r="VMF289" s="22"/>
      <c r="VMG289" s="22"/>
      <c r="VMH289" s="22"/>
      <c r="VMI289" s="22"/>
      <c r="VMJ289" s="22"/>
      <c r="VMK289" s="22"/>
      <c r="VML289" s="22"/>
      <c r="VMM289" s="22"/>
      <c r="VMN289" s="22"/>
      <c r="VMO289" s="22"/>
      <c r="VMP289" s="22"/>
      <c r="VMQ289" s="22"/>
      <c r="VMR289" s="22"/>
      <c r="VMS289" s="22"/>
      <c r="VMT289" s="22"/>
      <c r="VMU289" s="22"/>
      <c r="VMV289" s="22"/>
      <c r="VMW289" s="22"/>
      <c r="VMX289" s="22"/>
      <c r="VMY289" s="22"/>
      <c r="VMZ289" s="22"/>
      <c r="VNA289" s="22"/>
      <c r="VNB289" s="22"/>
      <c r="VNC289" s="22"/>
      <c r="VND289" s="22"/>
      <c r="VNE289" s="22"/>
      <c r="VNF289" s="22"/>
      <c r="VNG289" s="22"/>
      <c r="VNH289" s="22"/>
      <c r="VNI289" s="22"/>
      <c r="VNJ289" s="22"/>
      <c r="VNK289" s="22"/>
      <c r="VNL289" s="22"/>
      <c r="VNM289" s="22"/>
      <c r="VNN289" s="22"/>
      <c r="VNO289" s="22"/>
      <c r="VNP289" s="22"/>
      <c r="VNQ289" s="22"/>
      <c r="VNR289" s="22"/>
      <c r="VNS289" s="22"/>
      <c r="VNT289" s="22"/>
      <c r="VNU289" s="22"/>
      <c r="VNV289" s="22"/>
      <c r="VNW289" s="22"/>
      <c r="VNX289" s="22"/>
      <c r="VNY289" s="22"/>
      <c r="VNZ289" s="22"/>
      <c r="VOA289" s="22"/>
      <c r="VOB289" s="22"/>
      <c r="VOC289" s="22"/>
      <c r="VOD289" s="22"/>
      <c r="VOE289" s="22"/>
      <c r="VOF289" s="22"/>
      <c r="VOG289" s="22"/>
      <c r="VOH289" s="22"/>
      <c r="VOI289" s="22"/>
      <c r="VOJ289" s="22"/>
      <c r="VOK289" s="22"/>
      <c r="VOL289" s="22"/>
      <c r="VOM289" s="22"/>
      <c r="VON289" s="22"/>
      <c r="VOO289" s="22"/>
      <c r="VOP289" s="22"/>
      <c r="VOQ289" s="22"/>
      <c r="VOR289" s="22"/>
      <c r="VOS289" s="22"/>
      <c r="VOT289" s="22"/>
      <c r="VOU289" s="22"/>
      <c r="VOV289" s="22"/>
      <c r="VOW289" s="22"/>
      <c r="VOX289" s="22"/>
      <c r="VOY289" s="22"/>
      <c r="VOZ289" s="22"/>
      <c r="VPA289" s="22"/>
      <c r="VPB289" s="22"/>
      <c r="VPC289" s="22"/>
      <c r="VPD289" s="22"/>
      <c r="VPE289" s="22"/>
      <c r="VPF289" s="22"/>
      <c r="VPG289" s="22"/>
      <c r="VPH289" s="22"/>
      <c r="VPI289" s="22"/>
      <c r="VPJ289" s="22"/>
      <c r="VPK289" s="22"/>
      <c r="VPL289" s="22"/>
      <c r="VPM289" s="22"/>
      <c r="VPN289" s="22"/>
      <c r="VPO289" s="22"/>
      <c r="VPP289" s="22"/>
      <c r="VPQ289" s="22"/>
      <c r="VPR289" s="22"/>
      <c r="VPS289" s="22"/>
      <c r="VPT289" s="22"/>
      <c r="VPU289" s="22"/>
      <c r="VPV289" s="22"/>
      <c r="VPW289" s="22"/>
      <c r="VPX289" s="22"/>
      <c r="VPY289" s="22"/>
      <c r="VPZ289" s="22"/>
      <c r="VQA289" s="22"/>
      <c r="VQB289" s="22"/>
      <c r="VQC289" s="22"/>
      <c r="VQD289" s="22"/>
      <c r="VQE289" s="22"/>
      <c r="VQF289" s="22"/>
      <c r="VQG289" s="22"/>
      <c r="VQH289" s="22"/>
      <c r="VQI289" s="22"/>
      <c r="VQJ289" s="22"/>
      <c r="VQK289" s="22"/>
      <c r="VQL289" s="22"/>
      <c r="VQM289" s="22"/>
      <c r="VQN289" s="22"/>
      <c r="VQO289" s="22"/>
      <c r="VQP289" s="22"/>
      <c r="VQQ289" s="22"/>
      <c r="VQR289" s="22"/>
      <c r="VQS289" s="22"/>
      <c r="VQT289" s="22"/>
      <c r="VQU289" s="22"/>
      <c r="VQV289" s="22"/>
      <c r="VQW289" s="22"/>
      <c r="VQX289" s="22"/>
      <c r="VQY289" s="22"/>
      <c r="VQZ289" s="22"/>
      <c r="VRA289" s="22"/>
      <c r="VRB289" s="22"/>
      <c r="VRC289" s="22"/>
      <c r="VRD289" s="22"/>
      <c r="VRE289" s="22"/>
      <c r="VRF289" s="22"/>
      <c r="VRG289" s="22"/>
      <c r="VRH289" s="22"/>
      <c r="VRI289" s="22"/>
      <c r="VRJ289" s="22"/>
      <c r="VRK289" s="22"/>
      <c r="VRL289" s="22"/>
      <c r="VRM289" s="22"/>
      <c r="VRN289" s="22"/>
      <c r="VRO289" s="22"/>
      <c r="VRP289" s="22"/>
      <c r="VRQ289" s="22"/>
      <c r="VRR289" s="22"/>
      <c r="VRS289" s="22"/>
      <c r="VRT289" s="22"/>
      <c r="VRU289" s="22"/>
      <c r="VRV289" s="22"/>
      <c r="VRW289" s="22"/>
      <c r="VRX289" s="22"/>
      <c r="VRY289" s="22"/>
      <c r="VRZ289" s="22"/>
      <c r="VSA289" s="22"/>
      <c r="VSB289" s="22"/>
      <c r="VSC289" s="22"/>
      <c r="VSD289" s="22"/>
      <c r="VSE289" s="22"/>
      <c r="VSF289" s="22"/>
      <c r="VSG289" s="22"/>
      <c r="VSH289" s="22"/>
      <c r="VSI289" s="22"/>
      <c r="VSJ289" s="22"/>
      <c r="VSK289" s="22"/>
      <c r="VSL289" s="22"/>
      <c r="VSM289" s="22"/>
      <c r="VSN289" s="22"/>
      <c r="VSO289" s="22"/>
      <c r="VSP289" s="22"/>
      <c r="VSQ289" s="22"/>
      <c r="VSR289" s="22"/>
      <c r="VSS289" s="22"/>
      <c r="VST289" s="22"/>
      <c r="VSU289" s="22"/>
      <c r="VSV289" s="22"/>
      <c r="VSW289" s="22"/>
      <c r="VSX289" s="22"/>
      <c r="VSY289" s="22"/>
      <c r="VSZ289" s="22"/>
      <c r="VTA289" s="22"/>
      <c r="VTB289" s="22"/>
      <c r="VTC289" s="22"/>
      <c r="VTD289" s="22"/>
      <c r="VTE289" s="22"/>
      <c r="VTF289" s="22"/>
      <c r="VTG289" s="22"/>
      <c r="VTH289" s="22"/>
      <c r="VTI289" s="22"/>
      <c r="VTJ289" s="22"/>
      <c r="VTK289" s="22"/>
      <c r="VTL289" s="22"/>
      <c r="VTM289" s="22"/>
      <c r="VTN289" s="22"/>
      <c r="VTO289" s="22"/>
      <c r="VTP289" s="22"/>
      <c r="VTQ289" s="22"/>
      <c r="VTR289" s="22"/>
      <c r="VTS289" s="22"/>
      <c r="VTT289" s="22"/>
      <c r="VTU289" s="22"/>
      <c r="VTV289" s="22"/>
      <c r="VTW289" s="22"/>
      <c r="VTX289" s="22"/>
      <c r="VTY289" s="22"/>
      <c r="VTZ289" s="22"/>
      <c r="VUA289" s="22"/>
      <c r="VUB289" s="22"/>
      <c r="VUC289" s="22"/>
      <c r="VUD289" s="22"/>
      <c r="VUE289" s="22"/>
      <c r="VUF289" s="22"/>
      <c r="VUG289" s="22"/>
      <c r="VUH289" s="22"/>
      <c r="VUI289" s="22"/>
      <c r="VUJ289" s="22"/>
      <c r="VUK289" s="22"/>
      <c r="VUL289" s="22"/>
      <c r="VUM289" s="22"/>
      <c r="VUN289" s="22"/>
      <c r="VUO289" s="22"/>
      <c r="VUP289" s="22"/>
      <c r="VUQ289" s="22"/>
      <c r="VUR289" s="22"/>
      <c r="VUS289" s="22"/>
      <c r="VUT289" s="22"/>
      <c r="VUU289" s="22"/>
      <c r="VUV289" s="22"/>
      <c r="VUW289" s="22"/>
      <c r="VUX289" s="22"/>
      <c r="VUY289" s="22"/>
      <c r="VUZ289" s="22"/>
      <c r="VVA289" s="22"/>
      <c r="VVB289" s="22"/>
      <c r="VVC289" s="22"/>
      <c r="VVD289" s="22"/>
      <c r="VVE289" s="22"/>
      <c r="VVF289" s="22"/>
      <c r="VVG289" s="22"/>
      <c r="VVH289" s="22"/>
      <c r="VVI289" s="22"/>
      <c r="VVJ289" s="22"/>
      <c r="VVK289" s="22"/>
      <c r="VVL289" s="22"/>
      <c r="VVM289" s="22"/>
      <c r="VVN289" s="22"/>
      <c r="VVO289" s="22"/>
      <c r="VVP289" s="22"/>
      <c r="VVQ289" s="22"/>
      <c r="VVR289" s="22"/>
      <c r="VVS289" s="22"/>
      <c r="VVT289" s="22"/>
      <c r="VVU289" s="22"/>
      <c r="VVV289" s="22"/>
      <c r="VVW289" s="22"/>
      <c r="VVX289" s="22"/>
      <c r="VVY289" s="22"/>
      <c r="VVZ289" s="22"/>
      <c r="VWA289" s="22"/>
      <c r="VWB289" s="22"/>
      <c r="VWC289" s="22"/>
      <c r="VWD289" s="22"/>
      <c r="VWE289" s="22"/>
      <c r="VWF289" s="22"/>
      <c r="VWG289" s="22"/>
      <c r="VWH289" s="22"/>
      <c r="VWI289" s="22"/>
      <c r="VWJ289" s="22"/>
      <c r="VWK289" s="22"/>
      <c r="VWL289" s="22"/>
      <c r="VWM289" s="22"/>
      <c r="VWN289" s="22"/>
      <c r="VWO289" s="22"/>
      <c r="VWP289" s="22"/>
      <c r="VWQ289" s="22"/>
      <c r="VWR289" s="22"/>
      <c r="VWS289" s="22"/>
      <c r="VWT289" s="22"/>
      <c r="VWU289" s="22"/>
      <c r="VWV289" s="22"/>
      <c r="VWW289" s="22"/>
      <c r="VWX289" s="22"/>
      <c r="VWY289" s="22"/>
      <c r="VWZ289" s="22"/>
      <c r="VXA289" s="22"/>
      <c r="VXB289" s="22"/>
      <c r="VXC289" s="22"/>
      <c r="VXD289" s="22"/>
      <c r="VXE289" s="22"/>
      <c r="VXF289" s="22"/>
      <c r="VXG289" s="22"/>
      <c r="VXH289" s="22"/>
      <c r="VXI289" s="22"/>
      <c r="VXJ289" s="22"/>
      <c r="VXK289" s="22"/>
      <c r="VXL289" s="22"/>
      <c r="VXM289" s="22"/>
      <c r="VXN289" s="22"/>
      <c r="VXO289" s="22"/>
      <c r="VXP289" s="22"/>
      <c r="VXQ289" s="22"/>
      <c r="VXR289" s="22"/>
      <c r="VXS289" s="22"/>
      <c r="VXT289" s="22"/>
      <c r="VXU289" s="22"/>
      <c r="VXV289" s="22"/>
      <c r="VXW289" s="22"/>
      <c r="VXX289" s="22"/>
      <c r="VXY289" s="22"/>
      <c r="VXZ289" s="22"/>
      <c r="VYA289" s="22"/>
      <c r="VYB289" s="22"/>
      <c r="VYC289" s="22"/>
      <c r="VYD289" s="22"/>
      <c r="VYE289" s="22"/>
      <c r="VYF289" s="22"/>
      <c r="VYG289" s="22"/>
      <c r="VYH289" s="22"/>
      <c r="VYI289" s="22"/>
      <c r="VYJ289" s="22"/>
      <c r="VYK289" s="22"/>
      <c r="VYL289" s="22"/>
      <c r="VYM289" s="22"/>
      <c r="VYN289" s="22"/>
      <c r="VYO289" s="22"/>
      <c r="VYP289" s="22"/>
      <c r="VYQ289" s="22"/>
      <c r="VYR289" s="22"/>
      <c r="VYS289" s="22"/>
      <c r="VYT289" s="22"/>
      <c r="VYU289" s="22"/>
      <c r="VYV289" s="22"/>
      <c r="VYW289" s="22"/>
      <c r="VYX289" s="22"/>
      <c r="VYY289" s="22"/>
      <c r="VYZ289" s="22"/>
      <c r="VZA289" s="22"/>
      <c r="VZB289" s="22"/>
      <c r="VZC289" s="22"/>
      <c r="VZD289" s="22"/>
      <c r="VZE289" s="22"/>
      <c r="VZF289" s="22"/>
      <c r="VZG289" s="22"/>
      <c r="VZH289" s="22"/>
      <c r="VZI289" s="22"/>
      <c r="VZJ289" s="22"/>
      <c r="VZK289" s="22"/>
      <c r="VZL289" s="22"/>
      <c r="VZM289" s="22"/>
      <c r="VZN289" s="22"/>
      <c r="VZO289" s="22"/>
      <c r="VZP289" s="22"/>
      <c r="VZQ289" s="22"/>
      <c r="VZR289" s="22"/>
      <c r="VZS289" s="22"/>
      <c r="VZT289" s="22"/>
      <c r="VZU289" s="22"/>
      <c r="VZV289" s="22"/>
      <c r="VZW289" s="22"/>
      <c r="VZX289" s="22"/>
      <c r="VZY289" s="22"/>
      <c r="VZZ289" s="22"/>
      <c r="WAA289" s="22"/>
      <c r="WAB289" s="22"/>
      <c r="WAC289" s="22"/>
      <c r="WAD289" s="22"/>
      <c r="WAE289" s="22"/>
      <c r="WAF289" s="22"/>
      <c r="WAG289" s="22"/>
      <c r="WAH289" s="22"/>
      <c r="WAI289" s="22"/>
      <c r="WAJ289" s="22"/>
      <c r="WAK289" s="22"/>
      <c r="WAL289" s="22"/>
      <c r="WAM289" s="22"/>
      <c r="WAN289" s="22"/>
      <c r="WAO289" s="22"/>
      <c r="WAP289" s="22"/>
      <c r="WAQ289" s="22"/>
      <c r="WAR289" s="22"/>
      <c r="WAS289" s="22"/>
      <c r="WAT289" s="22"/>
      <c r="WAU289" s="22"/>
      <c r="WAV289" s="22"/>
      <c r="WAW289" s="22"/>
      <c r="WAX289" s="22"/>
      <c r="WAY289" s="22"/>
      <c r="WAZ289" s="22"/>
      <c r="WBA289" s="22"/>
      <c r="WBB289" s="22"/>
      <c r="WBC289" s="22"/>
      <c r="WBD289" s="22"/>
      <c r="WBE289" s="22"/>
      <c r="WBF289" s="22"/>
      <c r="WBG289" s="22"/>
      <c r="WBH289" s="22"/>
      <c r="WBI289" s="22"/>
      <c r="WBJ289" s="22"/>
      <c r="WBK289" s="22"/>
      <c r="WBL289" s="22"/>
      <c r="WBM289" s="22"/>
      <c r="WBN289" s="22"/>
      <c r="WBO289" s="22"/>
      <c r="WBP289" s="22"/>
      <c r="WBQ289" s="22"/>
      <c r="WBR289" s="22"/>
      <c r="WBS289" s="22"/>
      <c r="WBT289" s="22"/>
      <c r="WBU289" s="22"/>
      <c r="WBV289" s="22"/>
      <c r="WBW289" s="22"/>
      <c r="WBX289" s="22"/>
      <c r="WBY289" s="22"/>
      <c r="WBZ289" s="22"/>
      <c r="WCA289" s="22"/>
      <c r="WCB289" s="22"/>
      <c r="WCC289" s="22"/>
      <c r="WCD289" s="22"/>
      <c r="WCE289" s="22"/>
      <c r="WCF289" s="22"/>
      <c r="WCG289" s="22"/>
      <c r="WCH289" s="22"/>
      <c r="WCI289" s="22"/>
      <c r="WCJ289" s="22"/>
      <c r="WCK289" s="22"/>
      <c r="WCL289" s="22"/>
      <c r="WCM289" s="22"/>
      <c r="WCN289" s="22"/>
      <c r="WCO289" s="22"/>
      <c r="WCP289" s="22"/>
      <c r="WCQ289" s="22"/>
      <c r="WCR289" s="22"/>
      <c r="WCS289" s="22"/>
      <c r="WCT289" s="22"/>
      <c r="WCU289" s="22"/>
      <c r="WCV289" s="22"/>
      <c r="WCW289" s="22"/>
      <c r="WCX289" s="22"/>
      <c r="WCY289" s="22"/>
      <c r="WCZ289" s="22"/>
      <c r="WDA289" s="22"/>
      <c r="WDB289" s="22"/>
      <c r="WDC289" s="22"/>
      <c r="WDD289" s="22"/>
      <c r="WDE289" s="22"/>
      <c r="WDF289" s="22"/>
      <c r="WDG289" s="22"/>
      <c r="WDH289" s="22"/>
      <c r="WDI289" s="22"/>
      <c r="WDJ289" s="22"/>
      <c r="WDK289" s="22"/>
      <c r="WDL289" s="22"/>
      <c r="WDM289" s="22"/>
      <c r="WDN289" s="22"/>
      <c r="WDO289" s="22"/>
      <c r="WDP289" s="22"/>
      <c r="WDQ289" s="22"/>
      <c r="WDR289" s="22"/>
      <c r="WDS289" s="22"/>
      <c r="WDT289" s="22"/>
      <c r="WDU289" s="22"/>
      <c r="WDV289" s="22"/>
      <c r="WDW289" s="22"/>
      <c r="WDX289" s="22"/>
      <c r="WDY289" s="22"/>
      <c r="WDZ289" s="22"/>
      <c r="WEA289" s="22"/>
      <c r="WEB289" s="22"/>
      <c r="WEC289" s="22"/>
      <c r="WED289" s="22"/>
      <c r="WEE289" s="22"/>
      <c r="WEF289" s="22"/>
      <c r="WEG289" s="22"/>
      <c r="WEH289" s="22"/>
      <c r="WEI289" s="22"/>
      <c r="WEJ289" s="22"/>
      <c r="WEK289" s="22"/>
      <c r="WEL289" s="22"/>
      <c r="WEM289" s="22"/>
      <c r="WEN289" s="22"/>
      <c r="WEO289" s="22"/>
      <c r="WEP289" s="22"/>
      <c r="WEQ289" s="22"/>
      <c r="WER289" s="22"/>
      <c r="WES289" s="22"/>
      <c r="WET289" s="22"/>
      <c r="WEU289" s="22"/>
      <c r="WEV289" s="22"/>
      <c r="WEW289" s="22"/>
      <c r="WEX289" s="22"/>
      <c r="WEY289" s="22"/>
      <c r="WEZ289" s="22"/>
      <c r="WFA289" s="22"/>
      <c r="WFB289" s="22"/>
      <c r="WFC289" s="22"/>
      <c r="WFD289" s="22"/>
      <c r="WFE289" s="22"/>
      <c r="WFF289" s="22"/>
      <c r="WFG289" s="22"/>
      <c r="WFH289" s="22"/>
      <c r="WFI289" s="22"/>
      <c r="WFJ289" s="22"/>
      <c r="WFK289" s="22"/>
      <c r="WFL289" s="22"/>
      <c r="WFM289" s="22"/>
      <c r="WFN289" s="22"/>
      <c r="WFO289" s="22"/>
      <c r="WFP289" s="22"/>
      <c r="WFQ289" s="22"/>
      <c r="WFR289" s="22"/>
      <c r="WFS289" s="22"/>
      <c r="WFT289" s="22"/>
      <c r="WFU289" s="22"/>
      <c r="WFV289" s="22"/>
      <c r="WFW289" s="22"/>
      <c r="WFX289" s="22"/>
      <c r="WFY289" s="22"/>
      <c r="WFZ289" s="22"/>
      <c r="WGA289" s="22"/>
      <c r="WGB289" s="22"/>
      <c r="WGC289" s="22"/>
      <c r="WGD289" s="22"/>
      <c r="WGE289" s="22"/>
      <c r="WGF289" s="22"/>
      <c r="WGG289" s="22"/>
      <c r="WGH289" s="22"/>
      <c r="WGI289" s="22"/>
      <c r="WGJ289" s="22"/>
      <c r="WGK289" s="22"/>
      <c r="WGL289" s="22"/>
      <c r="WGM289" s="22"/>
      <c r="WGN289" s="22"/>
      <c r="WGO289" s="22"/>
      <c r="WGP289" s="22"/>
      <c r="WGQ289" s="22"/>
      <c r="WGR289" s="22"/>
      <c r="WGS289" s="22"/>
      <c r="WGT289" s="22"/>
      <c r="WGU289" s="22"/>
      <c r="WGV289" s="22"/>
      <c r="WGW289" s="22"/>
      <c r="WGX289" s="22"/>
      <c r="WGY289" s="22"/>
      <c r="WGZ289" s="22"/>
      <c r="WHA289" s="22"/>
      <c r="WHB289" s="22"/>
      <c r="WHC289" s="22"/>
      <c r="WHD289" s="22"/>
      <c r="WHE289" s="22"/>
      <c r="WHF289" s="22"/>
      <c r="WHG289" s="22"/>
      <c r="WHH289" s="22"/>
      <c r="WHI289" s="22"/>
      <c r="WHJ289" s="22"/>
      <c r="WHK289" s="22"/>
      <c r="WHL289" s="22"/>
      <c r="WHM289" s="22"/>
      <c r="WHN289" s="22"/>
      <c r="WHO289" s="22"/>
      <c r="WHP289" s="22"/>
      <c r="WHQ289" s="22"/>
      <c r="WHR289" s="22"/>
      <c r="WHS289" s="22"/>
      <c r="WHT289" s="22"/>
      <c r="WHU289" s="22"/>
      <c r="WHV289" s="22"/>
      <c r="WHW289" s="22"/>
      <c r="WHX289" s="22"/>
      <c r="WHY289" s="22"/>
      <c r="WHZ289" s="22"/>
      <c r="WIA289" s="22"/>
      <c r="WIB289" s="22"/>
      <c r="WIC289" s="22"/>
      <c r="WID289" s="22"/>
      <c r="WIE289" s="22"/>
      <c r="WIF289" s="22"/>
      <c r="WIG289" s="22"/>
      <c r="WIH289" s="22"/>
      <c r="WII289" s="22"/>
      <c r="WIJ289" s="22"/>
      <c r="WIK289" s="22"/>
      <c r="WIL289" s="22"/>
      <c r="WIM289" s="22"/>
      <c r="WIN289" s="22"/>
      <c r="WIO289" s="22"/>
      <c r="WIP289" s="22"/>
      <c r="WIQ289" s="22"/>
      <c r="WIR289" s="22"/>
      <c r="WIS289" s="22"/>
      <c r="WIT289" s="22"/>
      <c r="WIU289" s="22"/>
      <c r="WIV289" s="22"/>
      <c r="WIW289" s="22"/>
      <c r="WIX289" s="22"/>
      <c r="WIY289" s="22"/>
      <c r="WIZ289" s="22"/>
      <c r="WJA289" s="22"/>
      <c r="WJB289" s="22"/>
      <c r="WJC289" s="22"/>
      <c r="WJD289" s="22"/>
      <c r="WJE289" s="22"/>
      <c r="WJF289" s="22"/>
      <c r="WJG289" s="22"/>
      <c r="WJH289" s="22"/>
      <c r="WJI289" s="22"/>
      <c r="WJJ289" s="22"/>
      <c r="WJK289" s="22"/>
      <c r="WJL289" s="22"/>
      <c r="WJM289" s="22"/>
      <c r="WJN289" s="22"/>
      <c r="WJO289" s="22"/>
      <c r="WJP289" s="22"/>
      <c r="WJQ289" s="22"/>
      <c r="WJR289" s="22"/>
      <c r="WJS289" s="22"/>
      <c r="WJT289" s="22"/>
      <c r="WJU289" s="22"/>
      <c r="WJV289" s="22"/>
      <c r="WJW289" s="22"/>
      <c r="WJX289" s="22"/>
      <c r="WJY289" s="22"/>
      <c r="WJZ289" s="22"/>
      <c r="WKA289" s="22"/>
      <c r="WKB289" s="22"/>
      <c r="WKC289" s="22"/>
      <c r="WKD289" s="22"/>
      <c r="WKE289" s="22"/>
      <c r="WKF289" s="22"/>
      <c r="WKG289" s="22"/>
      <c r="WKH289" s="22"/>
      <c r="WKI289" s="22"/>
      <c r="WKJ289" s="22"/>
      <c r="WKK289" s="22"/>
      <c r="WKL289" s="22"/>
      <c r="WKM289" s="22"/>
      <c r="WKN289" s="22"/>
      <c r="WKO289" s="22"/>
      <c r="WKP289" s="22"/>
      <c r="WKQ289" s="22"/>
      <c r="WKR289" s="22"/>
      <c r="WKS289" s="22"/>
      <c r="WKT289" s="22"/>
      <c r="WKU289" s="22"/>
      <c r="WKV289" s="22"/>
      <c r="WKW289" s="22"/>
      <c r="WKX289" s="22"/>
      <c r="WKY289" s="22"/>
      <c r="WKZ289" s="22"/>
      <c r="WLA289" s="22"/>
      <c r="WLB289" s="22"/>
      <c r="WLC289" s="22"/>
      <c r="WLD289" s="22"/>
      <c r="WLE289" s="22"/>
      <c r="WLF289" s="22"/>
      <c r="WLG289" s="22"/>
      <c r="WLH289" s="22"/>
      <c r="WLI289" s="22"/>
      <c r="WLJ289" s="22"/>
      <c r="WLK289" s="22"/>
      <c r="WLL289" s="22"/>
      <c r="WLM289" s="22"/>
      <c r="WLN289" s="22"/>
      <c r="WLO289" s="22"/>
      <c r="WLP289" s="22"/>
      <c r="WLQ289" s="22"/>
      <c r="WLR289" s="22"/>
      <c r="WLS289" s="22"/>
      <c r="WLT289" s="22"/>
      <c r="WLU289" s="22"/>
      <c r="WLV289" s="22"/>
      <c r="WLW289" s="22"/>
      <c r="WLX289" s="22"/>
      <c r="WLY289" s="22"/>
      <c r="WLZ289" s="22"/>
      <c r="WMA289" s="22"/>
      <c r="WMB289" s="22"/>
      <c r="WMC289" s="22"/>
      <c r="WMD289" s="22"/>
      <c r="WME289" s="22"/>
      <c r="WMF289" s="22"/>
      <c r="WMG289" s="22"/>
      <c r="WMH289" s="22"/>
      <c r="WMI289" s="22"/>
      <c r="WMJ289" s="22"/>
      <c r="WMK289" s="22"/>
      <c r="WML289" s="22"/>
      <c r="WMM289" s="22"/>
      <c r="WMN289" s="22"/>
      <c r="WMO289" s="22"/>
      <c r="WMP289" s="22"/>
      <c r="WMQ289" s="22"/>
      <c r="WMR289" s="22"/>
      <c r="WMS289" s="22"/>
      <c r="WMT289" s="22"/>
      <c r="WMU289" s="22"/>
      <c r="WMV289" s="22"/>
      <c r="WMW289" s="22"/>
      <c r="WMX289" s="22"/>
      <c r="WMY289" s="22"/>
      <c r="WMZ289" s="22"/>
      <c r="WNA289" s="22"/>
      <c r="WNB289" s="22"/>
      <c r="WNC289" s="22"/>
      <c r="WND289" s="22"/>
      <c r="WNE289" s="22"/>
      <c r="WNF289" s="22"/>
      <c r="WNG289" s="22"/>
      <c r="WNH289" s="22"/>
      <c r="WNI289" s="22"/>
      <c r="WNJ289" s="22"/>
      <c r="WNK289" s="22"/>
      <c r="WNL289" s="22"/>
      <c r="WNM289" s="22"/>
      <c r="WNN289" s="22"/>
      <c r="WNO289" s="22"/>
      <c r="WNP289" s="22"/>
      <c r="WNQ289" s="22"/>
      <c r="WNR289" s="22"/>
      <c r="WNS289" s="22"/>
      <c r="WNT289" s="22"/>
      <c r="WNU289" s="22"/>
      <c r="WNV289" s="22"/>
      <c r="WNW289" s="22"/>
      <c r="WNX289" s="22"/>
      <c r="WNY289" s="22"/>
      <c r="WNZ289" s="22"/>
      <c r="WOA289" s="22"/>
      <c r="WOB289" s="22"/>
      <c r="WOC289" s="22"/>
      <c r="WOD289" s="22"/>
      <c r="WOE289" s="22"/>
      <c r="WOF289" s="22"/>
      <c r="WOG289" s="22"/>
      <c r="WOH289" s="22"/>
      <c r="WOI289" s="22"/>
      <c r="WOJ289" s="22"/>
      <c r="WOK289" s="22"/>
      <c r="WOL289" s="22"/>
      <c r="WOM289" s="22"/>
      <c r="WON289" s="22"/>
      <c r="WOO289" s="22"/>
      <c r="WOP289" s="22"/>
      <c r="WOQ289" s="22"/>
      <c r="WOR289" s="22"/>
      <c r="WOS289" s="22"/>
      <c r="WOT289" s="22"/>
      <c r="WOU289" s="22"/>
      <c r="WOV289" s="22"/>
      <c r="WOW289" s="22"/>
      <c r="WOX289" s="22"/>
      <c r="WOY289" s="22"/>
      <c r="WOZ289" s="22"/>
      <c r="WPA289" s="22"/>
      <c r="WPB289" s="22"/>
      <c r="WPC289" s="22"/>
      <c r="WPD289" s="22"/>
      <c r="WPE289" s="22"/>
      <c r="WPF289" s="22"/>
      <c r="WPG289" s="22"/>
      <c r="WPH289" s="22"/>
      <c r="WPI289" s="22"/>
      <c r="WPJ289" s="22"/>
      <c r="WPK289" s="22"/>
      <c r="WPL289" s="22"/>
      <c r="WPM289" s="22"/>
      <c r="WPN289" s="22"/>
      <c r="WPO289" s="22"/>
      <c r="WPP289" s="22"/>
      <c r="WPQ289" s="22"/>
      <c r="WPR289" s="22"/>
      <c r="WPS289" s="22"/>
      <c r="WPT289" s="22"/>
      <c r="WPU289" s="22"/>
      <c r="WPV289" s="22"/>
      <c r="WPW289" s="22"/>
      <c r="WPX289" s="22"/>
      <c r="WPY289" s="22"/>
      <c r="WPZ289" s="22"/>
      <c r="WQA289" s="22"/>
      <c r="WQB289" s="22"/>
      <c r="WQC289" s="22"/>
      <c r="WQD289" s="22"/>
      <c r="WQE289" s="22"/>
      <c r="WQF289" s="22"/>
      <c r="WQG289" s="22"/>
      <c r="WQH289" s="22"/>
      <c r="WQI289" s="22"/>
      <c r="WQJ289" s="22"/>
      <c r="WQK289" s="22"/>
      <c r="WQL289" s="22"/>
      <c r="WQM289" s="22"/>
      <c r="WQN289" s="22"/>
      <c r="WQO289" s="22"/>
      <c r="WQP289" s="22"/>
      <c r="WQQ289" s="22"/>
      <c r="WQR289" s="22"/>
      <c r="WQS289" s="22"/>
      <c r="WQT289" s="22"/>
      <c r="WQU289" s="22"/>
      <c r="WQV289" s="22"/>
      <c r="WQW289" s="22"/>
      <c r="WQX289" s="22"/>
      <c r="WQY289" s="22"/>
      <c r="WQZ289" s="22"/>
      <c r="WRA289" s="22"/>
      <c r="WRB289" s="22"/>
      <c r="WRC289" s="22"/>
      <c r="WRD289" s="22"/>
      <c r="WRE289" s="22"/>
      <c r="WRF289" s="22"/>
      <c r="WRG289" s="22"/>
      <c r="WRH289" s="22"/>
      <c r="WRI289" s="22"/>
      <c r="WRJ289" s="22"/>
      <c r="WRK289" s="22"/>
      <c r="WRL289" s="22"/>
      <c r="WRM289" s="22"/>
      <c r="WRN289" s="22"/>
      <c r="WRO289" s="22"/>
      <c r="WRP289" s="22"/>
      <c r="WRQ289" s="22"/>
      <c r="WRR289" s="22"/>
      <c r="WRS289" s="22"/>
      <c r="WRT289" s="22"/>
      <c r="WRU289" s="22"/>
      <c r="WRV289" s="22"/>
      <c r="WRW289" s="22"/>
      <c r="WRX289" s="22"/>
      <c r="WRY289" s="22"/>
      <c r="WRZ289" s="22"/>
      <c r="WSA289" s="22"/>
      <c r="WSB289" s="22"/>
      <c r="WSC289" s="22"/>
      <c r="WSD289" s="22"/>
      <c r="WSE289" s="22"/>
      <c r="WSF289" s="22"/>
      <c r="WSG289" s="22"/>
      <c r="WSH289" s="22"/>
      <c r="WSI289" s="22"/>
      <c r="WSJ289" s="22"/>
      <c r="WSK289" s="22"/>
      <c r="WSL289" s="22"/>
      <c r="WSM289" s="22"/>
      <c r="WSN289" s="22"/>
      <c r="WSO289" s="22"/>
      <c r="WSP289" s="22"/>
      <c r="WSQ289" s="22"/>
      <c r="WSR289" s="22"/>
      <c r="WSS289" s="22"/>
      <c r="WST289" s="22"/>
      <c r="WSU289" s="22"/>
      <c r="WSV289" s="22"/>
      <c r="WSW289" s="22"/>
      <c r="WSX289" s="22"/>
      <c r="WSY289" s="22"/>
      <c r="WSZ289" s="22"/>
      <c r="WTA289" s="22"/>
      <c r="WTB289" s="22"/>
      <c r="WTC289" s="22"/>
      <c r="WTD289" s="22"/>
      <c r="WTE289" s="22"/>
      <c r="WTF289" s="22"/>
      <c r="WTG289" s="22"/>
      <c r="WTH289" s="22"/>
      <c r="WTI289" s="22"/>
      <c r="WTJ289" s="22"/>
      <c r="WTK289" s="22"/>
      <c r="WTL289" s="22"/>
      <c r="WTM289" s="22"/>
      <c r="WTN289" s="22"/>
      <c r="WTO289" s="22"/>
      <c r="WTP289" s="22"/>
      <c r="WTQ289" s="22"/>
      <c r="WTR289" s="22"/>
      <c r="WTS289" s="22"/>
      <c r="WTT289" s="22"/>
      <c r="WTU289" s="22"/>
      <c r="WTV289" s="22"/>
      <c r="WTW289" s="22"/>
      <c r="WTX289" s="22"/>
      <c r="WTY289" s="22"/>
      <c r="WTZ289" s="22"/>
      <c r="WUA289" s="22"/>
      <c r="WUB289" s="22"/>
      <c r="WUC289" s="22"/>
      <c r="WUD289" s="22"/>
      <c r="WUE289" s="22"/>
      <c r="WUF289" s="22"/>
      <c r="WUG289" s="22"/>
      <c r="WUH289" s="22"/>
      <c r="WUI289" s="22"/>
      <c r="WUJ289" s="22"/>
      <c r="WUK289" s="22"/>
      <c r="WUL289" s="22"/>
      <c r="WUM289" s="22"/>
      <c r="WUN289" s="22"/>
      <c r="WUO289" s="22"/>
      <c r="WUP289" s="22"/>
      <c r="WUQ289" s="22"/>
      <c r="WUR289" s="22"/>
      <c r="WUS289" s="22"/>
      <c r="WUT289" s="22"/>
      <c r="WUU289" s="22"/>
      <c r="WUV289" s="22"/>
      <c r="WUW289" s="22"/>
      <c r="WUX289" s="22"/>
      <c r="WUY289" s="22"/>
      <c r="WUZ289" s="22"/>
      <c r="WVA289" s="22"/>
      <c r="WVB289" s="22"/>
      <c r="WVC289" s="22"/>
      <c r="WVD289" s="22"/>
      <c r="WVE289" s="22"/>
      <c r="WVF289" s="22"/>
      <c r="WVG289" s="22"/>
      <c r="WVH289" s="22"/>
      <c r="WVI289" s="22"/>
      <c r="WVJ289" s="22"/>
      <c r="WVK289" s="22"/>
      <c r="WVL289" s="22"/>
      <c r="WVM289" s="22"/>
      <c r="WVN289" s="22"/>
      <c r="WVO289" s="22"/>
      <c r="WVP289" s="22"/>
      <c r="WVQ289" s="22"/>
      <c r="WVR289" s="22"/>
      <c r="WVS289" s="22"/>
      <c r="WVT289" s="22"/>
      <c r="WVU289" s="22"/>
      <c r="WVV289" s="22"/>
      <c r="WVW289" s="22"/>
      <c r="WVX289" s="22"/>
      <c r="WVY289" s="22"/>
      <c r="WVZ289" s="22"/>
      <c r="WWA289" s="22"/>
      <c r="WWB289" s="22"/>
      <c r="WWC289" s="22"/>
      <c r="WWD289" s="22"/>
      <c r="WWE289" s="22"/>
      <c r="WWF289" s="22"/>
      <c r="WWG289" s="22"/>
      <c r="WWH289" s="22"/>
      <c r="WWI289" s="22"/>
      <c r="WWJ289" s="22"/>
      <c r="WWK289" s="22"/>
      <c r="WWL289" s="22"/>
      <c r="WWM289" s="22"/>
      <c r="WWN289" s="22"/>
      <c r="WWO289" s="22"/>
      <c r="WWP289" s="22"/>
      <c r="WWQ289" s="22"/>
      <c r="WWR289" s="22"/>
      <c r="WWS289" s="22"/>
      <c r="WWT289" s="22"/>
      <c r="WWU289" s="22"/>
      <c r="WWV289" s="22"/>
      <c r="WWW289" s="22"/>
      <c r="WWX289" s="22"/>
      <c r="WWY289" s="22"/>
      <c r="WWZ289" s="22"/>
      <c r="WXA289" s="22"/>
      <c r="WXB289" s="22"/>
      <c r="WXC289" s="22"/>
      <c r="WXD289" s="22"/>
      <c r="WXE289" s="22"/>
    </row>
    <row r="290" s="25" customFormat="1" ht="32" customHeight="1" spans="1:16177">
      <c r="A290" s="14"/>
      <c r="B290" s="11"/>
      <c r="C290" s="11"/>
      <c r="D290" s="11"/>
      <c r="E290" s="80"/>
      <c r="F290" s="80"/>
      <c r="G290" s="11"/>
      <c r="H290" s="11"/>
      <c r="I290" s="15"/>
      <c r="J290" s="15"/>
      <c r="K290" s="52"/>
      <c r="L290" s="52"/>
      <c r="M290" s="52"/>
      <c r="N290" s="18"/>
      <c r="O290" s="18"/>
      <c r="P290" s="18"/>
      <c r="Q290" s="11"/>
      <c r="R290" s="11"/>
      <c r="S290" s="11"/>
      <c r="T290" s="52"/>
      <c r="U290" s="80"/>
      <c r="V290" s="12" t="s">
        <v>977</v>
      </c>
      <c r="W290" s="12">
        <v>33020401603</v>
      </c>
      <c r="X290" s="14" t="s">
        <v>976</v>
      </c>
      <c r="Y290" s="12" t="s">
        <v>39</v>
      </c>
      <c r="Z290" s="12" t="s">
        <v>39</v>
      </c>
      <c r="AA290" s="14" t="s">
        <v>803</v>
      </c>
      <c r="AB290" s="12" t="s">
        <v>39</v>
      </c>
      <c r="AC290" s="18">
        <v>5930</v>
      </c>
      <c r="AD290" s="18">
        <v>5345</v>
      </c>
      <c r="AE290" s="18">
        <v>4545</v>
      </c>
      <c r="AF290" s="14" t="s">
        <v>40</v>
      </c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2"/>
      <c r="CA290" s="22"/>
      <c r="CB290" s="22"/>
      <c r="CC290" s="22"/>
      <c r="CD290" s="22"/>
      <c r="CE290" s="22"/>
      <c r="CF290" s="22"/>
      <c r="CG290" s="22"/>
      <c r="CH290" s="22"/>
      <c r="CI290" s="22"/>
      <c r="CJ290" s="22"/>
      <c r="CK290" s="22"/>
      <c r="CL290" s="22"/>
      <c r="CM290" s="22"/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2"/>
      <c r="DA290" s="22"/>
      <c r="DB290" s="22"/>
      <c r="DC290" s="22"/>
      <c r="DD290" s="22"/>
      <c r="DE290" s="22"/>
      <c r="DF290" s="22"/>
      <c r="DG290" s="22"/>
      <c r="DH290" s="22"/>
      <c r="DI290" s="22"/>
      <c r="DJ290" s="22"/>
      <c r="DK290" s="22"/>
      <c r="DL290" s="22"/>
      <c r="DM290" s="22"/>
      <c r="DN290" s="22"/>
      <c r="DO290" s="22"/>
      <c r="DP290" s="22"/>
      <c r="DQ290" s="22"/>
      <c r="DR290" s="22"/>
      <c r="DS290" s="22"/>
      <c r="DT290" s="22"/>
      <c r="DU290" s="22"/>
      <c r="DV290" s="22"/>
      <c r="DW290" s="22"/>
      <c r="DX290" s="22"/>
      <c r="DY290" s="22"/>
      <c r="DZ290" s="22"/>
      <c r="EA290" s="22"/>
      <c r="EB290" s="22"/>
      <c r="EC290" s="22"/>
      <c r="ED290" s="22"/>
      <c r="EE290" s="22"/>
      <c r="EF290" s="22"/>
      <c r="EG290" s="22"/>
      <c r="EH290" s="22"/>
      <c r="EI290" s="22"/>
      <c r="EJ290" s="22"/>
      <c r="EK290" s="22"/>
      <c r="EL290" s="22"/>
      <c r="EM290" s="22"/>
      <c r="EN290" s="22"/>
      <c r="EO290" s="22"/>
      <c r="EP290" s="22"/>
      <c r="EQ290" s="22"/>
      <c r="ER290" s="22"/>
      <c r="ES290" s="22"/>
      <c r="ET290" s="22"/>
      <c r="EU290" s="22"/>
      <c r="EV290" s="22"/>
      <c r="EW290" s="22"/>
      <c r="EX290" s="22"/>
      <c r="EY290" s="22"/>
      <c r="EZ290" s="22"/>
      <c r="FA290" s="22"/>
      <c r="FB290" s="22"/>
      <c r="FC290" s="22"/>
      <c r="FD290" s="22"/>
      <c r="FE290" s="22"/>
      <c r="FF290" s="22"/>
      <c r="FG290" s="22"/>
      <c r="FH290" s="22"/>
      <c r="FI290" s="22"/>
      <c r="FJ290" s="22"/>
      <c r="FK290" s="22"/>
      <c r="FL290" s="22"/>
      <c r="FM290" s="22"/>
      <c r="FN290" s="22"/>
      <c r="FO290" s="22"/>
      <c r="FP290" s="22"/>
      <c r="FQ290" s="22"/>
      <c r="FR290" s="22"/>
      <c r="FS290" s="22"/>
      <c r="FT290" s="22"/>
      <c r="FU290" s="22"/>
      <c r="FV290" s="22"/>
      <c r="FW290" s="22"/>
      <c r="FX290" s="22"/>
      <c r="FY290" s="22"/>
      <c r="FZ290" s="22"/>
      <c r="GA290" s="22"/>
      <c r="GB290" s="22"/>
      <c r="GC290" s="22"/>
      <c r="GD290" s="22"/>
      <c r="GE290" s="22"/>
      <c r="GF290" s="22"/>
      <c r="GG290" s="22"/>
      <c r="GH290" s="22"/>
      <c r="GI290" s="22"/>
      <c r="GJ290" s="22"/>
      <c r="GK290" s="22"/>
      <c r="GL290" s="22"/>
      <c r="GM290" s="22"/>
      <c r="GN290" s="22"/>
      <c r="GO290" s="22"/>
      <c r="GP290" s="22"/>
      <c r="GQ290" s="22"/>
      <c r="GR290" s="22"/>
      <c r="GS290" s="22"/>
      <c r="GT290" s="22"/>
      <c r="GU290" s="22"/>
      <c r="GV290" s="22"/>
      <c r="GW290" s="22"/>
      <c r="GX290" s="22"/>
      <c r="GY290" s="22"/>
      <c r="GZ290" s="22"/>
      <c r="HA290" s="22"/>
      <c r="HB290" s="22"/>
      <c r="HC290" s="22"/>
      <c r="HD290" s="22"/>
      <c r="HE290" s="22"/>
      <c r="HF290" s="22"/>
      <c r="HG290" s="22"/>
      <c r="HH290" s="22"/>
      <c r="HI290" s="22"/>
      <c r="HJ290" s="22"/>
      <c r="HK290" s="22"/>
      <c r="HL290" s="22"/>
      <c r="HM290" s="22"/>
      <c r="HN290" s="22"/>
      <c r="HO290" s="22"/>
      <c r="HP290" s="22"/>
      <c r="HQ290" s="22"/>
      <c r="HR290" s="22"/>
      <c r="HS290" s="22"/>
      <c r="HT290" s="22"/>
      <c r="HU290" s="22"/>
      <c r="HV290" s="22"/>
      <c r="HW290" s="22"/>
      <c r="HX290" s="22"/>
      <c r="HY290" s="22"/>
      <c r="HZ290" s="22"/>
      <c r="IA290" s="22"/>
      <c r="IB290" s="22"/>
      <c r="IC290" s="22"/>
      <c r="ID290" s="22"/>
      <c r="IE290" s="22"/>
      <c r="IF290" s="22"/>
      <c r="IG290" s="22"/>
      <c r="IH290" s="22"/>
      <c r="II290" s="22"/>
      <c r="IJ290" s="22"/>
      <c r="IK290" s="22"/>
      <c r="IL290" s="22"/>
      <c r="IM290" s="22"/>
      <c r="IN290" s="22"/>
      <c r="IO290" s="22"/>
      <c r="IP290" s="22"/>
      <c r="IQ290" s="22"/>
      <c r="IR290" s="22"/>
      <c r="IS290" s="22"/>
      <c r="IT290" s="22"/>
      <c r="IU290" s="22"/>
      <c r="IV290" s="22"/>
      <c r="IW290" s="22"/>
      <c r="IX290" s="22"/>
      <c r="IY290" s="22"/>
      <c r="IZ290" s="22"/>
      <c r="JA290" s="22"/>
      <c r="JB290" s="22"/>
      <c r="JC290" s="22"/>
      <c r="JD290" s="22"/>
      <c r="JE290" s="22"/>
      <c r="JF290" s="22"/>
      <c r="JG290" s="22"/>
      <c r="JH290" s="22"/>
      <c r="JI290" s="22"/>
      <c r="JJ290" s="22"/>
      <c r="JK290" s="22"/>
      <c r="JL290" s="22"/>
      <c r="JM290" s="22"/>
      <c r="JN290" s="22"/>
      <c r="JO290" s="22"/>
      <c r="JP290" s="22"/>
      <c r="JQ290" s="22"/>
      <c r="JR290" s="22"/>
      <c r="JS290" s="22"/>
      <c r="JT290" s="22"/>
      <c r="JU290" s="22"/>
      <c r="JV290" s="22"/>
      <c r="JW290" s="22"/>
      <c r="JX290" s="22"/>
      <c r="JY290" s="22"/>
      <c r="JZ290" s="22"/>
      <c r="KA290" s="22"/>
      <c r="KB290" s="22"/>
      <c r="KC290" s="22"/>
      <c r="KD290" s="22"/>
      <c r="KE290" s="22"/>
      <c r="KF290" s="22"/>
      <c r="KG290" s="22"/>
      <c r="KH290" s="22"/>
      <c r="KI290" s="22"/>
      <c r="KJ290" s="22"/>
      <c r="KK290" s="22"/>
      <c r="KL290" s="22"/>
      <c r="KM290" s="22"/>
      <c r="KN290" s="22"/>
      <c r="KO290" s="22"/>
      <c r="KP290" s="22"/>
      <c r="KQ290" s="22"/>
      <c r="KR290" s="22"/>
      <c r="KS290" s="22"/>
      <c r="KT290" s="22"/>
      <c r="KU290" s="22"/>
      <c r="KV290" s="22"/>
      <c r="KW290" s="22"/>
      <c r="KX290" s="22"/>
      <c r="KY290" s="22"/>
      <c r="KZ290" s="22"/>
      <c r="LA290" s="22"/>
      <c r="LB290" s="22"/>
      <c r="LC290" s="22"/>
      <c r="LD290" s="22"/>
      <c r="LE290" s="22"/>
      <c r="LF290" s="22"/>
      <c r="LG290" s="22"/>
      <c r="LH290" s="22"/>
      <c r="LI290" s="22"/>
      <c r="LJ290" s="22"/>
      <c r="LK290" s="22"/>
      <c r="LL290" s="22"/>
      <c r="LM290" s="22"/>
      <c r="LN290" s="22"/>
      <c r="LO290" s="22"/>
      <c r="LP290" s="22"/>
      <c r="LQ290" s="22"/>
      <c r="LR290" s="22"/>
      <c r="LS290" s="22"/>
      <c r="LT290" s="22"/>
      <c r="LU290" s="22"/>
      <c r="LV290" s="22"/>
      <c r="LW290" s="22"/>
      <c r="LX290" s="22"/>
      <c r="LY290" s="22"/>
      <c r="LZ290" s="22"/>
      <c r="MA290" s="22"/>
      <c r="MB290" s="22"/>
      <c r="MC290" s="22"/>
      <c r="MD290" s="22"/>
      <c r="ME290" s="22"/>
      <c r="MF290" s="22"/>
      <c r="MG290" s="22"/>
      <c r="MH290" s="22"/>
      <c r="MI290" s="22"/>
      <c r="MJ290" s="22"/>
      <c r="MK290" s="22"/>
      <c r="ML290" s="22"/>
      <c r="MM290" s="22"/>
      <c r="MN290" s="22"/>
      <c r="MO290" s="22"/>
      <c r="MP290" s="22"/>
      <c r="MQ290" s="22"/>
      <c r="MR290" s="22"/>
      <c r="MS290" s="22"/>
      <c r="MT290" s="22"/>
      <c r="MU290" s="22"/>
      <c r="MV290" s="22"/>
      <c r="MW290" s="22"/>
      <c r="MX290" s="22"/>
      <c r="MY290" s="22"/>
      <c r="MZ290" s="22"/>
      <c r="NA290" s="22"/>
      <c r="NB290" s="22"/>
      <c r="NC290" s="22"/>
      <c r="ND290" s="22"/>
      <c r="NE290" s="22"/>
      <c r="NF290" s="22"/>
      <c r="NG290" s="22"/>
      <c r="NH290" s="22"/>
      <c r="NI290" s="22"/>
      <c r="NJ290" s="22"/>
      <c r="NK290" s="22"/>
      <c r="NL290" s="22"/>
      <c r="NM290" s="22"/>
      <c r="NN290" s="22"/>
      <c r="NO290" s="22"/>
      <c r="NP290" s="22"/>
      <c r="NQ290" s="22"/>
      <c r="NR290" s="22"/>
      <c r="NS290" s="22"/>
      <c r="NT290" s="22"/>
      <c r="NU290" s="22"/>
      <c r="NV290" s="22"/>
      <c r="NW290" s="22"/>
      <c r="NX290" s="22"/>
      <c r="NY290" s="22"/>
      <c r="NZ290" s="22"/>
      <c r="OA290" s="22"/>
      <c r="OB290" s="22"/>
      <c r="OC290" s="22"/>
      <c r="OD290" s="22"/>
      <c r="OE290" s="22"/>
      <c r="OF290" s="22"/>
      <c r="OG290" s="22"/>
      <c r="OH290" s="22"/>
      <c r="OI290" s="22"/>
      <c r="OJ290" s="22"/>
      <c r="OK290" s="22"/>
      <c r="OL290" s="22"/>
      <c r="OM290" s="22"/>
      <c r="ON290" s="22"/>
      <c r="OO290" s="22"/>
      <c r="OP290" s="22"/>
      <c r="OQ290" s="22"/>
      <c r="OR290" s="22"/>
      <c r="OS290" s="22"/>
      <c r="OT290" s="22"/>
      <c r="OU290" s="22"/>
      <c r="OV290" s="22"/>
      <c r="OW290" s="22"/>
      <c r="OX290" s="22"/>
      <c r="OY290" s="22"/>
      <c r="OZ290" s="22"/>
      <c r="PA290" s="22"/>
      <c r="PB290" s="22"/>
      <c r="PC290" s="22"/>
      <c r="PD290" s="22"/>
      <c r="PE290" s="22"/>
      <c r="PF290" s="22"/>
      <c r="PG290" s="22"/>
      <c r="PH290" s="22"/>
      <c r="PI290" s="22"/>
      <c r="PJ290" s="22"/>
      <c r="PK290" s="22"/>
      <c r="PL290" s="22"/>
      <c r="PM290" s="22"/>
      <c r="PN290" s="22"/>
      <c r="PO290" s="22"/>
      <c r="PP290" s="22"/>
      <c r="PQ290" s="22"/>
      <c r="PR290" s="22"/>
      <c r="PS290" s="22"/>
      <c r="PT290" s="22"/>
      <c r="PU290" s="22"/>
      <c r="PV290" s="22"/>
      <c r="PW290" s="22"/>
      <c r="PX290" s="22"/>
      <c r="PY290" s="22"/>
      <c r="PZ290" s="22"/>
      <c r="QA290" s="22"/>
      <c r="QB290" s="22"/>
      <c r="QC290" s="22"/>
      <c r="QD290" s="22"/>
      <c r="QE290" s="22"/>
      <c r="QF290" s="22"/>
      <c r="QG290" s="22"/>
      <c r="QH290" s="22"/>
      <c r="QI290" s="22"/>
      <c r="QJ290" s="22"/>
      <c r="QK290" s="22"/>
      <c r="QL290" s="22"/>
      <c r="QM290" s="22"/>
      <c r="QN290" s="22"/>
      <c r="QO290" s="22"/>
      <c r="QP290" s="22"/>
      <c r="QQ290" s="22"/>
      <c r="QR290" s="22"/>
      <c r="QS290" s="22"/>
      <c r="QT290" s="22"/>
      <c r="QU290" s="22"/>
      <c r="QV290" s="22"/>
      <c r="QW290" s="22"/>
      <c r="QX290" s="22"/>
      <c r="QY290" s="22"/>
      <c r="QZ290" s="22"/>
      <c r="RA290" s="22"/>
      <c r="RB290" s="22"/>
      <c r="RC290" s="22"/>
      <c r="RD290" s="22"/>
      <c r="RE290" s="22"/>
      <c r="RF290" s="22"/>
      <c r="RG290" s="22"/>
      <c r="RH290" s="22"/>
      <c r="RI290" s="22"/>
      <c r="RJ290" s="22"/>
      <c r="RK290" s="22"/>
      <c r="RL290" s="22"/>
      <c r="RM290" s="22"/>
      <c r="RN290" s="22"/>
      <c r="RO290" s="22"/>
      <c r="RP290" s="22"/>
      <c r="RQ290" s="22"/>
      <c r="RR290" s="22"/>
      <c r="RS290" s="22"/>
      <c r="RT290" s="22"/>
      <c r="RU290" s="22"/>
      <c r="RV290" s="22"/>
      <c r="RW290" s="22"/>
      <c r="RX290" s="22"/>
      <c r="RY290" s="22"/>
      <c r="RZ290" s="22"/>
      <c r="SA290" s="22"/>
      <c r="SB290" s="22"/>
      <c r="SC290" s="22"/>
      <c r="SD290" s="22"/>
      <c r="SE290" s="22"/>
      <c r="SF290" s="22"/>
      <c r="SG290" s="22"/>
      <c r="SH290" s="22"/>
      <c r="SI290" s="22"/>
      <c r="SJ290" s="22"/>
      <c r="SK290" s="22"/>
      <c r="SL290" s="22"/>
      <c r="SM290" s="22"/>
      <c r="SN290" s="22"/>
      <c r="SO290" s="22"/>
      <c r="SP290" s="22"/>
      <c r="SQ290" s="22"/>
      <c r="SR290" s="22"/>
      <c r="SS290" s="22"/>
      <c r="ST290" s="22"/>
      <c r="SU290" s="22"/>
      <c r="SV290" s="22"/>
      <c r="SW290" s="22"/>
      <c r="SX290" s="22"/>
      <c r="SY290" s="22"/>
      <c r="SZ290" s="22"/>
      <c r="TA290" s="22"/>
      <c r="TB290" s="22"/>
      <c r="TC290" s="22"/>
      <c r="TD290" s="22"/>
      <c r="TE290" s="22"/>
      <c r="TF290" s="22"/>
      <c r="TG290" s="22"/>
      <c r="TH290" s="22"/>
      <c r="TI290" s="22"/>
      <c r="TJ290" s="22"/>
      <c r="TK290" s="22"/>
      <c r="TL290" s="22"/>
      <c r="TM290" s="22"/>
      <c r="TN290" s="22"/>
      <c r="TO290" s="22"/>
      <c r="TP290" s="22"/>
      <c r="TQ290" s="22"/>
      <c r="TR290" s="22"/>
      <c r="TS290" s="22"/>
      <c r="TT290" s="22"/>
      <c r="TU290" s="22"/>
      <c r="TV290" s="22"/>
      <c r="TW290" s="22"/>
      <c r="TX290" s="22"/>
      <c r="TY290" s="22"/>
      <c r="TZ290" s="22"/>
      <c r="UA290" s="22"/>
      <c r="UB290" s="22"/>
      <c r="UC290" s="22"/>
      <c r="UD290" s="22"/>
      <c r="UE290" s="22"/>
      <c r="UF290" s="22"/>
      <c r="UG290" s="22"/>
      <c r="UH290" s="22"/>
      <c r="UI290" s="22"/>
      <c r="UJ290" s="22"/>
      <c r="UK290" s="22"/>
      <c r="UL290" s="22"/>
      <c r="UM290" s="22"/>
      <c r="UN290" s="22"/>
      <c r="UO290" s="22"/>
      <c r="UP290" s="22"/>
      <c r="UQ290" s="22"/>
      <c r="UR290" s="22"/>
      <c r="US290" s="22"/>
      <c r="UT290" s="22"/>
      <c r="UU290" s="22"/>
      <c r="UV290" s="22"/>
      <c r="UW290" s="22"/>
      <c r="UX290" s="22"/>
      <c r="UY290" s="22"/>
      <c r="UZ290" s="22"/>
      <c r="VA290" s="22"/>
      <c r="VB290" s="22"/>
      <c r="VC290" s="22"/>
      <c r="VD290" s="22"/>
      <c r="VE290" s="22"/>
      <c r="VF290" s="22"/>
      <c r="VG290" s="22"/>
      <c r="VH290" s="22"/>
      <c r="VI290" s="22"/>
      <c r="VJ290" s="22"/>
      <c r="VK290" s="22"/>
      <c r="VL290" s="22"/>
      <c r="VM290" s="22"/>
      <c r="VN290" s="22"/>
      <c r="VO290" s="22"/>
      <c r="VP290" s="22"/>
      <c r="VQ290" s="22"/>
      <c r="VR290" s="22"/>
      <c r="VS290" s="22"/>
      <c r="VT290" s="22"/>
      <c r="VU290" s="22"/>
      <c r="VV290" s="22"/>
      <c r="VW290" s="22"/>
      <c r="VX290" s="22"/>
      <c r="VY290" s="22"/>
      <c r="VZ290" s="22"/>
      <c r="WA290" s="22"/>
      <c r="WB290" s="22"/>
      <c r="WC290" s="22"/>
      <c r="WD290" s="22"/>
      <c r="WE290" s="22"/>
      <c r="WF290" s="22"/>
      <c r="WG290" s="22"/>
      <c r="WH290" s="22"/>
      <c r="WI290" s="22"/>
      <c r="WJ290" s="22"/>
      <c r="WK290" s="22"/>
      <c r="WL290" s="22"/>
      <c r="WM290" s="22"/>
      <c r="WN290" s="22"/>
      <c r="WO290" s="22"/>
      <c r="WP290" s="22"/>
      <c r="WQ290" s="22"/>
      <c r="WR290" s="22"/>
      <c r="WS290" s="22"/>
      <c r="WT290" s="22"/>
      <c r="WU290" s="22"/>
      <c r="WV290" s="22"/>
      <c r="WW290" s="22"/>
      <c r="WX290" s="22"/>
      <c r="WY290" s="22"/>
      <c r="WZ290" s="22"/>
      <c r="XA290" s="22"/>
      <c r="XB290" s="22"/>
      <c r="XC290" s="22"/>
      <c r="XD290" s="22"/>
      <c r="XE290" s="22"/>
      <c r="XF290" s="22"/>
      <c r="XG290" s="22"/>
      <c r="XH290" s="22"/>
      <c r="XI290" s="22"/>
      <c r="XJ290" s="22"/>
      <c r="XK290" s="22"/>
      <c r="XL290" s="22"/>
      <c r="XM290" s="22"/>
      <c r="XN290" s="22"/>
      <c r="XO290" s="22"/>
      <c r="XP290" s="22"/>
      <c r="XQ290" s="22"/>
      <c r="XR290" s="22"/>
      <c r="XS290" s="22"/>
      <c r="XT290" s="22"/>
      <c r="XU290" s="22"/>
      <c r="XV290" s="22"/>
      <c r="XW290" s="22"/>
      <c r="XX290" s="22"/>
      <c r="XY290" s="22"/>
      <c r="XZ290" s="22"/>
      <c r="YA290" s="22"/>
      <c r="YB290" s="22"/>
      <c r="YC290" s="22"/>
      <c r="YD290" s="22"/>
      <c r="YE290" s="22"/>
      <c r="YF290" s="22"/>
      <c r="YG290" s="22"/>
      <c r="YH290" s="22"/>
      <c r="YI290" s="22"/>
      <c r="YJ290" s="22"/>
      <c r="YK290" s="22"/>
      <c r="YL290" s="22"/>
      <c r="YM290" s="22"/>
      <c r="YN290" s="22"/>
      <c r="YO290" s="22"/>
      <c r="YP290" s="22"/>
      <c r="YQ290" s="22"/>
      <c r="YR290" s="22"/>
      <c r="YS290" s="22"/>
      <c r="YT290" s="22"/>
      <c r="YU290" s="22"/>
      <c r="YV290" s="22"/>
      <c r="YW290" s="22"/>
      <c r="YX290" s="22"/>
      <c r="YY290" s="22"/>
      <c r="YZ290" s="22"/>
      <c r="ZA290" s="22"/>
      <c r="ZB290" s="22"/>
      <c r="ZC290" s="22"/>
      <c r="ZD290" s="22"/>
      <c r="ZE290" s="22"/>
      <c r="ZF290" s="22"/>
      <c r="ZG290" s="22"/>
      <c r="ZH290" s="22"/>
      <c r="ZI290" s="22"/>
      <c r="ZJ290" s="22"/>
      <c r="ZK290" s="22"/>
      <c r="ZL290" s="22"/>
      <c r="ZM290" s="22"/>
      <c r="ZN290" s="22"/>
      <c r="ZO290" s="22"/>
      <c r="ZP290" s="22"/>
      <c r="ZQ290" s="22"/>
      <c r="ZR290" s="22"/>
      <c r="ZS290" s="22"/>
      <c r="ZT290" s="22"/>
      <c r="ZU290" s="22"/>
      <c r="ZV290" s="22"/>
      <c r="ZW290" s="22"/>
      <c r="ZX290" s="22"/>
      <c r="ZY290" s="22"/>
      <c r="ZZ290" s="22"/>
      <c r="AAA290" s="22"/>
      <c r="AAB290" s="22"/>
      <c r="AAC290" s="22"/>
      <c r="AAD290" s="22"/>
      <c r="AAE290" s="22"/>
      <c r="AAF290" s="22"/>
      <c r="AAG290" s="22"/>
      <c r="AAH290" s="22"/>
      <c r="AAI290" s="22"/>
      <c r="AAJ290" s="22"/>
      <c r="AAK290" s="22"/>
      <c r="AAL290" s="22"/>
      <c r="AAM290" s="22"/>
      <c r="AAN290" s="22"/>
      <c r="AAO290" s="22"/>
      <c r="AAP290" s="22"/>
      <c r="AAQ290" s="22"/>
      <c r="AAR290" s="22"/>
      <c r="AAS290" s="22"/>
      <c r="AAT290" s="22"/>
      <c r="AAU290" s="22"/>
      <c r="AAV290" s="22"/>
      <c r="AAW290" s="22"/>
      <c r="AAX290" s="22"/>
      <c r="AAY290" s="22"/>
      <c r="AAZ290" s="22"/>
      <c r="ABA290" s="22"/>
      <c r="ABB290" s="22"/>
      <c r="ABC290" s="22"/>
      <c r="ABD290" s="22"/>
      <c r="ABE290" s="22"/>
      <c r="ABF290" s="22"/>
      <c r="ABG290" s="22"/>
      <c r="ABH290" s="22"/>
      <c r="ABI290" s="22"/>
      <c r="ABJ290" s="22"/>
      <c r="ABK290" s="22"/>
      <c r="ABL290" s="22"/>
      <c r="ABM290" s="22"/>
      <c r="ABN290" s="22"/>
      <c r="ABO290" s="22"/>
      <c r="ABP290" s="22"/>
      <c r="ABQ290" s="22"/>
      <c r="ABR290" s="22"/>
      <c r="ABS290" s="22"/>
      <c r="ABT290" s="22"/>
      <c r="ABU290" s="22"/>
      <c r="ABV290" s="22"/>
      <c r="ABW290" s="22"/>
      <c r="ABX290" s="22"/>
      <c r="ABY290" s="22"/>
      <c r="ABZ290" s="22"/>
      <c r="ACA290" s="22"/>
      <c r="ACB290" s="22"/>
      <c r="ACC290" s="22"/>
      <c r="ACD290" s="22"/>
      <c r="ACE290" s="22"/>
      <c r="ACF290" s="22"/>
      <c r="ACG290" s="22"/>
      <c r="ACH290" s="22"/>
      <c r="ACI290" s="22"/>
      <c r="ACJ290" s="22"/>
      <c r="ACK290" s="22"/>
      <c r="ACL290" s="22"/>
      <c r="ACM290" s="22"/>
      <c r="ACN290" s="22"/>
      <c r="ACO290" s="22"/>
      <c r="ACP290" s="22"/>
      <c r="ACQ290" s="22"/>
      <c r="ACR290" s="22"/>
      <c r="ACS290" s="22"/>
      <c r="ACT290" s="22"/>
      <c r="ACU290" s="22"/>
      <c r="ACV290" s="22"/>
      <c r="ACW290" s="22"/>
      <c r="ACX290" s="22"/>
      <c r="ACY290" s="22"/>
      <c r="ACZ290" s="22"/>
      <c r="ADA290" s="22"/>
      <c r="ADB290" s="22"/>
      <c r="ADC290" s="22"/>
      <c r="ADD290" s="22"/>
      <c r="ADE290" s="22"/>
      <c r="ADF290" s="22"/>
      <c r="ADG290" s="22"/>
      <c r="ADH290" s="22"/>
      <c r="ADI290" s="22"/>
      <c r="ADJ290" s="22"/>
      <c r="ADK290" s="22"/>
      <c r="ADL290" s="22"/>
      <c r="ADM290" s="22"/>
      <c r="ADN290" s="22"/>
      <c r="ADO290" s="22"/>
      <c r="ADP290" s="22"/>
      <c r="ADQ290" s="22"/>
      <c r="ADR290" s="22"/>
      <c r="ADS290" s="22"/>
      <c r="ADT290" s="22"/>
      <c r="ADU290" s="22"/>
      <c r="ADV290" s="22"/>
      <c r="ADW290" s="22"/>
      <c r="ADX290" s="22"/>
      <c r="ADY290" s="22"/>
      <c r="ADZ290" s="22"/>
      <c r="AEA290" s="22"/>
      <c r="AEB290" s="22"/>
      <c r="AEC290" s="22"/>
      <c r="AED290" s="22"/>
      <c r="AEE290" s="22"/>
      <c r="AEF290" s="22"/>
      <c r="AEG290" s="22"/>
      <c r="AEH290" s="22"/>
      <c r="AEI290" s="22"/>
      <c r="AEJ290" s="22"/>
      <c r="AEK290" s="22"/>
      <c r="AEL290" s="22"/>
      <c r="AEM290" s="22"/>
      <c r="AEN290" s="22"/>
      <c r="AEO290" s="22"/>
      <c r="AEP290" s="22"/>
      <c r="AEQ290" s="22"/>
      <c r="AER290" s="22"/>
      <c r="AES290" s="22"/>
      <c r="AET290" s="22"/>
      <c r="AEU290" s="22"/>
      <c r="AEV290" s="22"/>
      <c r="AEW290" s="22"/>
      <c r="AEX290" s="22"/>
      <c r="AEY290" s="22"/>
      <c r="AEZ290" s="22"/>
      <c r="AFA290" s="22"/>
      <c r="AFB290" s="22"/>
      <c r="AFC290" s="22"/>
      <c r="AFD290" s="22"/>
      <c r="AFE290" s="22"/>
      <c r="AFF290" s="22"/>
      <c r="AFG290" s="22"/>
      <c r="AFH290" s="22"/>
      <c r="AFI290" s="22"/>
      <c r="AFJ290" s="22"/>
      <c r="AFK290" s="22"/>
      <c r="AFL290" s="22"/>
      <c r="AFM290" s="22"/>
      <c r="AFN290" s="22"/>
      <c r="AFO290" s="22"/>
      <c r="AFP290" s="22"/>
      <c r="AFQ290" s="22"/>
      <c r="AFR290" s="22"/>
      <c r="AFS290" s="22"/>
      <c r="AFT290" s="22"/>
      <c r="AFU290" s="22"/>
      <c r="AFV290" s="22"/>
      <c r="AFW290" s="22"/>
      <c r="AFX290" s="22"/>
      <c r="AFY290" s="22"/>
      <c r="AFZ290" s="22"/>
      <c r="AGA290" s="22"/>
      <c r="AGB290" s="22"/>
      <c r="AGC290" s="22"/>
      <c r="AGD290" s="22"/>
      <c r="AGE290" s="22"/>
      <c r="AGF290" s="22"/>
      <c r="AGG290" s="22"/>
      <c r="AGH290" s="22"/>
      <c r="AGI290" s="22"/>
      <c r="AGJ290" s="22"/>
      <c r="AGK290" s="22"/>
      <c r="AGL290" s="22"/>
      <c r="AGM290" s="22"/>
      <c r="AGN290" s="22"/>
      <c r="AGO290" s="22"/>
      <c r="AGP290" s="22"/>
      <c r="AGQ290" s="22"/>
      <c r="AGR290" s="22"/>
      <c r="AGS290" s="22"/>
      <c r="AGT290" s="22"/>
      <c r="AGU290" s="22"/>
      <c r="AGV290" s="22"/>
      <c r="AGW290" s="22"/>
      <c r="AGX290" s="22"/>
      <c r="AGY290" s="22"/>
      <c r="AGZ290" s="22"/>
      <c r="AHA290" s="22"/>
      <c r="AHB290" s="22"/>
      <c r="AHC290" s="22"/>
      <c r="AHD290" s="22"/>
      <c r="AHE290" s="22"/>
      <c r="AHF290" s="22"/>
      <c r="AHG290" s="22"/>
      <c r="AHH290" s="22"/>
      <c r="AHI290" s="22"/>
      <c r="AHJ290" s="22"/>
      <c r="AHK290" s="22"/>
      <c r="AHL290" s="22"/>
      <c r="AHM290" s="22"/>
      <c r="AHN290" s="22"/>
      <c r="AHO290" s="22"/>
      <c r="AHP290" s="22"/>
      <c r="AHQ290" s="22"/>
      <c r="AHR290" s="22"/>
      <c r="AHS290" s="22"/>
      <c r="AHT290" s="22"/>
      <c r="AHU290" s="22"/>
      <c r="AHV290" s="22"/>
      <c r="AHW290" s="22"/>
      <c r="AHX290" s="22"/>
      <c r="AHY290" s="22"/>
      <c r="AHZ290" s="22"/>
      <c r="AIA290" s="22"/>
      <c r="AIB290" s="22"/>
      <c r="AIC290" s="22"/>
      <c r="AID290" s="22"/>
      <c r="AIE290" s="22"/>
      <c r="AIF290" s="22"/>
      <c r="AIG290" s="22"/>
      <c r="AIH290" s="22"/>
      <c r="AII290" s="22"/>
      <c r="AIJ290" s="22"/>
      <c r="AIK290" s="22"/>
      <c r="AIL290" s="22"/>
      <c r="AIM290" s="22"/>
      <c r="AIN290" s="22"/>
      <c r="AIO290" s="22"/>
      <c r="AIP290" s="22"/>
      <c r="AIQ290" s="22"/>
      <c r="AIR290" s="22"/>
      <c r="AIS290" s="22"/>
      <c r="AIT290" s="22"/>
      <c r="AIU290" s="22"/>
      <c r="AIV290" s="22"/>
      <c r="AIW290" s="22"/>
      <c r="AIX290" s="22"/>
      <c r="AIY290" s="22"/>
      <c r="AIZ290" s="22"/>
      <c r="AJA290" s="22"/>
      <c r="AJB290" s="22"/>
      <c r="AJC290" s="22"/>
      <c r="AJD290" s="22"/>
      <c r="AJE290" s="22"/>
      <c r="AJF290" s="22"/>
      <c r="AJG290" s="22"/>
      <c r="AJH290" s="22"/>
      <c r="AJI290" s="22"/>
      <c r="AJJ290" s="22"/>
      <c r="AJK290" s="22"/>
      <c r="AJL290" s="22"/>
      <c r="AJM290" s="22"/>
      <c r="AJN290" s="22"/>
      <c r="AJO290" s="22"/>
      <c r="AJP290" s="22"/>
      <c r="AJQ290" s="22"/>
      <c r="AJR290" s="22"/>
      <c r="AJS290" s="22"/>
      <c r="AJT290" s="22"/>
      <c r="AJU290" s="22"/>
      <c r="AJV290" s="22"/>
      <c r="AJW290" s="22"/>
      <c r="AJX290" s="22"/>
      <c r="AJY290" s="22"/>
      <c r="AJZ290" s="22"/>
      <c r="AKA290" s="22"/>
      <c r="AKB290" s="22"/>
      <c r="AKC290" s="22"/>
      <c r="AKD290" s="22"/>
      <c r="AKE290" s="22"/>
      <c r="AKF290" s="22"/>
      <c r="AKG290" s="22"/>
      <c r="AKH290" s="22"/>
      <c r="AKI290" s="22"/>
      <c r="AKJ290" s="22"/>
      <c r="AKK290" s="22"/>
      <c r="AKL290" s="22"/>
      <c r="AKM290" s="22"/>
      <c r="AKN290" s="22"/>
      <c r="AKO290" s="22"/>
      <c r="AKP290" s="22"/>
      <c r="AKQ290" s="22"/>
      <c r="AKR290" s="22"/>
      <c r="AKS290" s="22"/>
      <c r="AKT290" s="22"/>
      <c r="AKU290" s="22"/>
      <c r="AKV290" s="22"/>
      <c r="AKW290" s="22"/>
      <c r="AKX290" s="22"/>
      <c r="AKY290" s="22"/>
      <c r="AKZ290" s="22"/>
      <c r="ALA290" s="22"/>
      <c r="ALB290" s="22"/>
      <c r="ALC290" s="22"/>
      <c r="ALD290" s="22"/>
      <c r="ALE290" s="22"/>
      <c r="ALF290" s="22"/>
      <c r="ALG290" s="22"/>
      <c r="ALH290" s="22"/>
      <c r="ALI290" s="22"/>
      <c r="ALJ290" s="22"/>
      <c r="ALK290" s="22"/>
      <c r="ALL290" s="22"/>
      <c r="ALM290" s="22"/>
      <c r="ALN290" s="22"/>
      <c r="ALO290" s="22"/>
      <c r="ALP290" s="22"/>
      <c r="ALQ290" s="22"/>
      <c r="ALR290" s="22"/>
      <c r="ALS290" s="22"/>
      <c r="ALT290" s="22"/>
      <c r="ALU290" s="22"/>
      <c r="ALV290" s="22"/>
      <c r="ALW290" s="22"/>
      <c r="ALX290" s="22"/>
      <c r="ALY290" s="22"/>
      <c r="ALZ290" s="22"/>
      <c r="AMA290" s="22"/>
      <c r="AMB290" s="22"/>
      <c r="AMC290" s="22"/>
      <c r="AMD290" s="22"/>
      <c r="AME290" s="22"/>
      <c r="AMF290" s="22"/>
      <c r="AMG290" s="22"/>
      <c r="AMH290" s="22"/>
      <c r="AMI290" s="22"/>
      <c r="AMJ290" s="22"/>
      <c r="AMK290" s="22"/>
      <c r="AML290" s="22"/>
      <c r="AMM290" s="22"/>
      <c r="AMN290" s="22"/>
      <c r="AMO290" s="22"/>
      <c r="AMP290" s="22"/>
      <c r="AMQ290" s="22"/>
      <c r="AMR290" s="22"/>
      <c r="AMS290" s="22"/>
      <c r="AMT290" s="22"/>
      <c r="AMU290" s="22"/>
      <c r="AMV290" s="22"/>
      <c r="AMW290" s="22"/>
      <c r="AMX290" s="22"/>
      <c r="AMY290" s="22"/>
      <c r="AMZ290" s="22"/>
      <c r="ANA290" s="22"/>
      <c r="ANB290" s="22"/>
      <c r="ANC290" s="22"/>
      <c r="AND290" s="22"/>
      <c r="ANE290" s="22"/>
      <c r="ANF290" s="22"/>
      <c r="ANG290" s="22"/>
      <c r="ANH290" s="22"/>
      <c r="ANI290" s="22"/>
      <c r="ANJ290" s="22"/>
      <c r="ANK290" s="22"/>
      <c r="ANL290" s="22"/>
      <c r="ANM290" s="22"/>
      <c r="ANN290" s="22"/>
      <c r="ANO290" s="22"/>
      <c r="ANP290" s="22"/>
      <c r="ANQ290" s="22"/>
      <c r="ANR290" s="22"/>
      <c r="ANS290" s="22"/>
      <c r="ANT290" s="22"/>
      <c r="ANU290" s="22"/>
      <c r="ANV290" s="22"/>
      <c r="ANW290" s="22"/>
      <c r="ANX290" s="22"/>
      <c r="ANY290" s="22"/>
      <c r="ANZ290" s="22"/>
      <c r="AOA290" s="22"/>
      <c r="AOB290" s="22"/>
      <c r="AOC290" s="22"/>
      <c r="AOD290" s="22"/>
      <c r="AOE290" s="22"/>
      <c r="AOF290" s="22"/>
      <c r="AOG290" s="22"/>
      <c r="AOH290" s="22"/>
      <c r="AOI290" s="22"/>
      <c r="AOJ290" s="22"/>
      <c r="AOK290" s="22"/>
      <c r="AOL290" s="22"/>
      <c r="AOM290" s="22"/>
      <c r="AON290" s="22"/>
      <c r="AOO290" s="22"/>
      <c r="AOP290" s="22"/>
      <c r="AOQ290" s="22"/>
      <c r="AOR290" s="22"/>
      <c r="AOS290" s="22"/>
      <c r="AOT290" s="22"/>
      <c r="AOU290" s="22"/>
      <c r="AOV290" s="22"/>
      <c r="AOW290" s="22"/>
      <c r="AOX290" s="22"/>
      <c r="AOY290" s="22"/>
      <c r="AOZ290" s="22"/>
      <c r="APA290" s="22"/>
      <c r="APB290" s="22"/>
      <c r="APC290" s="22"/>
      <c r="APD290" s="22"/>
      <c r="APE290" s="22"/>
      <c r="APF290" s="22"/>
      <c r="APG290" s="22"/>
      <c r="APH290" s="22"/>
      <c r="API290" s="22"/>
      <c r="APJ290" s="22"/>
      <c r="APK290" s="22"/>
      <c r="APL290" s="22"/>
      <c r="APM290" s="22"/>
      <c r="APN290" s="22"/>
      <c r="APO290" s="22"/>
      <c r="APP290" s="22"/>
      <c r="APQ290" s="22"/>
      <c r="APR290" s="22"/>
      <c r="APS290" s="22"/>
      <c r="APT290" s="22"/>
      <c r="APU290" s="22"/>
      <c r="APV290" s="22"/>
      <c r="APW290" s="22"/>
      <c r="APX290" s="22"/>
      <c r="APY290" s="22"/>
      <c r="APZ290" s="22"/>
      <c r="AQA290" s="22"/>
      <c r="AQB290" s="22"/>
      <c r="AQC290" s="22"/>
      <c r="AQD290" s="22"/>
      <c r="AQE290" s="22"/>
      <c r="AQF290" s="22"/>
      <c r="AQG290" s="22"/>
      <c r="AQH290" s="22"/>
      <c r="AQI290" s="22"/>
      <c r="AQJ290" s="22"/>
      <c r="AQK290" s="22"/>
      <c r="AQL290" s="22"/>
      <c r="AQM290" s="22"/>
      <c r="AQN290" s="22"/>
      <c r="AQO290" s="22"/>
      <c r="AQP290" s="22"/>
      <c r="AQQ290" s="22"/>
      <c r="AQR290" s="22"/>
      <c r="AQS290" s="22"/>
      <c r="AQT290" s="22"/>
      <c r="AQU290" s="22"/>
      <c r="AQV290" s="22"/>
      <c r="AQW290" s="22"/>
      <c r="AQX290" s="22"/>
      <c r="AQY290" s="22"/>
      <c r="AQZ290" s="22"/>
      <c r="ARA290" s="22"/>
      <c r="ARB290" s="22"/>
      <c r="ARC290" s="22"/>
      <c r="ARD290" s="22"/>
      <c r="ARE290" s="22"/>
      <c r="ARF290" s="22"/>
      <c r="ARG290" s="22"/>
      <c r="ARH290" s="22"/>
      <c r="ARI290" s="22"/>
      <c r="ARJ290" s="22"/>
      <c r="ARK290" s="22"/>
      <c r="ARL290" s="22"/>
      <c r="ARM290" s="22"/>
      <c r="ARN290" s="22"/>
      <c r="ARO290" s="22"/>
      <c r="ARP290" s="22"/>
      <c r="ARQ290" s="22"/>
      <c r="ARR290" s="22"/>
      <c r="ARS290" s="22"/>
      <c r="ART290" s="22"/>
      <c r="ARU290" s="22"/>
      <c r="ARV290" s="22"/>
      <c r="ARW290" s="22"/>
      <c r="ARX290" s="22"/>
      <c r="ARY290" s="22"/>
      <c r="ARZ290" s="22"/>
      <c r="ASA290" s="22"/>
      <c r="ASB290" s="22"/>
      <c r="ASC290" s="22"/>
      <c r="ASD290" s="22"/>
      <c r="ASE290" s="22"/>
      <c r="ASF290" s="22"/>
      <c r="ASG290" s="22"/>
      <c r="ASH290" s="22"/>
      <c r="ASI290" s="22"/>
      <c r="ASJ290" s="22"/>
      <c r="ASK290" s="22"/>
      <c r="ASL290" s="22"/>
      <c r="ASM290" s="22"/>
      <c r="ASN290" s="22"/>
      <c r="ASO290" s="22"/>
      <c r="ASP290" s="22"/>
      <c r="ASQ290" s="22"/>
      <c r="ASR290" s="22"/>
      <c r="ASS290" s="22"/>
      <c r="AST290" s="22"/>
      <c r="ASU290" s="22"/>
      <c r="ASV290" s="22"/>
      <c r="ASW290" s="22"/>
      <c r="ASX290" s="22"/>
      <c r="ASY290" s="22"/>
      <c r="ASZ290" s="22"/>
      <c r="ATA290" s="22"/>
      <c r="ATB290" s="22"/>
      <c r="ATC290" s="22"/>
      <c r="ATD290" s="22"/>
      <c r="ATE290" s="22"/>
      <c r="ATF290" s="22"/>
      <c r="ATG290" s="22"/>
      <c r="ATH290" s="22"/>
      <c r="ATI290" s="22"/>
      <c r="ATJ290" s="22"/>
      <c r="ATK290" s="22"/>
      <c r="ATL290" s="22"/>
      <c r="ATM290" s="22"/>
      <c r="ATN290" s="22"/>
      <c r="ATO290" s="22"/>
      <c r="ATP290" s="22"/>
      <c r="ATQ290" s="22"/>
      <c r="ATR290" s="22"/>
      <c r="ATS290" s="22"/>
      <c r="ATT290" s="22"/>
      <c r="ATU290" s="22"/>
      <c r="ATV290" s="22"/>
      <c r="ATW290" s="22"/>
      <c r="ATX290" s="22"/>
      <c r="ATY290" s="22"/>
      <c r="ATZ290" s="22"/>
      <c r="AUA290" s="22"/>
      <c r="AUB290" s="22"/>
      <c r="AUC290" s="22"/>
      <c r="AUD290" s="22"/>
      <c r="AUE290" s="22"/>
      <c r="AUF290" s="22"/>
      <c r="AUG290" s="22"/>
      <c r="AUH290" s="22"/>
      <c r="AUI290" s="22"/>
      <c r="AUJ290" s="22"/>
      <c r="AUK290" s="22"/>
      <c r="AUL290" s="22"/>
      <c r="AUM290" s="22"/>
      <c r="AUN290" s="22"/>
      <c r="AUO290" s="22"/>
      <c r="AUP290" s="22"/>
      <c r="AUQ290" s="22"/>
      <c r="AUR290" s="22"/>
      <c r="AUS290" s="22"/>
      <c r="AUT290" s="22"/>
      <c r="AUU290" s="22"/>
      <c r="AUV290" s="22"/>
      <c r="AUW290" s="22"/>
      <c r="AUX290" s="22"/>
      <c r="AUY290" s="22"/>
      <c r="AUZ290" s="22"/>
      <c r="AVA290" s="22"/>
      <c r="AVB290" s="22"/>
      <c r="AVC290" s="22"/>
      <c r="AVD290" s="22"/>
      <c r="AVE290" s="22"/>
      <c r="AVF290" s="22"/>
      <c r="AVG290" s="22"/>
      <c r="AVH290" s="22"/>
      <c r="AVI290" s="22"/>
      <c r="AVJ290" s="22"/>
      <c r="AVK290" s="22"/>
      <c r="AVL290" s="22"/>
      <c r="AVM290" s="22"/>
      <c r="AVN290" s="22"/>
      <c r="AVO290" s="22"/>
      <c r="AVP290" s="22"/>
      <c r="AVQ290" s="22"/>
      <c r="AVR290" s="22"/>
      <c r="AVS290" s="22"/>
      <c r="AVT290" s="22"/>
      <c r="AVU290" s="22"/>
      <c r="AVV290" s="22"/>
      <c r="AVW290" s="22"/>
      <c r="AVX290" s="22"/>
      <c r="AVY290" s="22"/>
      <c r="AVZ290" s="22"/>
      <c r="AWA290" s="22"/>
      <c r="AWB290" s="22"/>
      <c r="AWC290" s="22"/>
      <c r="AWD290" s="22"/>
      <c r="AWE290" s="22"/>
      <c r="AWF290" s="22"/>
      <c r="AWG290" s="22"/>
      <c r="AWH290" s="22"/>
      <c r="AWI290" s="22"/>
      <c r="AWJ290" s="22"/>
      <c r="AWK290" s="22"/>
      <c r="AWL290" s="22"/>
      <c r="AWM290" s="22"/>
      <c r="AWN290" s="22"/>
      <c r="AWO290" s="22"/>
      <c r="AWP290" s="22"/>
      <c r="AWQ290" s="22"/>
      <c r="AWR290" s="22"/>
      <c r="AWS290" s="22"/>
      <c r="AWT290" s="22"/>
      <c r="AWU290" s="22"/>
      <c r="AWV290" s="22"/>
      <c r="AWW290" s="22"/>
      <c r="AWX290" s="22"/>
      <c r="AWY290" s="22"/>
      <c r="AWZ290" s="22"/>
      <c r="AXA290" s="22"/>
      <c r="AXB290" s="22"/>
      <c r="AXC290" s="22"/>
      <c r="AXD290" s="22"/>
      <c r="AXE290" s="22"/>
      <c r="AXF290" s="22"/>
      <c r="AXG290" s="22"/>
      <c r="AXH290" s="22"/>
      <c r="AXI290" s="22"/>
      <c r="AXJ290" s="22"/>
      <c r="AXK290" s="22"/>
      <c r="AXL290" s="22"/>
      <c r="AXM290" s="22"/>
      <c r="AXN290" s="22"/>
      <c r="AXO290" s="22"/>
      <c r="AXP290" s="22"/>
      <c r="AXQ290" s="22"/>
      <c r="AXR290" s="22"/>
      <c r="AXS290" s="22"/>
      <c r="AXT290" s="22"/>
      <c r="AXU290" s="22"/>
      <c r="AXV290" s="22"/>
      <c r="AXW290" s="22"/>
      <c r="AXX290" s="22"/>
      <c r="AXY290" s="22"/>
      <c r="AXZ290" s="22"/>
      <c r="AYA290" s="22"/>
      <c r="AYB290" s="22"/>
      <c r="AYC290" s="22"/>
      <c r="AYD290" s="22"/>
      <c r="AYE290" s="22"/>
      <c r="AYF290" s="22"/>
      <c r="AYG290" s="22"/>
      <c r="AYH290" s="22"/>
      <c r="AYI290" s="22"/>
      <c r="AYJ290" s="22"/>
      <c r="AYK290" s="22"/>
      <c r="AYL290" s="22"/>
      <c r="AYM290" s="22"/>
      <c r="AYN290" s="22"/>
      <c r="AYO290" s="22"/>
      <c r="AYP290" s="22"/>
      <c r="AYQ290" s="22"/>
      <c r="AYR290" s="22"/>
      <c r="AYS290" s="22"/>
      <c r="AYT290" s="22"/>
      <c r="AYU290" s="22"/>
      <c r="AYV290" s="22"/>
      <c r="AYW290" s="22"/>
      <c r="AYX290" s="22"/>
      <c r="AYY290" s="22"/>
      <c r="AYZ290" s="22"/>
      <c r="AZA290" s="22"/>
      <c r="AZB290" s="22"/>
      <c r="AZC290" s="22"/>
      <c r="AZD290" s="22"/>
      <c r="AZE290" s="22"/>
      <c r="AZF290" s="22"/>
      <c r="AZG290" s="22"/>
      <c r="AZH290" s="22"/>
      <c r="AZI290" s="22"/>
      <c r="AZJ290" s="22"/>
      <c r="AZK290" s="22"/>
      <c r="AZL290" s="22"/>
      <c r="AZM290" s="22"/>
      <c r="AZN290" s="22"/>
      <c r="AZO290" s="22"/>
      <c r="AZP290" s="22"/>
      <c r="AZQ290" s="22"/>
      <c r="AZR290" s="22"/>
      <c r="AZS290" s="22"/>
      <c r="AZT290" s="22"/>
      <c r="AZU290" s="22"/>
      <c r="AZV290" s="22"/>
      <c r="AZW290" s="22"/>
      <c r="AZX290" s="22"/>
      <c r="AZY290" s="22"/>
      <c r="AZZ290" s="22"/>
      <c r="BAA290" s="22"/>
      <c r="BAB290" s="22"/>
      <c r="BAC290" s="22"/>
      <c r="BAD290" s="22"/>
      <c r="BAE290" s="22"/>
      <c r="BAF290" s="22"/>
      <c r="BAG290" s="22"/>
      <c r="BAH290" s="22"/>
      <c r="BAI290" s="22"/>
      <c r="BAJ290" s="22"/>
      <c r="BAK290" s="22"/>
      <c r="BAL290" s="22"/>
      <c r="BAM290" s="22"/>
      <c r="BAN290" s="22"/>
      <c r="BAO290" s="22"/>
      <c r="BAP290" s="22"/>
      <c r="BAQ290" s="22"/>
      <c r="BAR290" s="22"/>
      <c r="BAS290" s="22"/>
      <c r="BAT290" s="22"/>
      <c r="BAU290" s="22"/>
      <c r="BAV290" s="22"/>
      <c r="BAW290" s="22"/>
      <c r="BAX290" s="22"/>
      <c r="BAY290" s="22"/>
      <c r="BAZ290" s="22"/>
      <c r="BBA290" s="22"/>
      <c r="BBB290" s="22"/>
      <c r="BBC290" s="22"/>
      <c r="BBD290" s="22"/>
      <c r="BBE290" s="22"/>
      <c r="BBF290" s="22"/>
      <c r="BBG290" s="22"/>
      <c r="BBH290" s="22"/>
      <c r="BBI290" s="22"/>
      <c r="BBJ290" s="22"/>
      <c r="BBK290" s="22"/>
      <c r="BBL290" s="22"/>
      <c r="BBM290" s="22"/>
      <c r="BBN290" s="22"/>
      <c r="BBO290" s="22"/>
      <c r="BBP290" s="22"/>
      <c r="BBQ290" s="22"/>
      <c r="BBR290" s="22"/>
      <c r="BBS290" s="22"/>
      <c r="BBT290" s="22"/>
      <c r="BBU290" s="22"/>
      <c r="BBV290" s="22"/>
      <c r="BBW290" s="22"/>
      <c r="BBX290" s="22"/>
      <c r="BBY290" s="22"/>
      <c r="BBZ290" s="22"/>
      <c r="BCA290" s="22"/>
      <c r="BCB290" s="22"/>
      <c r="BCC290" s="22"/>
      <c r="BCD290" s="22"/>
      <c r="BCE290" s="22"/>
      <c r="BCF290" s="22"/>
      <c r="BCG290" s="22"/>
      <c r="BCH290" s="22"/>
      <c r="BCI290" s="22"/>
      <c r="BCJ290" s="22"/>
      <c r="BCK290" s="22"/>
      <c r="BCL290" s="22"/>
      <c r="BCM290" s="22"/>
      <c r="BCN290" s="22"/>
      <c r="BCO290" s="22"/>
      <c r="BCP290" s="22"/>
      <c r="BCQ290" s="22"/>
      <c r="BCR290" s="22"/>
      <c r="BCS290" s="22"/>
      <c r="BCT290" s="22"/>
      <c r="BCU290" s="22"/>
      <c r="BCV290" s="22"/>
      <c r="BCW290" s="22"/>
      <c r="BCX290" s="22"/>
      <c r="BCY290" s="22"/>
      <c r="BCZ290" s="22"/>
      <c r="BDA290" s="22"/>
      <c r="BDB290" s="22"/>
      <c r="BDC290" s="22"/>
      <c r="BDD290" s="22"/>
      <c r="BDE290" s="22"/>
      <c r="BDF290" s="22"/>
      <c r="BDG290" s="22"/>
      <c r="BDH290" s="22"/>
      <c r="BDI290" s="22"/>
      <c r="BDJ290" s="22"/>
      <c r="BDK290" s="22"/>
      <c r="BDL290" s="22"/>
      <c r="BDM290" s="22"/>
      <c r="BDN290" s="22"/>
      <c r="BDO290" s="22"/>
      <c r="BDP290" s="22"/>
      <c r="BDQ290" s="22"/>
      <c r="BDR290" s="22"/>
      <c r="BDS290" s="22"/>
      <c r="BDT290" s="22"/>
      <c r="BDU290" s="22"/>
      <c r="BDV290" s="22"/>
      <c r="BDW290" s="22"/>
      <c r="BDX290" s="22"/>
      <c r="BDY290" s="22"/>
      <c r="BDZ290" s="22"/>
      <c r="BEA290" s="22"/>
      <c r="BEB290" s="22"/>
      <c r="BEC290" s="22"/>
      <c r="BED290" s="22"/>
      <c r="BEE290" s="22"/>
      <c r="BEF290" s="22"/>
      <c r="BEG290" s="22"/>
      <c r="BEH290" s="22"/>
      <c r="BEI290" s="22"/>
      <c r="BEJ290" s="22"/>
      <c r="BEK290" s="22"/>
      <c r="BEL290" s="22"/>
      <c r="BEM290" s="22"/>
      <c r="BEN290" s="22"/>
      <c r="BEO290" s="22"/>
      <c r="BEP290" s="22"/>
      <c r="BEQ290" s="22"/>
      <c r="BER290" s="22"/>
      <c r="BES290" s="22"/>
      <c r="BET290" s="22"/>
      <c r="BEU290" s="22"/>
      <c r="BEV290" s="22"/>
      <c r="BEW290" s="22"/>
      <c r="BEX290" s="22"/>
      <c r="BEY290" s="22"/>
      <c r="BEZ290" s="22"/>
      <c r="BFA290" s="22"/>
      <c r="BFB290" s="22"/>
      <c r="BFC290" s="22"/>
      <c r="BFD290" s="22"/>
      <c r="BFE290" s="22"/>
      <c r="BFF290" s="22"/>
      <c r="BFG290" s="22"/>
      <c r="BFH290" s="22"/>
      <c r="BFI290" s="22"/>
      <c r="BFJ290" s="22"/>
      <c r="BFK290" s="22"/>
      <c r="BFL290" s="22"/>
      <c r="BFM290" s="22"/>
      <c r="BFN290" s="22"/>
      <c r="BFO290" s="22"/>
      <c r="BFP290" s="22"/>
      <c r="BFQ290" s="22"/>
      <c r="BFR290" s="22"/>
      <c r="BFS290" s="22"/>
      <c r="BFT290" s="22"/>
      <c r="BFU290" s="22"/>
      <c r="BFV290" s="22"/>
      <c r="BFW290" s="22"/>
      <c r="BFX290" s="22"/>
      <c r="BFY290" s="22"/>
      <c r="BFZ290" s="22"/>
      <c r="BGA290" s="22"/>
      <c r="BGB290" s="22"/>
      <c r="BGC290" s="22"/>
      <c r="BGD290" s="22"/>
      <c r="BGE290" s="22"/>
      <c r="BGF290" s="22"/>
      <c r="BGG290" s="22"/>
      <c r="BGH290" s="22"/>
      <c r="BGI290" s="22"/>
      <c r="BGJ290" s="22"/>
      <c r="BGK290" s="22"/>
      <c r="BGL290" s="22"/>
      <c r="BGM290" s="22"/>
      <c r="BGN290" s="22"/>
      <c r="BGO290" s="22"/>
      <c r="BGP290" s="22"/>
      <c r="BGQ290" s="22"/>
      <c r="BGR290" s="22"/>
      <c r="BGS290" s="22"/>
      <c r="BGT290" s="22"/>
      <c r="BGU290" s="22"/>
      <c r="BGV290" s="22"/>
      <c r="BGW290" s="22"/>
      <c r="BGX290" s="22"/>
      <c r="BGY290" s="22"/>
      <c r="BGZ290" s="22"/>
      <c r="BHA290" s="22"/>
      <c r="BHB290" s="22"/>
      <c r="BHC290" s="22"/>
      <c r="BHD290" s="22"/>
      <c r="BHE290" s="22"/>
      <c r="BHF290" s="22"/>
      <c r="BHG290" s="22"/>
      <c r="BHH290" s="22"/>
      <c r="BHI290" s="22"/>
      <c r="BHJ290" s="22"/>
      <c r="BHK290" s="22"/>
      <c r="BHL290" s="22"/>
      <c r="BHM290" s="22"/>
      <c r="BHN290" s="22"/>
      <c r="BHO290" s="22"/>
      <c r="BHP290" s="22"/>
      <c r="BHQ290" s="22"/>
      <c r="BHR290" s="22"/>
      <c r="BHS290" s="22"/>
      <c r="BHT290" s="22"/>
      <c r="BHU290" s="22"/>
      <c r="BHV290" s="22"/>
      <c r="BHW290" s="22"/>
      <c r="BHX290" s="22"/>
      <c r="BHY290" s="22"/>
      <c r="BHZ290" s="22"/>
      <c r="BIA290" s="22"/>
      <c r="BIB290" s="22"/>
      <c r="BIC290" s="22"/>
      <c r="BID290" s="22"/>
      <c r="BIE290" s="22"/>
      <c r="BIF290" s="22"/>
      <c r="BIG290" s="22"/>
      <c r="BIH290" s="22"/>
      <c r="BII290" s="22"/>
      <c r="BIJ290" s="22"/>
      <c r="BIK290" s="22"/>
      <c r="BIL290" s="22"/>
      <c r="BIM290" s="22"/>
      <c r="BIN290" s="22"/>
      <c r="BIO290" s="22"/>
      <c r="BIP290" s="22"/>
      <c r="BIQ290" s="22"/>
      <c r="BIR290" s="22"/>
      <c r="BIS290" s="22"/>
      <c r="BIT290" s="22"/>
      <c r="BIU290" s="22"/>
      <c r="BIV290" s="22"/>
      <c r="BIW290" s="22"/>
      <c r="BIX290" s="22"/>
      <c r="BIY290" s="22"/>
      <c r="BIZ290" s="22"/>
      <c r="BJA290" s="22"/>
      <c r="BJB290" s="22"/>
      <c r="BJC290" s="22"/>
      <c r="BJD290" s="22"/>
      <c r="BJE290" s="22"/>
      <c r="BJF290" s="22"/>
      <c r="BJG290" s="22"/>
      <c r="BJH290" s="22"/>
      <c r="BJI290" s="22"/>
      <c r="BJJ290" s="22"/>
      <c r="BJK290" s="22"/>
      <c r="BJL290" s="22"/>
      <c r="BJM290" s="22"/>
      <c r="BJN290" s="22"/>
      <c r="BJO290" s="22"/>
      <c r="BJP290" s="22"/>
      <c r="BJQ290" s="22"/>
      <c r="BJR290" s="22"/>
      <c r="BJS290" s="22"/>
      <c r="BJT290" s="22"/>
      <c r="BJU290" s="22"/>
      <c r="BJV290" s="22"/>
      <c r="BJW290" s="22"/>
      <c r="BJX290" s="22"/>
      <c r="BJY290" s="22"/>
      <c r="BJZ290" s="22"/>
      <c r="BKA290" s="22"/>
      <c r="BKB290" s="22"/>
      <c r="BKC290" s="22"/>
      <c r="BKD290" s="22"/>
      <c r="BKE290" s="22"/>
      <c r="BKF290" s="22"/>
      <c r="BKG290" s="22"/>
      <c r="BKH290" s="22"/>
      <c r="BKI290" s="22"/>
      <c r="BKJ290" s="22"/>
      <c r="BKK290" s="22"/>
      <c r="BKL290" s="22"/>
      <c r="BKM290" s="22"/>
      <c r="BKN290" s="22"/>
      <c r="BKO290" s="22"/>
      <c r="BKP290" s="22"/>
      <c r="BKQ290" s="22"/>
      <c r="BKR290" s="22"/>
      <c r="BKS290" s="22"/>
      <c r="BKT290" s="22"/>
      <c r="BKU290" s="22"/>
      <c r="BKV290" s="22"/>
      <c r="BKW290" s="22"/>
      <c r="BKX290" s="22"/>
      <c r="BKY290" s="22"/>
      <c r="BKZ290" s="22"/>
      <c r="BLA290" s="22"/>
      <c r="BLB290" s="22"/>
      <c r="BLC290" s="22"/>
      <c r="BLD290" s="22"/>
      <c r="BLE290" s="22"/>
      <c r="BLF290" s="22"/>
      <c r="BLG290" s="22"/>
      <c r="BLH290" s="22"/>
      <c r="BLI290" s="22"/>
      <c r="BLJ290" s="22"/>
      <c r="BLK290" s="22"/>
      <c r="BLL290" s="22"/>
      <c r="BLM290" s="22"/>
      <c r="BLN290" s="22"/>
      <c r="BLO290" s="22"/>
      <c r="BLP290" s="22"/>
      <c r="BLQ290" s="22"/>
      <c r="BLR290" s="22"/>
      <c r="BLS290" s="22"/>
      <c r="BLT290" s="22"/>
      <c r="BLU290" s="22"/>
      <c r="BLV290" s="22"/>
      <c r="BLW290" s="22"/>
      <c r="BLX290" s="22"/>
      <c r="BLY290" s="22"/>
      <c r="BLZ290" s="22"/>
      <c r="BMA290" s="22"/>
      <c r="BMB290" s="22"/>
      <c r="BMC290" s="22"/>
      <c r="BMD290" s="22"/>
      <c r="BME290" s="22"/>
      <c r="BMF290" s="22"/>
      <c r="BMG290" s="22"/>
      <c r="BMH290" s="22"/>
      <c r="BMI290" s="22"/>
      <c r="BMJ290" s="22"/>
      <c r="BMK290" s="22"/>
      <c r="BML290" s="22"/>
      <c r="BMM290" s="22"/>
      <c r="BMN290" s="22"/>
      <c r="BMO290" s="22"/>
      <c r="BMP290" s="22"/>
      <c r="BMQ290" s="22"/>
      <c r="BMR290" s="22"/>
      <c r="BMS290" s="22"/>
      <c r="BMT290" s="22"/>
      <c r="BMU290" s="22"/>
      <c r="BMV290" s="22"/>
      <c r="BMW290" s="22"/>
      <c r="BMX290" s="22"/>
      <c r="BMY290" s="22"/>
      <c r="BMZ290" s="22"/>
      <c r="BNA290" s="22"/>
      <c r="BNB290" s="22"/>
      <c r="BNC290" s="22"/>
      <c r="BND290" s="22"/>
      <c r="BNE290" s="22"/>
      <c r="BNF290" s="22"/>
      <c r="BNG290" s="22"/>
      <c r="BNH290" s="22"/>
      <c r="BNI290" s="22"/>
      <c r="BNJ290" s="22"/>
      <c r="BNK290" s="22"/>
      <c r="BNL290" s="22"/>
      <c r="BNM290" s="22"/>
      <c r="BNN290" s="22"/>
      <c r="BNO290" s="22"/>
      <c r="BNP290" s="22"/>
      <c r="BNQ290" s="22"/>
      <c r="BNR290" s="22"/>
      <c r="BNS290" s="22"/>
      <c r="BNT290" s="22"/>
      <c r="BNU290" s="22"/>
      <c r="BNV290" s="22"/>
      <c r="BNW290" s="22"/>
      <c r="BNX290" s="22"/>
      <c r="BNY290" s="22"/>
      <c r="BNZ290" s="22"/>
      <c r="BOA290" s="22"/>
      <c r="BOB290" s="22"/>
      <c r="BOC290" s="22"/>
      <c r="BOD290" s="22"/>
      <c r="BOE290" s="22"/>
      <c r="BOF290" s="22"/>
      <c r="BOG290" s="22"/>
      <c r="BOH290" s="22"/>
      <c r="BOI290" s="22"/>
      <c r="BOJ290" s="22"/>
      <c r="BOK290" s="22"/>
      <c r="BOL290" s="22"/>
      <c r="BOM290" s="22"/>
      <c r="BON290" s="22"/>
      <c r="BOO290" s="22"/>
      <c r="BOP290" s="22"/>
      <c r="BOQ290" s="22"/>
      <c r="BOR290" s="22"/>
      <c r="BOS290" s="22"/>
      <c r="BOT290" s="22"/>
      <c r="BOU290" s="22"/>
      <c r="BOV290" s="22"/>
      <c r="BOW290" s="22"/>
      <c r="BOX290" s="22"/>
      <c r="BOY290" s="22"/>
      <c r="BOZ290" s="22"/>
      <c r="BPA290" s="22"/>
      <c r="BPB290" s="22"/>
      <c r="BPC290" s="22"/>
      <c r="BPD290" s="22"/>
      <c r="BPE290" s="22"/>
      <c r="BPF290" s="22"/>
      <c r="BPG290" s="22"/>
      <c r="BPH290" s="22"/>
      <c r="BPI290" s="22"/>
      <c r="BPJ290" s="22"/>
      <c r="BPK290" s="22"/>
      <c r="BPL290" s="22"/>
      <c r="BPM290" s="22"/>
      <c r="BPN290" s="22"/>
      <c r="BPO290" s="22"/>
      <c r="BPP290" s="22"/>
      <c r="BPQ290" s="22"/>
      <c r="BPR290" s="22"/>
      <c r="BPS290" s="22"/>
      <c r="BPT290" s="22"/>
      <c r="BPU290" s="22"/>
      <c r="BPV290" s="22"/>
      <c r="BPW290" s="22"/>
      <c r="BPX290" s="22"/>
      <c r="BPY290" s="22"/>
      <c r="BPZ290" s="22"/>
      <c r="BQA290" s="22"/>
      <c r="BQB290" s="22"/>
      <c r="BQC290" s="22"/>
      <c r="BQD290" s="22"/>
      <c r="BQE290" s="22"/>
      <c r="BQF290" s="22"/>
      <c r="BQG290" s="22"/>
      <c r="BQH290" s="22"/>
      <c r="BQI290" s="22"/>
      <c r="BQJ290" s="22"/>
      <c r="BQK290" s="22"/>
      <c r="BQL290" s="22"/>
      <c r="BQM290" s="22"/>
      <c r="BQN290" s="22"/>
      <c r="BQO290" s="22"/>
      <c r="BQP290" s="22"/>
      <c r="BQQ290" s="22"/>
      <c r="BQR290" s="22"/>
      <c r="BQS290" s="22"/>
      <c r="BQT290" s="22"/>
      <c r="BQU290" s="22"/>
      <c r="BQV290" s="22"/>
      <c r="BQW290" s="22"/>
      <c r="BQX290" s="22"/>
      <c r="BQY290" s="22"/>
      <c r="BQZ290" s="22"/>
      <c r="BRA290" s="22"/>
      <c r="BRB290" s="22"/>
      <c r="BRC290" s="22"/>
      <c r="BRD290" s="22"/>
      <c r="BRE290" s="22"/>
      <c r="BRF290" s="22"/>
      <c r="BRG290" s="22"/>
      <c r="BRH290" s="22"/>
      <c r="BRI290" s="22"/>
      <c r="BRJ290" s="22"/>
      <c r="BRK290" s="22"/>
      <c r="BRL290" s="22"/>
      <c r="BRM290" s="22"/>
      <c r="BRN290" s="22"/>
      <c r="BRO290" s="22"/>
      <c r="BRP290" s="22"/>
      <c r="BRQ290" s="22"/>
      <c r="BRR290" s="22"/>
      <c r="BRS290" s="22"/>
      <c r="BRT290" s="22"/>
      <c r="BRU290" s="22"/>
      <c r="BRV290" s="22"/>
      <c r="BRW290" s="22"/>
      <c r="BRX290" s="22"/>
      <c r="BRY290" s="22"/>
      <c r="BRZ290" s="22"/>
      <c r="BSA290" s="22"/>
      <c r="BSB290" s="22"/>
      <c r="BSC290" s="22"/>
      <c r="BSD290" s="22"/>
      <c r="BSE290" s="22"/>
      <c r="BSF290" s="22"/>
      <c r="BSG290" s="22"/>
      <c r="BSH290" s="22"/>
      <c r="BSI290" s="22"/>
      <c r="BSJ290" s="22"/>
      <c r="BSK290" s="22"/>
      <c r="BSL290" s="22"/>
      <c r="BSM290" s="22"/>
      <c r="BSN290" s="22"/>
      <c r="BSO290" s="22"/>
      <c r="BSP290" s="22"/>
      <c r="BSQ290" s="22"/>
      <c r="BSR290" s="22"/>
      <c r="BSS290" s="22"/>
      <c r="BST290" s="22"/>
      <c r="BSU290" s="22"/>
      <c r="BSV290" s="22"/>
      <c r="BSW290" s="22"/>
      <c r="BSX290" s="22"/>
      <c r="BSY290" s="22"/>
      <c r="BSZ290" s="22"/>
      <c r="BTA290" s="22"/>
      <c r="BTB290" s="22"/>
      <c r="BTC290" s="22"/>
      <c r="BTD290" s="22"/>
      <c r="BTE290" s="22"/>
      <c r="BTF290" s="22"/>
      <c r="BTG290" s="22"/>
      <c r="BTH290" s="22"/>
      <c r="BTI290" s="22"/>
      <c r="BTJ290" s="22"/>
      <c r="BTK290" s="22"/>
      <c r="BTL290" s="22"/>
      <c r="BTM290" s="22"/>
      <c r="BTN290" s="22"/>
      <c r="BTO290" s="22"/>
      <c r="BTP290" s="22"/>
      <c r="BTQ290" s="22"/>
      <c r="BTR290" s="22"/>
      <c r="BTS290" s="22"/>
      <c r="BTT290" s="22"/>
      <c r="BTU290" s="22"/>
      <c r="BTV290" s="22"/>
      <c r="BTW290" s="22"/>
      <c r="BTX290" s="22"/>
      <c r="BTY290" s="22"/>
      <c r="BTZ290" s="22"/>
      <c r="BUA290" s="22"/>
      <c r="BUB290" s="22"/>
      <c r="BUC290" s="22"/>
      <c r="BUD290" s="22"/>
      <c r="BUE290" s="22"/>
      <c r="BUF290" s="22"/>
      <c r="BUG290" s="22"/>
      <c r="BUH290" s="22"/>
      <c r="BUI290" s="22"/>
      <c r="BUJ290" s="22"/>
      <c r="BUK290" s="22"/>
      <c r="BUL290" s="22"/>
      <c r="BUM290" s="22"/>
      <c r="BUN290" s="22"/>
      <c r="BUO290" s="22"/>
      <c r="BUP290" s="22"/>
      <c r="BUQ290" s="22"/>
      <c r="BUR290" s="22"/>
      <c r="BUS290" s="22"/>
      <c r="BUT290" s="22"/>
      <c r="BUU290" s="22"/>
      <c r="BUV290" s="22"/>
      <c r="BUW290" s="22"/>
      <c r="BUX290" s="22"/>
      <c r="BUY290" s="22"/>
      <c r="BUZ290" s="22"/>
      <c r="BVA290" s="22"/>
      <c r="BVB290" s="22"/>
      <c r="BVC290" s="22"/>
      <c r="BVD290" s="22"/>
      <c r="BVE290" s="22"/>
      <c r="BVF290" s="22"/>
      <c r="BVG290" s="22"/>
      <c r="BVH290" s="22"/>
      <c r="BVI290" s="22"/>
      <c r="BVJ290" s="22"/>
      <c r="BVK290" s="22"/>
      <c r="BVL290" s="22"/>
      <c r="BVM290" s="22"/>
      <c r="BVN290" s="22"/>
      <c r="BVO290" s="22"/>
      <c r="BVP290" s="22"/>
      <c r="BVQ290" s="22"/>
      <c r="BVR290" s="22"/>
      <c r="BVS290" s="22"/>
      <c r="BVT290" s="22"/>
      <c r="BVU290" s="22"/>
      <c r="BVV290" s="22"/>
      <c r="BVW290" s="22"/>
      <c r="BVX290" s="22"/>
      <c r="BVY290" s="22"/>
      <c r="BVZ290" s="22"/>
      <c r="BWA290" s="22"/>
      <c r="BWB290" s="22"/>
      <c r="BWC290" s="22"/>
      <c r="BWD290" s="22"/>
      <c r="BWE290" s="22"/>
      <c r="BWF290" s="22"/>
      <c r="BWG290" s="22"/>
      <c r="BWH290" s="22"/>
      <c r="BWI290" s="22"/>
      <c r="BWJ290" s="22"/>
      <c r="BWK290" s="22"/>
      <c r="BWL290" s="22"/>
      <c r="BWM290" s="22"/>
      <c r="BWN290" s="22"/>
      <c r="BWO290" s="22"/>
      <c r="BWP290" s="22"/>
      <c r="BWQ290" s="22"/>
      <c r="BWR290" s="22"/>
      <c r="BWS290" s="22"/>
      <c r="BWT290" s="22"/>
      <c r="BWU290" s="22"/>
      <c r="BWV290" s="22"/>
      <c r="BWW290" s="22"/>
      <c r="BWX290" s="22"/>
      <c r="BWY290" s="22"/>
      <c r="BWZ290" s="22"/>
      <c r="BXA290" s="22"/>
      <c r="BXB290" s="22"/>
      <c r="BXC290" s="22"/>
      <c r="BXD290" s="22"/>
      <c r="BXE290" s="22"/>
      <c r="BXF290" s="22"/>
      <c r="BXG290" s="22"/>
      <c r="BXH290" s="22"/>
      <c r="BXI290" s="22"/>
      <c r="BXJ290" s="22"/>
      <c r="BXK290" s="22"/>
      <c r="BXL290" s="22"/>
      <c r="BXM290" s="22"/>
      <c r="BXN290" s="22"/>
      <c r="BXO290" s="22"/>
      <c r="BXP290" s="22"/>
      <c r="BXQ290" s="22"/>
      <c r="BXR290" s="22"/>
      <c r="BXS290" s="22"/>
      <c r="BXT290" s="22"/>
      <c r="BXU290" s="22"/>
      <c r="BXV290" s="22"/>
      <c r="BXW290" s="22"/>
      <c r="BXX290" s="22"/>
      <c r="BXY290" s="22"/>
      <c r="BXZ290" s="22"/>
      <c r="BYA290" s="22"/>
      <c r="BYB290" s="22"/>
      <c r="BYC290" s="22"/>
      <c r="BYD290" s="22"/>
      <c r="BYE290" s="22"/>
      <c r="BYF290" s="22"/>
      <c r="BYG290" s="22"/>
      <c r="BYH290" s="22"/>
      <c r="BYI290" s="22"/>
      <c r="BYJ290" s="22"/>
      <c r="BYK290" s="22"/>
      <c r="BYL290" s="22"/>
      <c r="BYM290" s="22"/>
      <c r="BYN290" s="22"/>
      <c r="BYO290" s="22"/>
      <c r="BYP290" s="22"/>
      <c r="BYQ290" s="22"/>
      <c r="BYR290" s="22"/>
      <c r="BYS290" s="22"/>
      <c r="BYT290" s="22"/>
      <c r="BYU290" s="22"/>
      <c r="BYV290" s="22"/>
      <c r="BYW290" s="22"/>
      <c r="BYX290" s="22"/>
      <c r="BYY290" s="22"/>
      <c r="BYZ290" s="22"/>
      <c r="BZA290" s="22"/>
      <c r="BZB290" s="22"/>
      <c r="BZC290" s="22"/>
      <c r="BZD290" s="22"/>
      <c r="BZE290" s="22"/>
      <c r="BZF290" s="22"/>
      <c r="BZG290" s="22"/>
      <c r="BZH290" s="22"/>
      <c r="BZI290" s="22"/>
      <c r="BZJ290" s="22"/>
      <c r="BZK290" s="22"/>
      <c r="BZL290" s="22"/>
      <c r="BZM290" s="22"/>
      <c r="BZN290" s="22"/>
      <c r="BZO290" s="22"/>
      <c r="BZP290" s="22"/>
      <c r="BZQ290" s="22"/>
      <c r="BZR290" s="22"/>
      <c r="BZS290" s="22"/>
      <c r="BZT290" s="22"/>
      <c r="BZU290" s="22"/>
      <c r="BZV290" s="22"/>
      <c r="BZW290" s="22"/>
      <c r="BZX290" s="22"/>
      <c r="BZY290" s="22"/>
      <c r="BZZ290" s="22"/>
      <c r="CAA290" s="22"/>
      <c r="CAB290" s="22"/>
      <c r="CAC290" s="22"/>
      <c r="CAD290" s="22"/>
      <c r="CAE290" s="22"/>
      <c r="CAF290" s="22"/>
      <c r="CAG290" s="22"/>
      <c r="CAH290" s="22"/>
      <c r="CAI290" s="22"/>
      <c r="CAJ290" s="22"/>
      <c r="CAK290" s="22"/>
      <c r="CAL290" s="22"/>
      <c r="CAM290" s="22"/>
      <c r="CAN290" s="22"/>
      <c r="CAO290" s="22"/>
      <c r="CAP290" s="22"/>
      <c r="CAQ290" s="22"/>
      <c r="CAR290" s="22"/>
      <c r="CAS290" s="22"/>
      <c r="CAT290" s="22"/>
      <c r="CAU290" s="22"/>
      <c r="CAV290" s="22"/>
      <c r="CAW290" s="22"/>
      <c r="CAX290" s="22"/>
      <c r="CAY290" s="22"/>
      <c r="CAZ290" s="22"/>
      <c r="CBA290" s="22"/>
      <c r="CBB290" s="22"/>
      <c r="CBC290" s="22"/>
      <c r="CBD290" s="22"/>
      <c r="CBE290" s="22"/>
      <c r="CBF290" s="22"/>
      <c r="CBG290" s="22"/>
      <c r="CBH290" s="22"/>
      <c r="CBI290" s="22"/>
      <c r="CBJ290" s="22"/>
      <c r="CBK290" s="22"/>
      <c r="CBL290" s="22"/>
      <c r="CBM290" s="22"/>
      <c r="CBN290" s="22"/>
      <c r="CBO290" s="22"/>
      <c r="CBP290" s="22"/>
      <c r="CBQ290" s="22"/>
      <c r="CBR290" s="22"/>
      <c r="CBS290" s="22"/>
      <c r="CBT290" s="22"/>
      <c r="CBU290" s="22"/>
      <c r="CBV290" s="22"/>
      <c r="CBW290" s="22"/>
      <c r="CBX290" s="22"/>
      <c r="CBY290" s="22"/>
      <c r="CBZ290" s="22"/>
      <c r="CCA290" s="22"/>
      <c r="CCB290" s="22"/>
      <c r="CCC290" s="22"/>
      <c r="CCD290" s="22"/>
      <c r="CCE290" s="22"/>
      <c r="CCF290" s="22"/>
      <c r="CCG290" s="22"/>
      <c r="CCH290" s="22"/>
      <c r="CCI290" s="22"/>
      <c r="CCJ290" s="22"/>
      <c r="CCK290" s="22"/>
      <c r="CCL290" s="22"/>
      <c r="CCM290" s="22"/>
      <c r="CCN290" s="22"/>
      <c r="CCO290" s="22"/>
      <c r="CCP290" s="22"/>
      <c r="CCQ290" s="22"/>
      <c r="CCR290" s="22"/>
      <c r="CCS290" s="22"/>
      <c r="CCT290" s="22"/>
      <c r="CCU290" s="22"/>
      <c r="CCV290" s="22"/>
      <c r="CCW290" s="22"/>
      <c r="CCX290" s="22"/>
      <c r="CCY290" s="22"/>
      <c r="CCZ290" s="22"/>
      <c r="CDA290" s="22"/>
      <c r="CDB290" s="22"/>
      <c r="CDC290" s="22"/>
      <c r="CDD290" s="22"/>
      <c r="CDE290" s="22"/>
      <c r="CDF290" s="22"/>
      <c r="CDG290" s="22"/>
      <c r="CDH290" s="22"/>
      <c r="CDI290" s="22"/>
      <c r="CDJ290" s="22"/>
      <c r="CDK290" s="22"/>
      <c r="CDL290" s="22"/>
      <c r="CDM290" s="22"/>
      <c r="CDN290" s="22"/>
      <c r="CDO290" s="22"/>
      <c r="CDP290" s="22"/>
      <c r="CDQ290" s="22"/>
      <c r="CDR290" s="22"/>
      <c r="CDS290" s="22"/>
      <c r="CDT290" s="22"/>
      <c r="CDU290" s="22"/>
      <c r="CDV290" s="22"/>
      <c r="CDW290" s="22"/>
      <c r="CDX290" s="22"/>
      <c r="CDY290" s="22"/>
      <c r="CDZ290" s="22"/>
      <c r="CEA290" s="22"/>
      <c r="CEB290" s="22"/>
      <c r="CEC290" s="22"/>
      <c r="CED290" s="22"/>
      <c r="CEE290" s="22"/>
      <c r="CEF290" s="22"/>
      <c r="CEG290" s="22"/>
      <c r="CEH290" s="22"/>
      <c r="CEI290" s="22"/>
      <c r="CEJ290" s="22"/>
      <c r="CEK290" s="22"/>
      <c r="CEL290" s="22"/>
      <c r="CEM290" s="22"/>
      <c r="CEN290" s="22"/>
      <c r="CEO290" s="22"/>
      <c r="CEP290" s="22"/>
      <c r="CEQ290" s="22"/>
      <c r="CER290" s="22"/>
      <c r="CES290" s="22"/>
      <c r="CET290" s="22"/>
      <c r="CEU290" s="22"/>
      <c r="CEV290" s="22"/>
      <c r="CEW290" s="22"/>
      <c r="CEX290" s="22"/>
      <c r="CEY290" s="22"/>
      <c r="CEZ290" s="22"/>
      <c r="CFA290" s="22"/>
      <c r="CFB290" s="22"/>
      <c r="CFC290" s="22"/>
      <c r="CFD290" s="22"/>
      <c r="CFE290" s="22"/>
      <c r="CFF290" s="22"/>
      <c r="CFG290" s="22"/>
      <c r="CFH290" s="22"/>
      <c r="CFI290" s="22"/>
      <c r="CFJ290" s="22"/>
      <c r="CFK290" s="22"/>
      <c r="CFL290" s="22"/>
      <c r="CFM290" s="22"/>
      <c r="CFN290" s="22"/>
      <c r="CFO290" s="22"/>
      <c r="CFP290" s="22"/>
      <c r="CFQ290" s="22"/>
      <c r="CFR290" s="22"/>
      <c r="CFS290" s="22"/>
      <c r="CFT290" s="22"/>
      <c r="CFU290" s="22"/>
      <c r="CFV290" s="22"/>
      <c r="CFW290" s="22"/>
      <c r="CFX290" s="22"/>
      <c r="CFY290" s="22"/>
      <c r="CFZ290" s="22"/>
      <c r="CGA290" s="22"/>
      <c r="CGB290" s="22"/>
      <c r="CGC290" s="22"/>
      <c r="CGD290" s="22"/>
      <c r="CGE290" s="22"/>
      <c r="CGF290" s="22"/>
      <c r="CGG290" s="22"/>
      <c r="CGH290" s="22"/>
      <c r="CGI290" s="22"/>
      <c r="CGJ290" s="22"/>
      <c r="CGK290" s="22"/>
      <c r="CGL290" s="22"/>
      <c r="CGM290" s="22"/>
      <c r="CGN290" s="22"/>
      <c r="CGO290" s="22"/>
      <c r="CGP290" s="22"/>
      <c r="CGQ290" s="22"/>
      <c r="CGR290" s="22"/>
      <c r="CGS290" s="22"/>
      <c r="CGT290" s="22"/>
      <c r="CGU290" s="22"/>
      <c r="CGV290" s="22"/>
      <c r="CGW290" s="22"/>
      <c r="CGX290" s="22"/>
      <c r="CGY290" s="22"/>
      <c r="CGZ290" s="22"/>
      <c r="CHA290" s="22"/>
      <c r="CHB290" s="22"/>
      <c r="CHC290" s="22"/>
      <c r="CHD290" s="22"/>
      <c r="CHE290" s="22"/>
      <c r="CHF290" s="22"/>
      <c r="CHG290" s="22"/>
      <c r="CHH290" s="22"/>
      <c r="CHI290" s="22"/>
      <c r="CHJ290" s="22"/>
      <c r="CHK290" s="22"/>
      <c r="CHL290" s="22"/>
      <c r="CHM290" s="22"/>
      <c r="CHN290" s="22"/>
      <c r="CHO290" s="22"/>
      <c r="CHP290" s="22"/>
      <c r="CHQ290" s="22"/>
      <c r="CHR290" s="22"/>
      <c r="CHS290" s="22"/>
      <c r="CHT290" s="22"/>
      <c r="CHU290" s="22"/>
      <c r="CHV290" s="22"/>
      <c r="CHW290" s="22"/>
      <c r="CHX290" s="22"/>
      <c r="CHY290" s="22"/>
      <c r="CHZ290" s="22"/>
      <c r="CIA290" s="22"/>
      <c r="CIB290" s="22"/>
      <c r="CIC290" s="22"/>
      <c r="CID290" s="22"/>
      <c r="CIE290" s="22"/>
      <c r="CIF290" s="22"/>
      <c r="CIG290" s="22"/>
      <c r="CIH290" s="22"/>
      <c r="CII290" s="22"/>
      <c r="CIJ290" s="22"/>
      <c r="CIK290" s="22"/>
      <c r="CIL290" s="22"/>
      <c r="CIM290" s="22"/>
      <c r="CIN290" s="22"/>
      <c r="CIO290" s="22"/>
      <c r="CIP290" s="22"/>
      <c r="CIQ290" s="22"/>
      <c r="CIR290" s="22"/>
      <c r="CIS290" s="22"/>
      <c r="CIT290" s="22"/>
      <c r="CIU290" s="22"/>
      <c r="CIV290" s="22"/>
      <c r="CIW290" s="22"/>
      <c r="CIX290" s="22"/>
      <c r="CIY290" s="22"/>
      <c r="CIZ290" s="22"/>
      <c r="CJA290" s="22"/>
      <c r="CJB290" s="22"/>
      <c r="CJC290" s="22"/>
      <c r="CJD290" s="22"/>
      <c r="CJE290" s="22"/>
      <c r="CJF290" s="22"/>
      <c r="CJG290" s="22"/>
      <c r="CJH290" s="22"/>
      <c r="CJI290" s="22"/>
      <c r="CJJ290" s="22"/>
      <c r="CJK290" s="22"/>
      <c r="CJL290" s="22"/>
      <c r="CJM290" s="22"/>
      <c r="CJN290" s="22"/>
      <c r="CJO290" s="22"/>
      <c r="CJP290" s="22"/>
      <c r="CJQ290" s="22"/>
      <c r="CJR290" s="22"/>
      <c r="CJS290" s="22"/>
      <c r="CJT290" s="22"/>
      <c r="CJU290" s="22"/>
      <c r="CJV290" s="22"/>
      <c r="CJW290" s="22"/>
      <c r="CJX290" s="22"/>
      <c r="CJY290" s="22"/>
      <c r="CJZ290" s="22"/>
      <c r="CKA290" s="22"/>
      <c r="CKB290" s="22"/>
      <c r="CKC290" s="22"/>
      <c r="CKD290" s="22"/>
      <c r="CKE290" s="22"/>
      <c r="CKF290" s="22"/>
      <c r="CKG290" s="22"/>
      <c r="CKH290" s="22"/>
      <c r="CKI290" s="22"/>
      <c r="CKJ290" s="22"/>
      <c r="CKK290" s="22"/>
      <c r="CKL290" s="22"/>
      <c r="CKM290" s="22"/>
      <c r="CKN290" s="22"/>
      <c r="CKO290" s="22"/>
      <c r="CKP290" s="22"/>
      <c r="CKQ290" s="22"/>
      <c r="CKR290" s="22"/>
      <c r="CKS290" s="22"/>
      <c r="CKT290" s="22"/>
      <c r="CKU290" s="22"/>
      <c r="CKV290" s="22"/>
      <c r="CKW290" s="22"/>
      <c r="CKX290" s="22"/>
      <c r="CKY290" s="22"/>
      <c r="CKZ290" s="22"/>
      <c r="CLA290" s="22"/>
      <c r="CLB290" s="22"/>
      <c r="CLC290" s="22"/>
      <c r="CLD290" s="22"/>
      <c r="CLE290" s="22"/>
      <c r="CLF290" s="22"/>
      <c r="CLG290" s="22"/>
      <c r="CLH290" s="22"/>
      <c r="CLI290" s="22"/>
      <c r="CLJ290" s="22"/>
      <c r="CLK290" s="22"/>
      <c r="CLL290" s="22"/>
      <c r="CLM290" s="22"/>
      <c r="CLN290" s="22"/>
      <c r="CLO290" s="22"/>
      <c r="CLP290" s="22"/>
      <c r="CLQ290" s="22"/>
      <c r="CLR290" s="22"/>
      <c r="CLS290" s="22"/>
      <c r="CLT290" s="22"/>
      <c r="CLU290" s="22"/>
      <c r="CLV290" s="22"/>
      <c r="CLW290" s="22"/>
      <c r="CLX290" s="22"/>
      <c r="CLY290" s="22"/>
      <c r="CLZ290" s="22"/>
      <c r="CMA290" s="22"/>
      <c r="CMB290" s="22"/>
      <c r="CMC290" s="22"/>
      <c r="CMD290" s="22"/>
      <c r="CME290" s="22"/>
      <c r="CMF290" s="22"/>
      <c r="CMG290" s="22"/>
      <c r="CMH290" s="22"/>
      <c r="CMI290" s="22"/>
      <c r="CMJ290" s="22"/>
      <c r="CMK290" s="22"/>
      <c r="CML290" s="22"/>
      <c r="CMM290" s="22"/>
      <c r="CMN290" s="22"/>
      <c r="CMO290" s="22"/>
      <c r="CMP290" s="22"/>
      <c r="CMQ290" s="22"/>
      <c r="CMR290" s="22"/>
      <c r="CMS290" s="22"/>
      <c r="CMT290" s="22"/>
      <c r="CMU290" s="22"/>
      <c r="CMV290" s="22"/>
      <c r="CMW290" s="22"/>
      <c r="CMX290" s="22"/>
      <c r="CMY290" s="22"/>
      <c r="CMZ290" s="22"/>
      <c r="CNA290" s="22"/>
      <c r="CNB290" s="22"/>
      <c r="CNC290" s="22"/>
      <c r="CND290" s="22"/>
      <c r="CNE290" s="22"/>
      <c r="CNF290" s="22"/>
      <c r="CNG290" s="22"/>
      <c r="CNH290" s="22"/>
      <c r="CNI290" s="22"/>
      <c r="CNJ290" s="22"/>
      <c r="CNK290" s="22"/>
      <c r="CNL290" s="22"/>
      <c r="CNM290" s="22"/>
      <c r="CNN290" s="22"/>
      <c r="CNO290" s="22"/>
      <c r="CNP290" s="22"/>
      <c r="CNQ290" s="22"/>
      <c r="CNR290" s="22"/>
      <c r="CNS290" s="22"/>
      <c r="CNT290" s="22"/>
      <c r="CNU290" s="22"/>
      <c r="CNV290" s="22"/>
      <c r="CNW290" s="22"/>
      <c r="CNX290" s="22"/>
      <c r="CNY290" s="22"/>
      <c r="CNZ290" s="22"/>
      <c r="COA290" s="22"/>
      <c r="COB290" s="22"/>
      <c r="COC290" s="22"/>
      <c r="COD290" s="22"/>
      <c r="COE290" s="22"/>
      <c r="COF290" s="22"/>
      <c r="COG290" s="22"/>
      <c r="COH290" s="22"/>
      <c r="COI290" s="22"/>
      <c r="COJ290" s="22"/>
      <c r="COK290" s="22"/>
      <c r="COL290" s="22"/>
      <c r="COM290" s="22"/>
      <c r="CON290" s="22"/>
      <c r="COO290" s="22"/>
      <c r="COP290" s="22"/>
      <c r="COQ290" s="22"/>
      <c r="COR290" s="22"/>
      <c r="COS290" s="22"/>
      <c r="COT290" s="22"/>
      <c r="COU290" s="22"/>
      <c r="COV290" s="22"/>
      <c r="COW290" s="22"/>
      <c r="COX290" s="22"/>
      <c r="COY290" s="22"/>
      <c r="COZ290" s="22"/>
      <c r="CPA290" s="22"/>
      <c r="CPB290" s="22"/>
      <c r="CPC290" s="22"/>
      <c r="CPD290" s="22"/>
      <c r="CPE290" s="22"/>
      <c r="CPF290" s="22"/>
      <c r="CPG290" s="22"/>
      <c r="CPH290" s="22"/>
      <c r="CPI290" s="22"/>
      <c r="CPJ290" s="22"/>
      <c r="CPK290" s="22"/>
      <c r="CPL290" s="22"/>
      <c r="CPM290" s="22"/>
      <c r="CPN290" s="22"/>
      <c r="CPO290" s="22"/>
      <c r="CPP290" s="22"/>
      <c r="CPQ290" s="22"/>
      <c r="CPR290" s="22"/>
      <c r="CPS290" s="22"/>
      <c r="CPT290" s="22"/>
      <c r="CPU290" s="22"/>
      <c r="CPV290" s="22"/>
      <c r="CPW290" s="22"/>
      <c r="CPX290" s="22"/>
      <c r="CPY290" s="22"/>
      <c r="CPZ290" s="22"/>
      <c r="CQA290" s="22"/>
      <c r="CQB290" s="22"/>
      <c r="CQC290" s="22"/>
      <c r="CQD290" s="22"/>
      <c r="CQE290" s="22"/>
      <c r="CQF290" s="22"/>
      <c r="CQG290" s="22"/>
      <c r="CQH290" s="22"/>
      <c r="CQI290" s="22"/>
      <c r="CQJ290" s="22"/>
      <c r="CQK290" s="22"/>
      <c r="CQL290" s="22"/>
      <c r="CQM290" s="22"/>
      <c r="CQN290" s="22"/>
      <c r="CQO290" s="22"/>
      <c r="CQP290" s="22"/>
      <c r="CQQ290" s="22"/>
      <c r="CQR290" s="22"/>
      <c r="CQS290" s="22"/>
      <c r="CQT290" s="22"/>
      <c r="CQU290" s="22"/>
      <c r="CQV290" s="22"/>
      <c r="CQW290" s="22"/>
      <c r="CQX290" s="22"/>
      <c r="CQY290" s="22"/>
      <c r="CQZ290" s="22"/>
      <c r="CRA290" s="22"/>
      <c r="CRB290" s="22"/>
      <c r="CRC290" s="22"/>
      <c r="CRD290" s="22"/>
      <c r="CRE290" s="22"/>
      <c r="CRF290" s="22"/>
      <c r="CRG290" s="22"/>
      <c r="CRH290" s="22"/>
      <c r="CRI290" s="22"/>
      <c r="CRJ290" s="22"/>
      <c r="CRK290" s="22"/>
      <c r="CRL290" s="22"/>
      <c r="CRM290" s="22"/>
      <c r="CRN290" s="22"/>
      <c r="CRO290" s="22"/>
      <c r="CRP290" s="22"/>
      <c r="CRQ290" s="22"/>
      <c r="CRR290" s="22"/>
      <c r="CRS290" s="22"/>
      <c r="CRT290" s="22"/>
      <c r="CRU290" s="22"/>
      <c r="CRV290" s="22"/>
      <c r="CRW290" s="22"/>
      <c r="CRX290" s="22"/>
      <c r="CRY290" s="22"/>
      <c r="CRZ290" s="22"/>
      <c r="CSA290" s="22"/>
      <c r="CSB290" s="22"/>
      <c r="CSC290" s="22"/>
      <c r="CSD290" s="22"/>
      <c r="CSE290" s="22"/>
      <c r="CSF290" s="22"/>
      <c r="CSG290" s="22"/>
      <c r="CSH290" s="22"/>
      <c r="CSI290" s="22"/>
      <c r="CSJ290" s="22"/>
      <c r="CSK290" s="22"/>
      <c r="CSL290" s="22"/>
      <c r="CSM290" s="22"/>
      <c r="CSN290" s="22"/>
      <c r="CSO290" s="22"/>
      <c r="CSP290" s="22"/>
      <c r="CSQ290" s="22"/>
      <c r="CSR290" s="22"/>
      <c r="CSS290" s="22"/>
      <c r="CST290" s="22"/>
      <c r="CSU290" s="22"/>
      <c r="CSV290" s="22"/>
      <c r="CSW290" s="22"/>
      <c r="CSX290" s="22"/>
      <c r="CSY290" s="22"/>
      <c r="CSZ290" s="22"/>
      <c r="CTA290" s="22"/>
      <c r="CTB290" s="22"/>
      <c r="CTC290" s="22"/>
      <c r="CTD290" s="22"/>
      <c r="CTE290" s="22"/>
      <c r="CTF290" s="22"/>
      <c r="CTG290" s="22"/>
      <c r="CTH290" s="22"/>
      <c r="CTI290" s="22"/>
      <c r="CTJ290" s="22"/>
      <c r="CTK290" s="22"/>
      <c r="CTL290" s="22"/>
      <c r="CTM290" s="22"/>
      <c r="CTN290" s="22"/>
      <c r="CTO290" s="22"/>
      <c r="CTP290" s="22"/>
      <c r="CTQ290" s="22"/>
      <c r="CTR290" s="22"/>
      <c r="CTS290" s="22"/>
      <c r="CTT290" s="22"/>
      <c r="CTU290" s="22"/>
      <c r="CTV290" s="22"/>
      <c r="CTW290" s="22"/>
      <c r="CTX290" s="22"/>
      <c r="CTY290" s="22"/>
      <c r="CTZ290" s="22"/>
      <c r="CUA290" s="22"/>
      <c r="CUB290" s="22"/>
      <c r="CUC290" s="22"/>
      <c r="CUD290" s="22"/>
      <c r="CUE290" s="22"/>
      <c r="CUF290" s="22"/>
      <c r="CUG290" s="22"/>
      <c r="CUH290" s="22"/>
      <c r="CUI290" s="22"/>
      <c r="CUJ290" s="22"/>
      <c r="CUK290" s="22"/>
      <c r="CUL290" s="22"/>
      <c r="CUM290" s="22"/>
      <c r="CUN290" s="22"/>
      <c r="CUO290" s="22"/>
      <c r="CUP290" s="22"/>
      <c r="CUQ290" s="22"/>
      <c r="CUR290" s="22"/>
      <c r="CUS290" s="22"/>
      <c r="CUT290" s="22"/>
      <c r="CUU290" s="22"/>
      <c r="CUV290" s="22"/>
      <c r="CUW290" s="22"/>
      <c r="CUX290" s="22"/>
      <c r="CUY290" s="22"/>
      <c r="CUZ290" s="22"/>
      <c r="CVA290" s="22"/>
      <c r="CVB290" s="22"/>
      <c r="CVC290" s="22"/>
      <c r="CVD290" s="22"/>
      <c r="CVE290" s="22"/>
      <c r="CVF290" s="22"/>
      <c r="CVG290" s="22"/>
      <c r="CVH290" s="22"/>
      <c r="CVI290" s="22"/>
      <c r="CVJ290" s="22"/>
      <c r="CVK290" s="22"/>
      <c r="CVL290" s="22"/>
      <c r="CVM290" s="22"/>
      <c r="CVN290" s="22"/>
      <c r="CVO290" s="22"/>
      <c r="CVP290" s="22"/>
      <c r="CVQ290" s="22"/>
      <c r="CVR290" s="22"/>
      <c r="CVS290" s="22"/>
      <c r="CVT290" s="22"/>
      <c r="CVU290" s="22"/>
      <c r="CVV290" s="22"/>
      <c r="CVW290" s="22"/>
      <c r="CVX290" s="22"/>
      <c r="CVY290" s="22"/>
      <c r="CVZ290" s="22"/>
      <c r="CWA290" s="22"/>
      <c r="CWB290" s="22"/>
      <c r="CWC290" s="22"/>
      <c r="CWD290" s="22"/>
      <c r="CWE290" s="22"/>
      <c r="CWF290" s="22"/>
      <c r="CWG290" s="22"/>
      <c r="CWH290" s="22"/>
      <c r="CWI290" s="22"/>
      <c r="CWJ290" s="22"/>
      <c r="CWK290" s="22"/>
      <c r="CWL290" s="22"/>
      <c r="CWM290" s="22"/>
      <c r="CWN290" s="22"/>
      <c r="CWO290" s="22"/>
      <c r="CWP290" s="22"/>
      <c r="CWQ290" s="22"/>
      <c r="CWR290" s="22"/>
      <c r="CWS290" s="22"/>
      <c r="CWT290" s="22"/>
      <c r="CWU290" s="22"/>
      <c r="CWV290" s="22"/>
      <c r="CWW290" s="22"/>
      <c r="CWX290" s="22"/>
      <c r="CWY290" s="22"/>
      <c r="CWZ290" s="22"/>
      <c r="CXA290" s="22"/>
      <c r="CXB290" s="22"/>
      <c r="CXC290" s="22"/>
      <c r="CXD290" s="22"/>
      <c r="CXE290" s="22"/>
      <c r="CXF290" s="22"/>
      <c r="CXG290" s="22"/>
      <c r="CXH290" s="22"/>
      <c r="CXI290" s="22"/>
      <c r="CXJ290" s="22"/>
      <c r="CXK290" s="22"/>
      <c r="CXL290" s="22"/>
      <c r="CXM290" s="22"/>
      <c r="CXN290" s="22"/>
      <c r="CXO290" s="22"/>
      <c r="CXP290" s="22"/>
      <c r="CXQ290" s="22"/>
      <c r="CXR290" s="22"/>
      <c r="CXS290" s="22"/>
      <c r="CXT290" s="22"/>
      <c r="CXU290" s="22"/>
      <c r="CXV290" s="22"/>
      <c r="CXW290" s="22"/>
      <c r="CXX290" s="22"/>
      <c r="CXY290" s="22"/>
      <c r="CXZ290" s="22"/>
      <c r="CYA290" s="22"/>
      <c r="CYB290" s="22"/>
      <c r="CYC290" s="22"/>
      <c r="CYD290" s="22"/>
      <c r="CYE290" s="22"/>
      <c r="CYF290" s="22"/>
      <c r="CYG290" s="22"/>
      <c r="CYH290" s="22"/>
      <c r="CYI290" s="22"/>
      <c r="CYJ290" s="22"/>
      <c r="CYK290" s="22"/>
      <c r="CYL290" s="22"/>
      <c r="CYM290" s="22"/>
      <c r="CYN290" s="22"/>
      <c r="CYO290" s="22"/>
      <c r="CYP290" s="22"/>
      <c r="CYQ290" s="22"/>
      <c r="CYR290" s="22"/>
      <c r="CYS290" s="22"/>
      <c r="CYT290" s="22"/>
      <c r="CYU290" s="22"/>
      <c r="CYV290" s="22"/>
      <c r="CYW290" s="22"/>
      <c r="CYX290" s="22"/>
      <c r="CYY290" s="22"/>
      <c r="CYZ290" s="22"/>
      <c r="CZA290" s="22"/>
      <c r="CZB290" s="22"/>
      <c r="CZC290" s="22"/>
      <c r="CZD290" s="22"/>
      <c r="CZE290" s="22"/>
      <c r="CZF290" s="22"/>
      <c r="CZG290" s="22"/>
      <c r="CZH290" s="22"/>
      <c r="CZI290" s="22"/>
      <c r="CZJ290" s="22"/>
      <c r="CZK290" s="22"/>
      <c r="CZL290" s="22"/>
      <c r="CZM290" s="22"/>
      <c r="CZN290" s="22"/>
      <c r="CZO290" s="22"/>
      <c r="CZP290" s="22"/>
      <c r="CZQ290" s="22"/>
      <c r="CZR290" s="22"/>
      <c r="CZS290" s="22"/>
      <c r="CZT290" s="22"/>
      <c r="CZU290" s="22"/>
      <c r="CZV290" s="22"/>
      <c r="CZW290" s="22"/>
      <c r="CZX290" s="22"/>
      <c r="CZY290" s="22"/>
      <c r="CZZ290" s="22"/>
      <c r="DAA290" s="22"/>
      <c r="DAB290" s="22"/>
      <c r="DAC290" s="22"/>
      <c r="DAD290" s="22"/>
      <c r="DAE290" s="22"/>
      <c r="DAF290" s="22"/>
      <c r="DAG290" s="22"/>
      <c r="DAH290" s="22"/>
      <c r="DAI290" s="22"/>
      <c r="DAJ290" s="22"/>
      <c r="DAK290" s="22"/>
      <c r="DAL290" s="22"/>
      <c r="DAM290" s="22"/>
      <c r="DAN290" s="22"/>
      <c r="DAO290" s="22"/>
      <c r="DAP290" s="22"/>
      <c r="DAQ290" s="22"/>
      <c r="DAR290" s="22"/>
      <c r="DAS290" s="22"/>
      <c r="DAT290" s="22"/>
      <c r="DAU290" s="22"/>
      <c r="DAV290" s="22"/>
      <c r="DAW290" s="22"/>
      <c r="DAX290" s="22"/>
      <c r="DAY290" s="22"/>
      <c r="DAZ290" s="22"/>
      <c r="DBA290" s="22"/>
      <c r="DBB290" s="22"/>
      <c r="DBC290" s="22"/>
      <c r="DBD290" s="22"/>
      <c r="DBE290" s="22"/>
      <c r="DBF290" s="22"/>
      <c r="DBG290" s="22"/>
      <c r="DBH290" s="22"/>
      <c r="DBI290" s="22"/>
      <c r="DBJ290" s="22"/>
      <c r="DBK290" s="22"/>
      <c r="DBL290" s="22"/>
      <c r="DBM290" s="22"/>
      <c r="DBN290" s="22"/>
      <c r="DBO290" s="22"/>
      <c r="DBP290" s="22"/>
      <c r="DBQ290" s="22"/>
      <c r="DBR290" s="22"/>
      <c r="DBS290" s="22"/>
      <c r="DBT290" s="22"/>
      <c r="DBU290" s="22"/>
      <c r="DBV290" s="22"/>
      <c r="DBW290" s="22"/>
      <c r="DBX290" s="22"/>
      <c r="DBY290" s="22"/>
      <c r="DBZ290" s="22"/>
      <c r="DCA290" s="22"/>
      <c r="DCB290" s="22"/>
      <c r="DCC290" s="22"/>
      <c r="DCD290" s="22"/>
      <c r="DCE290" s="22"/>
      <c r="DCF290" s="22"/>
      <c r="DCG290" s="22"/>
      <c r="DCH290" s="22"/>
      <c r="DCI290" s="22"/>
      <c r="DCJ290" s="22"/>
      <c r="DCK290" s="22"/>
      <c r="DCL290" s="22"/>
      <c r="DCM290" s="22"/>
      <c r="DCN290" s="22"/>
      <c r="DCO290" s="22"/>
      <c r="DCP290" s="22"/>
      <c r="DCQ290" s="22"/>
      <c r="DCR290" s="22"/>
      <c r="DCS290" s="22"/>
      <c r="DCT290" s="22"/>
      <c r="DCU290" s="22"/>
      <c r="DCV290" s="22"/>
      <c r="DCW290" s="22"/>
      <c r="DCX290" s="22"/>
      <c r="DCY290" s="22"/>
      <c r="DCZ290" s="22"/>
      <c r="DDA290" s="22"/>
      <c r="DDB290" s="22"/>
      <c r="DDC290" s="22"/>
      <c r="DDD290" s="22"/>
      <c r="DDE290" s="22"/>
      <c r="DDF290" s="22"/>
      <c r="DDG290" s="22"/>
      <c r="DDH290" s="22"/>
      <c r="DDI290" s="22"/>
      <c r="DDJ290" s="22"/>
      <c r="DDK290" s="22"/>
      <c r="DDL290" s="22"/>
      <c r="DDM290" s="22"/>
      <c r="DDN290" s="22"/>
      <c r="DDO290" s="22"/>
      <c r="DDP290" s="22"/>
      <c r="DDQ290" s="22"/>
      <c r="DDR290" s="22"/>
      <c r="DDS290" s="22"/>
      <c r="DDT290" s="22"/>
      <c r="DDU290" s="22"/>
      <c r="DDV290" s="22"/>
      <c r="DDW290" s="22"/>
      <c r="DDX290" s="22"/>
      <c r="DDY290" s="22"/>
      <c r="DDZ290" s="22"/>
      <c r="DEA290" s="22"/>
      <c r="DEB290" s="22"/>
      <c r="DEC290" s="22"/>
      <c r="DED290" s="22"/>
      <c r="DEE290" s="22"/>
      <c r="DEF290" s="22"/>
      <c r="DEG290" s="22"/>
      <c r="DEH290" s="22"/>
      <c r="DEI290" s="22"/>
      <c r="DEJ290" s="22"/>
      <c r="DEK290" s="22"/>
      <c r="DEL290" s="22"/>
      <c r="DEM290" s="22"/>
      <c r="DEN290" s="22"/>
      <c r="DEO290" s="22"/>
      <c r="DEP290" s="22"/>
      <c r="DEQ290" s="22"/>
      <c r="DER290" s="22"/>
      <c r="DES290" s="22"/>
      <c r="DET290" s="22"/>
      <c r="DEU290" s="22"/>
      <c r="DEV290" s="22"/>
      <c r="DEW290" s="22"/>
      <c r="DEX290" s="22"/>
      <c r="DEY290" s="22"/>
      <c r="DEZ290" s="22"/>
      <c r="DFA290" s="22"/>
      <c r="DFB290" s="22"/>
      <c r="DFC290" s="22"/>
      <c r="DFD290" s="22"/>
      <c r="DFE290" s="22"/>
      <c r="DFF290" s="22"/>
      <c r="DFG290" s="22"/>
      <c r="DFH290" s="22"/>
      <c r="DFI290" s="22"/>
      <c r="DFJ290" s="22"/>
      <c r="DFK290" s="22"/>
      <c r="DFL290" s="22"/>
      <c r="DFM290" s="22"/>
      <c r="DFN290" s="22"/>
      <c r="DFO290" s="22"/>
      <c r="DFP290" s="22"/>
      <c r="DFQ290" s="22"/>
      <c r="DFR290" s="22"/>
      <c r="DFS290" s="22"/>
      <c r="DFT290" s="22"/>
      <c r="DFU290" s="22"/>
      <c r="DFV290" s="22"/>
      <c r="DFW290" s="22"/>
      <c r="DFX290" s="22"/>
      <c r="DFY290" s="22"/>
      <c r="DFZ290" s="22"/>
      <c r="DGA290" s="22"/>
      <c r="DGB290" s="22"/>
      <c r="DGC290" s="22"/>
      <c r="DGD290" s="22"/>
      <c r="DGE290" s="22"/>
      <c r="DGF290" s="22"/>
      <c r="DGG290" s="22"/>
      <c r="DGH290" s="22"/>
      <c r="DGI290" s="22"/>
      <c r="DGJ290" s="22"/>
      <c r="DGK290" s="22"/>
      <c r="DGL290" s="22"/>
      <c r="DGM290" s="22"/>
      <c r="DGN290" s="22"/>
      <c r="DGO290" s="22"/>
      <c r="DGP290" s="22"/>
      <c r="DGQ290" s="22"/>
      <c r="DGR290" s="22"/>
      <c r="DGS290" s="22"/>
      <c r="DGT290" s="22"/>
      <c r="DGU290" s="22"/>
      <c r="DGV290" s="22"/>
      <c r="DGW290" s="22"/>
      <c r="DGX290" s="22"/>
      <c r="DGY290" s="22"/>
      <c r="DGZ290" s="22"/>
      <c r="DHA290" s="22"/>
      <c r="DHB290" s="22"/>
      <c r="DHC290" s="22"/>
      <c r="DHD290" s="22"/>
      <c r="DHE290" s="22"/>
      <c r="DHF290" s="22"/>
      <c r="DHG290" s="22"/>
      <c r="DHH290" s="22"/>
      <c r="DHI290" s="22"/>
      <c r="DHJ290" s="22"/>
      <c r="DHK290" s="22"/>
      <c r="DHL290" s="22"/>
      <c r="DHM290" s="22"/>
      <c r="DHN290" s="22"/>
      <c r="DHO290" s="22"/>
      <c r="DHP290" s="22"/>
      <c r="DHQ290" s="22"/>
      <c r="DHR290" s="22"/>
      <c r="DHS290" s="22"/>
      <c r="DHT290" s="22"/>
      <c r="DHU290" s="22"/>
      <c r="DHV290" s="22"/>
      <c r="DHW290" s="22"/>
      <c r="DHX290" s="22"/>
      <c r="DHY290" s="22"/>
      <c r="DHZ290" s="22"/>
      <c r="DIA290" s="22"/>
      <c r="DIB290" s="22"/>
      <c r="DIC290" s="22"/>
      <c r="DID290" s="22"/>
      <c r="DIE290" s="22"/>
      <c r="DIF290" s="22"/>
      <c r="DIG290" s="22"/>
      <c r="DIH290" s="22"/>
      <c r="DII290" s="22"/>
      <c r="DIJ290" s="22"/>
      <c r="DIK290" s="22"/>
      <c r="DIL290" s="22"/>
      <c r="DIM290" s="22"/>
      <c r="DIN290" s="22"/>
      <c r="DIO290" s="22"/>
      <c r="DIP290" s="22"/>
      <c r="DIQ290" s="22"/>
      <c r="DIR290" s="22"/>
      <c r="DIS290" s="22"/>
      <c r="DIT290" s="22"/>
      <c r="DIU290" s="22"/>
      <c r="DIV290" s="22"/>
      <c r="DIW290" s="22"/>
      <c r="DIX290" s="22"/>
      <c r="DIY290" s="22"/>
      <c r="DIZ290" s="22"/>
      <c r="DJA290" s="22"/>
      <c r="DJB290" s="22"/>
      <c r="DJC290" s="22"/>
      <c r="DJD290" s="22"/>
      <c r="DJE290" s="22"/>
      <c r="DJF290" s="22"/>
      <c r="DJG290" s="22"/>
      <c r="DJH290" s="22"/>
      <c r="DJI290" s="22"/>
      <c r="DJJ290" s="22"/>
      <c r="DJK290" s="22"/>
      <c r="DJL290" s="22"/>
      <c r="DJM290" s="22"/>
      <c r="DJN290" s="22"/>
      <c r="DJO290" s="22"/>
      <c r="DJP290" s="22"/>
      <c r="DJQ290" s="22"/>
      <c r="DJR290" s="22"/>
      <c r="DJS290" s="22"/>
      <c r="DJT290" s="22"/>
      <c r="DJU290" s="22"/>
      <c r="DJV290" s="22"/>
      <c r="DJW290" s="22"/>
      <c r="DJX290" s="22"/>
      <c r="DJY290" s="22"/>
      <c r="DJZ290" s="22"/>
      <c r="DKA290" s="22"/>
      <c r="DKB290" s="22"/>
      <c r="DKC290" s="22"/>
      <c r="DKD290" s="22"/>
      <c r="DKE290" s="22"/>
      <c r="DKF290" s="22"/>
      <c r="DKG290" s="22"/>
      <c r="DKH290" s="22"/>
      <c r="DKI290" s="22"/>
      <c r="DKJ290" s="22"/>
      <c r="DKK290" s="22"/>
      <c r="DKL290" s="22"/>
      <c r="DKM290" s="22"/>
      <c r="DKN290" s="22"/>
      <c r="DKO290" s="22"/>
      <c r="DKP290" s="22"/>
      <c r="DKQ290" s="22"/>
      <c r="DKR290" s="22"/>
      <c r="DKS290" s="22"/>
      <c r="DKT290" s="22"/>
      <c r="DKU290" s="22"/>
      <c r="DKV290" s="22"/>
      <c r="DKW290" s="22"/>
      <c r="DKX290" s="22"/>
      <c r="DKY290" s="22"/>
      <c r="DKZ290" s="22"/>
      <c r="DLA290" s="22"/>
      <c r="DLB290" s="22"/>
      <c r="DLC290" s="22"/>
      <c r="DLD290" s="22"/>
      <c r="DLE290" s="22"/>
      <c r="DLF290" s="22"/>
      <c r="DLG290" s="22"/>
      <c r="DLH290" s="22"/>
      <c r="DLI290" s="22"/>
      <c r="DLJ290" s="22"/>
      <c r="DLK290" s="22"/>
      <c r="DLL290" s="22"/>
      <c r="DLM290" s="22"/>
      <c r="DLN290" s="22"/>
      <c r="DLO290" s="22"/>
      <c r="DLP290" s="22"/>
      <c r="DLQ290" s="22"/>
      <c r="DLR290" s="22"/>
      <c r="DLS290" s="22"/>
      <c r="DLT290" s="22"/>
      <c r="DLU290" s="22"/>
      <c r="DLV290" s="22"/>
      <c r="DLW290" s="22"/>
      <c r="DLX290" s="22"/>
      <c r="DLY290" s="22"/>
      <c r="DLZ290" s="22"/>
      <c r="DMA290" s="22"/>
      <c r="DMB290" s="22"/>
      <c r="DMC290" s="22"/>
      <c r="DMD290" s="22"/>
      <c r="DME290" s="22"/>
      <c r="DMF290" s="22"/>
      <c r="DMG290" s="22"/>
      <c r="DMH290" s="22"/>
      <c r="DMI290" s="22"/>
      <c r="DMJ290" s="22"/>
      <c r="DMK290" s="22"/>
      <c r="DML290" s="22"/>
      <c r="DMM290" s="22"/>
      <c r="DMN290" s="22"/>
      <c r="DMO290" s="22"/>
      <c r="DMP290" s="22"/>
      <c r="DMQ290" s="22"/>
      <c r="DMR290" s="22"/>
      <c r="DMS290" s="22"/>
      <c r="DMT290" s="22"/>
      <c r="DMU290" s="22"/>
      <c r="DMV290" s="22"/>
      <c r="DMW290" s="22"/>
      <c r="DMX290" s="22"/>
      <c r="DMY290" s="22"/>
      <c r="DMZ290" s="22"/>
      <c r="DNA290" s="22"/>
      <c r="DNB290" s="22"/>
      <c r="DNC290" s="22"/>
      <c r="DND290" s="22"/>
      <c r="DNE290" s="22"/>
      <c r="DNF290" s="22"/>
      <c r="DNG290" s="22"/>
      <c r="DNH290" s="22"/>
      <c r="DNI290" s="22"/>
      <c r="DNJ290" s="22"/>
      <c r="DNK290" s="22"/>
      <c r="DNL290" s="22"/>
      <c r="DNM290" s="22"/>
      <c r="DNN290" s="22"/>
      <c r="DNO290" s="22"/>
      <c r="DNP290" s="22"/>
      <c r="DNQ290" s="22"/>
      <c r="DNR290" s="22"/>
      <c r="DNS290" s="22"/>
      <c r="DNT290" s="22"/>
      <c r="DNU290" s="22"/>
      <c r="DNV290" s="22"/>
      <c r="DNW290" s="22"/>
      <c r="DNX290" s="22"/>
      <c r="DNY290" s="22"/>
      <c r="DNZ290" s="22"/>
      <c r="DOA290" s="22"/>
      <c r="DOB290" s="22"/>
      <c r="DOC290" s="22"/>
      <c r="DOD290" s="22"/>
      <c r="DOE290" s="22"/>
      <c r="DOF290" s="22"/>
      <c r="DOG290" s="22"/>
      <c r="DOH290" s="22"/>
      <c r="DOI290" s="22"/>
      <c r="DOJ290" s="22"/>
      <c r="DOK290" s="22"/>
      <c r="DOL290" s="22"/>
      <c r="DOM290" s="22"/>
      <c r="DON290" s="22"/>
      <c r="DOO290" s="22"/>
      <c r="DOP290" s="22"/>
      <c r="DOQ290" s="22"/>
      <c r="DOR290" s="22"/>
      <c r="DOS290" s="22"/>
      <c r="DOT290" s="22"/>
      <c r="DOU290" s="22"/>
      <c r="DOV290" s="22"/>
      <c r="DOW290" s="22"/>
      <c r="DOX290" s="22"/>
      <c r="DOY290" s="22"/>
      <c r="DOZ290" s="22"/>
      <c r="DPA290" s="22"/>
      <c r="DPB290" s="22"/>
      <c r="DPC290" s="22"/>
      <c r="DPD290" s="22"/>
      <c r="DPE290" s="22"/>
      <c r="DPF290" s="22"/>
      <c r="DPG290" s="22"/>
      <c r="DPH290" s="22"/>
      <c r="DPI290" s="22"/>
      <c r="DPJ290" s="22"/>
      <c r="DPK290" s="22"/>
      <c r="DPL290" s="22"/>
      <c r="DPM290" s="22"/>
      <c r="DPN290" s="22"/>
      <c r="DPO290" s="22"/>
      <c r="DPP290" s="22"/>
      <c r="DPQ290" s="22"/>
      <c r="DPR290" s="22"/>
      <c r="DPS290" s="22"/>
      <c r="DPT290" s="22"/>
      <c r="DPU290" s="22"/>
      <c r="DPV290" s="22"/>
      <c r="DPW290" s="22"/>
      <c r="DPX290" s="22"/>
      <c r="DPY290" s="22"/>
      <c r="DPZ290" s="22"/>
      <c r="DQA290" s="22"/>
      <c r="DQB290" s="22"/>
      <c r="DQC290" s="22"/>
      <c r="DQD290" s="22"/>
      <c r="DQE290" s="22"/>
      <c r="DQF290" s="22"/>
      <c r="DQG290" s="22"/>
      <c r="DQH290" s="22"/>
      <c r="DQI290" s="22"/>
      <c r="DQJ290" s="22"/>
      <c r="DQK290" s="22"/>
      <c r="DQL290" s="22"/>
      <c r="DQM290" s="22"/>
      <c r="DQN290" s="22"/>
      <c r="DQO290" s="22"/>
      <c r="DQP290" s="22"/>
      <c r="DQQ290" s="22"/>
      <c r="DQR290" s="22"/>
      <c r="DQS290" s="22"/>
      <c r="DQT290" s="22"/>
      <c r="DQU290" s="22"/>
      <c r="DQV290" s="22"/>
      <c r="DQW290" s="22"/>
      <c r="DQX290" s="22"/>
      <c r="DQY290" s="22"/>
      <c r="DQZ290" s="22"/>
      <c r="DRA290" s="22"/>
      <c r="DRB290" s="22"/>
      <c r="DRC290" s="22"/>
      <c r="DRD290" s="22"/>
      <c r="DRE290" s="22"/>
      <c r="DRF290" s="22"/>
      <c r="DRG290" s="22"/>
      <c r="DRH290" s="22"/>
      <c r="DRI290" s="22"/>
      <c r="DRJ290" s="22"/>
      <c r="DRK290" s="22"/>
      <c r="DRL290" s="22"/>
      <c r="DRM290" s="22"/>
      <c r="DRN290" s="22"/>
      <c r="DRO290" s="22"/>
      <c r="DRP290" s="22"/>
      <c r="DRQ290" s="22"/>
      <c r="DRR290" s="22"/>
      <c r="DRS290" s="22"/>
      <c r="DRT290" s="22"/>
      <c r="DRU290" s="22"/>
      <c r="DRV290" s="22"/>
      <c r="DRW290" s="22"/>
      <c r="DRX290" s="22"/>
      <c r="DRY290" s="22"/>
      <c r="DRZ290" s="22"/>
      <c r="DSA290" s="22"/>
      <c r="DSB290" s="22"/>
      <c r="DSC290" s="22"/>
      <c r="DSD290" s="22"/>
      <c r="DSE290" s="22"/>
      <c r="DSF290" s="22"/>
      <c r="DSG290" s="22"/>
      <c r="DSH290" s="22"/>
      <c r="DSI290" s="22"/>
      <c r="DSJ290" s="22"/>
      <c r="DSK290" s="22"/>
      <c r="DSL290" s="22"/>
      <c r="DSM290" s="22"/>
      <c r="DSN290" s="22"/>
      <c r="DSO290" s="22"/>
      <c r="DSP290" s="22"/>
      <c r="DSQ290" s="22"/>
      <c r="DSR290" s="22"/>
      <c r="DSS290" s="22"/>
      <c r="DST290" s="22"/>
      <c r="DSU290" s="22"/>
      <c r="DSV290" s="22"/>
      <c r="DSW290" s="22"/>
      <c r="DSX290" s="22"/>
      <c r="DSY290" s="22"/>
      <c r="DSZ290" s="22"/>
      <c r="DTA290" s="22"/>
      <c r="DTB290" s="22"/>
      <c r="DTC290" s="22"/>
      <c r="DTD290" s="22"/>
      <c r="DTE290" s="22"/>
      <c r="DTF290" s="22"/>
      <c r="DTG290" s="22"/>
      <c r="DTH290" s="22"/>
      <c r="DTI290" s="22"/>
      <c r="DTJ290" s="22"/>
      <c r="DTK290" s="22"/>
      <c r="DTL290" s="22"/>
      <c r="DTM290" s="22"/>
      <c r="DTN290" s="22"/>
      <c r="DTO290" s="22"/>
      <c r="DTP290" s="22"/>
      <c r="DTQ290" s="22"/>
      <c r="DTR290" s="22"/>
      <c r="DTS290" s="22"/>
      <c r="DTT290" s="22"/>
      <c r="DTU290" s="22"/>
      <c r="DTV290" s="22"/>
      <c r="DTW290" s="22"/>
      <c r="DTX290" s="22"/>
      <c r="DTY290" s="22"/>
      <c r="DTZ290" s="22"/>
      <c r="DUA290" s="22"/>
      <c r="DUB290" s="22"/>
      <c r="DUC290" s="22"/>
      <c r="DUD290" s="22"/>
      <c r="DUE290" s="22"/>
      <c r="DUF290" s="22"/>
      <c r="DUG290" s="22"/>
      <c r="DUH290" s="22"/>
      <c r="DUI290" s="22"/>
      <c r="DUJ290" s="22"/>
      <c r="DUK290" s="22"/>
      <c r="DUL290" s="22"/>
      <c r="DUM290" s="22"/>
      <c r="DUN290" s="22"/>
      <c r="DUO290" s="22"/>
      <c r="DUP290" s="22"/>
      <c r="DUQ290" s="22"/>
      <c r="DUR290" s="22"/>
      <c r="DUS290" s="22"/>
      <c r="DUT290" s="22"/>
      <c r="DUU290" s="22"/>
      <c r="DUV290" s="22"/>
      <c r="DUW290" s="22"/>
      <c r="DUX290" s="22"/>
      <c r="DUY290" s="22"/>
      <c r="DUZ290" s="22"/>
      <c r="DVA290" s="22"/>
      <c r="DVB290" s="22"/>
      <c r="DVC290" s="22"/>
      <c r="DVD290" s="22"/>
      <c r="DVE290" s="22"/>
      <c r="DVF290" s="22"/>
      <c r="DVG290" s="22"/>
      <c r="DVH290" s="22"/>
      <c r="DVI290" s="22"/>
      <c r="DVJ290" s="22"/>
      <c r="DVK290" s="22"/>
      <c r="DVL290" s="22"/>
      <c r="DVM290" s="22"/>
      <c r="DVN290" s="22"/>
      <c r="DVO290" s="22"/>
      <c r="DVP290" s="22"/>
      <c r="DVQ290" s="22"/>
      <c r="DVR290" s="22"/>
      <c r="DVS290" s="22"/>
      <c r="DVT290" s="22"/>
      <c r="DVU290" s="22"/>
      <c r="DVV290" s="22"/>
      <c r="DVW290" s="22"/>
      <c r="DVX290" s="22"/>
      <c r="DVY290" s="22"/>
      <c r="DVZ290" s="22"/>
      <c r="DWA290" s="22"/>
      <c r="DWB290" s="22"/>
      <c r="DWC290" s="22"/>
      <c r="DWD290" s="22"/>
      <c r="DWE290" s="22"/>
      <c r="DWF290" s="22"/>
      <c r="DWG290" s="22"/>
      <c r="DWH290" s="22"/>
      <c r="DWI290" s="22"/>
      <c r="DWJ290" s="22"/>
      <c r="DWK290" s="22"/>
      <c r="DWL290" s="22"/>
      <c r="DWM290" s="22"/>
      <c r="DWN290" s="22"/>
      <c r="DWO290" s="22"/>
      <c r="DWP290" s="22"/>
      <c r="DWQ290" s="22"/>
      <c r="DWR290" s="22"/>
      <c r="DWS290" s="22"/>
      <c r="DWT290" s="22"/>
      <c r="DWU290" s="22"/>
      <c r="DWV290" s="22"/>
      <c r="DWW290" s="22"/>
      <c r="DWX290" s="22"/>
      <c r="DWY290" s="22"/>
      <c r="DWZ290" s="22"/>
      <c r="DXA290" s="22"/>
      <c r="DXB290" s="22"/>
      <c r="DXC290" s="22"/>
      <c r="DXD290" s="22"/>
      <c r="DXE290" s="22"/>
      <c r="DXF290" s="22"/>
      <c r="DXG290" s="22"/>
      <c r="DXH290" s="22"/>
      <c r="DXI290" s="22"/>
      <c r="DXJ290" s="22"/>
      <c r="DXK290" s="22"/>
      <c r="DXL290" s="22"/>
      <c r="DXM290" s="22"/>
      <c r="DXN290" s="22"/>
      <c r="DXO290" s="22"/>
      <c r="DXP290" s="22"/>
      <c r="DXQ290" s="22"/>
      <c r="DXR290" s="22"/>
      <c r="DXS290" s="22"/>
      <c r="DXT290" s="22"/>
      <c r="DXU290" s="22"/>
      <c r="DXV290" s="22"/>
      <c r="DXW290" s="22"/>
      <c r="DXX290" s="22"/>
      <c r="DXY290" s="22"/>
      <c r="DXZ290" s="22"/>
      <c r="DYA290" s="22"/>
      <c r="DYB290" s="22"/>
      <c r="DYC290" s="22"/>
      <c r="DYD290" s="22"/>
      <c r="DYE290" s="22"/>
      <c r="DYF290" s="22"/>
      <c r="DYG290" s="22"/>
      <c r="DYH290" s="22"/>
      <c r="DYI290" s="22"/>
      <c r="DYJ290" s="22"/>
      <c r="DYK290" s="22"/>
      <c r="DYL290" s="22"/>
      <c r="DYM290" s="22"/>
      <c r="DYN290" s="22"/>
      <c r="DYO290" s="22"/>
      <c r="DYP290" s="22"/>
      <c r="DYQ290" s="22"/>
      <c r="DYR290" s="22"/>
      <c r="DYS290" s="22"/>
      <c r="DYT290" s="22"/>
      <c r="DYU290" s="22"/>
      <c r="DYV290" s="22"/>
      <c r="DYW290" s="22"/>
      <c r="DYX290" s="22"/>
      <c r="DYY290" s="22"/>
      <c r="DYZ290" s="22"/>
      <c r="DZA290" s="22"/>
      <c r="DZB290" s="22"/>
      <c r="DZC290" s="22"/>
      <c r="DZD290" s="22"/>
      <c r="DZE290" s="22"/>
      <c r="DZF290" s="22"/>
      <c r="DZG290" s="22"/>
      <c r="DZH290" s="22"/>
      <c r="DZI290" s="22"/>
      <c r="DZJ290" s="22"/>
      <c r="DZK290" s="22"/>
      <c r="DZL290" s="22"/>
      <c r="DZM290" s="22"/>
      <c r="DZN290" s="22"/>
      <c r="DZO290" s="22"/>
      <c r="DZP290" s="22"/>
      <c r="DZQ290" s="22"/>
      <c r="DZR290" s="22"/>
      <c r="DZS290" s="22"/>
      <c r="DZT290" s="22"/>
      <c r="DZU290" s="22"/>
      <c r="DZV290" s="22"/>
      <c r="DZW290" s="22"/>
      <c r="DZX290" s="22"/>
      <c r="DZY290" s="22"/>
      <c r="DZZ290" s="22"/>
      <c r="EAA290" s="22"/>
      <c r="EAB290" s="22"/>
      <c r="EAC290" s="22"/>
      <c r="EAD290" s="22"/>
      <c r="EAE290" s="22"/>
      <c r="EAF290" s="22"/>
      <c r="EAG290" s="22"/>
      <c r="EAH290" s="22"/>
      <c r="EAI290" s="22"/>
      <c r="EAJ290" s="22"/>
      <c r="EAK290" s="22"/>
      <c r="EAL290" s="22"/>
      <c r="EAM290" s="22"/>
      <c r="EAN290" s="22"/>
      <c r="EAO290" s="22"/>
      <c r="EAP290" s="22"/>
      <c r="EAQ290" s="22"/>
      <c r="EAR290" s="22"/>
      <c r="EAS290" s="22"/>
      <c r="EAT290" s="22"/>
      <c r="EAU290" s="22"/>
      <c r="EAV290" s="22"/>
      <c r="EAW290" s="22"/>
      <c r="EAX290" s="22"/>
      <c r="EAY290" s="22"/>
      <c r="EAZ290" s="22"/>
      <c r="EBA290" s="22"/>
      <c r="EBB290" s="22"/>
      <c r="EBC290" s="22"/>
      <c r="EBD290" s="22"/>
      <c r="EBE290" s="22"/>
      <c r="EBF290" s="22"/>
      <c r="EBG290" s="22"/>
      <c r="EBH290" s="22"/>
      <c r="EBI290" s="22"/>
      <c r="EBJ290" s="22"/>
      <c r="EBK290" s="22"/>
      <c r="EBL290" s="22"/>
      <c r="EBM290" s="22"/>
      <c r="EBN290" s="22"/>
      <c r="EBO290" s="22"/>
      <c r="EBP290" s="22"/>
      <c r="EBQ290" s="22"/>
      <c r="EBR290" s="22"/>
      <c r="EBS290" s="22"/>
      <c r="EBT290" s="22"/>
      <c r="EBU290" s="22"/>
      <c r="EBV290" s="22"/>
      <c r="EBW290" s="22"/>
      <c r="EBX290" s="22"/>
      <c r="EBY290" s="22"/>
      <c r="EBZ290" s="22"/>
      <c r="ECA290" s="22"/>
      <c r="ECB290" s="22"/>
      <c r="ECC290" s="22"/>
      <c r="ECD290" s="22"/>
      <c r="ECE290" s="22"/>
      <c r="ECF290" s="22"/>
      <c r="ECG290" s="22"/>
      <c r="ECH290" s="22"/>
      <c r="ECI290" s="22"/>
      <c r="ECJ290" s="22"/>
      <c r="ECK290" s="22"/>
      <c r="ECL290" s="22"/>
      <c r="ECM290" s="22"/>
      <c r="ECN290" s="22"/>
      <c r="ECO290" s="22"/>
      <c r="ECP290" s="22"/>
      <c r="ECQ290" s="22"/>
      <c r="ECR290" s="22"/>
      <c r="ECS290" s="22"/>
      <c r="ECT290" s="22"/>
      <c r="ECU290" s="22"/>
      <c r="ECV290" s="22"/>
      <c r="ECW290" s="22"/>
      <c r="ECX290" s="22"/>
      <c r="ECY290" s="22"/>
      <c r="ECZ290" s="22"/>
      <c r="EDA290" s="22"/>
      <c r="EDB290" s="22"/>
      <c r="EDC290" s="22"/>
      <c r="EDD290" s="22"/>
      <c r="EDE290" s="22"/>
      <c r="EDF290" s="22"/>
      <c r="EDG290" s="22"/>
      <c r="EDH290" s="22"/>
      <c r="EDI290" s="22"/>
      <c r="EDJ290" s="22"/>
      <c r="EDK290" s="22"/>
      <c r="EDL290" s="22"/>
      <c r="EDM290" s="22"/>
      <c r="EDN290" s="22"/>
      <c r="EDO290" s="22"/>
      <c r="EDP290" s="22"/>
      <c r="EDQ290" s="22"/>
      <c r="EDR290" s="22"/>
      <c r="EDS290" s="22"/>
      <c r="EDT290" s="22"/>
      <c r="EDU290" s="22"/>
      <c r="EDV290" s="22"/>
      <c r="EDW290" s="22"/>
      <c r="EDX290" s="22"/>
      <c r="EDY290" s="22"/>
      <c r="EDZ290" s="22"/>
      <c r="EEA290" s="22"/>
      <c r="EEB290" s="22"/>
      <c r="EEC290" s="22"/>
      <c r="EED290" s="22"/>
      <c r="EEE290" s="22"/>
      <c r="EEF290" s="22"/>
      <c r="EEG290" s="22"/>
      <c r="EEH290" s="22"/>
      <c r="EEI290" s="22"/>
      <c r="EEJ290" s="22"/>
      <c r="EEK290" s="22"/>
      <c r="EEL290" s="22"/>
      <c r="EEM290" s="22"/>
      <c r="EEN290" s="22"/>
      <c r="EEO290" s="22"/>
      <c r="EEP290" s="22"/>
      <c r="EEQ290" s="22"/>
      <c r="EER290" s="22"/>
      <c r="EES290" s="22"/>
      <c r="EET290" s="22"/>
      <c r="EEU290" s="22"/>
      <c r="EEV290" s="22"/>
      <c r="EEW290" s="22"/>
      <c r="EEX290" s="22"/>
      <c r="EEY290" s="22"/>
      <c r="EEZ290" s="22"/>
      <c r="EFA290" s="22"/>
      <c r="EFB290" s="22"/>
      <c r="EFC290" s="22"/>
      <c r="EFD290" s="22"/>
      <c r="EFE290" s="22"/>
      <c r="EFF290" s="22"/>
      <c r="EFG290" s="22"/>
      <c r="EFH290" s="22"/>
      <c r="EFI290" s="22"/>
      <c r="EFJ290" s="22"/>
      <c r="EFK290" s="22"/>
      <c r="EFL290" s="22"/>
      <c r="EFM290" s="22"/>
      <c r="EFN290" s="22"/>
      <c r="EFO290" s="22"/>
      <c r="EFP290" s="22"/>
      <c r="EFQ290" s="22"/>
      <c r="EFR290" s="22"/>
      <c r="EFS290" s="22"/>
      <c r="EFT290" s="22"/>
      <c r="EFU290" s="22"/>
      <c r="EFV290" s="22"/>
      <c r="EFW290" s="22"/>
      <c r="EFX290" s="22"/>
      <c r="EFY290" s="22"/>
      <c r="EFZ290" s="22"/>
      <c r="EGA290" s="22"/>
      <c r="EGB290" s="22"/>
      <c r="EGC290" s="22"/>
      <c r="EGD290" s="22"/>
      <c r="EGE290" s="22"/>
      <c r="EGF290" s="22"/>
      <c r="EGG290" s="22"/>
      <c r="EGH290" s="22"/>
      <c r="EGI290" s="22"/>
      <c r="EGJ290" s="22"/>
      <c r="EGK290" s="22"/>
      <c r="EGL290" s="22"/>
      <c r="EGM290" s="22"/>
      <c r="EGN290" s="22"/>
      <c r="EGO290" s="22"/>
      <c r="EGP290" s="22"/>
      <c r="EGQ290" s="22"/>
      <c r="EGR290" s="22"/>
      <c r="EGS290" s="22"/>
      <c r="EGT290" s="22"/>
      <c r="EGU290" s="22"/>
      <c r="EGV290" s="22"/>
      <c r="EGW290" s="22"/>
      <c r="EGX290" s="22"/>
      <c r="EGY290" s="22"/>
      <c r="EGZ290" s="22"/>
      <c r="EHA290" s="22"/>
      <c r="EHB290" s="22"/>
      <c r="EHC290" s="22"/>
      <c r="EHD290" s="22"/>
      <c r="EHE290" s="22"/>
      <c r="EHF290" s="22"/>
      <c r="EHG290" s="22"/>
      <c r="EHH290" s="22"/>
      <c r="EHI290" s="22"/>
      <c r="EHJ290" s="22"/>
      <c r="EHK290" s="22"/>
      <c r="EHL290" s="22"/>
      <c r="EHM290" s="22"/>
      <c r="EHN290" s="22"/>
      <c r="EHO290" s="22"/>
      <c r="EHP290" s="22"/>
      <c r="EHQ290" s="22"/>
      <c r="EHR290" s="22"/>
      <c r="EHS290" s="22"/>
      <c r="EHT290" s="22"/>
      <c r="EHU290" s="22"/>
      <c r="EHV290" s="22"/>
      <c r="EHW290" s="22"/>
      <c r="EHX290" s="22"/>
      <c r="EHY290" s="22"/>
      <c r="EHZ290" s="22"/>
      <c r="EIA290" s="22"/>
      <c r="EIB290" s="22"/>
      <c r="EIC290" s="22"/>
      <c r="EID290" s="22"/>
      <c r="EIE290" s="22"/>
      <c r="EIF290" s="22"/>
      <c r="EIG290" s="22"/>
      <c r="EIH290" s="22"/>
      <c r="EII290" s="22"/>
      <c r="EIJ290" s="22"/>
      <c r="EIK290" s="22"/>
      <c r="EIL290" s="22"/>
      <c r="EIM290" s="22"/>
      <c r="EIN290" s="22"/>
      <c r="EIO290" s="22"/>
      <c r="EIP290" s="22"/>
      <c r="EIQ290" s="22"/>
      <c r="EIR290" s="22"/>
      <c r="EIS290" s="22"/>
      <c r="EIT290" s="22"/>
      <c r="EIU290" s="22"/>
      <c r="EIV290" s="22"/>
      <c r="EIW290" s="22"/>
      <c r="EIX290" s="22"/>
      <c r="EIY290" s="22"/>
      <c r="EIZ290" s="22"/>
      <c r="EJA290" s="22"/>
      <c r="EJB290" s="22"/>
      <c r="EJC290" s="22"/>
      <c r="EJD290" s="22"/>
      <c r="EJE290" s="22"/>
      <c r="EJF290" s="22"/>
      <c r="EJG290" s="22"/>
      <c r="EJH290" s="22"/>
      <c r="EJI290" s="22"/>
      <c r="EJJ290" s="22"/>
      <c r="EJK290" s="22"/>
      <c r="EJL290" s="22"/>
      <c r="EJM290" s="22"/>
      <c r="EJN290" s="22"/>
      <c r="EJO290" s="22"/>
      <c r="EJP290" s="22"/>
      <c r="EJQ290" s="22"/>
      <c r="EJR290" s="22"/>
      <c r="EJS290" s="22"/>
      <c r="EJT290" s="22"/>
      <c r="EJU290" s="22"/>
      <c r="EJV290" s="22"/>
      <c r="EJW290" s="22"/>
      <c r="EJX290" s="22"/>
      <c r="EJY290" s="22"/>
      <c r="EJZ290" s="22"/>
      <c r="EKA290" s="22"/>
      <c r="EKB290" s="22"/>
      <c r="EKC290" s="22"/>
      <c r="EKD290" s="22"/>
      <c r="EKE290" s="22"/>
      <c r="EKF290" s="22"/>
      <c r="EKG290" s="22"/>
      <c r="EKH290" s="22"/>
      <c r="EKI290" s="22"/>
      <c r="EKJ290" s="22"/>
      <c r="EKK290" s="22"/>
      <c r="EKL290" s="22"/>
      <c r="EKM290" s="22"/>
      <c r="EKN290" s="22"/>
      <c r="EKO290" s="22"/>
      <c r="EKP290" s="22"/>
      <c r="EKQ290" s="22"/>
      <c r="EKR290" s="22"/>
      <c r="EKS290" s="22"/>
      <c r="EKT290" s="22"/>
      <c r="EKU290" s="22"/>
      <c r="EKV290" s="22"/>
      <c r="EKW290" s="22"/>
      <c r="EKX290" s="22"/>
      <c r="EKY290" s="22"/>
      <c r="EKZ290" s="22"/>
      <c r="ELA290" s="22"/>
      <c r="ELB290" s="22"/>
      <c r="ELC290" s="22"/>
      <c r="ELD290" s="22"/>
      <c r="ELE290" s="22"/>
      <c r="ELF290" s="22"/>
      <c r="ELG290" s="22"/>
      <c r="ELH290" s="22"/>
      <c r="ELI290" s="22"/>
      <c r="ELJ290" s="22"/>
      <c r="ELK290" s="22"/>
      <c r="ELL290" s="22"/>
      <c r="ELM290" s="22"/>
      <c r="ELN290" s="22"/>
      <c r="ELO290" s="22"/>
      <c r="ELP290" s="22"/>
      <c r="ELQ290" s="22"/>
      <c r="ELR290" s="22"/>
      <c r="ELS290" s="22"/>
      <c r="ELT290" s="22"/>
      <c r="ELU290" s="22"/>
      <c r="ELV290" s="22"/>
      <c r="ELW290" s="22"/>
      <c r="ELX290" s="22"/>
      <c r="ELY290" s="22"/>
      <c r="ELZ290" s="22"/>
      <c r="EMA290" s="22"/>
      <c r="EMB290" s="22"/>
      <c r="EMC290" s="22"/>
      <c r="EMD290" s="22"/>
      <c r="EME290" s="22"/>
      <c r="EMF290" s="22"/>
      <c r="EMG290" s="22"/>
      <c r="EMH290" s="22"/>
      <c r="EMI290" s="22"/>
      <c r="EMJ290" s="22"/>
      <c r="EMK290" s="22"/>
      <c r="EML290" s="22"/>
      <c r="EMM290" s="22"/>
      <c r="EMN290" s="22"/>
      <c r="EMO290" s="22"/>
      <c r="EMP290" s="22"/>
      <c r="EMQ290" s="22"/>
      <c r="EMR290" s="22"/>
      <c r="EMS290" s="22"/>
      <c r="EMT290" s="22"/>
      <c r="EMU290" s="22"/>
      <c r="EMV290" s="22"/>
      <c r="EMW290" s="22"/>
      <c r="EMX290" s="22"/>
      <c r="EMY290" s="22"/>
      <c r="EMZ290" s="22"/>
      <c r="ENA290" s="22"/>
      <c r="ENB290" s="22"/>
      <c r="ENC290" s="22"/>
      <c r="END290" s="22"/>
      <c r="ENE290" s="22"/>
      <c r="ENF290" s="22"/>
      <c r="ENG290" s="22"/>
      <c r="ENH290" s="22"/>
      <c r="ENI290" s="22"/>
      <c r="ENJ290" s="22"/>
      <c r="ENK290" s="22"/>
      <c r="ENL290" s="22"/>
      <c r="ENM290" s="22"/>
      <c r="ENN290" s="22"/>
      <c r="ENO290" s="22"/>
      <c r="ENP290" s="22"/>
      <c r="ENQ290" s="22"/>
      <c r="ENR290" s="22"/>
      <c r="ENS290" s="22"/>
      <c r="ENT290" s="22"/>
      <c r="ENU290" s="22"/>
      <c r="ENV290" s="22"/>
      <c r="ENW290" s="22"/>
      <c r="ENX290" s="22"/>
      <c r="ENY290" s="22"/>
      <c r="ENZ290" s="22"/>
      <c r="EOA290" s="22"/>
      <c r="EOB290" s="22"/>
      <c r="EOC290" s="22"/>
      <c r="EOD290" s="22"/>
      <c r="EOE290" s="22"/>
      <c r="EOF290" s="22"/>
      <c r="EOG290" s="22"/>
      <c r="EOH290" s="22"/>
      <c r="EOI290" s="22"/>
      <c r="EOJ290" s="22"/>
      <c r="EOK290" s="22"/>
      <c r="EOL290" s="22"/>
      <c r="EOM290" s="22"/>
      <c r="EON290" s="22"/>
      <c r="EOO290" s="22"/>
      <c r="EOP290" s="22"/>
      <c r="EOQ290" s="22"/>
      <c r="EOR290" s="22"/>
      <c r="EOS290" s="22"/>
      <c r="EOT290" s="22"/>
      <c r="EOU290" s="22"/>
      <c r="EOV290" s="22"/>
      <c r="EOW290" s="22"/>
      <c r="EOX290" s="22"/>
      <c r="EOY290" s="22"/>
      <c r="EOZ290" s="22"/>
      <c r="EPA290" s="22"/>
      <c r="EPB290" s="22"/>
      <c r="EPC290" s="22"/>
      <c r="EPD290" s="22"/>
      <c r="EPE290" s="22"/>
      <c r="EPF290" s="22"/>
      <c r="EPG290" s="22"/>
      <c r="EPH290" s="22"/>
      <c r="EPI290" s="22"/>
      <c r="EPJ290" s="22"/>
      <c r="EPK290" s="22"/>
      <c r="EPL290" s="22"/>
      <c r="EPM290" s="22"/>
      <c r="EPN290" s="22"/>
      <c r="EPO290" s="22"/>
      <c r="EPP290" s="22"/>
      <c r="EPQ290" s="22"/>
      <c r="EPR290" s="22"/>
      <c r="EPS290" s="22"/>
      <c r="EPT290" s="22"/>
      <c r="EPU290" s="22"/>
      <c r="EPV290" s="22"/>
      <c r="EPW290" s="22"/>
      <c r="EPX290" s="22"/>
      <c r="EPY290" s="22"/>
      <c r="EPZ290" s="22"/>
      <c r="EQA290" s="22"/>
      <c r="EQB290" s="22"/>
      <c r="EQC290" s="22"/>
      <c r="EQD290" s="22"/>
      <c r="EQE290" s="22"/>
      <c r="EQF290" s="22"/>
      <c r="EQG290" s="22"/>
      <c r="EQH290" s="22"/>
      <c r="EQI290" s="22"/>
      <c r="EQJ290" s="22"/>
      <c r="EQK290" s="22"/>
      <c r="EQL290" s="22"/>
      <c r="EQM290" s="22"/>
      <c r="EQN290" s="22"/>
      <c r="EQO290" s="22"/>
      <c r="EQP290" s="22"/>
      <c r="EQQ290" s="22"/>
      <c r="EQR290" s="22"/>
      <c r="EQS290" s="22"/>
      <c r="EQT290" s="22"/>
      <c r="EQU290" s="22"/>
      <c r="EQV290" s="22"/>
      <c r="EQW290" s="22"/>
      <c r="EQX290" s="22"/>
      <c r="EQY290" s="22"/>
      <c r="EQZ290" s="22"/>
      <c r="ERA290" s="22"/>
      <c r="ERB290" s="22"/>
      <c r="ERC290" s="22"/>
      <c r="ERD290" s="22"/>
      <c r="ERE290" s="22"/>
      <c r="ERF290" s="22"/>
      <c r="ERG290" s="22"/>
      <c r="ERH290" s="22"/>
      <c r="ERI290" s="22"/>
      <c r="ERJ290" s="22"/>
      <c r="ERK290" s="22"/>
      <c r="ERL290" s="22"/>
      <c r="ERM290" s="22"/>
      <c r="ERN290" s="22"/>
      <c r="ERO290" s="22"/>
      <c r="ERP290" s="22"/>
      <c r="ERQ290" s="22"/>
      <c r="ERR290" s="22"/>
      <c r="ERS290" s="22"/>
      <c r="ERT290" s="22"/>
      <c r="ERU290" s="22"/>
      <c r="ERV290" s="22"/>
      <c r="ERW290" s="22"/>
      <c r="ERX290" s="22"/>
      <c r="ERY290" s="22"/>
      <c r="ERZ290" s="22"/>
      <c r="ESA290" s="22"/>
      <c r="ESB290" s="22"/>
      <c r="ESC290" s="22"/>
      <c r="ESD290" s="22"/>
      <c r="ESE290" s="22"/>
      <c r="ESF290" s="22"/>
      <c r="ESG290" s="22"/>
      <c r="ESH290" s="22"/>
      <c r="ESI290" s="22"/>
      <c r="ESJ290" s="22"/>
      <c r="ESK290" s="22"/>
      <c r="ESL290" s="22"/>
      <c r="ESM290" s="22"/>
      <c r="ESN290" s="22"/>
      <c r="ESO290" s="22"/>
      <c r="ESP290" s="22"/>
      <c r="ESQ290" s="22"/>
      <c r="ESR290" s="22"/>
      <c r="ESS290" s="22"/>
      <c r="EST290" s="22"/>
      <c r="ESU290" s="22"/>
      <c r="ESV290" s="22"/>
      <c r="ESW290" s="22"/>
      <c r="ESX290" s="22"/>
      <c r="ESY290" s="22"/>
      <c r="ESZ290" s="22"/>
      <c r="ETA290" s="22"/>
      <c r="ETB290" s="22"/>
      <c r="ETC290" s="22"/>
      <c r="ETD290" s="22"/>
      <c r="ETE290" s="22"/>
      <c r="ETF290" s="22"/>
      <c r="ETG290" s="22"/>
      <c r="ETH290" s="22"/>
      <c r="ETI290" s="22"/>
      <c r="ETJ290" s="22"/>
      <c r="ETK290" s="22"/>
      <c r="ETL290" s="22"/>
      <c r="ETM290" s="22"/>
      <c r="ETN290" s="22"/>
      <c r="ETO290" s="22"/>
      <c r="ETP290" s="22"/>
      <c r="ETQ290" s="22"/>
      <c r="ETR290" s="22"/>
      <c r="ETS290" s="22"/>
      <c r="ETT290" s="22"/>
      <c r="ETU290" s="22"/>
      <c r="ETV290" s="22"/>
      <c r="ETW290" s="22"/>
      <c r="ETX290" s="22"/>
      <c r="ETY290" s="22"/>
      <c r="ETZ290" s="22"/>
      <c r="EUA290" s="22"/>
      <c r="EUB290" s="22"/>
      <c r="EUC290" s="22"/>
      <c r="EUD290" s="22"/>
      <c r="EUE290" s="22"/>
      <c r="EUF290" s="22"/>
      <c r="EUG290" s="22"/>
      <c r="EUH290" s="22"/>
      <c r="EUI290" s="22"/>
      <c r="EUJ290" s="22"/>
      <c r="EUK290" s="22"/>
      <c r="EUL290" s="22"/>
      <c r="EUM290" s="22"/>
      <c r="EUN290" s="22"/>
      <c r="EUO290" s="22"/>
      <c r="EUP290" s="22"/>
      <c r="EUQ290" s="22"/>
      <c r="EUR290" s="22"/>
      <c r="EUS290" s="22"/>
      <c r="EUT290" s="22"/>
      <c r="EUU290" s="22"/>
      <c r="EUV290" s="22"/>
      <c r="EUW290" s="22"/>
      <c r="EUX290" s="22"/>
      <c r="EUY290" s="22"/>
      <c r="EUZ290" s="22"/>
      <c r="EVA290" s="22"/>
      <c r="EVB290" s="22"/>
      <c r="EVC290" s="22"/>
      <c r="EVD290" s="22"/>
      <c r="EVE290" s="22"/>
      <c r="EVF290" s="22"/>
      <c r="EVG290" s="22"/>
      <c r="EVH290" s="22"/>
      <c r="EVI290" s="22"/>
      <c r="EVJ290" s="22"/>
      <c r="EVK290" s="22"/>
      <c r="EVL290" s="22"/>
      <c r="EVM290" s="22"/>
      <c r="EVN290" s="22"/>
      <c r="EVO290" s="22"/>
      <c r="EVP290" s="22"/>
      <c r="EVQ290" s="22"/>
      <c r="EVR290" s="22"/>
      <c r="EVS290" s="22"/>
      <c r="EVT290" s="22"/>
      <c r="EVU290" s="22"/>
      <c r="EVV290" s="22"/>
      <c r="EVW290" s="22"/>
      <c r="EVX290" s="22"/>
      <c r="EVY290" s="22"/>
      <c r="EVZ290" s="22"/>
      <c r="EWA290" s="22"/>
      <c r="EWB290" s="22"/>
      <c r="EWC290" s="22"/>
      <c r="EWD290" s="22"/>
      <c r="EWE290" s="22"/>
      <c r="EWF290" s="22"/>
      <c r="EWG290" s="22"/>
      <c r="EWH290" s="22"/>
      <c r="EWI290" s="22"/>
      <c r="EWJ290" s="22"/>
      <c r="EWK290" s="22"/>
      <c r="EWL290" s="22"/>
      <c r="EWM290" s="22"/>
      <c r="EWN290" s="22"/>
      <c r="EWO290" s="22"/>
      <c r="EWP290" s="22"/>
      <c r="EWQ290" s="22"/>
      <c r="EWR290" s="22"/>
      <c r="EWS290" s="22"/>
      <c r="EWT290" s="22"/>
      <c r="EWU290" s="22"/>
      <c r="EWV290" s="22"/>
      <c r="EWW290" s="22"/>
      <c r="EWX290" s="22"/>
      <c r="EWY290" s="22"/>
      <c r="EWZ290" s="22"/>
      <c r="EXA290" s="22"/>
      <c r="EXB290" s="22"/>
      <c r="EXC290" s="22"/>
      <c r="EXD290" s="22"/>
      <c r="EXE290" s="22"/>
      <c r="EXF290" s="22"/>
      <c r="EXG290" s="22"/>
      <c r="EXH290" s="22"/>
      <c r="EXI290" s="22"/>
      <c r="EXJ290" s="22"/>
      <c r="EXK290" s="22"/>
      <c r="EXL290" s="22"/>
      <c r="EXM290" s="22"/>
      <c r="EXN290" s="22"/>
      <c r="EXO290" s="22"/>
      <c r="EXP290" s="22"/>
      <c r="EXQ290" s="22"/>
      <c r="EXR290" s="22"/>
      <c r="EXS290" s="22"/>
      <c r="EXT290" s="22"/>
      <c r="EXU290" s="22"/>
      <c r="EXV290" s="22"/>
      <c r="EXW290" s="22"/>
      <c r="EXX290" s="22"/>
      <c r="EXY290" s="22"/>
      <c r="EXZ290" s="22"/>
      <c r="EYA290" s="22"/>
      <c r="EYB290" s="22"/>
      <c r="EYC290" s="22"/>
      <c r="EYD290" s="22"/>
      <c r="EYE290" s="22"/>
      <c r="EYF290" s="22"/>
      <c r="EYG290" s="22"/>
      <c r="EYH290" s="22"/>
      <c r="EYI290" s="22"/>
      <c r="EYJ290" s="22"/>
      <c r="EYK290" s="22"/>
      <c r="EYL290" s="22"/>
      <c r="EYM290" s="22"/>
      <c r="EYN290" s="22"/>
      <c r="EYO290" s="22"/>
      <c r="EYP290" s="22"/>
      <c r="EYQ290" s="22"/>
      <c r="EYR290" s="22"/>
      <c r="EYS290" s="22"/>
      <c r="EYT290" s="22"/>
      <c r="EYU290" s="22"/>
      <c r="EYV290" s="22"/>
      <c r="EYW290" s="22"/>
      <c r="EYX290" s="22"/>
      <c r="EYY290" s="22"/>
      <c r="EYZ290" s="22"/>
      <c r="EZA290" s="22"/>
      <c r="EZB290" s="22"/>
      <c r="EZC290" s="22"/>
      <c r="EZD290" s="22"/>
      <c r="EZE290" s="22"/>
      <c r="EZF290" s="22"/>
      <c r="EZG290" s="22"/>
      <c r="EZH290" s="22"/>
      <c r="EZI290" s="22"/>
      <c r="EZJ290" s="22"/>
      <c r="EZK290" s="22"/>
      <c r="EZL290" s="22"/>
      <c r="EZM290" s="22"/>
      <c r="EZN290" s="22"/>
      <c r="EZO290" s="22"/>
      <c r="EZP290" s="22"/>
      <c r="EZQ290" s="22"/>
      <c r="EZR290" s="22"/>
      <c r="EZS290" s="22"/>
      <c r="EZT290" s="22"/>
      <c r="EZU290" s="22"/>
      <c r="EZV290" s="22"/>
      <c r="EZW290" s="22"/>
      <c r="EZX290" s="22"/>
      <c r="EZY290" s="22"/>
      <c r="EZZ290" s="22"/>
      <c r="FAA290" s="22"/>
      <c r="FAB290" s="22"/>
      <c r="FAC290" s="22"/>
      <c r="FAD290" s="22"/>
      <c r="FAE290" s="22"/>
      <c r="FAF290" s="22"/>
      <c r="FAG290" s="22"/>
      <c r="FAH290" s="22"/>
      <c r="FAI290" s="22"/>
      <c r="FAJ290" s="22"/>
      <c r="FAK290" s="22"/>
      <c r="FAL290" s="22"/>
      <c r="FAM290" s="22"/>
      <c r="FAN290" s="22"/>
      <c r="FAO290" s="22"/>
      <c r="FAP290" s="22"/>
      <c r="FAQ290" s="22"/>
      <c r="FAR290" s="22"/>
      <c r="FAS290" s="22"/>
      <c r="FAT290" s="22"/>
      <c r="FAU290" s="22"/>
      <c r="FAV290" s="22"/>
      <c r="FAW290" s="22"/>
      <c r="FAX290" s="22"/>
      <c r="FAY290" s="22"/>
      <c r="FAZ290" s="22"/>
      <c r="FBA290" s="22"/>
      <c r="FBB290" s="22"/>
      <c r="FBC290" s="22"/>
      <c r="FBD290" s="22"/>
      <c r="FBE290" s="22"/>
      <c r="FBF290" s="22"/>
      <c r="FBG290" s="22"/>
      <c r="FBH290" s="22"/>
      <c r="FBI290" s="22"/>
      <c r="FBJ290" s="22"/>
      <c r="FBK290" s="22"/>
      <c r="FBL290" s="22"/>
      <c r="FBM290" s="22"/>
      <c r="FBN290" s="22"/>
      <c r="FBO290" s="22"/>
      <c r="FBP290" s="22"/>
      <c r="FBQ290" s="22"/>
      <c r="FBR290" s="22"/>
      <c r="FBS290" s="22"/>
      <c r="FBT290" s="22"/>
      <c r="FBU290" s="22"/>
      <c r="FBV290" s="22"/>
      <c r="FBW290" s="22"/>
      <c r="FBX290" s="22"/>
      <c r="FBY290" s="22"/>
      <c r="FBZ290" s="22"/>
      <c r="FCA290" s="22"/>
      <c r="FCB290" s="22"/>
      <c r="FCC290" s="22"/>
      <c r="FCD290" s="22"/>
      <c r="FCE290" s="22"/>
      <c r="FCF290" s="22"/>
      <c r="FCG290" s="22"/>
      <c r="FCH290" s="22"/>
      <c r="FCI290" s="22"/>
      <c r="FCJ290" s="22"/>
      <c r="FCK290" s="22"/>
      <c r="FCL290" s="22"/>
      <c r="FCM290" s="22"/>
      <c r="FCN290" s="22"/>
      <c r="FCO290" s="22"/>
      <c r="FCP290" s="22"/>
      <c r="FCQ290" s="22"/>
      <c r="FCR290" s="22"/>
      <c r="FCS290" s="22"/>
      <c r="FCT290" s="22"/>
      <c r="FCU290" s="22"/>
      <c r="FCV290" s="22"/>
      <c r="FCW290" s="22"/>
      <c r="FCX290" s="22"/>
      <c r="FCY290" s="22"/>
      <c r="FCZ290" s="22"/>
      <c r="FDA290" s="22"/>
      <c r="FDB290" s="22"/>
      <c r="FDC290" s="22"/>
      <c r="FDD290" s="22"/>
      <c r="FDE290" s="22"/>
      <c r="FDF290" s="22"/>
      <c r="FDG290" s="22"/>
      <c r="FDH290" s="22"/>
      <c r="FDI290" s="22"/>
      <c r="FDJ290" s="22"/>
      <c r="FDK290" s="22"/>
      <c r="FDL290" s="22"/>
      <c r="FDM290" s="22"/>
      <c r="FDN290" s="22"/>
      <c r="FDO290" s="22"/>
      <c r="FDP290" s="22"/>
      <c r="FDQ290" s="22"/>
      <c r="FDR290" s="22"/>
      <c r="FDS290" s="22"/>
      <c r="FDT290" s="22"/>
      <c r="FDU290" s="22"/>
      <c r="FDV290" s="22"/>
      <c r="FDW290" s="22"/>
      <c r="FDX290" s="22"/>
      <c r="FDY290" s="22"/>
      <c r="FDZ290" s="22"/>
      <c r="FEA290" s="22"/>
      <c r="FEB290" s="22"/>
      <c r="FEC290" s="22"/>
      <c r="FED290" s="22"/>
      <c r="FEE290" s="22"/>
      <c r="FEF290" s="22"/>
      <c r="FEG290" s="22"/>
      <c r="FEH290" s="22"/>
      <c r="FEI290" s="22"/>
      <c r="FEJ290" s="22"/>
      <c r="FEK290" s="22"/>
      <c r="FEL290" s="22"/>
      <c r="FEM290" s="22"/>
      <c r="FEN290" s="22"/>
      <c r="FEO290" s="22"/>
      <c r="FEP290" s="22"/>
      <c r="FEQ290" s="22"/>
      <c r="FER290" s="22"/>
      <c r="FES290" s="22"/>
      <c r="FET290" s="22"/>
      <c r="FEU290" s="22"/>
      <c r="FEV290" s="22"/>
      <c r="FEW290" s="22"/>
      <c r="FEX290" s="22"/>
      <c r="FEY290" s="22"/>
      <c r="FEZ290" s="22"/>
      <c r="FFA290" s="22"/>
      <c r="FFB290" s="22"/>
      <c r="FFC290" s="22"/>
      <c r="FFD290" s="22"/>
      <c r="FFE290" s="22"/>
      <c r="FFF290" s="22"/>
      <c r="FFG290" s="22"/>
      <c r="FFH290" s="22"/>
      <c r="FFI290" s="22"/>
      <c r="FFJ290" s="22"/>
      <c r="FFK290" s="22"/>
      <c r="FFL290" s="22"/>
      <c r="FFM290" s="22"/>
      <c r="FFN290" s="22"/>
      <c r="FFO290" s="22"/>
      <c r="FFP290" s="22"/>
      <c r="FFQ290" s="22"/>
      <c r="FFR290" s="22"/>
      <c r="FFS290" s="22"/>
      <c r="FFT290" s="22"/>
      <c r="FFU290" s="22"/>
      <c r="FFV290" s="22"/>
      <c r="FFW290" s="22"/>
      <c r="FFX290" s="22"/>
      <c r="FFY290" s="22"/>
      <c r="FFZ290" s="22"/>
      <c r="FGA290" s="22"/>
      <c r="FGB290" s="22"/>
      <c r="FGC290" s="22"/>
      <c r="FGD290" s="22"/>
      <c r="FGE290" s="22"/>
      <c r="FGF290" s="22"/>
      <c r="FGG290" s="22"/>
      <c r="FGH290" s="22"/>
      <c r="FGI290" s="22"/>
      <c r="FGJ290" s="22"/>
      <c r="FGK290" s="22"/>
      <c r="FGL290" s="22"/>
      <c r="FGM290" s="22"/>
      <c r="FGN290" s="22"/>
      <c r="FGO290" s="22"/>
      <c r="FGP290" s="22"/>
      <c r="FGQ290" s="22"/>
      <c r="FGR290" s="22"/>
      <c r="FGS290" s="22"/>
      <c r="FGT290" s="22"/>
      <c r="FGU290" s="22"/>
      <c r="FGV290" s="22"/>
      <c r="FGW290" s="22"/>
      <c r="FGX290" s="22"/>
      <c r="FGY290" s="22"/>
      <c r="FGZ290" s="22"/>
      <c r="FHA290" s="22"/>
      <c r="FHB290" s="22"/>
      <c r="FHC290" s="22"/>
      <c r="FHD290" s="22"/>
      <c r="FHE290" s="22"/>
      <c r="FHF290" s="22"/>
      <c r="FHG290" s="22"/>
      <c r="FHH290" s="22"/>
      <c r="FHI290" s="22"/>
      <c r="FHJ290" s="22"/>
      <c r="FHK290" s="22"/>
      <c r="FHL290" s="22"/>
      <c r="FHM290" s="22"/>
      <c r="FHN290" s="22"/>
      <c r="FHO290" s="22"/>
      <c r="FHP290" s="22"/>
      <c r="FHQ290" s="22"/>
      <c r="FHR290" s="22"/>
      <c r="FHS290" s="22"/>
      <c r="FHT290" s="22"/>
      <c r="FHU290" s="22"/>
      <c r="FHV290" s="22"/>
      <c r="FHW290" s="22"/>
      <c r="FHX290" s="22"/>
      <c r="FHY290" s="22"/>
      <c r="FHZ290" s="22"/>
      <c r="FIA290" s="22"/>
      <c r="FIB290" s="22"/>
      <c r="FIC290" s="22"/>
      <c r="FID290" s="22"/>
      <c r="FIE290" s="22"/>
      <c r="FIF290" s="22"/>
      <c r="FIG290" s="22"/>
      <c r="FIH290" s="22"/>
      <c r="FII290" s="22"/>
      <c r="FIJ290" s="22"/>
      <c r="FIK290" s="22"/>
      <c r="FIL290" s="22"/>
      <c r="FIM290" s="22"/>
      <c r="FIN290" s="22"/>
      <c r="FIO290" s="22"/>
      <c r="FIP290" s="22"/>
      <c r="FIQ290" s="22"/>
      <c r="FIR290" s="22"/>
      <c r="FIS290" s="22"/>
      <c r="FIT290" s="22"/>
      <c r="FIU290" s="22"/>
      <c r="FIV290" s="22"/>
      <c r="FIW290" s="22"/>
      <c r="FIX290" s="22"/>
      <c r="FIY290" s="22"/>
      <c r="FIZ290" s="22"/>
      <c r="FJA290" s="22"/>
      <c r="FJB290" s="22"/>
      <c r="FJC290" s="22"/>
      <c r="FJD290" s="22"/>
      <c r="FJE290" s="22"/>
      <c r="FJF290" s="22"/>
      <c r="FJG290" s="22"/>
      <c r="FJH290" s="22"/>
      <c r="FJI290" s="22"/>
      <c r="FJJ290" s="22"/>
      <c r="FJK290" s="22"/>
      <c r="FJL290" s="22"/>
      <c r="FJM290" s="22"/>
      <c r="FJN290" s="22"/>
      <c r="FJO290" s="22"/>
      <c r="FJP290" s="22"/>
      <c r="FJQ290" s="22"/>
      <c r="FJR290" s="22"/>
      <c r="FJS290" s="22"/>
      <c r="FJT290" s="22"/>
      <c r="FJU290" s="22"/>
      <c r="FJV290" s="22"/>
      <c r="FJW290" s="22"/>
      <c r="FJX290" s="22"/>
      <c r="FJY290" s="22"/>
      <c r="FJZ290" s="22"/>
      <c r="FKA290" s="22"/>
      <c r="FKB290" s="22"/>
      <c r="FKC290" s="22"/>
      <c r="FKD290" s="22"/>
      <c r="FKE290" s="22"/>
      <c r="FKF290" s="22"/>
      <c r="FKG290" s="22"/>
      <c r="FKH290" s="22"/>
      <c r="FKI290" s="22"/>
      <c r="FKJ290" s="22"/>
      <c r="FKK290" s="22"/>
      <c r="FKL290" s="22"/>
      <c r="FKM290" s="22"/>
      <c r="FKN290" s="22"/>
      <c r="FKO290" s="22"/>
      <c r="FKP290" s="22"/>
      <c r="FKQ290" s="22"/>
      <c r="FKR290" s="22"/>
      <c r="FKS290" s="22"/>
      <c r="FKT290" s="22"/>
      <c r="FKU290" s="22"/>
      <c r="FKV290" s="22"/>
      <c r="FKW290" s="22"/>
      <c r="FKX290" s="22"/>
      <c r="FKY290" s="22"/>
      <c r="FKZ290" s="22"/>
      <c r="FLA290" s="22"/>
      <c r="FLB290" s="22"/>
      <c r="FLC290" s="22"/>
      <c r="FLD290" s="22"/>
      <c r="FLE290" s="22"/>
      <c r="FLF290" s="22"/>
      <c r="FLG290" s="22"/>
      <c r="FLH290" s="22"/>
      <c r="FLI290" s="22"/>
      <c r="FLJ290" s="22"/>
      <c r="FLK290" s="22"/>
      <c r="FLL290" s="22"/>
      <c r="FLM290" s="22"/>
      <c r="FLN290" s="22"/>
      <c r="FLO290" s="22"/>
      <c r="FLP290" s="22"/>
      <c r="FLQ290" s="22"/>
      <c r="FLR290" s="22"/>
      <c r="FLS290" s="22"/>
      <c r="FLT290" s="22"/>
      <c r="FLU290" s="22"/>
      <c r="FLV290" s="22"/>
      <c r="FLW290" s="22"/>
      <c r="FLX290" s="22"/>
      <c r="FLY290" s="22"/>
      <c r="FLZ290" s="22"/>
      <c r="FMA290" s="22"/>
      <c r="FMB290" s="22"/>
      <c r="FMC290" s="22"/>
      <c r="FMD290" s="22"/>
      <c r="FME290" s="22"/>
      <c r="FMF290" s="22"/>
      <c r="FMG290" s="22"/>
      <c r="FMH290" s="22"/>
      <c r="FMI290" s="22"/>
      <c r="FMJ290" s="22"/>
      <c r="FMK290" s="22"/>
      <c r="FML290" s="22"/>
      <c r="FMM290" s="22"/>
      <c r="FMN290" s="22"/>
      <c r="FMO290" s="22"/>
      <c r="FMP290" s="22"/>
      <c r="FMQ290" s="22"/>
      <c r="FMR290" s="22"/>
      <c r="FMS290" s="22"/>
      <c r="FMT290" s="22"/>
      <c r="FMU290" s="22"/>
      <c r="FMV290" s="22"/>
      <c r="FMW290" s="22"/>
      <c r="FMX290" s="22"/>
      <c r="FMY290" s="22"/>
      <c r="FMZ290" s="22"/>
      <c r="FNA290" s="22"/>
      <c r="FNB290" s="22"/>
      <c r="FNC290" s="22"/>
      <c r="FND290" s="22"/>
      <c r="FNE290" s="22"/>
      <c r="FNF290" s="22"/>
      <c r="FNG290" s="22"/>
      <c r="FNH290" s="22"/>
      <c r="FNI290" s="22"/>
      <c r="FNJ290" s="22"/>
      <c r="FNK290" s="22"/>
      <c r="FNL290" s="22"/>
      <c r="FNM290" s="22"/>
      <c r="FNN290" s="22"/>
      <c r="FNO290" s="22"/>
      <c r="FNP290" s="22"/>
      <c r="FNQ290" s="22"/>
      <c r="FNR290" s="22"/>
      <c r="FNS290" s="22"/>
      <c r="FNT290" s="22"/>
      <c r="FNU290" s="22"/>
      <c r="FNV290" s="22"/>
      <c r="FNW290" s="22"/>
      <c r="FNX290" s="22"/>
      <c r="FNY290" s="22"/>
      <c r="FNZ290" s="22"/>
      <c r="FOA290" s="22"/>
      <c r="FOB290" s="22"/>
      <c r="FOC290" s="22"/>
      <c r="FOD290" s="22"/>
      <c r="FOE290" s="22"/>
      <c r="FOF290" s="22"/>
      <c r="FOG290" s="22"/>
      <c r="FOH290" s="22"/>
      <c r="FOI290" s="22"/>
      <c r="FOJ290" s="22"/>
      <c r="FOK290" s="22"/>
      <c r="FOL290" s="22"/>
      <c r="FOM290" s="22"/>
      <c r="FON290" s="22"/>
      <c r="FOO290" s="22"/>
      <c r="FOP290" s="22"/>
      <c r="FOQ290" s="22"/>
      <c r="FOR290" s="22"/>
      <c r="FOS290" s="22"/>
      <c r="FOT290" s="22"/>
      <c r="FOU290" s="22"/>
      <c r="FOV290" s="22"/>
      <c r="FOW290" s="22"/>
      <c r="FOX290" s="22"/>
      <c r="FOY290" s="22"/>
      <c r="FOZ290" s="22"/>
      <c r="FPA290" s="22"/>
      <c r="FPB290" s="22"/>
      <c r="FPC290" s="22"/>
      <c r="FPD290" s="22"/>
      <c r="FPE290" s="22"/>
      <c r="FPF290" s="22"/>
      <c r="FPG290" s="22"/>
      <c r="FPH290" s="22"/>
      <c r="FPI290" s="22"/>
      <c r="FPJ290" s="22"/>
      <c r="FPK290" s="22"/>
      <c r="FPL290" s="22"/>
      <c r="FPM290" s="22"/>
      <c r="FPN290" s="22"/>
      <c r="FPO290" s="22"/>
      <c r="FPP290" s="22"/>
      <c r="FPQ290" s="22"/>
      <c r="FPR290" s="22"/>
      <c r="FPS290" s="22"/>
      <c r="FPT290" s="22"/>
      <c r="FPU290" s="22"/>
      <c r="FPV290" s="22"/>
      <c r="FPW290" s="22"/>
      <c r="FPX290" s="22"/>
      <c r="FPY290" s="22"/>
      <c r="FPZ290" s="22"/>
      <c r="FQA290" s="22"/>
      <c r="FQB290" s="22"/>
      <c r="FQC290" s="22"/>
      <c r="FQD290" s="22"/>
      <c r="FQE290" s="22"/>
      <c r="FQF290" s="22"/>
      <c r="FQG290" s="22"/>
      <c r="FQH290" s="22"/>
      <c r="FQI290" s="22"/>
      <c r="FQJ290" s="22"/>
      <c r="FQK290" s="22"/>
      <c r="FQL290" s="22"/>
      <c r="FQM290" s="22"/>
      <c r="FQN290" s="22"/>
      <c r="FQO290" s="22"/>
      <c r="FQP290" s="22"/>
      <c r="FQQ290" s="22"/>
      <c r="FQR290" s="22"/>
      <c r="FQS290" s="22"/>
      <c r="FQT290" s="22"/>
      <c r="FQU290" s="22"/>
      <c r="FQV290" s="22"/>
      <c r="FQW290" s="22"/>
      <c r="FQX290" s="22"/>
      <c r="FQY290" s="22"/>
      <c r="FQZ290" s="22"/>
      <c r="FRA290" s="22"/>
      <c r="FRB290" s="22"/>
      <c r="FRC290" s="22"/>
      <c r="FRD290" s="22"/>
      <c r="FRE290" s="22"/>
      <c r="FRF290" s="22"/>
      <c r="FRG290" s="22"/>
      <c r="FRH290" s="22"/>
      <c r="FRI290" s="22"/>
      <c r="FRJ290" s="22"/>
      <c r="FRK290" s="22"/>
      <c r="FRL290" s="22"/>
      <c r="FRM290" s="22"/>
      <c r="FRN290" s="22"/>
      <c r="FRO290" s="22"/>
      <c r="FRP290" s="22"/>
      <c r="FRQ290" s="22"/>
      <c r="FRR290" s="22"/>
      <c r="FRS290" s="22"/>
      <c r="FRT290" s="22"/>
      <c r="FRU290" s="22"/>
      <c r="FRV290" s="22"/>
      <c r="FRW290" s="22"/>
      <c r="FRX290" s="22"/>
      <c r="FRY290" s="22"/>
      <c r="FRZ290" s="22"/>
      <c r="FSA290" s="22"/>
      <c r="FSB290" s="22"/>
      <c r="FSC290" s="22"/>
      <c r="FSD290" s="22"/>
      <c r="FSE290" s="22"/>
      <c r="FSF290" s="22"/>
      <c r="FSG290" s="22"/>
      <c r="FSH290" s="22"/>
      <c r="FSI290" s="22"/>
      <c r="FSJ290" s="22"/>
      <c r="FSK290" s="22"/>
      <c r="FSL290" s="22"/>
      <c r="FSM290" s="22"/>
      <c r="FSN290" s="22"/>
      <c r="FSO290" s="22"/>
      <c r="FSP290" s="22"/>
      <c r="FSQ290" s="22"/>
      <c r="FSR290" s="22"/>
      <c r="FSS290" s="22"/>
      <c r="FST290" s="22"/>
      <c r="FSU290" s="22"/>
      <c r="FSV290" s="22"/>
      <c r="FSW290" s="22"/>
      <c r="FSX290" s="22"/>
      <c r="FSY290" s="22"/>
      <c r="FSZ290" s="22"/>
      <c r="FTA290" s="22"/>
      <c r="FTB290" s="22"/>
      <c r="FTC290" s="22"/>
      <c r="FTD290" s="22"/>
      <c r="FTE290" s="22"/>
      <c r="FTF290" s="22"/>
      <c r="FTG290" s="22"/>
      <c r="FTH290" s="22"/>
      <c r="FTI290" s="22"/>
      <c r="FTJ290" s="22"/>
      <c r="FTK290" s="22"/>
      <c r="FTL290" s="22"/>
      <c r="FTM290" s="22"/>
      <c r="FTN290" s="22"/>
      <c r="FTO290" s="22"/>
      <c r="FTP290" s="22"/>
      <c r="FTQ290" s="22"/>
      <c r="FTR290" s="22"/>
      <c r="FTS290" s="22"/>
      <c r="FTT290" s="22"/>
      <c r="FTU290" s="22"/>
      <c r="FTV290" s="22"/>
      <c r="FTW290" s="22"/>
      <c r="FTX290" s="22"/>
      <c r="FTY290" s="22"/>
      <c r="FTZ290" s="22"/>
      <c r="FUA290" s="22"/>
      <c r="FUB290" s="22"/>
      <c r="FUC290" s="22"/>
      <c r="FUD290" s="22"/>
      <c r="FUE290" s="22"/>
      <c r="FUF290" s="22"/>
      <c r="FUG290" s="22"/>
      <c r="FUH290" s="22"/>
      <c r="FUI290" s="22"/>
      <c r="FUJ290" s="22"/>
      <c r="FUK290" s="22"/>
      <c r="FUL290" s="22"/>
      <c r="FUM290" s="22"/>
      <c r="FUN290" s="22"/>
      <c r="FUO290" s="22"/>
      <c r="FUP290" s="22"/>
      <c r="FUQ290" s="22"/>
      <c r="FUR290" s="22"/>
      <c r="FUS290" s="22"/>
      <c r="FUT290" s="22"/>
      <c r="FUU290" s="22"/>
      <c r="FUV290" s="22"/>
      <c r="FUW290" s="22"/>
      <c r="FUX290" s="22"/>
      <c r="FUY290" s="22"/>
      <c r="FUZ290" s="22"/>
      <c r="FVA290" s="22"/>
      <c r="FVB290" s="22"/>
      <c r="FVC290" s="22"/>
      <c r="FVD290" s="22"/>
      <c r="FVE290" s="22"/>
      <c r="FVF290" s="22"/>
      <c r="FVG290" s="22"/>
      <c r="FVH290" s="22"/>
      <c r="FVI290" s="22"/>
      <c r="FVJ290" s="22"/>
      <c r="FVK290" s="22"/>
      <c r="FVL290" s="22"/>
      <c r="FVM290" s="22"/>
      <c r="FVN290" s="22"/>
      <c r="FVO290" s="22"/>
      <c r="FVP290" s="22"/>
      <c r="FVQ290" s="22"/>
      <c r="FVR290" s="22"/>
      <c r="FVS290" s="22"/>
      <c r="FVT290" s="22"/>
      <c r="FVU290" s="22"/>
      <c r="FVV290" s="22"/>
      <c r="FVW290" s="22"/>
      <c r="FVX290" s="22"/>
      <c r="FVY290" s="22"/>
      <c r="FVZ290" s="22"/>
      <c r="FWA290" s="22"/>
      <c r="FWB290" s="22"/>
      <c r="FWC290" s="22"/>
      <c r="FWD290" s="22"/>
      <c r="FWE290" s="22"/>
      <c r="FWF290" s="22"/>
      <c r="FWG290" s="22"/>
      <c r="FWH290" s="22"/>
      <c r="FWI290" s="22"/>
      <c r="FWJ290" s="22"/>
      <c r="FWK290" s="22"/>
      <c r="FWL290" s="22"/>
      <c r="FWM290" s="22"/>
      <c r="FWN290" s="22"/>
      <c r="FWO290" s="22"/>
      <c r="FWP290" s="22"/>
      <c r="FWQ290" s="22"/>
      <c r="FWR290" s="22"/>
      <c r="FWS290" s="22"/>
      <c r="FWT290" s="22"/>
      <c r="FWU290" s="22"/>
      <c r="FWV290" s="22"/>
      <c r="FWW290" s="22"/>
      <c r="FWX290" s="22"/>
      <c r="FWY290" s="22"/>
      <c r="FWZ290" s="22"/>
      <c r="FXA290" s="22"/>
      <c r="FXB290" s="22"/>
      <c r="FXC290" s="22"/>
      <c r="FXD290" s="22"/>
      <c r="FXE290" s="22"/>
      <c r="FXF290" s="22"/>
      <c r="FXG290" s="22"/>
      <c r="FXH290" s="22"/>
      <c r="FXI290" s="22"/>
      <c r="FXJ290" s="22"/>
      <c r="FXK290" s="22"/>
      <c r="FXL290" s="22"/>
      <c r="FXM290" s="22"/>
      <c r="FXN290" s="22"/>
      <c r="FXO290" s="22"/>
      <c r="FXP290" s="22"/>
      <c r="FXQ290" s="22"/>
      <c r="FXR290" s="22"/>
      <c r="FXS290" s="22"/>
      <c r="FXT290" s="22"/>
      <c r="FXU290" s="22"/>
      <c r="FXV290" s="22"/>
      <c r="FXW290" s="22"/>
      <c r="FXX290" s="22"/>
      <c r="FXY290" s="22"/>
      <c r="FXZ290" s="22"/>
      <c r="FYA290" s="22"/>
      <c r="FYB290" s="22"/>
      <c r="FYC290" s="22"/>
      <c r="FYD290" s="22"/>
      <c r="FYE290" s="22"/>
      <c r="FYF290" s="22"/>
      <c r="FYG290" s="22"/>
      <c r="FYH290" s="22"/>
      <c r="FYI290" s="22"/>
      <c r="FYJ290" s="22"/>
      <c r="FYK290" s="22"/>
      <c r="FYL290" s="22"/>
      <c r="FYM290" s="22"/>
      <c r="FYN290" s="22"/>
      <c r="FYO290" s="22"/>
      <c r="FYP290" s="22"/>
      <c r="FYQ290" s="22"/>
      <c r="FYR290" s="22"/>
      <c r="FYS290" s="22"/>
      <c r="FYT290" s="22"/>
      <c r="FYU290" s="22"/>
      <c r="FYV290" s="22"/>
      <c r="FYW290" s="22"/>
      <c r="FYX290" s="22"/>
      <c r="FYY290" s="22"/>
      <c r="FYZ290" s="22"/>
      <c r="FZA290" s="22"/>
      <c r="FZB290" s="22"/>
      <c r="FZC290" s="22"/>
      <c r="FZD290" s="22"/>
      <c r="FZE290" s="22"/>
      <c r="FZF290" s="22"/>
      <c r="FZG290" s="22"/>
      <c r="FZH290" s="22"/>
      <c r="FZI290" s="22"/>
      <c r="FZJ290" s="22"/>
      <c r="FZK290" s="22"/>
      <c r="FZL290" s="22"/>
      <c r="FZM290" s="22"/>
      <c r="FZN290" s="22"/>
      <c r="FZO290" s="22"/>
      <c r="FZP290" s="22"/>
      <c r="FZQ290" s="22"/>
      <c r="FZR290" s="22"/>
      <c r="FZS290" s="22"/>
      <c r="FZT290" s="22"/>
      <c r="FZU290" s="22"/>
      <c r="FZV290" s="22"/>
      <c r="FZW290" s="22"/>
      <c r="FZX290" s="22"/>
      <c r="FZY290" s="22"/>
      <c r="FZZ290" s="22"/>
      <c r="GAA290" s="22"/>
      <c r="GAB290" s="22"/>
      <c r="GAC290" s="22"/>
      <c r="GAD290" s="22"/>
      <c r="GAE290" s="22"/>
      <c r="GAF290" s="22"/>
      <c r="GAG290" s="22"/>
      <c r="GAH290" s="22"/>
      <c r="GAI290" s="22"/>
      <c r="GAJ290" s="22"/>
      <c r="GAK290" s="22"/>
      <c r="GAL290" s="22"/>
      <c r="GAM290" s="22"/>
      <c r="GAN290" s="22"/>
      <c r="GAO290" s="22"/>
      <c r="GAP290" s="22"/>
      <c r="GAQ290" s="22"/>
      <c r="GAR290" s="22"/>
      <c r="GAS290" s="22"/>
      <c r="GAT290" s="22"/>
      <c r="GAU290" s="22"/>
      <c r="GAV290" s="22"/>
      <c r="GAW290" s="22"/>
      <c r="GAX290" s="22"/>
      <c r="GAY290" s="22"/>
      <c r="GAZ290" s="22"/>
      <c r="GBA290" s="22"/>
      <c r="GBB290" s="22"/>
      <c r="GBC290" s="22"/>
      <c r="GBD290" s="22"/>
      <c r="GBE290" s="22"/>
      <c r="GBF290" s="22"/>
      <c r="GBG290" s="22"/>
      <c r="GBH290" s="22"/>
      <c r="GBI290" s="22"/>
      <c r="GBJ290" s="22"/>
      <c r="GBK290" s="22"/>
      <c r="GBL290" s="22"/>
      <c r="GBM290" s="22"/>
      <c r="GBN290" s="22"/>
      <c r="GBO290" s="22"/>
      <c r="GBP290" s="22"/>
      <c r="GBQ290" s="22"/>
      <c r="GBR290" s="22"/>
      <c r="GBS290" s="22"/>
      <c r="GBT290" s="22"/>
      <c r="GBU290" s="22"/>
      <c r="GBV290" s="22"/>
      <c r="GBW290" s="22"/>
      <c r="GBX290" s="22"/>
      <c r="GBY290" s="22"/>
      <c r="GBZ290" s="22"/>
      <c r="GCA290" s="22"/>
      <c r="GCB290" s="22"/>
      <c r="GCC290" s="22"/>
      <c r="GCD290" s="22"/>
      <c r="GCE290" s="22"/>
      <c r="GCF290" s="22"/>
      <c r="GCG290" s="22"/>
      <c r="GCH290" s="22"/>
      <c r="GCI290" s="22"/>
      <c r="GCJ290" s="22"/>
      <c r="GCK290" s="22"/>
      <c r="GCL290" s="22"/>
      <c r="GCM290" s="22"/>
      <c r="GCN290" s="22"/>
      <c r="GCO290" s="22"/>
      <c r="GCP290" s="22"/>
      <c r="GCQ290" s="22"/>
      <c r="GCR290" s="22"/>
      <c r="GCS290" s="22"/>
      <c r="GCT290" s="22"/>
      <c r="GCU290" s="22"/>
      <c r="GCV290" s="22"/>
      <c r="GCW290" s="22"/>
      <c r="GCX290" s="22"/>
      <c r="GCY290" s="22"/>
      <c r="GCZ290" s="22"/>
      <c r="GDA290" s="22"/>
      <c r="GDB290" s="22"/>
      <c r="GDC290" s="22"/>
      <c r="GDD290" s="22"/>
      <c r="GDE290" s="22"/>
      <c r="GDF290" s="22"/>
      <c r="GDG290" s="22"/>
      <c r="GDH290" s="22"/>
      <c r="GDI290" s="22"/>
      <c r="GDJ290" s="22"/>
      <c r="GDK290" s="22"/>
      <c r="GDL290" s="22"/>
      <c r="GDM290" s="22"/>
      <c r="GDN290" s="22"/>
      <c r="GDO290" s="22"/>
      <c r="GDP290" s="22"/>
      <c r="GDQ290" s="22"/>
      <c r="GDR290" s="22"/>
      <c r="GDS290" s="22"/>
      <c r="GDT290" s="22"/>
      <c r="GDU290" s="22"/>
      <c r="GDV290" s="22"/>
      <c r="GDW290" s="22"/>
      <c r="GDX290" s="22"/>
      <c r="GDY290" s="22"/>
      <c r="GDZ290" s="22"/>
      <c r="GEA290" s="22"/>
      <c r="GEB290" s="22"/>
      <c r="GEC290" s="22"/>
      <c r="GED290" s="22"/>
      <c r="GEE290" s="22"/>
      <c r="GEF290" s="22"/>
      <c r="GEG290" s="22"/>
      <c r="GEH290" s="22"/>
      <c r="GEI290" s="22"/>
      <c r="GEJ290" s="22"/>
      <c r="GEK290" s="22"/>
      <c r="GEL290" s="22"/>
      <c r="GEM290" s="22"/>
      <c r="GEN290" s="22"/>
      <c r="GEO290" s="22"/>
      <c r="GEP290" s="22"/>
      <c r="GEQ290" s="22"/>
      <c r="GER290" s="22"/>
      <c r="GES290" s="22"/>
      <c r="GET290" s="22"/>
      <c r="GEU290" s="22"/>
      <c r="GEV290" s="22"/>
      <c r="GEW290" s="22"/>
      <c r="GEX290" s="22"/>
      <c r="GEY290" s="22"/>
      <c r="GEZ290" s="22"/>
      <c r="GFA290" s="22"/>
      <c r="GFB290" s="22"/>
      <c r="GFC290" s="22"/>
      <c r="GFD290" s="22"/>
      <c r="GFE290" s="22"/>
      <c r="GFF290" s="22"/>
      <c r="GFG290" s="22"/>
      <c r="GFH290" s="22"/>
      <c r="GFI290" s="22"/>
      <c r="GFJ290" s="22"/>
      <c r="GFK290" s="22"/>
      <c r="GFL290" s="22"/>
      <c r="GFM290" s="22"/>
      <c r="GFN290" s="22"/>
      <c r="GFO290" s="22"/>
      <c r="GFP290" s="22"/>
      <c r="GFQ290" s="22"/>
      <c r="GFR290" s="22"/>
      <c r="GFS290" s="22"/>
      <c r="GFT290" s="22"/>
      <c r="GFU290" s="22"/>
      <c r="GFV290" s="22"/>
      <c r="GFW290" s="22"/>
      <c r="GFX290" s="22"/>
      <c r="GFY290" s="22"/>
      <c r="GFZ290" s="22"/>
      <c r="GGA290" s="22"/>
      <c r="GGB290" s="22"/>
      <c r="GGC290" s="22"/>
      <c r="GGD290" s="22"/>
      <c r="GGE290" s="22"/>
      <c r="GGF290" s="22"/>
      <c r="GGG290" s="22"/>
      <c r="GGH290" s="22"/>
      <c r="GGI290" s="22"/>
      <c r="GGJ290" s="22"/>
      <c r="GGK290" s="22"/>
      <c r="GGL290" s="22"/>
      <c r="GGM290" s="22"/>
      <c r="GGN290" s="22"/>
      <c r="GGO290" s="22"/>
      <c r="GGP290" s="22"/>
      <c r="GGQ290" s="22"/>
      <c r="GGR290" s="22"/>
      <c r="GGS290" s="22"/>
      <c r="GGT290" s="22"/>
      <c r="GGU290" s="22"/>
      <c r="GGV290" s="22"/>
      <c r="GGW290" s="22"/>
      <c r="GGX290" s="22"/>
      <c r="GGY290" s="22"/>
      <c r="GGZ290" s="22"/>
      <c r="GHA290" s="22"/>
      <c r="GHB290" s="22"/>
      <c r="GHC290" s="22"/>
      <c r="GHD290" s="22"/>
      <c r="GHE290" s="22"/>
      <c r="GHF290" s="22"/>
      <c r="GHG290" s="22"/>
      <c r="GHH290" s="22"/>
      <c r="GHI290" s="22"/>
      <c r="GHJ290" s="22"/>
      <c r="GHK290" s="22"/>
      <c r="GHL290" s="22"/>
      <c r="GHM290" s="22"/>
      <c r="GHN290" s="22"/>
      <c r="GHO290" s="22"/>
      <c r="GHP290" s="22"/>
      <c r="GHQ290" s="22"/>
      <c r="GHR290" s="22"/>
      <c r="GHS290" s="22"/>
      <c r="GHT290" s="22"/>
      <c r="GHU290" s="22"/>
      <c r="GHV290" s="22"/>
      <c r="GHW290" s="22"/>
      <c r="GHX290" s="22"/>
      <c r="GHY290" s="22"/>
      <c r="GHZ290" s="22"/>
      <c r="GIA290" s="22"/>
      <c r="GIB290" s="22"/>
      <c r="GIC290" s="22"/>
      <c r="GID290" s="22"/>
      <c r="GIE290" s="22"/>
      <c r="GIF290" s="22"/>
      <c r="GIG290" s="22"/>
      <c r="GIH290" s="22"/>
      <c r="GII290" s="22"/>
      <c r="GIJ290" s="22"/>
      <c r="GIK290" s="22"/>
      <c r="GIL290" s="22"/>
      <c r="GIM290" s="22"/>
      <c r="GIN290" s="22"/>
      <c r="GIO290" s="22"/>
      <c r="GIP290" s="22"/>
      <c r="GIQ290" s="22"/>
      <c r="GIR290" s="22"/>
      <c r="GIS290" s="22"/>
      <c r="GIT290" s="22"/>
      <c r="GIU290" s="22"/>
      <c r="GIV290" s="22"/>
      <c r="GIW290" s="22"/>
      <c r="GIX290" s="22"/>
      <c r="GIY290" s="22"/>
      <c r="GIZ290" s="22"/>
      <c r="GJA290" s="22"/>
      <c r="GJB290" s="22"/>
      <c r="GJC290" s="22"/>
      <c r="GJD290" s="22"/>
      <c r="GJE290" s="22"/>
      <c r="GJF290" s="22"/>
      <c r="GJG290" s="22"/>
      <c r="GJH290" s="22"/>
      <c r="GJI290" s="22"/>
      <c r="GJJ290" s="22"/>
      <c r="GJK290" s="22"/>
      <c r="GJL290" s="22"/>
      <c r="GJM290" s="22"/>
      <c r="GJN290" s="22"/>
      <c r="GJO290" s="22"/>
      <c r="GJP290" s="22"/>
      <c r="GJQ290" s="22"/>
      <c r="GJR290" s="22"/>
      <c r="GJS290" s="22"/>
      <c r="GJT290" s="22"/>
      <c r="GJU290" s="22"/>
      <c r="GJV290" s="22"/>
      <c r="GJW290" s="22"/>
      <c r="GJX290" s="22"/>
      <c r="GJY290" s="22"/>
      <c r="GJZ290" s="22"/>
      <c r="GKA290" s="22"/>
      <c r="GKB290" s="22"/>
      <c r="GKC290" s="22"/>
      <c r="GKD290" s="22"/>
      <c r="GKE290" s="22"/>
      <c r="GKF290" s="22"/>
      <c r="GKG290" s="22"/>
      <c r="GKH290" s="22"/>
      <c r="GKI290" s="22"/>
      <c r="GKJ290" s="22"/>
      <c r="GKK290" s="22"/>
      <c r="GKL290" s="22"/>
      <c r="GKM290" s="22"/>
      <c r="GKN290" s="22"/>
      <c r="GKO290" s="22"/>
      <c r="GKP290" s="22"/>
      <c r="GKQ290" s="22"/>
      <c r="GKR290" s="22"/>
      <c r="GKS290" s="22"/>
      <c r="GKT290" s="22"/>
      <c r="GKU290" s="22"/>
      <c r="GKV290" s="22"/>
      <c r="GKW290" s="22"/>
      <c r="GKX290" s="22"/>
      <c r="GKY290" s="22"/>
      <c r="GKZ290" s="22"/>
      <c r="GLA290" s="22"/>
      <c r="GLB290" s="22"/>
      <c r="GLC290" s="22"/>
      <c r="GLD290" s="22"/>
      <c r="GLE290" s="22"/>
      <c r="GLF290" s="22"/>
      <c r="GLG290" s="22"/>
      <c r="GLH290" s="22"/>
      <c r="GLI290" s="22"/>
      <c r="GLJ290" s="22"/>
      <c r="GLK290" s="22"/>
      <c r="GLL290" s="22"/>
      <c r="GLM290" s="22"/>
      <c r="GLN290" s="22"/>
      <c r="GLO290" s="22"/>
      <c r="GLP290" s="22"/>
      <c r="GLQ290" s="22"/>
      <c r="GLR290" s="22"/>
      <c r="GLS290" s="22"/>
      <c r="GLT290" s="22"/>
      <c r="GLU290" s="22"/>
      <c r="GLV290" s="22"/>
      <c r="GLW290" s="22"/>
      <c r="GLX290" s="22"/>
      <c r="GLY290" s="22"/>
      <c r="GLZ290" s="22"/>
      <c r="GMA290" s="22"/>
      <c r="GMB290" s="22"/>
      <c r="GMC290" s="22"/>
      <c r="GMD290" s="22"/>
      <c r="GME290" s="22"/>
      <c r="GMF290" s="22"/>
      <c r="GMG290" s="22"/>
      <c r="GMH290" s="22"/>
      <c r="GMI290" s="22"/>
      <c r="GMJ290" s="22"/>
      <c r="GMK290" s="22"/>
      <c r="GML290" s="22"/>
      <c r="GMM290" s="22"/>
      <c r="GMN290" s="22"/>
      <c r="GMO290" s="22"/>
      <c r="GMP290" s="22"/>
      <c r="GMQ290" s="22"/>
      <c r="GMR290" s="22"/>
      <c r="GMS290" s="22"/>
      <c r="GMT290" s="22"/>
      <c r="GMU290" s="22"/>
      <c r="GMV290" s="22"/>
      <c r="GMW290" s="22"/>
      <c r="GMX290" s="22"/>
      <c r="GMY290" s="22"/>
      <c r="GMZ290" s="22"/>
      <c r="GNA290" s="22"/>
      <c r="GNB290" s="22"/>
      <c r="GNC290" s="22"/>
      <c r="GND290" s="22"/>
      <c r="GNE290" s="22"/>
      <c r="GNF290" s="22"/>
      <c r="GNG290" s="22"/>
      <c r="GNH290" s="22"/>
      <c r="GNI290" s="22"/>
      <c r="GNJ290" s="22"/>
      <c r="GNK290" s="22"/>
      <c r="GNL290" s="22"/>
      <c r="GNM290" s="22"/>
      <c r="GNN290" s="22"/>
      <c r="GNO290" s="22"/>
      <c r="GNP290" s="22"/>
      <c r="GNQ290" s="22"/>
      <c r="GNR290" s="22"/>
      <c r="GNS290" s="22"/>
      <c r="GNT290" s="22"/>
      <c r="GNU290" s="22"/>
      <c r="GNV290" s="22"/>
      <c r="GNW290" s="22"/>
      <c r="GNX290" s="22"/>
      <c r="GNY290" s="22"/>
      <c r="GNZ290" s="22"/>
      <c r="GOA290" s="22"/>
      <c r="GOB290" s="22"/>
      <c r="GOC290" s="22"/>
      <c r="GOD290" s="22"/>
      <c r="GOE290" s="22"/>
      <c r="GOF290" s="22"/>
      <c r="GOG290" s="22"/>
      <c r="GOH290" s="22"/>
      <c r="GOI290" s="22"/>
      <c r="GOJ290" s="22"/>
      <c r="GOK290" s="22"/>
      <c r="GOL290" s="22"/>
      <c r="GOM290" s="22"/>
      <c r="GON290" s="22"/>
      <c r="GOO290" s="22"/>
      <c r="GOP290" s="22"/>
      <c r="GOQ290" s="22"/>
      <c r="GOR290" s="22"/>
      <c r="GOS290" s="22"/>
      <c r="GOT290" s="22"/>
      <c r="GOU290" s="22"/>
      <c r="GOV290" s="22"/>
      <c r="GOW290" s="22"/>
      <c r="GOX290" s="22"/>
      <c r="GOY290" s="22"/>
      <c r="GOZ290" s="22"/>
      <c r="GPA290" s="22"/>
      <c r="GPB290" s="22"/>
      <c r="GPC290" s="22"/>
      <c r="GPD290" s="22"/>
      <c r="GPE290" s="22"/>
      <c r="GPF290" s="22"/>
      <c r="GPG290" s="22"/>
      <c r="GPH290" s="22"/>
      <c r="GPI290" s="22"/>
      <c r="GPJ290" s="22"/>
      <c r="GPK290" s="22"/>
      <c r="GPL290" s="22"/>
      <c r="GPM290" s="22"/>
      <c r="GPN290" s="22"/>
      <c r="GPO290" s="22"/>
      <c r="GPP290" s="22"/>
      <c r="GPQ290" s="22"/>
      <c r="GPR290" s="22"/>
      <c r="GPS290" s="22"/>
      <c r="GPT290" s="22"/>
      <c r="GPU290" s="22"/>
      <c r="GPV290" s="22"/>
      <c r="GPW290" s="22"/>
      <c r="GPX290" s="22"/>
      <c r="GPY290" s="22"/>
      <c r="GPZ290" s="22"/>
      <c r="GQA290" s="22"/>
      <c r="GQB290" s="22"/>
      <c r="GQC290" s="22"/>
      <c r="GQD290" s="22"/>
      <c r="GQE290" s="22"/>
      <c r="GQF290" s="22"/>
      <c r="GQG290" s="22"/>
      <c r="GQH290" s="22"/>
      <c r="GQI290" s="22"/>
      <c r="GQJ290" s="22"/>
      <c r="GQK290" s="22"/>
      <c r="GQL290" s="22"/>
      <c r="GQM290" s="22"/>
      <c r="GQN290" s="22"/>
      <c r="GQO290" s="22"/>
      <c r="GQP290" s="22"/>
      <c r="GQQ290" s="22"/>
      <c r="GQR290" s="22"/>
      <c r="GQS290" s="22"/>
      <c r="GQT290" s="22"/>
      <c r="GQU290" s="22"/>
      <c r="GQV290" s="22"/>
      <c r="GQW290" s="22"/>
      <c r="GQX290" s="22"/>
      <c r="GQY290" s="22"/>
      <c r="GQZ290" s="22"/>
      <c r="GRA290" s="22"/>
      <c r="GRB290" s="22"/>
      <c r="GRC290" s="22"/>
      <c r="GRD290" s="22"/>
      <c r="GRE290" s="22"/>
      <c r="GRF290" s="22"/>
      <c r="GRG290" s="22"/>
      <c r="GRH290" s="22"/>
      <c r="GRI290" s="22"/>
      <c r="GRJ290" s="22"/>
      <c r="GRK290" s="22"/>
      <c r="GRL290" s="22"/>
      <c r="GRM290" s="22"/>
      <c r="GRN290" s="22"/>
      <c r="GRO290" s="22"/>
      <c r="GRP290" s="22"/>
      <c r="GRQ290" s="22"/>
      <c r="GRR290" s="22"/>
      <c r="GRS290" s="22"/>
      <c r="GRT290" s="22"/>
      <c r="GRU290" s="22"/>
      <c r="GRV290" s="22"/>
      <c r="GRW290" s="22"/>
      <c r="GRX290" s="22"/>
      <c r="GRY290" s="22"/>
      <c r="GRZ290" s="22"/>
      <c r="GSA290" s="22"/>
      <c r="GSB290" s="22"/>
      <c r="GSC290" s="22"/>
      <c r="GSD290" s="22"/>
      <c r="GSE290" s="22"/>
      <c r="GSF290" s="22"/>
      <c r="GSG290" s="22"/>
      <c r="GSH290" s="22"/>
      <c r="GSI290" s="22"/>
      <c r="GSJ290" s="22"/>
      <c r="GSK290" s="22"/>
      <c r="GSL290" s="22"/>
      <c r="GSM290" s="22"/>
      <c r="GSN290" s="22"/>
      <c r="GSO290" s="22"/>
      <c r="GSP290" s="22"/>
      <c r="GSQ290" s="22"/>
      <c r="GSR290" s="22"/>
      <c r="GSS290" s="22"/>
      <c r="GST290" s="22"/>
      <c r="GSU290" s="22"/>
      <c r="GSV290" s="22"/>
      <c r="GSW290" s="22"/>
      <c r="GSX290" s="22"/>
      <c r="GSY290" s="22"/>
      <c r="GSZ290" s="22"/>
      <c r="GTA290" s="22"/>
      <c r="GTB290" s="22"/>
      <c r="GTC290" s="22"/>
      <c r="GTD290" s="22"/>
      <c r="GTE290" s="22"/>
      <c r="GTF290" s="22"/>
      <c r="GTG290" s="22"/>
      <c r="GTH290" s="22"/>
      <c r="GTI290" s="22"/>
      <c r="GTJ290" s="22"/>
      <c r="GTK290" s="22"/>
      <c r="GTL290" s="22"/>
      <c r="GTM290" s="22"/>
      <c r="GTN290" s="22"/>
      <c r="GTO290" s="22"/>
      <c r="GTP290" s="22"/>
      <c r="GTQ290" s="22"/>
      <c r="GTR290" s="22"/>
      <c r="GTS290" s="22"/>
      <c r="GTT290" s="22"/>
      <c r="GTU290" s="22"/>
      <c r="GTV290" s="22"/>
      <c r="GTW290" s="22"/>
      <c r="GTX290" s="22"/>
      <c r="GTY290" s="22"/>
      <c r="GTZ290" s="22"/>
      <c r="GUA290" s="22"/>
      <c r="GUB290" s="22"/>
      <c r="GUC290" s="22"/>
      <c r="GUD290" s="22"/>
      <c r="GUE290" s="22"/>
      <c r="GUF290" s="22"/>
      <c r="GUG290" s="22"/>
      <c r="GUH290" s="22"/>
      <c r="GUI290" s="22"/>
      <c r="GUJ290" s="22"/>
      <c r="GUK290" s="22"/>
      <c r="GUL290" s="22"/>
      <c r="GUM290" s="22"/>
      <c r="GUN290" s="22"/>
      <c r="GUO290" s="22"/>
      <c r="GUP290" s="22"/>
      <c r="GUQ290" s="22"/>
      <c r="GUR290" s="22"/>
      <c r="GUS290" s="22"/>
      <c r="GUT290" s="22"/>
      <c r="GUU290" s="22"/>
      <c r="GUV290" s="22"/>
      <c r="GUW290" s="22"/>
      <c r="GUX290" s="22"/>
      <c r="GUY290" s="22"/>
      <c r="GUZ290" s="22"/>
      <c r="GVA290" s="22"/>
      <c r="GVB290" s="22"/>
      <c r="GVC290" s="22"/>
      <c r="GVD290" s="22"/>
      <c r="GVE290" s="22"/>
      <c r="GVF290" s="22"/>
      <c r="GVG290" s="22"/>
      <c r="GVH290" s="22"/>
      <c r="GVI290" s="22"/>
      <c r="GVJ290" s="22"/>
      <c r="GVK290" s="22"/>
      <c r="GVL290" s="22"/>
      <c r="GVM290" s="22"/>
      <c r="GVN290" s="22"/>
      <c r="GVO290" s="22"/>
      <c r="GVP290" s="22"/>
      <c r="GVQ290" s="22"/>
      <c r="GVR290" s="22"/>
      <c r="GVS290" s="22"/>
      <c r="GVT290" s="22"/>
      <c r="GVU290" s="22"/>
      <c r="GVV290" s="22"/>
      <c r="GVW290" s="22"/>
      <c r="GVX290" s="22"/>
      <c r="GVY290" s="22"/>
      <c r="GVZ290" s="22"/>
      <c r="GWA290" s="22"/>
      <c r="GWB290" s="22"/>
      <c r="GWC290" s="22"/>
      <c r="GWD290" s="22"/>
      <c r="GWE290" s="22"/>
      <c r="GWF290" s="22"/>
      <c r="GWG290" s="22"/>
      <c r="GWH290" s="22"/>
      <c r="GWI290" s="22"/>
      <c r="GWJ290" s="22"/>
      <c r="GWK290" s="22"/>
      <c r="GWL290" s="22"/>
      <c r="GWM290" s="22"/>
      <c r="GWN290" s="22"/>
      <c r="GWO290" s="22"/>
      <c r="GWP290" s="22"/>
      <c r="GWQ290" s="22"/>
      <c r="GWR290" s="22"/>
      <c r="GWS290" s="22"/>
      <c r="GWT290" s="22"/>
      <c r="GWU290" s="22"/>
      <c r="GWV290" s="22"/>
      <c r="GWW290" s="22"/>
      <c r="GWX290" s="22"/>
      <c r="GWY290" s="22"/>
      <c r="GWZ290" s="22"/>
      <c r="GXA290" s="22"/>
      <c r="GXB290" s="22"/>
      <c r="GXC290" s="22"/>
      <c r="GXD290" s="22"/>
      <c r="GXE290" s="22"/>
      <c r="GXF290" s="22"/>
      <c r="GXG290" s="22"/>
      <c r="GXH290" s="22"/>
      <c r="GXI290" s="22"/>
      <c r="GXJ290" s="22"/>
      <c r="GXK290" s="22"/>
      <c r="GXL290" s="22"/>
      <c r="GXM290" s="22"/>
      <c r="GXN290" s="22"/>
      <c r="GXO290" s="22"/>
      <c r="GXP290" s="22"/>
      <c r="GXQ290" s="22"/>
      <c r="GXR290" s="22"/>
      <c r="GXS290" s="22"/>
      <c r="GXT290" s="22"/>
      <c r="GXU290" s="22"/>
      <c r="GXV290" s="22"/>
      <c r="GXW290" s="22"/>
      <c r="GXX290" s="22"/>
      <c r="GXY290" s="22"/>
      <c r="GXZ290" s="22"/>
      <c r="GYA290" s="22"/>
      <c r="GYB290" s="22"/>
      <c r="GYC290" s="22"/>
      <c r="GYD290" s="22"/>
      <c r="GYE290" s="22"/>
      <c r="GYF290" s="22"/>
      <c r="GYG290" s="22"/>
      <c r="GYH290" s="22"/>
      <c r="GYI290" s="22"/>
      <c r="GYJ290" s="22"/>
      <c r="GYK290" s="22"/>
      <c r="GYL290" s="22"/>
      <c r="GYM290" s="22"/>
      <c r="GYN290" s="22"/>
      <c r="GYO290" s="22"/>
      <c r="GYP290" s="22"/>
      <c r="GYQ290" s="22"/>
      <c r="GYR290" s="22"/>
      <c r="GYS290" s="22"/>
      <c r="GYT290" s="22"/>
      <c r="GYU290" s="22"/>
      <c r="GYV290" s="22"/>
      <c r="GYW290" s="22"/>
      <c r="GYX290" s="22"/>
      <c r="GYY290" s="22"/>
      <c r="GYZ290" s="22"/>
      <c r="GZA290" s="22"/>
      <c r="GZB290" s="22"/>
      <c r="GZC290" s="22"/>
      <c r="GZD290" s="22"/>
      <c r="GZE290" s="22"/>
      <c r="GZF290" s="22"/>
      <c r="GZG290" s="22"/>
      <c r="GZH290" s="22"/>
      <c r="GZI290" s="22"/>
      <c r="GZJ290" s="22"/>
      <c r="GZK290" s="22"/>
      <c r="GZL290" s="22"/>
      <c r="GZM290" s="22"/>
      <c r="GZN290" s="22"/>
      <c r="GZO290" s="22"/>
      <c r="GZP290" s="22"/>
      <c r="GZQ290" s="22"/>
      <c r="GZR290" s="22"/>
      <c r="GZS290" s="22"/>
      <c r="GZT290" s="22"/>
      <c r="GZU290" s="22"/>
      <c r="GZV290" s="22"/>
      <c r="GZW290" s="22"/>
      <c r="GZX290" s="22"/>
      <c r="GZY290" s="22"/>
      <c r="GZZ290" s="22"/>
      <c r="HAA290" s="22"/>
      <c r="HAB290" s="22"/>
      <c r="HAC290" s="22"/>
      <c r="HAD290" s="22"/>
      <c r="HAE290" s="22"/>
      <c r="HAF290" s="22"/>
      <c r="HAG290" s="22"/>
      <c r="HAH290" s="22"/>
      <c r="HAI290" s="22"/>
      <c r="HAJ290" s="22"/>
      <c r="HAK290" s="22"/>
      <c r="HAL290" s="22"/>
      <c r="HAM290" s="22"/>
      <c r="HAN290" s="22"/>
      <c r="HAO290" s="22"/>
      <c r="HAP290" s="22"/>
      <c r="HAQ290" s="22"/>
      <c r="HAR290" s="22"/>
      <c r="HAS290" s="22"/>
      <c r="HAT290" s="22"/>
      <c r="HAU290" s="22"/>
      <c r="HAV290" s="22"/>
      <c r="HAW290" s="22"/>
      <c r="HAX290" s="22"/>
      <c r="HAY290" s="22"/>
      <c r="HAZ290" s="22"/>
      <c r="HBA290" s="22"/>
      <c r="HBB290" s="22"/>
      <c r="HBC290" s="22"/>
      <c r="HBD290" s="22"/>
      <c r="HBE290" s="22"/>
      <c r="HBF290" s="22"/>
      <c r="HBG290" s="22"/>
      <c r="HBH290" s="22"/>
      <c r="HBI290" s="22"/>
      <c r="HBJ290" s="22"/>
      <c r="HBK290" s="22"/>
      <c r="HBL290" s="22"/>
      <c r="HBM290" s="22"/>
      <c r="HBN290" s="22"/>
      <c r="HBO290" s="22"/>
      <c r="HBP290" s="22"/>
      <c r="HBQ290" s="22"/>
      <c r="HBR290" s="22"/>
      <c r="HBS290" s="22"/>
      <c r="HBT290" s="22"/>
      <c r="HBU290" s="22"/>
      <c r="HBV290" s="22"/>
      <c r="HBW290" s="22"/>
      <c r="HBX290" s="22"/>
      <c r="HBY290" s="22"/>
      <c r="HBZ290" s="22"/>
      <c r="HCA290" s="22"/>
      <c r="HCB290" s="22"/>
      <c r="HCC290" s="22"/>
      <c r="HCD290" s="22"/>
      <c r="HCE290" s="22"/>
      <c r="HCF290" s="22"/>
      <c r="HCG290" s="22"/>
      <c r="HCH290" s="22"/>
      <c r="HCI290" s="22"/>
      <c r="HCJ290" s="22"/>
      <c r="HCK290" s="22"/>
      <c r="HCL290" s="22"/>
      <c r="HCM290" s="22"/>
      <c r="HCN290" s="22"/>
      <c r="HCO290" s="22"/>
      <c r="HCP290" s="22"/>
      <c r="HCQ290" s="22"/>
      <c r="HCR290" s="22"/>
      <c r="HCS290" s="22"/>
      <c r="HCT290" s="22"/>
      <c r="HCU290" s="22"/>
      <c r="HCV290" s="22"/>
      <c r="HCW290" s="22"/>
      <c r="HCX290" s="22"/>
      <c r="HCY290" s="22"/>
      <c r="HCZ290" s="22"/>
      <c r="HDA290" s="22"/>
      <c r="HDB290" s="22"/>
      <c r="HDC290" s="22"/>
      <c r="HDD290" s="22"/>
      <c r="HDE290" s="22"/>
      <c r="HDF290" s="22"/>
      <c r="HDG290" s="22"/>
      <c r="HDH290" s="22"/>
      <c r="HDI290" s="22"/>
      <c r="HDJ290" s="22"/>
      <c r="HDK290" s="22"/>
      <c r="HDL290" s="22"/>
      <c r="HDM290" s="22"/>
      <c r="HDN290" s="22"/>
      <c r="HDO290" s="22"/>
      <c r="HDP290" s="22"/>
      <c r="HDQ290" s="22"/>
      <c r="HDR290" s="22"/>
      <c r="HDS290" s="22"/>
      <c r="HDT290" s="22"/>
      <c r="HDU290" s="22"/>
      <c r="HDV290" s="22"/>
      <c r="HDW290" s="22"/>
      <c r="HDX290" s="22"/>
      <c r="HDY290" s="22"/>
      <c r="HDZ290" s="22"/>
      <c r="HEA290" s="22"/>
      <c r="HEB290" s="22"/>
      <c r="HEC290" s="22"/>
      <c r="HED290" s="22"/>
      <c r="HEE290" s="22"/>
      <c r="HEF290" s="22"/>
      <c r="HEG290" s="22"/>
      <c r="HEH290" s="22"/>
      <c r="HEI290" s="22"/>
      <c r="HEJ290" s="22"/>
      <c r="HEK290" s="22"/>
      <c r="HEL290" s="22"/>
      <c r="HEM290" s="22"/>
      <c r="HEN290" s="22"/>
      <c r="HEO290" s="22"/>
      <c r="HEP290" s="22"/>
      <c r="HEQ290" s="22"/>
      <c r="HER290" s="22"/>
      <c r="HES290" s="22"/>
      <c r="HET290" s="22"/>
      <c r="HEU290" s="22"/>
      <c r="HEV290" s="22"/>
      <c r="HEW290" s="22"/>
      <c r="HEX290" s="22"/>
      <c r="HEY290" s="22"/>
      <c r="HEZ290" s="22"/>
      <c r="HFA290" s="22"/>
      <c r="HFB290" s="22"/>
      <c r="HFC290" s="22"/>
      <c r="HFD290" s="22"/>
      <c r="HFE290" s="22"/>
      <c r="HFF290" s="22"/>
      <c r="HFG290" s="22"/>
      <c r="HFH290" s="22"/>
      <c r="HFI290" s="22"/>
      <c r="HFJ290" s="22"/>
      <c r="HFK290" s="22"/>
      <c r="HFL290" s="22"/>
      <c r="HFM290" s="22"/>
      <c r="HFN290" s="22"/>
      <c r="HFO290" s="22"/>
      <c r="HFP290" s="22"/>
      <c r="HFQ290" s="22"/>
      <c r="HFR290" s="22"/>
      <c r="HFS290" s="22"/>
      <c r="HFT290" s="22"/>
      <c r="HFU290" s="22"/>
      <c r="HFV290" s="22"/>
      <c r="HFW290" s="22"/>
      <c r="HFX290" s="22"/>
      <c r="HFY290" s="22"/>
      <c r="HFZ290" s="22"/>
      <c r="HGA290" s="22"/>
      <c r="HGB290" s="22"/>
      <c r="HGC290" s="22"/>
      <c r="HGD290" s="22"/>
      <c r="HGE290" s="22"/>
      <c r="HGF290" s="22"/>
      <c r="HGG290" s="22"/>
      <c r="HGH290" s="22"/>
      <c r="HGI290" s="22"/>
      <c r="HGJ290" s="22"/>
      <c r="HGK290" s="22"/>
      <c r="HGL290" s="22"/>
      <c r="HGM290" s="22"/>
      <c r="HGN290" s="22"/>
      <c r="HGO290" s="22"/>
      <c r="HGP290" s="22"/>
      <c r="HGQ290" s="22"/>
      <c r="HGR290" s="22"/>
      <c r="HGS290" s="22"/>
      <c r="HGT290" s="22"/>
      <c r="HGU290" s="22"/>
      <c r="HGV290" s="22"/>
      <c r="HGW290" s="22"/>
      <c r="HGX290" s="22"/>
      <c r="HGY290" s="22"/>
      <c r="HGZ290" s="22"/>
      <c r="HHA290" s="22"/>
      <c r="HHB290" s="22"/>
      <c r="HHC290" s="22"/>
      <c r="HHD290" s="22"/>
      <c r="HHE290" s="22"/>
      <c r="HHF290" s="22"/>
      <c r="HHG290" s="22"/>
      <c r="HHH290" s="22"/>
      <c r="HHI290" s="22"/>
      <c r="HHJ290" s="22"/>
      <c r="HHK290" s="22"/>
      <c r="HHL290" s="22"/>
      <c r="HHM290" s="22"/>
      <c r="HHN290" s="22"/>
      <c r="HHO290" s="22"/>
      <c r="HHP290" s="22"/>
      <c r="HHQ290" s="22"/>
      <c r="HHR290" s="22"/>
      <c r="HHS290" s="22"/>
      <c r="HHT290" s="22"/>
      <c r="HHU290" s="22"/>
      <c r="HHV290" s="22"/>
      <c r="HHW290" s="22"/>
      <c r="HHX290" s="22"/>
      <c r="HHY290" s="22"/>
      <c r="HHZ290" s="22"/>
      <c r="HIA290" s="22"/>
      <c r="HIB290" s="22"/>
      <c r="HIC290" s="22"/>
      <c r="HID290" s="22"/>
      <c r="HIE290" s="22"/>
      <c r="HIF290" s="22"/>
      <c r="HIG290" s="22"/>
      <c r="HIH290" s="22"/>
      <c r="HII290" s="22"/>
      <c r="HIJ290" s="22"/>
      <c r="HIK290" s="22"/>
      <c r="HIL290" s="22"/>
      <c r="HIM290" s="22"/>
      <c r="HIN290" s="22"/>
      <c r="HIO290" s="22"/>
      <c r="HIP290" s="22"/>
      <c r="HIQ290" s="22"/>
      <c r="HIR290" s="22"/>
      <c r="HIS290" s="22"/>
      <c r="HIT290" s="22"/>
      <c r="HIU290" s="22"/>
      <c r="HIV290" s="22"/>
      <c r="HIW290" s="22"/>
      <c r="HIX290" s="22"/>
      <c r="HIY290" s="22"/>
      <c r="HIZ290" s="22"/>
      <c r="HJA290" s="22"/>
      <c r="HJB290" s="22"/>
      <c r="HJC290" s="22"/>
      <c r="HJD290" s="22"/>
      <c r="HJE290" s="22"/>
      <c r="HJF290" s="22"/>
      <c r="HJG290" s="22"/>
      <c r="HJH290" s="22"/>
      <c r="HJI290" s="22"/>
      <c r="HJJ290" s="22"/>
      <c r="HJK290" s="22"/>
      <c r="HJL290" s="22"/>
      <c r="HJM290" s="22"/>
      <c r="HJN290" s="22"/>
      <c r="HJO290" s="22"/>
      <c r="HJP290" s="22"/>
      <c r="HJQ290" s="22"/>
      <c r="HJR290" s="22"/>
      <c r="HJS290" s="22"/>
      <c r="HJT290" s="22"/>
      <c r="HJU290" s="22"/>
      <c r="HJV290" s="22"/>
      <c r="HJW290" s="22"/>
      <c r="HJX290" s="22"/>
      <c r="HJY290" s="22"/>
      <c r="HJZ290" s="22"/>
      <c r="HKA290" s="22"/>
      <c r="HKB290" s="22"/>
      <c r="HKC290" s="22"/>
      <c r="HKD290" s="22"/>
      <c r="HKE290" s="22"/>
      <c r="HKF290" s="22"/>
      <c r="HKG290" s="22"/>
      <c r="HKH290" s="22"/>
      <c r="HKI290" s="22"/>
      <c r="HKJ290" s="22"/>
      <c r="HKK290" s="22"/>
      <c r="HKL290" s="22"/>
      <c r="HKM290" s="22"/>
      <c r="HKN290" s="22"/>
      <c r="HKO290" s="22"/>
      <c r="HKP290" s="22"/>
      <c r="HKQ290" s="22"/>
      <c r="HKR290" s="22"/>
      <c r="HKS290" s="22"/>
      <c r="HKT290" s="22"/>
      <c r="HKU290" s="22"/>
      <c r="HKV290" s="22"/>
      <c r="HKW290" s="22"/>
      <c r="HKX290" s="22"/>
      <c r="HKY290" s="22"/>
      <c r="HKZ290" s="22"/>
      <c r="HLA290" s="22"/>
      <c r="HLB290" s="22"/>
      <c r="HLC290" s="22"/>
      <c r="HLD290" s="22"/>
      <c r="HLE290" s="22"/>
      <c r="HLF290" s="22"/>
      <c r="HLG290" s="22"/>
      <c r="HLH290" s="22"/>
      <c r="HLI290" s="22"/>
      <c r="HLJ290" s="22"/>
      <c r="HLK290" s="22"/>
      <c r="HLL290" s="22"/>
      <c r="HLM290" s="22"/>
      <c r="HLN290" s="22"/>
      <c r="HLO290" s="22"/>
      <c r="HLP290" s="22"/>
      <c r="HLQ290" s="22"/>
      <c r="HLR290" s="22"/>
      <c r="HLS290" s="22"/>
      <c r="HLT290" s="22"/>
      <c r="HLU290" s="22"/>
      <c r="HLV290" s="22"/>
      <c r="HLW290" s="22"/>
      <c r="HLX290" s="22"/>
      <c r="HLY290" s="22"/>
      <c r="HLZ290" s="22"/>
      <c r="HMA290" s="22"/>
      <c r="HMB290" s="22"/>
      <c r="HMC290" s="22"/>
      <c r="HMD290" s="22"/>
      <c r="HME290" s="22"/>
      <c r="HMF290" s="22"/>
      <c r="HMG290" s="22"/>
      <c r="HMH290" s="22"/>
      <c r="HMI290" s="22"/>
      <c r="HMJ290" s="22"/>
      <c r="HMK290" s="22"/>
      <c r="HML290" s="22"/>
      <c r="HMM290" s="22"/>
      <c r="HMN290" s="22"/>
      <c r="HMO290" s="22"/>
      <c r="HMP290" s="22"/>
      <c r="HMQ290" s="22"/>
      <c r="HMR290" s="22"/>
      <c r="HMS290" s="22"/>
      <c r="HMT290" s="22"/>
      <c r="HMU290" s="22"/>
      <c r="HMV290" s="22"/>
      <c r="HMW290" s="22"/>
      <c r="HMX290" s="22"/>
      <c r="HMY290" s="22"/>
      <c r="HMZ290" s="22"/>
      <c r="HNA290" s="22"/>
      <c r="HNB290" s="22"/>
      <c r="HNC290" s="22"/>
      <c r="HND290" s="22"/>
      <c r="HNE290" s="22"/>
      <c r="HNF290" s="22"/>
      <c r="HNG290" s="22"/>
      <c r="HNH290" s="22"/>
      <c r="HNI290" s="22"/>
      <c r="HNJ290" s="22"/>
      <c r="HNK290" s="22"/>
      <c r="HNL290" s="22"/>
      <c r="HNM290" s="22"/>
      <c r="HNN290" s="22"/>
      <c r="HNO290" s="22"/>
      <c r="HNP290" s="22"/>
      <c r="HNQ290" s="22"/>
      <c r="HNR290" s="22"/>
      <c r="HNS290" s="22"/>
      <c r="HNT290" s="22"/>
      <c r="HNU290" s="22"/>
      <c r="HNV290" s="22"/>
      <c r="HNW290" s="22"/>
      <c r="HNX290" s="22"/>
      <c r="HNY290" s="22"/>
      <c r="HNZ290" s="22"/>
      <c r="HOA290" s="22"/>
      <c r="HOB290" s="22"/>
      <c r="HOC290" s="22"/>
      <c r="HOD290" s="22"/>
      <c r="HOE290" s="22"/>
      <c r="HOF290" s="22"/>
      <c r="HOG290" s="22"/>
      <c r="HOH290" s="22"/>
      <c r="HOI290" s="22"/>
      <c r="HOJ290" s="22"/>
      <c r="HOK290" s="22"/>
      <c r="HOL290" s="22"/>
      <c r="HOM290" s="22"/>
      <c r="HON290" s="22"/>
      <c r="HOO290" s="22"/>
      <c r="HOP290" s="22"/>
      <c r="HOQ290" s="22"/>
      <c r="HOR290" s="22"/>
      <c r="HOS290" s="22"/>
      <c r="HOT290" s="22"/>
      <c r="HOU290" s="22"/>
      <c r="HOV290" s="22"/>
      <c r="HOW290" s="22"/>
      <c r="HOX290" s="22"/>
      <c r="HOY290" s="22"/>
      <c r="HOZ290" s="22"/>
      <c r="HPA290" s="22"/>
      <c r="HPB290" s="22"/>
      <c r="HPC290" s="22"/>
      <c r="HPD290" s="22"/>
      <c r="HPE290" s="22"/>
      <c r="HPF290" s="22"/>
      <c r="HPG290" s="22"/>
      <c r="HPH290" s="22"/>
      <c r="HPI290" s="22"/>
      <c r="HPJ290" s="22"/>
      <c r="HPK290" s="22"/>
      <c r="HPL290" s="22"/>
      <c r="HPM290" s="22"/>
      <c r="HPN290" s="22"/>
      <c r="HPO290" s="22"/>
      <c r="HPP290" s="22"/>
      <c r="HPQ290" s="22"/>
      <c r="HPR290" s="22"/>
      <c r="HPS290" s="22"/>
      <c r="HPT290" s="22"/>
      <c r="HPU290" s="22"/>
      <c r="HPV290" s="22"/>
      <c r="HPW290" s="22"/>
      <c r="HPX290" s="22"/>
      <c r="HPY290" s="22"/>
      <c r="HPZ290" s="22"/>
      <c r="HQA290" s="22"/>
      <c r="HQB290" s="22"/>
      <c r="HQC290" s="22"/>
      <c r="HQD290" s="22"/>
      <c r="HQE290" s="22"/>
      <c r="HQF290" s="22"/>
      <c r="HQG290" s="22"/>
      <c r="HQH290" s="22"/>
      <c r="HQI290" s="22"/>
      <c r="HQJ290" s="22"/>
      <c r="HQK290" s="22"/>
      <c r="HQL290" s="22"/>
      <c r="HQM290" s="22"/>
      <c r="HQN290" s="22"/>
      <c r="HQO290" s="22"/>
      <c r="HQP290" s="22"/>
      <c r="HQQ290" s="22"/>
      <c r="HQR290" s="22"/>
      <c r="HQS290" s="22"/>
      <c r="HQT290" s="22"/>
      <c r="HQU290" s="22"/>
      <c r="HQV290" s="22"/>
      <c r="HQW290" s="22"/>
      <c r="HQX290" s="22"/>
      <c r="HQY290" s="22"/>
      <c r="HQZ290" s="22"/>
      <c r="HRA290" s="22"/>
      <c r="HRB290" s="22"/>
      <c r="HRC290" s="22"/>
      <c r="HRD290" s="22"/>
      <c r="HRE290" s="22"/>
      <c r="HRF290" s="22"/>
      <c r="HRG290" s="22"/>
      <c r="HRH290" s="22"/>
      <c r="HRI290" s="22"/>
      <c r="HRJ290" s="22"/>
      <c r="HRK290" s="22"/>
      <c r="HRL290" s="22"/>
      <c r="HRM290" s="22"/>
      <c r="HRN290" s="22"/>
      <c r="HRO290" s="22"/>
      <c r="HRP290" s="22"/>
      <c r="HRQ290" s="22"/>
      <c r="HRR290" s="22"/>
      <c r="HRS290" s="22"/>
      <c r="HRT290" s="22"/>
      <c r="HRU290" s="22"/>
      <c r="HRV290" s="22"/>
      <c r="HRW290" s="22"/>
      <c r="HRX290" s="22"/>
      <c r="HRY290" s="22"/>
      <c r="HRZ290" s="22"/>
      <c r="HSA290" s="22"/>
      <c r="HSB290" s="22"/>
      <c r="HSC290" s="22"/>
      <c r="HSD290" s="22"/>
      <c r="HSE290" s="22"/>
      <c r="HSF290" s="22"/>
      <c r="HSG290" s="22"/>
      <c r="HSH290" s="22"/>
      <c r="HSI290" s="22"/>
      <c r="HSJ290" s="22"/>
      <c r="HSK290" s="22"/>
      <c r="HSL290" s="22"/>
      <c r="HSM290" s="22"/>
      <c r="HSN290" s="22"/>
      <c r="HSO290" s="22"/>
      <c r="HSP290" s="22"/>
      <c r="HSQ290" s="22"/>
      <c r="HSR290" s="22"/>
      <c r="HSS290" s="22"/>
      <c r="HST290" s="22"/>
      <c r="HSU290" s="22"/>
      <c r="HSV290" s="22"/>
      <c r="HSW290" s="22"/>
      <c r="HSX290" s="22"/>
      <c r="HSY290" s="22"/>
      <c r="HSZ290" s="22"/>
      <c r="HTA290" s="22"/>
      <c r="HTB290" s="22"/>
      <c r="HTC290" s="22"/>
      <c r="HTD290" s="22"/>
      <c r="HTE290" s="22"/>
      <c r="HTF290" s="22"/>
      <c r="HTG290" s="22"/>
      <c r="HTH290" s="22"/>
      <c r="HTI290" s="22"/>
      <c r="HTJ290" s="22"/>
      <c r="HTK290" s="22"/>
      <c r="HTL290" s="22"/>
      <c r="HTM290" s="22"/>
      <c r="HTN290" s="22"/>
      <c r="HTO290" s="22"/>
      <c r="HTP290" s="22"/>
      <c r="HTQ290" s="22"/>
      <c r="HTR290" s="22"/>
      <c r="HTS290" s="22"/>
      <c r="HTT290" s="22"/>
      <c r="HTU290" s="22"/>
      <c r="HTV290" s="22"/>
      <c r="HTW290" s="22"/>
      <c r="HTX290" s="22"/>
      <c r="HTY290" s="22"/>
      <c r="HTZ290" s="22"/>
      <c r="HUA290" s="22"/>
      <c r="HUB290" s="22"/>
      <c r="HUC290" s="22"/>
      <c r="HUD290" s="22"/>
      <c r="HUE290" s="22"/>
      <c r="HUF290" s="22"/>
      <c r="HUG290" s="22"/>
      <c r="HUH290" s="22"/>
      <c r="HUI290" s="22"/>
      <c r="HUJ290" s="22"/>
      <c r="HUK290" s="22"/>
      <c r="HUL290" s="22"/>
      <c r="HUM290" s="22"/>
      <c r="HUN290" s="22"/>
      <c r="HUO290" s="22"/>
      <c r="HUP290" s="22"/>
      <c r="HUQ290" s="22"/>
      <c r="HUR290" s="22"/>
      <c r="HUS290" s="22"/>
      <c r="HUT290" s="22"/>
      <c r="HUU290" s="22"/>
      <c r="HUV290" s="22"/>
      <c r="HUW290" s="22"/>
      <c r="HUX290" s="22"/>
      <c r="HUY290" s="22"/>
      <c r="HUZ290" s="22"/>
      <c r="HVA290" s="22"/>
      <c r="HVB290" s="22"/>
      <c r="HVC290" s="22"/>
      <c r="HVD290" s="22"/>
      <c r="HVE290" s="22"/>
      <c r="HVF290" s="22"/>
      <c r="HVG290" s="22"/>
      <c r="HVH290" s="22"/>
      <c r="HVI290" s="22"/>
      <c r="HVJ290" s="22"/>
      <c r="HVK290" s="22"/>
      <c r="HVL290" s="22"/>
      <c r="HVM290" s="22"/>
      <c r="HVN290" s="22"/>
      <c r="HVO290" s="22"/>
      <c r="HVP290" s="22"/>
      <c r="HVQ290" s="22"/>
      <c r="HVR290" s="22"/>
      <c r="HVS290" s="22"/>
      <c r="HVT290" s="22"/>
      <c r="HVU290" s="22"/>
      <c r="HVV290" s="22"/>
      <c r="HVW290" s="22"/>
      <c r="HVX290" s="22"/>
      <c r="HVY290" s="22"/>
      <c r="HVZ290" s="22"/>
      <c r="HWA290" s="22"/>
      <c r="HWB290" s="22"/>
      <c r="HWC290" s="22"/>
      <c r="HWD290" s="22"/>
      <c r="HWE290" s="22"/>
      <c r="HWF290" s="22"/>
      <c r="HWG290" s="22"/>
      <c r="HWH290" s="22"/>
      <c r="HWI290" s="22"/>
      <c r="HWJ290" s="22"/>
      <c r="HWK290" s="22"/>
      <c r="HWL290" s="22"/>
      <c r="HWM290" s="22"/>
      <c r="HWN290" s="22"/>
      <c r="HWO290" s="22"/>
      <c r="HWP290" s="22"/>
      <c r="HWQ290" s="22"/>
      <c r="HWR290" s="22"/>
      <c r="HWS290" s="22"/>
      <c r="HWT290" s="22"/>
      <c r="HWU290" s="22"/>
      <c r="HWV290" s="22"/>
      <c r="HWW290" s="22"/>
      <c r="HWX290" s="22"/>
      <c r="HWY290" s="22"/>
      <c r="HWZ290" s="22"/>
      <c r="HXA290" s="22"/>
      <c r="HXB290" s="22"/>
      <c r="HXC290" s="22"/>
      <c r="HXD290" s="22"/>
      <c r="HXE290" s="22"/>
      <c r="HXF290" s="22"/>
      <c r="HXG290" s="22"/>
      <c r="HXH290" s="22"/>
      <c r="HXI290" s="22"/>
      <c r="HXJ290" s="22"/>
      <c r="HXK290" s="22"/>
      <c r="HXL290" s="22"/>
      <c r="HXM290" s="22"/>
      <c r="HXN290" s="22"/>
      <c r="HXO290" s="22"/>
      <c r="HXP290" s="22"/>
      <c r="HXQ290" s="22"/>
      <c r="HXR290" s="22"/>
      <c r="HXS290" s="22"/>
      <c r="HXT290" s="22"/>
      <c r="HXU290" s="22"/>
      <c r="HXV290" s="22"/>
      <c r="HXW290" s="22"/>
      <c r="HXX290" s="22"/>
      <c r="HXY290" s="22"/>
      <c r="HXZ290" s="22"/>
      <c r="HYA290" s="22"/>
      <c r="HYB290" s="22"/>
      <c r="HYC290" s="22"/>
      <c r="HYD290" s="22"/>
      <c r="HYE290" s="22"/>
      <c r="HYF290" s="22"/>
      <c r="HYG290" s="22"/>
      <c r="HYH290" s="22"/>
      <c r="HYI290" s="22"/>
      <c r="HYJ290" s="22"/>
      <c r="HYK290" s="22"/>
      <c r="HYL290" s="22"/>
      <c r="HYM290" s="22"/>
      <c r="HYN290" s="22"/>
      <c r="HYO290" s="22"/>
      <c r="HYP290" s="22"/>
      <c r="HYQ290" s="22"/>
      <c r="HYR290" s="22"/>
      <c r="HYS290" s="22"/>
      <c r="HYT290" s="22"/>
      <c r="HYU290" s="22"/>
      <c r="HYV290" s="22"/>
      <c r="HYW290" s="22"/>
      <c r="HYX290" s="22"/>
      <c r="HYY290" s="22"/>
      <c r="HYZ290" s="22"/>
      <c r="HZA290" s="22"/>
      <c r="HZB290" s="22"/>
      <c r="HZC290" s="22"/>
      <c r="HZD290" s="22"/>
      <c r="HZE290" s="22"/>
      <c r="HZF290" s="22"/>
      <c r="HZG290" s="22"/>
      <c r="HZH290" s="22"/>
      <c r="HZI290" s="22"/>
      <c r="HZJ290" s="22"/>
      <c r="HZK290" s="22"/>
      <c r="HZL290" s="22"/>
      <c r="HZM290" s="22"/>
      <c r="HZN290" s="22"/>
      <c r="HZO290" s="22"/>
      <c r="HZP290" s="22"/>
      <c r="HZQ290" s="22"/>
      <c r="HZR290" s="22"/>
      <c r="HZS290" s="22"/>
      <c r="HZT290" s="22"/>
      <c r="HZU290" s="22"/>
      <c r="HZV290" s="22"/>
      <c r="HZW290" s="22"/>
      <c r="HZX290" s="22"/>
      <c r="HZY290" s="22"/>
      <c r="HZZ290" s="22"/>
      <c r="IAA290" s="22"/>
      <c r="IAB290" s="22"/>
      <c r="IAC290" s="22"/>
      <c r="IAD290" s="22"/>
      <c r="IAE290" s="22"/>
      <c r="IAF290" s="22"/>
      <c r="IAG290" s="22"/>
      <c r="IAH290" s="22"/>
      <c r="IAI290" s="22"/>
      <c r="IAJ290" s="22"/>
      <c r="IAK290" s="22"/>
      <c r="IAL290" s="22"/>
      <c r="IAM290" s="22"/>
      <c r="IAN290" s="22"/>
      <c r="IAO290" s="22"/>
      <c r="IAP290" s="22"/>
      <c r="IAQ290" s="22"/>
      <c r="IAR290" s="22"/>
      <c r="IAS290" s="22"/>
      <c r="IAT290" s="22"/>
      <c r="IAU290" s="22"/>
      <c r="IAV290" s="22"/>
      <c r="IAW290" s="22"/>
      <c r="IAX290" s="22"/>
      <c r="IAY290" s="22"/>
      <c r="IAZ290" s="22"/>
      <c r="IBA290" s="22"/>
      <c r="IBB290" s="22"/>
      <c r="IBC290" s="22"/>
      <c r="IBD290" s="22"/>
      <c r="IBE290" s="22"/>
      <c r="IBF290" s="22"/>
      <c r="IBG290" s="22"/>
      <c r="IBH290" s="22"/>
      <c r="IBI290" s="22"/>
      <c r="IBJ290" s="22"/>
      <c r="IBK290" s="22"/>
      <c r="IBL290" s="22"/>
      <c r="IBM290" s="22"/>
      <c r="IBN290" s="22"/>
      <c r="IBO290" s="22"/>
      <c r="IBP290" s="22"/>
      <c r="IBQ290" s="22"/>
      <c r="IBR290" s="22"/>
      <c r="IBS290" s="22"/>
      <c r="IBT290" s="22"/>
      <c r="IBU290" s="22"/>
      <c r="IBV290" s="22"/>
      <c r="IBW290" s="22"/>
      <c r="IBX290" s="22"/>
      <c r="IBY290" s="22"/>
      <c r="IBZ290" s="22"/>
      <c r="ICA290" s="22"/>
      <c r="ICB290" s="22"/>
      <c r="ICC290" s="22"/>
      <c r="ICD290" s="22"/>
      <c r="ICE290" s="22"/>
      <c r="ICF290" s="22"/>
      <c r="ICG290" s="22"/>
      <c r="ICH290" s="22"/>
      <c r="ICI290" s="22"/>
      <c r="ICJ290" s="22"/>
      <c r="ICK290" s="22"/>
      <c r="ICL290" s="22"/>
      <c r="ICM290" s="22"/>
      <c r="ICN290" s="22"/>
      <c r="ICO290" s="22"/>
      <c r="ICP290" s="22"/>
      <c r="ICQ290" s="22"/>
      <c r="ICR290" s="22"/>
      <c r="ICS290" s="22"/>
      <c r="ICT290" s="22"/>
      <c r="ICU290" s="22"/>
      <c r="ICV290" s="22"/>
      <c r="ICW290" s="22"/>
      <c r="ICX290" s="22"/>
      <c r="ICY290" s="22"/>
      <c r="ICZ290" s="22"/>
      <c r="IDA290" s="22"/>
      <c r="IDB290" s="22"/>
      <c r="IDC290" s="22"/>
      <c r="IDD290" s="22"/>
      <c r="IDE290" s="22"/>
      <c r="IDF290" s="22"/>
      <c r="IDG290" s="22"/>
      <c r="IDH290" s="22"/>
      <c r="IDI290" s="22"/>
      <c r="IDJ290" s="22"/>
      <c r="IDK290" s="22"/>
      <c r="IDL290" s="22"/>
      <c r="IDM290" s="22"/>
      <c r="IDN290" s="22"/>
      <c r="IDO290" s="22"/>
      <c r="IDP290" s="22"/>
      <c r="IDQ290" s="22"/>
      <c r="IDR290" s="22"/>
      <c r="IDS290" s="22"/>
      <c r="IDT290" s="22"/>
      <c r="IDU290" s="22"/>
      <c r="IDV290" s="22"/>
      <c r="IDW290" s="22"/>
      <c r="IDX290" s="22"/>
      <c r="IDY290" s="22"/>
      <c r="IDZ290" s="22"/>
      <c r="IEA290" s="22"/>
      <c r="IEB290" s="22"/>
      <c r="IEC290" s="22"/>
      <c r="IED290" s="22"/>
      <c r="IEE290" s="22"/>
      <c r="IEF290" s="22"/>
      <c r="IEG290" s="22"/>
      <c r="IEH290" s="22"/>
      <c r="IEI290" s="22"/>
      <c r="IEJ290" s="22"/>
      <c r="IEK290" s="22"/>
      <c r="IEL290" s="22"/>
      <c r="IEM290" s="22"/>
      <c r="IEN290" s="22"/>
      <c r="IEO290" s="22"/>
      <c r="IEP290" s="22"/>
      <c r="IEQ290" s="22"/>
      <c r="IER290" s="22"/>
      <c r="IES290" s="22"/>
      <c r="IET290" s="22"/>
      <c r="IEU290" s="22"/>
      <c r="IEV290" s="22"/>
      <c r="IEW290" s="22"/>
      <c r="IEX290" s="22"/>
      <c r="IEY290" s="22"/>
      <c r="IEZ290" s="22"/>
      <c r="IFA290" s="22"/>
      <c r="IFB290" s="22"/>
      <c r="IFC290" s="22"/>
      <c r="IFD290" s="22"/>
      <c r="IFE290" s="22"/>
      <c r="IFF290" s="22"/>
      <c r="IFG290" s="22"/>
      <c r="IFH290" s="22"/>
      <c r="IFI290" s="22"/>
      <c r="IFJ290" s="22"/>
      <c r="IFK290" s="22"/>
      <c r="IFL290" s="22"/>
      <c r="IFM290" s="22"/>
      <c r="IFN290" s="22"/>
      <c r="IFO290" s="22"/>
      <c r="IFP290" s="22"/>
      <c r="IFQ290" s="22"/>
      <c r="IFR290" s="22"/>
      <c r="IFS290" s="22"/>
      <c r="IFT290" s="22"/>
      <c r="IFU290" s="22"/>
      <c r="IFV290" s="22"/>
      <c r="IFW290" s="22"/>
      <c r="IFX290" s="22"/>
      <c r="IFY290" s="22"/>
      <c r="IFZ290" s="22"/>
      <c r="IGA290" s="22"/>
      <c r="IGB290" s="22"/>
      <c r="IGC290" s="22"/>
      <c r="IGD290" s="22"/>
      <c r="IGE290" s="22"/>
      <c r="IGF290" s="22"/>
      <c r="IGG290" s="22"/>
      <c r="IGH290" s="22"/>
      <c r="IGI290" s="22"/>
      <c r="IGJ290" s="22"/>
      <c r="IGK290" s="22"/>
      <c r="IGL290" s="22"/>
      <c r="IGM290" s="22"/>
      <c r="IGN290" s="22"/>
      <c r="IGO290" s="22"/>
      <c r="IGP290" s="22"/>
      <c r="IGQ290" s="22"/>
      <c r="IGR290" s="22"/>
      <c r="IGS290" s="22"/>
      <c r="IGT290" s="22"/>
      <c r="IGU290" s="22"/>
      <c r="IGV290" s="22"/>
      <c r="IGW290" s="22"/>
      <c r="IGX290" s="22"/>
      <c r="IGY290" s="22"/>
      <c r="IGZ290" s="22"/>
      <c r="IHA290" s="22"/>
      <c r="IHB290" s="22"/>
      <c r="IHC290" s="22"/>
      <c r="IHD290" s="22"/>
      <c r="IHE290" s="22"/>
      <c r="IHF290" s="22"/>
      <c r="IHG290" s="22"/>
      <c r="IHH290" s="22"/>
      <c r="IHI290" s="22"/>
      <c r="IHJ290" s="22"/>
      <c r="IHK290" s="22"/>
      <c r="IHL290" s="22"/>
      <c r="IHM290" s="22"/>
      <c r="IHN290" s="22"/>
      <c r="IHO290" s="22"/>
      <c r="IHP290" s="22"/>
      <c r="IHQ290" s="22"/>
      <c r="IHR290" s="22"/>
      <c r="IHS290" s="22"/>
      <c r="IHT290" s="22"/>
      <c r="IHU290" s="22"/>
      <c r="IHV290" s="22"/>
      <c r="IHW290" s="22"/>
      <c r="IHX290" s="22"/>
      <c r="IHY290" s="22"/>
      <c r="IHZ290" s="22"/>
      <c r="IIA290" s="22"/>
      <c r="IIB290" s="22"/>
      <c r="IIC290" s="22"/>
      <c r="IID290" s="22"/>
      <c r="IIE290" s="22"/>
      <c r="IIF290" s="22"/>
      <c r="IIG290" s="22"/>
      <c r="IIH290" s="22"/>
      <c r="III290" s="22"/>
      <c r="IIJ290" s="22"/>
      <c r="IIK290" s="22"/>
      <c r="IIL290" s="22"/>
      <c r="IIM290" s="22"/>
      <c r="IIN290" s="22"/>
      <c r="IIO290" s="22"/>
      <c r="IIP290" s="22"/>
      <c r="IIQ290" s="22"/>
      <c r="IIR290" s="22"/>
      <c r="IIS290" s="22"/>
      <c r="IIT290" s="22"/>
      <c r="IIU290" s="22"/>
      <c r="IIV290" s="22"/>
      <c r="IIW290" s="22"/>
      <c r="IIX290" s="22"/>
      <c r="IIY290" s="22"/>
      <c r="IIZ290" s="22"/>
      <c r="IJA290" s="22"/>
      <c r="IJB290" s="22"/>
      <c r="IJC290" s="22"/>
      <c r="IJD290" s="22"/>
      <c r="IJE290" s="22"/>
      <c r="IJF290" s="22"/>
      <c r="IJG290" s="22"/>
      <c r="IJH290" s="22"/>
      <c r="IJI290" s="22"/>
      <c r="IJJ290" s="22"/>
      <c r="IJK290" s="22"/>
      <c r="IJL290" s="22"/>
      <c r="IJM290" s="22"/>
      <c r="IJN290" s="22"/>
      <c r="IJO290" s="22"/>
      <c r="IJP290" s="22"/>
      <c r="IJQ290" s="22"/>
      <c r="IJR290" s="22"/>
      <c r="IJS290" s="22"/>
      <c r="IJT290" s="22"/>
      <c r="IJU290" s="22"/>
      <c r="IJV290" s="22"/>
      <c r="IJW290" s="22"/>
      <c r="IJX290" s="22"/>
      <c r="IJY290" s="22"/>
      <c r="IJZ290" s="22"/>
      <c r="IKA290" s="22"/>
      <c r="IKB290" s="22"/>
      <c r="IKC290" s="22"/>
      <c r="IKD290" s="22"/>
      <c r="IKE290" s="22"/>
      <c r="IKF290" s="22"/>
      <c r="IKG290" s="22"/>
      <c r="IKH290" s="22"/>
      <c r="IKI290" s="22"/>
      <c r="IKJ290" s="22"/>
      <c r="IKK290" s="22"/>
      <c r="IKL290" s="22"/>
      <c r="IKM290" s="22"/>
      <c r="IKN290" s="22"/>
      <c r="IKO290" s="22"/>
      <c r="IKP290" s="22"/>
      <c r="IKQ290" s="22"/>
      <c r="IKR290" s="22"/>
      <c r="IKS290" s="22"/>
      <c r="IKT290" s="22"/>
      <c r="IKU290" s="22"/>
      <c r="IKV290" s="22"/>
      <c r="IKW290" s="22"/>
      <c r="IKX290" s="22"/>
      <c r="IKY290" s="22"/>
      <c r="IKZ290" s="22"/>
      <c r="ILA290" s="22"/>
      <c r="ILB290" s="22"/>
      <c r="ILC290" s="22"/>
      <c r="ILD290" s="22"/>
      <c r="ILE290" s="22"/>
      <c r="ILF290" s="22"/>
      <c r="ILG290" s="22"/>
      <c r="ILH290" s="22"/>
      <c r="ILI290" s="22"/>
      <c r="ILJ290" s="22"/>
      <c r="ILK290" s="22"/>
      <c r="ILL290" s="22"/>
      <c r="ILM290" s="22"/>
      <c r="ILN290" s="22"/>
      <c r="ILO290" s="22"/>
      <c r="ILP290" s="22"/>
      <c r="ILQ290" s="22"/>
      <c r="ILR290" s="22"/>
      <c r="ILS290" s="22"/>
      <c r="ILT290" s="22"/>
      <c r="ILU290" s="22"/>
      <c r="ILV290" s="22"/>
      <c r="ILW290" s="22"/>
      <c r="ILX290" s="22"/>
      <c r="ILY290" s="22"/>
      <c r="ILZ290" s="22"/>
      <c r="IMA290" s="22"/>
      <c r="IMB290" s="22"/>
      <c r="IMC290" s="22"/>
      <c r="IMD290" s="22"/>
      <c r="IME290" s="22"/>
      <c r="IMF290" s="22"/>
      <c r="IMG290" s="22"/>
      <c r="IMH290" s="22"/>
      <c r="IMI290" s="22"/>
      <c r="IMJ290" s="22"/>
      <c r="IMK290" s="22"/>
      <c r="IML290" s="22"/>
      <c r="IMM290" s="22"/>
      <c r="IMN290" s="22"/>
      <c r="IMO290" s="22"/>
      <c r="IMP290" s="22"/>
      <c r="IMQ290" s="22"/>
      <c r="IMR290" s="22"/>
      <c r="IMS290" s="22"/>
      <c r="IMT290" s="22"/>
      <c r="IMU290" s="22"/>
      <c r="IMV290" s="22"/>
      <c r="IMW290" s="22"/>
      <c r="IMX290" s="22"/>
      <c r="IMY290" s="22"/>
      <c r="IMZ290" s="22"/>
      <c r="INA290" s="22"/>
      <c r="INB290" s="22"/>
      <c r="INC290" s="22"/>
      <c r="IND290" s="22"/>
      <c r="INE290" s="22"/>
      <c r="INF290" s="22"/>
      <c r="ING290" s="22"/>
      <c r="INH290" s="22"/>
      <c r="INI290" s="22"/>
      <c r="INJ290" s="22"/>
      <c r="INK290" s="22"/>
      <c r="INL290" s="22"/>
      <c r="INM290" s="22"/>
      <c r="INN290" s="22"/>
      <c r="INO290" s="22"/>
      <c r="INP290" s="22"/>
      <c r="INQ290" s="22"/>
      <c r="INR290" s="22"/>
      <c r="INS290" s="22"/>
      <c r="INT290" s="22"/>
      <c r="INU290" s="22"/>
      <c r="INV290" s="22"/>
      <c r="INW290" s="22"/>
      <c r="INX290" s="22"/>
      <c r="INY290" s="22"/>
      <c r="INZ290" s="22"/>
      <c r="IOA290" s="22"/>
      <c r="IOB290" s="22"/>
      <c r="IOC290" s="22"/>
      <c r="IOD290" s="22"/>
      <c r="IOE290" s="22"/>
      <c r="IOF290" s="22"/>
      <c r="IOG290" s="22"/>
      <c r="IOH290" s="22"/>
      <c r="IOI290" s="22"/>
      <c r="IOJ290" s="22"/>
      <c r="IOK290" s="22"/>
      <c r="IOL290" s="22"/>
      <c r="IOM290" s="22"/>
      <c r="ION290" s="22"/>
      <c r="IOO290" s="22"/>
      <c r="IOP290" s="22"/>
      <c r="IOQ290" s="22"/>
      <c r="IOR290" s="22"/>
      <c r="IOS290" s="22"/>
      <c r="IOT290" s="22"/>
      <c r="IOU290" s="22"/>
      <c r="IOV290" s="22"/>
      <c r="IOW290" s="22"/>
      <c r="IOX290" s="22"/>
      <c r="IOY290" s="22"/>
      <c r="IOZ290" s="22"/>
      <c r="IPA290" s="22"/>
      <c r="IPB290" s="22"/>
      <c r="IPC290" s="22"/>
      <c r="IPD290" s="22"/>
      <c r="IPE290" s="22"/>
      <c r="IPF290" s="22"/>
      <c r="IPG290" s="22"/>
      <c r="IPH290" s="22"/>
      <c r="IPI290" s="22"/>
      <c r="IPJ290" s="22"/>
      <c r="IPK290" s="22"/>
      <c r="IPL290" s="22"/>
      <c r="IPM290" s="22"/>
      <c r="IPN290" s="22"/>
      <c r="IPO290" s="22"/>
      <c r="IPP290" s="22"/>
      <c r="IPQ290" s="22"/>
      <c r="IPR290" s="22"/>
      <c r="IPS290" s="22"/>
      <c r="IPT290" s="22"/>
      <c r="IPU290" s="22"/>
      <c r="IPV290" s="22"/>
      <c r="IPW290" s="22"/>
      <c r="IPX290" s="22"/>
      <c r="IPY290" s="22"/>
      <c r="IPZ290" s="22"/>
      <c r="IQA290" s="22"/>
      <c r="IQB290" s="22"/>
      <c r="IQC290" s="22"/>
      <c r="IQD290" s="22"/>
      <c r="IQE290" s="22"/>
      <c r="IQF290" s="22"/>
      <c r="IQG290" s="22"/>
      <c r="IQH290" s="22"/>
      <c r="IQI290" s="22"/>
      <c r="IQJ290" s="22"/>
      <c r="IQK290" s="22"/>
      <c r="IQL290" s="22"/>
      <c r="IQM290" s="22"/>
      <c r="IQN290" s="22"/>
      <c r="IQO290" s="22"/>
      <c r="IQP290" s="22"/>
      <c r="IQQ290" s="22"/>
      <c r="IQR290" s="22"/>
      <c r="IQS290" s="22"/>
      <c r="IQT290" s="22"/>
      <c r="IQU290" s="22"/>
      <c r="IQV290" s="22"/>
      <c r="IQW290" s="22"/>
      <c r="IQX290" s="22"/>
      <c r="IQY290" s="22"/>
      <c r="IQZ290" s="22"/>
      <c r="IRA290" s="22"/>
      <c r="IRB290" s="22"/>
      <c r="IRC290" s="22"/>
      <c r="IRD290" s="22"/>
      <c r="IRE290" s="22"/>
      <c r="IRF290" s="22"/>
      <c r="IRG290" s="22"/>
      <c r="IRH290" s="22"/>
      <c r="IRI290" s="22"/>
      <c r="IRJ290" s="22"/>
      <c r="IRK290" s="22"/>
      <c r="IRL290" s="22"/>
      <c r="IRM290" s="22"/>
      <c r="IRN290" s="22"/>
      <c r="IRO290" s="22"/>
      <c r="IRP290" s="22"/>
      <c r="IRQ290" s="22"/>
      <c r="IRR290" s="22"/>
      <c r="IRS290" s="22"/>
      <c r="IRT290" s="22"/>
      <c r="IRU290" s="22"/>
      <c r="IRV290" s="22"/>
      <c r="IRW290" s="22"/>
      <c r="IRX290" s="22"/>
      <c r="IRY290" s="22"/>
      <c r="IRZ290" s="22"/>
      <c r="ISA290" s="22"/>
      <c r="ISB290" s="22"/>
      <c r="ISC290" s="22"/>
      <c r="ISD290" s="22"/>
      <c r="ISE290" s="22"/>
      <c r="ISF290" s="22"/>
      <c r="ISG290" s="22"/>
      <c r="ISH290" s="22"/>
      <c r="ISI290" s="22"/>
      <c r="ISJ290" s="22"/>
      <c r="ISK290" s="22"/>
      <c r="ISL290" s="22"/>
      <c r="ISM290" s="22"/>
      <c r="ISN290" s="22"/>
      <c r="ISO290" s="22"/>
      <c r="ISP290" s="22"/>
      <c r="ISQ290" s="22"/>
      <c r="ISR290" s="22"/>
      <c r="ISS290" s="22"/>
      <c r="IST290" s="22"/>
      <c r="ISU290" s="22"/>
      <c r="ISV290" s="22"/>
      <c r="ISW290" s="22"/>
      <c r="ISX290" s="22"/>
      <c r="ISY290" s="22"/>
      <c r="ISZ290" s="22"/>
      <c r="ITA290" s="22"/>
      <c r="ITB290" s="22"/>
      <c r="ITC290" s="22"/>
      <c r="ITD290" s="22"/>
      <c r="ITE290" s="22"/>
      <c r="ITF290" s="22"/>
      <c r="ITG290" s="22"/>
      <c r="ITH290" s="22"/>
      <c r="ITI290" s="22"/>
      <c r="ITJ290" s="22"/>
      <c r="ITK290" s="22"/>
      <c r="ITL290" s="22"/>
      <c r="ITM290" s="22"/>
      <c r="ITN290" s="22"/>
      <c r="ITO290" s="22"/>
      <c r="ITP290" s="22"/>
      <c r="ITQ290" s="22"/>
      <c r="ITR290" s="22"/>
      <c r="ITS290" s="22"/>
      <c r="ITT290" s="22"/>
      <c r="ITU290" s="22"/>
      <c r="ITV290" s="22"/>
      <c r="ITW290" s="22"/>
      <c r="ITX290" s="22"/>
      <c r="ITY290" s="22"/>
      <c r="ITZ290" s="22"/>
      <c r="IUA290" s="22"/>
      <c r="IUB290" s="22"/>
      <c r="IUC290" s="22"/>
      <c r="IUD290" s="22"/>
      <c r="IUE290" s="22"/>
      <c r="IUF290" s="22"/>
      <c r="IUG290" s="22"/>
      <c r="IUH290" s="22"/>
      <c r="IUI290" s="22"/>
      <c r="IUJ290" s="22"/>
      <c r="IUK290" s="22"/>
      <c r="IUL290" s="22"/>
      <c r="IUM290" s="22"/>
      <c r="IUN290" s="22"/>
      <c r="IUO290" s="22"/>
      <c r="IUP290" s="22"/>
      <c r="IUQ290" s="22"/>
      <c r="IUR290" s="22"/>
      <c r="IUS290" s="22"/>
      <c r="IUT290" s="22"/>
      <c r="IUU290" s="22"/>
      <c r="IUV290" s="22"/>
      <c r="IUW290" s="22"/>
      <c r="IUX290" s="22"/>
      <c r="IUY290" s="22"/>
      <c r="IUZ290" s="22"/>
      <c r="IVA290" s="22"/>
      <c r="IVB290" s="22"/>
      <c r="IVC290" s="22"/>
      <c r="IVD290" s="22"/>
      <c r="IVE290" s="22"/>
      <c r="IVF290" s="22"/>
      <c r="IVG290" s="22"/>
      <c r="IVH290" s="22"/>
      <c r="IVI290" s="22"/>
      <c r="IVJ290" s="22"/>
      <c r="IVK290" s="22"/>
      <c r="IVL290" s="22"/>
      <c r="IVM290" s="22"/>
      <c r="IVN290" s="22"/>
      <c r="IVO290" s="22"/>
      <c r="IVP290" s="22"/>
      <c r="IVQ290" s="22"/>
      <c r="IVR290" s="22"/>
      <c r="IVS290" s="22"/>
      <c r="IVT290" s="22"/>
      <c r="IVU290" s="22"/>
      <c r="IVV290" s="22"/>
      <c r="IVW290" s="22"/>
      <c r="IVX290" s="22"/>
      <c r="IVY290" s="22"/>
      <c r="IVZ290" s="22"/>
      <c r="IWA290" s="22"/>
      <c r="IWB290" s="22"/>
      <c r="IWC290" s="22"/>
      <c r="IWD290" s="22"/>
      <c r="IWE290" s="22"/>
      <c r="IWF290" s="22"/>
      <c r="IWG290" s="22"/>
      <c r="IWH290" s="22"/>
      <c r="IWI290" s="22"/>
      <c r="IWJ290" s="22"/>
      <c r="IWK290" s="22"/>
      <c r="IWL290" s="22"/>
      <c r="IWM290" s="22"/>
      <c r="IWN290" s="22"/>
      <c r="IWO290" s="22"/>
      <c r="IWP290" s="22"/>
      <c r="IWQ290" s="22"/>
      <c r="IWR290" s="22"/>
      <c r="IWS290" s="22"/>
      <c r="IWT290" s="22"/>
      <c r="IWU290" s="22"/>
      <c r="IWV290" s="22"/>
      <c r="IWW290" s="22"/>
      <c r="IWX290" s="22"/>
      <c r="IWY290" s="22"/>
      <c r="IWZ290" s="22"/>
      <c r="IXA290" s="22"/>
      <c r="IXB290" s="22"/>
      <c r="IXC290" s="22"/>
      <c r="IXD290" s="22"/>
      <c r="IXE290" s="22"/>
      <c r="IXF290" s="22"/>
      <c r="IXG290" s="22"/>
      <c r="IXH290" s="22"/>
      <c r="IXI290" s="22"/>
      <c r="IXJ290" s="22"/>
      <c r="IXK290" s="22"/>
      <c r="IXL290" s="22"/>
      <c r="IXM290" s="22"/>
      <c r="IXN290" s="22"/>
      <c r="IXO290" s="22"/>
      <c r="IXP290" s="22"/>
      <c r="IXQ290" s="22"/>
      <c r="IXR290" s="22"/>
      <c r="IXS290" s="22"/>
      <c r="IXT290" s="22"/>
      <c r="IXU290" s="22"/>
      <c r="IXV290" s="22"/>
      <c r="IXW290" s="22"/>
      <c r="IXX290" s="22"/>
      <c r="IXY290" s="22"/>
      <c r="IXZ290" s="22"/>
      <c r="IYA290" s="22"/>
      <c r="IYB290" s="22"/>
      <c r="IYC290" s="22"/>
      <c r="IYD290" s="22"/>
      <c r="IYE290" s="22"/>
      <c r="IYF290" s="22"/>
      <c r="IYG290" s="22"/>
      <c r="IYH290" s="22"/>
      <c r="IYI290" s="22"/>
      <c r="IYJ290" s="22"/>
      <c r="IYK290" s="22"/>
      <c r="IYL290" s="22"/>
      <c r="IYM290" s="22"/>
      <c r="IYN290" s="22"/>
      <c r="IYO290" s="22"/>
      <c r="IYP290" s="22"/>
      <c r="IYQ290" s="22"/>
      <c r="IYR290" s="22"/>
      <c r="IYS290" s="22"/>
      <c r="IYT290" s="22"/>
      <c r="IYU290" s="22"/>
      <c r="IYV290" s="22"/>
      <c r="IYW290" s="22"/>
      <c r="IYX290" s="22"/>
      <c r="IYY290" s="22"/>
      <c r="IYZ290" s="22"/>
      <c r="IZA290" s="22"/>
      <c r="IZB290" s="22"/>
      <c r="IZC290" s="22"/>
      <c r="IZD290" s="22"/>
      <c r="IZE290" s="22"/>
      <c r="IZF290" s="22"/>
      <c r="IZG290" s="22"/>
      <c r="IZH290" s="22"/>
      <c r="IZI290" s="22"/>
      <c r="IZJ290" s="22"/>
      <c r="IZK290" s="22"/>
      <c r="IZL290" s="22"/>
      <c r="IZM290" s="22"/>
      <c r="IZN290" s="22"/>
      <c r="IZO290" s="22"/>
      <c r="IZP290" s="22"/>
      <c r="IZQ290" s="22"/>
      <c r="IZR290" s="22"/>
      <c r="IZS290" s="22"/>
      <c r="IZT290" s="22"/>
      <c r="IZU290" s="22"/>
      <c r="IZV290" s="22"/>
      <c r="IZW290" s="22"/>
      <c r="IZX290" s="22"/>
      <c r="IZY290" s="22"/>
      <c r="IZZ290" s="22"/>
      <c r="JAA290" s="22"/>
      <c r="JAB290" s="22"/>
      <c r="JAC290" s="22"/>
      <c r="JAD290" s="22"/>
      <c r="JAE290" s="22"/>
      <c r="JAF290" s="22"/>
      <c r="JAG290" s="22"/>
      <c r="JAH290" s="22"/>
      <c r="JAI290" s="22"/>
      <c r="JAJ290" s="22"/>
      <c r="JAK290" s="22"/>
      <c r="JAL290" s="22"/>
      <c r="JAM290" s="22"/>
      <c r="JAN290" s="22"/>
      <c r="JAO290" s="22"/>
      <c r="JAP290" s="22"/>
      <c r="JAQ290" s="22"/>
      <c r="JAR290" s="22"/>
      <c r="JAS290" s="22"/>
      <c r="JAT290" s="22"/>
      <c r="JAU290" s="22"/>
      <c r="JAV290" s="22"/>
      <c r="JAW290" s="22"/>
      <c r="JAX290" s="22"/>
      <c r="JAY290" s="22"/>
      <c r="JAZ290" s="22"/>
      <c r="JBA290" s="22"/>
      <c r="JBB290" s="22"/>
      <c r="JBC290" s="22"/>
      <c r="JBD290" s="22"/>
      <c r="JBE290" s="22"/>
      <c r="JBF290" s="22"/>
      <c r="JBG290" s="22"/>
      <c r="JBH290" s="22"/>
      <c r="JBI290" s="22"/>
      <c r="JBJ290" s="22"/>
      <c r="JBK290" s="22"/>
      <c r="JBL290" s="22"/>
      <c r="JBM290" s="22"/>
      <c r="JBN290" s="22"/>
      <c r="JBO290" s="22"/>
      <c r="JBP290" s="22"/>
      <c r="JBQ290" s="22"/>
      <c r="JBR290" s="22"/>
      <c r="JBS290" s="22"/>
      <c r="JBT290" s="22"/>
      <c r="JBU290" s="22"/>
      <c r="JBV290" s="22"/>
      <c r="JBW290" s="22"/>
      <c r="JBX290" s="22"/>
      <c r="JBY290" s="22"/>
      <c r="JBZ290" s="22"/>
      <c r="JCA290" s="22"/>
      <c r="JCB290" s="22"/>
      <c r="JCC290" s="22"/>
      <c r="JCD290" s="22"/>
      <c r="JCE290" s="22"/>
      <c r="JCF290" s="22"/>
      <c r="JCG290" s="22"/>
      <c r="JCH290" s="22"/>
      <c r="JCI290" s="22"/>
      <c r="JCJ290" s="22"/>
      <c r="JCK290" s="22"/>
      <c r="JCL290" s="22"/>
      <c r="JCM290" s="22"/>
      <c r="JCN290" s="22"/>
      <c r="JCO290" s="22"/>
      <c r="JCP290" s="22"/>
      <c r="JCQ290" s="22"/>
      <c r="JCR290" s="22"/>
      <c r="JCS290" s="22"/>
      <c r="JCT290" s="22"/>
      <c r="JCU290" s="22"/>
      <c r="JCV290" s="22"/>
      <c r="JCW290" s="22"/>
      <c r="JCX290" s="22"/>
      <c r="JCY290" s="22"/>
      <c r="JCZ290" s="22"/>
      <c r="JDA290" s="22"/>
      <c r="JDB290" s="22"/>
      <c r="JDC290" s="22"/>
      <c r="JDD290" s="22"/>
      <c r="JDE290" s="22"/>
      <c r="JDF290" s="22"/>
      <c r="JDG290" s="22"/>
      <c r="JDH290" s="22"/>
      <c r="JDI290" s="22"/>
      <c r="JDJ290" s="22"/>
      <c r="JDK290" s="22"/>
      <c r="JDL290" s="22"/>
      <c r="JDM290" s="22"/>
      <c r="JDN290" s="22"/>
      <c r="JDO290" s="22"/>
      <c r="JDP290" s="22"/>
      <c r="JDQ290" s="22"/>
      <c r="JDR290" s="22"/>
      <c r="JDS290" s="22"/>
      <c r="JDT290" s="22"/>
      <c r="JDU290" s="22"/>
      <c r="JDV290" s="22"/>
      <c r="JDW290" s="22"/>
      <c r="JDX290" s="22"/>
      <c r="JDY290" s="22"/>
      <c r="JDZ290" s="22"/>
      <c r="JEA290" s="22"/>
      <c r="JEB290" s="22"/>
      <c r="JEC290" s="22"/>
      <c r="JED290" s="22"/>
      <c r="JEE290" s="22"/>
      <c r="JEF290" s="22"/>
      <c r="JEG290" s="22"/>
      <c r="JEH290" s="22"/>
      <c r="JEI290" s="22"/>
      <c r="JEJ290" s="22"/>
      <c r="JEK290" s="22"/>
      <c r="JEL290" s="22"/>
      <c r="JEM290" s="22"/>
      <c r="JEN290" s="22"/>
      <c r="JEO290" s="22"/>
      <c r="JEP290" s="22"/>
      <c r="JEQ290" s="22"/>
      <c r="JER290" s="22"/>
      <c r="JES290" s="22"/>
      <c r="JET290" s="22"/>
      <c r="JEU290" s="22"/>
      <c r="JEV290" s="22"/>
      <c r="JEW290" s="22"/>
      <c r="JEX290" s="22"/>
      <c r="JEY290" s="22"/>
      <c r="JEZ290" s="22"/>
      <c r="JFA290" s="22"/>
      <c r="JFB290" s="22"/>
      <c r="JFC290" s="22"/>
      <c r="JFD290" s="22"/>
      <c r="JFE290" s="22"/>
      <c r="JFF290" s="22"/>
      <c r="JFG290" s="22"/>
      <c r="JFH290" s="22"/>
      <c r="JFI290" s="22"/>
      <c r="JFJ290" s="22"/>
      <c r="JFK290" s="22"/>
      <c r="JFL290" s="22"/>
      <c r="JFM290" s="22"/>
      <c r="JFN290" s="22"/>
      <c r="JFO290" s="22"/>
      <c r="JFP290" s="22"/>
      <c r="JFQ290" s="22"/>
      <c r="JFR290" s="22"/>
      <c r="JFS290" s="22"/>
      <c r="JFT290" s="22"/>
      <c r="JFU290" s="22"/>
      <c r="JFV290" s="22"/>
      <c r="JFW290" s="22"/>
      <c r="JFX290" s="22"/>
      <c r="JFY290" s="22"/>
      <c r="JFZ290" s="22"/>
      <c r="JGA290" s="22"/>
      <c r="JGB290" s="22"/>
      <c r="JGC290" s="22"/>
      <c r="JGD290" s="22"/>
      <c r="JGE290" s="22"/>
      <c r="JGF290" s="22"/>
      <c r="JGG290" s="22"/>
      <c r="JGH290" s="22"/>
      <c r="JGI290" s="22"/>
      <c r="JGJ290" s="22"/>
      <c r="JGK290" s="22"/>
      <c r="JGL290" s="22"/>
      <c r="JGM290" s="22"/>
      <c r="JGN290" s="22"/>
      <c r="JGO290" s="22"/>
      <c r="JGP290" s="22"/>
      <c r="JGQ290" s="22"/>
      <c r="JGR290" s="22"/>
      <c r="JGS290" s="22"/>
      <c r="JGT290" s="22"/>
      <c r="JGU290" s="22"/>
      <c r="JGV290" s="22"/>
      <c r="JGW290" s="22"/>
      <c r="JGX290" s="22"/>
      <c r="JGY290" s="22"/>
      <c r="JGZ290" s="22"/>
      <c r="JHA290" s="22"/>
      <c r="JHB290" s="22"/>
      <c r="JHC290" s="22"/>
      <c r="JHD290" s="22"/>
      <c r="JHE290" s="22"/>
      <c r="JHF290" s="22"/>
      <c r="JHG290" s="22"/>
      <c r="JHH290" s="22"/>
      <c r="JHI290" s="22"/>
      <c r="JHJ290" s="22"/>
      <c r="JHK290" s="22"/>
      <c r="JHL290" s="22"/>
      <c r="JHM290" s="22"/>
      <c r="JHN290" s="22"/>
      <c r="JHO290" s="22"/>
      <c r="JHP290" s="22"/>
      <c r="JHQ290" s="22"/>
      <c r="JHR290" s="22"/>
      <c r="JHS290" s="22"/>
      <c r="JHT290" s="22"/>
      <c r="JHU290" s="22"/>
      <c r="JHV290" s="22"/>
      <c r="JHW290" s="22"/>
      <c r="JHX290" s="22"/>
      <c r="JHY290" s="22"/>
      <c r="JHZ290" s="22"/>
      <c r="JIA290" s="22"/>
      <c r="JIB290" s="22"/>
      <c r="JIC290" s="22"/>
      <c r="JID290" s="22"/>
      <c r="JIE290" s="22"/>
      <c r="JIF290" s="22"/>
      <c r="JIG290" s="22"/>
      <c r="JIH290" s="22"/>
      <c r="JII290" s="22"/>
      <c r="JIJ290" s="22"/>
      <c r="JIK290" s="22"/>
      <c r="JIL290" s="22"/>
      <c r="JIM290" s="22"/>
      <c r="JIN290" s="22"/>
      <c r="JIO290" s="22"/>
      <c r="JIP290" s="22"/>
      <c r="JIQ290" s="22"/>
      <c r="JIR290" s="22"/>
      <c r="JIS290" s="22"/>
      <c r="JIT290" s="22"/>
      <c r="JIU290" s="22"/>
      <c r="JIV290" s="22"/>
      <c r="JIW290" s="22"/>
      <c r="JIX290" s="22"/>
      <c r="JIY290" s="22"/>
      <c r="JIZ290" s="22"/>
      <c r="JJA290" s="22"/>
      <c r="JJB290" s="22"/>
      <c r="JJC290" s="22"/>
      <c r="JJD290" s="22"/>
      <c r="JJE290" s="22"/>
      <c r="JJF290" s="22"/>
      <c r="JJG290" s="22"/>
      <c r="JJH290" s="22"/>
      <c r="JJI290" s="22"/>
      <c r="JJJ290" s="22"/>
      <c r="JJK290" s="22"/>
      <c r="JJL290" s="22"/>
      <c r="JJM290" s="22"/>
      <c r="JJN290" s="22"/>
      <c r="JJO290" s="22"/>
      <c r="JJP290" s="22"/>
      <c r="JJQ290" s="22"/>
      <c r="JJR290" s="22"/>
      <c r="JJS290" s="22"/>
      <c r="JJT290" s="22"/>
      <c r="JJU290" s="22"/>
      <c r="JJV290" s="22"/>
      <c r="JJW290" s="22"/>
      <c r="JJX290" s="22"/>
      <c r="JJY290" s="22"/>
      <c r="JJZ290" s="22"/>
      <c r="JKA290" s="22"/>
      <c r="JKB290" s="22"/>
      <c r="JKC290" s="22"/>
      <c r="JKD290" s="22"/>
      <c r="JKE290" s="22"/>
      <c r="JKF290" s="22"/>
      <c r="JKG290" s="22"/>
      <c r="JKH290" s="22"/>
      <c r="JKI290" s="22"/>
      <c r="JKJ290" s="22"/>
      <c r="JKK290" s="22"/>
      <c r="JKL290" s="22"/>
      <c r="JKM290" s="22"/>
      <c r="JKN290" s="22"/>
      <c r="JKO290" s="22"/>
      <c r="JKP290" s="22"/>
      <c r="JKQ290" s="22"/>
      <c r="JKR290" s="22"/>
      <c r="JKS290" s="22"/>
      <c r="JKT290" s="22"/>
      <c r="JKU290" s="22"/>
      <c r="JKV290" s="22"/>
      <c r="JKW290" s="22"/>
      <c r="JKX290" s="22"/>
      <c r="JKY290" s="22"/>
      <c r="JKZ290" s="22"/>
      <c r="JLA290" s="22"/>
      <c r="JLB290" s="22"/>
      <c r="JLC290" s="22"/>
      <c r="JLD290" s="22"/>
      <c r="JLE290" s="22"/>
      <c r="JLF290" s="22"/>
      <c r="JLG290" s="22"/>
      <c r="JLH290" s="22"/>
      <c r="JLI290" s="22"/>
      <c r="JLJ290" s="22"/>
      <c r="JLK290" s="22"/>
      <c r="JLL290" s="22"/>
      <c r="JLM290" s="22"/>
      <c r="JLN290" s="22"/>
      <c r="JLO290" s="22"/>
      <c r="JLP290" s="22"/>
      <c r="JLQ290" s="22"/>
      <c r="JLR290" s="22"/>
      <c r="JLS290" s="22"/>
      <c r="JLT290" s="22"/>
      <c r="JLU290" s="22"/>
      <c r="JLV290" s="22"/>
      <c r="JLW290" s="22"/>
      <c r="JLX290" s="22"/>
      <c r="JLY290" s="22"/>
      <c r="JLZ290" s="22"/>
      <c r="JMA290" s="22"/>
      <c r="JMB290" s="22"/>
      <c r="JMC290" s="22"/>
      <c r="JMD290" s="22"/>
      <c r="JME290" s="22"/>
      <c r="JMF290" s="22"/>
      <c r="JMG290" s="22"/>
      <c r="JMH290" s="22"/>
      <c r="JMI290" s="22"/>
      <c r="JMJ290" s="22"/>
      <c r="JMK290" s="22"/>
      <c r="JML290" s="22"/>
      <c r="JMM290" s="22"/>
      <c r="JMN290" s="22"/>
      <c r="JMO290" s="22"/>
      <c r="JMP290" s="22"/>
      <c r="JMQ290" s="22"/>
      <c r="JMR290" s="22"/>
      <c r="JMS290" s="22"/>
      <c r="JMT290" s="22"/>
      <c r="JMU290" s="22"/>
      <c r="JMV290" s="22"/>
      <c r="JMW290" s="22"/>
      <c r="JMX290" s="22"/>
      <c r="JMY290" s="22"/>
      <c r="JMZ290" s="22"/>
      <c r="JNA290" s="22"/>
      <c r="JNB290" s="22"/>
      <c r="JNC290" s="22"/>
      <c r="JND290" s="22"/>
      <c r="JNE290" s="22"/>
      <c r="JNF290" s="22"/>
      <c r="JNG290" s="22"/>
      <c r="JNH290" s="22"/>
      <c r="JNI290" s="22"/>
      <c r="JNJ290" s="22"/>
      <c r="JNK290" s="22"/>
      <c r="JNL290" s="22"/>
      <c r="JNM290" s="22"/>
      <c r="JNN290" s="22"/>
      <c r="JNO290" s="22"/>
      <c r="JNP290" s="22"/>
      <c r="JNQ290" s="22"/>
      <c r="JNR290" s="22"/>
      <c r="JNS290" s="22"/>
      <c r="JNT290" s="22"/>
      <c r="JNU290" s="22"/>
      <c r="JNV290" s="22"/>
      <c r="JNW290" s="22"/>
      <c r="JNX290" s="22"/>
      <c r="JNY290" s="22"/>
      <c r="JNZ290" s="22"/>
      <c r="JOA290" s="22"/>
      <c r="JOB290" s="22"/>
      <c r="JOC290" s="22"/>
      <c r="JOD290" s="22"/>
      <c r="JOE290" s="22"/>
      <c r="JOF290" s="22"/>
      <c r="JOG290" s="22"/>
      <c r="JOH290" s="22"/>
      <c r="JOI290" s="22"/>
      <c r="JOJ290" s="22"/>
      <c r="JOK290" s="22"/>
      <c r="JOL290" s="22"/>
      <c r="JOM290" s="22"/>
      <c r="JON290" s="22"/>
      <c r="JOO290" s="22"/>
      <c r="JOP290" s="22"/>
      <c r="JOQ290" s="22"/>
      <c r="JOR290" s="22"/>
      <c r="JOS290" s="22"/>
      <c r="JOT290" s="22"/>
      <c r="JOU290" s="22"/>
      <c r="JOV290" s="22"/>
      <c r="JOW290" s="22"/>
      <c r="JOX290" s="22"/>
      <c r="JOY290" s="22"/>
      <c r="JOZ290" s="22"/>
      <c r="JPA290" s="22"/>
      <c r="JPB290" s="22"/>
      <c r="JPC290" s="22"/>
      <c r="JPD290" s="22"/>
      <c r="JPE290" s="22"/>
      <c r="JPF290" s="22"/>
      <c r="JPG290" s="22"/>
      <c r="JPH290" s="22"/>
      <c r="JPI290" s="22"/>
      <c r="JPJ290" s="22"/>
      <c r="JPK290" s="22"/>
      <c r="JPL290" s="22"/>
      <c r="JPM290" s="22"/>
      <c r="JPN290" s="22"/>
      <c r="JPO290" s="22"/>
      <c r="JPP290" s="22"/>
      <c r="JPQ290" s="22"/>
      <c r="JPR290" s="22"/>
      <c r="JPS290" s="22"/>
      <c r="JPT290" s="22"/>
      <c r="JPU290" s="22"/>
      <c r="JPV290" s="22"/>
      <c r="JPW290" s="22"/>
      <c r="JPX290" s="22"/>
      <c r="JPY290" s="22"/>
      <c r="JPZ290" s="22"/>
      <c r="JQA290" s="22"/>
      <c r="JQB290" s="22"/>
      <c r="JQC290" s="22"/>
      <c r="JQD290" s="22"/>
      <c r="JQE290" s="22"/>
      <c r="JQF290" s="22"/>
      <c r="JQG290" s="22"/>
      <c r="JQH290" s="22"/>
      <c r="JQI290" s="22"/>
      <c r="JQJ290" s="22"/>
      <c r="JQK290" s="22"/>
      <c r="JQL290" s="22"/>
      <c r="JQM290" s="22"/>
      <c r="JQN290" s="22"/>
      <c r="JQO290" s="22"/>
      <c r="JQP290" s="22"/>
      <c r="JQQ290" s="22"/>
      <c r="JQR290" s="22"/>
      <c r="JQS290" s="22"/>
      <c r="JQT290" s="22"/>
      <c r="JQU290" s="22"/>
      <c r="JQV290" s="22"/>
      <c r="JQW290" s="22"/>
      <c r="JQX290" s="22"/>
      <c r="JQY290" s="22"/>
      <c r="JQZ290" s="22"/>
      <c r="JRA290" s="22"/>
      <c r="JRB290" s="22"/>
      <c r="JRC290" s="22"/>
      <c r="JRD290" s="22"/>
      <c r="JRE290" s="22"/>
      <c r="JRF290" s="22"/>
      <c r="JRG290" s="22"/>
      <c r="JRH290" s="22"/>
      <c r="JRI290" s="22"/>
      <c r="JRJ290" s="22"/>
      <c r="JRK290" s="22"/>
      <c r="JRL290" s="22"/>
      <c r="JRM290" s="22"/>
      <c r="JRN290" s="22"/>
      <c r="JRO290" s="22"/>
      <c r="JRP290" s="22"/>
      <c r="JRQ290" s="22"/>
      <c r="JRR290" s="22"/>
      <c r="JRS290" s="22"/>
      <c r="JRT290" s="22"/>
      <c r="JRU290" s="22"/>
      <c r="JRV290" s="22"/>
      <c r="JRW290" s="22"/>
      <c r="JRX290" s="22"/>
      <c r="JRY290" s="22"/>
      <c r="JRZ290" s="22"/>
      <c r="JSA290" s="22"/>
      <c r="JSB290" s="22"/>
      <c r="JSC290" s="22"/>
      <c r="JSD290" s="22"/>
      <c r="JSE290" s="22"/>
      <c r="JSF290" s="22"/>
      <c r="JSG290" s="22"/>
      <c r="JSH290" s="22"/>
      <c r="JSI290" s="22"/>
      <c r="JSJ290" s="22"/>
      <c r="JSK290" s="22"/>
      <c r="JSL290" s="22"/>
      <c r="JSM290" s="22"/>
      <c r="JSN290" s="22"/>
      <c r="JSO290" s="22"/>
      <c r="JSP290" s="22"/>
      <c r="JSQ290" s="22"/>
      <c r="JSR290" s="22"/>
      <c r="JSS290" s="22"/>
      <c r="JST290" s="22"/>
      <c r="JSU290" s="22"/>
      <c r="JSV290" s="22"/>
      <c r="JSW290" s="22"/>
      <c r="JSX290" s="22"/>
      <c r="JSY290" s="22"/>
      <c r="JSZ290" s="22"/>
      <c r="JTA290" s="22"/>
      <c r="JTB290" s="22"/>
      <c r="JTC290" s="22"/>
      <c r="JTD290" s="22"/>
      <c r="JTE290" s="22"/>
      <c r="JTF290" s="22"/>
      <c r="JTG290" s="22"/>
      <c r="JTH290" s="22"/>
      <c r="JTI290" s="22"/>
      <c r="JTJ290" s="22"/>
      <c r="JTK290" s="22"/>
      <c r="JTL290" s="22"/>
      <c r="JTM290" s="22"/>
      <c r="JTN290" s="22"/>
      <c r="JTO290" s="22"/>
      <c r="JTP290" s="22"/>
      <c r="JTQ290" s="22"/>
      <c r="JTR290" s="22"/>
      <c r="JTS290" s="22"/>
      <c r="JTT290" s="22"/>
      <c r="JTU290" s="22"/>
      <c r="JTV290" s="22"/>
      <c r="JTW290" s="22"/>
      <c r="JTX290" s="22"/>
      <c r="JTY290" s="22"/>
      <c r="JTZ290" s="22"/>
      <c r="JUA290" s="22"/>
      <c r="JUB290" s="22"/>
      <c r="JUC290" s="22"/>
      <c r="JUD290" s="22"/>
      <c r="JUE290" s="22"/>
      <c r="JUF290" s="22"/>
      <c r="JUG290" s="22"/>
      <c r="JUH290" s="22"/>
      <c r="JUI290" s="22"/>
      <c r="JUJ290" s="22"/>
      <c r="JUK290" s="22"/>
      <c r="JUL290" s="22"/>
      <c r="JUM290" s="22"/>
      <c r="JUN290" s="22"/>
      <c r="JUO290" s="22"/>
      <c r="JUP290" s="22"/>
      <c r="JUQ290" s="22"/>
      <c r="JUR290" s="22"/>
      <c r="JUS290" s="22"/>
      <c r="JUT290" s="22"/>
      <c r="JUU290" s="22"/>
      <c r="JUV290" s="22"/>
      <c r="JUW290" s="22"/>
      <c r="JUX290" s="22"/>
      <c r="JUY290" s="22"/>
      <c r="JUZ290" s="22"/>
      <c r="JVA290" s="22"/>
      <c r="JVB290" s="22"/>
      <c r="JVC290" s="22"/>
      <c r="JVD290" s="22"/>
      <c r="JVE290" s="22"/>
      <c r="JVF290" s="22"/>
      <c r="JVG290" s="22"/>
      <c r="JVH290" s="22"/>
      <c r="JVI290" s="22"/>
      <c r="JVJ290" s="22"/>
      <c r="JVK290" s="22"/>
      <c r="JVL290" s="22"/>
      <c r="JVM290" s="22"/>
      <c r="JVN290" s="22"/>
      <c r="JVO290" s="22"/>
      <c r="JVP290" s="22"/>
      <c r="JVQ290" s="22"/>
      <c r="JVR290" s="22"/>
      <c r="JVS290" s="22"/>
      <c r="JVT290" s="22"/>
      <c r="JVU290" s="22"/>
      <c r="JVV290" s="22"/>
      <c r="JVW290" s="22"/>
      <c r="JVX290" s="22"/>
      <c r="JVY290" s="22"/>
      <c r="JVZ290" s="22"/>
      <c r="JWA290" s="22"/>
      <c r="JWB290" s="22"/>
      <c r="JWC290" s="22"/>
      <c r="JWD290" s="22"/>
      <c r="JWE290" s="22"/>
      <c r="JWF290" s="22"/>
      <c r="JWG290" s="22"/>
      <c r="JWH290" s="22"/>
      <c r="JWI290" s="22"/>
      <c r="JWJ290" s="22"/>
      <c r="JWK290" s="22"/>
      <c r="JWL290" s="22"/>
      <c r="JWM290" s="22"/>
      <c r="JWN290" s="22"/>
      <c r="JWO290" s="22"/>
      <c r="JWP290" s="22"/>
      <c r="JWQ290" s="22"/>
      <c r="JWR290" s="22"/>
      <c r="JWS290" s="22"/>
      <c r="JWT290" s="22"/>
      <c r="JWU290" s="22"/>
      <c r="JWV290" s="22"/>
      <c r="JWW290" s="22"/>
      <c r="JWX290" s="22"/>
      <c r="JWY290" s="22"/>
      <c r="JWZ290" s="22"/>
      <c r="JXA290" s="22"/>
      <c r="JXB290" s="22"/>
      <c r="JXC290" s="22"/>
      <c r="JXD290" s="22"/>
      <c r="JXE290" s="22"/>
      <c r="JXF290" s="22"/>
      <c r="JXG290" s="22"/>
      <c r="JXH290" s="22"/>
      <c r="JXI290" s="22"/>
      <c r="JXJ290" s="22"/>
      <c r="JXK290" s="22"/>
      <c r="JXL290" s="22"/>
      <c r="JXM290" s="22"/>
      <c r="JXN290" s="22"/>
      <c r="JXO290" s="22"/>
      <c r="JXP290" s="22"/>
      <c r="JXQ290" s="22"/>
      <c r="JXR290" s="22"/>
      <c r="JXS290" s="22"/>
      <c r="JXT290" s="22"/>
      <c r="JXU290" s="22"/>
      <c r="JXV290" s="22"/>
      <c r="JXW290" s="22"/>
      <c r="JXX290" s="22"/>
      <c r="JXY290" s="22"/>
      <c r="JXZ290" s="22"/>
      <c r="JYA290" s="22"/>
      <c r="JYB290" s="22"/>
      <c r="JYC290" s="22"/>
      <c r="JYD290" s="22"/>
      <c r="JYE290" s="22"/>
      <c r="JYF290" s="22"/>
      <c r="JYG290" s="22"/>
      <c r="JYH290" s="22"/>
      <c r="JYI290" s="22"/>
      <c r="JYJ290" s="22"/>
      <c r="JYK290" s="22"/>
      <c r="JYL290" s="22"/>
      <c r="JYM290" s="22"/>
      <c r="JYN290" s="22"/>
      <c r="JYO290" s="22"/>
      <c r="JYP290" s="22"/>
      <c r="JYQ290" s="22"/>
      <c r="JYR290" s="22"/>
      <c r="JYS290" s="22"/>
      <c r="JYT290" s="22"/>
      <c r="JYU290" s="22"/>
      <c r="JYV290" s="22"/>
      <c r="JYW290" s="22"/>
      <c r="JYX290" s="22"/>
      <c r="JYY290" s="22"/>
      <c r="JYZ290" s="22"/>
      <c r="JZA290" s="22"/>
      <c r="JZB290" s="22"/>
      <c r="JZC290" s="22"/>
      <c r="JZD290" s="22"/>
      <c r="JZE290" s="22"/>
      <c r="JZF290" s="22"/>
      <c r="JZG290" s="22"/>
      <c r="JZH290" s="22"/>
      <c r="JZI290" s="22"/>
      <c r="JZJ290" s="22"/>
      <c r="JZK290" s="22"/>
      <c r="JZL290" s="22"/>
      <c r="JZM290" s="22"/>
      <c r="JZN290" s="22"/>
      <c r="JZO290" s="22"/>
      <c r="JZP290" s="22"/>
      <c r="JZQ290" s="22"/>
      <c r="JZR290" s="22"/>
      <c r="JZS290" s="22"/>
      <c r="JZT290" s="22"/>
      <c r="JZU290" s="22"/>
      <c r="JZV290" s="22"/>
      <c r="JZW290" s="22"/>
      <c r="JZX290" s="22"/>
      <c r="JZY290" s="22"/>
      <c r="JZZ290" s="22"/>
      <c r="KAA290" s="22"/>
      <c r="KAB290" s="22"/>
      <c r="KAC290" s="22"/>
      <c r="KAD290" s="22"/>
      <c r="KAE290" s="22"/>
      <c r="KAF290" s="22"/>
      <c r="KAG290" s="22"/>
      <c r="KAH290" s="22"/>
      <c r="KAI290" s="22"/>
      <c r="KAJ290" s="22"/>
      <c r="KAK290" s="22"/>
      <c r="KAL290" s="22"/>
      <c r="KAM290" s="22"/>
      <c r="KAN290" s="22"/>
      <c r="KAO290" s="22"/>
      <c r="KAP290" s="22"/>
      <c r="KAQ290" s="22"/>
      <c r="KAR290" s="22"/>
      <c r="KAS290" s="22"/>
      <c r="KAT290" s="22"/>
      <c r="KAU290" s="22"/>
      <c r="KAV290" s="22"/>
      <c r="KAW290" s="22"/>
      <c r="KAX290" s="22"/>
      <c r="KAY290" s="22"/>
      <c r="KAZ290" s="22"/>
      <c r="KBA290" s="22"/>
      <c r="KBB290" s="22"/>
      <c r="KBC290" s="22"/>
      <c r="KBD290" s="22"/>
      <c r="KBE290" s="22"/>
      <c r="KBF290" s="22"/>
      <c r="KBG290" s="22"/>
      <c r="KBH290" s="22"/>
      <c r="KBI290" s="22"/>
      <c r="KBJ290" s="22"/>
      <c r="KBK290" s="22"/>
      <c r="KBL290" s="22"/>
      <c r="KBM290" s="22"/>
      <c r="KBN290" s="22"/>
      <c r="KBO290" s="22"/>
      <c r="KBP290" s="22"/>
      <c r="KBQ290" s="22"/>
      <c r="KBR290" s="22"/>
      <c r="KBS290" s="22"/>
      <c r="KBT290" s="22"/>
      <c r="KBU290" s="22"/>
      <c r="KBV290" s="22"/>
      <c r="KBW290" s="22"/>
      <c r="KBX290" s="22"/>
      <c r="KBY290" s="22"/>
      <c r="KBZ290" s="22"/>
      <c r="KCA290" s="22"/>
      <c r="KCB290" s="22"/>
      <c r="KCC290" s="22"/>
      <c r="KCD290" s="22"/>
      <c r="KCE290" s="22"/>
      <c r="KCF290" s="22"/>
      <c r="KCG290" s="22"/>
      <c r="KCH290" s="22"/>
      <c r="KCI290" s="22"/>
      <c r="KCJ290" s="22"/>
      <c r="KCK290" s="22"/>
      <c r="KCL290" s="22"/>
      <c r="KCM290" s="22"/>
      <c r="KCN290" s="22"/>
      <c r="KCO290" s="22"/>
      <c r="KCP290" s="22"/>
      <c r="KCQ290" s="22"/>
      <c r="KCR290" s="22"/>
      <c r="KCS290" s="22"/>
      <c r="KCT290" s="22"/>
      <c r="KCU290" s="22"/>
      <c r="KCV290" s="22"/>
      <c r="KCW290" s="22"/>
      <c r="KCX290" s="22"/>
      <c r="KCY290" s="22"/>
      <c r="KCZ290" s="22"/>
      <c r="KDA290" s="22"/>
      <c r="KDB290" s="22"/>
      <c r="KDC290" s="22"/>
      <c r="KDD290" s="22"/>
      <c r="KDE290" s="22"/>
      <c r="KDF290" s="22"/>
      <c r="KDG290" s="22"/>
      <c r="KDH290" s="22"/>
      <c r="KDI290" s="22"/>
      <c r="KDJ290" s="22"/>
      <c r="KDK290" s="22"/>
      <c r="KDL290" s="22"/>
      <c r="KDM290" s="22"/>
      <c r="KDN290" s="22"/>
      <c r="KDO290" s="22"/>
      <c r="KDP290" s="22"/>
      <c r="KDQ290" s="22"/>
      <c r="KDR290" s="22"/>
      <c r="KDS290" s="22"/>
      <c r="KDT290" s="22"/>
      <c r="KDU290" s="22"/>
      <c r="KDV290" s="22"/>
      <c r="KDW290" s="22"/>
      <c r="KDX290" s="22"/>
      <c r="KDY290" s="22"/>
      <c r="KDZ290" s="22"/>
      <c r="KEA290" s="22"/>
      <c r="KEB290" s="22"/>
      <c r="KEC290" s="22"/>
      <c r="KED290" s="22"/>
      <c r="KEE290" s="22"/>
      <c r="KEF290" s="22"/>
      <c r="KEG290" s="22"/>
      <c r="KEH290" s="22"/>
      <c r="KEI290" s="22"/>
      <c r="KEJ290" s="22"/>
      <c r="KEK290" s="22"/>
      <c r="KEL290" s="22"/>
      <c r="KEM290" s="22"/>
      <c r="KEN290" s="22"/>
      <c r="KEO290" s="22"/>
      <c r="KEP290" s="22"/>
      <c r="KEQ290" s="22"/>
      <c r="KER290" s="22"/>
      <c r="KES290" s="22"/>
      <c r="KET290" s="22"/>
      <c r="KEU290" s="22"/>
      <c r="KEV290" s="22"/>
      <c r="KEW290" s="22"/>
      <c r="KEX290" s="22"/>
      <c r="KEY290" s="22"/>
      <c r="KEZ290" s="22"/>
      <c r="KFA290" s="22"/>
      <c r="KFB290" s="22"/>
      <c r="KFC290" s="22"/>
      <c r="KFD290" s="22"/>
      <c r="KFE290" s="22"/>
      <c r="KFF290" s="22"/>
      <c r="KFG290" s="22"/>
      <c r="KFH290" s="22"/>
      <c r="KFI290" s="22"/>
      <c r="KFJ290" s="22"/>
      <c r="KFK290" s="22"/>
      <c r="KFL290" s="22"/>
      <c r="KFM290" s="22"/>
      <c r="KFN290" s="22"/>
      <c r="KFO290" s="22"/>
      <c r="KFP290" s="22"/>
      <c r="KFQ290" s="22"/>
      <c r="KFR290" s="22"/>
      <c r="KFS290" s="22"/>
      <c r="KFT290" s="22"/>
      <c r="KFU290" s="22"/>
      <c r="KFV290" s="22"/>
      <c r="KFW290" s="22"/>
      <c r="KFX290" s="22"/>
      <c r="KFY290" s="22"/>
      <c r="KFZ290" s="22"/>
      <c r="KGA290" s="22"/>
      <c r="KGB290" s="22"/>
      <c r="KGC290" s="22"/>
      <c r="KGD290" s="22"/>
      <c r="KGE290" s="22"/>
      <c r="KGF290" s="22"/>
      <c r="KGG290" s="22"/>
      <c r="KGH290" s="22"/>
      <c r="KGI290" s="22"/>
      <c r="KGJ290" s="22"/>
      <c r="KGK290" s="22"/>
      <c r="KGL290" s="22"/>
      <c r="KGM290" s="22"/>
      <c r="KGN290" s="22"/>
      <c r="KGO290" s="22"/>
      <c r="KGP290" s="22"/>
      <c r="KGQ290" s="22"/>
      <c r="KGR290" s="22"/>
      <c r="KGS290" s="22"/>
      <c r="KGT290" s="22"/>
      <c r="KGU290" s="22"/>
      <c r="KGV290" s="22"/>
      <c r="KGW290" s="22"/>
      <c r="KGX290" s="22"/>
      <c r="KGY290" s="22"/>
      <c r="KGZ290" s="22"/>
      <c r="KHA290" s="22"/>
      <c r="KHB290" s="22"/>
      <c r="KHC290" s="22"/>
      <c r="KHD290" s="22"/>
      <c r="KHE290" s="22"/>
      <c r="KHF290" s="22"/>
      <c r="KHG290" s="22"/>
      <c r="KHH290" s="22"/>
      <c r="KHI290" s="22"/>
      <c r="KHJ290" s="22"/>
      <c r="KHK290" s="22"/>
      <c r="KHL290" s="22"/>
      <c r="KHM290" s="22"/>
      <c r="KHN290" s="22"/>
      <c r="KHO290" s="22"/>
      <c r="KHP290" s="22"/>
      <c r="KHQ290" s="22"/>
      <c r="KHR290" s="22"/>
      <c r="KHS290" s="22"/>
      <c r="KHT290" s="22"/>
      <c r="KHU290" s="22"/>
      <c r="KHV290" s="22"/>
      <c r="KHW290" s="22"/>
      <c r="KHX290" s="22"/>
      <c r="KHY290" s="22"/>
      <c r="KHZ290" s="22"/>
      <c r="KIA290" s="22"/>
      <c r="KIB290" s="22"/>
      <c r="KIC290" s="22"/>
      <c r="KID290" s="22"/>
      <c r="KIE290" s="22"/>
      <c r="KIF290" s="22"/>
      <c r="KIG290" s="22"/>
      <c r="KIH290" s="22"/>
      <c r="KII290" s="22"/>
      <c r="KIJ290" s="22"/>
      <c r="KIK290" s="22"/>
      <c r="KIL290" s="22"/>
      <c r="KIM290" s="22"/>
      <c r="KIN290" s="22"/>
      <c r="KIO290" s="22"/>
      <c r="KIP290" s="22"/>
      <c r="KIQ290" s="22"/>
      <c r="KIR290" s="22"/>
      <c r="KIS290" s="22"/>
      <c r="KIT290" s="22"/>
      <c r="KIU290" s="22"/>
      <c r="KIV290" s="22"/>
      <c r="KIW290" s="22"/>
      <c r="KIX290" s="22"/>
      <c r="KIY290" s="22"/>
      <c r="KIZ290" s="22"/>
      <c r="KJA290" s="22"/>
      <c r="KJB290" s="22"/>
      <c r="KJC290" s="22"/>
      <c r="KJD290" s="22"/>
      <c r="KJE290" s="22"/>
      <c r="KJF290" s="22"/>
      <c r="KJG290" s="22"/>
      <c r="KJH290" s="22"/>
      <c r="KJI290" s="22"/>
      <c r="KJJ290" s="22"/>
      <c r="KJK290" s="22"/>
      <c r="KJL290" s="22"/>
      <c r="KJM290" s="22"/>
      <c r="KJN290" s="22"/>
      <c r="KJO290" s="22"/>
      <c r="KJP290" s="22"/>
      <c r="KJQ290" s="22"/>
      <c r="KJR290" s="22"/>
      <c r="KJS290" s="22"/>
      <c r="KJT290" s="22"/>
      <c r="KJU290" s="22"/>
      <c r="KJV290" s="22"/>
      <c r="KJW290" s="22"/>
      <c r="KJX290" s="22"/>
      <c r="KJY290" s="22"/>
      <c r="KJZ290" s="22"/>
      <c r="KKA290" s="22"/>
      <c r="KKB290" s="22"/>
      <c r="KKC290" s="22"/>
      <c r="KKD290" s="22"/>
      <c r="KKE290" s="22"/>
      <c r="KKF290" s="22"/>
      <c r="KKG290" s="22"/>
      <c r="KKH290" s="22"/>
      <c r="KKI290" s="22"/>
      <c r="KKJ290" s="22"/>
      <c r="KKK290" s="22"/>
      <c r="KKL290" s="22"/>
      <c r="KKM290" s="22"/>
      <c r="KKN290" s="22"/>
      <c r="KKO290" s="22"/>
      <c r="KKP290" s="22"/>
      <c r="KKQ290" s="22"/>
      <c r="KKR290" s="22"/>
      <c r="KKS290" s="22"/>
      <c r="KKT290" s="22"/>
      <c r="KKU290" s="22"/>
      <c r="KKV290" s="22"/>
      <c r="KKW290" s="22"/>
      <c r="KKX290" s="22"/>
      <c r="KKY290" s="22"/>
      <c r="KKZ290" s="22"/>
      <c r="KLA290" s="22"/>
      <c r="KLB290" s="22"/>
      <c r="KLC290" s="22"/>
      <c r="KLD290" s="22"/>
      <c r="KLE290" s="22"/>
      <c r="KLF290" s="22"/>
      <c r="KLG290" s="22"/>
      <c r="KLH290" s="22"/>
      <c r="KLI290" s="22"/>
      <c r="KLJ290" s="22"/>
      <c r="KLK290" s="22"/>
      <c r="KLL290" s="22"/>
      <c r="KLM290" s="22"/>
      <c r="KLN290" s="22"/>
      <c r="KLO290" s="22"/>
      <c r="KLP290" s="22"/>
      <c r="KLQ290" s="22"/>
      <c r="KLR290" s="22"/>
      <c r="KLS290" s="22"/>
      <c r="KLT290" s="22"/>
      <c r="KLU290" s="22"/>
      <c r="KLV290" s="22"/>
      <c r="KLW290" s="22"/>
      <c r="KLX290" s="22"/>
      <c r="KLY290" s="22"/>
      <c r="KLZ290" s="22"/>
      <c r="KMA290" s="22"/>
      <c r="KMB290" s="22"/>
      <c r="KMC290" s="22"/>
      <c r="KMD290" s="22"/>
      <c r="KME290" s="22"/>
      <c r="KMF290" s="22"/>
      <c r="KMG290" s="22"/>
      <c r="KMH290" s="22"/>
      <c r="KMI290" s="22"/>
      <c r="KMJ290" s="22"/>
      <c r="KMK290" s="22"/>
      <c r="KML290" s="22"/>
      <c r="KMM290" s="22"/>
      <c r="KMN290" s="22"/>
      <c r="KMO290" s="22"/>
      <c r="KMP290" s="22"/>
      <c r="KMQ290" s="22"/>
      <c r="KMR290" s="22"/>
      <c r="KMS290" s="22"/>
      <c r="KMT290" s="22"/>
      <c r="KMU290" s="22"/>
      <c r="KMV290" s="22"/>
      <c r="KMW290" s="22"/>
      <c r="KMX290" s="22"/>
      <c r="KMY290" s="22"/>
      <c r="KMZ290" s="22"/>
      <c r="KNA290" s="22"/>
      <c r="KNB290" s="22"/>
      <c r="KNC290" s="22"/>
      <c r="KND290" s="22"/>
      <c r="KNE290" s="22"/>
      <c r="KNF290" s="22"/>
      <c r="KNG290" s="22"/>
      <c r="KNH290" s="22"/>
      <c r="KNI290" s="22"/>
      <c r="KNJ290" s="22"/>
      <c r="KNK290" s="22"/>
      <c r="KNL290" s="22"/>
      <c r="KNM290" s="22"/>
      <c r="KNN290" s="22"/>
      <c r="KNO290" s="22"/>
      <c r="KNP290" s="22"/>
      <c r="KNQ290" s="22"/>
      <c r="KNR290" s="22"/>
      <c r="KNS290" s="22"/>
      <c r="KNT290" s="22"/>
      <c r="KNU290" s="22"/>
      <c r="KNV290" s="22"/>
      <c r="KNW290" s="22"/>
      <c r="KNX290" s="22"/>
      <c r="KNY290" s="22"/>
      <c r="KNZ290" s="22"/>
      <c r="KOA290" s="22"/>
      <c r="KOB290" s="22"/>
      <c r="KOC290" s="22"/>
      <c r="KOD290" s="22"/>
      <c r="KOE290" s="22"/>
      <c r="KOF290" s="22"/>
      <c r="KOG290" s="22"/>
      <c r="KOH290" s="22"/>
      <c r="KOI290" s="22"/>
      <c r="KOJ290" s="22"/>
      <c r="KOK290" s="22"/>
      <c r="KOL290" s="22"/>
      <c r="KOM290" s="22"/>
      <c r="KON290" s="22"/>
      <c r="KOO290" s="22"/>
      <c r="KOP290" s="22"/>
      <c r="KOQ290" s="22"/>
      <c r="KOR290" s="22"/>
      <c r="KOS290" s="22"/>
      <c r="KOT290" s="22"/>
      <c r="KOU290" s="22"/>
      <c r="KOV290" s="22"/>
      <c r="KOW290" s="22"/>
      <c r="KOX290" s="22"/>
      <c r="KOY290" s="22"/>
      <c r="KOZ290" s="22"/>
      <c r="KPA290" s="22"/>
      <c r="KPB290" s="22"/>
      <c r="KPC290" s="22"/>
      <c r="KPD290" s="22"/>
      <c r="KPE290" s="22"/>
      <c r="KPF290" s="22"/>
      <c r="KPG290" s="22"/>
      <c r="KPH290" s="22"/>
      <c r="KPI290" s="22"/>
      <c r="KPJ290" s="22"/>
      <c r="KPK290" s="22"/>
      <c r="KPL290" s="22"/>
      <c r="KPM290" s="22"/>
      <c r="KPN290" s="22"/>
      <c r="KPO290" s="22"/>
      <c r="KPP290" s="22"/>
      <c r="KPQ290" s="22"/>
      <c r="KPR290" s="22"/>
      <c r="KPS290" s="22"/>
      <c r="KPT290" s="22"/>
      <c r="KPU290" s="22"/>
      <c r="KPV290" s="22"/>
      <c r="KPW290" s="22"/>
      <c r="KPX290" s="22"/>
      <c r="KPY290" s="22"/>
      <c r="KPZ290" s="22"/>
      <c r="KQA290" s="22"/>
      <c r="KQB290" s="22"/>
      <c r="KQC290" s="22"/>
      <c r="KQD290" s="22"/>
      <c r="KQE290" s="22"/>
      <c r="KQF290" s="22"/>
      <c r="KQG290" s="22"/>
      <c r="KQH290" s="22"/>
      <c r="KQI290" s="22"/>
      <c r="KQJ290" s="22"/>
      <c r="KQK290" s="22"/>
      <c r="KQL290" s="22"/>
      <c r="KQM290" s="22"/>
      <c r="KQN290" s="22"/>
      <c r="KQO290" s="22"/>
      <c r="KQP290" s="22"/>
      <c r="KQQ290" s="22"/>
      <c r="KQR290" s="22"/>
      <c r="KQS290" s="22"/>
      <c r="KQT290" s="22"/>
      <c r="KQU290" s="22"/>
      <c r="KQV290" s="22"/>
      <c r="KQW290" s="22"/>
      <c r="KQX290" s="22"/>
      <c r="KQY290" s="22"/>
      <c r="KQZ290" s="22"/>
      <c r="KRA290" s="22"/>
      <c r="KRB290" s="22"/>
      <c r="KRC290" s="22"/>
      <c r="KRD290" s="22"/>
      <c r="KRE290" s="22"/>
      <c r="KRF290" s="22"/>
      <c r="KRG290" s="22"/>
      <c r="KRH290" s="22"/>
      <c r="KRI290" s="22"/>
      <c r="KRJ290" s="22"/>
      <c r="KRK290" s="22"/>
      <c r="KRL290" s="22"/>
      <c r="KRM290" s="22"/>
      <c r="KRN290" s="22"/>
      <c r="KRO290" s="22"/>
      <c r="KRP290" s="22"/>
      <c r="KRQ290" s="22"/>
      <c r="KRR290" s="22"/>
      <c r="KRS290" s="22"/>
      <c r="KRT290" s="22"/>
      <c r="KRU290" s="22"/>
      <c r="KRV290" s="22"/>
      <c r="KRW290" s="22"/>
      <c r="KRX290" s="22"/>
      <c r="KRY290" s="22"/>
      <c r="KRZ290" s="22"/>
      <c r="KSA290" s="22"/>
      <c r="KSB290" s="22"/>
      <c r="KSC290" s="22"/>
      <c r="KSD290" s="22"/>
      <c r="KSE290" s="22"/>
      <c r="KSF290" s="22"/>
      <c r="KSG290" s="22"/>
      <c r="KSH290" s="22"/>
      <c r="KSI290" s="22"/>
      <c r="KSJ290" s="22"/>
      <c r="KSK290" s="22"/>
      <c r="KSL290" s="22"/>
      <c r="KSM290" s="22"/>
      <c r="KSN290" s="22"/>
      <c r="KSO290" s="22"/>
      <c r="KSP290" s="22"/>
      <c r="KSQ290" s="22"/>
      <c r="KSR290" s="22"/>
      <c r="KSS290" s="22"/>
      <c r="KST290" s="22"/>
      <c r="KSU290" s="22"/>
      <c r="KSV290" s="22"/>
      <c r="KSW290" s="22"/>
      <c r="KSX290" s="22"/>
      <c r="KSY290" s="22"/>
      <c r="KSZ290" s="22"/>
      <c r="KTA290" s="22"/>
      <c r="KTB290" s="22"/>
      <c r="KTC290" s="22"/>
      <c r="KTD290" s="22"/>
      <c r="KTE290" s="22"/>
      <c r="KTF290" s="22"/>
      <c r="KTG290" s="22"/>
      <c r="KTH290" s="22"/>
      <c r="KTI290" s="22"/>
      <c r="KTJ290" s="22"/>
      <c r="KTK290" s="22"/>
      <c r="KTL290" s="22"/>
      <c r="KTM290" s="22"/>
      <c r="KTN290" s="22"/>
      <c r="KTO290" s="22"/>
      <c r="KTP290" s="22"/>
      <c r="KTQ290" s="22"/>
      <c r="KTR290" s="22"/>
      <c r="KTS290" s="22"/>
      <c r="KTT290" s="22"/>
      <c r="KTU290" s="22"/>
      <c r="KTV290" s="22"/>
      <c r="KTW290" s="22"/>
      <c r="KTX290" s="22"/>
      <c r="KTY290" s="22"/>
      <c r="KTZ290" s="22"/>
      <c r="KUA290" s="22"/>
      <c r="KUB290" s="22"/>
      <c r="KUC290" s="22"/>
      <c r="KUD290" s="22"/>
      <c r="KUE290" s="22"/>
      <c r="KUF290" s="22"/>
      <c r="KUG290" s="22"/>
      <c r="KUH290" s="22"/>
      <c r="KUI290" s="22"/>
      <c r="KUJ290" s="22"/>
      <c r="KUK290" s="22"/>
      <c r="KUL290" s="22"/>
      <c r="KUM290" s="22"/>
      <c r="KUN290" s="22"/>
      <c r="KUO290" s="22"/>
      <c r="KUP290" s="22"/>
      <c r="KUQ290" s="22"/>
      <c r="KUR290" s="22"/>
      <c r="KUS290" s="22"/>
      <c r="KUT290" s="22"/>
      <c r="KUU290" s="22"/>
      <c r="KUV290" s="22"/>
      <c r="KUW290" s="22"/>
      <c r="KUX290" s="22"/>
      <c r="KUY290" s="22"/>
      <c r="KUZ290" s="22"/>
      <c r="KVA290" s="22"/>
      <c r="KVB290" s="22"/>
      <c r="KVC290" s="22"/>
      <c r="KVD290" s="22"/>
      <c r="KVE290" s="22"/>
      <c r="KVF290" s="22"/>
      <c r="KVG290" s="22"/>
      <c r="KVH290" s="22"/>
      <c r="KVI290" s="22"/>
      <c r="KVJ290" s="22"/>
      <c r="KVK290" s="22"/>
      <c r="KVL290" s="22"/>
      <c r="KVM290" s="22"/>
      <c r="KVN290" s="22"/>
      <c r="KVO290" s="22"/>
      <c r="KVP290" s="22"/>
      <c r="KVQ290" s="22"/>
      <c r="KVR290" s="22"/>
      <c r="KVS290" s="22"/>
      <c r="KVT290" s="22"/>
      <c r="KVU290" s="22"/>
      <c r="KVV290" s="22"/>
      <c r="KVW290" s="22"/>
      <c r="KVX290" s="22"/>
      <c r="KVY290" s="22"/>
      <c r="KVZ290" s="22"/>
      <c r="KWA290" s="22"/>
      <c r="KWB290" s="22"/>
      <c r="KWC290" s="22"/>
      <c r="KWD290" s="22"/>
      <c r="KWE290" s="22"/>
      <c r="KWF290" s="22"/>
      <c r="KWG290" s="22"/>
      <c r="KWH290" s="22"/>
      <c r="KWI290" s="22"/>
      <c r="KWJ290" s="22"/>
      <c r="KWK290" s="22"/>
      <c r="KWL290" s="22"/>
      <c r="KWM290" s="22"/>
      <c r="KWN290" s="22"/>
      <c r="KWO290" s="22"/>
      <c r="KWP290" s="22"/>
      <c r="KWQ290" s="22"/>
      <c r="KWR290" s="22"/>
      <c r="KWS290" s="22"/>
      <c r="KWT290" s="22"/>
      <c r="KWU290" s="22"/>
      <c r="KWV290" s="22"/>
      <c r="KWW290" s="22"/>
      <c r="KWX290" s="22"/>
      <c r="KWY290" s="22"/>
      <c r="KWZ290" s="22"/>
      <c r="KXA290" s="22"/>
      <c r="KXB290" s="22"/>
      <c r="KXC290" s="22"/>
      <c r="KXD290" s="22"/>
      <c r="KXE290" s="22"/>
      <c r="KXF290" s="22"/>
      <c r="KXG290" s="22"/>
      <c r="KXH290" s="22"/>
      <c r="KXI290" s="22"/>
      <c r="KXJ290" s="22"/>
      <c r="KXK290" s="22"/>
      <c r="KXL290" s="22"/>
      <c r="KXM290" s="22"/>
      <c r="KXN290" s="22"/>
      <c r="KXO290" s="22"/>
      <c r="KXP290" s="22"/>
      <c r="KXQ290" s="22"/>
      <c r="KXR290" s="22"/>
      <c r="KXS290" s="22"/>
      <c r="KXT290" s="22"/>
      <c r="KXU290" s="22"/>
      <c r="KXV290" s="22"/>
      <c r="KXW290" s="22"/>
      <c r="KXX290" s="22"/>
      <c r="KXY290" s="22"/>
      <c r="KXZ290" s="22"/>
      <c r="KYA290" s="22"/>
      <c r="KYB290" s="22"/>
      <c r="KYC290" s="22"/>
      <c r="KYD290" s="22"/>
      <c r="KYE290" s="22"/>
      <c r="KYF290" s="22"/>
      <c r="KYG290" s="22"/>
      <c r="KYH290" s="22"/>
      <c r="KYI290" s="22"/>
      <c r="KYJ290" s="22"/>
      <c r="KYK290" s="22"/>
      <c r="KYL290" s="22"/>
      <c r="KYM290" s="22"/>
      <c r="KYN290" s="22"/>
      <c r="KYO290" s="22"/>
      <c r="KYP290" s="22"/>
      <c r="KYQ290" s="22"/>
      <c r="KYR290" s="22"/>
      <c r="KYS290" s="22"/>
      <c r="KYT290" s="22"/>
      <c r="KYU290" s="22"/>
      <c r="KYV290" s="22"/>
      <c r="KYW290" s="22"/>
      <c r="KYX290" s="22"/>
      <c r="KYY290" s="22"/>
      <c r="KYZ290" s="22"/>
      <c r="KZA290" s="22"/>
      <c r="KZB290" s="22"/>
      <c r="KZC290" s="22"/>
      <c r="KZD290" s="22"/>
      <c r="KZE290" s="22"/>
      <c r="KZF290" s="22"/>
      <c r="KZG290" s="22"/>
      <c r="KZH290" s="22"/>
      <c r="KZI290" s="22"/>
      <c r="KZJ290" s="22"/>
      <c r="KZK290" s="22"/>
      <c r="KZL290" s="22"/>
      <c r="KZM290" s="22"/>
      <c r="KZN290" s="22"/>
      <c r="KZO290" s="22"/>
      <c r="KZP290" s="22"/>
      <c r="KZQ290" s="22"/>
      <c r="KZR290" s="22"/>
      <c r="KZS290" s="22"/>
      <c r="KZT290" s="22"/>
      <c r="KZU290" s="22"/>
      <c r="KZV290" s="22"/>
      <c r="KZW290" s="22"/>
      <c r="KZX290" s="22"/>
      <c r="KZY290" s="22"/>
      <c r="KZZ290" s="22"/>
      <c r="LAA290" s="22"/>
      <c r="LAB290" s="22"/>
      <c r="LAC290" s="22"/>
      <c r="LAD290" s="22"/>
      <c r="LAE290" s="22"/>
      <c r="LAF290" s="22"/>
      <c r="LAG290" s="22"/>
      <c r="LAH290" s="22"/>
      <c r="LAI290" s="22"/>
      <c r="LAJ290" s="22"/>
      <c r="LAK290" s="22"/>
      <c r="LAL290" s="22"/>
      <c r="LAM290" s="22"/>
      <c r="LAN290" s="22"/>
      <c r="LAO290" s="22"/>
      <c r="LAP290" s="22"/>
      <c r="LAQ290" s="22"/>
      <c r="LAR290" s="22"/>
      <c r="LAS290" s="22"/>
      <c r="LAT290" s="22"/>
      <c r="LAU290" s="22"/>
      <c r="LAV290" s="22"/>
      <c r="LAW290" s="22"/>
      <c r="LAX290" s="22"/>
      <c r="LAY290" s="22"/>
      <c r="LAZ290" s="22"/>
      <c r="LBA290" s="22"/>
      <c r="LBB290" s="22"/>
      <c r="LBC290" s="22"/>
      <c r="LBD290" s="22"/>
      <c r="LBE290" s="22"/>
      <c r="LBF290" s="22"/>
      <c r="LBG290" s="22"/>
      <c r="LBH290" s="22"/>
      <c r="LBI290" s="22"/>
      <c r="LBJ290" s="22"/>
      <c r="LBK290" s="22"/>
      <c r="LBL290" s="22"/>
      <c r="LBM290" s="22"/>
      <c r="LBN290" s="22"/>
      <c r="LBO290" s="22"/>
      <c r="LBP290" s="22"/>
      <c r="LBQ290" s="22"/>
      <c r="LBR290" s="22"/>
      <c r="LBS290" s="22"/>
      <c r="LBT290" s="22"/>
      <c r="LBU290" s="22"/>
      <c r="LBV290" s="22"/>
      <c r="LBW290" s="22"/>
      <c r="LBX290" s="22"/>
      <c r="LBY290" s="22"/>
      <c r="LBZ290" s="22"/>
      <c r="LCA290" s="22"/>
      <c r="LCB290" s="22"/>
      <c r="LCC290" s="22"/>
      <c r="LCD290" s="22"/>
      <c r="LCE290" s="22"/>
      <c r="LCF290" s="22"/>
      <c r="LCG290" s="22"/>
      <c r="LCH290" s="22"/>
      <c r="LCI290" s="22"/>
      <c r="LCJ290" s="22"/>
      <c r="LCK290" s="22"/>
      <c r="LCL290" s="22"/>
      <c r="LCM290" s="22"/>
      <c r="LCN290" s="22"/>
      <c r="LCO290" s="22"/>
      <c r="LCP290" s="22"/>
      <c r="LCQ290" s="22"/>
      <c r="LCR290" s="22"/>
      <c r="LCS290" s="22"/>
      <c r="LCT290" s="22"/>
      <c r="LCU290" s="22"/>
      <c r="LCV290" s="22"/>
      <c r="LCW290" s="22"/>
      <c r="LCX290" s="22"/>
      <c r="LCY290" s="22"/>
      <c r="LCZ290" s="22"/>
      <c r="LDA290" s="22"/>
      <c r="LDB290" s="22"/>
      <c r="LDC290" s="22"/>
      <c r="LDD290" s="22"/>
      <c r="LDE290" s="22"/>
      <c r="LDF290" s="22"/>
      <c r="LDG290" s="22"/>
      <c r="LDH290" s="22"/>
      <c r="LDI290" s="22"/>
      <c r="LDJ290" s="22"/>
      <c r="LDK290" s="22"/>
      <c r="LDL290" s="22"/>
      <c r="LDM290" s="22"/>
      <c r="LDN290" s="22"/>
      <c r="LDO290" s="22"/>
      <c r="LDP290" s="22"/>
      <c r="LDQ290" s="22"/>
      <c r="LDR290" s="22"/>
      <c r="LDS290" s="22"/>
      <c r="LDT290" s="22"/>
      <c r="LDU290" s="22"/>
      <c r="LDV290" s="22"/>
      <c r="LDW290" s="22"/>
      <c r="LDX290" s="22"/>
      <c r="LDY290" s="22"/>
      <c r="LDZ290" s="22"/>
      <c r="LEA290" s="22"/>
      <c r="LEB290" s="22"/>
      <c r="LEC290" s="22"/>
      <c r="LED290" s="22"/>
      <c r="LEE290" s="22"/>
      <c r="LEF290" s="22"/>
      <c r="LEG290" s="22"/>
      <c r="LEH290" s="22"/>
      <c r="LEI290" s="22"/>
      <c r="LEJ290" s="22"/>
      <c r="LEK290" s="22"/>
      <c r="LEL290" s="22"/>
      <c r="LEM290" s="22"/>
      <c r="LEN290" s="22"/>
      <c r="LEO290" s="22"/>
      <c r="LEP290" s="22"/>
      <c r="LEQ290" s="22"/>
      <c r="LER290" s="22"/>
      <c r="LES290" s="22"/>
      <c r="LET290" s="22"/>
      <c r="LEU290" s="22"/>
      <c r="LEV290" s="22"/>
      <c r="LEW290" s="22"/>
      <c r="LEX290" s="22"/>
      <c r="LEY290" s="22"/>
      <c r="LEZ290" s="22"/>
      <c r="LFA290" s="22"/>
      <c r="LFB290" s="22"/>
      <c r="LFC290" s="22"/>
      <c r="LFD290" s="22"/>
      <c r="LFE290" s="22"/>
      <c r="LFF290" s="22"/>
      <c r="LFG290" s="22"/>
      <c r="LFH290" s="22"/>
      <c r="LFI290" s="22"/>
      <c r="LFJ290" s="22"/>
      <c r="LFK290" s="22"/>
      <c r="LFL290" s="22"/>
      <c r="LFM290" s="22"/>
      <c r="LFN290" s="22"/>
      <c r="LFO290" s="22"/>
      <c r="LFP290" s="22"/>
      <c r="LFQ290" s="22"/>
      <c r="LFR290" s="22"/>
      <c r="LFS290" s="22"/>
      <c r="LFT290" s="22"/>
      <c r="LFU290" s="22"/>
      <c r="LFV290" s="22"/>
      <c r="LFW290" s="22"/>
      <c r="LFX290" s="22"/>
      <c r="LFY290" s="22"/>
      <c r="LFZ290" s="22"/>
      <c r="LGA290" s="22"/>
      <c r="LGB290" s="22"/>
      <c r="LGC290" s="22"/>
      <c r="LGD290" s="22"/>
      <c r="LGE290" s="22"/>
      <c r="LGF290" s="22"/>
      <c r="LGG290" s="22"/>
      <c r="LGH290" s="22"/>
      <c r="LGI290" s="22"/>
      <c r="LGJ290" s="22"/>
      <c r="LGK290" s="22"/>
      <c r="LGL290" s="22"/>
      <c r="LGM290" s="22"/>
      <c r="LGN290" s="22"/>
      <c r="LGO290" s="22"/>
      <c r="LGP290" s="22"/>
      <c r="LGQ290" s="22"/>
      <c r="LGR290" s="22"/>
      <c r="LGS290" s="22"/>
      <c r="LGT290" s="22"/>
      <c r="LGU290" s="22"/>
      <c r="LGV290" s="22"/>
      <c r="LGW290" s="22"/>
      <c r="LGX290" s="22"/>
      <c r="LGY290" s="22"/>
      <c r="LGZ290" s="22"/>
      <c r="LHA290" s="22"/>
      <c r="LHB290" s="22"/>
      <c r="LHC290" s="22"/>
      <c r="LHD290" s="22"/>
      <c r="LHE290" s="22"/>
      <c r="LHF290" s="22"/>
      <c r="LHG290" s="22"/>
      <c r="LHH290" s="22"/>
      <c r="LHI290" s="22"/>
      <c r="LHJ290" s="22"/>
      <c r="LHK290" s="22"/>
      <c r="LHL290" s="22"/>
      <c r="LHM290" s="22"/>
      <c r="LHN290" s="22"/>
      <c r="LHO290" s="22"/>
      <c r="LHP290" s="22"/>
      <c r="LHQ290" s="22"/>
      <c r="LHR290" s="22"/>
      <c r="LHS290" s="22"/>
      <c r="LHT290" s="22"/>
      <c r="LHU290" s="22"/>
      <c r="LHV290" s="22"/>
      <c r="LHW290" s="22"/>
      <c r="LHX290" s="22"/>
      <c r="LHY290" s="22"/>
      <c r="LHZ290" s="22"/>
      <c r="LIA290" s="22"/>
      <c r="LIB290" s="22"/>
      <c r="LIC290" s="22"/>
      <c r="LID290" s="22"/>
      <c r="LIE290" s="22"/>
      <c r="LIF290" s="22"/>
      <c r="LIG290" s="22"/>
      <c r="LIH290" s="22"/>
      <c r="LII290" s="22"/>
      <c r="LIJ290" s="22"/>
      <c r="LIK290" s="22"/>
      <c r="LIL290" s="22"/>
      <c r="LIM290" s="22"/>
      <c r="LIN290" s="22"/>
      <c r="LIO290" s="22"/>
      <c r="LIP290" s="22"/>
      <c r="LIQ290" s="22"/>
      <c r="LIR290" s="22"/>
      <c r="LIS290" s="22"/>
      <c r="LIT290" s="22"/>
      <c r="LIU290" s="22"/>
      <c r="LIV290" s="22"/>
      <c r="LIW290" s="22"/>
      <c r="LIX290" s="22"/>
      <c r="LIY290" s="22"/>
      <c r="LIZ290" s="22"/>
      <c r="LJA290" s="22"/>
      <c r="LJB290" s="22"/>
      <c r="LJC290" s="22"/>
      <c r="LJD290" s="22"/>
      <c r="LJE290" s="22"/>
      <c r="LJF290" s="22"/>
      <c r="LJG290" s="22"/>
      <c r="LJH290" s="22"/>
      <c r="LJI290" s="22"/>
      <c r="LJJ290" s="22"/>
      <c r="LJK290" s="22"/>
      <c r="LJL290" s="22"/>
      <c r="LJM290" s="22"/>
      <c r="LJN290" s="22"/>
      <c r="LJO290" s="22"/>
      <c r="LJP290" s="22"/>
      <c r="LJQ290" s="22"/>
      <c r="LJR290" s="22"/>
      <c r="LJS290" s="22"/>
      <c r="LJT290" s="22"/>
      <c r="LJU290" s="22"/>
      <c r="LJV290" s="22"/>
      <c r="LJW290" s="22"/>
      <c r="LJX290" s="22"/>
      <c r="LJY290" s="22"/>
      <c r="LJZ290" s="22"/>
      <c r="LKA290" s="22"/>
      <c r="LKB290" s="22"/>
      <c r="LKC290" s="22"/>
      <c r="LKD290" s="22"/>
      <c r="LKE290" s="22"/>
      <c r="LKF290" s="22"/>
      <c r="LKG290" s="22"/>
      <c r="LKH290" s="22"/>
      <c r="LKI290" s="22"/>
      <c r="LKJ290" s="22"/>
      <c r="LKK290" s="22"/>
      <c r="LKL290" s="22"/>
      <c r="LKM290" s="22"/>
      <c r="LKN290" s="22"/>
      <c r="LKO290" s="22"/>
      <c r="LKP290" s="22"/>
      <c r="LKQ290" s="22"/>
      <c r="LKR290" s="22"/>
      <c r="LKS290" s="22"/>
      <c r="LKT290" s="22"/>
      <c r="LKU290" s="22"/>
      <c r="LKV290" s="22"/>
      <c r="LKW290" s="22"/>
      <c r="LKX290" s="22"/>
      <c r="LKY290" s="22"/>
      <c r="LKZ290" s="22"/>
      <c r="LLA290" s="22"/>
      <c r="LLB290" s="22"/>
      <c r="LLC290" s="22"/>
      <c r="LLD290" s="22"/>
      <c r="LLE290" s="22"/>
      <c r="LLF290" s="22"/>
      <c r="LLG290" s="22"/>
      <c r="LLH290" s="22"/>
      <c r="LLI290" s="22"/>
      <c r="LLJ290" s="22"/>
      <c r="LLK290" s="22"/>
      <c r="LLL290" s="22"/>
      <c r="LLM290" s="22"/>
      <c r="LLN290" s="22"/>
      <c r="LLO290" s="22"/>
      <c r="LLP290" s="22"/>
      <c r="LLQ290" s="22"/>
      <c r="LLR290" s="22"/>
      <c r="LLS290" s="22"/>
      <c r="LLT290" s="22"/>
      <c r="LLU290" s="22"/>
      <c r="LLV290" s="22"/>
      <c r="LLW290" s="22"/>
      <c r="LLX290" s="22"/>
      <c r="LLY290" s="22"/>
      <c r="LLZ290" s="22"/>
      <c r="LMA290" s="22"/>
      <c r="LMB290" s="22"/>
      <c r="LMC290" s="22"/>
      <c r="LMD290" s="22"/>
      <c r="LME290" s="22"/>
      <c r="LMF290" s="22"/>
      <c r="LMG290" s="22"/>
      <c r="LMH290" s="22"/>
      <c r="LMI290" s="22"/>
      <c r="LMJ290" s="22"/>
      <c r="LMK290" s="22"/>
      <c r="LML290" s="22"/>
      <c r="LMM290" s="22"/>
      <c r="LMN290" s="22"/>
      <c r="LMO290" s="22"/>
      <c r="LMP290" s="22"/>
      <c r="LMQ290" s="22"/>
      <c r="LMR290" s="22"/>
      <c r="LMS290" s="22"/>
      <c r="LMT290" s="22"/>
      <c r="LMU290" s="22"/>
      <c r="LMV290" s="22"/>
      <c r="LMW290" s="22"/>
      <c r="LMX290" s="22"/>
      <c r="LMY290" s="22"/>
      <c r="LMZ290" s="22"/>
      <c r="LNA290" s="22"/>
      <c r="LNB290" s="22"/>
      <c r="LNC290" s="22"/>
      <c r="LND290" s="22"/>
      <c r="LNE290" s="22"/>
      <c r="LNF290" s="22"/>
      <c r="LNG290" s="22"/>
      <c r="LNH290" s="22"/>
      <c r="LNI290" s="22"/>
      <c r="LNJ290" s="22"/>
      <c r="LNK290" s="22"/>
      <c r="LNL290" s="22"/>
      <c r="LNM290" s="22"/>
      <c r="LNN290" s="22"/>
      <c r="LNO290" s="22"/>
      <c r="LNP290" s="22"/>
      <c r="LNQ290" s="22"/>
      <c r="LNR290" s="22"/>
      <c r="LNS290" s="22"/>
      <c r="LNT290" s="22"/>
      <c r="LNU290" s="22"/>
      <c r="LNV290" s="22"/>
      <c r="LNW290" s="22"/>
      <c r="LNX290" s="22"/>
      <c r="LNY290" s="22"/>
      <c r="LNZ290" s="22"/>
      <c r="LOA290" s="22"/>
      <c r="LOB290" s="22"/>
      <c r="LOC290" s="22"/>
      <c r="LOD290" s="22"/>
      <c r="LOE290" s="22"/>
      <c r="LOF290" s="22"/>
      <c r="LOG290" s="22"/>
      <c r="LOH290" s="22"/>
      <c r="LOI290" s="22"/>
      <c r="LOJ290" s="22"/>
      <c r="LOK290" s="22"/>
      <c r="LOL290" s="22"/>
      <c r="LOM290" s="22"/>
      <c r="LON290" s="22"/>
      <c r="LOO290" s="22"/>
      <c r="LOP290" s="22"/>
      <c r="LOQ290" s="22"/>
      <c r="LOR290" s="22"/>
      <c r="LOS290" s="22"/>
      <c r="LOT290" s="22"/>
      <c r="LOU290" s="22"/>
      <c r="LOV290" s="22"/>
      <c r="LOW290" s="22"/>
      <c r="LOX290" s="22"/>
      <c r="LOY290" s="22"/>
      <c r="LOZ290" s="22"/>
      <c r="LPA290" s="22"/>
      <c r="LPB290" s="22"/>
      <c r="LPC290" s="22"/>
      <c r="LPD290" s="22"/>
      <c r="LPE290" s="22"/>
      <c r="LPF290" s="22"/>
      <c r="LPG290" s="22"/>
      <c r="LPH290" s="22"/>
      <c r="LPI290" s="22"/>
      <c r="LPJ290" s="22"/>
      <c r="LPK290" s="22"/>
      <c r="LPL290" s="22"/>
      <c r="LPM290" s="22"/>
      <c r="LPN290" s="22"/>
      <c r="LPO290" s="22"/>
      <c r="LPP290" s="22"/>
      <c r="LPQ290" s="22"/>
      <c r="LPR290" s="22"/>
      <c r="LPS290" s="22"/>
      <c r="LPT290" s="22"/>
      <c r="LPU290" s="22"/>
      <c r="LPV290" s="22"/>
      <c r="LPW290" s="22"/>
      <c r="LPX290" s="22"/>
      <c r="LPY290" s="22"/>
      <c r="LPZ290" s="22"/>
      <c r="LQA290" s="22"/>
      <c r="LQB290" s="22"/>
      <c r="LQC290" s="22"/>
      <c r="LQD290" s="22"/>
      <c r="LQE290" s="22"/>
      <c r="LQF290" s="22"/>
      <c r="LQG290" s="22"/>
      <c r="LQH290" s="22"/>
      <c r="LQI290" s="22"/>
      <c r="LQJ290" s="22"/>
      <c r="LQK290" s="22"/>
      <c r="LQL290" s="22"/>
      <c r="LQM290" s="22"/>
      <c r="LQN290" s="22"/>
      <c r="LQO290" s="22"/>
      <c r="LQP290" s="22"/>
      <c r="LQQ290" s="22"/>
      <c r="LQR290" s="22"/>
      <c r="LQS290" s="22"/>
      <c r="LQT290" s="22"/>
      <c r="LQU290" s="22"/>
      <c r="LQV290" s="22"/>
      <c r="LQW290" s="22"/>
      <c r="LQX290" s="22"/>
      <c r="LQY290" s="22"/>
      <c r="LQZ290" s="22"/>
      <c r="LRA290" s="22"/>
      <c r="LRB290" s="22"/>
      <c r="LRC290" s="22"/>
      <c r="LRD290" s="22"/>
      <c r="LRE290" s="22"/>
      <c r="LRF290" s="22"/>
      <c r="LRG290" s="22"/>
      <c r="LRH290" s="22"/>
      <c r="LRI290" s="22"/>
      <c r="LRJ290" s="22"/>
      <c r="LRK290" s="22"/>
      <c r="LRL290" s="22"/>
      <c r="LRM290" s="22"/>
      <c r="LRN290" s="22"/>
      <c r="LRO290" s="22"/>
      <c r="LRP290" s="22"/>
      <c r="LRQ290" s="22"/>
      <c r="LRR290" s="22"/>
      <c r="LRS290" s="22"/>
      <c r="LRT290" s="22"/>
      <c r="LRU290" s="22"/>
      <c r="LRV290" s="22"/>
      <c r="LRW290" s="22"/>
      <c r="LRX290" s="22"/>
      <c r="LRY290" s="22"/>
      <c r="LRZ290" s="22"/>
      <c r="LSA290" s="22"/>
      <c r="LSB290" s="22"/>
      <c r="LSC290" s="22"/>
      <c r="LSD290" s="22"/>
      <c r="LSE290" s="22"/>
      <c r="LSF290" s="22"/>
      <c r="LSG290" s="22"/>
      <c r="LSH290" s="22"/>
      <c r="LSI290" s="22"/>
      <c r="LSJ290" s="22"/>
      <c r="LSK290" s="22"/>
      <c r="LSL290" s="22"/>
      <c r="LSM290" s="22"/>
      <c r="LSN290" s="22"/>
      <c r="LSO290" s="22"/>
      <c r="LSP290" s="22"/>
      <c r="LSQ290" s="22"/>
      <c r="LSR290" s="22"/>
      <c r="LSS290" s="22"/>
      <c r="LST290" s="22"/>
      <c r="LSU290" s="22"/>
      <c r="LSV290" s="22"/>
      <c r="LSW290" s="22"/>
      <c r="LSX290" s="22"/>
      <c r="LSY290" s="22"/>
      <c r="LSZ290" s="22"/>
      <c r="LTA290" s="22"/>
      <c r="LTB290" s="22"/>
      <c r="LTC290" s="22"/>
      <c r="LTD290" s="22"/>
      <c r="LTE290" s="22"/>
      <c r="LTF290" s="22"/>
      <c r="LTG290" s="22"/>
      <c r="LTH290" s="22"/>
      <c r="LTI290" s="22"/>
      <c r="LTJ290" s="22"/>
      <c r="LTK290" s="22"/>
      <c r="LTL290" s="22"/>
      <c r="LTM290" s="22"/>
      <c r="LTN290" s="22"/>
      <c r="LTO290" s="22"/>
      <c r="LTP290" s="22"/>
      <c r="LTQ290" s="22"/>
      <c r="LTR290" s="22"/>
      <c r="LTS290" s="22"/>
      <c r="LTT290" s="22"/>
      <c r="LTU290" s="22"/>
      <c r="LTV290" s="22"/>
      <c r="LTW290" s="22"/>
      <c r="LTX290" s="22"/>
      <c r="LTY290" s="22"/>
      <c r="LTZ290" s="22"/>
      <c r="LUA290" s="22"/>
      <c r="LUB290" s="22"/>
      <c r="LUC290" s="22"/>
      <c r="LUD290" s="22"/>
      <c r="LUE290" s="22"/>
      <c r="LUF290" s="22"/>
      <c r="LUG290" s="22"/>
      <c r="LUH290" s="22"/>
      <c r="LUI290" s="22"/>
      <c r="LUJ290" s="22"/>
      <c r="LUK290" s="22"/>
      <c r="LUL290" s="22"/>
      <c r="LUM290" s="22"/>
      <c r="LUN290" s="22"/>
      <c r="LUO290" s="22"/>
      <c r="LUP290" s="22"/>
      <c r="LUQ290" s="22"/>
      <c r="LUR290" s="22"/>
      <c r="LUS290" s="22"/>
      <c r="LUT290" s="22"/>
      <c r="LUU290" s="22"/>
      <c r="LUV290" s="22"/>
      <c r="LUW290" s="22"/>
      <c r="LUX290" s="22"/>
      <c r="LUY290" s="22"/>
      <c r="LUZ290" s="22"/>
      <c r="LVA290" s="22"/>
      <c r="LVB290" s="22"/>
      <c r="LVC290" s="22"/>
      <c r="LVD290" s="22"/>
      <c r="LVE290" s="22"/>
      <c r="LVF290" s="22"/>
      <c r="LVG290" s="22"/>
      <c r="LVH290" s="22"/>
      <c r="LVI290" s="22"/>
      <c r="LVJ290" s="22"/>
      <c r="LVK290" s="22"/>
      <c r="LVL290" s="22"/>
      <c r="LVM290" s="22"/>
      <c r="LVN290" s="22"/>
      <c r="LVO290" s="22"/>
      <c r="LVP290" s="22"/>
      <c r="LVQ290" s="22"/>
      <c r="LVR290" s="22"/>
      <c r="LVS290" s="22"/>
      <c r="LVT290" s="22"/>
      <c r="LVU290" s="22"/>
      <c r="LVV290" s="22"/>
      <c r="LVW290" s="22"/>
      <c r="LVX290" s="22"/>
      <c r="LVY290" s="22"/>
      <c r="LVZ290" s="22"/>
      <c r="LWA290" s="22"/>
      <c r="LWB290" s="22"/>
      <c r="LWC290" s="22"/>
      <c r="LWD290" s="22"/>
      <c r="LWE290" s="22"/>
      <c r="LWF290" s="22"/>
      <c r="LWG290" s="22"/>
      <c r="LWH290" s="22"/>
      <c r="LWI290" s="22"/>
      <c r="LWJ290" s="22"/>
      <c r="LWK290" s="22"/>
      <c r="LWL290" s="22"/>
      <c r="LWM290" s="22"/>
      <c r="LWN290" s="22"/>
      <c r="LWO290" s="22"/>
      <c r="LWP290" s="22"/>
      <c r="LWQ290" s="22"/>
      <c r="LWR290" s="22"/>
      <c r="LWS290" s="22"/>
      <c r="LWT290" s="22"/>
      <c r="LWU290" s="22"/>
      <c r="LWV290" s="22"/>
      <c r="LWW290" s="22"/>
      <c r="LWX290" s="22"/>
      <c r="LWY290" s="22"/>
      <c r="LWZ290" s="22"/>
      <c r="LXA290" s="22"/>
      <c r="LXB290" s="22"/>
      <c r="LXC290" s="22"/>
      <c r="LXD290" s="22"/>
      <c r="LXE290" s="22"/>
      <c r="LXF290" s="22"/>
      <c r="LXG290" s="22"/>
      <c r="LXH290" s="22"/>
      <c r="LXI290" s="22"/>
      <c r="LXJ290" s="22"/>
      <c r="LXK290" s="22"/>
      <c r="LXL290" s="22"/>
      <c r="LXM290" s="22"/>
      <c r="LXN290" s="22"/>
      <c r="LXO290" s="22"/>
      <c r="LXP290" s="22"/>
      <c r="LXQ290" s="22"/>
      <c r="LXR290" s="22"/>
      <c r="LXS290" s="22"/>
      <c r="LXT290" s="22"/>
      <c r="LXU290" s="22"/>
      <c r="LXV290" s="22"/>
      <c r="LXW290" s="22"/>
      <c r="LXX290" s="22"/>
      <c r="LXY290" s="22"/>
      <c r="LXZ290" s="22"/>
      <c r="LYA290" s="22"/>
      <c r="LYB290" s="22"/>
      <c r="LYC290" s="22"/>
      <c r="LYD290" s="22"/>
      <c r="LYE290" s="22"/>
      <c r="LYF290" s="22"/>
      <c r="LYG290" s="22"/>
      <c r="LYH290" s="22"/>
      <c r="LYI290" s="22"/>
      <c r="LYJ290" s="22"/>
      <c r="LYK290" s="22"/>
      <c r="LYL290" s="22"/>
      <c r="LYM290" s="22"/>
      <c r="LYN290" s="22"/>
      <c r="LYO290" s="22"/>
      <c r="LYP290" s="22"/>
      <c r="LYQ290" s="22"/>
      <c r="LYR290" s="22"/>
      <c r="LYS290" s="22"/>
      <c r="LYT290" s="22"/>
      <c r="LYU290" s="22"/>
      <c r="LYV290" s="22"/>
      <c r="LYW290" s="22"/>
      <c r="LYX290" s="22"/>
      <c r="LYY290" s="22"/>
      <c r="LYZ290" s="22"/>
      <c r="LZA290" s="22"/>
      <c r="LZB290" s="22"/>
      <c r="LZC290" s="22"/>
      <c r="LZD290" s="22"/>
      <c r="LZE290" s="22"/>
      <c r="LZF290" s="22"/>
      <c r="LZG290" s="22"/>
      <c r="LZH290" s="22"/>
      <c r="LZI290" s="22"/>
      <c r="LZJ290" s="22"/>
      <c r="LZK290" s="22"/>
      <c r="LZL290" s="22"/>
      <c r="LZM290" s="22"/>
      <c r="LZN290" s="22"/>
      <c r="LZO290" s="22"/>
      <c r="LZP290" s="22"/>
      <c r="LZQ290" s="22"/>
      <c r="LZR290" s="22"/>
      <c r="LZS290" s="22"/>
      <c r="LZT290" s="22"/>
      <c r="LZU290" s="22"/>
      <c r="LZV290" s="22"/>
      <c r="LZW290" s="22"/>
      <c r="LZX290" s="22"/>
      <c r="LZY290" s="22"/>
      <c r="LZZ290" s="22"/>
      <c r="MAA290" s="22"/>
      <c r="MAB290" s="22"/>
      <c r="MAC290" s="22"/>
      <c r="MAD290" s="22"/>
      <c r="MAE290" s="22"/>
      <c r="MAF290" s="22"/>
      <c r="MAG290" s="22"/>
      <c r="MAH290" s="22"/>
      <c r="MAI290" s="22"/>
      <c r="MAJ290" s="22"/>
      <c r="MAK290" s="22"/>
      <c r="MAL290" s="22"/>
      <c r="MAM290" s="22"/>
      <c r="MAN290" s="22"/>
      <c r="MAO290" s="22"/>
      <c r="MAP290" s="22"/>
      <c r="MAQ290" s="22"/>
      <c r="MAR290" s="22"/>
      <c r="MAS290" s="22"/>
      <c r="MAT290" s="22"/>
      <c r="MAU290" s="22"/>
      <c r="MAV290" s="22"/>
      <c r="MAW290" s="22"/>
      <c r="MAX290" s="22"/>
      <c r="MAY290" s="22"/>
      <c r="MAZ290" s="22"/>
      <c r="MBA290" s="22"/>
      <c r="MBB290" s="22"/>
      <c r="MBC290" s="22"/>
      <c r="MBD290" s="22"/>
      <c r="MBE290" s="22"/>
      <c r="MBF290" s="22"/>
      <c r="MBG290" s="22"/>
      <c r="MBH290" s="22"/>
      <c r="MBI290" s="22"/>
      <c r="MBJ290" s="22"/>
      <c r="MBK290" s="22"/>
      <c r="MBL290" s="22"/>
      <c r="MBM290" s="22"/>
      <c r="MBN290" s="22"/>
      <c r="MBO290" s="22"/>
      <c r="MBP290" s="22"/>
      <c r="MBQ290" s="22"/>
      <c r="MBR290" s="22"/>
      <c r="MBS290" s="22"/>
      <c r="MBT290" s="22"/>
      <c r="MBU290" s="22"/>
      <c r="MBV290" s="22"/>
      <c r="MBW290" s="22"/>
      <c r="MBX290" s="22"/>
      <c r="MBY290" s="22"/>
      <c r="MBZ290" s="22"/>
      <c r="MCA290" s="22"/>
      <c r="MCB290" s="22"/>
      <c r="MCC290" s="22"/>
      <c r="MCD290" s="22"/>
      <c r="MCE290" s="22"/>
      <c r="MCF290" s="22"/>
      <c r="MCG290" s="22"/>
      <c r="MCH290" s="22"/>
      <c r="MCI290" s="22"/>
      <c r="MCJ290" s="22"/>
      <c r="MCK290" s="22"/>
      <c r="MCL290" s="22"/>
      <c r="MCM290" s="22"/>
      <c r="MCN290" s="22"/>
      <c r="MCO290" s="22"/>
      <c r="MCP290" s="22"/>
      <c r="MCQ290" s="22"/>
      <c r="MCR290" s="22"/>
      <c r="MCS290" s="22"/>
      <c r="MCT290" s="22"/>
      <c r="MCU290" s="22"/>
      <c r="MCV290" s="22"/>
      <c r="MCW290" s="22"/>
      <c r="MCX290" s="22"/>
      <c r="MCY290" s="22"/>
      <c r="MCZ290" s="22"/>
      <c r="MDA290" s="22"/>
      <c r="MDB290" s="22"/>
      <c r="MDC290" s="22"/>
      <c r="MDD290" s="22"/>
      <c r="MDE290" s="22"/>
      <c r="MDF290" s="22"/>
      <c r="MDG290" s="22"/>
      <c r="MDH290" s="22"/>
      <c r="MDI290" s="22"/>
      <c r="MDJ290" s="22"/>
      <c r="MDK290" s="22"/>
      <c r="MDL290" s="22"/>
      <c r="MDM290" s="22"/>
      <c r="MDN290" s="22"/>
      <c r="MDO290" s="22"/>
      <c r="MDP290" s="22"/>
      <c r="MDQ290" s="22"/>
      <c r="MDR290" s="22"/>
      <c r="MDS290" s="22"/>
      <c r="MDT290" s="22"/>
      <c r="MDU290" s="22"/>
      <c r="MDV290" s="22"/>
      <c r="MDW290" s="22"/>
      <c r="MDX290" s="22"/>
      <c r="MDY290" s="22"/>
      <c r="MDZ290" s="22"/>
      <c r="MEA290" s="22"/>
      <c r="MEB290" s="22"/>
      <c r="MEC290" s="22"/>
      <c r="MED290" s="22"/>
      <c r="MEE290" s="22"/>
      <c r="MEF290" s="22"/>
      <c r="MEG290" s="22"/>
      <c r="MEH290" s="22"/>
      <c r="MEI290" s="22"/>
      <c r="MEJ290" s="22"/>
      <c r="MEK290" s="22"/>
      <c r="MEL290" s="22"/>
      <c r="MEM290" s="22"/>
      <c r="MEN290" s="22"/>
      <c r="MEO290" s="22"/>
      <c r="MEP290" s="22"/>
      <c r="MEQ290" s="22"/>
      <c r="MER290" s="22"/>
      <c r="MES290" s="22"/>
      <c r="MET290" s="22"/>
      <c r="MEU290" s="22"/>
      <c r="MEV290" s="22"/>
      <c r="MEW290" s="22"/>
      <c r="MEX290" s="22"/>
      <c r="MEY290" s="22"/>
      <c r="MEZ290" s="22"/>
      <c r="MFA290" s="22"/>
      <c r="MFB290" s="22"/>
      <c r="MFC290" s="22"/>
      <c r="MFD290" s="22"/>
      <c r="MFE290" s="22"/>
      <c r="MFF290" s="22"/>
      <c r="MFG290" s="22"/>
      <c r="MFH290" s="22"/>
      <c r="MFI290" s="22"/>
      <c r="MFJ290" s="22"/>
      <c r="MFK290" s="22"/>
      <c r="MFL290" s="22"/>
      <c r="MFM290" s="22"/>
      <c r="MFN290" s="22"/>
      <c r="MFO290" s="22"/>
      <c r="MFP290" s="22"/>
      <c r="MFQ290" s="22"/>
      <c r="MFR290" s="22"/>
      <c r="MFS290" s="22"/>
      <c r="MFT290" s="22"/>
      <c r="MFU290" s="22"/>
      <c r="MFV290" s="22"/>
      <c r="MFW290" s="22"/>
      <c r="MFX290" s="22"/>
      <c r="MFY290" s="22"/>
      <c r="MFZ290" s="22"/>
      <c r="MGA290" s="22"/>
      <c r="MGB290" s="22"/>
      <c r="MGC290" s="22"/>
      <c r="MGD290" s="22"/>
      <c r="MGE290" s="22"/>
      <c r="MGF290" s="22"/>
      <c r="MGG290" s="22"/>
      <c r="MGH290" s="22"/>
      <c r="MGI290" s="22"/>
      <c r="MGJ290" s="22"/>
      <c r="MGK290" s="22"/>
      <c r="MGL290" s="22"/>
      <c r="MGM290" s="22"/>
      <c r="MGN290" s="22"/>
      <c r="MGO290" s="22"/>
      <c r="MGP290" s="22"/>
      <c r="MGQ290" s="22"/>
      <c r="MGR290" s="22"/>
      <c r="MGS290" s="22"/>
      <c r="MGT290" s="22"/>
      <c r="MGU290" s="22"/>
      <c r="MGV290" s="22"/>
      <c r="MGW290" s="22"/>
      <c r="MGX290" s="22"/>
      <c r="MGY290" s="22"/>
      <c r="MGZ290" s="22"/>
      <c r="MHA290" s="22"/>
      <c r="MHB290" s="22"/>
      <c r="MHC290" s="22"/>
      <c r="MHD290" s="22"/>
      <c r="MHE290" s="22"/>
      <c r="MHF290" s="22"/>
      <c r="MHG290" s="22"/>
      <c r="MHH290" s="22"/>
      <c r="MHI290" s="22"/>
      <c r="MHJ290" s="22"/>
      <c r="MHK290" s="22"/>
      <c r="MHL290" s="22"/>
      <c r="MHM290" s="22"/>
      <c r="MHN290" s="22"/>
      <c r="MHO290" s="22"/>
      <c r="MHP290" s="22"/>
      <c r="MHQ290" s="22"/>
      <c r="MHR290" s="22"/>
      <c r="MHS290" s="22"/>
      <c r="MHT290" s="22"/>
      <c r="MHU290" s="22"/>
      <c r="MHV290" s="22"/>
      <c r="MHW290" s="22"/>
      <c r="MHX290" s="22"/>
      <c r="MHY290" s="22"/>
      <c r="MHZ290" s="22"/>
      <c r="MIA290" s="22"/>
      <c r="MIB290" s="22"/>
      <c r="MIC290" s="22"/>
      <c r="MID290" s="22"/>
      <c r="MIE290" s="22"/>
      <c r="MIF290" s="22"/>
      <c r="MIG290" s="22"/>
      <c r="MIH290" s="22"/>
      <c r="MII290" s="22"/>
      <c r="MIJ290" s="22"/>
      <c r="MIK290" s="22"/>
      <c r="MIL290" s="22"/>
      <c r="MIM290" s="22"/>
      <c r="MIN290" s="22"/>
      <c r="MIO290" s="22"/>
      <c r="MIP290" s="22"/>
      <c r="MIQ290" s="22"/>
      <c r="MIR290" s="22"/>
      <c r="MIS290" s="22"/>
      <c r="MIT290" s="22"/>
      <c r="MIU290" s="22"/>
      <c r="MIV290" s="22"/>
      <c r="MIW290" s="22"/>
      <c r="MIX290" s="22"/>
      <c r="MIY290" s="22"/>
      <c r="MIZ290" s="22"/>
      <c r="MJA290" s="22"/>
      <c r="MJB290" s="22"/>
      <c r="MJC290" s="22"/>
      <c r="MJD290" s="22"/>
      <c r="MJE290" s="22"/>
      <c r="MJF290" s="22"/>
      <c r="MJG290" s="22"/>
      <c r="MJH290" s="22"/>
      <c r="MJI290" s="22"/>
      <c r="MJJ290" s="22"/>
      <c r="MJK290" s="22"/>
      <c r="MJL290" s="22"/>
      <c r="MJM290" s="22"/>
      <c r="MJN290" s="22"/>
      <c r="MJO290" s="22"/>
      <c r="MJP290" s="22"/>
      <c r="MJQ290" s="22"/>
      <c r="MJR290" s="22"/>
      <c r="MJS290" s="22"/>
      <c r="MJT290" s="22"/>
      <c r="MJU290" s="22"/>
      <c r="MJV290" s="22"/>
      <c r="MJW290" s="22"/>
      <c r="MJX290" s="22"/>
      <c r="MJY290" s="22"/>
      <c r="MJZ290" s="22"/>
      <c r="MKA290" s="22"/>
      <c r="MKB290" s="22"/>
      <c r="MKC290" s="22"/>
      <c r="MKD290" s="22"/>
      <c r="MKE290" s="22"/>
      <c r="MKF290" s="22"/>
      <c r="MKG290" s="22"/>
      <c r="MKH290" s="22"/>
      <c r="MKI290" s="22"/>
      <c r="MKJ290" s="22"/>
      <c r="MKK290" s="22"/>
      <c r="MKL290" s="22"/>
      <c r="MKM290" s="22"/>
      <c r="MKN290" s="22"/>
      <c r="MKO290" s="22"/>
      <c r="MKP290" s="22"/>
      <c r="MKQ290" s="22"/>
      <c r="MKR290" s="22"/>
      <c r="MKS290" s="22"/>
      <c r="MKT290" s="22"/>
      <c r="MKU290" s="22"/>
      <c r="MKV290" s="22"/>
      <c r="MKW290" s="22"/>
      <c r="MKX290" s="22"/>
      <c r="MKY290" s="22"/>
      <c r="MKZ290" s="22"/>
      <c r="MLA290" s="22"/>
      <c r="MLB290" s="22"/>
      <c r="MLC290" s="22"/>
      <c r="MLD290" s="22"/>
      <c r="MLE290" s="22"/>
      <c r="MLF290" s="22"/>
      <c r="MLG290" s="22"/>
      <c r="MLH290" s="22"/>
      <c r="MLI290" s="22"/>
      <c r="MLJ290" s="22"/>
      <c r="MLK290" s="22"/>
      <c r="MLL290" s="22"/>
      <c r="MLM290" s="22"/>
      <c r="MLN290" s="22"/>
      <c r="MLO290" s="22"/>
      <c r="MLP290" s="22"/>
      <c r="MLQ290" s="22"/>
      <c r="MLR290" s="22"/>
      <c r="MLS290" s="22"/>
      <c r="MLT290" s="22"/>
      <c r="MLU290" s="22"/>
      <c r="MLV290" s="22"/>
      <c r="MLW290" s="22"/>
      <c r="MLX290" s="22"/>
      <c r="MLY290" s="22"/>
      <c r="MLZ290" s="22"/>
      <c r="MMA290" s="22"/>
      <c r="MMB290" s="22"/>
      <c r="MMC290" s="22"/>
      <c r="MMD290" s="22"/>
      <c r="MME290" s="22"/>
      <c r="MMF290" s="22"/>
      <c r="MMG290" s="22"/>
      <c r="MMH290" s="22"/>
      <c r="MMI290" s="22"/>
      <c r="MMJ290" s="22"/>
      <c r="MMK290" s="22"/>
      <c r="MML290" s="22"/>
      <c r="MMM290" s="22"/>
      <c r="MMN290" s="22"/>
      <c r="MMO290" s="22"/>
      <c r="MMP290" s="22"/>
      <c r="MMQ290" s="22"/>
      <c r="MMR290" s="22"/>
      <c r="MMS290" s="22"/>
      <c r="MMT290" s="22"/>
      <c r="MMU290" s="22"/>
      <c r="MMV290" s="22"/>
      <c r="MMW290" s="22"/>
      <c r="MMX290" s="22"/>
      <c r="MMY290" s="22"/>
      <c r="MMZ290" s="22"/>
      <c r="MNA290" s="22"/>
      <c r="MNB290" s="22"/>
      <c r="MNC290" s="22"/>
      <c r="MND290" s="22"/>
      <c r="MNE290" s="22"/>
      <c r="MNF290" s="22"/>
      <c r="MNG290" s="22"/>
      <c r="MNH290" s="22"/>
      <c r="MNI290" s="22"/>
      <c r="MNJ290" s="22"/>
      <c r="MNK290" s="22"/>
      <c r="MNL290" s="22"/>
      <c r="MNM290" s="22"/>
      <c r="MNN290" s="22"/>
      <c r="MNO290" s="22"/>
      <c r="MNP290" s="22"/>
      <c r="MNQ290" s="22"/>
      <c r="MNR290" s="22"/>
      <c r="MNS290" s="22"/>
      <c r="MNT290" s="22"/>
      <c r="MNU290" s="22"/>
      <c r="MNV290" s="22"/>
      <c r="MNW290" s="22"/>
      <c r="MNX290" s="22"/>
      <c r="MNY290" s="22"/>
      <c r="MNZ290" s="22"/>
      <c r="MOA290" s="22"/>
      <c r="MOB290" s="22"/>
      <c r="MOC290" s="22"/>
      <c r="MOD290" s="22"/>
      <c r="MOE290" s="22"/>
      <c r="MOF290" s="22"/>
      <c r="MOG290" s="22"/>
      <c r="MOH290" s="22"/>
      <c r="MOI290" s="22"/>
      <c r="MOJ290" s="22"/>
      <c r="MOK290" s="22"/>
      <c r="MOL290" s="22"/>
      <c r="MOM290" s="22"/>
      <c r="MON290" s="22"/>
      <c r="MOO290" s="22"/>
      <c r="MOP290" s="22"/>
      <c r="MOQ290" s="22"/>
      <c r="MOR290" s="22"/>
      <c r="MOS290" s="22"/>
      <c r="MOT290" s="22"/>
      <c r="MOU290" s="22"/>
      <c r="MOV290" s="22"/>
      <c r="MOW290" s="22"/>
      <c r="MOX290" s="22"/>
      <c r="MOY290" s="22"/>
      <c r="MOZ290" s="22"/>
      <c r="MPA290" s="22"/>
      <c r="MPB290" s="22"/>
      <c r="MPC290" s="22"/>
      <c r="MPD290" s="22"/>
      <c r="MPE290" s="22"/>
      <c r="MPF290" s="22"/>
      <c r="MPG290" s="22"/>
      <c r="MPH290" s="22"/>
      <c r="MPI290" s="22"/>
      <c r="MPJ290" s="22"/>
      <c r="MPK290" s="22"/>
      <c r="MPL290" s="22"/>
      <c r="MPM290" s="22"/>
      <c r="MPN290" s="22"/>
      <c r="MPO290" s="22"/>
      <c r="MPP290" s="22"/>
      <c r="MPQ290" s="22"/>
      <c r="MPR290" s="22"/>
      <c r="MPS290" s="22"/>
      <c r="MPT290" s="22"/>
      <c r="MPU290" s="22"/>
      <c r="MPV290" s="22"/>
      <c r="MPW290" s="22"/>
      <c r="MPX290" s="22"/>
      <c r="MPY290" s="22"/>
      <c r="MPZ290" s="22"/>
      <c r="MQA290" s="22"/>
      <c r="MQB290" s="22"/>
      <c r="MQC290" s="22"/>
      <c r="MQD290" s="22"/>
      <c r="MQE290" s="22"/>
      <c r="MQF290" s="22"/>
      <c r="MQG290" s="22"/>
      <c r="MQH290" s="22"/>
      <c r="MQI290" s="22"/>
      <c r="MQJ290" s="22"/>
      <c r="MQK290" s="22"/>
      <c r="MQL290" s="22"/>
      <c r="MQM290" s="22"/>
      <c r="MQN290" s="22"/>
      <c r="MQO290" s="22"/>
      <c r="MQP290" s="22"/>
      <c r="MQQ290" s="22"/>
      <c r="MQR290" s="22"/>
      <c r="MQS290" s="22"/>
      <c r="MQT290" s="22"/>
      <c r="MQU290" s="22"/>
      <c r="MQV290" s="22"/>
      <c r="MQW290" s="22"/>
      <c r="MQX290" s="22"/>
      <c r="MQY290" s="22"/>
      <c r="MQZ290" s="22"/>
      <c r="MRA290" s="22"/>
      <c r="MRB290" s="22"/>
      <c r="MRC290" s="22"/>
      <c r="MRD290" s="22"/>
      <c r="MRE290" s="22"/>
      <c r="MRF290" s="22"/>
      <c r="MRG290" s="22"/>
      <c r="MRH290" s="22"/>
      <c r="MRI290" s="22"/>
      <c r="MRJ290" s="22"/>
      <c r="MRK290" s="22"/>
      <c r="MRL290" s="22"/>
      <c r="MRM290" s="22"/>
      <c r="MRN290" s="22"/>
      <c r="MRO290" s="22"/>
      <c r="MRP290" s="22"/>
      <c r="MRQ290" s="22"/>
      <c r="MRR290" s="22"/>
      <c r="MRS290" s="22"/>
      <c r="MRT290" s="22"/>
      <c r="MRU290" s="22"/>
      <c r="MRV290" s="22"/>
      <c r="MRW290" s="22"/>
      <c r="MRX290" s="22"/>
      <c r="MRY290" s="22"/>
      <c r="MRZ290" s="22"/>
      <c r="MSA290" s="22"/>
      <c r="MSB290" s="22"/>
      <c r="MSC290" s="22"/>
      <c r="MSD290" s="22"/>
      <c r="MSE290" s="22"/>
      <c r="MSF290" s="22"/>
      <c r="MSG290" s="22"/>
      <c r="MSH290" s="22"/>
      <c r="MSI290" s="22"/>
      <c r="MSJ290" s="22"/>
      <c r="MSK290" s="22"/>
      <c r="MSL290" s="22"/>
      <c r="MSM290" s="22"/>
      <c r="MSN290" s="22"/>
      <c r="MSO290" s="22"/>
      <c r="MSP290" s="22"/>
      <c r="MSQ290" s="22"/>
      <c r="MSR290" s="22"/>
      <c r="MSS290" s="22"/>
      <c r="MST290" s="22"/>
      <c r="MSU290" s="22"/>
      <c r="MSV290" s="22"/>
      <c r="MSW290" s="22"/>
      <c r="MSX290" s="22"/>
      <c r="MSY290" s="22"/>
      <c r="MSZ290" s="22"/>
      <c r="MTA290" s="22"/>
      <c r="MTB290" s="22"/>
      <c r="MTC290" s="22"/>
      <c r="MTD290" s="22"/>
      <c r="MTE290" s="22"/>
      <c r="MTF290" s="22"/>
      <c r="MTG290" s="22"/>
      <c r="MTH290" s="22"/>
      <c r="MTI290" s="22"/>
      <c r="MTJ290" s="22"/>
      <c r="MTK290" s="22"/>
      <c r="MTL290" s="22"/>
      <c r="MTM290" s="22"/>
      <c r="MTN290" s="22"/>
      <c r="MTO290" s="22"/>
      <c r="MTP290" s="22"/>
      <c r="MTQ290" s="22"/>
      <c r="MTR290" s="22"/>
      <c r="MTS290" s="22"/>
      <c r="MTT290" s="22"/>
      <c r="MTU290" s="22"/>
      <c r="MTV290" s="22"/>
      <c r="MTW290" s="22"/>
      <c r="MTX290" s="22"/>
      <c r="MTY290" s="22"/>
      <c r="MTZ290" s="22"/>
      <c r="MUA290" s="22"/>
      <c r="MUB290" s="22"/>
      <c r="MUC290" s="22"/>
      <c r="MUD290" s="22"/>
      <c r="MUE290" s="22"/>
      <c r="MUF290" s="22"/>
      <c r="MUG290" s="22"/>
      <c r="MUH290" s="22"/>
      <c r="MUI290" s="22"/>
      <c r="MUJ290" s="22"/>
      <c r="MUK290" s="22"/>
      <c r="MUL290" s="22"/>
      <c r="MUM290" s="22"/>
      <c r="MUN290" s="22"/>
      <c r="MUO290" s="22"/>
      <c r="MUP290" s="22"/>
      <c r="MUQ290" s="22"/>
      <c r="MUR290" s="22"/>
      <c r="MUS290" s="22"/>
      <c r="MUT290" s="22"/>
      <c r="MUU290" s="22"/>
      <c r="MUV290" s="22"/>
      <c r="MUW290" s="22"/>
      <c r="MUX290" s="22"/>
      <c r="MUY290" s="22"/>
      <c r="MUZ290" s="22"/>
      <c r="MVA290" s="22"/>
      <c r="MVB290" s="22"/>
      <c r="MVC290" s="22"/>
      <c r="MVD290" s="22"/>
      <c r="MVE290" s="22"/>
      <c r="MVF290" s="22"/>
      <c r="MVG290" s="22"/>
      <c r="MVH290" s="22"/>
      <c r="MVI290" s="22"/>
      <c r="MVJ290" s="22"/>
      <c r="MVK290" s="22"/>
      <c r="MVL290" s="22"/>
      <c r="MVM290" s="22"/>
      <c r="MVN290" s="22"/>
      <c r="MVO290" s="22"/>
      <c r="MVP290" s="22"/>
      <c r="MVQ290" s="22"/>
      <c r="MVR290" s="22"/>
      <c r="MVS290" s="22"/>
      <c r="MVT290" s="22"/>
      <c r="MVU290" s="22"/>
      <c r="MVV290" s="22"/>
      <c r="MVW290" s="22"/>
      <c r="MVX290" s="22"/>
      <c r="MVY290" s="22"/>
      <c r="MVZ290" s="22"/>
      <c r="MWA290" s="22"/>
      <c r="MWB290" s="22"/>
      <c r="MWC290" s="22"/>
      <c r="MWD290" s="22"/>
      <c r="MWE290" s="22"/>
      <c r="MWF290" s="22"/>
      <c r="MWG290" s="22"/>
      <c r="MWH290" s="22"/>
      <c r="MWI290" s="22"/>
      <c r="MWJ290" s="22"/>
      <c r="MWK290" s="22"/>
      <c r="MWL290" s="22"/>
      <c r="MWM290" s="22"/>
      <c r="MWN290" s="22"/>
      <c r="MWO290" s="22"/>
      <c r="MWP290" s="22"/>
      <c r="MWQ290" s="22"/>
      <c r="MWR290" s="22"/>
      <c r="MWS290" s="22"/>
      <c r="MWT290" s="22"/>
      <c r="MWU290" s="22"/>
      <c r="MWV290" s="22"/>
      <c r="MWW290" s="22"/>
      <c r="MWX290" s="22"/>
      <c r="MWY290" s="22"/>
      <c r="MWZ290" s="22"/>
      <c r="MXA290" s="22"/>
      <c r="MXB290" s="22"/>
      <c r="MXC290" s="22"/>
      <c r="MXD290" s="22"/>
      <c r="MXE290" s="22"/>
      <c r="MXF290" s="22"/>
      <c r="MXG290" s="22"/>
      <c r="MXH290" s="22"/>
      <c r="MXI290" s="22"/>
      <c r="MXJ290" s="22"/>
      <c r="MXK290" s="22"/>
      <c r="MXL290" s="22"/>
      <c r="MXM290" s="22"/>
      <c r="MXN290" s="22"/>
      <c r="MXO290" s="22"/>
      <c r="MXP290" s="22"/>
      <c r="MXQ290" s="22"/>
      <c r="MXR290" s="22"/>
      <c r="MXS290" s="22"/>
      <c r="MXT290" s="22"/>
      <c r="MXU290" s="22"/>
      <c r="MXV290" s="22"/>
      <c r="MXW290" s="22"/>
      <c r="MXX290" s="22"/>
      <c r="MXY290" s="22"/>
      <c r="MXZ290" s="22"/>
      <c r="MYA290" s="22"/>
      <c r="MYB290" s="22"/>
      <c r="MYC290" s="22"/>
      <c r="MYD290" s="22"/>
      <c r="MYE290" s="22"/>
      <c r="MYF290" s="22"/>
      <c r="MYG290" s="22"/>
      <c r="MYH290" s="22"/>
      <c r="MYI290" s="22"/>
      <c r="MYJ290" s="22"/>
      <c r="MYK290" s="22"/>
      <c r="MYL290" s="22"/>
      <c r="MYM290" s="22"/>
      <c r="MYN290" s="22"/>
      <c r="MYO290" s="22"/>
      <c r="MYP290" s="22"/>
      <c r="MYQ290" s="22"/>
      <c r="MYR290" s="22"/>
      <c r="MYS290" s="22"/>
      <c r="MYT290" s="22"/>
      <c r="MYU290" s="22"/>
      <c r="MYV290" s="22"/>
      <c r="MYW290" s="22"/>
      <c r="MYX290" s="22"/>
      <c r="MYY290" s="22"/>
      <c r="MYZ290" s="22"/>
      <c r="MZA290" s="22"/>
      <c r="MZB290" s="22"/>
      <c r="MZC290" s="22"/>
      <c r="MZD290" s="22"/>
      <c r="MZE290" s="22"/>
      <c r="MZF290" s="22"/>
      <c r="MZG290" s="22"/>
      <c r="MZH290" s="22"/>
      <c r="MZI290" s="22"/>
      <c r="MZJ290" s="22"/>
      <c r="MZK290" s="22"/>
      <c r="MZL290" s="22"/>
      <c r="MZM290" s="22"/>
      <c r="MZN290" s="22"/>
      <c r="MZO290" s="22"/>
      <c r="MZP290" s="22"/>
      <c r="MZQ290" s="22"/>
      <c r="MZR290" s="22"/>
      <c r="MZS290" s="22"/>
      <c r="MZT290" s="22"/>
      <c r="MZU290" s="22"/>
      <c r="MZV290" s="22"/>
      <c r="MZW290" s="22"/>
      <c r="MZX290" s="22"/>
      <c r="MZY290" s="22"/>
      <c r="MZZ290" s="22"/>
      <c r="NAA290" s="22"/>
      <c r="NAB290" s="22"/>
      <c r="NAC290" s="22"/>
      <c r="NAD290" s="22"/>
      <c r="NAE290" s="22"/>
      <c r="NAF290" s="22"/>
      <c r="NAG290" s="22"/>
      <c r="NAH290" s="22"/>
      <c r="NAI290" s="22"/>
      <c r="NAJ290" s="22"/>
      <c r="NAK290" s="22"/>
      <c r="NAL290" s="22"/>
      <c r="NAM290" s="22"/>
      <c r="NAN290" s="22"/>
      <c r="NAO290" s="22"/>
      <c r="NAP290" s="22"/>
      <c r="NAQ290" s="22"/>
      <c r="NAR290" s="22"/>
      <c r="NAS290" s="22"/>
      <c r="NAT290" s="22"/>
      <c r="NAU290" s="22"/>
      <c r="NAV290" s="22"/>
      <c r="NAW290" s="22"/>
      <c r="NAX290" s="22"/>
      <c r="NAY290" s="22"/>
      <c r="NAZ290" s="22"/>
      <c r="NBA290" s="22"/>
      <c r="NBB290" s="22"/>
      <c r="NBC290" s="22"/>
      <c r="NBD290" s="22"/>
      <c r="NBE290" s="22"/>
      <c r="NBF290" s="22"/>
      <c r="NBG290" s="22"/>
      <c r="NBH290" s="22"/>
      <c r="NBI290" s="22"/>
      <c r="NBJ290" s="22"/>
      <c r="NBK290" s="22"/>
      <c r="NBL290" s="22"/>
      <c r="NBM290" s="22"/>
      <c r="NBN290" s="22"/>
      <c r="NBO290" s="22"/>
      <c r="NBP290" s="22"/>
      <c r="NBQ290" s="22"/>
      <c r="NBR290" s="22"/>
      <c r="NBS290" s="22"/>
      <c r="NBT290" s="22"/>
      <c r="NBU290" s="22"/>
      <c r="NBV290" s="22"/>
      <c r="NBW290" s="22"/>
      <c r="NBX290" s="22"/>
      <c r="NBY290" s="22"/>
      <c r="NBZ290" s="22"/>
      <c r="NCA290" s="22"/>
      <c r="NCB290" s="22"/>
      <c r="NCC290" s="22"/>
      <c r="NCD290" s="22"/>
      <c r="NCE290" s="22"/>
      <c r="NCF290" s="22"/>
      <c r="NCG290" s="22"/>
      <c r="NCH290" s="22"/>
      <c r="NCI290" s="22"/>
      <c r="NCJ290" s="22"/>
      <c r="NCK290" s="22"/>
      <c r="NCL290" s="22"/>
      <c r="NCM290" s="22"/>
      <c r="NCN290" s="22"/>
      <c r="NCO290" s="22"/>
      <c r="NCP290" s="22"/>
      <c r="NCQ290" s="22"/>
      <c r="NCR290" s="22"/>
      <c r="NCS290" s="22"/>
      <c r="NCT290" s="22"/>
      <c r="NCU290" s="22"/>
      <c r="NCV290" s="22"/>
      <c r="NCW290" s="22"/>
      <c r="NCX290" s="22"/>
      <c r="NCY290" s="22"/>
      <c r="NCZ290" s="22"/>
      <c r="NDA290" s="22"/>
      <c r="NDB290" s="22"/>
      <c r="NDC290" s="22"/>
      <c r="NDD290" s="22"/>
      <c r="NDE290" s="22"/>
      <c r="NDF290" s="22"/>
      <c r="NDG290" s="22"/>
      <c r="NDH290" s="22"/>
      <c r="NDI290" s="22"/>
      <c r="NDJ290" s="22"/>
      <c r="NDK290" s="22"/>
      <c r="NDL290" s="22"/>
      <c r="NDM290" s="22"/>
      <c r="NDN290" s="22"/>
      <c r="NDO290" s="22"/>
      <c r="NDP290" s="22"/>
      <c r="NDQ290" s="22"/>
      <c r="NDR290" s="22"/>
      <c r="NDS290" s="22"/>
      <c r="NDT290" s="22"/>
      <c r="NDU290" s="22"/>
      <c r="NDV290" s="22"/>
      <c r="NDW290" s="22"/>
      <c r="NDX290" s="22"/>
      <c r="NDY290" s="22"/>
      <c r="NDZ290" s="22"/>
      <c r="NEA290" s="22"/>
      <c r="NEB290" s="22"/>
      <c r="NEC290" s="22"/>
      <c r="NED290" s="22"/>
      <c r="NEE290" s="22"/>
      <c r="NEF290" s="22"/>
      <c r="NEG290" s="22"/>
      <c r="NEH290" s="22"/>
      <c r="NEI290" s="22"/>
      <c r="NEJ290" s="22"/>
      <c r="NEK290" s="22"/>
      <c r="NEL290" s="22"/>
      <c r="NEM290" s="22"/>
      <c r="NEN290" s="22"/>
      <c r="NEO290" s="22"/>
      <c r="NEP290" s="22"/>
      <c r="NEQ290" s="22"/>
      <c r="NER290" s="22"/>
      <c r="NES290" s="22"/>
      <c r="NET290" s="22"/>
      <c r="NEU290" s="22"/>
      <c r="NEV290" s="22"/>
      <c r="NEW290" s="22"/>
      <c r="NEX290" s="22"/>
      <c r="NEY290" s="22"/>
      <c r="NEZ290" s="22"/>
      <c r="NFA290" s="22"/>
      <c r="NFB290" s="22"/>
      <c r="NFC290" s="22"/>
      <c r="NFD290" s="22"/>
      <c r="NFE290" s="22"/>
      <c r="NFF290" s="22"/>
      <c r="NFG290" s="22"/>
      <c r="NFH290" s="22"/>
      <c r="NFI290" s="22"/>
      <c r="NFJ290" s="22"/>
      <c r="NFK290" s="22"/>
      <c r="NFL290" s="22"/>
      <c r="NFM290" s="22"/>
      <c r="NFN290" s="22"/>
      <c r="NFO290" s="22"/>
      <c r="NFP290" s="22"/>
      <c r="NFQ290" s="22"/>
      <c r="NFR290" s="22"/>
      <c r="NFS290" s="22"/>
      <c r="NFT290" s="22"/>
      <c r="NFU290" s="22"/>
      <c r="NFV290" s="22"/>
      <c r="NFW290" s="22"/>
      <c r="NFX290" s="22"/>
      <c r="NFY290" s="22"/>
      <c r="NFZ290" s="22"/>
      <c r="NGA290" s="22"/>
      <c r="NGB290" s="22"/>
      <c r="NGC290" s="22"/>
      <c r="NGD290" s="22"/>
      <c r="NGE290" s="22"/>
      <c r="NGF290" s="22"/>
      <c r="NGG290" s="22"/>
      <c r="NGH290" s="22"/>
      <c r="NGI290" s="22"/>
      <c r="NGJ290" s="22"/>
      <c r="NGK290" s="22"/>
      <c r="NGL290" s="22"/>
      <c r="NGM290" s="22"/>
      <c r="NGN290" s="22"/>
      <c r="NGO290" s="22"/>
      <c r="NGP290" s="22"/>
      <c r="NGQ290" s="22"/>
      <c r="NGR290" s="22"/>
      <c r="NGS290" s="22"/>
      <c r="NGT290" s="22"/>
      <c r="NGU290" s="22"/>
      <c r="NGV290" s="22"/>
      <c r="NGW290" s="22"/>
      <c r="NGX290" s="22"/>
      <c r="NGY290" s="22"/>
      <c r="NGZ290" s="22"/>
      <c r="NHA290" s="22"/>
      <c r="NHB290" s="22"/>
      <c r="NHC290" s="22"/>
      <c r="NHD290" s="22"/>
      <c r="NHE290" s="22"/>
      <c r="NHF290" s="22"/>
      <c r="NHG290" s="22"/>
      <c r="NHH290" s="22"/>
      <c r="NHI290" s="22"/>
      <c r="NHJ290" s="22"/>
      <c r="NHK290" s="22"/>
      <c r="NHL290" s="22"/>
      <c r="NHM290" s="22"/>
      <c r="NHN290" s="22"/>
      <c r="NHO290" s="22"/>
      <c r="NHP290" s="22"/>
      <c r="NHQ290" s="22"/>
      <c r="NHR290" s="22"/>
      <c r="NHS290" s="22"/>
      <c r="NHT290" s="22"/>
      <c r="NHU290" s="22"/>
      <c r="NHV290" s="22"/>
      <c r="NHW290" s="22"/>
      <c r="NHX290" s="22"/>
      <c r="NHY290" s="22"/>
      <c r="NHZ290" s="22"/>
      <c r="NIA290" s="22"/>
      <c r="NIB290" s="22"/>
      <c r="NIC290" s="22"/>
      <c r="NID290" s="22"/>
      <c r="NIE290" s="22"/>
      <c r="NIF290" s="22"/>
      <c r="NIG290" s="22"/>
      <c r="NIH290" s="22"/>
      <c r="NII290" s="22"/>
      <c r="NIJ290" s="22"/>
      <c r="NIK290" s="22"/>
      <c r="NIL290" s="22"/>
      <c r="NIM290" s="22"/>
      <c r="NIN290" s="22"/>
      <c r="NIO290" s="22"/>
      <c r="NIP290" s="22"/>
      <c r="NIQ290" s="22"/>
      <c r="NIR290" s="22"/>
      <c r="NIS290" s="22"/>
      <c r="NIT290" s="22"/>
      <c r="NIU290" s="22"/>
      <c r="NIV290" s="22"/>
      <c r="NIW290" s="22"/>
      <c r="NIX290" s="22"/>
      <c r="NIY290" s="22"/>
      <c r="NIZ290" s="22"/>
      <c r="NJA290" s="22"/>
      <c r="NJB290" s="22"/>
      <c r="NJC290" s="22"/>
      <c r="NJD290" s="22"/>
      <c r="NJE290" s="22"/>
      <c r="NJF290" s="22"/>
      <c r="NJG290" s="22"/>
      <c r="NJH290" s="22"/>
      <c r="NJI290" s="22"/>
      <c r="NJJ290" s="22"/>
      <c r="NJK290" s="22"/>
      <c r="NJL290" s="22"/>
      <c r="NJM290" s="22"/>
      <c r="NJN290" s="22"/>
      <c r="NJO290" s="22"/>
      <c r="NJP290" s="22"/>
      <c r="NJQ290" s="22"/>
      <c r="NJR290" s="22"/>
      <c r="NJS290" s="22"/>
      <c r="NJT290" s="22"/>
      <c r="NJU290" s="22"/>
      <c r="NJV290" s="22"/>
      <c r="NJW290" s="22"/>
      <c r="NJX290" s="22"/>
      <c r="NJY290" s="22"/>
      <c r="NJZ290" s="22"/>
      <c r="NKA290" s="22"/>
      <c r="NKB290" s="22"/>
      <c r="NKC290" s="22"/>
      <c r="NKD290" s="22"/>
      <c r="NKE290" s="22"/>
      <c r="NKF290" s="22"/>
      <c r="NKG290" s="22"/>
      <c r="NKH290" s="22"/>
      <c r="NKI290" s="22"/>
      <c r="NKJ290" s="22"/>
      <c r="NKK290" s="22"/>
      <c r="NKL290" s="22"/>
      <c r="NKM290" s="22"/>
      <c r="NKN290" s="22"/>
      <c r="NKO290" s="22"/>
      <c r="NKP290" s="22"/>
      <c r="NKQ290" s="22"/>
      <c r="NKR290" s="22"/>
      <c r="NKS290" s="22"/>
      <c r="NKT290" s="22"/>
      <c r="NKU290" s="22"/>
      <c r="NKV290" s="22"/>
      <c r="NKW290" s="22"/>
      <c r="NKX290" s="22"/>
      <c r="NKY290" s="22"/>
      <c r="NKZ290" s="22"/>
      <c r="NLA290" s="22"/>
      <c r="NLB290" s="22"/>
      <c r="NLC290" s="22"/>
      <c r="NLD290" s="22"/>
      <c r="NLE290" s="22"/>
      <c r="NLF290" s="22"/>
      <c r="NLG290" s="22"/>
      <c r="NLH290" s="22"/>
      <c r="NLI290" s="22"/>
      <c r="NLJ290" s="22"/>
      <c r="NLK290" s="22"/>
      <c r="NLL290" s="22"/>
      <c r="NLM290" s="22"/>
      <c r="NLN290" s="22"/>
      <c r="NLO290" s="22"/>
      <c r="NLP290" s="22"/>
      <c r="NLQ290" s="22"/>
      <c r="NLR290" s="22"/>
      <c r="NLS290" s="22"/>
      <c r="NLT290" s="22"/>
      <c r="NLU290" s="22"/>
      <c r="NLV290" s="22"/>
      <c r="NLW290" s="22"/>
      <c r="NLX290" s="22"/>
      <c r="NLY290" s="22"/>
      <c r="NLZ290" s="22"/>
      <c r="NMA290" s="22"/>
      <c r="NMB290" s="22"/>
      <c r="NMC290" s="22"/>
      <c r="NMD290" s="22"/>
      <c r="NME290" s="22"/>
      <c r="NMF290" s="22"/>
      <c r="NMG290" s="22"/>
      <c r="NMH290" s="22"/>
      <c r="NMI290" s="22"/>
      <c r="NMJ290" s="22"/>
      <c r="NMK290" s="22"/>
      <c r="NML290" s="22"/>
      <c r="NMM290" s="22"/>
      <c r="NMN290" s="22"/>
      <c r="NMO290" s="22"/>
      <c r="NMP290" s="22"/>
      <c r="NMQ290" s="22"/>
      <c r="NMR290" s="22"/>
      <c r="NMS290" s="22"/>
      <c r="NMT290" s="22"/>
      <c r="NMU290" s="22"/>
      <c r="NMV290" s="22"/>
      <c r="NMW290" s="22"/>
      <c r="NMX290" s="22"/>
      <c r="NMY290" s="22"/>
      <c r="NMZ290" s="22"/>
      <c r="NNA290" s="22"/>
      <c r="NNB290" s="22"/>
      <c r="NNC290" s="22"/>
      <c r="NND290" s="22"/>
      <c r="NNE290" s="22"/>
      <c r="NNF290" s="22"/>
      <c r="NNG290" s="22"/>
      <c r="NNH290" s="22"/>
      <c r="NNI290" s="22"/>
      <c r="NNJ290" s="22"/>
      <c r="NNK290" s="22"/>
      <c r="NNL290" s="22"/>
      <c r="NNM290" s="22"/>
      <c r="NNN290" s="22"/>
      <c r="NNO290" s="22"/>
      <c r="NNP290" s="22"/>
      <c r="NNQ290" s="22"/>
      <c r="NNR290" s="22"/>
      <c r="NNS290" s="22"/>
      <c r="NNT290" s="22"/>
      <c r="NNU290" s="22"/>
      <c r="NNV290" s="22"/>
      <c r="NNW290" s="22"/>
      <c r="NNX290" s="22"/>
      <c r="NNY290" s="22"/>
      <c r="NNZ290" s="22"/>
      <c r="NOA290" s="22"/>
      <c r="NOB290" s="22"/>
      <c r="NOC290" s="22"/>
      <c r="NOD290" s="22"/>
      <c r="NOE290" s="22"/>
      <c r="NOF290" s="22"/>
      <c r="NOG290" s="22"/>
      <c r="NOH290" s="22"/>
      <c r="NOI290" s="22"/>
      <c r="NOJ290" s="22"/>
      <c r="NOK290" s="22"/>
      <c r="NOL290" s="22"/>
      <c r="NOM290" s="22"/>
      <c r="NON290" s="22"/>
      <c r="NOO290" s="22"/>
      <c r="NOP290" s="22"/>
      <c r="NOQ290" s="22"/>
      <c r="NOR290" s="22"/>
      <c r="NOS290" s="22"/>
      <c r="NOT290" s="22"/>
      <c r="NOU290" s="22"/>
      <c r="NOV290" s="22"/>
      <c r="NOW290" s="22"/>
      <c r="NOX290" s="22"/>
      <c r="NOY290" s="22"/>
      <c r="NOZ290" s="22"/>
      <c r="NPA290" s="22"/>
      <c r="NPB290" s="22"/>
      <c r="NPC290" s="22"/>
      <c r="NPD290" s="22"/>
      <c r="NPE290" s="22"/>
      <c r="NPF290" s="22"/>
      <c r="NPG290" s="22"/>
      <c r="NPH290" s="22"/>
      <c r="NPI290" s="22"/>
      <c r="NPJ290" s="22"/>
      <c r="NPK290" s="22"/>
      <c r="NPL290" s="22"/>
      <c r="NPM290" s="22"/>
      <c r="NPN290" s="22"/>
      <c r="NPO290" s="22"/>
      <c r="NPP290" s="22"/>
      <c r="NPQ290" s="22"/>
      <c r="NPR290" s="22"/>
      <c r="NPS290" s="22"/>
      <c r="NPT290" s="22"/>
      <c r="NPU290" s="22"/>
      <c r="NPV290" s="22"/>
      <c r="NPW290" s="22"/>
      <c r="NPX290" s="22"/>
      <c r="NPY290" s="22"/>
      <c r="NPZ290" s="22"/>
      <c r="NQA290" s="22"/>
      <c r="NQB290" s="22"/>
      <c r="NQC290" s="22"/>
      <c r="NQD290" s="22"/>
      <c r="NQE290" s="22"/>
      <c r="NQF290" s="22"/>
      <c r="NQG290" s="22"/>
      <c r="NQH290" s="22"/>
      <c r="NQI290" s="22"/>
      <c r="NQJ290" s="22"/>
      <c r="NQK290" s="22"/>
      <c r="NQL290" s="22"/>
      <c r="NQM290" s="22"/>
      <c r="NQN290" s="22"/>
      <c r="NQO290" s="22"/>
      <c r="NQP290" s="22"/>
      <c r="NQQ290" s="22"/>
      <c r="NQR290" s="22"/>
      <c r="NQS290" s="22"/>
      <c r="NQT290" s="22"/>
      <c r="NQU290" s="22"/>
      <c r="NQV290" s="22"/>
      <c r="NQW290" s="22"/>
      <c r="NQX290" s="22"/>
      <c r="NQY290" s="22"/>
      <c r="NQZ290" s="22"/>
      <c r="NRA290" s="22"/>
      <c r="NRB290" s="22"/>
      <c r="NRC290" s="22"/>
      <c r="NRD290" s="22"/>
      <c r="NRE290" s="22"/>
      <c r="NRF290" s="22"/>
      <c r="NRG290" s="22"/>
      <c r="NRH290" s="22"/>
      <c r="NRI290" s="22"/>
      <c r="NRJ290" s="22"/>
      <c r="NRK290" s="22"/>
      <c r="NRL290" s="22"/>
      <c r="NRM290" s="22"/>
      <c r="NRN290" s="22"/>
      <c r="NRO290" s="22"/>
      <c r="NRP290" s="22"/>
      <c r="NRQ290" s="22"/>
      <c r="NRR290" s="22"/>
      <c r="NRS290" s="22"/>
      <c r="NRT290" s="22"/>
      <c r="NRU290" s="22"/>
      <c r="NRV290" s="22"/>
      <c r="NRW290" s="22"/>
      <c r="NRX290" s="22"/>
      <c r="NRY290" s="22"/>
      <c r="NRZ290" s="22"/>
      <c r="NSA290" s="22"/>
      <c r="NSB290" s="22"/>
      <c r="NSC290" s="22"/>
      <c r="NSD290" s="22"/>
      <c r="NSE290" s="22"/>
      <c r="NSF290" s="22"/>
      <c r="NSG290" s="22"/>
      <c r="NSH290" s="22"/>
      <c r="NSI290" s="22"/>
      <c r="NSJ290" s="22"/>
      <c r="NSK290" s="22"/>
      <c r="NSL290" s="22"/>
      <c r="NSM290" s="22"/>
      <c r="NSN290" s="22"/>
      <c r="NSO290" s="22"/>
      <c r="NSP290" s="22"/>
      <c r="NSQ290" s="22"/>
      <c r="NSR290" s="22"/>
      <c r="NSS290" s="22"/>
      <c r="NST290" s="22"/>
      <c r="NSU290" s="22"/>
      <c r="NSV290" s="22"/>
      <c r="NSW290" s="22"/>
      <c r="NSX290" s="22"/>
      <c r="NSY290" s="22"/>
      <c r="NSZ290" s="22"/>
      <c r="NTA290" s="22"/>
      <c r="NTB290" s="22"/>
      <c r="NTC290" s="22"/>
      <c r="NTD290" s="22"/>
      <c r="NTE290" s="22"/>
      <c r="NTF290" s="22"/>
      <c r="NTG290" s="22"/>
      <c r="NTH290" s="22"/>
      <c r="NTI290" s="22"/>
      <c r="NTJ290" s="22"/>
      <c r="NTK290" s="22"/>
      <c r="NTL290" s="22"/>
      <c r="NTM290" s="22"/>
      <c r="NTN290" s="22"/>
      <c r="NTO290" s="22"/>
      <c r="NTP290" s="22"/>
      <c r="NTQ290" s="22"/>
      <c r="NTR290" s="22"/>
      <c r="NTS290" s="22"/>
      <c r="NTT290" s="22"/>
      <c r="NTU290" s="22"/>
      <c r="NTV290" s="22"/>
      <c r="NTW290" s="22"/>
      <c r="NTX290" s="22"/>
      <c r="NTY290" s="22"/>
      <c r="NTZ290" s="22"/>
      <c r="NUA290" s="22"/>
      <c r="NUB290" s="22"/>
      <c r="NUC290" s="22"/>
      <c r="NUD290" s="22"/>
      <c r="NUE290" s="22"/>
      <c r="NUF290" s="22"/>
      <c r="NUG290" s="22"/>
      <c r="NUH290" s="22"/>
      <c r="NUI290" s="22"/>
      <c r="NUJ290" s="22"/>
      <c r="NUK290" s="22"/>
      <c r="NUL290" s="22"/>
      <c r="NUM290" s="22"/>
      <c r="NUN290" s="22"/>
      <c r="NUO290" s="22"/>
      <c r="NUP290" s="22"/>
      <c r="NUQ290" s="22"/>
      <c r="NUR290" s="22"/>
      <c r="NUS290" s="22"/>
      <c r="NUT290" s="22"/>
      <c r="NUU290" s="22"/>
      <c r="NUV290" s="22"/>
      <c r="NUW290" s="22"/>
      <c r="NUX290" s="22"/>
      <c r="NUY290" s="22"/>
      <c r="NUZ290" s="22"/>
      <c r="NVA290" s="22"/>
      <c r="NVB290" s="22"/>
      <c r="NVC290" s="22"/>
      <c r="NVD290" s="22"/>
      <c r="NVE290" s="22"/>
      <c r="NVF290" s="22"/>
      <c r="NVG290" s="22"/>
      <c r="NVH290" s="22"/>
      <c r="NVI290" s="22"/>
      <c r="NVJ290" s="22"/>
      <c r="NVK290" s="22"/>
      <c r="NVL290" s="22"/>
      <c r="NVM290" s="22"/>
      <c r="NVN290" s="22"/>
      <c r="NVO290" s="22"/>
      <c r="NVP290" s="22"/>
      <c r="NVQ290" s="22"/>
      <c r="NVR290" s="22"/>
      <c r="NVS290" s="22"/>
      <c r="NVT290" s="22"/>
      <c r="NVU290" s="22"/>
      <c r="NVV290" s="22"/>
      <c r="NVW290" s="22"/>
      <c r="NVX290" s="22"/>
      <c r="NVY290" s="22"/>
      <c r="NVZ290" s="22"/>
      <c r="NWA290" s="22"/>
      <c r="NWB290" s="22"/>
      <c r="NWC290" s="22"/>
      <c r="NWD290" s="22"/>
      <c r="NWE290" s="22"/>
      <c r="NWF290" s="22"/>
      <c r="NWG290" s="22"/>
      <c r="NWH290" s="22"/>
      <c r="NWI290" s="22"/>
      <c r="NWJ290" s="22"/>
      <c r="NWK290" s="22"/>
      <c r="NWL290" s="22"/>
      <c r="NWM290" s="22"/>
      <c r="NWN290" s="22"/>
      <c r="NWO290" s="22"/>
      <c r="NWP290" s="22"/>
      <c r="NWQ290" s="22"/>
      <c r="NWR290" s="22"/>
      <c r="NWS290" s="22"/>
      <c r="NWT290" s="22"/>
      <c r="NWU290" s="22"/>
      <c r="NWV290" s="22"/>
      <c r="NWW290" s="22"/>
      <c r="NWX290" s="22"/>
      <c r="NWY290" s="22"/>
      <c r="NWZ290" s="22"/>
      <c r="NXA290" s="22"/>
      <c r="NXB290" s="22"/>
      <c r="NXC290" s="22"/>
      <c r="NXD290" s="22"/>
      <c r="NXE290" s="22"/>
      <c r="NXF290" s="22"/>
      <c r="NXG290" s="22"/>
      <c r="NXH290" s="22"/>
      <c r="NXI290" s="22"/>
      <c r="NXJ290" s="22"/>
      <c r="NXK290" s="22"/>
      <c r="NXL290" s="22"/>
      <c r="NXM290" s="22"/>
      <c r="NXN290" s="22"/>
      <c r="NXO290" s="22"/>
      <c r="NXP290" s="22"/>
      <c r="NXQ290" s="22"/>
      <c r="NXR290" s="22"/>
      <c r="NXS290" s="22"/>
      <c r="NXT290" s="22"/>
      <c r="NXU290" s="22"/>
      <c r="NXV290" s="22"/>
      <c r="NXW290" s="22"/>
      <c r="NXX290" s="22"/>
      <c r="NXY290" s="22"/>
      <c r="NXZ290" s="22"/>
      <c r="NYA290" s="22"/>
      <c r="NYB290" s="22"/>
      <c r="NYC290" s="22"/>
      <c r="NYD290" s="22"/>
      <c r="NYE290" s="22"/>
      <c r="NYF290" s="22"/>
      <c r="NYG290" s="22"/>
      <c r="NYH290" s="22"/>
      <c r="NYI290" s="22"/>
      <c r="NYJ290" s="22"/>
      <c r="NYK290" s="22"/>
      <c r="NYL290" s="22"/>
      <c r="NYM290" s="22"/>
      <c r="NYN290" s="22"/>
      <c r="NYO290" s="22"/>
      <c r="NYP290" s="22"/>
      <c r="NYQ290" s="22"/>
      <c r="NYR290" s="22"/>
      <c r="NYS290" s="22"/>
      <c r="NYT290" s="22"/>
      <c r="NYU290" s="22"/>
      <c r="NYV290" s="22"/>
      <c r="NYW290" s="22"/>
      <c r="NYX290" s="22"/>
      <c r="NYY290" s="22"/>
      <c r="NYZ290" s="22"/>
      <c r="NZA290" s="22"/>
      <c r="NZB290" s="22"/>
      <c r="NZC290" s="22"/>
      <c r="NZD290" s="22"/>
      <c r="NZE290" s="22"/>
      <c r="NZF290" s="22"/>
      <c r="NZG290" s="22"/>
      <c r="NZH290" s="22"/>
      <c r="NZI290" s="22"/>
      <c r="NZJ290" s="22"/>
      <c r="NZK290" s="22"/>
      <c r="NZL290" s="22"/>
      <c r="NZM290" s="22"/>
      <c r="NZN290" s="22"/>
      <c r="NZO290" s="22"/>
      <c r="NZP290" s="22"/>
      <c r="NZQ290" s="22"/>
      <c r="NZR290" s="22"/>
      <c r="NZS290" s="22"/>
      <c r="NZT290" s="22"/>
      <c r="NZU290" s="22"/>
      <c r="NZV290" s="22"/>
      <c r="NZW290" s="22"/>
      <c r="NZX290" s="22"/>
      <c r="NZY290" s="22"/>
      <c r="NZZ290" s="22"/>
      <c r="OAA290" s="22"/>
      <c r="OAB290" s="22"/>
      <c r="OAC290" s="22"/>
      <c r="OAD290" s="22"/>
      <c r="OAE290" s="22"/>
      <c r="OAF290" s="22"/>
      <c r="OAG290" s="22"/>
      <c r="OAH290" s="22"/>
      <c r="OAI290" s="22"/>
      <c r="OAJ290" s="22"/>
      <c r="OAK290" s="22"/>
      <c r="OAL290" s="22"/>
      <c r="OAM290" s="22"/>
      <c r="OAN290" s="22"/>
      <c r="OAO290" s="22"/>
      <c r="OAP290" s="22"/>
      <c r="OAQ290" s="22"/>
      <c r="OAR290" s="22"/>
      <c r="OAS290" s="22"/>
      <c r="OAT290" s="22"/>
      <c r="OAU290" s="22"/>
      <c r="OAV290" s="22"/>
      <c r="OAW290" s="22"/>
      <c r="OAX290" s="22"/>
      <c r="OAY290" s="22"/>
      <c r="OAZ290" s="22"/>
      <c r="OBA290" s="22"/>
      <c r="OBB290" s="22"/>
      <c r="OBC290" s="22"/>
      <c r="OBD290" s="22"/>
      <c r="OBE290" s="22"/>
      <c r="OBF290" s="22"/>
      <c r="OBG290" s="22"/>
      <c r="OBH290" s="22"/>
      <c r="OBI290" s="22"/>
      <c r="OBJ290" s="22"/>
      <c r="OBK290" s="22"/>
      <c r="OBL290" s="22"/>
      <c r="OBM290" s="22"/>
      <c r="OBN290" s="22"/>
      <c r="OBO290" s="22"/>
      <c r="OBP290" s="22"/>
      <c r="OBQ290" s="22"/>
      <c r="OBR290" s="22"/>
      <c r="OBS290" s="22"/>
      <c r="OBT290" s="22"/>
      <c r="OBU290" s="22"/>
      <c r="OBV290" s="22"/>
      <c r="OBW290" s="22"/>
      <c r="OBX290" s="22"/>
      <c r="OBY290" s="22"/>
      <c r="OBZ290" s="22"/>
      <c r="OCA290" s="22"/>
      <c r="OCB290" s="22"/>
      <c r="OCC290" s="22"/>
      <c r="OCD290" s="22"/>
      <c r="OCE290" s="22"/>
      <c r="OCF290" s="22"/>
      <c r="OCG290" s="22"/>
      <c r="OCH290" s="22"/>
      <c r="OCI290" s="22"/>
      <c r="OCJ290" s="22"/>
      <c r="OCK290" s="22"/>
      <c r="OCL290" s="22"/>
      <c r="OCM290" s="22"/>
      <c r="OCN290" s="22"/>
      <c r="OCO290" s="22"/>
      <c r="OCP290" s="22"/>
      <c r="OCQ290" s="22"/>
      <c r="OCR290" s="22"/>
      <c r="OCS290" s="22"/>
      <c r="OCT290" s="22"/>
      <c r="OCU290" s="22"/>
      <c r="OCV290" s="22"/>
      <c r="OCW290" s="22"/>
      <c r="OCX290" s="22"/>
      <c r="OCY290" s="22"/>
      <c r="OCZ290" s="22"/>
      <c r="ODA290" s="22"/>
      <c r="ODB290" s="22"/>
      <c r="ODC290" s="22"/>
      <c r="ODD290" s="22"/>
      <c r="ODE290" s="22"/>
      <c r="ODF290" s="22"/>
      <c r="ODG290" s="22"/>
      <c r="ODH290" s="22"/>
      <c r="ODI290" s="22"/>
      <c r="ODJ290" s="22"/>
      <c r="ODK290" s="22"/>
      <c r="ODL290" s="22"/>
      <c r="ODM290" s="22"/>
      <c r="ODN290" s="22"/>
      <c r="ODO290" s="22"/>
      <c r="ODP290" s="22"/>
      <c r="ODQ290" s="22"/>
      <c r="ODR290" s="22"/>
      <c r="ODS290" s="22"/>
      <c r="ODT290" s="22"/>
      <c r="ODU290" s="22"/>
      <c r="ODV290" s="22"/>
      <c r="ODW290" s="22"/>
      <c r="ODX290" s="22"/>
      <c r="ODY290" s="22"/>
      <c r="ODZ290" s="22"/>
      <c r="OEA290" s="22"/>
      <c r="OEB290" s="22"/>
      <c r="OEC290" s="22"/>
      <c r="OED290" s="22"/>
      <c r="OEE290" s="22"/>
      <c r="OEF290" s="22"/>
      <c r="OEG290" s="22"/>
      <c r="OEH290" s="22"/>
      <c r="OEI290" s="22"/>
      <c r="OEJ290" s="22"/>
      <c r="OEK290" s="22"/>
      <c r="OEL290" s="22"/>
      <c r="OEM290" s="22"/>
      <c r="OEN290" s="22"/>
      <c r="OEO290" s="22"/>
      <c r="OEP290" s="22"/>
      <c r="OEQ290" s="22"/>
      <c r="OER290" s="22"/>
      <c r="OES290" s="22"/>
      <c r="OET290" s="22"/>
      <c r="OEU290" s="22"/>
      <c r="OEV290" s="22"/>
      <c r="OEW290" s="22"/>
      <c r="OEX290" s="22"/>
      <c r="OEY290" s="22"/>
      <c r="OEZ290" s="22"/>
      <c r="OFA290" s="22"/>
      <c r="OFB290" s="22"/>
      <c r="OFC290" s="22"/>
      <c r="OFD290" s="22"/>
      <c r="OFE290" s="22"/>
      <c r="OFF290" s="22"/>
      <c r="OFG290" s="22"/>
      <c r="OFH290" s="22"/>
      <c r="OFI290" s="22"/>
      <c r="OFJ290" s="22"/>
      <c r="OFK290" s="22"/>
      <c r="OFL290" s="22"/>
      <c r="OFM290" s="22"/>
      <c r="OFN290" s="22"/>
      <c r="OFO290" s="22"/>
      <c r="OFP290" s="22"/>
      <c r="OFQ290" s="22"/>
      <c r="OFR290" s="22"/>
      <c r="OFS290" s="22"/>
      <c r="OFT290" s="22"/>
      <c r="OFU290" s="22"/>
      <c r="OFV290" s="22"/>
      <c r="OFW290" s="22"/>
      <c r="OFX290" s="22"/>
      <c r="OFY290" s="22"/>
      <c r="OFZ290" s="22"/>
      <c r="OGA290" s="22"/>
      <c r="OGB290" s="22"/>
      <c r="OGC290" s="22"/>
      <c r="OGD290" s="22"/>
      <c r="OGE290" s="22"/>
      <c r="OGF290" s="22"/>
      <c r="OGG290" s="22"/>
      <c r="OGH290" s="22"/>
      <c r="OGI290" s="22"/>
      <c r="OGJ290" s="22"/>
      <c r="OGK290" s="22"/>
      <c r="OGL290" s="22"/>
      <c r="OGM290" s="22"/>
      <c r="OGN290" s="22"/>
      <c r="OGO290" s="22"/>
      <c r="OGP290" s="22"/>
      <c r="OGQ290" s="22"/>
      <c r="OGR290" s="22"/>
      <c r="OGS290" s="22"/>
      <c r="OGT290" s="22"/>
      <c r="OGU290" s="22"/>
      <c r="OGV290" s="22"/>
      <c r="OGW290" s="22"/>
      <c r="OGX290" s="22"/>
      <c r="OGY290" s="22"/>
      <c r="OGZ290" s="22"/>
      <c r="OHA290" s="22"/>
      <c r="OHB290" s="22"/>
      <c r="OHC290" s="22"/>
      <c r="OHD290" s="22"/>
      <c r="OHE290" s="22"/>
      <c r="OHF290" s="22"/>
      <c r="OHG290" s="22"/>
      <c r="OHH290" s="22"/>
      <c r="OHI290" s="22"/>
      <c r="OHJ290" s="22"/>
      <c r="OHK290" s="22"/>
      <c r="OHL290" s="22"/>
      <c r="OHM290" s="22"/>
      <c r="OHN290" s="22"/>
      <c r="OHO290" s="22"/>
      <c r="OHP290" s="22"/>
      <c r="OHQ290" s="22"/>
      <c r="OHR290" s="22"/>
      <c r="OHS290" s="22"/>
      <c r="OHT290" s="22"/>
      <c r="OHU290" s="22"/>
      <c r="OHV290" s="22"/>
      <c r="OHW290" s="22"/>
      <c r="OHX290" s="22"/>
      <c r="OHY290" s="22"/>
      <c r="OHZ290" s="22"/>
      <c r="OIA290" s="22"/>
      <c r="OIB290" s="22"/>
      <c r="OIC290" s="22"/>
      <c r="OID290" s="22"/>
      <c r="OIE290" s="22"/>
      <c r="OIF290" s="22"/>
      <c r="OIG290" s="22"/>
      <c r="OIH290" s="22"/>
      <c r="OII290" s="22"/>
      <c r="OIJ290" s="22"/>
      <c r="OIK290" s="22"/>
      <c r="OIL290" s="22"/>
      <c r="OIM290" s="22"/>
      <c r="OIN290" s="22"/>
      <c r="OIO290" s="22"/>
      <c r="OIP290" s="22"/>
      <c r="OIQ290" s="22"/>
      <c r="OIR290" s="22"/>
      <c r="OIS290" s="22"/>
      <c r="OIT290" s="22"/>
      <c r="OIU290" s="22"/>
      <c r="OIV290" s="22"/>
      <c r="OIW290" s="22"/>
      <c r="OIX290" s="22"/>
      <c r="OIY290" s="22"/>
      <c r="OIZ290" s="22"/>
      <c r="OJA290" s="22"/>
      <c r="OJB290" s="22"/>
      <c r="OJC290" s="22"/>
      <c r="OJD290" s="22"/>
      <c r="OJE290" s="22"/>
      <c r="OJF290" s="22"/>
      <c r="OJG290" s="22"/>
      <c r="OJH290" s="22"/>
      <c r="OJI290" s="22"/>
      <c r="OJJ290" s="22"/>
      <c r="OJK290" s="22"/>
      <c r="OJL290" s="22"/>
      <c r="OJM290" s="22"/>
      <c r="OJN290" s="22"/>
      <c r="OJO290" s="22"/>
      <c r="OJP290" s="22"/>
      <c r="OJQ290" s="22"/>
      <c r="OJR290" s="22"/>
      <c r="OJS290" s="22"/>
      <c r="OJT290" s="22"/>
      <c r="OJU290" s="22"/>
      <c r="OJV290" s="22"/>
      <c r="OJW290" s="22"/>
      <c r="OJX290" s="22"/>
      <c r="OJY290" s="22"/>
      <c r="OJZ290" s="22"/>
      <c r="OKA290" s="22"/>
      <c r="OKB290" s="22"/>
      <c r="OKC290" s="22"/>
      <c r="OKD290" s="22"/>
      <c r="OKE290" s="22"/>
      <c r="OKF290" s="22"/>
      <c r="OKG290" s="22"/>
      <c r="OKH290" s="22"/>
      <c r="OKI290" s="22"/>
      <c r="OKJ290" s="22"/>
      <c r="OKK290" s="22"/>
      <c r="OKL290" s="22"/>
      <c r="OKM290" s="22"/>
      <c r="OKN290" s="22"/>
      <c r="OKO290" s="22"/>
      <c r="OKP290" s="22"/>
      <c r="OKQ290" s="22"/>
      <c r="OKR290" s="22"/>
      <c r="OKS290" s="22"/>
      <c r="OKT290" s="22"/>
      <c r="OKU290" s="22"/>
      <c r="OKV290" s="22"/>
      <c r="OKW290" s="22"/>
      <c r="OKX290" s="22"/>
      <c r="OKY290" s="22"/>
      <c r="OKZ290" s="22"/>
      <c r="OLA290" s="22"/>
      <c r="OLB290" s="22"/>
      <c r="OLC290" s="22"/>
      <c r="OLD290" s="22"/>
      <c r="OLE290" s="22"/>
      <c r="OLF290" s="22"/>
      <c r="OLG290" s="22"/>
      <c r="OLH290" s="22"/>
      <c r="OLI290" s="22"/>
      <c r="OLJ290" s="22"/>
      <c r="OLK290" s="22"/>
      <c r="OLL290" s="22"/>
      <c r="OLM290" s="22"/>
      <c r="OLN290" s="22"/>
      <c r="OLO290" s="22"/>
      <c r="OLP290" s="22"/>
      <c r="OLQ290" s="22"/>
      <c r="OLR290" s="22"/>
      <c r="OLS290" s="22"/>
      <c r="OLT290" s="22"/>
      <c r="OLU290" s="22"/>
      <c r="OLV290" s="22"/>
      <c r="OLW290" s="22"/>
      <c r="OLX290" s="22"/>
      <c r="OLY290" s="22"/>
      <c r="OLZ290" s="22"/>
      <c r="OMA290" s="22"/>
      <c r="OMB290" s="22"/>
      <c r="OMC290" s="22"/>
      <c r="OMD290" s="22"/>
      <c r="OME290" s="22"/>
      <c r="OMF290" s="22"/>
      <c r="OMG290" s="22"/>
      <c r="OMH290" s="22"/>
      <c r="OMI290" s="22"/>
      <c r="OMJ290" s="22"/>
      <c r="OMK290" s="22"/>
      <c r="OML290" s="22"/>
      <c r="OMM290" s="22"/>
      <c r="OMN290" s="22"/>
      <c r="OMO290" s="22"/>
      <c r="OMP290" s="22"/>
      <c r="OMQ290" s="22"/>
      <c r="OMR290" s="22"/>
      <c r="OMS290" s="22"/>
      <c r="OMT290" s="22"/>
      <c r="OMU290" s="22"/>
      <c r="OMV290" s="22"/>
      <c r="OMW290" s="22"/>
      <c r="OMX290" s="22"/>
      <c r="OMY290" s="22"/>
      <c r="OMZ290" s="22"/>
      <c r="ONA290" s="22"/>
      <c r="ONB290" s="22"/>
      <c r="ONC290" s="22"/>
      <c r="OND290" s="22"/>
      <c r="ONE290" s="22"/>
      <c r="ONF290" s="22"/>
      <c r="ONG290" s="22"/>
      <c r="ONH290" s="22"/>
      <c r="ONI290" s="22"/>
      <c r="ONJ290" s="22"/>
      <c r="ONK290" s="22"/>
      <c r="ONL290" s="22"/>
      <c r="ONM290" s="22"/>
      <c r="ONN290" s="22"/>
      <c r="ONO290" s="22"/>
      <c r="ONP290" s="22"/>
      <c r="ONQ290" s="22"/>
      <c r="ONR290" s="22"/>
      <c r="ONS290" s="22"/>
      <c r="ONT290" s="22"/>
      <c r="ONU290" s="22"/>
      <c r="ONV290" s="22"/>
      <c r="ONW290" s="22"/>
      <c r="ONX290" s="22"/>
      <c r="ONY290" s="22"/>
      <c r="ONZ290" s="22"/>
      <c r="OOA290" s="22"/>
      <c r="OOB290" s="22"/>
      <c r="OOC290" s="22"/>
      <c r="OOD290" s="22"/>
      <c r="OOE290" s="22"/>
      <c r="OOF290" s="22"/>
      <c r="OOG290" s="22"/>
      <c r="OOH290" s="22"/>
      <c r="OOI290" s="22"/>
      <c r="OOJ290" s="22"/>
      <c r="OOK290" s="22"/>
      <c r="OOL290" s="22"/>
      <c r="OOM290" s="22"/>
      <c r="OON290" s="22"/>
      <c r="OOO290" s="22"/>
      <c r="OOP290" s="22"/>
      <c r="OOQ290" s="22"/>
      <c r="OOR290" s="22"/>
      <c r="OOS290" s="22"/>
      <c r="OOT290" s="22"/>
      <c r="OOU290" s="22"/>
      <c r="OOV290" s="22"/>
      <c r="OOW290" s="22"/>
      <c r="OOX290" s="22"/>
      <c r="OOY290" s="22"/>
      <c r="OOZ290" s="22"/>
      <c r="OPA290" s="22"/>
      <c r="OPB290" s="22"/>
      <c r="OPC290" s="22"/>
      <c r="OPD290" s="22"/>
      <c r="OPE290" s="22"/>
      <c r="OPF290" s="22"/>
      <c r="OPG290" s="22"/>
      <c r="OPH290" s="22"/>
      <c r="OPI290" s="22"/>
      <c r="OPJ290" s="22"/>
      <c r="OPK290" s="22"/>
      <c r="OPL290" s="22"/>
      <c r="OPM290" s="22"/>
      <c r="OPN290" s="22"/>
      <c r="OPO290" s="22"/>
      <c r="OPP290" s="22"/>
      <c r="OPQ290" s="22"/>
      <c r="OPR290" s="22"/>
      <c r="OPS290" s="22"/>
      <c r="OPT290" s="22"/>
      <c r="OPU290" s="22"/>
      <c r="OPV290" s="22"/>
      <c r="OPW290" s="22"/>
      <c r="OPX290" s="22"/>
      <c r="OPY290" s="22"/>
      <c r="OPZ290" s="22"/>
      <c r="OQA290" s="22"/>
      <c r="OQB290" s="22"/>
      <c r="OQC290" s="22"/>
      <c r="OQD290" s="22"/>
      <c r="OQE290" s="22"/>
      <c r="OQF290" s="22"/>
      <c r="OQG290" s="22"/>
      <c r="OQH290" s="22"/>
      <c r="OQI290" s="22"/>
      <c r="OQJ290" s="22"/>
      <c r="OQK290" s="22"/>
      <c r="OQL290" s="22"/>
      <c r="OQM290" s="22"/>
      <c r="OQN290" s="22"/>
      <c r="OQO290" s="22"/>
      <c r="OQP290" s="22"/>
      <c r="OQQ290" s="22"/>
      <c r="OQR290" s="22"/>
      <c r="OQS290" s="22"/>
      <c r="OQT290" s="22"/>
      <c r="OQU290" s="22"/>
      <c r="OQV290" s="22"/>
      <c r="OQW290" s="22"/>
      <c r="OQX290" s="22"/>
      <c r="OQY290" s="22"/>
      <c r="OQZ290" s="22"/>
      <c r="ORA290" s="22"/>
      <c r="ORB290" s="22"/>
      <c r="ORC290" s="22"/>
      <c r="ORD290" s="22"/>
      <c r="ORE290" s="22"/>
      <c r="ORF290" s="22"/>
      <c r="ORG290" s="22"/>
      <c r="ORH290" s="22"/>
      <c r="ORI290" s="22"/>
      <c r="ORJ290" s="22"/>
      <c r="ORK290" s="22"/>
      <c r="ORL290" s="22"/>
      <c r="ORM290" s="22"/>
      <c r="ORN290" s="22"/>
      <c r="ORO290" s="22"/>
      <c r="ORP290" s="22"/>
      <c r="ORQ290" s="22"/>
      <c r="ORR290" s="22"/>
      <c r="ORS290" s="22"/>
      <c r="ORT290" s="22"/>
      <c r="ORU290" s="22"/>
      <c r="ORV290" s="22"/>
      <c r="ORW290" s="22"/>
      <c r="ORX290" s="22"/>
      <c r="ORY290" s="22"/>
      <c r="ORZ290" s="22"/>
      <c r="OSA290" s="22"/>
      <c r="OSB290" s="22"/>
      <c r="OSC290" s="22"/>
      <c r="OSD290" s="22"/>
      <c r="OSE290" s="22"/>
      <c r="OSF290" s="22"/>
      <c r="OSG290" s="22"/>
      <c r="OSH290" s="22"/>
      <c r="OSI290" s="22"/>
      <c r="OSJ290" s="22"/>
      <c r="OSK290" s="22"/>
      <c r="OSL290" s="22"/>
      <c r="OSM290" s="22"/>
      <c r="OSN290" s="22"/>
      <c r="OSO290" s="22"/>
      <c r="OSP290" s="22"/>
      <c r="OSQ290" s="22"/>
      <c r="OSR290" s="22"/>
      <c r="OSS290" s="22"/>
      <c r="OST290" s="22"/>
      <c r="OSU290" s="22"/>
      <c r="OSV290" s="22"/>
      <c r="OSW290" s="22"/>
      <c r="OSX290" s="22"/>
      <c r="OSY290" s="22"/>
      <c r="OSZ290" s="22"/>
      <c r="OTA290" s="22"/>
      <c r="OTB290" s="22"/>
      <c r="OTC290" s="22"/>
      <c r="OTD290" s="22"/>
      <c r="OTE290" s="22"/>
      <c r="OTF290" s="22"/>
      <c r="OTG290" s="22"/>
      <c r="OTH290" s="22"/>
      <c r="OTI290" s="22"/>
      <c r="OTJ290" s="22"/>
      <c r="OTK290" s="22"/>
      <c r="OTL290" s="22"/>
      <c r="OTM290" s="22"/>
      <c r="OTN290" s="22"/>
      <c r="OTO290" s="22"/>
      <c r="OTP290" s="22"/>
      <c r="OTQ290" s="22"/>
      <c r="OTR290" s="22"/>
      <c r="OTS290" s="22"/>
      <c r="OTT290" s="22"/>
      <c r="OTU290" s="22"/>
      <c r="OTV290" s="22"/>
      <c r="OTW290" s="22"/>
      <c r="OTX290" s="22"/>
      <c r="OTY290" s="22"/>
      <c r="OTZ290" s="22"/>
      <c r="OUA290" s="22"/>
      <c r="OUB290" s="22"/>
      <c r="OUC290" s="22"/>
      <c r="OUD290" s="22"/>
      <c r="OUE290" s="22"/>
      <c r="OUF290" s="22"/>
      <c r="OUG290" s="22"/>
      <c r="OUH290" s="22"/>
      <c r="OUI290" s="22"/>
      <c r="OUJ290" s="22"/>
      <c r="OUK290" s="22"/>
      <c r="OUL290" s="22"/>
      <c r="OUM290" s="22"/>
      <c r="OUN290" s="22"/>
      <c r="OUO290" s="22"/>
      <c r="OUP290" s="22"/>
      <c r="OUQ290" s="22"/>
      <c r="OUR290" s="22"/>
      <c r="OUS290" s="22"/>
      <c r="OUT290" s="22"/>
      <c r="OUU290" s="22"/>
      <c r="OUV290" s="22"/>
      <c r="OUW290" s="22"/>
      <c r="OUX290" s="22"/>
      <c r="OUY290" s="22"/>
      <c r="OUZ290" s="22"/>
      <c r="OVA290" s="22"/>
      <c r="OVB290" s="22"/>
      <c r="OVC290" s="22"/>
      <c r="OVD290" s="22"/>
      <c r="OVE290" s="22"/>
      <c r="OVF290" s="22"/>
      <c r="OVG290" s="22"/>
      <c r="OVH290" s="22"/>
      <c r="OVI290" s="22"/>
      <c r="OVJ290" s="22"/>
      <c r="OVK290" s="22"/>
      <c r="OVL290" s="22"/>
      <c r="OVM290" s="22"/>
      <c r="OVN290" s="22"/>
      <c r="OVO290" s="22"/>
      <c r="OVP290" s="22"/>
      <c r="OVQ290" s="22"/>
      <c r="OVR290" s="22"/>
      <c r="OVS290" s="22"/>
      <c r="OVT290" s="22"/>
      <c r="OVU290" s="22"/>
      <c r="OVV290" s="22"/>
      <c r="OVW290" s="22"/>
      <c r="OVX290" s="22"/>
      <c r="OVY290" s="22"/>
      <c r="OVZ290" s="22"/>
      <c r="OWA290" s="22"/>
      <c r="OWB290" s="22"/>
      <c r="OWC290" s="22"/>
      <c r="OWD290" s="22"/>
      <c r="OWE290" s="22"/>
      <c r="OWF290" s="22"/>
      <c r="OWG290" s="22"/>
      <c r="OWH290" s="22"/>
      <c r="OWI290" s="22"/>
      <c r="OWJ290" s="22"/>
      <c r="OWK290" s="22"/>
      <c r="OWL290" s="22"/>
      <c r="OWM290" s="22"/>
      <c r="OWN290" s="22"/>
      <c r="OWO290" s="22"/>
      <c r="OWP290" s="22"/>
      <c r="OWQ290" s="22"/>
      <c r="OWR290" s="22"/>
      <c r="OWS290" s="22"/>
      <c r="OWT290" s="22"/>
      <c r="OWU290" s="22"/>
      <c r="OWV290" s="22"/>
      <c r="OWW290" s="22"/>
      <c r="OWX290" s="22"/>
      <c r="OWY290" s="22"/>
      <c r="OWZ290" s="22"/>
      <c r="OXA290" s="22"/>
      <c r="OXB290" s="22"/>
      <c r="OXC290" s="22"/>
      <c r="OXD290" s="22"/>
      <c r="OXE290" s="22"/>
      <c r="OXF290" s="22"/>
      <c r="OXG290" s="22"/>
      <c r="OXH290" s="22"/>
      <c r="OXI290" s="22"/>
      <c r="OXJ290" s="22"/>
      <c r="OXK290" s="22"/>
      <c r="OXL290" s="22"/>
      <c r="OXM290" s="22"/>
      <c r="OXN290" s="22"/>
      <c r="OXO290" s="22"/>
      <c r="OXP290" s="22"/>
      <c r="OXQ290" s="22"/>
      <c r="OXR290" s="22"/>
      <c r="OXS290" s="22"/>
      <c r="OXT290" s="22"/>
      <c r="OXU290" s="22"/>
      <c r="OXV290" s="22"/>
      <c r="OXW290" s="22"/>
      <c r="OXX290" s="22"/>
      <c r="OXY290" s="22"/>
      <c r="OXZ290" s="22"/>
      <c r="OYA290" s="22"/>
      <c r="OYB290" s="22"/>
      <c r="OYC290" s="22"/>
      <c r="OYD290" s="22"/>
      <c r="OYE290" s="22"/>
      <c r="OYF290" s="22"/>
      <c r="OYG290" s="22"/>
      <c r="OYH290" s="22"/>
      <c r="OYI290" s="22"/>
      <c r="OYJ290" s="22"/>
      <c r="OYK290" s="22"/>
      <c r="OYL290" s="22"/>
      <c r="OYM290" s="22"/>
      <c r="OYN290" s="22"/>
      <c r="OYO290" s="22"/>
      <c r="OYP290" s="22"/>
      <c r="OYQ290" s="22"/>
      <c r="OYR290" s="22"/>
      <c r="OYS290" s="22"/>
      <c r="OYT290" s="22"/>
      <c r="OYU290" s="22"/>
      <c r="OYV290" s="22"/>
      <c r="OYW290" s="22"/>
      <c r="OYX290" s="22"/>
      <c r="OYY290" s="22"/>
      <c r="OYZ290" s="22"/>
      <c r="OZA290" s="22"/>
      <c r="OZB290" s="22"/>
      <c r="OZC290" s="22"/>
      <c r="OZD290" s="22"/>
      <c r="OZE290" s="22"/>
      <c r="OZF290" s="22"/>
      <c r="OZG290" s="22"/>
      <c r="OZH290" s="22"/>
      <c r="OZI290" s="22"/>
      <c r="OZJ290" s="22"/>
      <c r="OZK290" s="22"/>
      <c r="OZL290" s="22"/>
      <c r="OZM290" s="22"/>
      <c r="OZN290" s="22"/>
      <c r="OZO290" s="22"/>
      <c r="OZP290" s="22"/>
      <c r="OZQ290" s="22"/>
      <c r="OZR290" s="22"/>
      <c r="OZS290" s="22"/>
      <c r="OZT290" s="22"/>
      <c r="OZU290" s="22"/>
      <c r="OZV290" s="22"/>
      <c r="OZW290" s="22"/>
      <c r="OZX290" s="22"/>
      <c r="OZY290" s="22"/>
      <c r="OZZ290" s="22"/>
      <c r="PAA290" s="22"/>
      <c r="PAB290" s="22"/>
      <c r="PAC290" s="22"/>
      <c r="PAD290" s="22"/>
      <c r="PAE290" s="22"/>
      <c r="PAF290" s="22"/>
      <c r="PAG290" s="22"/>
      <c r="PAH290" s="22"/>
      <c r="PAI290" s="22"/>
      <c r="PAJ290" s="22"/>
      <c r="PAK290" s="22"/>
      <c r="PAL290" s="22"/>
      <c r="PAM290" s="22"/>
      <c r="PAN290" s="22"/>
      <c r="PAO290" s="22"/>
      <c r="PAP290" s="22"/>
      <c r="PAQ290" s="22"/>
      <c r="PAR290" s="22"/>
      <c r="PAS290" s="22"/>
      <c r="PAT290" s="22"/>
      <c r="PAU290" s="22"/>
      <c r="PAV290" s="22"/>
      <c r="PAW290" s="22"/>
      <c r="PAX290" s="22"/>
      <c r="PAY290" s="22"/>
      <c r="PAZ290" s="22"/>
      <c r="PBA290" s="22"/>
      <c r="PBB290" s="22"/>
      <c r="PBC290" s="22"/>
      <c r="PBD290" s="22"/>
      <c r="PBE290" s="22"/>
      <c r="PBF290" s="22"/>
      <c r="PBG290" s="22"/>
      <c r="PBH290" s="22"/>
      <c r="PBI290" s="22"/>
      <c r="PBJ290" s="22"/>
      <c r="PBK290" s="22"/>
      <c r="PBL290" s="22"/>
      <c r="PBM290" s="22"/>
      <c r="PBN290" s="22"/>
      <c r="PBO290" s="22"/>
      <c r="PBP290" s="22"/>
      <c r="PBQ290" s="22"/>
      <c r="PBR290" s="22"/>
      <c r="PBS290" s="22"/>
      <c r="PBT290" s="22"/>
      <c r="PBU290" s="22"/>
      <c r="PBV290" s="22"/>
      <c r="PBW290" s="22"/>
      <c r="PBX290" s="22"/>
      <c r="PBY290" s="22"/>
      <c r="PBZ290" s="22"/>
      <c r="PCA290" s="22"/>
      <c r="PCB290" s="22"/>
      <c r="PCC290" s="22"/>
      <c r="PCD290" s="22"/>
      <c r="PCE290" s="22"/>
      <c r="PCF290" s="22"/>
      <c r="PCG290" s="22"/>
      <c r="PCH290" s="22"/>
      <c r="PCI290" s="22"/>
      <c r="PCJ290" s="22"/>
      <c r="PCK290" s="22"/>
      <c r="PCL290" s="22"/>
      <c r="PCM290" s="22"/>
      <c r="PCN290" s="22"/>
      <c r="PCO290" s="22"/>
      <c r="PCP290" s="22"/>
      <c r="PCQ290" s="22"/>
      <c r="PCR290" s="22"/>
      <c r="PCS290" s="22"/>
      <c r="PCT290" s="22"/>
      <c r="PCU290" s="22"/>
      <c r="PCV290" s="22"/>
      <c r="PCW290" s="22"/>
      <c r="PCX290" s="22"/>
      <c r="PCY290" s="22"/>
      <c r="PCZ290" s="22"/>
      <c r="PDA290" s="22"/>
      <c r="PDB290" s="22"/>
      <c r="PDC290" s="22"/>
      <c r="PDD290" s="22"/>
      <c r="PDE290" s="22"/>
      <c r="PDF290" s="22"/>
      <c r="PDG290" s="22"/>
      <c r="PDH290" s="22"/>
      <c r="PDI290" s="22"/>
      <c r="PDJ290" s="22"/>
      <c r="PDK290" s="22"/>
      <c r="PDL290" s="22"/>
      <c r="PDM290" s="22"/>
      <c r="PDN290" s="22"/>
      <c r="PDO290" s="22"/>
      <c r="PDP290" s="22"/>
      <c r="PDQ290" s="22"/>
      <c r="PDR290" s="22"/>
      <c r="PDS290" s="22"/>
      <c r="PDT290" s="22"/>
      <c r="PDU290" s="22"/>
      <c r="PDV290" s="22"/>
      <c r="PDW290" s="22"/>
      <c r="PDX290" s="22"/>
      <c r="PDY290" s="22"/>
      <c r="PDZ290" s="22"/>
      <c r="PEA290" s="22"/>
      <c r="PEB290" s="22"/>
      <c r="PEC290" s="22"/>
      <c r="PED290" s="22"/>
      <c r="PEE290" s="22"/>
      <c r="PEF290" s="22"/>
      <c r="PEG290" s="22"/>
      <c r="PEH290" s="22"/>
      <c r="PEI290" s="22"/>
      <c r="PEJ290" s="22"/>
      <c r="PEK290" s="22"/>
      <c r="PEL290" s="22"/>
      <c r="PEM290" s="22"/>
      <c r="PEN290" s="22"/>
      <c r="PEO290" s="22"/>
      <c r="PEP290" s="22"/>
      <c r="PEQ290" s="22"/>
      <c r="PER290" s="22"/>
      <c r="PES290" s="22"/>
      <c r="PET290" s="22"/>
      <c r="PEU290" s="22"/>
      <c r="PEV290" s="22"/>
      <c r="PEW290" s="22"/>
      <c r="PEX290" s="22"/>
      <c r="PEY290" s="22"/>
      <c r="PEZ290" s="22"/>
      <c r="PFA290" s="22"/>
      <c r="PFB290" s="22"/>
      <c r="PFC290" s="22"/>
      <c r="PFD290" s="22"/>
      <c r="PFE290" s="22"/>
      <c r="PFF290" s="22"/>
      <c r="PFG290" s="22"/>
      <c r="PFH290" s="22"/>
      <c r="PFI290" s="22"/>
      <c r="PFJ290" s="22"/>
      <c r="PFK290" s="22"/>
      <c r="PFL290" s="22"/>
      <c r="PFM290" s="22"/>
      <c r="PFN290" s="22"/>
      <c r="PFO290" s="22"/>
      <c r="PFP290" s="22"/>
      <c r="PFQ290" s="22"/>
      <c r="PFR290" s="22"/>
      <c r="PFS290" s="22"/>
      <c r="PFT290" s="22"/>
      <c r="PFU290" s="22"/>
      <c r="PFV290" s="22"/>
      <c r="PFW290" s="22"/>
      <c r="PFX290" s="22"/>
      <c r="PFY290" s="22"/>
      <c r="PFZ290" s="22"/>
      <c r="PGA290" s="22"/>
      <c r="PGB290" s="22"/>
      <c r="PGC290" s="22"/>
      <c r="PGD290" s="22"/>
      <c r="PGE290" s="22"/>
      <c r="PGF290" s="22"/>
      <c r="PGG290" s="22"/>
      <c r="PGH290" s="22"/>
      <c r="PGI290" s="22"/>
      <c r="PGJ290" s="22"/>
      <c r="PGK290" s="22"/>
      <c r="PGL290" s="22"/>
      <c r="PGM290" s="22"/>
      <c r="PGN290" s="22"/>
      <c r="PGO290" s="22"/>
      <c r="PGP290" s="22"/>
      <c r="PGQ290" s="22"/>
      <c r="PGR290" s="22"/>
      <c r="PGS290" s="22"/>
      <c r="PGT290" s="22"/>
      <c r="PGU290" s="22"/>
      <c r="PGV290" s="22"/>
      <c r="PGW290" s="22"/>
      <c r="PGX290" s="22"/>
      <c r="PGY290" s="22"/>
      <c r="PGZ290" s="22"/>
      <c r="PHA290" s="22"/>
      <c r="PHB290" s="22"/>
      <c r="PHC290" s="22"/>
      <c r="PHD290" s="22"/>
      <c r="PHE290" s="22"/>
      <c r="PHF290" s="22"/>
      <c r="PHG290" s="22"/>
      <c r="PHH290" s="22"/>
      <c r="PHI290" s="22"/>
      <c r="PHJ290" s="22"/>
      <c r="PHK290" s="22"/>
      <c r="PHL290" s="22"/>
      <c r="PHM290" s="22"/>
      <c r="PHN290" s="22"/>
      <c r="PHO290" s="22"/>
      <c r="PHP290" s="22"/>
      <c r="PHQ290" s="22"/>
      <c r="PHR290" s="22"/>
      <c r="PHS290" s="22"/>
      <c r="PHT290" s="22"/>
      <c r="PHU290" s="22"/>
      <c r="PHV290" s="22"/>
      <c r="PHW290" s="22"/>
      <c r="PHX290" s="22"/>
      <c r="PHY290" s="22"/>
      <c r="PHZ290" s="22"/>
      <c r="PIA290" s="22"/>
      <c r="PIB290" s="22"/>
      <c r="PIC290" s="22"/>
      <c r="PID290" s="22"/>
      <c r="PIE290" s="22"/>
      <c r="PIF290" s="22"/>
      <c r="PIG290" s="22"/>
      <c r="PIH290" s="22"/>
      <c r="PII290" s="22"/>
      <c r="PIJ290" s="22"/>
      <c r="PIK290" s="22"/>
      <c r="PIL290" s="22"/>
      <c r="PIM290" s="22"/>
      <c r="PIN290" s="22"/>
      <c r="PIO290" s="22"/>
      <c r="PIP290" s="22"/>
      <c r="PIQ290" s="22"/>
      <c r="PIR290" s="22"/>
      <c r="PIS290" s="22"/>
      <c r="PIT290" s="22"/>
      <c r="PIU290" s="22"/>
      <c r="PIV290" s="22"/>
      <c r="PIW290" s="22"/>
      <c r="PIX290" s="22"/>
      <c r="PIY290" s="22"/>
      <c r="PIZ290" s="22"/>
      <c r="PJA290" s="22"/>
      <c r="PJB290" s="22"/>
      <c r="PJC290" s="22"/>
      <c r="PJD290" s="22"/>
      <c r="PJE290" s="22"/>
      <c r="PJF290" s="22"/>
      <c r="PJG290" s="22"/>
      <c r="PJH290" s="22"/>
      <c r="PJI290" s="22"/>
      <c r="PJJ290" s="22"/>
      <c r="PJK290" s="22"/>
      <c r="PJL290" s="22"/>
      <c r="PJM290" s="22"/>
      <c r="PJN290" s="22"/>
      <c r="PJO290" s="22"/>
      <c r="PJP290" s="22"/>
      <c r="PJQ290" s="22"/>
      <c r="PJR290" s="22"/>
      <c r="PJS290" s="22"/>
      <c r="PJT290" s="22"/>
      <c r="PJU290" s="22"/>
      <c r="PJV290" s="22"/>
      <c r="PJW290" s="22"/>
      <c r="PJX290" s="22"/>
      <c r="PJY290" s="22"/>
      <c r="PJZ290" s="22"/>
      <c r="PKA290" s="22"/>
      <c r="PKB290" s="22"/>
      <c r="PKC290" s="22"/>
      <c r="PKD290" s="22"/>
      <c r="PKE290" s="22"/>
      <c r="PKF290" s="22"/>
      <c r="PKG290" s="22"/>
      <c r="PKH290" s="22"/>
      <c r="PKI290" s="22"/>
      <c r="PKJ290" s="22"/>
      <c r="PKK290" s="22"/>
      <c r="PKL290" s="22"/>
      <c r="PKM290" s="22"/>
      <c r="PKN290" s="22"/>
      <c r="PKO290" s="22"/>
      <c r="PKP290" s="22"/>
      <c r="PKQ290" s="22"/>
      <c r="PKR290" s="22"/>
      <c r="PKS290" s="22"/>
      <c r="PKT290" s="22"/>
      <c r="PKU290" s="22"/>
      <c r="PKV290" s="22"/>
      <c r="PKW290" s="22"/>
      <c r="PKX290" s="22"/>
      <c r="PKY290" s="22"/>
      <c r="PKZ290" s="22"/>
      <c r="PLA290" s="22"/>
      <c r="PLB290" s="22"/>
      <c r="PLC290" s="22"/>
      <c r="PLD290" s="22"/>
      <c r="PLE290" s="22"/>
      <c r="PLF290" s="22"/>
      <c r="PLG290" s="22"/>
      <c r="PLH290" s="22"/>
      <c r="PLI290" s="22"/>
      <c r="PLJ290" s="22"/>
      <c r="PLK290" s="22"/>
      <c r="PLL290" s="22"/>
      <c r="PLM290" s="22"/>
      <c r="PLN290" s="22"/>
      <c r="PLO290" s="22"/>
      <c r="PLP290" s="22"/>
      <c r="PLQ290" s="22"/>
      <c r="PLR290" s="22"/>
      <c r="PLS290" s="22"/>
      <c r="PLT290" s="22"/>
      <c r="PLU290" s="22"/>
      <c r="PLV290" s="22"/>
      <c r="PLW290" s="22"/>
      <c r="PLX290" s="22"/>
      <c r="PLY290" s="22"/>
      <c r="PLZ290" s="22"/>
      <c r="PMA290" s="22"/>
      <c r="PMB290" s="22"/>
      <c r="PMC290" s="22"/>
      <c r="PMD290" s="22"/>
      <c r="PME290" s="22"/>
      <c r="PMF290" s="22"/>
      <c r="PMG290" s="22"/>
      <c r="PMH290" s="22"/>
      <c r="PMI290" s="22"/>
      <c r="PMJ290" s="22"/>
      <c r="PMK290" s="22"/>
      <c r="PML290" s="22"/>
      <c r="PMM290" s="22"/>
      <c r="PMN290" s="22"/>
      <c r="PMO290" s="22"/>
      <c r="PMP290" s="22"/>
      <c r="PMQ290" s="22"/>
      <c r="PMR290" s="22"/>
      <c r="PMS290" s="22"/>
      <c r="PMT290" s="22"/>
      <c r="PMU290" s="22"/>
      <c r="PMV290" s="22"/>
      <c r="PMW290" s="22"/>
      <c r="PMX290" s="22"/>
      <c r="PMY290" s="22"/>
      <c r="PMZ290" s="22"/>
      <c r="PNA290" s="22"/>
      <c r="PNB290" s="22"/>
      <c r="PNC290" s="22"/>
      <c r="PND290" s="22"/>
      <c r="PNE290" s="22"/>
      <c r="PNF290" s="22"/>
      <c r="PNG290" s="22"/>
      <c r="PNH290" s="22"/>
      <c r="PNI290" s="22"/>
      <c r="PNJ290" s="22"/>
      <c r="PNK290" s="22"/>
      <c r="PNL290" s="22"/>
      <c r="PNM290" s="22"/>
      <c r="PNN290" s="22"/>
      <c r="PNO290" s="22"/>
      <c r="PNP290" s="22"/>
      <c r="PNQ290" s="22"/>
      <c r="PNR290" s="22"/>
      <c r="PNS290" s="22"/>
      <c r="PNT290" s="22"/>
      <c r="PNU290" s="22"/>
      <c r="PNV290" s="22"/>
      <c r="PNW290" s="22"/>
      <c r="PNX290" s="22"/>
      <c r="PNY290" s="22"/>
      <c r="PNZ290" s="22"/>
      <c r="POA290" s="22"/>
      <c r="POB290" s="22"/>
      <c r="POC290" s="22"/>
      <c r="POD290" s="22"/>
      <c r="POE290" s="22"/>
      <c r="POF290" s="22"/>
      <c r="POG290" s="22"/>
      <c r="POH290" s="22"/>
      <c r="POI290" s="22"/>
      <c r="POJ290" s="22"/>
      <c r="POK290" s="22"/>
      <c r="POL290" s="22"/>
      <c r="POM290" s="22"/>
      <c r="PON290" s="22"/>
      <c r="POO290" s="22"/>
      <c r="POP290" s="22"/>
      <c r="POQ290" s="22"/>
      <c r="POR290" s="22"/>
      <c r="POS290" s="22"/>
      <c r="POT290" s="22"/>
      <c r="POU290" s="22"/>
      <c r="POV290" s="22"/>
      <c r="POW290" s="22"/>
      <c r="POX290" s="22"/>
      <c r="POY290" s="22"/>
      <c r="POZ290" s="22"/>
      <c r="PPA290" s="22"/>
      <c r="PPB290" s="22"/>
      <c r="PPC290" s="22"/>
      <c r="PPD290" s="22"/>
      <c r="PPE290" s="22"/>
      <c r="PPF290" s="22"/>
      <c r="PPG290" s="22"/>
      <c r="PPH290" s="22"/>
      <c r="PPI290" s="22"/>
      <c r="PPJ290" s="22"/>
      <c r="PPK290" s="22"/>
      <c r="PPL290" s="22"/>
      <c r="PPM290" s="22"/>
      <c r="PPN290" s="22"/>
      <c r="PPO290" s="22"/>
      <c r="PPP290" s="22"/>
      <c r="PPQ290" s="22"/>
      <c r="PPR290" s="22"/>
      <c r="PPS290" s="22"/>
      <c r="PPT290" s="22"/>
      <c r="PPU290" s="22"/>
      <c r="PPV290" s="22"/>
      <c r="PPW290" s="22"/>
      <c r="PPX290" s="22"/>
      <c r="PPY290" s="22"/>
      <c r="PPZ290" s="22"/>
      <c r="PQA290" s="22"/>
      <c r="PQB290" s="22"/>
      <c r="PQC290" s="22"/>
      <c r="PQD290" s="22"/>
      <c r="PQE290" s="22"/>
      <c r="PQF290" s="22"/>
      <c r="PQG290" s="22"/>
      <c r="PQH290" s="22"/>
      <c r="PQI290" s="22"/>
      <c r="PQJ290" s="22"/>
      <c r="PQK290" s="22"/>
      <c r="PQL290" s="22"/>
      <c r="PQM290" s="22"/>
      <c r="PQN290" s="22"/>
      <c r="PQO290" s="22"/>
      <c r="PQP290" s="22"/>
      <c r="PQQ290" s="22"/>
      <c r="PQR290" s="22"/>
      <c r="PQS290" s="22"/>
      <c r="PQT290" s="22"/>
      <c r="PQU290" s="22"/>
      <c r="PQV290" s="22"/>
      <c r="PQW290" s="22"/>
      <c r="PQX290" s="22"/>
      <c r="PQY290" s="22"/>
      <c r="PQZ290" s="22"/>
      <c r="PRA290" s="22"/>
      <c r="PRB290" s="22"/>
      <c r="PRC290" s="22"/>
      <c r="PRD290" s="22"/>
      <c r="PRE290" s="22"/>
      <c r="PRF290" s="22"/>
      <c r="PRG290" s="22"/>
      <c r="PRH290" s="22"/>
      <c r="PRI290" s="22"/>
      <c r="PRJ290" s="22"/>
      <c r="PRK290" s="22"/>
      <c r="PRL290" s="22"/>
      <c r="PRM290" s="22"/>
      <c r="PRN290" s="22"/>
      <c r="PRO290" s="22"/>
      <c r="PRP290" s="22"/>
      <c r="PRQ290" s="22"/>
      <c r="PRR290" s="22"/>
      <c r="PRS290" s="22"/>
      <c r="PRT290" s="22"/>
      <c r="PRU290" s="22"/>
      <c r="PRV290" s="22"/>
      <c r="PRW290" s="22"/>
      <c r="PRX290" s="22"/>
      <c r="PRY290" s="22"/>
      <c r="PRZ290" s="22"/>
      <c r="PSA290" s="22"/>
      <c r="PSB290" s="22"/>
      <c r="PSC290" s="22"/>
      <c r="PSD290" s="22"/>
      <c r="PSE290" s="22"/>
      <c r="PSF290" s="22"/>
      <c r="PSG290" s="22"/>
      <c r="PSH290" s="22"/>
      <c r="PSI290" s="22"/>
      <c r="PSJ290" s="22"/>
      <c r="PSK290" s="22"/>
      <c r="PSL290" s="22"/>
      <c r="PSM290" s="22"/>
      <c r="PSN290" s="22"/>
      <c r="PSO290" s="22"/>
      <c r="PSP290" s="22"/>
      <c r="PSQ290" s="22"/>
      <c r="PSR290" s="22"/>
      <c r="PSS290" s="22"/>
      <c r="PST290" s="22"/>
      <c r="PSU290" s="22"/>
      <c r="PSV290" s="22"/>
      <c r="PSW290" s="22"/>
      <c r="PSX290" s="22"/>
      <c r="PSY290" s="22"/>
      <c r="PSZ290" s="22"/>
      <c r="PTA290" s="22"/>
      <c r="PTB290" s="22"/>
      <c r="PTC290" s="22"/>
      <c r="PTD290" s="22"/>
      <c r="PTE290" s="22"/>
      <c r="PTF290" s="22"/>
      <c r="PTG290" s="22"/>
      <c r="PTH290" s="22"/>
      <c r="PTI290" s="22"/>
      <c r="PTJ290" s="22"/>
      <c r="PTK290" s="22"/>
      <c r="PTL290" s="22"/>
      <c r="PTM290" s="22"/>
      <c r="PTN290" s="22"/>
      <c r="PTO290" s="22"/>
      <c r="PTP290" s="22"/>
      <c r="PTQ290" s="22"/>
      <c r="PTR290" s="22"/>
      <c r="PTS290" s="22"/>
      <c r="PTT290" s="22"/>
      <c r="PTU290" s="22"/>
      <c r="PTV290" s="22"/>
      <c r="PTW290" s="22"/>
      <c r="PTX290" s="22"/>
      <c r="PTY290" s="22"/>
      <c r="PTZ290" s="22"/>
      <c r="PUA290" s="22"/>
      <c r="PUB290" s="22"/>
      <c r="PUC290" s="22"/>
      <c r="PUD290" s="22"/>
      <c r="PUE290" s="22"/>
      <c r="PUF290" s="22"/>
      <c r="PUG290" s="22"/>
      <c r="PUH290" s="22"/>
      <c r="PUI290" s="22"/>
      <c r="PUJ290" s="22"/>
      <c r="PUK290" s="22"/>
      <c r="PUL290" s="22"/>
      <c r="PUM290" s="22"/>
      <c r="PUN290" s="22"/>
      <c r="PUO290" s="22"/>
      <c r="PUP290" s="22"/>
      <c r="PUQ290" s="22"/>
      <c r="PUR290" s="22"/>
      <c r="PUS290" s="22"/>
      <c r="PUT290" s="22"/>
      <c r="PUU290" s="22"/>
      <c r="PUV290" s="22"/>
      <c r="PUW290" s="22"/>
      <c r="PUX290" s="22"/>
      <c r="PUY290" s="22"/>
      <c r="PUZ290" s="22"/>
      <c r="PVA290" s="22"/>
      <c r="PVB290" s="22"/>
      <c r="PVC290" s="22"/>
      <c r="PVD290" s="22"/>
      <c r="PVE290" s="22"/>
      <c r="PVF290" s="22"/>
      <c r="PVG290" s="22"/>
      <c r="PVH290" s="22"/>
      <c r="PVI290" s="22"/>
      <c r="PVJ290" s="22"/>
      <c r="PVK290" s="22"/>
      <c r="PVL290" s="22"/>
      <c r="PVM290" s="22"/>
      <c r="PVN290" s="22"/>
      <c r="PVO290" s="22"/>
      <c r="PVP290" s="22"/>
      <c r="PVQ290" s="22"/>
      <c r="PVR290" s="22"/>
      <c r="PVS290" s="22"/>
      <c r="PVT290" s="22"/>
      <c r="PVU290" s="22"/>
      <c r="PVV290" s="22"/>
      <c r="PVW290" s="22"/>
      <c r="PVX290" s="22"/>
      <c r="PVY290" s="22"/>
      <c r="PVZ290" s="22"/>
      <c r="PWA290" s="22"/>
      <c r="PWB290" s="22"/>
      <c r="PWC290" s="22"/>
      <c r="PWD290" s="22"/>
      <c r="PWE290" s="22"/>
      <c r="PWF290" s="22"/>
      <c r="PWG290" s="22"/>
      <c r="PWH290" s="22"/>
      <c r="PWI290" s="22"/>
      <c r="PWJ290" s="22"/>
      <c r="PWK290" s="22"/>
      <c r="PWL290" s="22"/>
      <c r="PWM290" s="22"/>
      <c r="PWN290" s="22"/>
      <c r="PWO290" s="22"/>
      <c r="PWP290" s="22"/>
      <c r="PWQ290" s="22"/>
      <c r="PWR290" s="22"/>
      <c r="PWS290" s="22"/>
      <c r="PWT290" s="22"/>
      <c r="PWU290" s="22"/>
      <c r="PWV290" s="22"/>
      <c r="PWW290" s="22"/>
      <c r="PWX290" s="22"/>
      <c r="PWY290" s="22"/>
      <c r="PWZ290" s="22"/>
      <c r="PXA290" s="22"/>
      <c r="PXB290" s="22"/>
      <c r="PXC290" s="22"/>
      <c r="PXD290" s="22"/>
      <c r="PXE290" s="22"/>
      <c r="PXF290" s="22"/>
      <c r="PXG290" s="22"/>
      <c r="PXH290" s="22"/>
      <c r="PXI290" s="22"/>
      <c r="PXJ290" s="22"/>
      <c r="PXK290" s="22"/>
      <c r="PXL290" s="22"/>
      <c r="PXM290" s="22"/>
      <c r="PXN290" s="22"/>
      <c r="PXO290" s="22"/>
      <c r="PXP290" s="22"/>
      <c r="PXQ290" s="22"/>
      <c r="PXR290" s="22"/>
      <c r="PXS290" s="22"/>
      <c r="PXT290" s="22"/>
      <c r="PXU290" s="22"/>
      <c r="PXV290" s="22"/>
      <c r="PXW290" s="22"/>
      <c r="PXX290" s="22"/>
      <c r="PXY290" s="22"/>
      <c r="PXZ290" s="22"/>
      <c r="PYA290" s="22"/>
      <c r="PYB290" s="22"/>
      <c r="PYC290" s="22"/>
      <c r="PYD290" s="22"/>
      <c r="PYE290" s="22"/>
      <c r="PYF290" s="22"/>
      <c r="PYG290" s="22"/>
      <c r="PYH290" s="22"/>
      <c r="PYI290" s="22"/>
      <c r="PYJ290" s="22"/>
      <c r="PYK290" s="22"/>
      <c r="PYL290" s="22"/>
      <c r="PYM290" s="22"/>
      <c r="PYN290" s="22"/>
      <c r="PYO290" s="22"/>
      <c r="PYP290" s="22"/>
      <c r="PYQ290" s="22"/>
      <c r="PYR290" s="22"/>
      <c r="PYS290" s="22"/>
      <c r="PYT290" s="22"/>
      <c r="PYU290" s="22"/>
      <c r="PYV290" s="22"/>
      <c r="PYW290" s="22"/>
      <c r="PYX290" s="22"/>
      <c r="PYY290" s="22"/>
      <c r="PYZ290" s="22"/>
      <c r="PZA290" s="22"/>
      <c r="PZB290" s="22"/>
      <c r="PZC290" s="22"/>
      <c r="PZD290" s="22"/>
      <c r="PZE290" s="22"/>
      <c r="PZF290" s="22"/>
      <c r="PZG290" s="22"/>
      <c r="PZH290" s="22"/>
      <c r="PZI290" s="22"/>
      <c r="PZJ290" s="22"/>
      <c r="PZK290" s="22"/>
      <c r="PZL290" s="22"/>
      <c r="PZM290" s="22"/>
      <c r="PZN290" s="22"/>
      <c r="PZO290" s="22"/>
      <c r="PZP290" s="22"/>
      <c r="PZQ290" s="22"/>
      <c r="PZR290" s="22"/>
      <c r="PZS290" s="22"/>
      <c r="PZT290" s="22"/>
      <c r="PZU290" s="22"/>
      <c r="PZV290" s="22"/>
      <c r="PZW290" s="22"/>
      <c r="PZX290" s="22"/>
      <c r="PZY290" s="22"/>
      <c r="PZZ290" s="22"/>
      <c r="QAA290" s="22"/>
      <c r="QAB290" s="22"/>
      <c r="QAC290" s="22"/>
      <c r="QAD290" s="22"/>
      <c r="QAE290" s="22"/>
      <c r="QAF290" s="22"/>
      <c r="QAG290" s="22"/>
      <c r="QAH290" s="22"/>
      <c r="QAI290" s="22"/>
      <c r="QAJ290" s="22"/>
      <c r="QAK290" s="22"/>
      <c r="QAL290" s="22"/>
      <c r="QAM290" s="22"/>
      <c r="QAN290" s="22"/>
      <c r="QAO290" s="22"/>
      <c r="QAP290" s="22"/>
      <c r="QAQ290" s="22"/>
      <c r="QAR290" s="22"/>
      <c r="QAS290" s="22"/>
      <c r="QAT290" s="22"/>
      <c r="QAU290" s="22"/>
      <c r="QAV290" s="22"/>
      <c r="QAW290" s="22"/>
      <c r="QAX290" s="22"/>
      <c r="QAY290" s="22"/>
      <c r="QAZ290" s="22"/>
      <c r="QBA290" s="22"/>
      <c r="QBB290" s="22"/>
      <c r="QBC290" s="22"/>
      <c r="QBD290" s="22"/>
      <c r="QBE290" s="22"/>
      <c r="QBF290" s="22"/>
      <c r="QBG290" s="22"/>
      <c r="QBH290" s="22"/>
      <c r="QBI290" s="22"/>
      <c r="QBJ290" s="22"/>
      <c r="QBK290" s="22"/>
      <c r="QBL290" s="22"/>
      <c r="QBM290" s="22"/>
      <c r="QBN290" s="22"/>
      <c r="QBO290" s="22"/>
      <c r="QBP290" s="22"/>
      <c r="QBQ290" s="22"/>
      <c r="QBR290" s="22"/>
      <c r="QBS290" s="22"/>
      <c r="QBT290" s="22"/>
      <c r="QBU290" s="22"/>
      <c r="QBV290" s="22"/>
      <c r="QBW290" s="22"/>
      <c r="QBX290" s="22"/>
      <c r="QBY290" s="22"/>
      <c r="QBZ290" s="22"/>
      <c r="QCA290" s="22"/>
      <c r="QCB290" s="22"/>
      <c r="QCC290" s="22"/>
      <c r="QCD290" s="22"/>
      <c r="QCE290" s="22"/>
      <c r="QCF290" s="22"/>
      <c r="QCG290" s="22"/>
      <c r="QCH290" s="22"/>
      <c r="QCI290" s="22"/>
      <c r="QCJ290" s="22"/>
      <c r="QCK290" s="22"/>
      <c r="QCL290" s="22"/>
      <c r="QCM290" s="22"/>
      <c r="QCN290" s="22"/>
      <c r="QCO290" s="22"/>
      <c r="QCP290" s="22"/>
      <c r="QCQ290" s="22"/>
      <c r="QCR290" s="22"/>
      <c r="QCS290" s="22"/>
      <c r="QCT290" s="22"/>
      <c r="QCU290" s="22"/>
      <c r="QCV290" s="22"/>
      <c r="QCW290" s="22"/>
      <c r="QCX290" s="22"/>
      <c r="QCY290" s="22"/>
      <c r="QCZ290" s="22"/>
      <c r="QDA290" s="22"/>
      <c r="QDB290" s="22"/>
      <c r="QDC290" s="22"/>
      <c r="QDD290" s="22"/>
      <c r="QDE290" s="22"/>
      <c r="QDF290" s="22"/>
      <c r="QDG290" s="22"/>
      <c r="QDH290" s="22"/>
      <c r="QDI290" s="22"/>
      <c r="QDJ290" s="22"/>
      <c r="QDK290" s="22"/>
      <c r="QDL290" s="22"/>
      <c r="QDM290" s="22"/>
      <c r="QDN290" s="22"/>
      <c r="QDO290" s="22"/>
      <c r="QDP290" s="22"/>
      <c r="QDQ290" s="22"/>
      <c r="QDR290" s="22"/>
      <c r="QDS290" s="22"/>
      <c r="QDT290" s="22"/>
      <c r="QDU290" s="22"/>
      <c r="QDV290" s="22"/>
      <c r="QDW290" s="22"/>
      <c r="QDX290" s="22"/>
      <c r="QDY290" s="22"/>
      <c r="QDZ290" s="22"/>
      <c r="QEA290" s="22"/>
      <c r="QEB290" s="22"/>
      <c r="QEC290" s="22"/>
      <c r="QED290" s="22"/>
      <c r="QEE290" s="22"/>
      <c r="QEF290" s="22"/>
      <c r="QEG290" s="22"/>
      <c r="QEH290" s="22"/>
      <c r="QEI290" s="22"/>
      <c r="QEJ290" s="22"/>
      <c r="QEK290" s="22"/>
      <c r="QEL290" s="22"/>
      <c r="QEM290" s="22"/>
      <c r="QEN290" s="22"/>
      <c r="QEO290" s="22"/>
      <c r="QEP290" s="22"/>
      <c r="QEQ290" s="22"/>
      <c r="QER290" s="22"/>
      <c r="QES290" s="22"/>
      <c r="QET290" s="22"/>
      <c r="QEU290" s="22"/>
      <c r="QEV290" s="22"/>
      <c r="QEW290" s="22"/>
      <c r="QEX290" s="22"/>
      <c r="QEY290" s="22"/>
      <c r="QEZ290" s="22"/>
      <c r="QFA290" s="22"/>
      <c r="QFB290" s="22"/>
      <c r="QFC290" s="22"/>
      <c r="QFD290" s="22"/>
      <c r="QFE290" s="22"/>
      <c r="QFF290" s="22"/>
      <c r="QFG290" s="22"/>
      <c r="QFH290" s="22"/>
      <c r="QFI290" s="22"/>
      <c r="QFJ290" s="22"/>
      <c r="QFK290" s="22"/>
      <c r="QFL290" s="22"/>
      <c r="QFM290" s="22"/>
      <c r="QFN290" s="22"/>
      <c r="QFO290" s="22"/>
      <c r="QFP290" s="22"/>
      <c r="QFQ290" s="22"/>
      <c r="QFR290" s="22"/>
      <c r="QFS290" s="22"/>
      <c r="QFT290" s="22"/>
      <c r="QFU290" s="22"/>
      <c r="QFV290" s="22"/>
      <c r="QFW290" s="22"/>
      <c r="QFX290" s="22"/>
      <c r="QFY290" s="22"/>
      <c r="QFZ290" s="22"/>
      <c r="QGA290" s="22"/>
      <c r="QGB290" s="22"/>
      <c r="QGC290" s="22"/>
      <c r="QGD290" s="22"/>
      <c r="QGE290" s="22"/>
      <c r="QGF290" s="22"/>
      <c r="QGG290" s="22"/>
      <c r="QGH290" s="22"/>
      <c r="QGI290" s="22"/>
      <c r="QGJ290" s="22"/>
      <c r="QGK290" s="22"/>
      <c r="QGL290" s="22"/>
      <c r="QGM290" s="22"/>
      <c r="QGN290" s="22"/>
      <c r="QGO290" s="22"/>
      <c r="QGP290" s="22"/>
      <c r="QGQ290" s="22"/>
      <c r="QGR290" s="22"/>
      <c r="QGS290" s="22"/>
      <c r="QGT290" s="22"/>
      <c r="QGU290" s="22"/>
      <c r="QGV290" s="22"/>
      <c r="QGW290" s="22"/>
      <c r="QGX290" s="22"/>
      <c r="QGY290" s="22"/>
      <c r="QGZ290" s="22"/>
      <c r="QHA290" s="22"/>
      <c r="QHB290" s="22"/>
      <c r="QHC290" s="22"/>
      <c r="QHD290" s="22"/>
      <c r="QHE290" s="22"/>
      <c r="QHF290" s="22"/>
      <c r="QHG290" s="22"/>
      <c r="QHH290" s="22"/>
      <c r="QHI290" s="22"/>
      <c r="QHJ290" s="22"/>
      <c r="QHK290" s="22"/>
      <c r="QHL290" s="22"/>
      <c r="QHM290" s="22"/>
      <c r="QHN290" s="22"/>
      <c r="QHO290" s="22"/>
      <c r="QHP290" s="22"/>
      <c r="QHQ290" s="22"/>
      <c r="QHR290" s="22"/>
      <c r="QHS290" s="22"/>
      <c r="QHT290" s="22"/>
      <c r="QHU290" s="22"/>
      <c r="QHV290" s="22"/>
      <c r="QHW290" s="22"/>
      <c r="QHX290" s="22"/>
      <c r="QHY290" s="22"/>
      <c r="QHZ290" s="22"/>
      <c r="QIA290" s="22"/>
      <c r="QIB290" s="22"/>
      <c r="QIC290" s="22"/>
      <c r="QID290" s="22"/>
      <c r="QIE290" s="22"/>
      <c r="QIF290" s="22"/>
      <c r="QIG290" s="22"/>
      <c r="QIH290" s="22"/>
      <c r="QII290" s="22"/>
      <c r="QIJ290" s="22"/>
      <c r="QIK290" s="22"/>
      <c r="QIL290" s="22"/>
      <c r="QIM290" s="22"/>
      <c r="QIN290" s="22"/>
      <c r="QIO290" s="22"/>
      <c r="QIP290" s="22"/>
      <c r="QIQ290" s="22"/>
      <c r="QIR290" s="22"/>
      <c r="QIS290" s="22"/>
      <c r="QIT290" s="22"/>
      <c r="QIU290" s="22"/>
      <c r="QIV290" s="22"/>
      <c r="QIW290" s="22"/>
      <c r="QIX290" s="22"/>
      <c r="QIY290" s="22"/>
      <c r="QIZ290" s="22"/>
      <c r="QJA290" s="22"/>
      <c r="QJB290" s="22"/>
      <c r="QJC290" s="22"/>
      <c r="QJD290" s="22"/>
      <c r="QJE290" s="22"/>
      <c r="QJF290" s="22"/>
      <c r="QJG290" s="22"/>
      <c r="QJH290" s="22"/>
      <c r="QJI290" s="22"/>
      <c r="QJJ290" s="22"/>
      <c r="QJK290" s="22"/>
      <c r="QJL290" s="22"/>
      <c r="QJM290" s="22"/>
      <c r="QJN290" s="22"/>
      <c r="QJO290" s="22"/>
      <c r="QJP290" s="22"/>
      <c r="QJQ290" s="22"/>
      <c r="QJR290" s="22"/>
      <c r="QJS290" s="22"/>
      <c r="QJT290" s="22"/>
      <c r="QJU290" s="22"/>
      <c r="QJV290" s="22"/>
      <c r="QJW290" s="22"/>
      <c r="QJX290" s="22"/>
      <c r="QJY290" s="22"/>
      <c r="QJZ290" s="22"/>
      <c r="QKA290" s="22"/>
      <c r="QKB290" s="22"/>
      <c r="QKC290" s="22"/>
      <c r="QKD290" s="22"/>
      <c r="QKE290" s="22"/>
      <c r="QKF290" s="22"/>
      <c r="QKG290" s="22"/>
      <c r="QKH290" s="22"/>
      <c r="QKI290" s="22"/>
      <c r="QKJ290" s="22"/>
      <c r="QKK290" s="22"/>
      <c r="QKL290" s="22"/>
      <c r="QKM290" s="22"/>
      <c r="QKN290" s="22"/>
      <c r="QKO290" s="22"/>
      <c r="QKP290" s="22"/>
      <c r="QKQ290" s="22"/>
      <c r="QKR290" s="22"/>
      <c r="QKS290" s="22"/>
      <c r="QKT290" s="22"/>
      <c r="QKU290" s="22"/>
      <c r="QKV290" s="22"/>
      <c r="QKW290" s="22"/>
      <c r="QKX290" s="22"/>
      <c r="QKY290" s="22"/>
      <c r="QKZ290" s="22"/>
      <c r="QLA290" s="22"/>
      <c r="QLB290" s="22"/>
      <c r="QLC290" s="22"/>
      <c r="QLD290" s="22"/>
      <c r="QLE290" s="22"/>
      <c r="QLF290" s="22"/>
      <c r="QLG290" s="22"/>
      <c r="QLH290" s="22"/>
      <c r="QLI290" s="22"/>
      <c r="QLJ290" s="22"/>
      <c r="QLK290" s="22"/>
      <c r="QLL290" s="22"/>
      <c r="QLM290" s="22"/>
      <c r="QLN290" s="22"/>
      <c r="QLO290" s="22"/>
      <c r="QLP290" s="22"/>
      <c r="QLQ290" s="22"/>
      <c r="QLR290" s="22"/>
      <c r="QLS290" s="22"/>
      <c r="QLT290" s="22"/>
      <c r="QLU290" s="22"/>
      <c r="QLV290" s="22"/>
      <c r="QLW290" s="22"/>
      <c r="QLX290" s="22"/>
      <c r="QLY290" s="22"/>
      <c r="QLZ290" s="22"/>
      <c r="QMA290" s="22"/>
      <c r="QMB290" s="22"/>
      <c r="QMC290" s="22"/>
      <c r="QMD290" s="22"/>
      <c r="QME290" s="22"/>
      <c r="QMF290" s="22"/>
      <c r="QMG290" s="22"/>
      <c r="QMH290" s="22"/>
      <c r="QMI290" s="22"/>
      <c r="QMJ290" s="22"/>
      <c r="QMK290" s="22"/>
      <c r="QML290" s="22"/>
      <c r="QMM290" s="22"/>
      <c r="QMN290" s="22"/>
      <c r="QMO290" s="22"/>
      <c r="QMP290" s="22"/>
      <c r="QMQ290" s="22"/>
      <c r="QMR290" s="22"/>
      <c r="QMS290" s="22"/>
      <c r="QMT290" s="22"/>
      <c r="QMU290" s="22"/>
      <c r="QMV290" s="22"/>
      <c r="QMW290" s="22"/>
      <c r="QMX290" s="22"/>
      <c r="QMY290" s="22"/>
      <c r="QMZ290" s="22"/>
      <c r="QNA290" s="22"/>
      <c r="QNB290" s="22"/>
      <c r="QNC290" s="22"/>
      <c r="QND290" s="22"/>
      <c r="QNE290" s="22"/>
      <c r="QNF290" s="22"/>
      <c r="QNG290" s="22"/>
      <c r="QNH290" s="22"/>
      <c r="QNI290" s="22"/>
      <c r="QNJ290" s="22"/>
      <c r="QNK290" s="22"/>
      <c r="QNL290" s="22"/>
      <c r="QNM290" s="22"/>
      <c r="QNN290" s="22"/>
      <c r="QNO290" s="22"/>
      <c r="QNP290" s="22"/>
      <c r="QNQ290" s="22"/>
      <c r="QNR290" s="22"/>
      <c r="QNS290" s="22"/>
      <c r="QNT290" s="22"/>
      <c r="QNU290" s="22"/>
      <c r="QNV290" s="22"/>
      <c r="QNW290" s="22"/>
      <c r="QNX290" s="22"/>
      <c r="QNY290" s="22"/>
      <c r="QNZ290" s="22"/>
      <c r="QOA290" s="22"/>
      <c r="QOB290" s="22"/>
      <c r="QOC290" s="22"/>
      <c r="QOD290" s="22"/>
      <c r="QOE290" s="22"/>
      <c r="QOF290" s="22"/>
      <c r="QOG290" s="22"/>
      <c r="QOH290" s="22"/>
      <c r="QOI290" s="22"/>
      <c r="QOJ290" s="22"/>
      <c r="QOK290" s="22"/>
      <c r="QOL290" s="22"/>
      <c r="QOM290" s="22"/>
      <c r="QON290" s="22"/>
      <c r="QOO290" s="22"/>
      <c r="QOP290" s="22"/>
      <c r="QOQ290" s="22"/>
      <c r="QOR290" s="22"/>
      <c r="QOS290" s="22"/>
      <c r="QOT290" s="22"/>
      <c r="QOU290" s="22"/>
      <c r="QOV290" s="22"/>
      <c r="QOW290" s="22"/>
      <c r="QOX290" s="22"/>
      <c r="QOY290" s="22"/>
      <c r="QOZ290" s="22"/>
      <c r="QPA290" s="22"/>
      <c r="QPB290" s="22"/>
      <c r="QPC290" s="22"/>
      <c r="QPD290" s="22"/>
      <c r="QPE290" s="22"/>
      <c r="QPF290" s="22"/>
      <c r="QPG290" s="22"/>
      <c r="QPH290" s="22"/>
      <c r="QPI290" s="22"/>
      <c r="QPJ290" s="22"/>
      <c r="QPK290" s="22"/>
      <c r="QPL290" s="22"/>
      <c r="QPM290" s="22"/>
      <c r="QPN290" s="22"/>
      <c r="QPO290" s="22"/>
      <c r="QPP290" s="22"/>
      <c r="QPQ290" s="22"/>
      <c r="QPR290" s="22"/>
      <c r="QPS290" s="22"/>
      <c r="QPT290" s="22"/>
      <c r="QPU290" s="22"/>
      <c r="QPV290" s="22"/>
      <c r="QPW290" s="22"/>
      <c r="QPX290" s="22"/>
      <c r="QPY290" s="22"/>
      <c r="QPZ290" s="22"/>
      <c r="QQA290" s="22"/>
      <c r="QQB290" s="22"/>
      <c r="QQC290" s="22"/>
      <c r="QQD290" s="22"/>
      <c r="QQE290" s="22"/>
      <c r="QQF290" s="22"/>
      <c r="QQG290" s="22"/>
      <c r="QQH290" s="22"/>
      <c r="QQI290" s="22"/>
      <c r="QQJ290" s="22"/>
      <c r="QQK290" s="22"/>
      <c r="QQL290" s="22"/>
      <c r="QQM290" s="22"/>
      <c r="QQN290" s="22"/>
      <c r="QQO290" s="22"/>
      <c r="QQP290" s="22"/>
      <c r="QQQ290" s="22"/>
      <c r="QQR290" s="22"/>
      <c r="QQS290" s="22"/>
      <c r="QQT290" s="22"/>
      <c r="QQU290" s="22"/>
      <c r="QQV290" s="22"/>
      <c r="QQW290" s="22"/>
      <c r="QQX290" s="22"/>
      <c r="QQY290" s="22"/>
      <c r="QQZ290" s="22"/>
      <c r="QRA290" s="22"/>
      <c r="QRB290" s="22"/>
      <c r="QRC290" s="22"/>
      <c r="QRD290" s="22"/>
      <c r="QRE290" s="22"/>
      <c r="QRF290" s="22"/>
      <c r="QRG290" s="22"/>
      <c r="QRH290" s="22"/>
      <c r="QRI290" s="22"/>
      <c r="QRJ290" s="22"/>
      <c r="QRK290" s="22"/>
      <c r="QRL290" s="22"/>
      <c r="QRM290" s="22"/>
      <c r="QRN290" s="22"/>
      <c r="QRO290" s="22"/>
      <c r="QRP290" s="22"/>
      <c r="QRQ290" s="22"/>
      <c r="QRR290" s="22"/>
      <c r="QRS290" s="22"/>
      <c r="QRT290" s="22"/>
      <c r="QRU290" s="22"/>
      <c r="QRV290" s="22"/>
      <c r="QRW290" s="22"/>
      <c r="QRX290" s="22"/>
      <c r="QRY290" s="22"/>
      <c r="QRZ290" s="22"/>
      <c r="QSA290" s="22"/>
      <c r="QSB290" s="22"/>
      <c r="QSC290" s="22"/>
      <c r="QSD290" s="22"/>
      <c r="QSE290" s="22"/>
      <c r="QSF290" s="22"/>
      <c r="QSG290" s="22"/>
      <c r="QSH290" s="22"/>
      <c r="QSI290" s="22"/>
      <c r="QSJ290" s="22"/>
      <c r="QSK290" s="22"/>
      <c r="QSL290" s="22"/>
      <c r="QSM290" s="22"/>
      <c r="QSN290" s="22"/>
      <c r="QSO290" s="22"/>
      <c r="QSP290" s="22"/>
      <c r="QSQ290" s="22"/>
      <c r="QSR290" s="22"/>
      <c r="QSS290" s="22"/>
      <c r="QST290" s="22"/>
      <c r="QSU290" s="22"/>
      <c r="QSV290" s="22"/>
      <c r="QSW290" s="22"/>
      <c r="QSX290" s="22"/>
      <c r="QSY290" s="22"/>
      <c r="QSZ290" s="22"/>
      <c r="QTA290" s="22"/>
      <c r="QTB290" s="22"/>
      <c r="QTC290" s="22"/>
      <c r="QTD290" s="22"/>
      <c r="QTE290" s="22"/>
      <c r="QTF290" s="22"/>
      <c r="QTG290" s="22"/>
      <c r="QTH290" s="22"/>
      <c r="QTI290" s="22"/>
      <c r="QTJ290" s="22"/>
      <c r="QTK290" s="22"/>
      <c r="QTL290" s="22"/>
      <c r="QTM290" s="22"/>
      <c r="QTN290" s="22"/>
      <c r="QTO290" s="22"/>
      <c r="QTP290" s="22"/>
      <c r="QTQ290" s="22"/>
      <c r="QTR290" s="22"/>
      <c r="QTS290" s="22"/>
      <c r="QTT290" s="22"/>
      <c r="QTU290" s="22"/>
      <c r="QTV290" s="22"/>
      <c r="QTW290" s="22"/>
      <c r="QTX290" s="22"/>
      <c r="QTY290" s="22"/>
      <c r="QTZ290" s="22"/>
      <c r="QUA290" s="22"/>
      <c r="QUB290" s="22"/>
      <c r="QUC290" s="22"/>
      <c r="QUD290" s="22"/>
      <c r="QUE290" s="22"/>
      <c r="QUF290" s="22"/>
      <c r="QUG290" s="22"/>
      <c r="QUH290" s="22"/>
      <c r="QUI290" s="22"/>
      <c r="QUJ290" s="22"/>
      <c r="QUK290" s="22"/>
      <c r="QUL290" s="22"/>
      <c r="QUM290" s="22"/>
      <c r="QUN290" s="22"/>
      <c r="QUO290" s="22"/>
      <c r="QUP290" s="22"/>
      <c r="QUQ290" s="22"/>
      <c r="QUR290" s="22"/>
      <c r="QUS290" s="22"/>
      <c r="QUT290" s="22"/>
      <c r="QUU290" s="22"/>
      <c r="QUV290" s="22"/>
      <c r="QUW290" s="22"/>
      <c r="QUX290" s="22"/>
      <c r="QUY290" s="22"/>
      <c r="QUZ290" s="22"/>
      <c r="QVA290" s="22"/>
      <c r="QVB290" s="22"/>
      <c r="QVC290" s="22"/>
      <c r="QVD290" s="22"/>
      <c r="QVE290" s="22"/>
      <c r="QVF290" s="22"/>
      <c r="QVG290" s="22"/>
      <c r="QVH290" s="22"/>
      <c r="QVI290" s="22"/>
      <c r="QVJ290" s="22"/>
      <c r="QVK290" s="22"/>
      <c r="QVL290" s="22"/>
      <c r="QVM290" s="22"/>
      <c r="QVN290" s="22"/>
      <c r="QVO290" s="22"/>
      <c r="QVP290" s="22"/>
      <c r="QVQ290" s="22"/>
      <c r="QVR290" s="22"/>
      <c r="QVS290" s="22"/>
      <c r="QVT290" s="22"/>
      <c r="QVU290" s="22"/>
      <c r="QVV290" s="22"/>
      <c r="QVW290" s="22"/>
      <c r="QVX290" s="22"/>
      <c r="QVY290" s="22"/>
      <c r="QVZ290" s="22"/>
      <c r="QWA290" s="22"/>
      <c r="QWB290" s="22"/>
      <c r="QWC290" s="22"/>
      <c r="QWD290" s="22"/>
      <c r="QWE290" s="22"/>
      <c r="QWF290" s="22"/>
      <c r="QWG290" s="22"/>
      <c r="QWH290" s="22"/>
      <c r="QWI290" s="22"/>
      <c r="QWJ290" s="22"/>
      <c r="QWK290" s="22"/>
      <c r="QWL290" s="22"/>
      <c r="QWM290" s="22"/>
      <c r="QWN290" s="22"/>
      <c r="QWO290" s="22"/>
      <c r="QWP290" s="22"/>
      <c r="QWQ290" s="22"/>
      <c r="QWR290" s="22"/>
      <c r="QWS290" s="22"/>
      <c r="QWT290" s="22"/>
      <c r="QWU290" s="22"/>
      <c r="QWV290" s="22"/>
      <c r="QWW290" s="22"/>
      <c r="QWX290" s="22"/>
      <c r="QWY290" s="22"/>
      <c r="QWZ290" s="22"/>
      <c r="QXA290" s="22"/>
      <c r="QXB290" s="22"/>
      <c r="QXC290" s="22"/>
      <c r="QXD290" s="22"/>
      <c r="QXE290" s="22"/>
      <c r="QXF290" s="22"/>
      <c r="QXG290" s="22"/>
      <c r="QXH290" s="22"/>
      <c r="QXI290" s="22"/>
      <c r="QXJ290" s="22"/>
      <c r="QXK290" s="22"/>
      <c r="QXL290" s="22"/>
      <c r="QXM290" s="22"/>
      <c r="QXN290" s="22"/>
      <c r="QXO290" s="22"/>
      <c r="QXP290" s="22"/>
      <c r="QXQ290" s="22"/>
      <c r="QXR290" s="22"/>
      <c r="QXS290" s="22"/>
      <c r="QXT290" s="22"/>
      <c r="QXU290" s="22"/>
      <c r="QXV290" s="22"/>
      <c r="QXW290" s="22"/>
      <c r="QXX290" s="22"/>
      <c r="QXY290" s="22"/>
      <c r="QXZ290" s="22"/>
      <c r="QYA290" s="22"/>
      <c r="QYB290" s="22"/>
      <c r="QYC290" s="22"/>
      <c r="QYD290" s="22"/>
      <c r="QYE290" s="22"/>
      <c r="QYF290" s="22"/>
      <c r="QYG290" s="22"/>
      <c r="QYH290" s="22"/>
      <c r="QYI290" s="22"/>
      <c r="QYJ290" s="22"/>
      <c r="QYK290" s="22"/>
      <c r="QYL290" s="22"/>
      <c r="QYM290" s="22"/>
      <c r="QYN290" s="22"/>
      <c r="QYO290" s="22"/>
      <c r="QYP290" s="22"/>
      <c r="QYQ290" s="22"/>
      <c r="QYR290" s="22"/>
      <c r="QYS290" s="22"/>
      <c r="QYT290" s="22"/>
      <c r="QYU290" s="22"/>
      <c r="QYV290" s="22"/>
      <c r="QYW290" s="22"/>
      <c r="QYX290" s="22"/>
      <c r="QYY290" s="22"/>
      <c r="QYZ290" s="22"/>
      <c r="QZA290" s="22"/>
      <c r="QZB290" s="22"/>
      <c r="QZC290" s="22"/>
      <c r="QZD290" s="22"/>
      <c r="QZE290" s="22"/>
      <c r="QZF290" s="22"/>
      <c r="QZG290" s="22"/>
      <c r="QZH290" s="22"/>
      <c r="QZI290" s="22"/>
      <c r="QZJ290" s="22"/>
      <c r="QZK290" s="22"/>
      <c r="QZL290" s="22"/>
      <c r="QZM290" s="22"/>
      <c r="QZN290" s="22"/>
      <c r="QZO290" s="22"/>
      <c r="QZP290" s="22"/>
      <c r="QZQ290" s="22"/>
      <c r="QZR290" s="22"/>
      <c r="QZS290" s="22"/>
      <c r="QZT290" s="22"/>
      <c r="QZU290" s="22"/>
      <c r="QZV290" s="22"/>
      <c r="QZW290" s="22"/>
      <c r="QZX290" s="22"/>
      <c r="QZY290" s="22"/>
      <c r="QZZ290" s="22"/>
      <c r="RAA290" s="22"/>
      <c r="RAB290" s="22"/>
      <c r="RAC290" s="22"/>
      <c r="RAD290" s="22"/>
      <c r="RAE290" s="22"/>
      <c r="RAF290" s="22"/>
      <c r="RAG290" s="22"/>
      <c r="RAH290" s="22"/>
      <c r="RAI290" s="22"/>
      <c r="RAJ290" s="22"/>
      <c r="RAK290" s="22"/>
      <c r="RAL290" s="22"/>
      <c r="RAM290" s="22"/>
      <c r="RAN290" s="22"/>
      <c r="RAO290" s="22"/>
      <c r="RAP290" s="22"/>
      <c r="RAQ290" s="22"/>
      <c r="RAR290" s="22"/>
      <c r="RAS290" s="22"/>
      <c r="RAT290" s="22"/>
      <c r="RAU290" s="22"/>
      <c r="RAV290" s="22"/>
      <c r="RAW290" s="22"/>
      <c r="RAX290" s="22"/>
      <c r="RAY290" s="22"/>
      <c r="RAZ290" s="22"/>
      <c r="RBA290" s="22"/>
      <c r="RBB290" s="22"/>
      <c r="RBC290" s="22"/>
      <c r="RBD290" s="22"/>
      <c r="RBE290" s="22"/>
      <c r="RBF290" s="22"/>
      <c r="RBG290" s="22"/>
      <c r="RBH290" s="22"/>
      <c r="RBI290" s="22"/>
      <c r="RBJ290" s="22"/>
      <c r="RBK290" s="22"/>
      <c r="RBL290" s="22"/>
      <c r="RBM290" s="22"/>
      <c r="RBN290" s="22"/>
      <c r="RBO290" s="22"/>
      <c r="RBP290" s="22"/>
      <c r="RBQ290" s="22"/>
      <c r="RBR290" s="22"/>
      <c r="RBS290" s="22"/>
      <c r="RBT290" s="22"/>
      <c r="RBU290" s="22"/>
      <c r="RBV290" s="22"/>
      <c r="RBW290" s="22"/>
      <c r="RBX290" s="22"/>
      <c r="RBY290" s="22"/>
      <c r="RBZ290" s="22"/>
      <c r="RCA290" s="22"/>
      <c r="RCB290" s="22"/>
      <c r="RCC290" s="22"/>
      <c r="RCD290" s="22"/>
      <c r="RCE290" s="22"/>
      <c r="RCF290" s="22"/>
      <c r="RCG290" s="22"/>
      <c r="RCH290" s="22"/>
      <c r="RCI290" s="22"/>
      <c r="RCJ290" s="22"/>
      <c r="RCK290" s="22"/>
      <c r="RCL290" s="22"/>
      <c r="RCM290" s="22"/>
      <c r="RCN290" s="22"/>
      <c r="RCO290" s="22"/>
      <c r="RCP290" s="22"/>
      <c r="RCQ290" s="22"/>
      <c r="RCR290" s="22"/>
      <c r="RCS290" s="22"/>
      <c r="RCT290" s="22"/>
      <c r="RCU290" s="22"/>
      <c r="RCV290" s="22"/>
      <c r="RCW290" s="22"/>
      <c r="RCX290" s="22"/>
      <c r="RCY290" s="22"/>
      <c r="RCZ290" s="22"/>
      <c r="RDA290" s="22"/>
      <c r="RDB290" s="22"/>
      <c r="RDC290" s="22"/>
      <c r="RDD290" s="22"/>
      <c r="RDE290" s="22"/>
      <c r="RDF290" s="22"/>
      <c r="RDG290" s="22"/>
      <c r="RDH290" s="22"/>
      <c r="RDI290" s="22"/>
      <c r="RDJ290" s="22"/>
      <c r="RDK290" s="22"/>
      <c r="RDL290" s="22"/>
      <c r="RDM290" s="22"/>
      <c r="RDN290" s="22"/>
      <c r="RDO290" s="22"/>
      <c r="RDP290" s="22"/>
      <c r="RDQ290" s="22"/>
      <c r="RDR290" s="22"/>
      <c r="RDS290" s="22"/>
      <c r="RDT290" s="22"/>
      <c r="RDU290" s="22"/>
      <c r="RDV290" s="22"/>
      <c r="RDW290" s="22"/>
      <c r="RDX290" s="22"/>
      <c r="RDY290" s="22"/>
      <c r="RDZ290" s="22"/>
      <c r="REA290" s="22"/>
      <c r="REB290" s="22"/>
      <c r="REC290" s="22"/>
      <c r="RED290" s="22"/>
      <c r="REE290" s="22"/>
      <c r="REF290" s="22"/>
      <c r="REG290" s="22"/>
      <c r="REH290" s="22"/>
      <c r="REI290" s="22"/>
      <c r="REJ290" s="22"/>
      <c r="REK290" s="22"/>
      <c r="REL290" s="22"/>
      <c r="REM290" s="22"/>
      <c r="REN290" s="22"/>
      <c r="REO290" s="22"/>
      <c r="REP290" s="22"/>
      <c r="REQ290" s="22"/>
      <c r="RER290" s="22"/>
      <c r="RES290" s="22"/>
      <c r="RET290" s="22"/>
      <c r="REU290" s="22"/>
      <c r="REV290" s="22"/>
      <c r="REW290" s="22"/>
      <c r="REX290" s="22"/>
      <c r="REY290" s="22"/>
      <c r="REZ290" s="22"/>
      <c r="RFA290" s="22"/>
      <c r="RFB290" s="22"/>
      <c r="RFC290" s="22"/>
      <c r="RFD290" s="22"/>
      <c r="RFE290" s="22"/>
      <c r="RFF290" s="22"/>
      <c r="RFG290" s="22"/>
      <c r="RFH290" s="22"/>
      <c r="RFI290" s="22"/>
      <c r="RFJ290" s="22"/>
      <c r="RFK290" s="22"/>
      <c r="RFL290" s="22"/>
      <c r="RFM290" s="22"/>
      <c r="RFN290" s="22"/>
      <c r="RFO290" s="22"/>
      <c r="RFP290" s="22"/>
      <c r="RFQ290" s="22"/>
      <c r="RFR290" s="22"/>
      <c r="RFS290" s="22"/>
      <c r="RFT290" s="22"/>
      <c r="RFU290" s="22"/>
      <c r="RFV290" s="22"/>
      <c r="RFW290" s="22"/>
      <c r="RFX290" s="22"/>
      <c r="RFY290" s="22"/>
      <c r="RFZ290" s="22"/>
      <c r="RGA290" s="22"/>
      <c r="RGB290" s="22"/>
      <c r="RGC290" s="22"/>
      <c r="RGD290" s="22"/>
      <c r="RGE290" s="22"/>
      <c r="RGF290" s="22"/>
      <c r="RGG290" s="22"/>
      <c r="RGH290" s="22"/>
      <c r="RGI290" s="22"/>
      <c r="RGJ290" s="22"/>
      <c r="RGK290" s="22"/>
      <c r="RGL290" s="22"/>
      <c r="RGM290" s="22"/>
      <c r="RGN290" s="22"/>
      <c r="RGO290" s="22"/>
      <c r="RGP290" s="22"/>
      <c r="RGQ290" s="22"/>
      <c r="RGR290" s="22"/>
      <c r="RGS290" s="22"/>
      <c r="RGT290" s="22"/>
      <c r="RGU290" s="22"/>
      <c r="RGV290" s="22"/>
      <c r="RGW290" s="22"/>
      <c r="RGX290" s="22"/>
      <c r="RGY290" s="22"/>
      <c r="RGZ290" s="22"/>
      <c r="RHA290" s="22"/>
      <c r="RHB290" s="22"/>
      <c r="RHC290" s="22"/>
      <c r="RHD290" s="22"/>
      <c r="RHE290" s="22"/>
      <c r="RHF290" s="22"/>
      <c r="RHG290" s="22"/>
      <c r="RHH290" s="22"/>
      <c r="RHI290" s="22"/>
      <c r="RHJ290" s="22"/>
      <c r="RHK290" s="22"/>
      <c r="RHL290" s="22"/>
      <c r="RHM290" s="22"/>
      <c r="RHN290" s="22"/>
      <c r="RHO290" s="22"/>
      <c r="RHP290" s="22"/>
      <c r="RHQ290" s="22"/>
      <c r="RHR290" s="22"/>
      <c r="RHS290" s="22"/>
      <c r="RHT290" s="22"/>
      <c r="RHU290" s="22"/>
      <c r="RHV290" s="22"/>
      <c r="RHW290" s="22"/>
      <c r="RHX290" s="22"/>
      <c r="RHY290" s="22"/>
      <c r="RHZ290" s="22"/>
      <c r="RIA290" s="22"/>
      <c r="RIB290" s="22"/>
      <c r="RIC290" s="22"/>
      <c r="RID290" s="22"/>
      <c r="RIE290" s="22"/>
      <c r="RIF290" s="22"/>
      <c r="RIG290" s="22"/>
      <c r="RIH290" s="22"/>
      <c r="RII290" s="22"/>
      <c r="RIJ290" s="22"/>
      <c r="RIK290" s="22"/>
      <c r="RIL290" s="22"/>
      <c r="RIM290" s="22"/>
      <c r="RIN290" s="22"/>
      <c r="RIO290" s="22"/>
      <c r="RIP290" s="22"/>
      <c r="RIQ290" s="22"/>
      <c r="RIR290" s="22"/>
      <c r="RIS290" s="22"/>
      <c r="RIT290" s="22"/>
      <c r="RIU290" s="22"/>
      <c r="RIV290" s="22"/>
      <c r="RIW290" s="22"/>
      <c r="RIX290" s="22"/>
      <c r="RIY290" s="22"/>
      <c r="RIZ290" s="22"/>
      <c r="RJA290" s="22"/>
      <c r="RJB290" s="22"/>
      <c r="RJC290" s="22"/>
      <c r="RJD290" s="22"/>
      <c r="RJE290" s="22"/>
      <c r="RJF290" s="22"/>
      <c r="RJG290" s="22"/>
      <c r="RJH290" s="22"/>
      <c r="RJI290" s="22"/>
      <c r="RJJ290" s="22"/>
      <c r="RJK290" s="22"/>
      <c r="RJL290" s="22"/>
      <c r="RJM290" s="22"/>
      <c r="RJN290" s="22"/>
      <c r="RJO290" s="22"/>
      <c r="RJP290" s="22"/>
      <c r="RJQ290" s="22"/>
      <c r="RJR290" s="22"/>
      <c r="RJS290" s="22"/>
      <c r="RJT290" s="22"/>
      <c r="RJU290" s="22"/>
      <c r="RJV290" s="22"/>
      <c r="RJW290" s="22"/>
      <c r="RJX290" s="22"/>
      <c r="RJY290" s="22"/>
      <c r="RJZ290" s="22"/>
      <c r="RKA290" s="22"/>
      <c r="RKB290" s="22"/>
      <c r="RKC290" s="22"/>
      <c r="RKD290" s="22"/>
      <c r="RKE290" s="22"/>
      <c r="RKF290" s="22"/>
      <c r="RKG290" s="22"/>
      <c r="RKH290" s="22"/>
      <c r="RKI290" s="22"/>
      <c r="RKJ290" s="22"/>
      <c r="RKK290" s="22"/>
      <c r="RKL290" s="22"/>
      <c r="RKM290" s="22"/>
      <c r="RKN290" s="22"/>
      <c r="RKO290" s="22"/>
      <c r="RKP290" s="22"/>
      <c r="RKQ290" s="22"/>
      <c r="RKR290" s="22"/>
      <c r="RKS290" s="22"/>
      <c r="RKT290" s="22"/>
      <c r="RKU290" s="22"/>
      <c r="RKV290" s="22"/>
      <c r="RKW290" s="22"/>
      <c r="RKX290" s="22"/>
      <c r="RKY290" s="22"/>
      <c r="RKZ290" s="22"/>
      <c r="RLA290" s="22"/>
      <c r="RLB290" s="22"/>
      <c r="RLC290" s="22"/>
      <c r="RLD290" s="22"/>
      <c r="RLE290" s="22"/>
      <c r="RLF290" s="22"/>
      <c r="RLG290" s="22"/>
      <c r="RLH290" s="22"/>
      <c r="RLI290" s="22"/>
      <c r="RLJ290" s="22"/>
      <c r="RLK290" s="22"/>
      <c r="RLL290" s="22"/>
      <c r="RLM290" s="22"/>
      <c r="RLN290" s="22"/>
      <c r="RLO290" s="22"/>
      <c r="RLP290" s="22"/>
      <c r="RLQ290" s="22"/>
      <c r="RLR290" s="22"/>
      <c r="RLS290" s="22"/>
      <c r="RLT290" s="22"/>
      <c r="RLU290" s="22"/>
      <c r="RLV290" s="22"/>
      <c r="RLW290" s="22"/>
      <c r="RLX290" s="22"/>
      <c r="RLY290" s="22"/>
      <c r="RLZ290" s="22"/>
      <c r="RMA290" s="22"/>
      <c r="RMB290" s="22"/>
      <c r="RMC290" s="22"/>
      <c r="RMD290" s="22"/>
      <c r="RME290" s="22"/>
      <c r="RMF290" s="22"/>
      <c r="RMG290" s="22"/>
      <c r="RMH290" s="22"/>
      <c r="RMI290" s="22"/>
      <c r="RMJ290" s="22"/>
      <c r="RMK290" s="22"/>
      <c r="RML290" s="22"/>
      <c r="RMM290" s="22"/>
      <c r="RMN290" s="22"/>
      <c r="RMO290" s="22"/>
      <c r="RMP290" s="22"/>
      <c r="RMQ290" s="22"/>
      <c r="RMR290" s="22"/>
      <c r="RMS290" s="22"/>
      <c r="RMT290" s="22"/>
      <c r="RMU290" s="22"/>
      <c r="RMV290" s="22"/>
      <c r="RMW290" s="22"/>
      <c r="RMX290" s="22"/>
      <c r="RMY290" s="22"/>
      <c r="RMZ290" s="22"/>
      <c r="RNA290" s="22"/>
      <c r="RNB290" s="22"/>
      <c r="RNC290" s="22"/>
      <c r="RND290" s="22"/>
      <c r="RNE290" s="22"/>
      <c r="RNF290" s="22"/>
      <c r="RNG290" s="22"/>
      <c r="RNH290" s="22"/>
      <c r="RNI290" s="22"/>
      <c r="RNJ290" s="22"/>
      <c r="RNK290" s="22"/>
      <c r="RNL290" s="22"/>
      <c r="RNM290" s="22"/>
      <c r="RNN290" s="22"/>
      <c r="RNO290" s="22"/>
      <c r="RNP290" s="22"/>
      <c r="RNQ290" s="22"/>
      <c r="RNR290" s="22"/>
      <c r="RNS290" s="22"/>
      <c r="RNT290" s="22"/>
      <c r="RNU290" s="22"/>
      <c r="RNV290" s="22"/>
      <c r="RNW290" s="22"/>
      <c r="RNX290" s="22"/>
      <c r="RNY290" s="22"/>
      <c r="RNZ290" s="22"/>
      <c r="ROA290" s="22"/>
      <c r="ROB290" s="22"/>
      <c r="ROC290" s="22"/>
      <c r="ROD290" s="22"/>
      <c r="ROE290" s="22"/>
      <c r="ROF290" s="22"/>
      <c r="ROG290" s="22"/>
      <c r="ROH290" s="22"/>
      <c r="ROI290" s="22"/>
      <c r="ROJ290" s="22"/>
      <c r="ROK290" s="22"/>
      <c r="ROL290" s="22"/>
      <c r="ROM290" s="22"/>
      <c r="RON290" s="22"/>
      <c r="ROO290" s="22"/>
      <c r="ROP290" s="22"/>
      <c r="ROQ290" s="22"/>
      <c r="ROR290" s="22"/>
      <c r="ROS290" s="22"/>
      <c r="ROT290" s="22"/>
      <c r="ROU290" s="22"/>
      <c r="ROV290" s="22"/>
      <c r="ROW290" s="22"/>
      <c r="ROX290" s="22"/>
      <c r="ROY290" s="22"/>
      <c r="ROZ290" s="22"/>
      <c r="RPA290" s="22"/>
      <c r="RPB290" s="22"/>
      <c r="RPC290" s="22"/>
      <c r="RPD290" s="22"/>
      <c r="RPE290" s="22"/>
      <c r="RPF290" s="22"/>
      <c r="RPG290" s="22"/>
      <c r="RPH290" s="22"/>
      <c r="RPI290" s="22"/>
      <c r="RPJ290" s="22"/>
      <c r="RPK290" s="22"/>
      <c r="RPL290" s="22"/>
      <c r="RPM290" s="22"/>
      <c r="RPN290" s="22"/>
      <c r="RPO290" s="22"/>
      <c r="RPP290" s="22"/>
      <c r="RPQ290" s="22"/>
      <c r="RPR290" s="22"/>
      <c r="RPS290" s="22"/>
      <c r="RPT290" s="22"/>
      <c r="RPU290" s="22"/>
      <c r="RPV290" s="22"/>
      <c r="RPW290" s="22"/>
      <c r="RPX290" s="22"/>
      <c r="RPY290" s="22"/>
      <c r="RPZ290" s="22"/>
      <c r="RQA290" s="22"/>
      <c r="RQB290" s="22"/>
      <c r="RQC290" s="22"/>
      <c r="RQD290" s="22"/>
      <c r="RQE290" s="22"/>
      <c r="RQF290" s="22"/>
      <c r="RQG290" s="22"/>
      <c r="RQH290" s="22"/>
      <c r="RQI290" s="22"/>
      <c r="RQJ290" s="22"/>
      <c r="RQK290" s="22"/>
      <c r="RQL290" s="22"/>
      <c r="RQM290" s="22"/>
      <c r="RQN290" s="22"/>
      <c r="RQO290" s="22"/>
      <c r="RQP290" s="22"/>
      <c r="RQQ290" s="22"/>
      <c r="RQR290" s="22"/>
      <c r="RQS290" s="22"/>
      <c r="RQT290" s="22"/>
      <c r="RQU290" s="22"/>
      <c r="RQV290" s="22"/>
      <c r="RQW290" s="22"/>
      <c r="RQX290" s="22"/>
      <c r="RQY290" s="22"/>
      <c r="RQZ290" s="22"/>
      <c r="RRA290" s="22"/>
      <c r="RRB290" s="22"/>
      <c r="RRC290" s="22"/>
      <c r="RRD290" s="22"/>
      <c r="RRE290" s="22"/>
      <c r="RRF290" s="22"/>
      <c r="RRG290" s="22"/>
      <c r="RRH290" s="22"/>
      <c r="RRI290" s="22"/>
      <c r="RRJ290" s="22"/>
      <c r="RRK290" s="22"/>
      <c r="RRL290" s="22"/>
      <c r="RRM290" s="22"/>
      <c r="RRN290" s="22"/>
      <c r="RRO290" s="22"/>
      <c r="RRP290" s="22"/>
      <c r="RRQ290" s="22"/>
      <c r="RRR290" s="22"/>
      <c r="RRS290" s="22"/>
      <c r="RRT290" s="22"/>
      <c r="RRU290" s="22"/>
      <c r="RRV290" s="22"/>
      <c r="RRW290" s="22"/>
      <c r="RRX290" s="22"/>
      <c r="RRY290" s="22"/>
      <c r="RRZ290" s="22"/>
      <c r="RSA290" s="22"/>
      <c r="RSB290" s="22"/>
      <c r="RSC290" s="22"/>
      <c r="RSD290" s="22"/>
      <c r="RSE290" s="22"/>
      <c r="RSF290" s="22"/>
      <c r="RSG290" s="22"/>
      <c r="RSH290" s="22"/>
      <c r="RSI290" s="22"/>
      <c r="RSJ290" s="22"/>
      <c r="RSK290" s="22"/>
      <c r="RSL290" s="22"/>
      <c r="RSM290" s="22"/>
      <c r="RSN290" s="22"/>
      <c r="RSO290" s="22"/>
      <c r="RSP290" s="22"/>
      <c r="RSQ290" s="22"/>
      <c r="RSR290" s="22"/>
      <c r="RSS290" s="22"/>
      <c r="RST290" s="22"/>
      <c r="RSU290" s="22"/>
      <c r="RSV290" s="22"/>
      <c r="RSW290" s="22"/>
      <c r="RSX290" s="22"/>
      <c r="RSY290" s="22"/>
      <c r="RSZ290" s="22"/>
      <c r="RTA290" s="22"/>
      <c r="RTB290" s="22"/>
      <c r="RTC290" s="22"/>
      <c r="RTD290" s="22"/>
      <c r="RTE290" s="22"/>
      <c r="RTF290" s="22"/>
      <c r="RTG290" s="22"/>
      <c r="RTH290" s="22"/>
      <c r="RTI290" s="22"/>
      <c r="RTJ290" s="22"/>
      <c r="RTK290" s="22"/>
      <c r="RTL290" s="22"/>
      <c r="RTM290" s="22"/>
      <c r="RTN290" s="22"/>
      <c r="RTO290" s="22"/>
      <c r="RTP290" s="22"/>
      <c r="RTQ290" s="22"/>
      <c r="RTR290" s="22"/>
      <c r="RTS290" s="22"/>
      <c r="RTT290" s="22"/>
      <c r="RTU290" s="22"/>
      <c r="RTV290" s="22"/>
      <c r="RTW290" s="22"/>
      <c r="RTX290" s="22"/>
      <c r="RTY290" s="22"/>
      <c r="RTZ290" s="22"/>
      <c r="RUA290" s="22"/>
      <c r="RUB290" s="22"/>
      <c r="RUC290" s="22"/>
      <c r="RUD290" s="22"/>
      <c r="RUE290" s="22"/>
      <c r="RUF290" s="22"/>
      <c r="RUG290" s="22"/>
      <c r="RUH290" s="22"/>
      <c r="RUI290" s="22"/>
      <c r="RUJ290" s="22"/>
      <c r="RUK290" s="22"/>
      <c r="RUL290" s="22"/>
      <c r="RUM290" s="22"/>
      <c r="RUN290" s="22"/>
      <c r="RUO290" s="22"/>
      <c r="RUP290" s="22"/>
      <c r="RUQ290" s="22"/>
      <c r="RUR290" s="22"/>
      <c r="RUS290" s="22"/>
      <c r="RUT290" s="22"/>
      <c r="RUU290" s="22"/>
      <c r="RUV290" s="22"/>
      <c r="RUW290" s="22"/>
      <c r="RUX290" s="22"/>
      <c r="RUY290" s="22"/>
      <c r="RUZ290" s="22"/>
      <c r="RVA290" s="22"/>
      <c r="RVB290" s="22"/>
      <c r="RVC290" s="22"/>
      <c r="RVD290" s="22"/>
      <c r="RVE290" s="22"/>
      <c r="RVF290" s="22"/>
      <c r="RVG290" s="22"/>
      <c r="RVH290" s="22"/>
      <c r="RVI290" s="22"/>
      <c r="RVJ290" s="22"/>
      <c r="RVK290" s="22"/>
      <c r="RVL290" s="22"/>
      <c r="RVM290" s="22"/>
      <c r="RVN290" s="22"/>
      <c r="RVO290" s="22"/>
      <c r="RVP290" s="22"/>
      <c r="RVQ290" s="22"/>
      <c r="RVR290" s="22"/>
      <c r="RVS290" s="22"/>
      <c r="RVT290" s="22"/>
      <c r="RVU290" s="22"/>
      <c r="RVV290" s="22"/>
      <c r="RVW290" s="22"/>
      <c r="RVX290" s="22"/>
      <c r="RVY290" s="22"/>
      <c r="RVZ290" s="22"/>
      <c r="RWA290" s="22"/>
      <c r="RWB290" s="22"/>
      <c r="RWC290" s="22"/>
      <c r="RWD290" s="22"/>
      <c r="RWE290" s="22"/>
      <c r="RWF290" s="22"/>
      <c r="RWG290" s="22"/>
      <c r="RWH290" s="22"/>
      <c r="RWI290" s="22"/>
      <c r="RWJ290" s="22"/>
      <c r="RWK290" s="22"/>
      <c r="RWL290" s="22"/>
      <c r="RWM290" s="22"/>
      <c r="RWN290" s="22"/>
      <c r="RWO290" s="22"/>
      <c r="RWP290" s="22"/>
      <c r="RWQ290" s="22"/>
      <c r="RWR290" s="22"/>
      <c r="RWS290" s="22"/>
      <c r="RWT290" s="22"/>
      <c r="RWU290" s="22"/>
      <c r="RWV290" s="22"/>
      <c r="RWW290" s="22"/>
      <c r="RWX290" s="22"/>
      <c r="RWY290" s="22"/>
      <c r="RWZ290" s="22"/>
      <c r="RXA290" s="22"/>
      <c r="RXB290" s="22"/>
      <c r="RXC290" s="22"/>
      <c r="RXD290" s="22"/>
      <c r="RXE290" s="22"/>
      <c r="RXF290" s="22"/>
      <c r="RXG290" s="22"/>
      <c r="RXH290" s="22"/>
      <c r="RXI290" s="22"/>
      <c r="RXJ290" s="22"/>
      <c r="RXK290" s="22"/>
      <c r="RXL290" s="22"/>
      <c r="RXM290" s="22"/>
      <c r="RXN290" s="22"/>
      <c r="RXO290" s="22"/>
      <c r="RXP290" s="22"/>
      <c r="RXQ290" s="22"/>
      <c r="RXR290" s="22"/>
      <c r="RXS290" s="22"/>
      <c r="RXT290" s="22"/>
      <c r="RXU290" s="22"/>
      <c r="RXV290" s="22"/>
      <c r="RXW290" s="22"/>
      <c r="RXX290" s="22"/>
      <c r="RXY290" s="22"/>
      <c r="RXZ290" s="22"/>
      <c r="RYA290" s="22"/>
      <c r="RYB290" s="22"/>
      <c r="RYC290" s="22"/>
      <c r="RYD290" s="22"/>
      <c r="RYE290" s="22"/>
      <c r="RYF290" s="22"/>
      <c r="RYG290" s="22"/>
      <c r="RYH290" s="22"/>
      <c r="RYI290" s="22"/>
      <c r="RYJ290" s="22"/>
      <c r="RYK290" s="22"/>
      <c r="RYL290" s="22"/>
      <c r="RYM290" s="22"/>
      <c r="RYN290" s="22"/>
      <c r="RYO290" s="22"/>
      <c r="RYP290" s="22"/>
      <c r="RYQ290" s="22"/>
      <c r="RYR290" s="22"/>
      <c r="RYS290" s="22"/>
      <c r="RYT290" s="22"/>
      <c r="RYU290" s="22"/>
      <c r="RYV290" s="22"/>
      <c r="RYW290" s="22"/>
      <c r="RYX290" s="22"/>
      <c r="RYY290" s="22"/>
      <c r="RYZ290" s="22"/>
      <c r="RZA290" s="22"/>
      <c r="RZB290" s="22"/>
      <c r="RZC290" s="22"/>
      <c r="RZD290" s="22"/>
      <c r="RZE290" s="22"/>
      <c r="RZF290" s="22"/>
      <c r="RZG290" s="22"/>
      <c r="RZH290" s="22"/>
      <c r="RZI290" s="22"/>
      <c r="RZJ290" s="22"/>
      <c r="RZK290" s="22"/>
      <c r="RZL290" s="22"/>
      <c r="RZM290" s="22"/>
      <c r="RZN290" s="22"/>
      <c r="RZO290" s="22"/>
      <c r="RZP290" s="22"/>
      <c r="RZQ290" s="22"/>
      <c r="RZR290" s="22"/>
      <c r="RZS290" s="22"/>
      <c r="RZT290" s="22"/>
      <c r="RZU290" s="22"/>
      <c r="RZV290" s="22"/>
      <c r="RZW290" s="22"/>
      <c r="RZX290" s="22"/>
      <c r="RZY290" s="22"/>
      <c r="RZZ290" s="22"/>
      <c r="SAA290" s="22"/>
      <c r="SAB290" s="22"/>
      <c r="SAC290" s="22"/>
      <c r="SAD290" s="22"/>
      <c r="SAE290" s="22"/>
      <c r="SAF290" s="22"/>
      <c r="SAG290" s="22"/>
      <c r="SAH290" s="22"/>
      <c r="SAI290" s="22"/>
      <c r="SAJ290" s="22"/>
      <c r="SAK290" s="22"/>
      <c r="SAL290" s="22"/>
      <c r="SAM290" s="22"/>
      <c r="SAN290" s="22"/>
      <c r="SAO290" s="22"/>
      <c r="SAP290" s="22"/>
      <c r="SAQ290" s="22"/>
      <c r="SAR290" s="22"/>
      <c r="SAS290" s="22"/>
      <c r="SAT290" s="22"/>
      <c r="SAU290" s="22"/>
      <c r="SAV290" s="22"/>
      <c r="SAW290" s="22"/>
      <c r="SAX290" s="22"/>
      <c r="SAY290" s="22"/>
      <c r="SAZ290" s="22"/>
      <c r="SBA290" s="22"/>
      <c r="SBB290" s="22"/>
      <c r="SBC290" s="22"/>
      <c r="SBD290" s="22"/>
      <c r="SBE290" s="22"/>
      <c r="SBF290" s="22"/>
      <c r="SBG290" s="22"/>
      <c r="SBH290" s="22"/>
      <c r="SBI290" s="22"/>
      <c r="SBJ290" s="22"/>
      <c r="SBK290" s="22"/>
      <c r="SBL290" s="22"/>
      <c r="SBM290" s="22"/>
      <c r="SBN290" s="22"/>
      <c r="SBO290" s="22"/>
      <c r="SBP290" s="22"/>
      <c r="SBQ290" s="22"/>
      <c r="SBR290" s="22"/>
      <c r="SBS290" s="22"/>
      <c r="SBT290" s="22"/>
      <c r="SBU290" s="22"/>
      <c r="SBV290" s="22"/>
      <c r="SBW290" s="22"/>
      <c r="SBX290" s="22"/>
      <c r="SBY290" s="22"/>
      <c r="SBZ290" s="22"/>
      <c r="SCA290" s="22"/>
      <c r="SCB290" s="22"/>
      <c r="SCC290" s="22"/>
      <c r="SCD290" s="22"/>
      <c r="SCE290" s="22"/>
      <c r="SCF290" s="22"/>
      <c r="SCG290" s="22"/>
      <c r="SCH290" s="22"/>
      <c r="SCI290" s="22"/>
      <c r="SCJ290" s="22"/>
      <c r="SCK290" s="22"/>
      <c r="SCL290" s="22"/>
      <c r="SCM290" s="22"/>
      <c r="SCN290" s="22"/>
      <c r="SCO290" s="22"/>
      <c r="SCP290" s="22"/>
      <c r="SCQ290" s="22"/>
      <c r="SCR290" s="22"/>
      <c r="SCS290" s="22"/>
      <c r="SCT290" s="22"/>
      <c r="SCU290" s="22"/>
      <c r="SCV290" s="22"/>
      <c r="SCW290" s="22"/>
      <c r="SCX290" s="22"/>
      <c r="SCY290" s="22"/>
      <c r="SCZ290" s="22"/>
      <c r="SDA290" s="22"/>
      <c r="SDB290" s="22"/>
      <c r="SDC290" s="22"/>
      <c r="SDD290" s="22"/>
      <c r="SDE290" s="22"/>
      <c r="SDF290" s="22"/>
      <c r="SDG290" s="22"/>
      <c r="SDH290" s="22"/>
      <c r="SDI290" s="22"/>
      <c r="SDJ290" s="22"/>
      <c r="SDK290" s="22"/>
      <c r="SDL290" s="22"/>
      <c r="SDM290" s="22"/>
      <c r="SDN290" s="22"/>
      <c r="SDO290" s="22"/>
      <c r="SDP290" s="22"/>
      <c r="SDQ290" s="22"/>
      <c r="SDR290" s="22"/>
      <c r="SDS290" s="22"/>
      <c r="SDT290" s="22"/>
      <c r="SDU290" s="22"/>
      <c r="SDV290" s="22"/>
      <c r="SDW290" s="22"/>
      <c r="SDX290" s="22"/>
      <c r="SDY290" s="22"/>
      <c r="SDZ290" s="22"/>
      <c r="SEA290" s="22"/>
      <c r="SEB290" s="22"/>
      <c r="SEC290" s="22"/>
      <c r="SED290" s="22"/>
      <c r="SEE290" s="22"/>
      <c r="SEF290" s="22"/>
      <c r="SEG290" s="22"/>
      <c r="SEH290" s="22"/>
      <c r="SEI290" s="22"/>
      <c r="SEJ290" s="22"/>
      <c r="SEK290" s="22"/>
      <c r="SEL290" s="22"/>
      <c r="SEM290" s="22"/>
      <c r="SEN290" s="22"/>
      <c r="SEO290" s="22"/>
      <c r="SEP290" s="22"/>
      <c r="SEQ290" s="22"/>
      <c r="SER290" s="22"/>
      <c r="SES290" s="22"/>
      <c r="SET290" s="22"/>
      <c r="SEU290" s="22"/>
      <c r="SEV290" s="22"/>
      <c r="SEW290" s="22"/>
      <c r="SEX290" s="22"/>
      <c r="SEY290" s="22"/>
      <c r="SEZ290" s="22"/>
      <c r="SFA290" s="22"/>
      <c r="SFB290" s="22"/>
      <c r="SFC290" s="22"/>
      <c r="SFD290" s="22"/>
      <c r="SFE290" s="22"/>
      <c r="SFF290" s="22"/>
      <c r="SFG290" s="22"/>
      <c r="SFH290" s="22"/>
      <c r="SFI290" s="22"/>
      <c r="SFJ290" s="22"/>
      <c r="SFK290" s="22"/>
      <c r="SFL290" s="22"/>
      <c r="SFM290" s="22"/>
      <c r="SFN290" s="22"/>
      <c r="SFO290" s="22"/>
      <c r="SFP290" s="22"/>
      <c r="SFQ290" s="22"/>
      <c r="SFR290" s="22"/>
      <c r="SFS290" s="22"/>
      <c r="SFT290" s="22"/>
      <c r="SFU290" s="22"/>
      <c r="SFV290" s="22"/>
      <c r="SFW290" s="22"/>
      <c r="SFX290" s="22"/>
      <c r="SFY290" s="22"/>
      <c r="SFZ290" s="22"/>
      <c r="SGA290" s="22"/>
      <c r="SGB290" s="22"/>
      <c r="SGC290" s="22"/>
      <c r="SGD290" s="22"/>
      <c r="SGE290" s="22"/>
      <c r="SGF290" s="22"/>
      <c r="SGG290" s="22"/>
      <c r="SGH290" s="22"/>
      <c r="SGI290" s="22"/>
      <c r="SGJ290" s="22"/>
      <c r="SGK290" s="22"/>
      <c r="SGL290" s="22"/>
      <c r="SGM290" s="22"/>
      <c r="SGN290" s="22"/>
      <c r="SGO290" s="22"/>
      <c r="SGP290" s="22"/>
      <c r="SGQ290" s="22"/>
      <c r="SGR290" s="22"/>
      <c r="SGS290" s="22"/>
      <c r="SGT290" s="22"/>
      <c r="SGU290" s="22"/>
      <c r="SGV290" s="22"/>
      <c r="SGW290" s="22"/>
      <c r="SGX290" s="22"/>
      <c r="SGY290" s="22"/>
      <c r="SGZ290" s="22"/>
      <c r="SHA290" s="22"/>
      <c r="SHB290" s="22"/>
      <c r="SHC290" s="22"/>
      <c r="SHD290" s="22"/>
      <c r="SHE290" s="22"/>
      <c r="SHF290" s="22"/>
      <c r="SHG290" s="22"/>
      <c r="SHH290" s="22"/>
      <c r="SHI290" s="22"/>
      <c r="SHJ290" s="22"/>
      <c r="SHK290" s="22"/>
      <c r="SHL290" s="22"/>
      <c r="SHM290" s="22"/>
      <c r="SHN290" s="22"/>
      <c r="SHO290" s="22"/>
      <c r="SHP290" s="22"/>
      <c r="SHQ290" s="22"/>
      <c r="SHR290" s="22"/>
      <c r="SHS290" s="22"/>
      <c r="SHT290" s="22"/>
      <c r="SHU290" s="22"/>
      <c r="SHV290" s="22"/>
      <c r="SHW290" s="22"/>
      <c r="SHX290" s="22"/>
      <c r="SHY290" s="22"/>
      <c r="SHZ290" s="22"/>
      <c r="SIA290" s="22"/>
      <c r="SIB290" s="22"/>
      <c r="SIC290" s="22"/>
      <c r="SID290" s="22"/>
      <c r="SIE290" s="22"/>
      <c r="SIF290" s="22"/>
      <c r="SIG290" s="22"/>
      <c r="SIH290" s="22"/>
      <c r="SII290" s="22"/>
      <c r="SIJ290" s="22"/>
      <c r="SIK290" s="22"/>
      <c r="SIL290" s="22"/>
      <c r="SIM290" s="22"/>
      <c r="SIN290" s="22"/>
      <c r="SIO290" s="22"/>
      <c r="SIP290" s="22"/>
      <c r="SIQ290" s="22"/>
      <c r="SIR290" s="22"/>
      <c r="SIS290" s="22"/>
      <c r="SIT290" s="22"/>
      <c r="SIU290" s="22"/>
      <c r="SIV290" s="22"/>
      <c r="SIW290" s="22"/>
      <c r="SIX290" s="22"/>
      <c r="SIY290" s="22"/>
      <c r="SIZ290" s="22"/>
      <c r="SJA290" s="22"/>
      <c r="SJB290" s="22"/>
      <c r="SJC290" s="22"/>
      <c r="SJD290" s="22"/>
      <c r="SJE290" s="22"/>
      <c r="SJF290" s="22"/>
      <c r="SJG290" s="22"/>
      <c r="SJH290" s="22"/>
      <c r="SJI290" s="22"/>
      <c r="SJJ290" s="22"/>
      <c r="SJK290" s="22"/>
      <c r="SJL290" s="22"/>
      <c r="SJM290" s="22"/>
      <c r="SJN290" s="22"/>
      <c r="SJO290" s="22"/>
      <c r="SJP290" s="22"/>
      <c r="SJQ290" s="22"/>
      <c r="SJR290" s="22"/>
      <c r="SJS290" s="22"/>
      <c r="SJT290" s="22"/>
      <c r="SJU290" s="22"/>
      <c r="SJV290" s="22"/>
      <c r="SJW290" s="22"/>
      <c r="SJX290" s="22"/>
      <c r="SJY290" s="22"/>
      <c r="SJZ290" s="22"/>
      <c r="SKA290" s="22"/>
      <c r="SKB290" s="22"/>
      <c r="SKC290" s="22"/>
      <c r="SKD290" s="22"/>
      <c r="SKE290" s="22"/>
      <c r="SKF290" s="22"/>
      <c r="SKG290" s="22"/>
      <c r="SKH290" s="22"/>
      <c r="SKI290" s="22"/>
      <c r="SKJ290" s="22"/>
      <c r="SKK290" s="22"/>
      <c r="SKL290" s="22"/>
      <c r="SKM290" s="22"/>
      <c r="SKN290" s="22"/>
      <c r="SKO290" s="22"/>
      <c r="SKP290" s="22"/>
      <c r="SKQ290" s="22"/>
      <c r="SKR290" s="22"/>
      <c r="SKS290" s="22"/>
      <c r="SKT290" s="22"/>
      <c r="SKU290" s="22"/>
      <c r="SKV290" s="22"/>
      <c r="SKW290" s="22"/>
      <c r="SKX290" s="22"/>
      <c r="SKY290" s="22"/>
      <c r="SKZ290" s="22"/>
      <c r="SLA290" s="22"/>
      <c r="SLB290" s="22"/>
      <c r="SLC290" s="22"/>
      <c r="SLD290" s="22"/>
      <c r="SLE290" s="22"/>
      <c r="SLF290" s="22"/>
      <c r="SLG290" s="22"/>
      <c r="SLH290" s="22"/>
      <c r="SLI290" s="22"/>
      <c r="SLJ290" s="22"/>
      <c r="SLK290" s="22"/>
      <c r="SLL290" s="22"/>
      <c r="SLM290" s="22"/>
      <c r="SLN290" s="22"/>
      <c r="SLO290" s="22"/>
      <c r="SLP290" s="22"/>
      <c r="SLQ290" s="22"/>
      <c r="SLR290" s="22"/>
      <c r="SLS290" s="22"/>
      <c r="SLT290" s="22"/>
      <c r="SLU290" s="22"/>
      <c r="SLV290" s="22"/>
      <c r="SLW290" s="22"/>
      <c r="SLX290" s="22"/>
      <c r="SLY290" s="22"/>
      <c r="SLZ290" s="22"/>
      <c r="SMA290" s="22"/>
      <c r="SMB290" s="22"/>
      <c r="SMC290" s="22"/>
      <c r="SMD290" s="22"/>
      <c r="SME290" s="22"/>
      <c r="SMF290" s="22"/>
      <c r="SMG290" s="22"/>
      <c r="SMH290" s="22"/>
      <c r="SMI290" s="22"/>
      <c r="SMJ290" s="22"/>
      <c r="SMK290" s="22"/>
      <c r="SML290" s="22"/>
      <c r="SMM290" s="22"/>
      <c r="SMN290" s="22"/>
      <c r="SMO290" s="22"/>
      <c r="SMP290" s="22"/>
      <c r="SMQ290" s="22"/>
      <c r="SMR290" s="22"/>
      <c r="SMS290" s="22"/>
      <c r="SMT290" s="22"/>
      <c r="SMU290" s="22"/>
      <c r="SMV290" s="22"/>
      <c r="SMW290" s="22"/>
      <c r="SMX290" s="22"/>
      <c r="SMY290" s="22"/>
      <c r="SMZ290" s="22"/>
      <c r="SNA290" s="22"/>
      <c r="SNB290" s="22"/>
      <c r="SNC290" s="22"/>
      <c r="SND290" s="22"/>
      <c r="SNE290" s="22"/>
      <c r="SNF290" s="22"/>
      <c r="SNG290" s="22"/>
      <c r="SNH290" s="22"/>
      <c r="SNI290" s="22"/>
      <c r="SNJ290" s="22"/>
      <c r="SNK290" s="22"/>
      <c r="SNL290" s="22"/>
      <c r="SNM290" s="22"/>
      <c r="SNN290" s="22"/>
      <c r="SNO290" s="22"/>
      <c r="SNP290" s="22"/>
      <c r="SNQ290" s="22"/>
      <c r="SNR290" s="22"/>
      <c r="SNS290" s="22"/>
      <c r="SNT290" s="22"/>
      <c r="SNU290" s="22"/>
      <c r="SNV290" s="22"/>
      <c r="SNW290" s="22"/>
      <c r="SNX290" s="22"/>
      <c r="SNY290" s="22"/>
      <c r="SNZ290" s="22"/>
      <c r="SOA290" s="22"/>
      <c r="SOB290" s="22"/>
      <c r="SOC290" s="22"/>
      <c r="SOD290" s="22"/>
      <c r="SOE290" s="22"/>
      <c r="SOF290" s="22"/>
      <c r="SOG290" s="22"/>
      <c r="SOH290" s="22"/>
      <c r="SOI290" s="22"/>
      <c r="SOJ290" s="22"/>
      <c r="SOK290" s="22"/>
      <c r="SOL290" s="22"/>
      <c r="SOM290" s="22"/>
      <c r="SON290" s="22"/>
      <c r="SOO290" s="22"/>
      <c r="SOP290" s="22"/>
      <c r="SOQ290" s="22"/>
      <c r="SOR290" s="22"/>
      <c r="SOS290" s="22"/>
      <c r="SOT290" s="22"/>
      <c r="SOU290" s="22"/>
      <c r="SOV290" s="22"/>
      <c r="SOW290" s="22"/>
      <c r="SOX290" s="22"/>
      <c r="SOY290" s="22"/>
      <c r="SOZ290" s="22"/>
      <c r="SPA290" s="22"/>
      <c r="SPB290" s="22"/>
      <c r="SPC290" s="22"/>
      <c r="SPD290" s="22"/>
      <c r="SPE290" s="22"/>
      <c r="SPF290" s="22"/>
      <c r="SPG290" s="22"/>
      <c r="SPH290" s="22"/>
      <c r="SPI290" s="22"/>
      <c r="SPJ290" s="22"/>
      <c r="SPK290" s="22"/>
      <c r="SPL290" s="22"/>
      <c r="SPM290" s="22"/>
      <c r="SPN290" s="22"/>
      <c r="SPO290" s="22"/>
      <c r="SPP290" s="22"/>
      <c r="SPQ290" s="22"/>
      <c r="SPR290" s="22"/>
      <c r="SPS290" s="22"/>
      <c r="SPT290" s="22"/>
      <c r="SPU290" s="22"/>
      <c r="SPV290" s="22"/>
      <c r="SPW290" s="22"/>
      <c r="SPX290" s="22"/>
      <c r="SPY290" s="22"/>
      <c r="SPZ290" s="22"/>
      <c r="SQA290" s="22"/>
      <c r="SQB290" s="22"/>
      <c r="SQC290" s="22"/>
      <c r="SQD290" s="22"/>
      <c r="SQE290" s="22"/>
      <c r="SQF290" s="22"/>
      <c r="SQG290" s="22"/>
      <c r="SQH290" s="22"/>
      <c r="SQI290" s="22"/>
      <c r="SQJ290" s="22"/>
      <c r="SQK290" s="22"/>
      <c r="SQL290" s="22"/>
      <c r="SQM290" s="22"/>
      <c r="SQN290" s="22"/>
      <c r="SQO290" s="22"/>
      <c r="SQP290" s="22"/>
      <c r="SQQ290" s="22"/>
      <c r="SQR290" s="22"/>
      <c r="SQS290" s="22"/>
      <c r="SQT290" s="22"/>
      <c r="SQU290" s="22"/>
      <c r="SQV290" s="22"/>
      <c r="SQW290" s="22"/>
      <c r="SQX290" s="22"/>
      <c r="SQY290" s="22"/>
      <c r="SQZ290" s="22"/>
      <c r="SRA290" s="22"/>
      <c r="SRB290" s="22"/>
      <c r="SRC290" s="22"/>
      <c r="SRD290" s="22"/>
      <c r="SRE290" s="22"/>
      <c r="SRF290" s="22"/>
      <c r="SRG290" s="22"/>
      <c r="SRH290" s="22"/>
      <c r="SRI290" s="22"/>
      <c r="SRJ290" s="22"/>
      <c r="SRK290" s="22"/>
      <c r="SRL290" s="22"/>
      <c r="SRM290" s="22"/>
      <c r="SRN290" s="22"/>
      <c r="SRO290" s="22"/>
      <c r="SRP290" s="22"/>
      <c r="SRQ290" s="22"/>
      <c r="SRR290" s="22"/>
      <c r="SRS290" s="22"/>
      <c r="SRT290" s="22"/>
      <c r="SRU290" s="22"/>
      <c r="SRV290" s="22"/>
      <c r="SRW290" s="22"/>
      <c r="SRX290" s="22"/>
      <c r="SRY290" s="22"/>
      <c r="SRZ290" s="22"/>
      <c r="SSA290" s="22"/>
      <c r="SSB290" s="22"/>
      <c r="SSC290" s="22"/>
      <c r="SSD290" s="22"/>
      <c r="SSE290" s="22"/>
      <c r="SSF290" s="22"/>
      <c r="SSG290" s="22"/>
      <c r="SSH290" s="22"/>
      <c r="SSI290" s="22"/>
      <c r="SSJ290" s="22"/>
      <c r="SSK290" s="22"/>
      <c r="SSL290" s="22"/>
      <c r="SSM290" s="22"/>
      <c r="SSN290" s="22"/>
      <c r="SSO290" s="22"/>
      <c r="SSP290" s="22"/>
      <c r="SSQ290" s="22"/>
      <c r="SSR290" s="22"/>
      <c r="SSS290" s="22"/>
      <c r="SST290" s="22"/>
      <c r="SSU290" s="22"/>
      <c r="SSV290" s="22"/>
      <c r="SSW290" s="22"/>
      <c r="SSX290" s="22"/>
      <c r="SSY290" s="22"/>
      <c r="SSZ290" s="22"/>
      <c r="STA290" s="22"/>
      <c r="STB290" s="22"/>
      <c r="STC290" s="22"/>
      <c r="STD290" s="22"/>
      <c r="STE290" s="22"/>
      <c r="STF290" s="22"/>
      <c r="STG290" s="22"/>
      <c r="STH290" s="22"/>
      <c r="STI290" s="22"/>
      <c r="STJ290" s="22"/>
      <c r="STK290" s="22"/>
      <c r="STL290" s="22"/>
      <c r="STM290" s="22"/>
      <c r="STN290" s="22"/>
      <c r="STO290" s="22"/>
      <c r="STP290" s="22"/>
      <c r="STQ290" s="22"/>
      <c r="STR290" s="22"/>
      <c r="STS290" s="22"/>
      <c r="STT290" s="22"/>
      <c r="STU290" s="22"/>
      <c r="STV290" s="22"/>
      <c r="STW290" s="22"/>
      <c r="STX290" s="22"/>
      <c r="STY290" s="22"/>
      <c r="STZ290" s="22"/>
      <c r="SUA290" s="22"/>
      <c r="SUB290" s="22"/>
      <c r="SUC290" s="22"/>
      <c r="SUD290" s="22"/>
      <c r="SUE290" s="22"/>
      <c r="SUF290" s="22"/>
      <c r="SUG290" s="22"/>
      <c r="SUH290" s="22"/>
      <c r="SUI290" s="22"/>
      <c r="SUJ290" s="22"/>
      <c r="SUK290" s="22"/>
      <c r="SUL290" s="22"/>
      <c r="SUM290" s="22"/>
      <c r="SUN290" s="22"/>
      <c r="SUO290" s="22"/>
      <c r="SUP290" s="22"/>
      <c r="SUQ290" s="22"/>
      <c r="SUR290" s="22"/>
      <c r="SUS290" s="22"/>
      <c r="SUT290" s="22"/>
      <c r="SUU290" s="22"/>
      <c r="SUV290" s="22"/>
      <c r="SUW290" s="22"/>
      <c r="SUX290" s="22"/>
      <c r="SUY290" s="22"/>
      <c r="SUZ290" s="22"/>
      <c r="SVA290" s="22"/>
      <c r="SVB290" s="22"/>
      <c r="SVC290" s="22"/>
      <c r="SVD290" s="22"/>
      <c r="SVE290" s="22"/>
      <c r="SVF290" s="22"/>
      <c r="SVG290" s="22"/>
      <c r="SVH290" s="22"/>
      <c r="SVI290" s="22"/>
      <c r="SVJ290" s="22"/>
      <c r="SVK290" s="22"/>
      <c r="SVL290" s="22"/>
      <c r="SVM290" s="22"/>
      <c r="SVN290" s="22"/>
      <c r="SVO290" s="22"/>
      <c r="SVP290" s="22"/>
      <c r="SVQ290" s="22"/>
      <c r="SVR290" s="22"/>
      <c r="SVS290" s="22"/>
      <c r="SVT290" s="22"/>
      <c r="SVU290" s="22"/>
      <c r="SVV290" s="22"/>
      <c r="SVW290" s="22"/>
      <c r="SVX290" s="22"/>
      <c r="SVY290" s="22"/>
      <c r="SVZ290" s="22"/>
      <c r="SWA290" s="22"/>
      <c r="SWB290" s="22"/>
      <c r="SWC290" s="22"/>
      <c r="SWD290" s="22"/>
      <c r="SWE290" s="22"/>
      <c r="SWF290" s="22"/>
      <c r="SWG290" s="22"/>
      <c r="SWH290" s="22"/>
      <c r="SWI290" s="22"/>
      <c r="SWJ290" s="22"/>
      <c r="SWK290" s="22"/>
      <c r="SWL290" s="22"/>
      <c r="SWM290" s="22"/>
      <c r="SWN290" s="22"/>
      <c r="SWO290" s="22"/>
      <c r="SWP290" s="22"/>
      <c r="SWQ290" s="22"/>
      <c r="SWR290" s="22"/>
      <c r="SWS290" s="22"/>
      <c r="SWT290" s="22"/>
      <c r="SWU290" s="22"/>
      <c r="SWV290" s="22"/>
      <c r="SWW290" s="22"/>
      <c r="SWX290" s="22"/>
      <c r="SWY290" s="22"/>
      <c r="SWZ290" s="22"/>
      <c r="SXA290" s="22"/>
      <c r="SXB290" s="22"/>
      <c r="SXC290" s="22"/>
      <c r="SXD290" s="22"/>
      <c r="SXE290" s="22"/>
      <c r="SXF290" s="22"/>
      <c r="SXG290" s="22"/>
      <c r="SXH290" s="22"/>
      <c r="SXI290" s="22"/>
      <c r="SXJ290" s="22"/>
      <c r="SXK290" s="22"/>
      <c r="SXL290" s="22"/>
      <c r="SXM290" s="22"/>
      <c r="SXN290" s="22"/>
      <c r="SXO290" s="22"/>
      <c r="SXP290" s="22"/>
      <c r="SXQ290" s="22"/>
      <c r="SXR290" s="22"/>
      <c r="SXS290" s="22"/>
      <c r="SXT290" s="22"/>
      <c r="SXU290" s="22"/>
      <c r="SXV290" s="22"/>
      <c r="SXW290" s="22"/>
      <c r="SXX290" s="22"/>
      <c r="SXY290" s="22"/>
      <c r="SXZ290" s="22"/>
      <c r="SYA290" s="22"/>
      <c r="SYB290" s="22"/>
      <c r="SYC290" s="22"/>
      <c r="SYD290" s="22"/>
      <c r="SYE290" s="22"/>
      <c r="SYF290" s="22"/>
      <c r="SYG290" s="22"/>
      <c r="SYH290" s="22"/>
      <c r="SYI290" s="22"/>
      <c r="SYJ290" s="22"/>
      <c r="SYK290" s="22"/>
      <c r="SYL290" s="22"/>
      <c r="SYM290" s="22"/>
      <c r="SYN290" s="22"/>
      <c r="SYO290" s="22"/>
      <c r="SYP290" s="22"/>
      <c r="SYQ290" s="22"/>
      <c r="SYR290" s="22"/>
      <c r="SYS290" s="22"/>
      <c r="SYT290" s="22"/>
      <c r="SYU290" s="22"/>
      <c r="SYV290" s="22"/>
      <c r="SYW290" s="22"/>
      <c r="SYX290" s="22"/>
      <c r="SYY290" s="22"/>
      <c r="SYZ290" s="22"/>
      <c r="SZA290" s="22"/>
      <c r="SZB290" s="22"/>
      <c r="SZC290" s="22"/>
      <c r="SZD290" s="22"/>
      <c r="SZE290" s="22"/>
      <c r="SZF290" s="22"/>
      <c r="SZG290" s="22"/>
      <c r="SZH290" s="22"/>
      <c r="SZI290" s="22"/>
      <c r="SZJ290" s="22"/>
      <c r="SZK290" s="22"/>
      <c r="SZL290" s="22"/>
      <c r="SZM290" s="22"/>
      <c r="SZN290" s="22"/>
      <c r="SZO290" s="22"/>
      <c r="SZP290" s="22"/>
      <c r="SZQ290" s="22"/>
      <c r="SZR290" s="22"/>
      <c r="SZS290" s="22"/>
      <c r="SZT290" s="22"/>
      <c r="SZU290" s="22"/>
      <c r="SZV290" s="22"/>
      <c r="SZW290" s="22"/>
      <c r="SZX290" s="22"/>
      <c r="SZY290" s="22"/>
      <c r="SZZ290" s="22"/>
      <c r="TAA290" s="22"/>
      <c r="TAB290" s="22"/>
      <c r="TAC290" s="22"/>
      <c r="TAD290" s="22"/>
      <c r="TAE290" s="22"/>
      <c r="TAF290" s="22"/>
      <c r="TAG290" s="22"/>
      <c r="TAH290" s="22"/>
      <c r="TAI290" s="22"/>
      <c r="TAJ290" s="22"/>
      <c r="TAK290" s="22"/>
      <c r="TAL290" s="22"/>
      <c r="TAM290" s="22"/>
      <c r="TAN290" s="22"/>
      <c r="TAO290" s="22"/>
      <c r="TAP290" s="22"/>
      <c r="TAQ290" s="22"/>
      <c r="TAR290" s="22"/>
      <c r="TAS290" s="22"/>
      <c r="TAT290" s="22"/>
      <c r="TAU290" s="22"/>
      <c r="TAV290" s="22"/>
      <c r="TAW290" s="22"/>
      <c r="TAX290" s="22"/>
      <c r="TAY290" s="22"/>
      <c r="TAZ290" s="22"/>
      <c r="TBA290" s="22"/>
      <c r="TBB290" s="22"/>
      <c r="TBC290" s="22"/>
      <c r="TBD290" s="22"/>
      <c r="TBE290" s="22"/>
      <c r="TBF290" s="22"/>
      <c r="TBG290" s="22"/>
      <c r="TBH290" s="22"/>
      <c r="TBI290" s="22"/>
      <c r="TBJ290" s="22"/>
      <c r="TBK290" s="22"/>
      <c r="TBL290" s="22"/>
      <c r="TBM290" s="22"/>
      <c r="TBN290" s="22"/>
      <c r="TBO290" s="22"/>
      <c r="TBP290" s="22"/>
      <c r="TBQ290" s="22"/>
      <c r="TBR290" s="22"/>
      <c r="TBS290" s="22"/>
      <c r="TBT290" s="22"/>
      <c r="TBU290" s="22"/>
      <c r="TBV290" s="22"/>
      <c r="TBW290" s="22"/>
      <c r="TBX290" s="22"/>
      <c r="TBY290" s="22"/>
      <c r="TBZ290" s="22"/>
      <c r="TCA290" s="22"/>
      <c r="TCB290" s="22"/>
      <c r="TCC290" s="22"/>
      <c r="TCD290" s="22"/>
      <c r="TCE290" s="22"/>
      <c r="TCF290" s="22"/>
      <c r="TCG290" s="22"/>
      <c r="TCH290" s="22"/>
      <c r="TCI290" s="22"/>
      <c r="TCJ290" s="22"/>
      <c r="TCK290" s="22"/>
      <c r="TCL290" s="22"/>
      <c r="TCM290" s="22"/>
      <c r="TCN290" s="22"/>
      <c r="TCO290" s="22"/>
      <c r="TCP290" s="22"/>
      <c r="TCQ290" s="22"/>
      <c r="TCR290" s="22"/>
      <c r="TCS290" s="22"/>
      <c r="TCT290" s="22"/>
      <c r="TCU290" s="22"/>
      <c r="TCV290" s="22"/>
      <c r="TCW290" s="22"/>
      <c r="TCX290" s="22"/>
      <c r="TCY290" s="22"/>
      <c r="TCZ290" s="22"/>
      <c r="TDA290" s="22"/>
      <c r="TDB290" s="22"/>
      <c r="TDC290" s="22"/>
      <c r="TDD290" s="22"/>
      <c r="TDE290" s="22"/>
      <c r="TDF290" s="22"/>
      <c r="TDG290" s="22"/>
      <c r="TDH290" s="22"/>
      <c r="TDI290" s="22"/>
      <c r="TDJ290" s="22"/>
      <c r="TDK290" s="22"/>
      <c r="TDL290" s="22"/>
      <c r="TDM290" s="22"/>
      <c r="TDN290" s="22"/>
      <c r="TDO290" s="22"/>
      <c r="TDP290" s="22"/>
      <c r="TDQ290" s="22"/>
      <c r="TDR290" s="22"/>
      <c r="TDS290" s="22"/>
      <c r="TDT290" s="22"/>
      <c r="TDU290" s="22"/>
      <c r="TDV290" s="22"/>
      <c r="TDW290" s="22"/>
      <c r="TDX290" s="22"/>
      <c r="TDY290" s="22"/>
      <c r="TDZ290" s="22"/>
      <c r="TEA290" s="22"/>
      <c r="TEB290" s="22"/>
      <c r="TEC290" s="22"/>
      <c r="TED290" s="22"/>
      <c r="TEE290" s="22"/>
      <c r="TEF290" s="22"/>
      <c r="TEG290" s="22"/>
      <c r="TEH290" s="22"/>
      <c r="TEI290" s="22"/>
      <c r="TEJ290" s="22"/>
      <c r="TEK290" s="22"/>
      <c r="TEL290" s="22"/>
      <c r="TEM290" s="22"/>
      <c r="TEN290" s="22"/>
      <c r="TEO290" s="22"/>
      <c r="TEP290" s="22"/>
      <c r="TEQ290" s="22"/>
      <c r="TER290" s="22"/>
      <c r="TES290" s="22"/>
      <c r="TET290" s="22"/>
      <c r="TEU290" s="22"/>
      <c r="TEV290" s="22"/>
      <c r="TEW290" s="22"/>
      <c r="TEX290" s="22"/>
      <c r="TEY290" s="22"/>
      <c r="TEZ290" s="22"/>
      <c r="TFA290" s="22"/>
      <c r="TFB290" s="22"/>
      <c r="TFC290" s="22"/>
      <c r="TFD290" s="22"/>
      <c r="TFE290" s="22"/>
      <c r="TFF290" s="22"/>
      <c r="TFG290" s="22"/>
      <c r="TFH290" s="22"/>
      <c r="TFI290" s="22"/>
      <c r="TFJ290" s="22"/>
      <c r="TFK290" s="22"/>
      <c r="TFL290" s="22"/>
      <c r="TFM290" s="22"/>
      <c r="TFN290" s="22"/>
      <c r="TFO290" s="22"/>
      <c r="TFP290" s="22"/>
      <c r="TFQ290" s="22"/>
      <c r="TFR290" s="22"/>
      <c r="TFS290" s="22"/>
      <c r="TFT290" s="22"/>
      <c r="TFU290" s="22"/>
      <c r="TFV290" s="22"/>
      <c r="TFW290" s="22"/>
      <c r="TFX290" s="22"/>
      <c r="TFY290" s="22"/>
      <c r="TFZ290" s="22"/>
      <c r="TGA290" s="22"/>
      <c r="TGB290" s="22"/>
      <c r="TGC290" s="22"/>
      <c r="TGD290" s="22"/>
      <c r="TGE290" s="22"/>
      <c r="TGF290" s="22"/>
      <c r="TGG290" s="22"/>
      <c r="TGH290" s="22"/>
      <c r="TGI290" s="22"/>
      <c r="TGJ290" s="22"/>
      <c r="TGK290" s="22"/>
      <c r="TGL290" s="22"/>
      <c r="TGM290" s="22"/>
      <c r="TGN290" s="22"/>
      <c r="TGO290" s="22"/>
      <c r="TGP290" s="22"/>
      <c r="TGQ290" s="22"/>
      <c r="TGR290" s="22"/>
      <c r="TGS290" s="22"/>
      <c r="TGT290" s="22"/>
      <c r="TGU290" s="22"/>
      <c r="TGV290" s="22"/>
      <c r="TGW290" s="22"/>
      <c r="TGX290" s="22"/>
      <c r="TGY290" s="22"/>
      <c r="TGZ290" s="22"/>
      <c r="THA290" s="22"/>
      <c r="THB290" s="22"/>
      <c r="THC290" s="22"/>
      <c r="THD290" s="22"/>
      <c r="THE290" s="22"/>
      <c r="THF290" s="22"/>
      <c r="THG290" s="22"/>
      <c r="THH290" s="22"/>
      <c r="THI290" s="22"/>
      <c r="THJ290" s="22"/>
      <c r="THK290" s="22"/>
      <c r="THL290" s="22"/>
      <c r="THM290" s="22"/>
      <c r="THN290" s="22"/>
      <c r="THO290" s="22"/>
      <c r="THP290" s="22"/>
      <c r="THQ290" s="22"/>
      <c r="THR290" s="22"/>
      <c r="THS290" s="22"/>
      <c r="THT290" s="22"/>
      <c r="THU290" s="22"/>
      <c r="THV290" s="22"/>
      <c r="THW290" s="22"/>
      <c r="THX290" s="22"/>
      <c r="THY290" s="22"/>
      <c r="THZ290" s="22"/>
      <c r="TIA290" s="22"/>
      <c r="TIB290" s="22"/>
      <c r="TIC290" s="22"/>
      <c r="TID290" s="22"/>
      <c r="TIE290" s="22"/>
      <c r="TIF290" s="22"/>
      <c r="TIG290" s="22"/>
      <c r="TIH290" s="22"/>
      <c r="TII290" s="22"/>
      <c r="TIJ290" s="22"/>
      <c r="TIK290" s="22"/>
      <c r="TIL290" s="22"/>
      <c r="TIM290" s="22"/>
      <c r="TIN290" s="22"/>
      <c r="TIO290" s="22"/>
      <c r="TIP290" s="22"/>
      <c r="TIQ290" s="22"/>
      <c r="TIR290" s="22"/>
      <c r="TIS290" s="22"/>
      <c r="TIT290" s="22"/>
      <c r="TIU290" s="22"/>
      <c r="TIV290" s="22"/>
      <c r="TIW290" s="22"/>
      <c r="TIX290" s="22"/>
      <c r="TIY290" s="22"/>
      <c r="TIZ290" s="22"/>
      <c r="TJA290" s="22"/>
      <c r="TJB290" s="22"/>
      <c r="TJC290" s="22"/>
      <c r="TJD290" s="22"/>
      <c r="TJE290" s="22"/>
      <c r="TJF290" s="22"/>
      <c r="TJG290" s="22"/>
      <c r="TJH290" s="22"/>
      <c r="TJI290" s="22"/>
      <c r="TJJ290" s="22"/>
      <c r="TJK290" s="22"/>
      <c r="TJL290" s="22"/>
      <c r="TJM290" s="22"/>
      <c r="TJN290" s="22"/>
      <c r="TJO290" s="22"/>
      <c r="TJP290" s="22"/>
      <c r="TJQ290" s="22"/>
      <c r="TJR290" s="22"/>
      <c r="TJS290" s="22"/>
      <c r="TJT290" s="22"/>
      <c r="TJU290" s="22"/>
      <c r="TJV290" s="22"/>
      <c r="TJW290" s="22"/>
      <c r="TJX290" s="22"/>
      <c r="TJY290" s="22"/>
      <c r="TJZ290" s="22"/>
      <c r="TKA290" s="22"/>
      <c r="TKB290" s="22"/>
      <c r="TKC290" s="22"/>
      <c r="TKD290" s="22"/>
      <c r="TKE290" s="22"/>
      <c r="TKF290" s="22"/>
      <c r="TKG290" s="22"/>
      <c r="TKH290" s="22"/>
      <c r="TKI290" s="22"/>
      <c r="TKJ290" s="22"/>
      <c r="TKK290" s="22"/>
      <c r="TKL290" s="22"/>
      <c r="TKM290" s="22"/>
      <c r="TKN290" s="22"/>
      <c r="TKO290" s="22"/>
      <c r="TKP290" s="22"/>
      <c r="TKQ290" s="22"/>
      <c r="TKR290" s="22"/>
      <c r="TKS290" s="22"/>
      <c r="TKT290" s="22"/>
      <c r="TKU290" s="22"/>
      <c r="TKV290" s="22"/>
      <c r="TKW290" s="22"/>
      <c r="TKX290" s="22"/>
      <c r="TKY290" s="22"/>
      <c r="TKZ290" s="22"/>
      <c r="TLA290" s="22"/>
      <c r="TLB290" s="22"/>
      <c r="TLC290" s="22"/>
      <c r="TLD290" s="22"/>
      <c r="TLE290" s="22"/>
      <c r="TLF290" s="22"/>
      <c r="TLG290" s="22"/>
      <c r="TLH290" s="22"/>
      <c r="TLI290" s="22"/>
      <c r="TLJ290" s="22"/>
      <c r="TLK290" s="22"/>
      <c r="TLL290" s="22"/>
      <c r="TLM290" s="22"/>
      <c r="TLN290" s="22"/>
      <c r="TLO290" s="22"/>
      <c r="TLP290" s="22"/>
      <c r="TLQ290" s="22"/>
      <c r="TLR290" s="22"/>
      <c r="TLS290" s="22"/>
      <c r="TLT290" s="22"/>
      <c r="TLU290" s="22"/>
      <c r="TLV290" s="22"/>
      <c r="TLW290" s="22"/>
      <c r="TLX290" s="22"/>
      <c r="TLY290" s="22"/>
      <c r="TLZ290" s="22"/>
      <c r="TMA290" s="22"/>
      <c r="TMB290" s="22"/>
      <c r="TMC290" s="22"/>
      <c r="TMD290" s="22"/>
      <c r="TME290" s="22"/>
      <c r="TMF290" s="22"/>
      <c r="TMG290" s="22"/>
      <c r="TMH290" s="22"/>
      <c r="TMI290" s="22"/>
      <c r="TMJ290" s="22"/>
      <c r="TMK290" s="22"/>
      <c r="TML290" s="22"/>
      <c r="TMM290" s="22"/>
      <c r="TMN290" s="22"/>
      <c r="TMO290" s="22"/>
      <c r="TMP290" s="22"/>
      <c r="TMQ290" s="22"/>
      <c r="TMR290" s="22"/>
      <c r="TMS290" s="22"/>
      <c r="TMT290" s="22"/>
      <c r="TMU290" s="22"/>
      <c r="TMV290" s="22"/>
      <c r="TMW290" s="22"/>
      <c r="TMX290" s="22"/>
      <c r="TMY290" s="22"/>
      <c r="TMZ290" s="22"/>
      <c r="TNA290" s="22"/>
      <c r="TNB290" s="22"/>
      <c r="TNC290" s="22"/>
      <c r="TND290" s="22"/>
      <c r="TNE290" s="22"/>
      <c r="TNF290" s="22"/>
      <c r="TNG290" s="22"/>
      <c r="TNH290" s="22"/>
      <c r="TNI290" s="22"/>
      <c r="TNJ290" s="22"/>
      <c r="TNK290" s="22"/>
      <c r="TNL290" s="22"/>
      <c r="TNM290" s="22"/>
      <c r="TNN290" s="22"/>
      <c r="TNO290" s="22"/>
      <c r="TNP290" s="22"/>
      <c r="TNQ290" s="22"/>
      <c r="TNR290" s="22"/>
      <c r="TNS290" s="22"/>
      <c r="TNT290" s="22"/>
      <c r="TNU290" s="22"/>
      <c r="TNV290" s="22"/>
      <c r="TNW290" s="22"/>
      <c r="TNX290" s="22"/>
      <c r="TNY290" s="22"/>
      <c r="TNZ290" s="22"/>
      <c r="TOA290" s="22"/>
      <c r="TOB290" s="22"/>
      <c r="TOC290" s="22"/>
      <c r="TOD290" s="22"/>
      <c r="TOE290" s="22"/>
      <c r="TOF290" s="22"/>
      <c r="TOG290" s="22"/>
      <c r="TOH290" s="22"/>
      <c r="TOI290" s="22"/>
      <c r="TOJ290" s="22"/>
      <c r="TOK290" s="22"/>
      <c r="TOL290" s="22"/>
      <c r="TOM290" s="22"/>
      <c r="TON290" s="22"/>
      <c r="TOO290" s="22"/>
      <c r="TOP290" s="22"/>
      <c r="TOQ290" s="22"/>
      <c r="TOR290" s="22"/>
      <c r="TOS290" s="22"/>
      <c r="TOT290" s="22"/>
      <c r="TOU290" s="22"/>
      <c r="TOV290" s="22"/>
      <c r="TOW290" s="22"/>
      <c r="TOX290" s="22"/>
      <c r="TOY290" s="22"/>
      <c r="TOZ290" s="22"/>
      <c r="TPA290" s="22"/>
      <c r="TPB290" s="22"/>
      <c r="TPC290" s="22"/>
      <c r="TPD290" s="22"/>
      <c r="TPE290" s="22"/>
      <c r="TPF290" s="22"/>
      <c r="TPG290" s="22"/>
      <c r="TPH290" s="22"/>
      <c r="TPI290" s="22"/>
      <c r="TPJ290" s="22"/>
      <c r="TPK290" s="22"/>
      <c r="TPL290" s="22"/>
      <c r="TPM290" s="22"/>
      <c r="TPN290" s="22"/>
      <c r="TPO290" s="22"/>
      <c r="TPP290" s="22"/>
      <c r="TPQ290" s="22"/>
      <c r="TPR290" s="22"/>
      <c r="TPS290" s="22"/>
      <c r="TPT290" s="22"/>
      <c r="TPU290" s="22"/>
      <c r="TPV290" s="22"/>
      <c r="TPW290" s="22"/>
      <c r="TPX290" s="22"/>
      <c r="TPY290" s="22"/>
      <c r="TPZ290" s="22"/>
      <c r="TQA290" s="22"/>
      <c r="TQB290" s="22"/>
      <c r="TQC290" s="22"/>
      <c r="TQD290" s="22"/>
      <c r="TQE290" s="22"/>
      <c r="TQF290" s="22"/>
      <c r="TQG290" s="22"/>
      <c r="TQH290" s="22"/>
      <c r="TQI290" s="22"/>
      <c r="TQJ290" s="22"/>
      <c r="TQK290" s="22"/>
      <c r="TQL290" s="22"/>
      <c r="TQM290" s="22"/>
      <c r="TQN290" s="22"/>
      <c r="TQO290" s="22"/>
      <c r="TQP290" s="22"/>
      <c r="TQQ290" s="22"/>
      <c r="TQR290" s="22"/>
      <c r="TQS290" s="22"/>
      <c r="TQT290" s="22"/>
      <c r="TQU290" s="22"/>
      <c r="TQV290" s="22"/>
      <c r="TQW290" s="22"/>
      <c r="TQX290" s="22"/>
      <c r="TQY290" s="22"/>
      <c r="TQZ290" s="22"/>
      <c r="TRA290" s="22"/>
      <c r="TRB290" s="22"/>
      <c r="TRC290" s="22"/>
      <c r="TRD290" s="22"/>
      <c r="TRE290" s="22"/>
      <c r="TRF290" s="22"/>
      <c r="TRG290" s="22"/>
      <c r="TRH290" s="22"/>
      <c r="TRI290" s="22"/>
      <c r="TRJ290" s="22"/>
      <c r="TRK290" s="22"/>
      <c r="TRL290" s="22"/>
      <c r="TRM290" s="22"/>
      <c r="TRN290" s="22"/>
      <c r="TRO290" s="22"/>
      <c r="TRP290" s="22"/>
      <c r="TRQ290" s="22"/>
      <c r="TRR290" s="22"/>
      <c r="TRS290" s="22"/>
      <c r="TRT290" s="22"/>
      <c r="TRU290" s="22"/>
      <c r="TRV290" s="22"/>
      <c r="TRW290" s="22"/>
      <c r="TRX290" s="22"/>
      <c r="TRY290" s="22"/>
      <c r="TRZ290" s="22"/>
      <c r="TSA290" s="22"/>
      <c r="TSB290" s="22"/>
      <c r="TSC290" s="22"/>
      <c r="TSD290" s="22"/>
      <c r="TSE290" s="22"/>
      <c r="TSF290" s="22"/>
      <c r="TSG290" s="22"/>
      <c r="TSH290" s="22"/>
      <c r="TSI290" s="22"/>
      <c r="TSJ290" s="22"/>
      <c r="TSK290" s="22"/>
      <c r="TSL290" s="22"/>
      <c r="TSM290" s="22"/>
      <c r="TSN290" s="22"/>
      <c r="TSO290" s="22"/>
      <c r="TSP290" s="22"/>
      <c r="TSQ290" s="22"/>
      <c r="TSR290" s="22"/>
      <c r="TSS290" s="22"/>
      <c r="TST290" s="22"/>
      <c r="TSU290" s="22"/>
      <c r="TSV290" s="22"/>
      <c r="TSW290" s="22"/>
      <c r="TSX290" s="22"/>
      <c r="TSY290" s="22"/>
      <c r="TSZ290" s="22"/>
      <c r="TTA290" s="22"/>
      <c r="TTB290" s="22"/>
      <c r="TTC290" s="22"/>
      <c r="TTD290" s="22"/>
      <c r="TTE290" s="22"/>
      <c r="TTF290" s="22"/>
      <c r="TTG290" s="22"/>
      <c r="TTH290" s="22"/>
      <c r="TTI290" s="22"/>
      <c r="TTJ290" s="22"/>
      <c r="TTK290" s="22"/>
      <c r="TTL290" s="22"/>
      <c r="TTM290" s="22"/>
      <c r="TTN290" s="22"/>
      <c r="TTO290" s="22"/>
      <c r="TTP290" s="22"/>
      <c r="TTQ290" s="22"/>
      <c r="TTR290" s="22"/>
      <c r="TTS290" s="22"/>
      <c r="TTT290" s="22"/>
      <c r="TTU290" s="22"/>
      <c r="TTV290" s="22"/>
      <c r="TTW290" s="22"/>
      <c r="TTX290" s="22"/>
      <c r="TTY290" s="22"/>
      <c r="TTZ290" s="22"/>
      <c r="TUA290" s="22"/>
      <c r="TUB290" s="22"/>
      <c r="TUC290" s="22"/>
      <c r="TUD290" s="22"/>
      <c r="TUE290" s="22"/>
      <c r="TUF290" s="22"/>
      <c r="TUG290" s="22"/>
      <c r="TUH290" s="22"/>
      <c r="TUI290" s="22"/>
      <c r="TUJ290" s="22"/>
      <c r="TUK290" s="22"/>
      <c r="TUL290" s="22"/>
      <c r="TUM290" s="22"/>
      <c r="TUN290" s="22"/>
      <c r="TUO290" s="22"/>
      <c r="TUP290" s="22"/>
      <c r="TUQ290" s="22"/>
      <c r="TUR290" s="22"/>
      <c r="TUS290" s="22"/>
      <c r="TUT290" s="22"/>
      <c r="TUU290" s="22"/>
      <c r="TUV290" s="22"/>
      <c r="TUW290" s="22"/>
      <c r="TUX290" s="22"/>
      <c r="TUY290" s="22"/>
      <c r="TUZ290" s="22"/>
      <c r="TVA290" s="22"/>
      <c r="TVB290" s="22"/>
      <c r="TVC290" s="22"/>
      <c r="TVD290" s="22"/>
      <c r="TVE290" s="22"/>
      <c r="TVF290" s="22"/>
      <c r="TVG290" s="22"/>
      <c r="TVH290" s="22"/>
      <c r="TVI290" s="22"/>
      <c r="TVJ290" s="22"/>
      <c r="TVK290" s="22"/>
      <c r="TVL290" s="22"/>
      <c r="TVM290" s="22"/>
      <c r="TVN290" s="22"/>
      <c r="TVO290" s="22"/>
      <c r="TVP290" s="22"/>
      <c r="TVQ290" s="22"/>
      <c r="TVR290" s="22"/>
      <c r="TVS290" s="22"/>
      <c r="TVT290" s="22"/>
      <c r="TVU290" s="22"/>
      <c r="TVV290" s="22"/>
      <c r="TVW290" s="22"/>
      <c r="TVX290" s="22"/>
      <c r="TVY290" s="22"/>
      <c r="TVZ290" s="22"/>
      <c r="TWA290" s="22"/>
      <c r="TWB290" s="22"/>
      <c r="TWC290" s="22"/>
      <c r="TWD290" s="22"/>
      <c r="TWE290" s="22"/>
      <c r="TWF290" s="22"/>
      <c r="TWG290" s="22"/>
      <c r="TWH290" s="22"/>
      <c r="TWI290" s="22"/>
      <c r="TWJ290" s="22"/>
      <c r="TWK290" s="22"/>
      <c r="TWL290" s="22"/>
      <c r="TWM290" s="22"/>
      <c r="TWN290" s="22"/>
      <c r="TWO290" s="22"/>
      <c r="TWP290" s="22"/>
      <c r="TWQ290" s="22"/>
      <c r="TWR290" s="22"/>
      <c r="TWS290" s="22"/>
      <c r="TWT290" s="22"/>
      <c r="TWU290" s="22"/>
      <c r="TWV290" s="22"/>
      <c r="TWW290" s="22"/>
      <c r="TWX290" s="22"/>
      <c r="TWY290" s="22"/>
      <c r="TWZ290" s="22"/>
      <c r="TXA290" s="22"/>
      <c r="TXB290" s="22"/>
      <c r="TXC290" s="22"/>
      <c r="TXD290" s="22"/>
      <c r="TXE290" s="22"/>
      <c r="TXF290" s="22"/>
      <c r="TXG290" s="22"/>
      <c r="TXH290" s="22"/>
      <c r="TXI290" s="22"/>
      <c r="TXJ290" s="22"/>
      <c r="TXK290" s="22"/>
      <c r="TXL290" s="22"/>
      <c r="TXM290" s="22"/>
      <c r="TXN290" s="22"/>
      <c r="TXO290" s="22"/>
      <c r="TXP290" s="22"/>
      <c r="TXQ290" s="22"/>
      <c r="TXR290" s="22"/>
      <c r="TXS290" s="22"/>
      <c r="TXT290" s="22"/>
      <c r="TXU290" s="22"/>
      <c r="TXV290" s="22"/>
      <c r="TXW290" s="22"/>
      <c r="TXX290" s="22"/>
      <c r="TXY290" s="22"/>
      <c r="TXZ290" s="22"/>
      <c r="TYA290" s="22"/>
      <c r="TYB290" s="22"/>
      <c r="TYC290" s="22"/>
      <c r="TYD290" s="22"/>
      <c r="TYE290" s="22"/>
      <c r="TYF290" s="22"/>
      <c r="TYG290" s="22"/>
      <c r="TYH290" s="22"/>
      <c r="TYI290" s="22"/>
      <c r="TYJ290" s="22"/>
      <c r="TYK290" s="22"/>
      <c r="TYL290" s="22"/>
      <c r="TYM290" s="22"/>
      <c r="TYN290" s="22"/>
      <c r="TYO290" s="22"/>
      <c r="TYP290" s="22"/>
      <c r="TYQ290" s="22"/>
      <c r="TYR290" s="22"/>
      <c r="TYS290" s="22"/>
      <c r="TYT290" s="22"/>
      <c r="TYU290" s="22"/>
      <c r="TYV290" s="22"/>
      <c r="TYW290" s="22"/>
      <c r="TYX290" s="22"/>
      <c r="TYY290" s="22"/>
      <c r="TYZ290" s="22"/>
      <c r="TZA290" s="22"/>
      <c r="TZB290" s="22"/>
      <c r="TZC290" s="22"/>
      <c r="TZD290" s="22"/>
      <c r="TZE290" s="22"/>
      <c r="TZF290" s="22"/>
      <c r="TZG290" s="22"/>
      <c r="TZH290" s="22"/>
      <c r="TZI290" s="22"/>
      <c r="TZJ290" s="22"/>
      <c r="TZK290" s="22"/>
      <c r="TZL290" s="22"/>
      <c r="TZM290" s="22"/>
      <c r="TZN290" s="22"/>
      <c r="TZO290" s="22"/>
      <c r="TZP290" s="22"/>
      <c r="TZQ290" s="22"/>
      <c r="TZR290" s="22"/>
      <c r="TZS290" s="22"/>
      <c r="TZT290" s="22"/>
      <c r="TZU290" s="22"/>
      <c r="TZV290" s="22"/>
      <c r="TZW290" s="22"/>
      <c r="TZX290" s="22"/>
      <c r="TZY290" s="22"/>
      <c r="TZZ290" s="22"/>
      <c r="UAA290" s="22"/>
      <c r="UAB290" s="22"/>
      <c r="UAC290" s="22"/>
      <c r="UAD290" s="22"/>
      <c r="UAE290" s="22"/>
      <c r="UAF290" s="22"/>
      <c r="UAG290" s="22"/>
      <c r="UAH290" s="22"/>
      <c r="UAI290" s="22"/>
      <c r="UAJ290" s="22"/>
      <c r="UAK290" s="22"/>
      <c r="UAL290" s="22"/>
      <c r="UAM290" s="22"/>
      <c r="UAN290" s="22"/>
      <c r="UAO290" s="22"/>
      <c r="UAP290" s="22"/>
      <c r="UAQ290" s="22"/>
      <c r="UAR290" s="22"/>
      <c r="UAS290" s="22"/>
      <c r="UAT290" s="22"/>
      <c r="UAU290" s="22"/>
      <c r="UAV290" s="22"/>
      <c r="UAW290" s="22"/>
      <c r="UAX290" s="22"/>
      <c r="UAY290" s="22"/>
      <c r="UAZ290" s="22"/>
      <c r="UBA290" s="22"/>
      <c r="UBB290" s="22"/>
      <c r="UBC290" s="22"/>
      <c r="UBD290" s="22"/>
      <c r="UBE290" s="22"/>
      <c r="UBF290" s="22"/>
      <c r="UBG290" s="22"/>
      <c r="UBH290" s="22"/>
      <c r="UBI290" s="22"/>
      <c r="UBJ290" s="22"/>
      <c r="UBK290" s="22"/>
      <c r="UBL290" s="22"/>
      <c r="UBM290" s="22"/>
      <c r="UBN290" s="22"/>
      <c r="UBO290" s="22"/>
      <c r="UBP290" s="22"/>
      <c r="UBQ290" s="22"/>
      <c r="UBR290" s="22"/>
      <c r="UBS290" s="22"/>
      <c r="UBT290" s="22"/>
      <c r="UBU290" s="22"/>
      <c r="UBV290" s="22"/>
      <c r="UBW290" s="22"/>
      <c r="UBX290" s="22"/>
      <c r="UBY290" s="22"/>
      <c r="UBZ290" s="22"/>
      <c r="UCA290" s="22"/>
      <c r="UCB290" s="22"/>
      <c r="UCC290" s="22"/>
      <c r="UCD290" s="22"/>
      <c r="UCE290" s="22"/>
      <c r="UCF290" s="22"/>
      <c r="UCG290" s="22"/>
      <c r="UCH290" s="22"/>
      <c r="UCI290" s="22"/>
      <c r="UCJ290" s="22"/>
      <c r="UCK290" s="22"/>
      <c r="UCL290" s="22"/>
      <c r="UCM290" s="22"/>
      <c r="UCN290" s="22"/>
      <c r="UCO290" s="22"/>
      <c r="UCP290" s="22"/>
      <c r="UCQ290" s="22"/>
      <c r="UCR290" s="22"/>
      <c r="UCS290" s="22"/>
      <c r="UCT290" s="22"/>
      <c r="UCU290" s="22"/>
      <c r="UCV290" s="22"/>
      <c r="UCW290" s="22"/>
      <c r="UCX290" s="22"/>
      <c r="UCY290" s="22"/>
      <c r="UCZ290" s="22"/>
      <c r="UDA290" s="22"/>
      <c r="UDB290" s="22"/>
      <c r="UDC290" s="22"/>
      <c r="UDD290" s="22"/>
      <c r="UDE290" s="22"/>
      <c r="UDF290" s="22"/>
      <c r="UDG290" s="22"/>
      <c r="UDH290" s="22"/>
      <c r="UDI290" s="22"/>
      <c r="UDJ290" s="22"/>
      <c r="UDK290" s="22"/>
      <c r="UDL290" s="22"/>
      <c r="UDM290" s="22"/>
      <c r="UDN290" s="22"/>
      <c r="UDO290" s="22"/>
      <c r="UDP290" s="22"/>
      <c r="UDQ290" s="22"/>
      <c r="UDR290" s="22"/>
      <c r="UDS290" s="22"/>
      <c r="UDT290" s="22"/>
      <c r="UDU290" s="22"/>
      <c r="UDV290" s="22"/>
      <c r="UDW290" s="22"/>
      <c r="UDX290" s="22"/>
      <c r="UDY290" s="22"/>
      <c r="UDZ290" s="22"/>
      <c r="UEA290" s="22"/>
      <c r="UEB290" s="22"/>
      <c r="UEC290" s="22"/>
      <c r="UED290" s="22"/>
      <c r="UEE290" s="22"/>
      <c r="UEF290" s="22"/>
      <c r="UEG290" s="22"/>
      <c r="UEH290" s="22"/>
      <c r="UEI290" s="22"/>
      <c r="UEJ290" s="22"/>
      <c r="UEK290" s="22"/>
      <c r="UEL290" s="22"/>
      <c r="UEM290" s="22"/>
      <c r="UEN290" s="22"/>
      <c r="UEO290" s="22"/>
      <c r="UEP290" s="22"/>
      <c r="UEQ290" s="22"/>
      <c r="UER290" s="22"/>
      <c r="UES290" s="22"/>
      <c r="UET290" s="22"/>
      <c r="UEU290" s="22"/>
      <c r="UEV290" s="22"/>
      <c r="UEW290" s="22"/>
      <c r="UEX290" s="22"/>
      <c r="UEY290" s="22"/>
      <c r="UEZ290" s="22"/>
      <c r="UFA290" s="22"/>
      <c r="UFB290" s="22"/>
      <c r="UFC290" s="22"/>
      <c r="UFD290" s="22"/>
      <c r="UFE290" s="22"/>
      <c r="UFF290" s="22"/>
      <c r="UFG290" s="22"/>
      <c r="UFH290" s="22"/>
      <c r="UFI290" s="22"/>
      <c r="UFJ290" s="22"/>
      <c r="UFK290" s="22"/>
      <c r="UFL290" s="22"/>
      <c r="UFM290" s="22"/>
      <c r="UFN290" s="22"/>
      <c r="UFO290" s="22"/>
      <c r="UFP290" s="22"/>
      <c r="UFQ290" s="22"/>
      <c r="UFR290" s="22"/>
      <c r="UFS290" s="22"/>
      <c r="UFT290" s="22"/>
      <c r="UFU290" s="22"/>
      <c r="UFV290" s="22"/>
      <c r="UFW290" s="22"/>
      <c r="UFX290" s="22"/>
      <c r="UFY290" s="22"/>
      <c r="UFZ290" s="22"/>
      <c r="UGA290" s="22"/>
      <c r="UGB290" s="22"/>
      <c r="UGC290" s="22"/>
      <c r="UGD290" s="22"/>
      <c r="UGE290" s="22"/>
      <c r="UGF290" s="22"/>
      <c r="UGG290" s="22"/>
      <c r="UGH290" s="22"/>
      <c r="UGI290" s="22"/>
      <c r="UGJ290" s="22"/>
      <c r="UGK290" s="22"/>
      <c r="UGL290" s="22"/>
      <c r="UGM290" s="22"/>
      <c r="UGN290" s="22"/>
      <c r="UGO290" s="22"/>
      <c r="UGP290" s="22"/>
      <c r="UGQ290" s="22"/>
      <c r="UGR290" s="22"/>
      <c r="UGS290" s="22"/>
      <c r="UGT290" s="22"/>
      <c r="UGU290" s="22"/>
      <c r="UGV290" s="22"/>
      <c r="UGW290" s="22"/>
      <c r="UGX290" s="22"/>
      <c r="UGY290" s="22"/>
      <c r="UGZ290" s="22"/>
      <c r="UHA290" s="22"/>
      <c r="UHB290" s="22"/>
      <c r="UHC290" s="22"/>
      <c r="UHD290" s="22"/>
      <c r="UHE290" s="22"/>
      <c r="UHF290" s="22"/>
      <c r="UHG290" s="22"/>
      <c r="UHH290" s="22"/>
      <c r="UHI290" s="22"/>
      <c r="UHJ290" s="22"/>
      <c r="UHK290" s="22"/>
      <c r="UHL290" s="22"/>
      <c r="UHM290" s="22"/>
      <c r="UHN290" s="22"/>
      <c r="UHO290" s="22"/>
      <c r="UHP290" s="22"/>
      <c r="UHQ290" s="22"/>
      <c r="UHR290" s="22"/>
      <c r="UHS290" s="22"/>
      <c r="UHT290" s="22"/>
      <c r="UHU290" s="22"/>
      <c r="UHV290" s="22"/>
      <c r="UHW290" s="22"/>
      <c r="UHX290" s="22"/>
      <c r="UHY290" s="22"/>
      <c r="UHZ290" s="22"/>
      <c r="UIA290" s="22"/>
      <c r="UIB290" s="22"/>
      <c r="UIC290" s="22"/>
      <c r="UID290" s="22"/>
      <c r="UIE290" s="22"/>
      <c r="UIF290" s="22"/>
      <c r="UIG290" s="22"/>
      <c r="UIH290" s="22"/>
      <c r="UII290" s="22"/>
      <c r="UIJ290" s="22"/>
      <c r="UIK290" s="22"/>
      <c r="UIL290" s="22"/>
      <c r="UIM290" s="22"/>
      <c r="UIN290" s="22"/>
      <c r="UIO290" s="22"/>
      <c r="UIP290" s="22"/>
      <c r="UIQ290" s="22"/>
      <c r="UIR290" s="22"/>
      <c r="UIS290" s="22"/>
      <c r="UIT290" s="22"/>
      <c r="UIU290" s="22"/>
      <c r="UIV290" s="22"/>
      <c r="UIW290" s="22"/>
      <c r="UIX290" s="22"/>
      <c r="UIY290" s="22"/>
      <c r="UIZ290" s="22"/>
      <c r="UJA290" s="22"/>
      <c r="UJB290" s="22"/>
      <c r="UJC290" s="22"/>
      <c r="UJD290" s="22"/>
      <c r="UJE290" s="22"/>
      <c r="UJF290" s="22"/>
      <c r="UJG290" s="22"/>
      <c r="UJH290" s="22"/>
      <c r="UJI290" s="22"/>
      <c r="UJJ290" s="22"/>
      <c r="UJK290" s="22"/>
      <c r="UJL290" s="22"/>
      <c r="UJM290" s="22"/>
      <c r="UJN290" s="22"/>
      <c r="UJO290" s="22"/>
      <c r="UJP290" s="22"/>
      <c r="UJQ290" s="22"/>
      <c r="UJR290" s="22"/>
      <c r="UJS290" s="22"/>
      <c r="UJT290" s="22"/>
      <c r="UJU290" s="22"/>
      <c r="UJV290" s="22"/>
      <c r="UJW290" s="22"/>
      <c r="UJX290" s="22"/>
      <c r="UJY290" s="22"/>
      <c r="UJZ290" s="22"/>
      <c r="UKA290" s="22"/>
      <c r="UKB290" s="22"/>
      <c r="UKC290" s="22"/>
      <c r="UKD290" s="22"/>
      <c r="UKE290" s="22"/>
      <c r="UKF290" s="22"/>
      <c r="UKG290" s="22"/>
      <c r="UKH290" s="22"/>
      <c r="UKI290" s="22"/>
      <c r="UKJ290" s="22"/>
      <c r="UKK290" s="22"/>
      <c r="UKL290" s="22"/>
      <c r="UKM290" s="22"/>
      <c r="UKN290" s="22"/>
      <c r="UKO290" s="22"/>
      <c r="UKP290" s="22"/>
      <c r="UKQ290" s="22"/>
      <c r="UKR290" s="22"/>
      <c r="UKS290" s="22"/>
      <c r="UKT290" s="22"/>
      <c r="UKU290" s="22"/>
      <c r="UKV290" s="22"/>
      <c r="UKW290" s="22"/>
      <c r="UKX290" s="22"/>
      <c r="UKY290" s="22"/>
      <c r="UKZ290" s="22"/>
      <c r="ULA290" s="22"/>
      <c r="ULB290" s="22"/>
      <c r="ULC290" s="22"/>
      <c r="ULD290" s="22"/>
      <c r="ULE290" s="22"/>
      <c r="ULF290" s="22"/>
      <c r="ULG290" s="22"/>
      <c r="ULH290" s="22"/>
      <c r="ULI290" s="22"/>
      <c r="ULJ290" s="22"/>
      <c r="ULK290" s="22"/>
      <c r="ULL290" s="22"/>
      <c r="ULM290" s="22"/>
      <c r="ULN290" s="22"/>
      <c r="ULO290" s="22"/>
      <c r="ULP290" s="22"/>
      <c r="ULQ290" s="22"/>
      <c r="ULR290" s="22"/>
      <c r="ULS290" s="22"/>
      <c r="ULT290" s="22"/>
      <c r="ULU290" s="22"/>
      <c r="ULV290" s="22"/>
      <c r="ULW290" s="22"/>
      <c r="ULX290" s="22"/>
      <c r="ULY290" s="22"/>
      <c r="ULZ290" s="22"/>
      <c r="UMA290" s="22"/>
      <c r="UMB290" s="22"/>
      <c r="UMC290" s="22"/>
      <c r="UMD290" s="22"/>
      <c r="UME290" s="22"/>
      <c r="UMF290" s="22"/>
      <c r="UMG290" s="22"/>
      <c r="UMH290" s="22"/>
      <c r="UMI290" s="22"/>
      <c r="UMJ290" s="22"/>
      <c r="UMK290" s="22"/>
      <c r="UML290" s="22"/>
      <c r="UMM290" s="22"/>
      <c r="UMN290" s="22"/>
      <c r="UMO290" s="22"/>
      <c r="UMP290" s="22"/>
      <c r="UMQ290" s="22"/>
      <c r="UMR290" s="22"/>
      <c r="UMS290" s="22"/>
      <c r="UMT290" s="22"/>
      <c r="UMU290" s="22"/>
      <c r="UMV290" s="22"/>
      <c r="UMW290" s="22"/>
      <c r="UMX290" s="22"/>
      <c r="UMY290" s="22"/>
      <c r="UMZ290" s="22"/>
      <c r="UNA290" s="22"/>
      <c r="UNB290" s="22"/>
      <c r="UNC290" s="22"/>
      <c r="UND290" s="22"/>
      <c r="UNE290" s="22"/>
      <c r="UNF290" s="22"/>
      <c r="UNG290" s="22"/>
      <c r="UNH290" s="22"/>
      <c r="UNI290" s="22"/>
      <c r="UNJ290" s="22"/>
      <c r="UNK290" s="22"/>
      <c r="UNL290" s="22"/>
      <c r="UNM290" s="22"/>
      <c r="UNN290" s="22"/>
      <c r="UNO290" s="22"/>
      <c r="UNP290" s="22"/>
      <c r="UNQ290" s="22"/>
      <c r="UNR290" s="22"/>
      <c r="UNS290" s="22"/>
      <c r="UNT290" s="22"/>
      <c r="UNU290" s="22"/>
      <c r="UNV290" s="22"/>
      <c r="UNW290" s="22"/>
      <c r="UNX290" s="22"/>
      <c r="UNY290" s="22"/>
      <c r="UNZ290" s="22"/>
      <c r="UOA290" s="22"/>
      <c r="UOB290" s="22"/>
      <c r="UOC290" s="22"/>
      <c r="UOD290" s="22"/>
      <c r="UOE290" s="22"/>
      <c r="UOF290" s="22"/>
      <c r="UOG290" s="22"/>
      <c r="UOH290" s="22"/>
      <c r="UOI290" s="22"/>
      <c r="UOJ290" s="22"/>
      <c r="UOK290" s="22"/>
      <c r="UOL290" s="22"/>
      <c r="UOM290" s="22"/>
      <c r="UON290" s="22"/>
      <c r="UOO290" s="22"/>
      <c r="UOP290" s="22"/>
      <c r="UOQ290" s="22"/>
      <c r="UOR290" s="22"/>
      <c r="UOS290" s="22"/>
      <c r="UOT290" s="22"/>
      <c r="UOU290" s="22"/>
      <c r="UOV290" s="22"/>
      <c r="UOW290" s="22"/>
      <c r="UOX290" s="22"/>
      <c r="UOY290" s="22"/>
      <c r="UOZ290" s="22"/>
      <c r="UPA290" s="22"/>
      <c r="UPB290" s="22"/>
      <c r="UPC290" s="22"/>
      <c r="UPD290" s="22"/>
      <c r="UPE290" s="22"/>
      <c r="UPF290" s="22"/>
      <c r="UPG290" s="22"/>
      <c r="UPH290" s="22"/>
      <c r="UPI290" s="22"/>
      <c r="UPJ290" s="22"/>
      <c r="UPK290" s="22"/>
      <c r="UPL290" s="22"/>
      <c r="UPM290" s="22"/>
      <c r="UPN290" s="22"/>
      <c r="UPO290" s="22"/>
      <c r="UPP290" s="22"/>
      <c r="UPQ290" s="22"/>
      <c r="UPR290" s="22"/>
      <c r="UPS290" s="22"/>
      <c r="UPT290" s="22"/>
      <c r="UPU290" s="22"/>
      <c r="UPV290" s="22"/>
      <c r="UPW290" s="22"/>
      <c r="UPX290" s="22"/>
      <c r="UPY290" s="22"/>
      <c r="UPZ290" s="22"/>
      <c r="UQA290" s="22"/>
      <c r="UQB290" s="22"/>
      <c r="UQC290" s="22"/>
      <c r="UQD290" s="22"/>
      <c r="UQE290" s="22"/>
      <c r="UQF290" s="22"/>
      <c r="UQG290" s="22"/>
      <c r="UQH290" s="22"/>
      <c r="UQI290" s="22"/>
      <c r="UQJ290" s="22"/>
      <c r="UQK290" s="22"/>
      <c r="UQL290" s="22"/>
      <c r="UQM290" s="22"/>
      <c r="UQN290" s="22"/>
      <c r="UQO290" s="22"/>
      <c r="UQP290" s="22"/>
      <c r="UQQ290" s="22"/>
      <c r="UQR290" s="22"/>
      <c r="UQS290" s="22"/>
      <c r="UQT290" s="22"/>
      <c r="UQU290" s="22"/>
      <c r="UQV290" s="22"/>
      <c r="UQW290" s="22"/>
      <c r="UQX290" s="22"/>
      <c r="UQY290" s="22"/>
      <c r="UQZ290" s="22"/>
      <c r="URA290" s="22"/>
      <c r="URB290" s="22"/>
      <c r="URC290" s="22"/>
      <c r="URD290" s="22"/>
      <c r="URE290" s="22"/>
      <c r="URF290" s="22"/>
      <c r="URG290" s="22"/>
      <c r="URH290" s="22"/>
      <c r="URI290" s="22"/>
      <c r="URJ290" s="22"/>
      <c r="URK290" s="22"/>
      <c r="URL290" s="22"/>
      <c r="URM290" s="22"/>
      <c r="URN290" s="22"/>
      <c r="URO290" s="22"/>
      <c r="URP290" s="22"/>
      <c r="URQ290" s="22"/>
      <c r="URR290" s="22"/>
      <c r="URS290" s="22"/>
      <c r="URT290" s="22"/>
      <c r="URU290" s="22"/>
      <c r="URV290" s="22"/>
      <c r="URW290" s="22"/>
      <c r="URX290" s="22"/>
      <c r="URY290" s="22"/>
      <c r="URZ290" s="22"/>
      <c r="USA290" s="22"/>
      <c r="USB290" s="22"/>
      <c r="USC290" s="22"/>
      <c r="USD290" s="22"/>
      <c r="USE290" s="22"/>
      <c r="USF290" s="22"/>
      <c r="USG290" s="22"/>
      <c r="USH290" s="22"/>
      <c r="USI290" s="22"/>
      <c r="USJ290" s="22"/>
      <c r="USK290" s="22"/>
      <c r="USL290" s="22"/>
      <c r="USM290" s="22"/>
      <c r="USN290" s="22"/>
      <c r="USO290" s="22"/>
      <c r="USP290" s="22"/>
      <c r="USQ290" s="22"/>
      <c r="USR290" s="22"/>
      <c r="USS290" s="22"/>
      <c r="UST290" s="22"/>
      <c r="USU290" s="22"/>
      <c r="USV290" s="22"/>
      <c r="USW290" s="22"/>
      <c r="USX290" s="22"/>
      <c r="USY290" s="22"/>
      <c r="USZ290" s="22"/>
      <c r="UTA290" s="22"/>
      <c r="UTB290" s="22"/>
      <c r="UTC290" s="22"/>
      <c r="UTD290" s="22"/>
      <c r="UTE290" s="22"/>
      <c r="UTF290" s="22"/>
      <c r="UTG290" s="22"/>
      <c r="UTH290" s="22"/>
      <c r="UTI290" s="22"/>
      <c r="UTJ290" s="22"/>
      <c r="UTK290" s="22"/>
      <c r="UTL290" s="22"/>
      <c r="UTM290" s="22"/>
      <c r="UTN290" s="22"/>
      <c r="UTO290" s="22"/>
      <c r="UTP290" s="22"/>
      <c r="UTQ290" s="22"/>
      <c r="UTR290" s="22"/>
      <c r="UTS290" s="22"/>
      <c r="UTT290" s="22"/>
      <c r="UTU290" s="22"/>
      <c r="UTV290" s="22"/>
      <c r="UTW290" s="22"/>
      <c r="UTX290" s="22"/>
      <c r="UTY290" s="22"/>
      <c r="UTZ290" s="22"/>
      <c r="UUA290" s="22"/>
      <c r="UUB290" s="22"/>
      <c r="UUC290" s="22"/>
      <c r="UUD290" s="22"/>
      <c r="UUE290" s="22"/>
      <c r="UUF290" s="22"/>
      <c r="UUG290" s="22"/>
      <c r="UUH290" s="22"/>
      <c r="UUI290" s="22"/>
      <c r="UUJ290" s="22"/>
      <c r="UUK290" s="22"/>
      <c r="UUL290" s="22"/>
      <c r="UUM290" s="22"/>
      <c r="UUN290" s="22"/>
      <c r="UUO290" s="22"/>
      <c r="UUP290" s="22"/>
      <c r="UUQ290" s="22"/>
      <c r="UUR290" s="22"/>
      <c r="UUS290" s="22"/>
      <c r="UUT290" s="22"/>
      <c r="UUU290" s="22"/>
      <c r="UUV290" s="22"/>
      <c r="UUW290" s="22"/>
      <c r="UUX290" s="22"/>
      <c r="UUY290" s="22"/>
      <c r="UUZ290" s="22"/>
      <c r="UVA290" s="22"/>
      <c r="UVB290" s="22"/>
      <c r="UVC290" s="22"/>
      <c r="UVD290" s="22"/>
      <c r="UVE290" s="22"/>
      <c r="UVF290" s="22"/>
      <c r="UVG290" s="22"/>
      <c r="UVH290" s="22"/>
      <c r="UVI290" s="22"/>
      <c r="UVJ290" s="22"/>
      <c r="UVK290" s="22"/>
      <c r="UVL290" s="22"/>
      <c r="UVM290" s="22"/>
      <c r="UVN290" s="22"/>
      <c r="UVO290" s="22"/>
      <c r="UVP290" s="22"/>
      <c r="UVQ290" s="22"/>
      <c r="UVR290" s="22"/>
      <c r="UVS290" s="22"/>
      <c r="UVT290" s="22"/>
      <c r="UVU290" s="22"/>
      <c r="UVV290" s="22"/>
      <c r="UVW290" s="22"/>
      <c r="UVX290" s="22"/>
      <c r="UVY290" s="22"/>
      <c r="UVZ290" s="22"/>
      <c r="UWA290" s="22"/>
      <c r="UWB290" s="22"/>
      <c r="UWC290" s="22"/>
      <c r="UWD290" s="22"/>
      <c r="UWE290" s="22"/>
      <c r="UWF290" s="22"/>
      <c r="UWG290" s="22"/>
      <c r="UWH290" s="22"/>
      <c r="UWI290" s="22"/>
      <c r="UWJ290" s="22"/>
      <c r="UWK290" s="22"/>
      <c r="UWL290" s="22"/>
      <c r="UWM290" s="22"/>
      <c r="UWN290" s="22"/>
      <c r="UWO290" s="22"/>
      <c r="UWP290" s="22"/>
      <c r="UWQ290" s="22"/>
      <c r="UWR290" s="22"/>
      <c r="UWS290" s="22"/>
      <c r="UWT290" s="22"/>
      <c r="UWU290" s="22"/>
      <c r="UWV290" s="22"/>
      <c r="UWW290" s="22"/>
      <c r="UWX290" s="22"/>
      <c r="UWY290" s="22"/>
      <c r="UWZ290" s="22"/>
      <c r="UXA290" s="22"/>
      <c r="UXB290" s="22"/>
      <c r="UXC290" s="22"/>
      <c r="UXD290" s="22"/>
      <c r="UXE290" s="22"/>
      <c r="UXF290" s="22"/>
      <c r="UXG290" s="22"/>
      <c r="UXH290" s="22"/>
      <c r="UXI290" s="22"/>
      <c r="UXJ290" s="22"/>
      <c r="UXK290" s="22"/>
      <c r="UXL290" s="22"/>
      <c r="UXM290" s="22"/>
      <c r="UXN290" s="22"/>
      <c r="UXO290" s="22"/>
      <c r="UXP290" s="22"/>
      <c r="UXQ290" s="22"/>
      <c r="UXR290" s="22"/>
      <c r="UXS290" s="22"/>
      <c r="UXT290" s="22"/>
      <c r="UXU290" s="22"/>
      <c r="UXV290" s="22"/>
      <c r="UXW290" s="22"/>
      <c r="UXX290" s="22"/>
      <c r="UXY290" s="22"/>
      <c r="UXZ290" s="22"/>
      <c r="UYA290" s="22"/>
      <c r="UYB290" s="22"/>
      <c r="UYC290" s="22"/>
      <c r="UYD290" s="22"/>
      <c r="UYE290" s="22"/>
      <c r="UYF290" s="22"/>
      <c r="UYG290" s="22"/>
      <c r="UYH290" s="22"/>
      <c r="UYI290" s="22"/>
      <c r="UYJ290" s="22"/>
      <c r="UYK290" s="22"/>
      <c r="UYL290" s="22"/>
      <c r="UYM290" s="22"/>
      <c r="UYN290" s="22"/>
      <c r="UYO290" s="22"/>
      <c r="UYP290" s="22"/>
      <c r="UYQ290" s="22"/>
      <c r="UYR290" s="22"/>
      <c r="UYS290" s="22"/>
      <c r="UYT290" s="22"/>
      <c r="UYU290" s="22"/>
      <c r="UYV290" s="22"/>
      <c r="UYW290" s="22"/>
      <c r="UYX290" s="22"/>
      <c r="UYY290" s="22"/>
      <c r="UYZ290" s="22"/>
      <c r="UZA290" s="22"/>
      <c r="UZB290" s="22"/>
      <c r="UZC290" s="22"/>
      <c r="UZD290" s="22"/>
      <c r="UZE290" s="22"/>
      <c r="UZF290" s="22"/>
      <c r="UZG290" s="22"/>
      <c r="UZH290" s="22"/>
      <c r="UZI290" s="22"/>
      <c r="UZJ290" s="22"/>
      <c r="UZK290" s="22"/>
      <c r="UZL290" s="22"/>
      <c r="UZM290" s="22"/>
      <c r="UZN290" s="22"/>
      <c r="UZO290" s="22"/>
      <c r="UZP290" s="22"/>
      <c r="UZQ290" s="22"/>
      <c r="UZR290" s="22"/>
      <c r="UZS290" s="22"/>
      <c r="UZT290" s="22"/>
      <c r="UZU290" s="22"/>
      <c r="UZV290" s="22"/>
      <c r="UZW290" s="22"/>
      <c r="UZX290" s="22"/>
      <c r="UZY290" s="22"/>
      <c r="UZZ290" s="22"/>
      <c r="VAA290" s="22"/>
      <c r="VAB290" s="22"/>
      <c r="VAC290" s="22"/>
      <c r="VAD290" s="22"/>
      <c r="VAE290" s="22"/>
      <c r="VAF290" s="22"/>
      <c r="VAG290" s="22"/>
      <c r="VAH290" s="22"/>
      <c r="VAI290" s="22"/>
      <c r="VAJ290" s="22"/>
      <c r="VAK290" s="22"/>
      <c r="VAL290" s="22"/>
      <c r="VAM290" s="22"/>
      <c r="VAN290" s="22"/>
      <c r="VAO290" s="22"/>
      <c r="VAP290" s="22"/>
      <c r="VAQ290" s="22"/>
      <c r="VAR290" s="22"/>
      <c r="VAS290" s="22"/>
      <c r="VAT290" s="22"/>
      <c r="VAU290" s="22"/>
      <c r="VAV290" s="22"/>
      <c r="VAW290" s="22"/>
      <c r="VAX290" s="22"/>
      <c r="VAY290" s="22"/>
      <c r="VAZ290" s="22"/>
      <c r="VBA290" s="22"/>
      <c r="VBB290" s="22"/>
      <c r="VBC290" s="22"/>
      <c r="VBD290" s="22"/>
      <c r="VBE290" s="22"/>
      <c r="VBF290" s="22"/>
      <c r="VBG290" s="22"/>
      <c r="VBH290" s="22"/>
      <c r="VBI290" s="22"/>
      <c r="VBJ290" s="22"/>
      <c r="VBK290" s="22"/>
      <c r="VBL290" s="22"/>
      <c r="VBM290" s="22"/>
      <c r="VBN290" s="22"/>
      <c r="VBO290" s="22"/>
      <c r="VBP290" s="22"/>
      <c r="VBQ290" s="22"/>
      <c r="VBR290" s="22"/>
      <c r="VBS290" s="22"/>
      <c r="VBT290" s="22"/>
      <c r="VBU290" s="22"/>
      <c r="VBV290" s="22"/>
      <c r="VBW290" s="22"/>
      <c r="VBX290" s="22"/>
      <c r="VBY290" s="22"/>
      <c r="VBZ290" s="22"/>
      <c r="VCA290" s="22"/>
      <c r="VCB290" s="22"/>
      <c r="VCC290" s="22"/>
      <c r="VCD290" s="22"/>
      <c r="VCE290" s="22"/>
      <c r="VCF290" s="22"/>
      <c r="VCG290" s="22"/>
      <c r="VCH290" s="22"/>
      <c r="VCI290" s="22"/>
      <c r="VCJ290" s="22"/>
      <c r="VCK290" s="22"/>
      <c r="VCL290" s="22"/>
      <c r="VCM290" s="22"/>
      <c r="VCN290" s="22"/>
      <c r="VCO290" s="22"/>
      <c r="VCP290" s="22"/>
      <c r="VCQ290" s="22"/>
      <c r="VCR290" s="22"/>
      <c r="VCS290" s="22"/>
      <c r="VCT290" s="22"/>
      <c r="VCU290" s="22"/>
      <c r="VCV290" s="22"/>
      <c r="VCW290" s="22"/>
      <c r="VCX290" s="22"/>
      <c r="VCY290" s="22"/>
      <c r="VCZ290" s="22"/>
      <c r="VDA290" s="22"/>
      <c r="VDB290" s="22"/>
      <c r="VDC290" s="22"/>
      <c r="VDD290" s="22"/>
      <c r="VDE290" s="22"/>
      <c r="VDF290" s="22"/>
      <c r="VDG290" s="22"/>
      <c r="VDH290" s="22"/>
      <c r="VDI290" s="22"/>
      <c r="VDJ290" s="22"/>
      <c r="VDK290" s="22"/>
      <c r="VDL290" s="22"/>
      <c r="VDM290" s="22"/>
      <c r="VDN290" s="22"/>
      <c r="VDO290" s="22"/>
      <c r="VDP290" s="22"/>
      <c r="VDQ290" s="22"/>
      <c r="VDR290" s="22"/>
      <c r="VDS290" s="22"/>
      <c r="VDT290" s="22"/>
      <c r="VDU290" s="22"/>
      <c r="VDV290" s="22"/>
      <c r="VDW290" s="22"/>
      <c r="VDX290" s="22"/>
      <c r="VDY290" s="22"/>
      <c r="VDZ290" s="22"/>
      <c r="VEA290" s="22"/>
      <c r="VEB290" s="22"/>
      <c r="VEC290" s="22"/>
      <c r="VED290" s="22"/>
      <c r="VEE290" s="22"/>
      <c r="VEF290" s="22"/>
      <c r="VEG290" s="22"/>
      <c r="VEH290" s="22"/>
      <c r="VEI290" s="22"/>
      <c r="VEJ290" s="22"/>
      <c r="VEK290" s="22"/>
      <c r="VEL290" s="22"/>
      <c r="VEM290" s="22"/>
      <c r="VEN290" s="22"/>
      <c r="VEO290" s="22"/>
      <c r="VEP290" s="22"/>
      <c r="VEQ290" s="22"/>
      <c r="VER290" s="22"/>
      <c r="VES290" s="22"/>
      <c r="VET290" s="22"/>
      <c r="VEU290" s="22"/>
      <c r="VEV290" s="22"/>
      <c r="VEW290" s="22"/>
      <c r="VEX290" s="22"/>
      <c r="VEY290" s="22"/>
      <c r="VEZ290" s="22"/>
      <c r="VFA290" s="22"/>
      <c r="VFB290" s="22"/>
      <c r="VFC290" s="22"/>
      <c r="VFD290" s="22"/>
      <c r="VFE290" s="22"/>
      <c r="VFF290" s="22"/>
      <c r="VFG290" s="22"/>
      <c r="VFH290" s="22"/>
      <c r="VFI290" s="22"/>
      <c r="VFJ290" s="22"/>
      <c r="VFK290" s="22"/>
      <c r="VFL290" s="22"/>
      <c r="VFM290" s="22"/>
      <c r="VFN290" s="22"/>
      <c r="VFO290" s="22"/>
      <c r="VFP290" s="22"/>
      <c r="VFQ290" s="22"/>
      <c r="VFR290" s="22"/>
      <c r="VFS290" s="22"/>
      <c r="VFT290" s="22"/>
      <c r="VFU290" s="22"/>
      <c r="VFV290" s="22"/>
      <c r="VFW290" s="22"/>
      <c r="VFX290" s="22"/>
      <c r="VFY290" s="22"/>
      <c r="VFZ290" s="22"/>
      <c r="VGA290" s="22"/>
      <c r="VGB290" s="22"/>
      <c r="VGC290" s="22"/>
      <c r="VGD290" s="22"/>
      <c r="VGE290" s="22"/>
      <c r="VGF290" s="22"/>
      <c r="VGG290" s="22"/>
      <c r="VGH290" s="22"/>
      <c r="VGI290" s="22"/>
      <c r="VGJ290" s="22"/>
      <c r="VGK290" s="22"/>
      <c r="VGL290" s="22"/>
      <c r="VGM290" s="22"/>
      <c r="VGN290" s="22"/>
      <c r="VGO290" s="22"/>
      <c r="VGP290" s="22"/>
      <c r="VGQ290" s="22"/>
      <c r="VGR290" s="22"/>
      <c r="VGS290" s="22"/>
      <c r="VGT290" s="22"/>
      <c r="VGU290" s="22"/>
      <c r="VGV290" s="22"/>
      <c r="VGW290" s="22"/>
      <c r="VGX290" s="22"/>
      <c r="VGY290" s="22"/>
      <c r="VGZ290" s="22"/>
      <c r="VHA290" s="22"/>
      <c r="VHB290" s="22"/>
      <c r="VHC290" s="22"/>
      <c r="VHD290" s="22"/>
      <c r="VHE290" s="22"/>
      <c r="VHF290" s="22"/>
      <c r="VHG290" s="22"/>
      <c r="VHH290" s="22"/>
      <c r="VHI290" s="22"/>
      <c r="VHJ290" s="22"/>
      <c r="VHK290" s="22"/>
      <c r="VHL290" s="22"/>
      <c r="VHM290" s="22"/>
      <c r="VHN290" s="22"/>
      <c r="VHO290" s="22"/>
      <c r="VHP290" s="22"/>
      <c r="VHQ290" s="22"/>
      <c r="VHR290" s="22"/>
      <c r="VHS290" s="22"/>
      <c r="VHT290" s="22"/>
      <c r="VHU290" s="22"/>
      <c r="VHV290" s="22"/>
      <c r="VHW290" s="22"/>
      <c r="VHX290" s="22"/>
      <c r="VHY290" s="22"/>
      <c r="VHZ290" s="22"/>
      <c r="VIA290" s="22"/>
      <c r="VIB290" s="22"/>
      <c r="VIC290" s="22"/>
      <c r="VID290" s="22"/>
      <c r="VIE290" s="22"/>
      <c r="VIF290" s="22"/>
      <c r="VIG290" s="22"/>
      <c r="VIH290" s="22"/>
      <c r="VII290" s="22"/>
      <c r="VIJ290" s="22"/>
      <c r="VIK290" s="22"/>
      <c r="VIL290" s="22"/>
      <c r="VIM290" s="22"/>
      <c r="VIN290" s="22"/>
      <c r="VIO290" s="22"/>
      <c r="VIP290" s="22"/>
      <c r="VIQ290" s="22"/>
      <c r="VIR290" s="22"/>
      <c r="VIS290" s="22"/>
      <c r="VIT290" s="22"/>
      <c r="VIU290" s="22"/>
      <c r="VIV290" s="22"/>
      <c r="VIW290" s="22"/>
      <c r="VIX290" s="22"/>
      <c r="VIY290" s="22"/>
      <c r="VIZ290" s="22"/>
      <c r="VJA290" s="22"/>
      <c r="VJB290" s="22"/>
      <c r="VJC290" s="22"/>
      <c r="VJD290" s="22"/>
      <c r="VJE290" s="22"/>
      <c r="VJF290" s="22"/>
      <c r="VJG290" s="22"/>
      <c r="VJH290" s="22"/>
      <c r="VJI290" s="22"/>
      <c r="VJJ290" s="22"/>
      <c r="VJK290" s="22"/>
      <c r="VJL290" s="22"/>
      <c r="VJM290" s="22"/>
      <c r="VJN290" s="22"/>
      <c r="VJO290" s="22"/>
      <c r="VJP290" s="22"/>
      <c r="VJQ290" s="22"/>
      <c r="VJR290" s="22"/>
      <c r="VJS290" s="22"/>
      <c r="VJT290" s="22"/>
      <c r="VJU290" s="22"/>
      <c r="VJV290" s="22"/>
      <c r="VJW290" s="22"/>
      <c r="VJX290" s="22"/>
      <c r="VJY290" s="22"/>
      <c r="VJZ290" s="22"/>
      <c r="VKA290" s="22"/>
      <c r="VKB290" s="22"/>
      <c r="VKC290" s="22"/>
      <c r="VKD290" s="22"/>
      <c r="VKE290" s="22"/>
      <c r="VKF290" s="22"/>
      <c r="VKG290" s="22"/>
      <c r="VKH290" s="22"/>
      <c r="VKI290" s="22"/>
      <c r="VKJ290" s="22"/>
      <c r="VKK290" s="22"/>
      <c r="VKL290" s="22"/>
      <c r="VKM290" s="22"/>
      <c r="VKN290" s="22"/>
      <c r="VKO290" s="22"/>
      <c r="VKP290" s="22"/>
      <c r="VKQ290" s="22"/>
      <c r="VKR290" s="22"/>
      <c r="VKS290" s="22"/>
      <c r="VKT290" s="22"/>
      <c r="VKU290" s="22"/>
      <c r="VKV290" s="22"/>
      <c r="VKW290" s="22"/>
      <c r="VKX290" s="22"/>
      <c r="VKY290" s="22"/>
      <c r="VKZ290" s="22"/>
      <c r="VLA290" s="22"/>
      <c r="VLB290" s="22"/>
      <c r="VLC290" s="22"/>
      <c r="VLD290" s="22"/>
      <c r="VLE290" s="22"/>
      <c r="VLF290" s="22"/>
      <c r="VLG290" s="22"/>
      <c r="VLH290" s="22"/>
      <c r="VLI290" s="22"/>
      <c r="VLJ290" s="22"/>
      <c r="VLK290" s="22"/>
      <c r="VLL290" s="22"/>
      <c r="VLM290" s="22"/>
      <c r="VLN290" s="22"/>
      <c r="VLO290" s="22"/>
      <c r="VLP290" s="22"/>
      <c r="VLQ290" s="22"/>
      <c r="VLR290" s="22"/>
      <c r="VLS290" s="22"/>
      <c r="VLT290" s="22"/>
      <c r="VLU290" s="22"/>
      <c r="VLV290" s="22"/>
      <c r="VLW290" s="22"/>
      <c r="VLX290" s="22"/>
      <c r="VLY290" s="22"/>
      <c r="VLZ290" s="22"/>
      <c r="VMA290" s="22"/>
      <c r="VMB290" s="22"/>
      <c r="VMC290" s="22"/>
      <c r="VMD290" s="22"/>
      <c r="VME290" s="22"/>
      <c r="VMF290" s="22"/>
      <c r="VMG290" s="22"/>
      <c r="VMH290" s="22"/>
      <c r="VMI290" s="22"/>
      <c r="VMJ290" s="22"/>
      <c r="VMK290" s="22"/>
      <c r="VML290" s="22"/>
      <c r="VMM290" s="22"/>
      <c r="VMN290" s="22"/>
      <c r="VMO290" s="22"/>
      <c r="VMP290" s="22"/>
      <c r="VMQ290" s="22"/>
      <c r="VMR290" s="22"/>
      <c r="VMS290" s="22"/>
      <c r="VMT290" s="22"/>
      <c r="VMU290" s="22"/>
      <c r="VMV290" s="22"/>
      <c r="VMW290" s="22"/>
      <c r="VMX290" s="22"/>
      <c r="VMY290" s="22"/>
      <c r="VMZ290" s="22"/>
      <c r="VNA290" s="22"/>
      <c r="VNB290" s="22"/>
      <c r="VNC290" s="22"/>
      <c r="VND290" s="22"/>
      <c r="VNE290" s="22"/>
      <c r="VNF290" s="22"/>
      <c r="VNG290" s="22"/>
      <c r="VNH290" s="22"/>
      <c r="VNI290" s="22"/>
      <c r="VNJ290" s="22"/>
      <c r="VNK290" s="22"/>
      <c r="VNL290" s="22"/>
      <c r="VNM290" s="22"/>
      <c r="VNN290" s="22"/>
      <c r="VNO290" s="22"/>
      <c r="VNP290" s="22"/>
      <c r="VNQ290" s="22"/>
      <c r="VNR290" s="22"/>
      <c r="VNS290" s="22"/>
      <c r="VNT290" s="22"/>
      <c r="VNU290" s="22"/>
      <c r="VNV290" s="22"/>
      <c r="VNW290" s="22"/>
      <c r="VNX290" s="22"/>
      <c r="VNY290" s="22"/>
      <c r="VNZ290" s="22"/>
      <c r="VOA290" s="22"/>
      <c r="VOB290" s="22"/>
      <c r="VOC290" s="22"/>
      <c r="VOD290" s="22"/>
      <c r="VOE290" s="22"/>
      <c r="VOF290" s="22"/>
      <c r="VOG290" s="22"/>
      <c r="VOH290" s="22"/>
      <c r="VOI290" s="22"/>
      <c r="VOJ290" s="22"/>
      <c r="VOK290" s="22"/>
      <c r="VOL290" s="22"/>
      <c r="VOM290" s="22"/>
      <c r="VON290" s="22"/>
      <c r="VOO290" s="22"/>
      <c r="VOP290" s="22"/>
      <c r="VOQ290" s="22"/>
      <c r="VOR290" s="22"/>
      <c r="VOS290" s="22"/>
      <c r="VOT290" s="22"/>
      <c r="VOU290" s="22"/>
      <c r="VOV290" s="22"/>
      <c r="VOW290" s="22"/>
      <c r="VOX290" s="22"/>
      <c r="VOY290" s="22"/>
      <c r="VOZ290" s="22"/>
      <c r="VPA290" s="22"/>
      <c r="VPB290" s="22"/>
      <c r="VPC290" s="22"/>
      <c r="VPD290" s="22"/>
      <c r="VPE290" s="22"/>
      <c r="VPF290" s="22"/>
      <c r="VPG290" s="22"/>
      <c r="VPH290" s="22"/>
      <c r="VPI290" s="22"/>
      <c r="VPJ290" s="22"/>
      <c r="VPK290" s="22"/>
      <c r="VPL290" s="22"/>
      <c r="VPM290" s="22"/>
      <c r="VPN290" s="22"/>
      <c r="VPO290" s="22"/>
      <c r="VPP290" s="22"/>
      <c r="VPQ290" s="22"/>
      <c r="VPR290" s="22"/>
      <c r="VPS290" s="22"/>
      <c r="VPT290" s="22"/>
      <c r="VPU290" s="22"/>
      <c r="VPV290" s="22"/>
      <c r="VPW290" s="22"/>
      <c r="VPX290" s="22"/>
      <c r="VPY290" s="22"/>
      <c r="VPZ290" s="22"/>
      <c r="VQA290" s="22"/>
      <c r="VQB290" s="22"/>
      <c r="VQC290" s="22"/>
      <c r="VQD290" s="22"/>
      <c r="VQE290" s="22"/>
      <c r="VQF290" s="22"/>
      <c r="VQG290" s="22"/>
      <c r="VQH290" s="22"/>
      <c r="VQI290" s="22"/>
      <c r="VQJ290" s="22"/>
      <c r="VQK290" s="22"/>
      <c r="VQL290" s="22"/>
      <c r="VQM290" s="22"/>
      <c r="VQN290" s="22"/>
      <c r="VQO290" s="22"/>
      <c r="VQP290" s="22"/>
      <c r="VQQ290" s="22"/>
      <c r="VQR290" s="22"/>
      <c r="VQS290" s="22"/>
      <c r="VQT290" s="22"/>
      <c r="VQU290" s="22"/>
      <c r="VQV290" s="22"/>
      <c r="VQW290" s="22"/>
      <c r="VQX290" s="22"/>
      <c r="VQY290" s="22"/>
      <c r="VQZ290" s="22"/>
      <c r="VRA290" s="22"/>
      <c r="VRB290" s="22"/>
      <c r="VRC290" s="22"/>
      <c r="VRD290" s="22"/>
      <c r="VRE290" s="22"/>
      <c r="VRF290" s="22"/>
      <c r="VRG290" s="22"/>
      <c r="VRH290" s="22"/>
      <c r="VRI290" s="22"/>
      <c r="VRJ290" s="22"/>
      <c r="VRK290" s="22"/>
      <c r="VRL290" s="22"/>
      <c r="VRM290" s="22"/>
      <c r="VRN290" s="22"/>
      <c r="VRO290" s="22"/>
      <c r="VRP290" s="22"/>
      <c r="VRQ290" s="22"/>
      <c r="VRR290" s="22"/>
      <c r="VRS290" s="22"/>
      <c r="VRT290" s="22"/>
      <c r="VRU290" s="22"/>
      <c r="VRV290" s="22"/>
      <c r="VRW290" s="22"/>
      <c r="VRX290" s="22"/>
      <c r="VRY290" s="22"/>
      <c r="VRZ290" s="22"/>
      <c r="VSA290" s="22"/>
      <c r="VSB290" s="22"/>
      <c r="VSC290" s="22"/>
      <c r="VSD290" s="22"/>
      <c r="VSE290" s="22"/>
      <c r="VSF290" s="22"/>
      <c r="VSG290" s="22"/>
      <c r="VSH290" s="22"/>
      <c r="VSI290" s="22"/>
      <c r="VSJ290" s="22"/>
      <c r="VSK290" s="22"/>
      <c r="VSL290" s="22"/>
      <c r="VSM290" s="22"/>
      <c r="VSN290" s="22"/>
      <c r="VSO290" s="22"/>
      <c r="VSP290" s="22"/>
      <c r="VSQ290" s="22"/>
      <c r="VSR290" s="22"/>
      <c r="VSS290" s="22"/>
      <c r="VST290" s="22"/>
      <c r="VSU290" s="22"/>
      <c r="VSV290" s="22"/>
      <c r="VSW290" s="22"/>
      <c r="VSX290" s="22"/>
      <c r="VSY290" s="22"/>
      <c r="VSZ290" s="22"/>
      <c r="VTA290" s="22"/>
      <c r="VTB290" s="22"/>
      <c r="VTC290" s="22"/>
      <c r="VTD290" s="22"/>
      <c r="VTE290" s="22"/>
      <c r="VTF290" s="22"/>
      <c r="VTG290" s="22"/>
      <c r="VTH290" s="22"/>
      <c r="VTI290" s="22"/>
      <c r="VTJ290" s="22"/>
      <c r="VTK290" s="22"/>
      <c r="VTL290" s="22"/>
      <c r="VTM290" s="22"/>
      <c r="VTN290" s="22"/>
      <c r="VTO290" s="22"/>
      <c r="VTP290" s="22"/>
      <c r="VTQ290" s="22"/>
      <c r="VTR290" s="22"/>
      <c r="VTS290" s="22"/>
      <c r="VTT290" s="22"/>
      <c r="VTU290" s="22"/>
      <c r="VTV290" s="22"/>
      <c r="VTW290" s="22"/>
      <c r="VTX290" s="22"/>
      <c r="VTY290" s="22"/>
      <c r="VTZ290" s="22"/>
      <c r="VUA290" s="22"/>
      <c r="VUB290" s="22"/>
      <c r="VUC290" s="22"/>
      <c r="VUD290" s="22"/>
      <c r="VUE290" s="22"/>
      <c r="VUF290" s="22"/>
      <c r="VUG290" s="22"/>
      <c r="VUH290" s="22"/>
      <c r="VUI290" s="22"/>
      <c r="VUJ290" s="22"/>
      <c r="VUK290" s="22"/>
      <c r="VUL290" s="22"/>
      <c r="VUM290" s="22"/>
      <c r="VUN290" s="22"/>
      <c r="VUO290" s="22"/>
      <c r="VUP290" s="22"/>
      <c r="VUQ290" s="22"/>
      <c r="VUR290" s="22"/>
      <c r="VUS290" s="22"/>
      <c r="VUT290" s="22"/>
      <c r="VUU290" s="22"/>
      <c r="VUV290" s="22"/>
      <c r="VUW290" s="22"/>
      <c r="VUX290" s="22"/>
      <c r="VUY290" s="22"/>
      <c r="VUZ290" s="22"/>
      <c r="VVA290" s="22"/>
      <c r="VVB290" s="22"/>
      <c r="VVC290" s="22"/>
      <c r="VVD290" s="22"/>
      <c r="VVE290" s="22"/>
      <c r="VVF290" s="22"/>
      <c r="VVG290" s="22"/>
      <c r="VVH290" s="22"/>
      <c r="VVI290" s="22"/>
      <c r="VVJ290" s="22"/>
      <c r="VVK290" s="22"/>
      <c r="VVL290" s="22"/>
      <c r="VVM290" s="22"/>
      <c r="VVN290" s="22"/>
      <c r="VVO290" s="22"/>
      <c r="VVP290" s="22"/>
      <c r="VVQ290" s="22"/>
      <c r="VVR290" s="22"/>
      <c r="VVS290" s="22"/>
      <c r="VVT290" s="22"/>
      <c r="VVU290" s="22"/>
      <c r="VVV290" s="22"/>
      <c r="VVW290" s="22"/>
      <c r="VVX290" s="22"/>
      <c r="VVY290" s="22"/>
      <c r="VVZ290" s="22"/>
      <c r="VWA290" s="22"/>
      <c r="VWB290" s="22"/>
      <c r="VWC290" s="22"/>
      <c r="VWD290" s="22"/>
      <c r="VWE290" s="22"/>
      <c r="VWF290" s="22"/>
      <c r="VWG290" s="22"/>
      <c r="VWH290" s="22"/>
      <c r="VWI290" s="22"/>
      <c r="VWJ290" s="22"/>
      <c r="VWK290" s="22"/>
      <c r="VWL290" s="22"/>
      <c r="VWM290" s="22"/>
      <c r="VWN290" s="22"/>
      <c r="VWO290" s="22"/>
      <c r="VWP290" s="22"/>
      <c r="VWQ290" s="22"/>
      <c r="VWR290" s="22"/>
      <c r="VWS290" s="22"/>
      <c r="VWT290" s="22"/>
      <c r="VWU290" s="22"/>
      <c r="VWV290" s="22"/>
      <c r="VWW290" s="22"/>
      <c r="VWX290" s="22"/>
      <c r="VWY290" s="22"/>
      <c r="VWZ290" s="22"/>
      <c r="VXA290" s="22"/>
      <c r="VXB290" s="22"/>
      <c r="VXC290" s="22"/>
      <c r="VXD290" s="22"/>
      <c r="VXE290" s="22"/>
      <c r="VXF290" s="22"/>
      <c r="VXG290" s="22"/>
      <c r="VXH290" s="22"/>
      <c r="VXI290" s="22"/>
      <c r="VXJ290" s="22"/>
      <c r="VXK290" s="22"/>
      <c r="VXL290" s="22"/>
      <c r="VXM290" s="22"/>
      <c r="VXN290" s="22"/>
      <c r="VXO290" s="22"/>
      <c r="VXP290" s="22"/>
      <c r="VXQ290" s="22"/>
      <c r="VXR290" s="22"/>
      <c r="VXS290" s="22"/>
      <c r="VXT290" s="22"/>
      <c r="VXU290" s="22"/>
      <c r="VXV290" s="22"/>
      <c r="VXW290" s="22"/>
      <c r="VXX290" s="22"/>
      <c r="VXY290" s="22"/>
      <c r="VXZ290" s="22"/>
      <c r="VYA290" s="22"/>
      <c r="VYB290" s="22"/>
      <c r="VYC290" s="22"/>
      <c r="VYD290" s="22"/>
      <c r="VYE290" s="22"/>
      <c r="VYF290" s="22"/>
      <c r="VYG290" s="22"/>
      <c r="VYH290" s="22"/>
      <c r="VYI290" s="22"/>
      <c r="VYJ290" s="22"/>
      <c r="VYK290" s="22"/>
      <c r="VYL290" s="22"/>
      <c r="VYM290" s="22"/>
      <c r="VYN290" s="22"/>
      <c r="VYO290" s="22"/>
      <c r="VYP290" s="22"/>
      <c r="VYQ290" s="22"/>
      <c r="VYR290" s="22"/>
      <c r="VYS290" s="22"/>
      <c r="VYT290" s="22"/>
      <c r="VYU290" s="22"/>
      <c r="VYV290" s="22"/>
      <c r="VYW290" s="22"/>
      <c r="VYX290" s="22"/>
      <c r="VYY290" s="22"/>
      <c r="VYZ290" s="22"/>
      <c r="VZA290" s="22"/>
      <c r="VZB290" s="22"/>
      <c r="VZC290" s="22"/>
      <c r="VZD290" s="22"/>
      <c r="VZE290" s="22"/>
      <c r="VZF290" s="22"/>
      <c r="VZG290" s="22"/>
      <c r="VZH290" s="22"/>
      <c r="VZI290" s="22"/>
      <c r="VZJ290" s="22"/>
      <c r="VZK290" s="22"/>
      <c r="VZL290" s="22"/>
      <c r="VZM290" s="22"/>
      <c r="VZN290" s="22"/>
      <c r="VZO290" s="22"/>
      <c r="VZP290" s="22"/>
      <c r="VZQ290" s="22"/>
      <c r="VZR290" s="22"/>
      <c r="VZS290" s="22"/>
      <c r="VZT290" s="22"/>
      <c r="VZU290" s="22"/>
      <c r="VZV290" s="22"/>
      <c r="VZW290" s="22"/>
      <c r="VZX290" s="22"/>
      <c r="VZY290" s="22"/>
      <c r="VZZ290" s="22"/>
      <c r="WAA290" s="22"/>
      <c r="WAB290" s="22"/>
      <c r="WAC290" s="22"/>
      <c r="WAD290" s="22"/>
      <c r="WAE290" s="22"/>
      <c r="WAF290" s="22"/>
      <c r="WAG290" s="22"/>
      <c r="WAH290" s="22"/>
      <c r="WAI290" s="22"/>
      <c r="WAJ290" s="22"/>
      <c r="WAK290" s="22"/>
      <c r="WAL290" s="22"/>
      <c r="WAM290" s="22"/>
      <c r="WAN290" s="22"/>
      <c r="WAO290" s="22"/>
      <c r="WAP290" s="22"/>
      <c r="WAQ290" s="22"/>
      <c r="WAR290" s="22"/>
      <c r="WAS290" s="22"/>
      <c r="WAT290" s="22"/>
      <c r="WAU290" s="22"/>
      <c r="WAV290" s="22"/>
      <c r="WAW290" s="22"/>
      <c r="WAX290" s="22"/>
      <c r="WAY290" s="22"/>
      <c r="WAZ290" s="22"/>
      <c r="WBA290" s="22"/>
      <c r="WBB290" s="22"/>
      <c r="WBC290" s="22"/>
      <c r="WBD290" s="22"/>
      <c r="WBE290" s="22"/>
      <c r="WBF290" s="22"/>
      <c r="WBG290" s="22"/>
      <c r="WBH290" s="22"/>
      <c r="WBI290" s="22"/>
      <c r="WBJ290" s="22"/>
      <c r="WBK290" s="22"/>
      <c r="WBL290" s="22"/>
      <c r="WBM290" s="22"/>
      <c r="WBN290" s="22"/>
      <c r="WBO290" s="22"/>
      <c r="WBP290" s="22"/>
      <c r="WBQ290" s="22"/>
      <c r="WBR290" s="22"/>
      <c r="WBS290" s="22"/>
      <c r="WBT290" s="22"/>
      <c r="WBU290" s="22"/>
      <c r="WBV290" s="22"/>
      <c r="WBW290" s="22"/>
      <c r="WBX290" s="22"/>
      <c r="WBY290" s="22"/>
      <c r="WBZ290" s="22"/>
      <c r="WCA290" s="22"/>
      <c r="WCB290" s="22"/>
      <c r="WCC290" s="22"/>
      <c r="WCD290" s="22"/>
      <c r="WCE290" s="22"/>
      <c r="WCF290" s="22"/>
      <c r="WCG290" s="22"/>
      <c r="WCH290" s="22"/>
      <c r="WCI290" s="22"/>
      <c r="WCJ290" s="22"/>
      <c r="WCK290" s="22"/>
      <c r="WCL290" s="22"/>
      <c r="WCM290" s="22"/>
      <c r="WCN290" s="22"/>
      <c r="WCO290" s="22"/>
      <c r="WCP290" s="22"/>
      <c r="WCQ290" s="22"/>
      <c r="WCR290" s="22"/>
      <c r="WCS290" s="22"/>
      <c r="WCT290" s="22"/>
      <c r="WCU290" s="22"/>
      <c r="WCV290" s="22"/>
      <c r="WCW290" s="22"/>
      <c r="WCX290" s="22"/>
      <c r="WCY290" s="22"/>
      <c r="WCZ290" s="22"/>
      <c r="WDA290" s="22"/>
      <c r="WDB290" s="22"/>
      <c r="WDC290" s="22"/>
      <c r="WDD290" s="22"/>
      <c r="WDE290" s="22"/>
      <c r="WDF290" s="22"/>
      <c r="WDG290" s="22"/>
      <c r="WDH290" s="22"/>
      <c r="WDI290" s="22"/>
      <c r="WDJ290" s="22"/>
      <c r="WDK290" s="22"/>
      <c r="WDL290" s="22"/>
      <c r="WDM290" s="22"/>
      <c r="WDN290" s="22"/>
      <c r="WDO290" s="22"/>
      <c r="WDP290" s="22"/>
      <c r="WDQ290" s="22"/>
      <c r="WDR290" s="22"/>
      <c r="WDS290" s="22"/>
      <c r="WDT290" s="22"/>
      <c r="WDU290" s="22"/>
      <c r="WDV290" s="22"/>
      <c r="WDW290" s="22"/>
      <c r="WDX290" s="22"/>
      <c r="WDY290" s="22"/>
      <c r="WDZ290" s="22"/>
      <c r="WEA290" s="22"/>
      <c r="WEB290" s="22"/>
      <c r="WEC290" s="22"/>
      <c r="WED290" s="22"/>
      <c r="WEE290" s="22"/>
      <c r="WEF290" s="22"/>
      <c r="WEG290" s="22"/>
      <c r="WEH290" s="22"/>
      <c r="WEI290" s="22"/>
      <c r="WEJ290" s="22"/>
      <c r="WEK290" s="22"/>
      <c r="WEL290" s="22"/>
      <c r="WEM290" s="22"/>
      <c r="WEN290" s="22"/>
      <c r="WEO290" s="22"/>
      <c r="WEP290" s="22"/>
      <c r="WEQ290" s="22"/>
      <c r="WER290" s="22"/>
      <c r="WES290" s="22"/>
      <c r="WET290" s="22"/>
      <c r="WEU290" s="22"/>
      <c r="WEV290" s="22"/>
      <c r="WEW290" s="22"/>
      <c r="WEX290" s="22"/>
      <c r="WEY290" s="22"/>
      <c r="WEZ290" s="22"/>
      <c r="WFA290" s="22"/>
      <c r="WFB290" s="22"/>
      <c r="WFC290" s="22"/>
      <c r="WFD290" s="22"/>
      <c r="WFE290" s="22"/>
      <c r="WFF290" s="22"/>
      <c r="WFG290" s="22"/>
      <c r="WFH290" s="22"/>
      <c r="WFI290" s="22"/>
      <c r="WFJ290" s="22"/>
      <c r="WFK290" s="22"/>
      <c r="WFL290" s="22"/>
      <c r="WFM290" s="22"/>
      <c r="WFN290" s="22"/>
      <c r="WFO290" s="22"/>
      <c r="WFP290" s="22"/>
      <c r="WFQ290" s="22"/>
      <c r="WFR290" s="22"/>
      <c r="WFS290" s="22"/>
      <c r="WFT290" s="22"/>
      <c r="WFU290" s="22"/>
      <c r="WFV290" s="22"/>
      <c r="WFW290" s="22"/>
      <c r="WFX290" s="22"/>
      <c r="WFY290" s="22"/>
      <c r="WFZ290" s="22"/>
      <c r="WGA290" s="22"/>
      <c r="WGB290" s="22"/>
      <c r="WGC290" s="22"/>
      <c r="WGD290" s="22"/>
      <c r="WGE290" s="22"/>
      <c r="WGF290" s="22"/>
      <c r="WGG290" s="22"/>
      <c r="WGH290" s="22"/>
      <c r="WGI290" s="22"/>
      <c r="WGJ290" s="22"/>
      <c r="WGK290" s="22"/>
      <c r="WGL290" s="22"/>
      <c r="WGM290" s="22"/>
      <c r="WGN290" s="22"/>
      <c r="WGO290" s="22"/>
      <c r="WGP290" s="22"/>
      <c r="WGQ290" s="22"/>
      <c r="WGR290" s="22"/>
      <c r="WGS290" s="22"/>
      <c r="WGT290" s="22"/>
      <c r="WGU290" s="22"/>
      <c r="WGV290" s="22"/>
      <c r="WGW290" s="22"/>
      <c r="WGX290" s="22"/>
      <c r="WGY290" s="22"/>
      <c r="WGZ290" s="22"/>
      <c r="WHA290" s="22"/>
      <c r="WHB290" s="22"/>
      <c r="WHC290" s="22"/>
      <c r="WHD290" s="22"/>
      <c r="WHE290" s="22"/>
      <c r="WHF290" s="22"/>
      <c r="WHG290" s="22"/>
      <c r="WHH290" s="22"/>
      <c r="WHI290" s="22"/>
      <c r="WHJ290" s="22"/>
      <c r="WHK290" s="22"/>
      <c r="WHL290" s="22"/>
      <c r="WHM290" s="22"/>
      <c r="WHN290" s="22"/>
      <c r="WHO290" s="22"/>
      <c r="WHP290" s="22"/>
      <c r="WHQ290" s="22"/>
      <c r="WHR290" s="22"/>
      <c r="WHS290" s="22"/>
      <c r="WHT290" s="22"/>
      <c r="WHU290" s="22"/>
      <c r="WHV290" s="22"/>
      <c r="WHW290" s="22"/>
      <c r="WHX290" s="22"/>
      <c r="WHY290" s="22"/>
      <c r="WHZ290" s="22"/>
      <c r="WIA290" s="22"/>
      <c r="WIB290" s="22"/>
      <c r="WIC290" s="22"/>
      <c r="WID290" s="22"/>
      <c r="WIE290" s="22"/>
      <c r="WIF290" s="22"/>
      <c r="WIG290" s="22"/>
      <c r="WIH290" s="22"/>
      <c r="WII290" s="22"/>
      <c r="WIJ290" s="22"/>
      <c r="WIK290" s="22"/>
      <c r="WIL290" s="22"/>
      <c r="WIM290" s="22"/>
      <c r="WIN290" s="22"/>
      <c r="WIO290" s="22"/>
      <c r="WIP290" s="22"/>
      <c r="WIQ290" s="22"/>
      <c r="WIR290" s="22"/>
      <c r="WIS290" s="22"/>
      <c r="WIT290" s="22"/>
      <c r="WIU290" s="22"/>
      <c r="WIV290" s="22"/>
      <c r="WIW290" s="22"/>
      <c r="WIX290" s="22"/>
      <c r="WIY290" s="22"/>
      <c r="WIZ290" s="22"/>
      <c r="WJA290" s="22"/>
      <c r="WJB290" s="22"/>
      <c r="WJC290" s="22"/>
      <c r="WJD290" s="22"/>
      <c r="WJE290" s="22"/>
      <c r="WJF290" s="22"/>
      <c r="WJG290" s="22"/>
      <c r="WJH290" s="22"/>
      <c r="WJI290" s="22"/>
      <c r="WJJ290" s="22"/>
      <c r="WJK290" s="22"/>
      <c r="WJL290" s="22"/>
      <c r="WJM290" s="22"/>
      <c r="WJN290" s="22"/>
      <c r="WJO290" s="22"/>
      <c r="WJP290" s="22"/>
      <c r="WJQ290" s="22"/>
      <c r="WJR290" s="22"/>
      <c r="WJS290" s="22"/>
      <c r="WJT290" s="22"/>
      <c r="WJU290" s="22"/>
      <c r="WJV290" s="22"/>
      <c r="WJW290" s="22"/>
      <c r="WJX290" s="22"/>
      <c r="WJY290" s="22"/>
      <c r="WJZ290" s="22"/>
      <c r="WKA290" s="22"/>
      <c r="WKB290" s="22"/>
      <c r="WKC290" s="22"/>
      <c r="WKD290" s="22"/>
      <c r="WKE290" s="22"/>
      <c r="WKF290" s="22"/>
      <c r="WKG290" s="22"/>
      <c r="WKH290" s="22"/>
      <c r="WKI290" s="22"/>
      <c r="WKJ290" s="22"/>
      <c r="WKK290" s="22"/>
      <c r="WKL290" s="22"/>
      <c r="WKM290" s="22"/>
      <c r="WKN290" s="22"/>
      <c r="WKO290" s="22"/>
      <c r="WKP290" s="22"/>
      <c r="WKQ290" s="22"/>
      <c r="WKR290" s="22"/>
      <c r="WKS290" s="22"/>
      <c r="WKT290" s="22"/>
      <c r="WKU290" s="22"/>
      <c r="WKV290" s="22"/>
      <c r="WKW290" s="22"/>
      <c r="WKX290" s="22"/>
      <c r="WKY290" s="22"/>
      <c r="WKZ290" s="22"/>
      <c r="WLA290" s="22"/>
      <c r="WLB290" s="22"/>
      <c r="WLC290" s="22"/>
      <c r="WLD290" s="22"/>
      <c r="WLE290" s="22"/>
      <c r="WLF290" s="22"/>
      <c r="WLG290" s="22"/>
      <c r="WLH290" s="22"/>
      <c r="WLI290" s="22"/>
      <c r="WLJ290" s="22"/>
      <c r="WLK290" s="22"/>
      <c r="WLL290" s="22"/>
      <c r="WLM290" s="22"/>
      <c r="WLN290" s="22"/>
      <c r="WLO290" s="22"/>
      <c r="WLP290" s="22"/>
      <c r="WLQ290" s="22"/>
      <c r="WLR290" s="22"/>
      <c r="WLS290" s="22"/>
      <c r="WLT290" s="22"/>
      <c r="WLU290" s="22"/>
      <c r="WLV290" s="22"/>
      <c r="WLW290" s="22"/>
      <c r="WLX290" s="22"/>
      <c r="WLY290" s="22"/>
      <c r="WLZ290" s="22"/>
      <c r="WMA290" s="22"/>
      <c r="WMB290" s="22"/>
      <c r="WMC290" s="22"/>
      <c r="WMD290" s="22"/>
      <c r="WME290" s="22"/>
      <c r="WMF290" s="22"/>
      <c r="WMG290" s="22"/>
      <c r="WMH290" s="22"/>
      <c r="WMI290" s="22"/>
      <c r="WMJ290" s="22"/>
      <c r="WMK290" s="22"/>
      <c r="WML290" s="22"/>
      <c r="WMM290" s="22"/>
      <c r="WMN290" s="22"/>
      <c r="WMO290" s="22"/>
      <c r="WMP290" s="22"/>
      <c r="WMQ290" s="22"/>
      <c r="WMR290" s="22"/>
      <c r="WMS290" s="22"/>
      <c r="WMT290" s="22"/>
      <c r="WMU290" s="22"/>
      <c r="WMV290" s="22"/>
      <c r="WMW290" s="22"/>
      <c r="WMX290" s="22"/>
      <c r="WMY290" s="22"/>
      <c r="WMZ290" s="22"/>
      <c r="WNA290" s="22"/>
      <c r="WNB290" s="22"/>
      <c r="WNC290" s="22"/>
      <c r="WND290" s="22"/>
      <c r="WNE290" s="22"/>
      <c r="WNF290" s="22"/>
      <c r="WNG290" s="22"/>
      <c r="WNH290" s="22"/>
      <c r="WNI290" s="22"/>
      <c r="WNJ290" s="22"/>
      <c r="WNK290" s="22"/>
      <c r="WNL290" s="22"/>
      <c r="WNM290" s="22"/>
      <c r="WNN290" s="22"/>
      <c r="WNO290" s="22"/>
      <c r="WNP290" s="22"/>
      <c r="WNQ290" s="22"/>
      <c r="WNR290" s="22"/>
      <c r="WNS290" s="22"/>
      <c r="WNT290" s="22"/>
      <c r="WNU290" s="22"/>
      <c r="WNV290" s="22"/>
      <c r="WNW290" s="22"/>
      <c r="WNX290" s="22"/>
      <c r="WNY290" s="22"/>
      <c r="WNZ290" s="22"/>
      <c r="WOA290" s="22"/>
      <c r="WOB290" s="22"/>
      <c r="WOC290" s="22"/>
      <c r="WOD290" s="22"/>
      <c r="WOE290" s="22"/>
      <c r="WOF290" s="22"/>
      <c r="WOG290" s="22"/>
      <c r="WOH290" s="22"/>
      <c r="WOI290" s="22"/>
      <c r="WOJ290" s="22"/>
      <c r="WOK290" s="22"/>
      <c r="WOL290" s="22"/>
      <c r="WOM290" s="22"/>
      <c r="WON290" s="22"/>
      <c r="WOO290" s="22"/>
      <c r="WOP290" s="22"/>
      <c r="WOQ290" s="22"/>
      <c r="WOR290" s="22"/>
      <c r="WOS290" s="22"/>
      <c r="WOT290" s="22"/>
      <c r="WOU290" s="22"/>
      <c r="WOV290" s="22"/>
      <c r="WOW290" s="22"/>
      <c r="WOX290" s="22"/>
      <c r="WOY290" s="22"/>
      <c r="WOZ290" s="22"/>
      <c r="WPA290" s="22"/>
      <c r="WPB290" s="22"/>
      <c r="WPC290" s="22"/>
      <c r="WPD290" s="22"/>
      <c r="WPE290" s="22"/>
      <c r="WPF290" s="22"/>
      <c r="WPG290" s="22"/>
      <c r="WPH290" s="22"/>
      <c r="WPI290" s="22"/>
      <c r="WPJ290" s="22"/>
      <c r="WPK290" s="22"/>
      <c r="WPL290" s="22"/>
      <c r="WPM290" s="22"/>
      <c r="WPN290" s="22"/>
      <c r="WPO290" s="22"/>
      <c r="WPP290" s="22"/>
      <c r="WPQ290" s="22"/>
      <c r="WPR290" s="22"/>
      <c r="WPS290" s="22"/>
      <c r="WPT290" s="22"/>
      <c r="WPU290" s="22"/>
      <c r="WPV290" s="22"/>
      <c r="WPW290" s="22"/>
      <c r="WPX290" s="22"/>
      <c r="WPY290" s="22"/>
      <c r="WPZ290" s="22"/>
      <c r="WQA290" s="22"/>
      <c r="WQB290" s="22"/>
      <c r="WQC290" s="22"/>
      <c r="WQD290" s="22"/>
      <c r="WQE290" s="22"/>
      <c r="WQF290" s="22"/>
      <c r="WQG290" s="22"/>
      <c r="WQH290" s="22"/>
      <c r="WQI290" s="22"/>
      <c r="WQJ290" s="22"/>
      <c r="WQK290" s="22"/>
      <c r="WQL290" s="22"/>
      <c r="WQM290" s="22"/>
      <c r="WQN290" s="22"/>
      <c r="WQO290" s="22"/>
      <c r="WQP290" s="22"/>
      <c r="WQQ290" s="22"/>
      <c r="WQR290" s="22"/>
      <c r="WQS290" s="22"/>
      <c r="WQT290" s="22"/>
      <c r="WQU290" s="22"/>
      <c r="WQV290" s="22"/>
      <c r="WQW290" s="22"/>
      <c r="WQX290" s="22"/>
      <c r="WQY290" s="22"/>
      <c r="WQZ290" s="22"/>
      <c r="WRA290" s="22"/>
      <c r="WRB290" s="22"/>
      <c r="WRC290" s="22"/>
      <c r="WRD290" s="22"/>
      <c r="WRE290" s="22"/>
      <c r="WRF290" s="22"/>
      <c r="WRG290" s="22"/>
      <c r="WRH290" s="22"/>
      <c r="WRI290" s="22"/>
      <c r="WRJ290" s="22"/>
      <c r="WRK290" s="22"/>
      <c r="WRL290" s="22"/>
      <c r="WRM290" s="22"/>
      <c r="WRN290" s="22"/>
      <c r="WRO290" s="22"/>
      <c r="WRP290" s="22"/>
      <c r="WRQ290" s="22"/>
      <c r="WRR290" s="22"/>
      <c r="WRS290" s="22"/>
      <c r="WRT290" s="22"/>
      <c r="WRU290" s="22"/>
      <c r="WRV290" s="22"/>
      <c r="WRW290" s="22"/>
      <c r="WRX290" s="22"/>
      <c r="WRY290" s="22"/>
      <c r="WRZ290" s="22"/>
      <c r="WSA290" s="22"/>
      <c r="WSB290" s="22"/>
      <c r="WSC290" s="22"/>
      <c r="WSD290" s="22"/>
      <c r="WSE290" s="22"/>
      <c r="WSF290" s="22"/>
      <c r="WSG290" s="22"/>
      <c r="WSH290" s="22"/>
      <c r="WSI290" s="22"/>
      <c r="WSJ290" s="22"/>
      <c r="WSK290" s="22"/>
      <c r="WSL290" s="22"/>
      <c r="WSM290" s="22"/>
      <c r="WSN290" s="22"/>
      <c r="WSO290" s="22"/>
      <c r="WSP290" s="22"/>
      <c r="WSQ290" s="22"/>
      <c r="WSR290" s="22"/>
      <c r="WSS290" s="22"/>
      <c r="WST290" s="22"/>
      <c r="WSU290" s="22"/>
      <c r="WSV290" s="22"/>
      <c r="WSW290" s="22"/>
      <c r="WSX290" s="22"/>
      <c r="WSY290" s="22"/>
      <c r="WSZ290" s="22"/>
      <c r="WTA290" s="22"/>
      <c r="WTB290" s="22"/>
      <c r="WTC290" s="22"/>
      <c r="WTD290" s="22"/>
      <c r="WTE290" s="22"/>
      <c r="WTF290" s="22"/>
      <c r="WTG290" s="22"/>
      <c r="WTH290" s="22"/>
      <c r="WTI290" s="22"/>
      <c r="WTJ290" s="22"/>
      <c r="WTK290" s="22"/>
      <c r="WTL290" s="22"/>
      <c r="WTM290" s="22"/>
      <c r="WTN290" s="22"/>
      <c r="WTO290" s="22"/>
      <c r="WTP290" s="22"/>
      <c r="WTQ290" s="22"/>
      <c r="WTR290" s="22"/>
      <c r="WTS290" s="22"/>
      <c r="WTT290" s="22"/>
      <c r="WTU290" s="22"/>
      <c r="WTV290" s="22"/>
      <c r="WTW290" s="22"/>
      <c r="WTX290" s="22"/>
      <c r="WTY290" s="22"/>
      <c r="WTZ290" s="22"/>
      <c r="WUA290" s="22"/>
      <c r="WUB290" s="22"/>
      <c r="WUC290" s="22"/>
      <c r="WUD290" s="22"/>
      <c r="WUE290" s="22"/>
      <c r="WUF290" s="22"/>
      <c r="WUG290" s="22"/>
      <c r="WUH290" s="22"/>
      <c r="WUI290" s="22"/>
      <c r="WUJ290" s="22"/>
      <c r="WUK290" s="22"/>
      <c r="WUL290" s="22"/>
      <c r="WUM290" s="22"/>
      <c r="WUN290" s="22"/>
      <c r="WUO290" s="22"/>
      <c r="WUP290" s="22"/>
      <c r="WUQ290" s="22"/>
      <c r="WUR290" s="22"/>
      <c r="WUS290" s="22"/>
      <c r="WUT290" s="22"/>
      <c r="WUU290" s="22"/>
      <c r="WUV290" s="22"/>
      <c r="WUW290" s="22"/>
      <c r="WUX290" s="22"/>
      <c r="WUY290" s="22"/>
      <c r="WUZ290" s="22"/>
      <c r="WVA290" s="22"/>
      <c r="WVB290" s="22"/>
      <c r="WVC290" s="22"/>
      <c r="WVD290" s="22"/>
      <c r="WVE290" s="22"/>
      <c r="WVF290" s="22"/>
      <c r="WVG290" s="22"/>
      <c r="WVH290" s="22"/>
      <c r="WVI290" s="22"/>
      <c r="WVJ290" s="22"/>
      <c r="WVK290" s="22"/>
      <c r="WVL290" s="22"/>
      <c r="WVM290" s="22"/>
      <c r="WVN290" s="22"/>
      <c r="WVO290" s="22"/>
      <c r="WVP290" s="22"/>
      <c r="WVQ290" s="22"/>
      <c r="WVR290" s="22"/>
      <c r="WVS290" s="22"/>
      <c r="WVT290" s="22"/>
      <c r="WVU290" s="22"/>
      <c r="WVV290" s="22"/>
      <c r="WVW290" s="22"/>
      <c r="WVX290" s="22"/>
      <c r="WVY290" s="22"/>
      <c r="WVZ290" s="22"/>
      <c r="WWA290" s="22"/>
      <c r="WWB290" s="22"/>
      <c r="WWC290" s="22"/>
      <c r="WWD290" s="22"/>
      <c r="WWE290" s="22"/>
      <c r="WWF290" s="22"/>
      <c r="WWG290" s="22"/>
      <c r="WWH290" s="22"/>
      <c r="WWI290" s="22"/>
      <c r="WWJ290" s="22"/>
      <c r="WWK290" s="22"/>
      <c r="WWL290" s="22"/>
      <c r="WWM290" s="22"/>
      <c r="WWN290" s="22"/>
      <c r="WWO290" s="22"/>
      <c r="WWP290" s="22"/>
      <c r="WWQ290" s="22"/>
      <c r="WWR290" s="22"/>
      <c r="WWS290" s="22"/>
      <c r="WWT290" s="22"/>
      <c r="WWU290" s="22"/>
      <c r="WWV290" s="22"/>
      <c r="WWW290" s="22"/>
      <c r="WWX290" s="22"/>
      <c r="WWY290" s="22"/>
      <c r="WWZ290" s="22"/>
      <c r="WXA290" s="22"/>
      <c r="WXB290" s="22"/>
      <c r="WXC290" s="22"/>
      <c r="WXD290" s="22"/>
      <c r="WXE290" s="22"/>
    </row>
  </sheetData>
  <autoFilter ref="A3:XFD290">
    <extLst/>
  </autoFilter>
  <mergeCells count="1390">
    <mergeCell ref="A1:X1"/>
    <mergeCell ref="A2:U2"/>
    <mergeCell ref="V2:AF2"/>
    <mergeCell ref="A5:A9"/>
    <mergeCell ref="A12:A13"/>
    <mergeCell ref="A15:A17"/>
    <mergeCell ref="A24:A25"/>
    <mergeCell ref="A27:A30"/>
    <mergeCell ref="A38:A44"/>
    <mergeCell ref="A48:A56"/>
    <mergeCell ref="A67:A68"/>
    <mergeCell ref="A70:A72"/>
    <mergeCell ref="A73:A75"/>
    <mergeCell ref="A76:A78"/>
    <mergeCell ref="A79:A81"/>
    <mergeCell ref="A86:A88"/>
    <mergeCell ref="A89:A91"/>
    <mergeCell ref="A94:A97"/>
    <mergeCell ref="A98:A101"/>
    <mergeCell ref="A102:A103"/>
    <mergeCell ref="A104:A105"/>
    <mergeCell ref="A106:A115"/>
    <mergeCell ref="A116:A125"/>
    <mergeCell ref="A126:A129"/>
    <mergeCell ref="A130:A133"/>
    <mergeCell ref="A134:A137"/>
    <mergeCell ref="A138:A141"/>
    <mergeCell ref="A142:A145"/>
    <mergeCell ref="A146:A149"/>
    <mergeCell ref="A150:A153"/>
    <mergeCell ref="A154:A157"/>
    <mergeCell ref="A158:A161"/>
    <mergeCell ref="A162:A165"/>
    <mergeCell ref="A166:A171"/>
    <mergeCell ref="A172:A177"/>
    <mergeCell ref="A178:A179"/>
    <mergeCell ref="A180:A181"/>
    <mergeCell ref="A182:A183"/>
    <mergeCell ref="A184:A185"/>
    <mergeCell ref="A186:A189"/>
    <mergeCell ref="A190:A193"/>
    <mergeCell ref="A194:A197"/>
    <mergeCell ref="A198:A201"/>
    <mergeCell ref="A202:A205"/>
    <mergeCell ref="A206:A209"/>
    <mergeCell ref="A210:A211"/>
    <mergeCell ref="A212:A213"/>
    <mergeCell ref="A214:A217"/>
    <mergeCell ref="A218:A221"/>
    <mergeCell ref="A224:A225"/>
    <mergeCell ref="A226:A227"/>
    <mergeCell ref="A228:A229"/>
    <mergeCell ref="A230:A231"/>
    <mergeCell ref="A232:A233"/>
    <mergeCell ref="A234:A235"/>
    <mergeCell ref="A236:A241"/>
    <mergeCell ref="A242:A247"/>
    <mergeCell ref="A248:A249"/>
    <mergeCell ref="A250:A251"/>
    <mergeCell ref="A254:A255"/>
    <mergeCell ref="A256:A257"/>
    <mergeCell ref="A258:A259"/>
    <mergeCell ref="A260:A261"/>
    <mergeCell ref="A262:A267"/>
    <mergeCell ref="A268:A273"/>
    <mergeCell ref="A274:A275"/>
    <mergeCell ref="A276:A277"/>
    <mergeCell ref="A287:A288"/>
    <mergeCell ref="A289:A290"/>
    <mergeCell ref="B5:B9"/>
    <mergeCell ref="B12:B13"/>
    <mergeCell ref="B15:B17"/>
    <mergeCell ref="B24:B25"/>
    <mergeCell ref="B27:B30"/>
    <mergeCell ref="B38:B44"/>
    <mergeCell ref="B48:B56"/>
    <mergeCell ref="B67:B68"/>
    <mergeCell ref="B70:B72"/>
    <mergeCell ref="B73:B75"/>
    <mergeCell ref="B76:B78"/>
    <mergeCell ref="B79:B81"/>
    <mergeCell ref="B86:B88"/>
    <mergeCell ref="B89:B91"/>
    <mergeCell ref="B94:B97"/>
    <mergeCell ref="B98:B101"/>
    <mergeCell ref="B102:B103"/>
    <mergeCell ref="B104:B105"/>
    <mergeCell ref="B106:B115"/>
    <mergeCell ref="B116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71"/>
    <mergeCell ref="B172:B177"/>
    <mergeCell ref="B178:B179"/>
    <mergeCell ref="B180:B181"/>
    <mergeCell ref="B182:B183"/>
    <mergeCell ref="B184:B185"/>
    <mergeCell ref="B186:B189"/>
    <mergeCell ref="B190:B193"/>
    <mergeCell ref="B194:B197"/>
    <mergeCell ref="B198:B201"/>
    <mergeCell ref="B202:B205"/>
    <mergeCell ref="B206:B209"/>
    <mergeCell ref="B210:B211"/>
    <mergeCell ref="B212:B213"/>
    <mergeCell ref="B214:B217"/>
    <mergeCell ref="B218:B221"/>
    <mergeCell ref="B224:B225"/>
    <mergeCell ref="B226:B227"/>
    <mergeCell ref="B228:B229"/>
    <mergeCell ref="B230:B231"/>
    <mergeCell ref="B232:B233"/>
    <mergeCell ref="B234:B235"/>
    <mergeCell ref="B236:B241"/>
    <mergeCell ref="B242:B247"/>
    <mergeCell ref="B248:B249"/>
    <mergeCell ref="B250:B251"/>
    <mergeCell ref="B254:B255"/>
    <mergeCell ref="B256:B257"/>
    <mergeCell ref="B258:B259"/>
    <mergeCell ref="B260:B261"/>
    <mergeCell ref="B262:B267"/>
    <mergeCell ref="B268:B273"/>
    <mergeCell ref="B274:B275"/>
    <mergeCell ref="B276:B277"/>
    <mergeCell ref="B287:B288"/>
    <mergeCell ref="B289:B290"/>
    <mergeCell ref="C5:C8"/>
    <mergeCell ref="C12:C13"/>
    <mergeCell ref="C15:C17"/>
    <mergeCell ref="C24:C25"/>
    <mergeCell ref="C27:C30"/>
    <mergeCell ref="C38:C44"/>
    <mergeCell ref="C48:C56"/>
    <mergeCell ref="C67:C68"/>
    <mergeCell ref="C70:C72"/>
    <mergeCell ref="C73:C75"/>
    <mergeCell ref="C76:C78"/>
    <mergeCell ref="C79:C81"/>
    <mergeCell ref="C86:C88"/>
    <mergeCell ref="C89:C91"/>
    <mergeCell ref="C94:C97"/>
    <mergeCell ref="C98:C101"/>
    <mergeCell ref="C102:C103"/>
    <mergeCell ref="C104:C105"/>
    <mergeCell ref="C106:C115"/>
    <mergeCell ref="C116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71"/>
    <mergeCell ref="C172:C177"/>
    <mergeCell ref="C178:C179"/>
    <mergeCell ref="C180:C181"/>
    <mergeCell ref="C182:C183"/>
    <mergeCell ref="C184:C185"/>
    <mergeCell ref="C186:C189"/>
    <mergeCell ref="C190:C193"/>
    <mergeCell ref="C194:C197"/>
    <mergeCell ref="C198:C201"/>
    <mergeCell ref="C202:C205"/>
    <mergeCell ref="C206:C209"/>
    <mergeCell ref="C210:C211"/>
    <mergeCell ref="C212:C213"/>
    <mergeCell ref="C214:C217"/>
    <mergeCell ref="C218:C221"/>
    <mergeCell ref="C224:C225"/>
    <mergeCell ref="C226:C227"/>
    <mergeCell ref="C228:C229"/>
    <mergeCell ref="C230:C231"/>
    <mergeCell ref="C232:C233"/>
    <mergeCell ref="C234:C235"/>
    <mergeCell ref="C236:C241"/>
    <mergeCell ref="C242:C247"/>
    <mergeCell ref="C248:C249"/>
    <mergeCell ref="C250:C251"/>
    <mergeCell ref="C254:C255"/>
    <mergeCell ref="C256:C257"/>
    <mergeCell ref="C258:C259"/>
    <mergeCell ref="C260:C261"/>
    <mergeCell ref="C262:C267"/>
    <mergeCell ref="C268:C273"/>
    <mergeCell ref="C274:C275"/>
    <mergeCell ref="C276:C277"/>
    <mergeCell ref="C287:C288"/>
    <mergeCell ref="C289:C290"/>
    <mergeCell ref="D5:D8"/>
    <mergeCell ref="D12:D13"/>
    <mergeCell ref="D15:D17"/>
    <mergeCell ref="D24:D25"/>
    <mergeCell ref="D27:D30"/>
    <mergeCell ref="D38:D44"/>
    <mergeCell ref="D48:D56"/>
    <mergeCell ref="D67:D68"/>
    <mergeCell ref="D70:D72"/>
    <mergeCell ref="D73:D75"/>
    <mergeCell ref="D76:D78"/>
    <mergeCell ref="D79:D81"/>
    <mergeCell ref="D86:D88"/>
    <mergeCell ref="D89:D91"/>
    <mergeCell ref="D94:D97"/>
    <mergeCell ref="D98:D101"/>
    <mergeCell ref="D102:D103"/>
    <mergeCell ref="D104:D105"/>
    <mergeCell ref="D106:D115"/>
    <mergeCell ref="D116:D125"/>
    <mergeCell ref="D126:D129"/>
    <mergeCell ref="D130:D133"/>
    <mergeCell ref="D134:D137"/>
    <mergeCell ref="D138:D141"/>
    <mergeCell ref="D142:D145"/>
    <mergeCell ref="D146:D149"/>
    <mergeCell ref="D150:D153"/>
    <mergeCell ref="D154:D157"/>
    <mergeCell ref="D158:D161"/>
    <mergeCell ref="D162:D165"/>
    <mergeCell ref="D166:D171"/>
    <mergeCell ref="D172:D177"/>
    <mergeCell ref="D178:D179"/>
    <mergeCell ref="D180:D181"/>
    <mergeCell ref="D182:D183"/>
    <mergeCell ref="D184:D185"/>
    <mergeCell ref="D186:D189"/>
    <mergeCell ref="D190:D193"/>
    <mergeCell ref="D194:D197"/>
    <mergeCell ref="D198:D201"/>
    <mergeCell ref="D202:D205"/>
    <mergeCell ref="D206:D209"/>
    <mergeCell ref="D210:D211"/>
    <mergeCell ref="D212:D213"/>
    <mergeCell ref="D214:D217"/>
    <mergeCell ref="D218:D221"/>
    <mergeCell ref="D224:D225"/>
    <mergeCell ref="D226:D227"/>
    <mergeCell ref="D228:D229"/>
    <mergeCell ref="D230:D231"/>
    <mergeCell ref="D232:D233"/>
    <mergeCell ref="D234:D235"/>
    <mergeCell ref="D236:D241"/>
    <mergeCell ref="D242:D247"/>
    <mergeCell ref="D248:D249"/>
    <mergeCell ref="D250:D251"/>
    <mergeCell ref="D254:D255"/>
    <mergeCell ref="D256:D257"/>
    <mergeCell ref="D258:D259"/>
    <mergeCell ref="D260:D261"/>
    <mergeCell ref="D262:D267"/>
    <mergeCell ref="D268:D273"/>
    <mergeCell ref="D274:D275"/>
    <mergeCell ref="D276:D277"/>
    <mergeCell ref="D287:D288"/>
    <mergeCell ref="D289:D290"/>
    <mergeCell ref="E5:E8"/>
    <mergeCell ref="E12:E13"/>
    <mergeCell ref="E15:E17"/>
    <mergeCell ref="E24:E25"/>
    <mergeCell ref="E27:E30"/>
    <mergeCell ref="E38:E44"/>
    <mergeCell ref="E48:E56"/>
    <mergeCell ref="E67:E68"/>
    <mergeCell ref="E70:E72"/>
    <mergeCell ref="E73:E75"/>
    <mergeCell ref="E76:E78"/>
    <mergeCell ref="E79:E81"/>
    <mergeCell ref="E86:E88"/>
    <mergeCell ref="E89:E91"/>
    <mergeCell ref="E94:E97"/>
    <mergeCell ref="E98:E101"/>
    <mergeCell ref="E102:E103"/>
    <mergeCell ref="E104:E105"/>
    <mergeCell ref="E106:E115"/>
    <mergeCell ref="E116:E125"/>
    <mergeCell ref="E126:E129"/>
    <mergeCell ref="E130:E133"/>
    <mergeCell ref="E134:E137"/>
    <mergeCell ref="E138:E141"/>
    <mergeCell ref="E142:E145"/>
    <mergeCell ref="E146:E149"/>
    <mergeCell ref="E150:E153"/>
    <mergeCell ref="E154:E157"/>
    <mergeCell ref="E158:E161"/>
    <mergeCell ref="E162:E165"/>
    <mergeCell ref="E166:E171"/>
    <mergeCell ref="E172:E177"/>
    <mergeCell ref="E178:E179"/>
    <mergeCell ref="E180:E181"/>
    <mergeCell ref="E182:E183"/>
    <mergeCell ref="E184:E185"/>
    <mergeCell ref="E186:E189"/>
    <mergeCell ref="E190:E193"/>
    <mergeCell ref="E194:E197"/>
    <mergeCell ref="E198:E201"/>
    <mergeCell ref="E202:E205"/>
    <mergeCell ref="E206:E209"/>
    <mergeCell ref="E210:E211"/>
    <mergeCell ref="E212:E213"/>
    <mergeCell ref="E214:E217"/>
    <mergeCell ref="E218:E221"/>
    <mergeCell ref="E224:E225"/>
    <mergeCell ref="E226:E227"/>
    <mergeCell ref="E228:E229"/>
    <mergeCell ref="E230:E231"/>
    <mergeCell ref="E232:E233"/>
    <mergeCell ref="E234:E235"/>
    <mergeCell ref="E236:E241"/>
    <mergeCell ref="E242:E247"/>
    <mergeCell ref="E248:E249"/>
    <mergeCell ref="E250:E251"/>
    <mergeCell ref="E254:E255"/>
    <mergeCell ref="E256:E257"/>
    <mergeCell ref="E258:E259"/>
    <mergeCell ref="E260:E261"/>
    <mergeCell ref="E262:E267"/>
    <mergeCell ref="E268:E273"/>
    <mergeCell ref="E274:E275"/>
    <mergeCell ref="E276:E277"/>
    <mergeCell ref="E287:E288"/>
    <mergeCell ref="E289:E290"/>
    <mergeCell ref="F5:F8"/>
    <mergeCell ref="F12:F13"/>
    <mergeCell ref="F15:F17"/>
    <mergeCell ref="F24:F25"/>
    <mergeCell ref="F27:F30"/>
    <mergeCell ref="F38:F44"/>
    <mergeCell ref="F48:F56"/>
    <mergeCell ref="F67:F68"/>
    <mergeCell ref="F70:F72"/>
    <mergeCell ref="F73:F75"/>
    <mergeCell ref="F76:F78"/>
    <mergeCell ref="F79:F81"/>
    <mergeCell ref="F86:F88"/>
    <mergeCell ref="F89:F91"/>
    <mergeCell ref="F94:F97"/>
    <mergeCell ref="F98:F101"/>
    <mergeCell ref="F102:F103"/>
    <mergeCell ref="F104:F105"/>
    <mergeCell ref="F106:F115"/>
    <mergeCell ref="F116:F125"/>
    <mergeCell ref="F126:F129"/>
    <mergeCell ref="F130:F133"/>
    <mergeCell ref="F134:F137"/>
    <mergeCell ref="F138:F141"/>
    <mergeCell ref="F142:F145"/>
    <mergeCell ref="F146:F149"/>
    <mergeCell ref="F150:F153"/>
    <mergeCell ref="F154:F157"/>
    <mergeCell ref="F158:F161"/>
    <mergeCell ref="F162:F165"/>
    <mergeCell ref="F166:F171"/>
    <mergeCell ref="F172:F177"/>
    <mergeCell ref="F178:F179"/>
    <mergeCell ref="F180:F181"/>
    <mergeCell ref="F182:F183"/>
    <mergeCell ref="F184:F185"/>
    <mergeCell ref="F186:F189"/>
    <mergeCell ref="F190:F193"/>
    <mergeCell ref="F194:F197"/>
    <mergeCell ref="F198:F201"/>
    <mergeCell ref="F202:F205"/>
    <mergeCell ref="F206:F209"/>
    <mergeCell ref="F210:F211"/>
    <mergeCell ref="F212:F213"/>
    <mergeCell ref="F214:F217"/>
    <mergeCell ref="F218:F221"/>
    <mergeCell ref="F224:F225"/>
    <mergeCell ref="F226:F227"/>
    <mergeCell ref="F228:F229"/>
    <mergeCell ref="F230:F231"/>
    <mergeCell ref="F232:F233"/>
    <mergeCell ref="F234:F235"/>
    <mergeCell ref="F236:F241"/>
    <mergeCell ref="F242:F247"/>
    <mergeCell ref="F248:F249"/>
    <mergeCell ref="F250:F251"/>
    <mergeCell ref="F254:F255"/>
    <mergeCell ref="F256:F257"/>
    <mergeCell ref="F258:F259"/>
    <mergeCell ref="F260:F261"/>
    <mergeCell ref="F262:F267"/>
    <mergeCell ref="F268:F273"/>
    <mergeCell ref="F274:F275"/>
    <mergeCell ref="F276:F277"/>
    <mergeCell ref="F287:F288"/>
    <mergeCell ref="F289:F290"/>
    <mergeCell ref="G5:G8"/>
    <mergeCell ref="G12:G13"/>
    <mergeCell ref="G15:G17"/>
    <mergeCell ref="G24:G25"/>
    <mergeCell ref="G27:G30"/>
    <mergeCell ref="G38:G44"/>
    <mergeCell ref="G48:G56"/>
    <mergeCell ref="G67:G68"/>
    <mergeCell ref="G70:G72"/>
    <mergeCell ref="G73:G75"/>
    <mergeCell ref="G76:G78"/>
    <mergeCell ref="G79:G81"/>
    <mergeCell ref="G86:G88"/>
    <mergeCell ref="G89:G91"/>
    <mergeCell ref="G94:G97"/>
    <mergeCell ref="G98:G101"/>
    <mergeCell ref="G102:G103"/>
    <mergeCell ref="G104:G105"/>
    <mergeCell ref="G106:G115"/>
    <mergeCell ref="G116:G125"/>
    <mergeCell ref="G126:G129"/>
    <mergeCell ref="G130:G133"/>
    <mergeCell ref="G134:G137"/>
    <mergeCell ref="G138:G141"/>
    <mergeCell ref="G142:G145"/>
    <mergeCell ref="G146:G149"/>
    <mergeCell ref="G150:G153"/>
    <mergeCell ref="G154:G157"/>
    <mergeCell ref="G158:G161"/>
    <mergeCell ref="G162:G165"/>
    <mergeCell ref="G166:G171"/>
    <mergeCell ref="G172:G177"/>
    <mergeCell ref="G178:G179"/>
    <mergeCell ref="G180:G181"/>
    <mergeCell ref="G182:G183"/>
    <mergeCell ref="G184:G185"/>
    <mergeCell ref="G186:G189"/>
    <mergeCell ref="G190:G193"/>
    <mergeCell ref="G194:G197"/>
    <mergeCell ref="G198:G201"/>
    <mergeCell ref="G202:G205"/>
    <mergeCell ref="G206:G209"/>
    <mergeCell ref="G210:G211"/>
    <mergeCell ref="G212:G213"/>
    <mergeCell ref="G214:G217"/>
    <mergeCell ref="G218:G221"/>
    <mergeCell ref="G224:G225"/>
    <mergeCell ref="G226:G227"/>
    <mergeCell ref="G228:G229"/>
    <mergeCell ref="G230:G231"/>
    <mergeCell ref="G232:G233"/>
    <mergeCell ref="G234:G235"/>
    <mergeCell ref="G236:G241"/>
    <mergeCell ref="G242:G247"/>
    <mergeCell ref="G248:G249"/>
    <mergeCell ref="G250:G251"/>
    <mergeCell ref="G254:G255"/>
    <mergeCell ref="G256:G257"/>
    <mergeCell ref="G258:G259"/>
    <mergeCell ref="G260:G261"/>
    <mergeCell ref="G262:G267"/>
    <mergeCell ref="G268:G273"/>
    <mergeCell ref="G274:G275"/>
    <mergeCell ref="G276:G277"/>
    <mergeCell ref="G287:G288"/>
    <mergeCell ref="G289:G290"/>
    <mergeCell ref="H5:H8"/>
    <mergeCell ref="H12:H13"/>
    <mergeCell ref="H15:H17"/>
    <mergeCell ref="H24:H25"/>
    <mergeCell ref="H27:H30"/>
    <mergeCell ref="H38:H44"/>
    <mergeCell ref="H48:H56"/>
    <mergeCell ref="H67:H68"/>
    <mergeCell ref="H70:H72"/>
    <mergeCell ref="H73:H75"/>
    <mergeCell ref="H76:H78"/>
    <mergeCell ref="H79:H81"/>
    <mergeCell ref="H86:H88"/>
    <mergeCell ref="H89:H91"/>
    <mergeCell ref="H94:H97"/>
    <mergeCell ref="H98:H101"/>
    <mergeCell ref="H102:H103"/>
    <mergeCell ref="H104:H105"/>
    <mergeCell ref="H106:H115"/>
    <mergeCell ref="H116:H125"/>
    <mergeCell ref="H126:H129"/>
    <mergeCell ref="H130:H133"/>
    <mergeCell ref="H134:H137"/>
    <mergeCell ref="H138:H141"/>
    <mergeCell ref="H142:H145"/>
    <mergeCell ref="H146:H149"/>
    <mergeCell ref="H150:H153"/>
    <mergeCell ref="H154:H157"/>
    <mergeCell ref="H158:H161"/>
    <mergeCell ref="H162:H165"/>
    <mergeCell ref="H166:H171"/>
    <mergeCell ref="H172:H177"/>
    <mergeCell ref="H178:H179"/>
    <mergeCell ref="H180:H181"/>
    <mergeCell ref="H182:H183"/>
    <mergeCell ref="H184:H185"/>
    <mergeCell ref="H186:H189"/>
    <mergeCell ref="H190:H193"/>
    <mergeCell ref="H194:H197"/>
    <mergeCell ref="H198:H201"/>
    <mergeCell ref="H202:H205"/>
    <mergeCell ref="H206:H209"/>
    <mergeCell ref="H210:H211"/>
    <mergeCell ref="H212:H213"/>
    <mergeCell ref="H214:H217"/>
    <mergeCell ref="H218:H221"/>
    <mergeCell ref="H224:H225"/>
    <mergeCell ref="H226:H227"/>
    <mergeCell ref="H228:H229"/>
    <mergeCell ref="H230:H231"/>
    <mergeCell ref="H232:H233"/>
    <mergeCell ref="H234:H235"/>
    <mergeCell ref="H236:H241"/>
    <mergeCell ref="H242:H247"/>
    <mergeCell ref="H248:H249"/>
    <mergeCell ref="H250:H251"/>
    <mergeCell ref="H254:H255"/>
    <mergeCell ref="H256:H257"/>
    <mergeCell ref="H258:H259"/>
    <mergeCell ref="H260:H261"/>
    <mergeCell ref="H262:H267"/>
    <mergeCell ref="H268:H273"/>
    <mergeCell ref="H274:H275"/>
    <mergeCell ref="H276:H277"/>
    <mergeCell ref="H287:H288"/>
    <mergeCell ref="H289:H290"/>
    <mergeCell ref="I5:I8"/>
    <mergeCell ref="I12:I13"/>
    <mergeCell ref="I15:I17"/>
    <mergeCell ref="I24:I25"/>
    <mergeCell ref="I27:I30"/>
    <mergeCell ref="I38:I44"/>
    <mergeCell ref="I48:I56"/>
    <mergeCell ref="I67:I68"/>
    <mergeCell ref="I70:I72"/>
    <mergeCell ref="I73:I75"/>
    <mergeCell ref="I76:I78"/>
    <mergeCell ref="I79:I81"/>
    <mergeCell ref="I86:I88"/>
    <mergeCell ref="I89:I91"/>
    <mergeCell ref="I94:I97"/>
    <mergeCell ref="I98:I101"/>
    <mergeCell ref="I102:I103"/>
    <mergeCell ref="I104:I105"/>
    <mergeCell ref="I106:I115"/>
    <mergeCell ref="I116:I125"/>
    <mergeCell ref="I126:I129"/>
    <mergeCell ref="I130:I133"/>
    <mergeCell ref="I134:I137"/>
    <mergeCell ref="I138:I141"/>
    <mergeCell ref="I142:I145"/>
    <mergeCell ref="I146:I149"/>
    <mergeCell ref="I150:I153"/>
    <mergeCell ref="I154:I157"/>
    <mergeCell ref="I158:I161"/>
    <mergeCell ref="I162:I165"/>
    <mergeCell ref="I166:I171"/>
    <mergeCell ref="I172:I177"/>
    <mergeCell ref="I178:I179"/>
    <mergeCell ref="I180:I181"/>
    <mergeCell ref="I182:I183"/>
    <mergeCell ref="I184:I185"/>
    <mergeCell ref="I186:I189"/>
    <mergeCell ref="I190:I193"/>
    <mergeCell ref="I194:I197"/>
    <mergeCell ref="I198:I201"/>
    <mergeCell ref="I202:I205"/>
    <mergeCell ref="I206:I209"/>
    <mergeCell ref="I210:I211"/>
    <mergeCell ref="I212:I213"/>
    <mergeCell ref="I214:I217"/>
    <mergeCell ref="I218:I221"/>
    <mergeCell ref="I224:I225"/>
    <mergeCell ref="I226:I227"/>
    <mergeCell ref="I228:I229"/>
    <mergeCell ref="I230:I231"/>
    <mergeCell ref="I232:I233"/>
    <mergeCell ref="I234:I235"/>
    <mergeCell ref="I236:I241"/>
    <mergeCell ref="I242:I247"/>
    <mergeCell ref="I248:I249"/>
    <mergeCell ref="I250:I251"/>
    <mergeCell ref="I254:I255"/>
    <mergeCell ref="I256:I257"/>
    <mergeCell ref="I258:I259"/>
    <mergeCell ref="I260:I261"/>
    <mergeCell ref="I262:I267"/>
    <mergeCell ref="I268:I273"/>
    <mergeCell ref="I274:I275"/>
    <mergeCell ref="I276:I277"/>
    <mergeCell ref="I287:I288"/>
    <mergeCell ref="I289:I290"/>
    <mergeCell ref="J5:J8"/>
    <mergeCell ref="J12:J13"/>
    <mergeCell ref="J15:J17"/>
    <mergeCell ref="J24:J25"/>
    <mergeCell ref="J27:J30"/>
    <mergeCell ref="J38:J44"/>
    <mergeCell ref="J48:J56"/>
    <mergeCell ref="J67:J68"/>
    <mergeCell ref="J70:J72"/>
    <mergeCell ref="J73:J75"/>
    <mergeCell ref="J76:J78"/>
    <mergeCell ref="J79:J81"/>
    <mergeCell ref="J86:J88"/>
    <mergeCell ref="J89:J91"/>
    <mergeCell ref="J94:J97"/>
    <mergeCell ref="J98:J101"/>
    <mergeCell ref="J102:J103"/>
    <mergeCell ref="J104:J105"/>
    <mergeCell ref="J106:J115"/>
    <mergeCell ref="J116:J125"/>
    <mergeCell ref="J126:J129"/>
    <mergeCell ref="J130:J133"/>
    <mergeCell ref="J134:J137"/>
    <mergeCell ref="J138:J141"/>
    <mergeCell ref="J142:J145"/>
    <mergeCell ref="J146:J149"/>
    <mergeCell ref="J150:J153"/>
    <mergeCell ref="J154:J157"/>
    <mergeCell ref="J158:J161"/>
    <mergeCell ref="J162:J165"/>
    <mergeCell ref="J166:J171"/>
    <mergeCell ref="J172:J177"/>
    <mergeCell ref="J178:J179"/>
    <mergeCell ref="J180:J181"/>
    <mergeCell ref="J182:J183"/>
    <mergeCell ref="J184:J185"/>
    <mergeCell ref="J186:J189"/>
    <mergeCell ref="J190:J193"/>
    <mergeCell ref="J194:J197"/>
    <mergeCell ref="J198:J201"/>
    <mergeCell ref="J202:J205"/>
    <mergeCell ref="J206:J209"/>
    <mergeCell ref="J210:J211"/>
    <mergeCell ref="J212:J213"/>
    <mergeCell ref="J214:J217"/>
    <mergeCell ref="J218:J221"/>
    <mergeCell ref="J224:J225"/>
    <mergeCell ref="J226:J227"/>
    <mergeCell ref="J228:J229"/>
    <mergeCell ref="J230:J231"/>
    <mergeCell ref="J232:J233"/>
    <mergeCell ref="J234:J235"/>
    <mergeCell ref="J236:J241"/>
    <mergeCell ref="J242:J247"/>
    <mergeCell ref="J248:J249"/>
    <mergeCell ref="J250:J251"/>
    <mergeCell ref="J254:J255"/>
    <mergeCell ref="J256:J257"/>
    <mergeCell ref="J258:J259"/>
    <mergeCell ref="J260:J261"/>
    <mergeCell ref="J262:J267"/>
    <mergeCell ref="J268:J273"/>
    <mergeCell ref="J274:J275"/>
    <mergeCell ref="J276:J277"/>
    <mergeCell ref="J287:J288"/>
    <mergeCell ref="J289:J290"/>
    <mergeCell ref="K5:K8"/>
    <mergeCell ref="K12:K13"/>
    <mergeCell ref="K15:K17"/>
    <mergeCell ref="K24:K25"/>
    <mergeCell ref="K27:K30"/>
    <mergeCell ref="K38:K44"/>
    <mergeCell ref="K48:K56"/>
    <mergeCell ref="K67:K68"/>
    <mergeCell ref="K70:K72"/>
    <mergeCell ref="K73:K75"/>
    <mergeCell ref="K76:K78"/>
    <mergeCell ref="K79:K81"/>
    <mergeCell ref="K86:K88"/>
    <mergeCell ref="K89:K91"/>
    <mergeCell ref="K94:K97"/>
    <mergeCell ref="K98:K101"/>
    <mergeCell ref="K102:K103"/>
    <mergeCell ref="K104:K105"/>
    <mergeCell ref="K106:K115"/>
    <mergeCell ref="K116:K125"/>
    <mergeCell ref="K126:K129"/>
    <mergeCell ref="K130:K133"/>
    <mergeCell ref="K134:K137"/>
    <mergeCell ref="K138:K141"/>
    <mergeCell ref="K142:K145"/>
    <mergeCell ref="K146:K149"/>
    <mergeCell ref="K150:K153"/>
    <mergeCell ref="K154:K157"/>
    <mergeCell ref="K158:K161"/>
    <mergeCell ref="K162:K165"/>
    <mergeCell ref="K166:K171"/>
    <mergeCell ref="K172:K177"/>
    <mergeCell ref="K178:K179"/>
    <mergeCell ref="K180:K181"/>
    <mergeCell ref="K182:K183"/>
    <mergeCell ref="K184:K185"/>
    <mergeCell ref="K186:K189"/>
    <mergeCell ref="K190:K193"/>
    <mergeCell ref="K194:K197"/>
    <mergeCell ref="K198:K201"/>
    <mergeCell ref="K202:K205"/>
    <mergeCell ref="K206:K209"/>
    <mergeCell ref="K210:K211"/>
    <mergeCell ref="K212:K213"/>
    <mergeCell ref="K214:K217"/>
    <mergeCell ref="K218:K221"/>
    <mergeCell ref="K224:K225"/>
    <mergeCell ref="K226:K227"/>
    <mergeCell ref="K228:K229"/>
    <mergeCell ref="K230:K231"/>
    <mergeCell ref="K232:K233"/>
    <mergeCell ref="K234:K235"/>
    <mergeCell ref="K236:K241"/>
    <mergeCell ref="K242:K247"/>
    <mergeCell ref="K248:K249"/>
    <mergeCell ref="K250:K251"/>
    <mergeCell ref="K254:K255"/>
    <mergeCell ref="K256:K257"/>
    <mergeCell ref="K258:K259"/>
    <mergeCell ref="K260:K261"/>
    <mergeCell ref="K262:K267"/>
    <mergeCell ref="K268:K273"/>
    <mergeCell ref="K274:K275"/>
    <mergeCell ref="K276:K277"/>
    <mergeCell ref="K287:K288"/>
    <mergeCell ref="K289:K290"/>
    <mergeCell ref="L5:L8"/>
    <mergeCell ref="L12:L13"/>
    <mergeCell ref="L15:L17"/>
    <mergeCell ref="L24:L25"/>
    <mergeCell ref="L27:L30"/>
    <mergeCell ref="L38:L44"/>
    <mergeCell ref="L48:L56"/>
    <mergeCell ref="L67:L68"/>
    <mergeCell ref="L70:L72"/>
    <mergeCell ref="L73:L75"/>
    <mergeCell ref="L76:L78"/>
    <mergeCell ref="L79:L81"/>
    <mergeCell ref="L86:L88"/>
    <mergeCell ref="L89:L91"/>
    <mergeCell ref="L94:L97"/>
    <mergeCell ref="L98:L101"/>
    <mergeCell ref="L102:L103"/>
    <mergeCell ref="L104:L105"/>
    <mergeCell ref="L106:L115"/>
    <mergeCell ref="L116:L125"/>
    <mergeCell ref="L126:L129"/>
    <mergeCell ref="L130:L133"/>
    <mergeCell ref="L134:L137"/>
    <mergeCell ref="L138:L141"/>
    <mergeCell ref="L142:L145"/>
    <mergeCell ref="L146:L149"/>
    <mergeCell ref="L150:L153"/>
    <mergeCell ref="L154:L157"/>
    <mergeCell ref="L158:L161"/>
    <mergeCell ref="L162:L165"/>
    <mergeCell ref="L166:L171"/>
    <mergeCell ref="L172:L177"/>
    <mergeCell ref="L178:L179"/>
    <mergeCell ref="L180:L181"/>
    <mergeCell ref="L182:L183"/>
    <mergeCell ref="L184:L185"/>
    <mergeCell ref="L186:L189"/>
    <mergeCell ref="L190:L193"/>
    <mergeCell ref="L194:L197"/>
    <mergeCell ref="L198:L201"/>
    <mergeCell ref="L202:L205"/>
    <mergeCell ref="L206:L209"/>
    <mergeCell ref="L210:L211"/>
    <mergeCell ref="L212:L213"/>
    <mergeCell ref="L214:L217"/>
    <mergeCell ref="L218:L221"/>
    <mergeCell ref="L224:L225"/>
    <mergeCell ref="L226:L227"/>
    <mergeCell ref="L228:L229"/>
    <mergeCell ref="L230:L231"/>
    <mergeCell ref="L232:L233"/>
    <mergeCell ref="L234:L235"/>
    <mergeCell ref="L236:L241"/>
    <mergeCell ref="L242:L247"/>
    <mergeCell ref="L248:L249"/>
    <mergeCell ref="L250:L251"/>
    <mergeCell ref="L254:L255"/>
    <mergeCell ref="L256:L257"/>
    <mergeCell ref="L258:L259"/>
    <mergeCell ref="L260:L261"/>
    <mergeCell ref="L262:L267"/>
    <mergeCell ref="L268:L273"/>
    <mergeCell ref="L274:L275"/>
    <mergeCell ref="L276:L277"/>
    <mergeCell ref="L287:L288"/>
    <mergeCell ref="L289:L290"/>
    <mergeCell ref="M5:M8"/>
    <mergeCell ref="M12:M13"/>
    <mergeCell ref="M15:M17"/>
    <mergeCell ref="M24:M25"/>
    <mergeCell ref="M27:M30"/>
    <mergeCell ref="M38:M44"/>
    <mergeCell ref="M48:M56"/>
    <mergeCell ref="M67:M68"/>
    <mergeCell ref="M70:M72"/>
    <mergeCell ref="M73:M75"/>
    <mergeCell ref="M76:M78"/>
    <mergeCell ref="M79:M81"/>
    <mergeCell ref="M86:M88"/>
    <mergeCell ref="M89:M91"/>
    <mergeCell ref="M94:M97"/>
    <mergeCell ref="M98:M101"/>
    <mergeCell ref="M102:M103"/>
    <mergeCell ref="M104:M105"/>
    <mergeCell ref="M106:M115"/>
    <mergeCell ref="M116:M125"/>
    <mergeCell ref="M126:M129"/>
    <mergeCell ref="M130:M133"/>
    <mergeCell ref="M134:M137"/>
    <mergeCell ref="M138:M141"/>
    <mergeCell ref="M142:M145"/>
    <mergeCell ref="M146:M149"/>
    <mergeCell ref="M150:M153"/>
    <mergeCell ref="M154:M157"/>
    <mergeCell ref="M158:M161"/>
    <mergeCell ref="M162:M165"/>
    <mergeCell ref="M166:M171"/>
    <mergeCell ref="M172:M177"/>
    <mergeCell ref="M178:M179"/>
    <mergeCell ref="M180:M181"/>
    <mergeCell ref="M182:M183"/>
    <mergeCell ref="M184:M185"/>
    <mergeCell ref="M186:M189"/>
    <mergeCell ref="M190:M193"/>
    <mergeCell ref="M194:M197"/>
    <mergeCell ref="M198:M201"/>
    <mergeCell ref="M202:M205"/>
    <mergeCell ref="M206:M209"/>
    <mergeCell ref="M210:M211"/>
    <mergeCell ref="M212:M213"/>
    <mergeCell ref="M214:M217"/>
    <mergeCell ref="M218:M221"/>
    <mergeCell ref="M224:M225"/>
    <mergeCell ref="M226:M227"/>
    <mergeCell ref="M228:M229"/>
    <mergeCell ref="M230:M231"/>
    <mergeCell ref="M232:M233"/>
    <mergeCell ref="M234:M235"/>
    <mergeCell ref="M236:M241"/>
    <mergeCell ref="M242:M247"/>
    <mergeCell ref="M248:M249"/>
    <mergeCell ref="M250:M251"/>
    <mergeCell ref="M254:M255"/>
    <mergeCell ref="M256:M257"/>
    <mergeCell ref="M258:M259"/>
    <mergeCell ref="M260:M261"/>
    <mergeCell ref="M262:M267"/>
    <mergeCell ref="M268:M273"/>
    <mergeCell ref="M274:M275"/>
    <mergeCell ref="M276:M277"/>
    <mergeCell ref="M287:M288"/>
    <mergeCell ref="M289:M290"/>
    <mergeCell ref="N5:N8"/>
    <mergeCell ref="N12:N13"/>
    <mergeCell ref="N15:N17"/>
    <mergeCell ref="N24:N25"/>
    <mergeCell ref="N27:N30"/>
    <mergeCell ref="N38:N44"/>
    <mergeCell ref="N48:N56"/>
    <mergeCell ref="N67:N68"/>
    <mergeCell ref="N70:N72"/>
    <mergeCell ref="N73:N75"/>
    <mergeCell ref="N76:N78"/>
    <mergeCell ref="N79:N81"/>
    <mergeCell ref="N86:N88"/>
    <mergeCell ref="N89:N91"/>
    <mergeCell ref="N94:N97"/>
    <mergeCell ref="N98:N101"/>
    <mergeCell ref="N102:N103"/>
    <mergeCell ref="N104:N105"/>
    <mergeCell ref="N106:N115"/>
    <mergeCell ref="N116:N125"/>
    <mergeCell ref="N126:N129"/>
    <mergeCell ref="N130:N133"/>
    <mergeCell ref="N134:N137"/>
    <mergeCell ref="N138:N141"/>
    <mergeCell ref="N142:N145"/>
    <mergeCell ref="N146:N149"/>
    <mergeCell ref="N150:N153"/>
    <mergeCell ref="N154:N157"/>
    <mergeCell ref="N158:N161"/>
    <mergeCell ref="N162:N165"/>
    <mergeCell ref="N166:N171"/>
    <mergeCell ref="N172:N177"/>
    <mergeCell ref="N178:N179"/>
    <mergeCell ref="N180:N181"/>
    <mergeCell ref="N182:N183"/>
    <mergeCell ref="N184:N185"/>
    <mergeCell ref="N186:N189"/>
    <mergeCell ref="N190:N193"/>
    <mergeCell ref="N194:N197"/>
    <mergeCell ref="N198:N201"/>
    <mergeCell ref="N202:N205"/>
    <mergeCell ref="N206:N209"/>
    <mergeCell ref="N210:N211"/>
    <mergeCell ref="N212:N213"/>
    <mergeCell ref="N214:N217"/>
    <mergeCell ref="N218:N221"/>
    <mergeCell ref="N224:N225"/>
    <mergeCell ref="N226:N227"/>
    <mergeCell ref="N228:N229"/>
    <mergeCell ref="N230:N231"/>
    <mergeCell ref="N232:N233"/>
    <mergeCell ref="N234:N235"/>
    <mergeCell ref="N236:N241"/>
    <mergeCell ref="N242:N247"/>
    <mergeCell ref="N248:N249"/>
    <mergeCell ref="N250:N251"/>
    <mergeCell ref="N254:N255"/>
    <mergeCell ref="N256:N257"/>
    <mergeCell ref="N258:N259"/>
    <mergeCell ref="N260:N261"/>
    <mergeCell ref="N262:N267"/>
    <mergeCell ref="N268:N273"/>
    <mergeCell ref="N274:N275"/>
    <mergeCell ref="N276:N277"/>
    <mergeCell ref="N287:N288"/>
    <mergeCell ref="N289:N290"/>
    <mergeCell ref="O5:O8"/>
    <mergeCell ref="O12:O13"/>
    <mergeCell ref="O15:O17"/>
    <mergeCell ref="O24:O25"/>
    <mergeCell ref="O27:O30"/>
    <mergeCell ref="O38:O44"/>
    <mergeCell ref="O48:O56"/>
    <mergeCell ref="O67:O68"/>
    <mergeCell ref="O70:O72"/>
    <mergeCell ref="O73:O75"/>
    <mergeCell ref="O76:O78"/>
    <mergeCell ref="O79:O81"/>
    <mergeCell ref="O86:O88"/>
    <mergeCell ref="O89:O91"/>
    <mergeCell ref="O94:O97"/>
    <mergeCell ref="O98:O101"/>
    <mergeCell ref="O102:O103"/>
    <mergeCell ref="O104:O105"/>
    <mergeCell ref="O106:O115"/>
    <mergeCell ref="O116:O125"/>
    <mergeCell ref="O126:O129"/>
    <mergeCell ref="O130:O133"/>
    <mergeCell ref="O134:O137"/>
    <mergeCell ref="O138:O141"/>
    <mergeCell ref="O142:O145"/>
    <mergeCell ref="O146:O149"/>
    <mergeCell ref="O150:O153"/>
    <mergeCell ref="O154:O157"/>
    <mergeCell ref="O158:O161"/>
    <mergeCell ref="O162:O165"/>
    <mergeCell ref="O166:O171"/>
    <mergeCell ref="O172:O177"/>
    <mergeCell ref="O178:O179"/>
    <mergeCell ref="O180:O181"/>
    <mergeCell ref="O182:O183"/>
    <mergeCell ref="O184:O185"/>
    <mergeCell ref="O186:O189"/>
    <mergeCell ref="O190:O193"/>
    <mergeCell ref="O194:O197"/>
    <mergeCell ref="O198:O201"/>
    <mergeCell ref="O202:O205"/>
    <mergeCell ref="O206:O209"/>
    <mergeCell ref="O210:O211"/>
    <mergeCell ref="O212:O213"/>
    <mergeCell ref="O214:O217"/>
    <mergeCell ref="O218:O221"/>
    <mergeCell ref="O224:O225"/>
    <mergeCell ref="O226:O227"/>
    <mergeCell ref="O228:O229"/>
    <mergeCell ref="O230:O231"/>
    <mergeCell ref="O232:O233"/>
    <mergeCell ref="O234:O235"/>
    <mergeCell ref="O236:O241"/>
    <mergeCell ref="O242:O247"/>
    <mergeCell ref="O248:O249"/>
    <mergeCell ref="O250:O251"/>
    <mergeCell ref="O254:O255"/>
    <mergeCell ref="O256:O257"/>
    <mergeCell ref="O258:O259"/>
    <mergeCell ref="O260:O261"/>
    <mergeCell ref="O262:O267"/>
    <mergeCell ref="O268:O273"/>
    <mergeCell ref="O274:O275"/>
    <mergeCell ref="O276:O277"/>
    <mergeCell ref="O287:O288"/>
    <mergeCell ref="O289:O290"/>
    <mergeCell ref="P5:P8"/>
    <mergeCell ref="P12:P13"/>
    <mergeCell ref="P15:P17"/>
    <mergeCell ref="P24:P25"/>
    <mergeCell ref="P27:P30"/>
    <mergeCell ref="P38:P44"/>
    <mergeCell ref="P48:P56"/>
    <mergeCell ref="P67:P68"/>
    <mergeCell ref="P70:P72"/>
    <mergeCell ref="P73:P75"/>
    <mergeCell ref="P76:P78"/>
    <mergeCell ref="P79:P81"/>
    <mergeCell ref="P86:P88"/>
    <mergeCell ref="P89:P91"/>
    <mergeCell ref="P94:P97"/>
    <mergeCell ref="P98:P101"/>
    <mergeCell ref="P102:P103"/>
    <mergeCell ref="P104:P105"/>
    <mergeCell ref="P106:P115"/>
    <mergeCell ref="P116:P125"/>
    <mergeCell ref="P126:P129"/>
    <mergeCell ref="P130:P133"/>
    <mergeCell ref="P134:P137"/>
    <mergeCell ref="P138:P141"/>
    <mergeCell ref="P142:P145"/>
    <mergeCell ref="P146:P149"/>
    <mergeCell ref="P150:P153"/>
    <mergeCell ref="P154:P157"/>
    <mergeCell ref="P158:P161"/>
    <mergeCell ref="P162:P165"/>
    <mergeCell ref="P166:P171"/>
    <mergeCell ref="P172:P177"/>
    <mergeCell ref="P178:P179"/>
    <mergeCell ref="P180:P181"/>
    <mergeCell ref="P182:P183"/>
    <mergeCell ref="P184:P185"/>
    <mergeCell ref="P186:P189"/>
    <mergeCell ref="P190:P193"/>
    <mergeCell ref="P194:P197"/>
    <mergeCell ref="P198:P201"/>
    <mergeCell ref="P202:P205"/>
    <mergeCell ref="P206:P209"/>
    <mergeCell ref="P210:P211"/>
    <mergeCell ref="P212:P213"/>
    <mergeCell ref="P214:P217"/>
    <mergeCell ref="P218:P221"/>
    <mergeCell ref="P224:P225"/>
    <mergeCell ref="P226:P227"/>
    <mergeCell ref="P228:P229"/>
    <mergeCell ref="P230:P231"/>
    <mergeCell ref="P232:P233"/>
    <mergeCell ref="P234:P235"/>
    <mergeCell ref="P236:P241"/>
    <mergeCell ref="P242:P247"/>
    <mergeCell ref="P248:P249"/>
    <mergeCell ref="P250:P251"/>
    <mergeCell ref="P254:P255"/>
    <mergeCell ref="P256:P257"/>
    <mergeCell ref="P258:P259"/>
    <mergeCell ref="P260:P261"/>
    <mergeCell ref="P262:P267"/>
    <mergeCell ref="P268:P273"/>
    <mergeCell ref="P274:P275"/>
    <mergeCell ref="P276:P277"/>
    <mergeCell ref="P287:P288"/>
    <mergeCell ref="P289:P290"/>
    <mergeCell ref="Q5:Q8"/>
    <mergeCell ref="Q12:Q13"/>
    <mergeCell ref="Q15:Q17"/>
    <mergeCell ref="Q24:Q25"/>
    <mergeCell ref="Q27:Q30"/>
    <mergeCell ref="Q38:Q44"/>
    <mergeCell ref="Q48:Q56"/>
    <mergeCell ref="Q67:Q68"/>
    <mergeCell ref="Q70:Q72"/>
    <mergeCell ref="Q73:Q75"/>
    <mergeCell ref="Q76:Q78"/>
    <mergeCell ref="Q79:Q81"/>
    <mergeCell ref="Q86:Q88"/>
    <mergeCell ref="Q89:Q91"/>
    <mergeCell ref="Q94:Q97"/>
    <mergeCell ref="Q98:Q101"/>
    <mergeCell ref="Q102:Q103"/>
    <mergeCell ref="Q104:Q105"/>
    <mergeCell ref="Q106:Q115"/>
    <mergeCell ref="Q116:Q125"/>
    <mergeCell ref="Q126:Q129"/>
    <mergeCell ref="Q130:Q133"/>
    <mergeCell ref="Q134:Q137"/>
    <mergeCell ref="Q138:Q141"/>
    <mergeCell ref="Q142:Q145"/>
    <mergeCell ref="Q146:Q149"/>
    <mergeCell ref="Q150:Q153"/>
    <mergeCell ref="Q154:Q157"/>
    <mergeCell ref="Q158:Q161"/>
    <mergeCell ref="Q162:Q165"/>
    <mergeCell ref="Q166:Q171"/>
    <mergeCell ref="Q172:Q177"/>
    <mergeCell ref="Q178:Q179"/>
    <mergeCell ref="Q180:Q181"/>
    <mergeCell ref="Q182:Q183"/>
    <mergeCell ref="Q184:Q185"/>
    <mergeCell ref="Q186:Q189"/>
    <mergeCell ref="Q190:Q193"/>
    <mergeCell ref="Q194:Q197"/>
    <mergeCell ref="Q198:Q201"/>
    <mergeCell ref="Q202:Q205"/>
    <mergeCell ref="Q206:Q209"/>
    <mergeCell ref="Q210:Q211"/>
    <mergeCell ref="Q212:Q213"/>
    <mergeCell ref="Q214:Q217"/>
    <mergeCell ref="Q218:Q221"/>
    <mergeCell ref="Q224:Q225"/>
    <mergeCell ref="Q226:Q227"/>
    <mergeCell ref="Q228:Q229"/>
    <mergeCell ref="Q230:Q231"/>
    <mergeCell ref="Q232:Q233"/>
    <mergeCell ref="Q234:Q235"/>
    <mergeCell ref="Q236:Q241"/>
    <mergeCell ref="Q242:Q247"/>
    <mergeCell ref="Q248:Q249"/>
    <mergeCell ref="Q250:Q251"/>
    <mergeCell ref="Q254:Q255"/>
    <mergeCell ref="Q256:Q257"/>
    <mergeCell ref="Q258:Q259"/>
    <mergeCell ref="Q260:Q261"/>
    <mergeCell ref="Q262:Q267"/>
    <mergeCell ref="Q268:Q273"/>
    <mergeCell ref="Q274:Q275"/>
    <mergeCell ref="Q276:Q277"/>
    <mergeCell ref="Q287:Q288"/>
    <mergeCell ref="Q289:Q290"/>
    <mergeCell ref="R5:R8"/>
    <mergeCell ref="R12:R13"/>
    <mergeCell ref="R15:R17"/>
    <mergeCell ref="R24:R25"/>
    <mergeCell ref="R27:R30"/>
    <mergeCell ref="R38:R44"/>
    <mergeCell ref="R48:R56"/>
    <mergeCell ref="R67:R68"/>
    <mergeCell ref="R70:R72"/>
    <mergeCell ref="R73:R75"/>
    <mergeCell ref="R76:R78"/>
    <mergeCell ref="R79:R81"/>
    <mergeCell ref="R86:R88"/>
    <mergeCell ref="R89:R91"/>
    <mergeCell ref="R94:R97"/>
    <mergeCell ref="R98:R101"/>
    <mergeCell ref="R102:R103"/>
    <mergeCell ref="R104:R105"/>
    <mergeCell ref="R106:R115"/>
    <mergeCell ref="R116:R125"/>
    <mergeCell ref="R126:R129"/>
    <mergeCell ref="R130:R133"/>
    <mergeCell ref="R134:R137"/>
    <mergeCell ref="R138:R141"/>
    <mergeCell ref="R142:R145"/>
    <mergeCell ref="R146:R149"/>
    <mergeCell ref="R150:R153"/>
    <mergeCell ref="R154:R157"/>
    <mergeCell ref="R158:R161"/>
    <mergeCell ref="R162:R165"/>
    <mergeCell ref="R166:R171"/>
    <mergeCell ref="R172:R177"/>
    <mergeCell ref="R178:R179"/>
    <mergeCell ref="R180:R181"/>
    <mergeCell ref="R182:R183"/>
    <mergeCell ref="R184:R185"/>
    <mergeCell ref="R186:R189"/>
    <mergeCell ref="R190:R193"/>
    <mergeCell ref="R194:R197"/>
    <mergeCell ref="R198:R201"/>
    <mergeCell ref="R202:R205"/>
    <mergeCell ref="R206:R209"/>
    <mergeCell ref="R210:R211"/>
    <mergeCell ref="R212:R213"/>
    <mergeCell ref="R214:R217"/>
    <mergeCell ref="R218:R221"/>
    <mergeCell ref="R224:R225"/>
    <mergeCell ref="R226:R227"/>
    <mergeCell ref="R228:R229"/>
    <mergeCell ref="R230:R231"/>
    <mergeCell ref="R232:R233"/>
    <mergeCell ref="R234:R235"/>
    <mergeCell ref="R236:R241"/>
    <mergeCell ref="R242:R247"/>
    <mergeCell ref="R248:R249"/>
    <mergeCell ref="R250:R251"/>
    <mergeCell ref="R254:R255"/>
    <mergeCell ref="R256:R257"/>
    <mergeCell ref="R258:R259"/>
    <mergeCell ref="R260:R261"/>
    <mergeCell ref="R262:R267"/>
    <mergeCell ref="R268:R273"/>
    <mergeCell ref="R274:R275"/>
    <mergeCell ref="R276:R277"/>
    <mergeCell ref="R287:R288"/>
    <mergeCell ref="R289:R290"/>
    <mergeCell ref="S5:S8"/>
    <mergeCell ref="S12:S13"/>
    <mergeCell ref="S15:S17"/>
    <mergeCell ref="S24:S25"/>
    <mergeCell ref="S27:S30"/>
    <mergeCell ref="S38:S44"/>
    <mergeCell ref="S48:S56"/>
    <mergeCell ref="S67:S68"/>
    <mergeCell ref="S70:S72"/>
    <mergeCell ref="S73:S75"/>
    <mergeCell ref="S76:S78"/>
    <mergeCell ref="S79:S81"/>
    <mergeCell ref="S86:S88"/>
    <mergeCell ref="S89:S91"/>
    <mergeCell ref="S94:S97"/>
    <mergeCell ref="S98:S101"/>
    <mergeCell ref="S102:S103"/>
    <mergeCell ref="S104:S105"/>
    <mergeCell ref="S106:S115"/>
    <mergeCell ref="S116:S125"/>
    <mergeCell ref="S126:S129"/>
    <mergeCell ref="S130:S133"/>
    <mergeCell ref="S134:S137"/>
    <mergeCell ref="S138:S141"/>
    <mergeCell ref="S142:S145"/>
    <mergeCell ref="S146:S149"/>
    <mergeCell ref="S150:S153"/>
    <mergeCell ref="S154:S157"/>
    <mergeCell ref="S158:S161"/>
    <mergeCell ref="S162:S165"/>
    <mergeCell ref="S166:S171"/>
    <mergeCell ref="S172:S177"/>
    <mergeCell ref="S178:S179"/>
    <mergeCell ref="S180:S181"/>
    <mergeCell ref="S182:S183"/>
    <mergeCell ref="S184:S185"/>
    <mergeCell ref="S186:S189"/>
    <mergeCell ref="S190:S193"/>
    <mergeCell ref="S194:S197"/>
    <mergeCell ref="S198:S201"/>
    <mergeCell ref="S202:S205"/>
    <mergeCell ref="S206:S209"/>
    <mergeCell ref="S210:S211"/>
    <mergeCell ref="S212:S213"/>
    <mergeCell ref="S214:S217"/>
    <mergeCell ref="S218:S221"/>
    <mergeCell ref="S224:S225"/>
    <mergeCell ref="S226:S227"/>
    <mergeCell ref="S228:S229"/>
    <mergeCell ref="S230:S231"/>
    <mergeCell ref="S232:S233"/>
    <mergeCell ref="S234:S235"/>
    <mergeCell ref="S236:S241"/>
    <mergeCell ref="S242:S247"/>
    <mergeCell ref="S248:S249"/>
    <mergeCell ref="S250:S251"/>
    <mergeCell ref="S254:S255"/>
    <mergeCell ref="S256:S257"/>
    <mergeCell ref="S258:S259"/>
    <mergeCell ref="S260:S261"/>
    <mergeCell ref="S262:S267"/>
    <mergeCell ref="S268:S273"/>
    <mergeCell ref="S274:S275"/>
    <mergeCell ref="S276:S277"/>
    <mergeCell ref="S287:S288"/>
    <mergeCell ref="S289:S290"/>
    <mergeCell ref="T5:T8"/>
    <mergeCell ref="T12:T13"/>
    <mergeCell ref="T15:T17"/>
    <mergeCell ref="T24:T25"/>
    <mergeCell ref="T27:T30"/>
    <mergeCell ref="T38:T44"/>
    <mergeCell ref="T48:T56"/>
    <mergeCell ref="T67:T68"/>
    <mergeCell ref="T70:T72"/>
    <mergeCell ref="T73:T75"/>
    <mergeCell ref="T76:T78"/>
    <mergeCell ref="T79:T81"/>
    <mergeCell ref="T86:T88"/>
    <mergeCell ref="T89:T91"/>
    <mergeCell ref="T94:T97"/>
    <mergeCell ref="T98:T101"/>
    <mergeCell ref="T102:T103"/>
    <mergeCell ref="T104:T105"/>
    <mergeCell ref="T106:T115"/>
    <mergeCell ref="T116:T125"/>
    <mergeCell ref="T126:T129"/>
    <mergeCell ref="T130:T133"/>
    <mergeCell ref="T134:T137"/>
    <mergeCell ref="T138:T141"/>
    <mergeCell ref="T142:T145"/>
    <mergeCell ref="T146:T149"/>
    <mergeCell ref="T150:T153"/>
    <mergeCell ref="T154:T157"/>
    <mergeCell ref="T158:T161"/>
    <mergeCell ref="T162:T165"/>
    <mergeCell ref="T166:T171"/>
    <mergeCell ref="T172:T177"/>
    <mergeCell ref="T178:T179"/>
    <mergeCell ref="T180:T181"/>
    <mergeCell ref="T182:T183"/>
    <mergeCell ref="T184:T185"/>
    <mergeCell ref="T186:T189"/>
    <mergeCell ref="T190:T193"/>
    <mergeCell ref="T194:T197"/>
    <mergeCell ref="T198:T201"/>
    <mergeCell ref="T202:T205"/>
    <mergeCell ref="T206:T209"/>
    <mergeCell ref="T210:T211"/>
    <mergeCell ref="T212:T213"/>
    <mergeCell ref="T214:T217"/>
    <mergeCell ref="T218:T221"/>
    <mergeCell ref="T224:T225"/>
    <mergeCell ref="T226:T227"/>
    <mergeCell ref="T228:T229"/>
    <mergeCell ref="T230:T231"/>
    <mergeCell ref="T232:T233"/>
    <mergeCell ref="T234:T235"/>
    <mergeCell ref="T236:T241"/>
    <mergeCell ref="T242:T247"/>
    <mergeCell ref="T248:T249"/>
    <mergeCell ref="T250:T251"/>
    <mergeCell ref="T254:T255"/>
    <mergeCell ref="T256:T257"/>
    <mergeCell ref="T258:T259"/>
    <mergeCell ref="T260:T261"/>
    <mergeCell ref="T262:T267"/>
    <mergeCell ref="T268:T273"/>
    <mergeCell ref="T274:T275"/>
    <mergeCell ref="T276:T277"/>
    <mergeCell ref="T287:T288"/>
    <mergeCell ref="T289:T290"/>
    <mergeCell ref="U5:U8"/>
    <mergeCell ref="U12:U13"/>
    <mergeCell ref="U15:U17"/>
    <mergeCell ref="U24:U25"/>
    <mergeCell ref="U27:U30"/>
    <mergeCell ref="U38:U44"/>
    <mergeCell ref="U48:U56"/>
    <mergeCell ref="U67:U68"/>
    <mergeCell ref="U70:U72"/>
    <mergeCell ref="U73:U75"/>
    <mergeCell ref="U76:U78"/>
    <mergeCell ref="U79:U81"/>
    <mergeCell ref="U86:U88"/>
    <mergeCell ref="U89:U91"/>
    <mergeCell ref="U94:U97"/>
    <mergeCell ref="U98:U101"/>
    <mergeCell ref="U102:U103"/>
    <mergeCell ref="U104:U105"/>
    <mergeCell ref="U106:U115"/>
    <mergeCell ref="U116:U125"/>
    <mergeCell ref="U126:U129"/>
    <mergeCell ref="U130:U133"/>
    <mergeCell ref="U134:U137"/>
    <mergeCell ref="U138:U141"/>
    <mergeCell ref="U142:U145"/>
    <mergeCell ref="U146:U149"/>
    <mergeCell ref="U150:U153"/>
    <mergeCell ref="U154:U157"/>
    <mergeCell ref="U158:U161"/>
    <mergeCell ref="U162:U165"/>
    <mergeCell ref="U166:U171"/>
    <mergeCell ref="U172:U177"/>
    <mergeCell ref="U178:U179"/>
    <mergeCell ref="U180:U181"/>
    <mergeCell ref="U182:U183"/>
    <mergeCell ref="U184:U185"/>
    <mergeCell ref="U186:U189"/>
    <mergeCell ref="U190:U193"/>
    <mergeCell ref="U194:U197"/>
    <mergeCell ref="U198:U201"/>
    <mergeCell ref="U202:U205"/>
    <mergeCell ref="U206:U209"/>
    <mergeCell ref="U210:U211"/>
    <mergeCell ref="U212:U213"/>
    <mergeCell ref="U214:U217"/>
    <mergeCell ref="U218:U221"/>
    <mergeCell ref="U224:U225"/>
    <mergeCell ref="U226:U227"/>
    <mergeCell ref="U228:U229"/>
    <mergeCell ref="U230:U231"/>
    <mergeCell ref="U232:U233"/>
    <mergeCell ref="U234:U235"/>
    <mergeCell ref="U236:U241"/>
    <mergeCell ref="U242:U247"/>
    <mergeCell ref="U248:U249"/>
    <mergeCell ref="U250:U251"/>
    <mergeCell ref="U254:U255"/>
    <mergeCell ref="U256:U257"/>
    <mergeCell ref="U258:U259"/>
    <mergeCell ref="U260:U261"/>
    <mergeCell ref="U262:U267"/>
    <mergeCell ref="U268:U273"/>
    <mergeCell ref="U274:U275"/>
    <mergeCell ref="U276:U277"/>
    <mergeCell ref="U287:U288"/>
    <mergeCell ref="U289:U290"/>
    <mergeCell ref="AG6:AG8"/>
  </mergeCells>
  <conditionalFormatting sqref="X3">
    <cfRule type="duplicateValues" dxfId="0" priority="1"/>
  </conditionalFormatting>
  <pageMargins left="0.75" right="0.75" top="1" bottom="1" header="0.5" footer="0.5"/>
  <pageSetup paperSize="9" scale="26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R266"/>
  <sheetViews>
    <sheetView topLeftCell="K1" workbookViewId="0">
      <pane ySplit="3" topLeftCell="A254" activePane="bottomLeft" state="frozen"/>
      <selection/>
      <selection pane="bottomLeft" activeCell="AH4" sqref="AH4:AJ266"/>
    </sheetView>
  </sheetViews>
  <sheetFormatPr defaultColWidth="11.6833333333333" defaultRowHeight="15.75"/>
  <cols>
    <col min="1" max="1" width="5.44166666666667" style="23" customWidth="1"/>
    <col min="2" max="2" width="16.4666666666667" style="26" customWidth="1"/>
    <col min="3" max="3" width="21" style="23" customWidth="1"/>
    <col min="4" max="4" width="5" style="27" customWidth="1"/>
    <col min="5" max="5" width="18.75" style="28" customWidth="1"/>
    <col min="6" max="6" width="25.5" style="28" customWidth="1"/>
    <col min="7" max="7" width="6.125" style="27" customWidth="1"/>
    <col min="8" max="8" width="18.5" style="27" customWidth="1"/>
    <col min="9" max="16" width="8.125" style="27" customWidth="1"/>
    <col min="17" max="17" width="6.625" style="27" hidden="1" customWidth="1"/>
    <col min="18" max="19" width="8" style="27" hidden="1" customWidth="1"/>
    <col min="20" max="20" width="8" style="27" customWidth="1"/>
    <col min="21" max="21" width="20.25" style="28" customWidth="1"/>
    <col min="22" max="22" width="17.25" style="22" customWidth="1"/>
    <col min="23" max="23" width="11.75" style="22" customWidth="1"/>
    <col min="24" max="24" width="25" style="23" customWidth="1"/>
    <col min="25" max="25" width="31.3166666666667" style="22" hidden="1" customWidth="1"/>
    <col min="26" max="26" width="11.6833333333333" style="22" hidden="1" customWidth="1"/>
    <col min="27" max="27" width="5.625" style="23" customWidth="1"/>
    <col min="28" max="28" width="20.5" style="22" hidden="1" customWidth="1"/>
    <col min="29" max="31" width="8.25" style="23" customWidth="1"/>
    <col min="32" max="44" width="11.6833333333333" style="25"/>
  </cols>
  <sheetData>
    <row r="1" customFormat="1" ht="51" customHeight="1" spans="1:31">
      <c r="A1" s="29" t="s">
        <v>0</v>
      </c>
      <c r="B1" s="29"/>
      <c r="C1" s="29"/>
      <c r="D1" s="29"/>
      <c r="E1" s="47"/>
      <c r="F1" s="47"/>
      <c r="G1" s="29"/>
      <c r="H1" s="29"/>
      <c r="I1" s="29"/>
      <c r="J1" s="29"/>
      <c r="K1" s="49"/>
      <c r="L1" s="49"/>
      <c r="M1" s="49"/>
      <c r="N1" s="49"/>
      <c r="O1" s="49"/>
      <c r="P1" s="49"/>
      <c r="Q1" s="29"/>
      <c r="R1" s="29"/>
      <c r="S1" s="29"/>
      <c r="T1" s="29"/>
      <c r="U1" s="47"/>
      <c r="V1" s="29"/>
      <c r="W1" s="29"/>
      <c r="X1" s="29"/>
      <c r="AA1" s="69"/>
      <c r="AC1" s="69"/>
      <c r="AD1" s="69"/>
      <c r="AE1" s="69"/>
    </row>
    <row r="2" s="20" customFormat="1" ht="39" customHeight="1" spans="1:44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66" t="s">
        <v>2</v>
      </c>
      <c r="W2" s="66"/>
      <c r="X2" s="66"/>
      <c r="Y2" s="66"/>
      <c r="Z2" s="66"/>
      <c r="AA2" s="66"/>
      <c r="AB2" s="66"/>
      <c r="AC2" s="66"/>
      <c r="AD2" s="66"/>
      <c r="AE2" s="66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</row>
    <row r="3" s="21" customFormat="1" ht="45" customHeight="1" spans="1:31">
      <c r="A3" s="32" t="s">
        <v>3</v>
      </c>
      <c r="B3" s="33" t="s">
        <v>4</v>
      </c>
      <c r="C3" s="32" t="s">
        <v>5</v>
      </c>
      <c r="D3" s="33" t="s">
        <v>6</v>
      </c>
      <c r="E3" s="33" t="s">
        <v>7</v>
      </c>
      <c r="F3" s="33" t="s">
        <v>8</v>
      </c>
      <c r="G3" s="33" t="s">
        <v>9</v>
      </c>
      <c r="H3" s="33" t="s">
        <v>10</v>
      </c>
      <c r="I3" s="50" t="s">
        <v>11</v>
      </c>
      <c r="J3" s="50" t="s">
        <v>12</v>
      </c>
      <c r="K3" s="51" t="s">
        <v>13</v>
      </c>
      <c r="L3" s="51" t="s">
        <v>14</v>
      </c>
      <c r="M3" s="51" t="s">
        <v>15</v>
      </c>
      <c r="N3" s="57" t="s">
        <v>16</v>
      </c>
      <c r="O3" s="57" t="s">
        <v>17</v>
      </c>
      <c r="P3" s="57" t="s">
        <v>18</v>
      </c>
      <c r="Q3" s="19" t="s">
        <v>19</v>
      </c>
      <c r="R3" s="19" t="s">
        <v>20</v>
      </c>
      <c r="S3" s="19" t="s">
        <v>21</v>
      </c>
      <c r="T3" s="51" t="s">
        <v>22</v>
      </c>
      <c r="U3" s="19" t="s">
        <v>23</v>
      </c>
      <c r="V3" s="9" t="s">
        <v>24</v>
      </c>
      <c r="W3" s="9" t="s">
        <v>25</v>
      </c>
      <c r="X3" s="10" t="s">
        <v>5</v>
      </c>
      <c r="Y3" s="9" t="s">
        <v>26</v>
      </c>
      <c r="Z3" s="9" t="s">
        <v>27</v>
      </c>
      <c r="AA3" s="9" t="s">
        <v>9</v>
      </c>
      <c r="AB3" s="9" t="s">
        <v>28</v>
      </c>
      <c r="AC3" s="17" t="s">
        <v>29</v>
      </c>
      <c r="AD3" s="17" t="s">
        <v>30</v>
      </c>
      <c r="AE3" s="17" t="s">
        <v>31</v>
      </c>
    </row>
    <row r="4" s="22" customFormat="1" ht="84" customHeight="1" spans="1:36">
      <c r="A4" s="34">
        <v>1</v>
      </c>
      <c r="B4" s="11" t="s">
        <v>33</v>
      </c>
      <c r="C4" s="34" t="s">
        <v>34</v>
      </c>
      <c r="D4" s="34" t="s">
        <v>35</v>
      </c>
      <c r="E4" s="48" t="s">
        <v>36</v>
      </c>
      <c r="F4" s="48" t="s">
        <v>37</v>
      </c>
      <c r="G4" s="34" t="s">
        <v>38</v>
      </c>
      <c r="H4" s="34" t="s">
        <v>39</v>
      </c>
      <c r="I4" s="15">
        <v>50</v>
      </c>
      <c r="J4" s="15">
        <v>45</v>
      </c>
      <c r="K4" s="52">
        <v>57.5</v>
      </c>
      <c r="L4" s="52">
        <v>50</v>
      </c>
      <c r="M4" s="52">
        <v>42.5</v>
      </c>
      <c r="N4" s="58">
        <v>50</v>
      </c>
      <c r="O4" s="58">
        <v>45</v>
      </c>
      <c r="P4" s="58">
        <v>39</v>
      </c>
      <c r="Q4" s="34" t="s">
        <v>40</v>
      </c>
      <c r="R4" s="34" t="s">
        <v>39</v>
      </c>
      <c r="S4" s="34" t="s">
        <v>39</v>
      </c>
      <c r="T4" s="52" t="s">
        <v>41</v>
      </c>
      <c r="U4" s="48" t="s">
        <v>42</v>
      </c>
      <c r="V4" s="34" t="s">
        <v>43</v>
      </c>
      <c r="W4" s="34">
        <v>310601005</v>
      </c>
      <c r="X4" s="34" t="s">
        <v>44</v>
      </c>
      <c r="Y4" s="12" t="s">
        <v>45</v>
      </c>
      <c r="Z4" s="12" t="s">
        <v>39</v>
      </c>
      <c r="AA4" s="14" t="s">
        <v>46</v>
      </c>
      <c r="AB4" s="12" t="s">
        <v>39</v>
      </c>
      <c r="AC4" s="18">
        <v>57.5</v>
      </c>
      <c r="AD4" s="18">
        <v>50</v>
      </c>
      <c r="AE4" s="18">
        <v>42.5</v>
      </c>
      <c r="AF4" s="71">
        <f t="shared" ref="AF4:AF38" si="0">IFERROR(FIND("-儿童（加收）",C4,1),0)</f>
        <v>0</v>
      </c>
      <c r="AG4" s="71" t="str">
        <f t="shared" ref="AG4:AG38" si="1">SUBSTITUTE(C4,"-儿童（加收）","")</f>
        <v>肺容积检查费</v>
      </c>
      <c r="AH4" s="71">
        <f>IF(AF4&gt;0,_xlfn.MAXIFS(N:N,C:C,SUBSTITUTE(C4,"-儿童（加收）","")),0)+N4</f>
        <v>50</v>
      </c>
      <c r="AI4" s="71">
        <f>IF(AF4&gt;0,_xlfn.MAXIFS(O:O,C:C,SUBSTITUTE(C4,"-儿童（加收）","")),0)+O4</f>
        <v>45</v>
      </c>
      <c r="AJ4" s="71">
        <f>IF(AF4&gt;0,_xlfn.MAXIFS(P:P,C:C,SUBSTITUTE(C4,"-儿童（加收）","")),0)+P4</f>
        <v>39</v>
      </c>
    </row>
    <row r="5" s="22" customFormat="1" ht="36" customHeight="1" spans="1:36">
      <c r="A5" s="35">
        <v>2</v>
      </c>
      <c r="B5" s="36" t="s">
        <v>47</v>
      </c>
      <c r="C5" s="37" t="s">
        <v>48</v>
      </c>
      <c r="D5" s="38" t="s">
        <v>35</v>
      </c>
      <c r="E5" s="48" t="s">
        <v>49</v>
      </c>
      <c r="F5" s="48" t="s">
        <v>37</v>
      </c>
      <c r="G5" s="34" t="s">
        <v>38</v>
      </c>
      <c r="H5" s="34" t="s">
        <v>50</v>
      </c>
      <c r="I5" s="15">
        <v>105</v>
      </c>
      <c r="J5" s="15">
        <v>95</v>
      </c>
      <c r="K5" s="53">
        <v>171.790459341631</v>
      </c>
      <c r="L5" s="53">
        <v>215.446492154311</v>
      </c>
      <c r="M5" s="53">
        <v>131.100517241379</v>
      </c>
      <c r="N5" s="59">
        <v>105</v>
      </c>
      <c r="O5" s="59">
        <v>95</v>
      </c>
      <c r="P5" s="59">
        <v>85</v>
      </c>
      <c r="Q5" s="62" t="s">
        <v>40</v>
      </c>
      <c r="R5" s="62" t="s">
        <v>39</v>
      </c>
      <c r="S5" s="62" t="s">
        <v>39</v>
      </c>
      <c r="T5" s="53" t="s">
        <v>41</v>
      </c>
      <c r="U5" s="67" t="s">
        <v>42</v>
      </c>
      <c r="V5" s="34" t="s">
        <v>51</v>
      </c>
      <c r="W5" s="34">
        <v>310601001</v>
      </c>
      <c r="X5" s="34" t="s">
        <v>52</v>
      </c>
      <c r="Y5" s="12" t="s">
        <v>53</v>
      </c>
      <c r="Z5" s="12" t="s">
        <v>39</v>
      </c>
      <c r="AA5" s="14" t="s">
        <v>38</v>
      </c>
      <c r="AB5" s="12" t="s">
        <v>54</v>
      </c>
      <c r="AC5" s="18">
        <v>74.8</v>
      </c>
      <c r="AD5" s="18">
        <v>65</v>
      </c>
      <c r="AE5" s="18">
        <v>55.3</v>
      </c>
      <c r="AF5" s="71">
        <f t="shared" si="0"/>
        <v>0</v>
      </c>
      <c r="AG5" s="71" t="str">
        <f t="shared" si="1"/>
        <v>肺通气功能检查费</v>
      </c>
      <c r="AH5" s="71">
        <f>IF(AF5&gt;0,_xlfn.MAXIFS(N:N,C:C,SUBSTITUTE(C5,"-儿童（加收）","")),0)+N5</f>
        <v>105</v>
      </c>
      <c r="AI5" s="71">
        <f>IF(AF5&gt;0,_xlfn.MAXIFS(O:O,C:C,SUBSTITUTE(C5,"-儿童（加收）","")),0)+O5</f>
        <v>95</v>
      </c>
      <c r="AJ5" s="71">
        <f>IF(AF5&gt;0,_xlfn.MAXIFS(P:P,C:C,SUBSTITUTE(C5,"-儿童（加收）","")),0)+P5</f>
        <v>85</v>
      </c>
    </row>
    <row r="6" s="22" customFormat="1" ht="28" customHeight="1" spans="1:36">
      <c r="A6" s="39"/>
      <c r="B6" s="40"/>
      <c r="C6" s="37" t="s">
        <v>48</v>
      </c>
      <c r="D6" s="38"/>
      <c r="E6" s="48"/>
      <c r="F6" s="48"/>
      <c r="G6" s="34"/>
      <c r="H6" s="34"/>
      <c r="I6" s="54"/>
      <c r="J6" s="54"/>
      <c r="K6" s="53"/>
      <c r="L6" s="53"/>
      <c r="M6" s="53"/>
      <c r="N6" s="59">
        <v>105</v>
      </c>
      <c r="O6" s="59">
        <v>95</v>
      </c>
      <c r="P6" s="59">
        <v>85</v>
      </c>
      <c r="Q6" s="62"/>
      <c r="R6" s="62"/>
      <c r="S6" s="62"/>
      <c r="T6" s="53"/>
      <c r="U6" s="67"/>
      <c r="V6" s="34" t="s">
        <v>55</v>
      </c>
      <c r="W6" s="34">
        <v>31060100101</v>
      </c>
      <c r="X6" s="34" t="s">
        <v>56</v>
      </c>
      <c r="Y6" s="12" t="s">
        <v>39</v>
      </c>
      <c r="Z6" s="12" t="s">
        <v>39</v>
      </c>
      <c r="AA6" s="14" t="s">
        <v>38</v>
      </c>
      <c r="AB6" s="12" t="s">
        <v>57</v>
      </c>
      <c r="AC6" s="18">
        <v>40.3</v>
      </c>
      <c r="AD6" s="18">
        <v>35</v>
      </c>
      <c r="AE6" s="18">
        <v>29.8</v>
      </c>
      <c r="AF6" s="71">
        <f t="shared" si="0"/>
        <v>0</v>
      </c>
      <c r="AG6" s="71" t="str">
        <f t="shared" si="1"/>
        <v>肺通气功能检查费</v>
      </c>
      <c r="AH6" s="71">
        <f>IF(AF6&gt;0,_xlfn.MAXIFS(N:N,C:C,SUBSTITUTE(C6,"-儿童（加收）","")),0)+N6</f>
        <v>105</v>
      </c>
      <c r="AI6" s="71">
        <f>IF(AF6&gt;0,_xlfn.MAXIFS(O:O,C:C,SUBSTITUTE(C6,"-儿童（加收）","")),0)+O6</f>
        <v>95</v>
      </c>
      <c r="AJ6" s="71">
        <f>IF(AF6&gt;0,_xlfn.MAXIFS(P:P,C:C,SUBSTITUTE(C6,"-儿童（加收）","")),0)+P6</f>
        <v>85</v>
      </c>
    </row>
    <row r="7" s="22" customFormat="1" ht="28" customHeight="1" spans="1:36">
      <c r="A7" s="39"/>
      <c r="B7" s="40"/>
      <c r="C7" s="37" t="s">
        <v>48</v>
      </c>
      <c r="D7" s="38"/>
      <c r="E7" s="48"/>
      <c r="F7" s="48"/>
      <c r="G7" s="34"/>
      <c r="H7" s="34"/>
      <c r="I7" s="54"/>
      <c r="J7" s="54"/>
      <c r="K7" s="53"/>
      <c r="L7" s="53"/>
      <c r="M7" s="53"/>
      <c r="N7" s="59">
        <v>105</v>
      </c>
      <c r="O7" s="59">
        <v>95</v>
      </c>
      <c r="P7" s="59">
        <v>85</v>
      </c>
      <c r="Q7" s="62"/>
      <c r="R7" s="62"/>
      <c r="S7" s="62"/>
      <c r="T7" s="53"/>
      <c r="U7" s="67"/>
      <c r="V7" s="34" t="s">
        <v>59</v>
      </c>
      <c r="W7" s="34">
        <v>310601008</v>
      </c>
      <c r="X7" s="34" t="s">
        <v>60</v>
      </c>
      <c r="Y7" s="12" t="s">
        <v>61</v>
      </c>
      <c r="Z7" s="12" t="s">
        <v>39</v>
      </c>
      <c r="AA7" s="14" t="s">
        <v>46</v>
      </c>
      <c r="AB7" s="12" t="s">
        <v>39</v>
      </c>
      <c r="AC7" s="18">
        <v>34.5</v>
      </c>
      <c r="AD7" s="18">
        <v>30</v>
      </c>
      <c r="AE7" s="18">
        <v>25.5</v>
      </c>
      <c r="AF7" s="71">
        <f t="shared" si="0"/>
        <v>0</v>
      </c>
      <c r="AG7" s="71" t="str">
        <f t="shared" si="1"/>
        <v>肺通气功能检查费</v>
      </c>
      <c r="AH7" s="71">
        <f>IF(AF7&gt;0,_xlfn.MAXIFS(N:N,C:C,SUBSTITUTE(C7,"-儿童（加收）","")),0)+N7</f>
        <v>105</v>
      </c>
      <c r="AI7" s="71">
        <f>IF(AF7&gt;0,_xlfn.MAXIFS(O:O,C:C,SUBSTITUTE(C7,"-儿童（加收）","")),0)+O7</f>
        <v>95</v>
      </c>
      <c r="AJ7" s="71">
        <f>IF(AF7&gt;0,_xlfn.MAXIFS(P:P,C:C,SUBSTITUTE(C7,"-儿童（加收）","")),0)+P7</f>
        <v>85</v>
      </c>
    </row>
    <row r="8" s="22" customFormat="1" ht="28" customHeight="1" spans="1:36">
      <c r="A8" s="39"/>
      <c r="B8" s="40"/>
      <c r="C8" s="37" t="s">
        <v>48</v>
      </c>
      <c r="D8" s="38"/>
      <c r="E8" s="48"/>
      <c r="F8" s="48"/>
      <c r="G8" s="34"/>
      <c r="H8" s="34"/>
      <c r="I8" s="54"/>
      <c r="J8" s="54"/>
      <c r="K8" s="53"/>
      <c r="L8" s="53"/>
      <c r="M8" s="53"/>
      <c r="N8" s="59">
        <v>105</v>
      </c>
      <c r="O8" s="59">
        <v>95</v>
      </c>
      <c r="P8" s="59">
        <v>85</v>
      </c>
      <c r="Q8" s="62"/>
      <c r="R8" s="62"/>
      <c r="S8" s="62"/>
      <c r="T8" s="53"/>
      <c r="U8" s="67"/>
      <c r="V8" s="34" t="s">
        <v>62</v>
      </c>
      <c r="W8" s="34">
        <v>310601009</v>
      </c>
      <c r="X8" s="34" t="s">
        <v>63</v>
      </c>
      <c r="Y8" s="12" t="s">
        <v>39</v>
      </c>
      <c r="Z8" s="12" t="s">
        <v>39</v>
      </c>
      <c r="AA8" s="14" t="s">
        <v>46</v>
      </c>
      <c r="AB8" s="12" t="s">
        <v>39</v>
      </c>
      <c r="AC8" s="18">
        <v>34.5</v>
      </c>
      <c r="AD8" s="18">
        <v>30</v>
      </c>
      <c r="AE8" s="18">
        <v>25.5</v>
      </c>
      <c r="AF8" s="71">
        <f t="shared" si="0"/>
        <v>0</v>
      </c>
      <c r="AG8" s="71" t="str">
        <f t="shared" si="1"/>
        <v>肺通气功能检查费</v>
      </c>
      <c r="AH8" s="71">
        <f>IF(AF8&gt;0,_xlfn.MAXIFS(N:N,C:C,SUBSTITUTE(C8,"-儿童（加收）","")),0)+N8</f>
        <v>105</v>
      </c>
      <c r="AI8" s="71">
        <f>IF(AF8&gt;0,_xlfn.MAXIFS(O:O,C:C,SUBSTITUTE(C8,"-儿童（加收）","")),0)+O8</f>
        <v>95</v>
      </c>
      <c r="AJ8" s="71">
        <f>IF(AF8&gt;0,_xlfn.MAXIFS(P:P,C:C,SUBSTITUTE(C8,"-儿童（加收）","")),0)+P8</f>
        <v>85</v>
      </c>
    </row>
    <row r="9" s="22" customFormat="1" ht="33" customHeight="1" spans="1:36">
      <c r="A9" s="41"/>
      <c r="B9" s="42"/>
      <c r="C9" s="34" t="s">
        <v>64</v>
      </c>
      <c r="D9" s="38"/>
      <c r="E9" s="48"/>
      <c r="F9" s="48"/>
      <c r="G9" s="34"/>
      <c r="H9" s="34"/>
      <c r="I9" s="15">
        <f>I5*2</f>
        <v>210</v>
      </c>
      <c r="J9" s="15">
        <f>J5*2</f>
        <v>190</v>
      </c>
      <c r="K9" s="52">
        <v>115</v>
      </c>
      <c r="L9" s="52">
        <v>100</v>
      </c>
      <c r="M9" s="52">
        <v>85</v>
      </c>
      <c r="N9" s="58">
        <v>210</v>
      </c>
      <c r="O9" s="58">
        <v>190</v>
      </c>
      <c r="P9" s="58">
        <v>170</v>
      </c>
      <c r="Q9" s="62"/>
      <c r="R9" s="62"/>
      <c r="S9" s="62"/>
      <c r="T9" s="52"/>
      <c r="U9" s="67" t="s">
        <v>50</v>
      </c>
      <c r="V9" s="34" t="s">
        <v>65</v>
      </c>
      <c r="W9" s="34">
        <v>310601012</v>
      </c>
      <c r="X9" s="34" t="s">
        <v>66</v>
      </c>
      <c r="Y9" s="12" t="s">
        <v>67</v>
      </c>
      <c r="Z9" s="12" t="s">
        <v>39</v>
      </c>
      <c r="AA9" s="14" t="s">
        <v>46</v>
      </c>
      <c r="AB9" s="12" t="s">
        <v>39</v>
      </c>
      <c r="AC9" s="18">
        <v>115</v>
      </c>
      <c r="AD9" s="18">
        <v>100</v>
      </c>
      <c r="AE9" s="18">
        <v>85</v>
      </c>
      <c r="AF9" s="71">
        <f t="shared" si="0"/>
        <v>0</v>
      </c>
      <c r="AG9" s="71" t="str">
        <f t="shared" si="1"/>
        <v>肺通气功能检查费（支气管舒张试验）</v>
      </c>
      <c r="AH9" s="71">
        <f>IF(AF9&gt;0,_xlfn.MAXIFS(N:N,C:C,SUBSTITUTE(C9,"-儿童（加收）","")),0)+N9</f>
        <v>210</v>
      </c>
      <c r="AI9" s="71">
        <f>IF(AF9&gt;0,_xlfn.MAXIFS(O:O,C:C,SUBSTITUTE(C9,"-儿童（加收）","")),0)+O9</f>
        <v>190</v>
      </c>
      <c r="AJ9" s="71">
        <f>IF(AF9&gt;0,_xlfn.MAXIFS(P:P,C:C,SUBSTITUTE(C9,"-儿童（加收）","")),0)+P9</f>
        <v>170</v>
      </c>
    </row>
    <row r="10" s="22" customFormat="1" ht="75" customHeight="1" spans="1:36">
      <c r="A10" s="34" t="s">
        <v>68</v>
      </c>
      <c r="B10" s="11" t="s">
        <v>72</v>
      </c>
      <c r="C10" s="34" t="s">
        <v>73</v>
      </c>
      <c r="D10" s="38" t="s">
        <v>35</v>
      </c>
      <c r="E10" s="48" t="s">
        <v>39</v>
      </c>
      <c r="F10" s="48" t="s">
        <v>39</v>
      </c>
      <c r="G10" s="34" t="s">
        <v>38</v>
      </c>
      <c r="H10" s="34" t="s">
        <v>39</v>
      </c>
      <c r="I10" s="15">
        <v>65</v>
      </c>
      <c r="J10" s="15">
        <v>59</v>
      </c>
      <c r="K10" s="52">
        <v>59</v>
      </c>
      <c r="L10" s="52">
        <v>55</v>
      </c>
      <c r="M10" s="52">
        <v>51</v>
      </c>
      <c r="N10" s="60">
        <v>65</v>
      </c>
      <c r="O10" s="60">
        <v>59</v>
      </c>
      <c r="P10" s="60">
        <v>51</v>
      </c>
      <c r="Q10" s="34" t="s">
        <v>40</v>
      </c>
      <c r="R10" s="34" t="s">
        <v>39</v>
      </c>
      <c r="S10" s="34" t="s">
        <v>39</v>
      </c>
      <c r="T10" s="52"/>
      <c r="U10" s="48" t="s">
        <v>74</v>
      </c>
      <c r="V10" s="34" t="s">
        <v>75</v>
      </c>
      <c r="W10" s="34">
        <v>310602001</v>
      </c>
      <c r="X10" s="34" t="s">
        <v>76</v>
      </c>
      <c r="Y10" s="12" t="s">
        <v>39</v>
      </c>
      <c r="Z10" s="12" t="s">
        <v>39</v>
      </c>
      <c r="AA10" s="14" t="s">
        <v>38</v>
      </c>
      <c r="AB10" s="12" t="s">
        <v>77</v>
      </c>
      <c r="AC10" s="18">
        <v>46</v>
      </c>
      <c r="AD10" s="18">
        <v>40</v>
      </c>
      <c r="AE10" s="18">
        <v>34</v>
      </c>
      <c r="AF10" s="71">
        <f t="shared" si="0"/>
        <v>0</v>
      </c>
      <c r="AG10" s="71" t="str">
        <f t="shared" si="1"/>
        <v>肺通气功能检查费-简易肺功能检查（减收）</v>
      </c>
      <c r="AH10" s="71">
        <f>IF(AF10&gt;0,_xlfn.MAXIFS(N:N,C:C,SUBSTITUTE(C10,"-儿童（加收）","")),0)+N10</f>
        <v>65</v>
      </c>
      <c r="AI10" s="71">
        <f>IF(AF10&gt;0,_xlfn.MAXIFS(O:O,C:C,SUBSTITUTE(C10,"-儿童（加收）","")),0)+O10</f>
        <v>59</v>
      </c>
      <c r="AJ10" s="71">
        <f>IF(AF10&gt;0,_xlfn.MAXIFS(P:P,C:C,SUBSTITUTE(C10,"-儿童（加收）","")),0)+P10</f>
        <v>51</v>
      </c>
    </row>
    <row r="11" s="22" customFormat="1" ht="31" customHeight="1" spans="1:36">
      <c r="A11" s="34">
        <v>3</v>
      </c>
      <c r="B11" s="11" t="s">
        <v>78</v>
      </c>
      <c r="C11" s="37" t="s">
        <v>79</v>
      </c>
      <c r="D11" s="38" t="s">
        <v>35</v>
      </c>
      <c r="E11" s="48" t="s">
        <v>80</v>
      </c>
      <c r="F11" s="48" t="s">
        <v>37</v>
      </c>
      <c r="G11" s="34" t="s">
        <v>38</v>
      </c>
      <c r="H11" s="11"/>
      <c r="I11" s="15">
        <v>100</v>
      </c>
      <c r="J11" s="15">
        <v>90</v>
      </c>
      <c r="K11" s="52">
        <v>115</v>
      </c>
      <c r="L11" s="52">
        <v>100</v>
      </c>
      <c r="M11" s="52">
        <v>85</v>
      </c>
      <c r="N11" s="59">
        <v>100</v>
      </c>
      <c r="O11" s="59">
        <v>90</v>
      </c>
      <c r="P11" s="59">
        <v>77</v>
      </c>
      <c r="Q11" s="34" t="s">
        <v>40</v>
      </c>
      <c r="R11" s="34" t="s">
        <v>39</v>
      </c>
      <c r="S11" s="34" t="s">
        <v>39</v>
      </c>
      <c r="T11" s="52" t="s">
        <v>41</v>
      </c>
      <c r="U11" s="48" t="s">
        <v>42</v>
      </c>
      <c r="V11" s="34" t="s">
        <v>81</v>
      </c>
      <c r="W11" s="34">
        <v>310601010</v>
      </c>
      <c r="X11" s="34" t="s">
        <v>82</v>
      </c>
      <c r="Y11" s="12" t="s">
        <v>39</v>
      </c>
      <c r="Z11" s="12" t="s">
        <v>39</v>
      </c>
      <c r="AA11" s="14" t="s">
        <v>46</v>
      </c>
      <c r="AB11" s="12" t="s">
        <v>39</v>
      </c>
      <c r="AC11" s="18">
        <v>115</v>
      </c>
      <c r="AD11" s="18">
        <v>100</v>
      </c>
      <c r="AE11" s="18">
        <v>85</v>
      </c>
      <c r="AF11" s="71">
        <f t="shared" si="0"/>
        <v>0</v>
      </c>
      <c r="AG11" s="71" t="str">
        <f t="shared" si="1"/>
        <v>支气管激发试验检查费</v>
      </c>
      <c r="AH11" s="71">
        <f>IF(AF11&gt;0,_xlfn.MAXIFS(N:N,C:C,SUBSTITUTE(C11,"-儿童（加收）","")),0)+N11</f>
        <v>100</v>
      </c>
      <c r="AI11" s="71">
        <f>IF(AF11&gt;0,_xlfn.MAXIFS(O:O,C:C,SUBSTITUTE(C11,"-儿童（加收）","")),0)+O11</f>
        <v>90</v>
      </c>
      <c r="AJ11" s="71">
        <f>IF(AF11&gt;0,_xlfn.MAXIFS(P:P,C:C,SUBSTITUTE(C11,"-儿童（加收）","")),0)+P11</f>
        <v>77</v>
      </c>
    </row>
    <row r="12" s="22" customFormat="1" ht="31" customHeight="1" spans="1:36">
      <c r="A12" s="34"/>
      <c r="B12" s="11"/>
      <c r="C12" s="37" t="s">
        <v>79</v>
      </c>
      <c r="D12" s="38"/>
      <c r="E12" s="48"/>
      <c r="F12" s="48"/>
      <c r="G12" s="34"/>
      <c r="H12" s="11"/>
      <c r="I12" s="54"/>
      <c r="J12" s="54"/>
      <c r="K12" s="52"/>
      <c r="L12" s="52"/>
      <c r="M12" s="52"/>
      <c r="N12" s="59">
        <v>100</v>
      </c>
      <c r="O12" s="59">
        <v>90</v>
      </c>
      <c r="P12" s="59">
        <v>77</v>
      </c>
      <c r="Q12" s="34"/>
      <c r="R12" s="34"/>
      <c r="S12" s="34"/>
      <c r="T12" s="52"/>
      <c r="U12" s="48"/>
      <c r="V12" s="34" t="s">
        <v>83</v>
      </c>
      <c r="W12" s="34">
        <v>310601011</v>
      </c>
      <c r="X12" s="34" t="s">
        <v>84</v>
      </c>
      <c r="Y12" s="12" t="s">
        <v>85</v>
      </c>
      <c r="Z12" s="12" t="s">
        <v>39</v>
      </c>
      <c r="AA12" s="14" t="s">
        <v>46</v>
      </c>
      <c r="AB12" s="12" t="s">
        <v>39</v>
      </c>
      <c r="AC12" s="18">
        <v>115</v>
      </c>
      <c r="AD12" s="18">
        <v>100</v>
      </c>
      <c r="AE12" s="18">
        <v>85</v>
      </c>
      <c r="AF12" s="71">
        <f t="shared" si="0"/>
        <v>0</v>
      </c>
      <c r="AG12" s="71" t="str">
        <f t="shared" si="1"/>
        <v>支气管激发试验检查费</v>
      </c>
      <c r="AH12" s="71">
        <f>IF(AF12&gt;0,_xlfn.MAXIFS(N:N,C:C,SUBSTITUTE(C12,"-儿童（加收）","")),0)+N12</f>
        <v>100</v>
      </c>
      <c r="AI12" s="71">
        <f>IF(AF12&gt;0,_xlfn.MAXIFS(O:O,C:C,SUBSTITUTE(C12,"-儿童（加收）","")),0)+O12</f>
        <v>90</v>
      </c>
      <c r="AJ12" s="71">
        <f>IF(AF12&gt;0,_xlfn.MAXIFS(P:P,C:C,SUBSTITUTE(C12,"-儿童（加收）","")),0)+P12</f>
        <v>77</v>
      </c>
    </row>
    <row r="13" s="22" customFormat="1" ht="51" spans="1:36">
      <c r="A13" s="34">
        <v>4</v>
      </c>
      <c r="B13" s="11" t="s">
        <v>86</v>
      </c>
      <c r="C13" s="34" t="s">
        <v>87</v>
      </c>
      <c r="D13" s="38" t="s">
        <v>35</v>
      </c>
      <c r="E13" s="48" t="s">
        <v>88</v>
      </c>
      <c r="F13" s="48" t="s">
        <v>37</v>
      </c>
      <c r="G13" s="34" t="s">
        <v>38</v>
      </c>
      <c r="H13" s="34" t="s">
        <v>39</v>
      </c>
      <c r="I13" s="15">
        <v>60</v>
      </c>
      <c r="J13" s="15">
        <v>54</v>
      </c>
      <c r="K13" s="52">
        <v>69</v>
      </c>
      <c r="L13" s="52">
        <v>60</v>
      </c>
      <c r="M13" s="52">
        <v>51</v>
      </c>
      <c r="N13" s="58">
        <v>60</v>
      </c>
      <c r="O13" s="58">
        <v>54</v>
      </c>
      <c r="P13" s="58">
        <v>46</v>
      </c>
      <c r="Q13" s="34" t="s">
        <v>40</v>
      </c>
      <c r="R13" s="34" t="s">
        <v>39</v>
      </c>
      <c r="S13" s="34" t="s">
        <v>39</v>
      </c>
      <c r="T13" s="52" t="s">
        <v>41</v>
      </c>
      <c r="U13" s="48" t="s">
        <v>42</v>
      </c>
      <c r="V13" s="34" t="s">
        <v>89</v>
      </c>
      <c r="W13" s="34">
        <v>310601002</v>
      </c>
      <c r="X13" s="34" t="s">
        <v>90</v>
      </c>
      <c r="Y13" s="12" t="s">
        <v>91</v>
      </c>
      <c r="Z13" s="12" t="s">
        <v>39</v>
      </c>
      <c r="AA13" s="14" t="s">
        <v>46</v>
      </c>
      <c r="AB13" s="12" t="s">
        <v>39</v>
      </c>
      <c r="AC13" s="18">
        <v>69</v>
      </c>
      <c r="AD13" s="18">
        <v>60</v>
      </c>
      <c r="AE13" s="18">
        <v>51</v>
      </c>
      <c r="AF13" s="71">
        <f t="shared" si="0"/>
        <v>0</v>
      </c>
      <c r="AG13" s="71" t="str">
        <f t="shared" si="1"/>
        <v>肺弥散功能检查费</v>
      </c>
      <c r="AH13" s="71">
        <f>IF(AF13&gt;0,_xlfn.MAXIFS(N:N,C:C,SUBSTITUTE(C13,"-儿童（加收）","")),0)+N13</f>
        <v>60</v>
      </c>
      <c r="AI13" s="71">
        <f>IF(AF13&gt;0,_xlfn.MAXIFS(O:O,C:C,SUBSTITUTE(C13,"-儿童（加收）","")),0)+O13</f>
        <v>54</v>
      </c>
      <c r="AJ13" s="71">
        <f>IF(AF13&gt;0,_xlfn.MAXIFS(P:P,C:C,SUBSTITUTE(C13,"-儿童（加收）","")),0)+P13</f>
        <v>46</v>
      </c>
    </row>
    <row r="14" s="22" customFormat="1" ht="49" customHeight="1" spans="1:36">
      <c r="A14" s="34">
        <v>5</v>
      </c>
      <c r="B14" s="11" t="s">
        <v>92</v>
      </c>
      <c r="C14" s="37" t="s">
        <v>93</v>
      </c>
      <c r="D14" s="38" t="s">
        <v>35</v>
      </c>
      <c r="E14" s="48" t="s">
        <v>94</v>
      </c>
      <c r="F14" s="48" t="s">
        <v>37</v>
      </c>
      <c r="G14" s="34" t="s">
        <v>38</v>
      </c>
      <c r="H14" s="34" t="s">
        <v>39</v>
      </c>
      <c r="I14" s="15">
        <v>110</v>
      </c>
      <c r="J14" s="15">
        <v>99</v>
      </c>
      <c r="K14" s="53">
        <v>99.9316369160653</v>
      </c>
      <c r="L14" s="53">
        <v>88.6980491942324</v>
      </c>
      <c r="M14" s="53">
        <v>76.3598901098901</v>
      </c>
      <c r="N14" s="61">
        <v>100</v>
      </c>
      <c r="O14" s="61">
        <v>90</v>
      </c>
      <c r="P14" s="61">
        <v>77</v>
      </c>
      <c r="Q14" s="34" t="s">
        <v>40</v>
      </c>
      <c r="R14" s="34" t="s">
        <v>39</v>
      </c>
      <c r="S14" s="34" t="s">
        <v>39</v>
      </c>
      <c r="T14" s="53" t="s">
        <v>95</v>
      </c>
      <c r="U14" s="48" t="s">
        <v>95</v>
      </c>
      <c r="V14" s="34" t="s">
        <v>96</v>
      </c>
      <c r="W14" s="34">
        <v>310601004</v>
      </c>
      <c r="X14" s="34" t="s">
        <v>97</v>
      </c>
      <c r="Y14" s="12" t="s">
        <v>98</v>
      </c>
      <c r="Z14" s="12" t="s">
        <v>39</v>
      </c>
      <c r="AA14" s="14" t="s">
        <v>46</v>
      </c>
      <c r="AB14" s="12" t="s">
        <v>39</v>
      </c>
      <c r="AC14" s="18">
        <v>57.5</v>
      </c>
      <c r="AD14" s="18">
        <v>50</v>
      </c>
      <c r="AE14" s="18">
        <v>42.5</v>
      </c>
      <c r="AF14" s="71">
        <f t="shared" si="0"/>
        <v>0</v>
      </c>
      <c r="AG14" s="71" t="str">
        <f t="shared" si="1"/>
        <v>呼吸阻力检查费</v>
      </c>
      <c r="AH14" s="71">
        <f>IF(AF14&gt;0,_xlfn.MAXIFS(N:N,C:C,SUBSTITUTE(C14,"-儿童（加收）","")),0)+N14</f>
        <v>100</v>
      </c>
      <c r="AI14" s="71">
        <f>IF(AF14&gt;0,_xlfn.MAXIFS(O:O,C:C,SUBSTITUTE(C14,"-儿童（加收）","")),0)+O14</f>
        <v>90</v>
      </c>
      <c r="AJ14" s="71">
        <f>IF(AF14&gt;0,_xlfn.MAXIFS(P:P,C:C,SUBSTITUTE(C14,"-儿童（加收）","")),0)+P14</f>
        <v>77</v>
      </c>
    </row>
    <row r="15" s="22" customFormat="1" ht="49" customHeight="1" spans="1:36">
      <c r="A15" s="34"/>
      <c r="B15" s="11"/>
      <c r="C15" s="37" t="s">
        <v>93</v>
      </c>
      <c r="D15" s="38"/>
      <c r="E15" s="48"/>
      <c r="F15" s="48"/>
      <c r="G15" s="34"/>
      <c r="H15" s="34"/>
      <c r="I15" s="54"/>
      <c r="J15" s="54"/>
      <c r="K15" s="53"/>
      <c r="L15" s="53"/>
      <c r="M15" s="53"/>
      <c r="N15" s="61">
        <v>100</v>
      </c>
      <c r="O15" s="61">
        <v>90</v>
      </c>
      <c r="P15" s="61">
        <v>77</v>
      </c>
      <c r="Q15" s="34"/>
      <c r="R15" s="34"/>
      <c r="S15" s="34"/>
      <c r="T15" s="53"/>
      <c r="U15" s="48"/>
      <c r="V15" s="34" t="s">
        <v>99</v>
      </c>
      <c r="W15" s="34">
        <v>310601006</v>
      </c>
      <c r="X15" s="34" t="s">
        <v>100</v>
      </c>
      <c r="Y15" s="12" t="s">
        <v>39</v>
      </c>
      <c r="Z15" s="12" t="s">
        <v>39</v>
      </c>
      <c r="AA15" s="14" t="s">
        <v>46</v>
      </c>
      <c r="AB15" s="12" t="s">
        <v>39</v>
      </c>
      <c r="AC15" s="18">
        <v>115</v>
      </c>
      <c r="AD15" s="18">
        <v>100</v>
      </c>
      <c r="AE15" s="18">
        <v>85</v>
      </c>
      <c r="AF15" s="71">
        <f t="shared" si="0"/>
        <v>0</v>
      </c>
      <c r="AG15" s="71" t="str">
        <f t="shared" si="1"/>
        <v>呼吸阻力检查费</v>
      </c>
      <c r="AH15" s="71">
        <f>IF(AF15&gt;0,_xlfn.MAXIFS(N:N,C:C,SUBSTITUTE(C15,"-儿童（加收）","")),0)+N15</f>
        <v>100</v>
      </c>
      <c r="AI15" s="71">
        <f>IF(AF15&gt;0,_xlfn.MAXIFS(O:O,C:C,SUBSTITUTE(C15,"-儿童（加收）","")),0)+O15</f>
        <v>90</v>
      </c>
      <c r="AJ15" s="71">
        <f>IF(AF15&gt;0,_xlfn.MAXIFS(P:P,C:C,SUBSTITUTE(C15,"-儿童（加收）","")),0)+P15</f>
        <v>77</v>
      </c>
    </row>
    <row r="16" s="22" customFormat="1" ht="49" customHeight="1" spans="1:36">
      <c r="A16" s="34"/>
      <c r="B16" s="11"/>
      <c r="C16" s="37" t="s">
        <v>93</v>
      </c>
      <c r="D16" s="38"/>
      <c r="E16" s="48"/>
      <c r="F16" s="48"/>
      <c r="G16" s="34"/>
      <c r="H16" s="34"/>
      <c r="I16" s="54"/>
      <c r="J16" s="54"/>
      <c r="K16" s="53"/>
      <c r="L16" s="53"/>
      <c r="M16" s="53"/>
      <c r="N16" s="61">
        <v>100</v>
      </c>
      <c r="O16" s="61">
        <v>90</v>
      </c>
      <c r="P16" s="61">
        <v>77</v>
      </c>
      <c r="Q16" s="34"/>
      <c r="R16" s="34"/>
      <c r="S16" s="34"/>
      <c r="T16" s="53"/>
      <c r="U16" s="48"/>
      <c r="V16" s="34" t="s">
        <v>101</v>
      </c>
      <c r="W16" s="34">
        <v>310601007</v>
      </c>
      <c r="X16" s="34" t="s">
        <v>102</v>
      </c>
      <c r="Y16" s="12" t="s">
        <v>39</v>
      </c>
      <c r="Z16" s="12" t="s">
        <v>39</v>
      </c>
      <c r="AA16" s="14" t="s">
        <v>46</v>
      </c>
      <c r="AB16" s="12" t="s">
        <v>39</v>
      </c>
      <c r="AC16" s="72" t="s">
        <v>39</v>
      </c>
      <c r="AD16" s="72" t="s">
        <v>39</v>
      </c>
      <c r="AE16" s="72" t="s">
        <v>39</v>
      </c>
      <c r="AF16" s="71">
        <f t="shared" si="0"/>
        <v>0</v>
      </c>
      <c r="AG16" s="71" t="str">
        <f t="shared" si="1"/>
        <v>呼吸阻力检查费</v>
      </c>
      <c r="AH16" s="71">
        <f>IF(AF16&gt;0,_xlfn.MAXIFS(N:N,C:C,SUBSTITUTE(C16,"-儿童（加收）","")),0)+N16</f>
        <v>100</v>
      </c>
      <c r="AI16" s="71">
        <f>IF(AF16&gt;0,_xlfn.MAXIFS(O:O,C:C,SUBSTITUTE(C16,"-儿童（加收）","")),0)+O16</f>
        <v>90</v>
      </c>
      <c r="AJ16" s="71">
        <f>IF(AF16&gt;0,_xlfn.MAXIFS(P:P,C:C,SUBSTITUTE(C16,"-儿童（加收）","")),0)+P16</f>
        <v>77</v>
      </c>
    </row>
    <row r="17" s="22" customFormat="1" ht="75" customHeight="1" spans="1:36">
      <c r="A17" s="34">
        <v>6</v>
      </c>
      <c r="B17" s="11" t="s">
        <v>103</v>
      </c>
      <c r="C17" s="34" t="s">
        <v>104</v>
      </c>
      <c r="D17" s="38" t="s">
        <v>35</v>
      </c>
      <c r="E17" s="48" t="s">
        <v>105</v>
      </c>
      <c r="F17" s="48" t="s">
        <v>37</v>
      </c>
      <c r="G17" s="34" t="s">
        <v>38</v>
      </c>
      <c r="H17" s="34" t="s">
        <v>39</v>
      </c>
      <c r="I17" s="15">
        <v>160</v>
      </c>
      <c r="J17" s="15">
        <v>144</v>
      </c>
      <c r="K17" s="52">
        <v>184</v>
      </c>
      <c r="L17" s="52">
        <v>160</v>
      </c>
      <c r="M17" s="52">
        <v>136</v>
      </c>
      <c r="N17" s="58">
        <v>160</v>
      </c>
      <c r="O17" s="58">
        <v>144</v>
      </c>
      <c r="P17" s="58">
        <v>123</v>
      </c>
      <c r="Q17" s="34" t="s">
        <v>40</v>
      </c>
      <c r="R17" s="34" t="s">
        <v>39</v>
      </c>
      <c r="S17" s="34" t="s">
        <v>39</v>
      </c>
      <c r="T17" s="52" t="s">
        <v>41</v>
      </c>
      <c r="U17" s="48" t="s">
        <v>42</v>
      </c>
      <c r="V17" s="34" t="s">
        <v>106</v>
      </c>
      <c r="W17" s="34">
        <v>310601003</v>
      </c>
      <c r="X17" s="34" t="s">
        <v>107</v>
      </c>
      <c r="Y17" s="12" t="s">
        <v>108</v>
      </c>
      <c r="Z17" s="12" t="s">
        <v>39</v>
      </c>
      <c r="AA17" s="14" t="s">
        <v>46</v>
      </c>
      <c r="AB17" s="12" t="s">
        <v>109</v>
      </c>
      <c r="AC17" s="18">
        <v>184</v>
      </c>
      <c r="AD17" s="18">
        <v>160</v>
      </c>
      <c r="AE17" s="18">
        <v>136</v>
      </c>
      <c r="AF17" s="71">
        <f t="shared" si="0"/>
        <v>0</v>
      </c>
      <c r="AG17" s="71" t="str">
        <f t="shared" si="1"/>
        <v>运动心肺功能检查费</v>
      </c>
      <c r="AH17" s="71">
        <f>IF(AF17&gt;0,_xlfn.MAXIFS(N:N,C:C,SUBSTITUTE(C17,"-儿童（加收）","")),0)+N17</f>
        <v>160</v>
      </c>
      <c r="AI17" s="71">
        <f>IF(AF17&gt;0,_xlfn.MAXIFS(O:O,C:C,SUBSTITUTE(C17,"-儿童（加收）","")),0)+O17</f>
        <v>144</v>
      </c>
      <c r="AJ17" s="71">
        <f>IF(AF17&gt;0,_xlfn.MAXIFS(P:P,C:C,SUBSTITUTE(C17,"-儿童（加收）","")),0)+P17</f>
        <v>123</v>
      </c>
    </row>
    <row r="18" s="22" customFormat="1" ht="75" customHeight="1" spans="1:36">
      <c r="A18" s="34">
        <v>7</v>
      </c>
      <c r="B18" s="11" t="s">
        <v>110</v>
      </c>
      <c r="C18" s="34" t="s">
        <v>111</v>
      </c>
      <c r="D18" s="38" t="s">
        <v>35</v>
      </c>
      <c r="E18" s="48" t="s">
        <v>112</v>
      </c>
      <c r="F18" s="48" t="s">
        <v>37</v>
      </c>
      <c r="G18" s="34" t="s">
        <v>38</v>
      </c>
      <c r="H18" s="34" t="s">
        <v>39</v>
      </c>
      <c r="I18" s="15">
        <v>12</v>
      </c>
      <c r="J18" s="15">
        <v>11</v>
      </c>
      <c r="K18" s="52">
        <v>11.5</v>
      </c>
      <c r="L18" s="52">
        <v>10</v>
      </c>
      <c r="M18" s="52">
        <v>8.5</v>
      </c>
      <c r="N18" s="18">
        <v>11.5</v>
      </c>
      <c r="O18" s="18">
        <v>10</v>
      </c>
      <c r="P18" s="18">
        <v>8.5</v>
      </c>
      <c r="Q18" s="34" t="s">
        <v>40</v>
      </c>
      <c r="R18" s="34" t="s">
        <v>39</v>
      </c>
      <c r="S18" s="34" t="s">
        <v>39</v>
      </c>
      <c r="T18" s="52" t="s">
        <v>113</v>
      </c>
      <c r="U18" s="48" t="s">
        <v>113</v>
      </c>
      <c r="V18" s="38" t="s">
        <v>114</v>
      </c>
      <c r="W18" s="11">
        <v>310602002</v>
      </c>
      <c r="X18" s="34" t="s">
        <v>115</v>
      </c>
      <c r="Y18" s="12"/>
      <c r="Z18" s="12"/>
      <c r="AA18" s="14"/>
      <c r="AB18" s="12"/>
      <c r="AC18" s="72">
        <v>11.5</v>
      </c>
      <c r="AD18" s="72">
        <v>10</v>
      </c>
      <c r="AE18" s="72">
        <v>8.5</v>
      </c>
      <c r="AF18" s="71">
        <f t="shared" si="0"/>
        <v>0</v>
      </c>
      <c r="AG18" s="71" t="str">
        <f t="shared" si="1"/>
        <v>肺阻抗血流图检查费</v>
      </c>
      <c r="AH18" s="71">
        <f>IF(AF18&gt;0,_xlfn.MAXIFS(N:N,C:C,SUBSTITUTE(C18,"-儿童（加收）","")),0)+N18</f>
        <v>11.5</v>
      </c>
      <c r="AI18" s="71">
        <f>IF(AF18&gt;0,_xlfn.MAXIFS(O:O,C:C,SUBSTITUTE(C18,"-儿童（加收）","")),0)+O18</f>
        <v>10</v>
      </c>
      <c r="AJ18" s="71">
        <f>IF(AF18&gt;0,_xlfn.MAXIFS(P:P,C:C,SUBSTITUTE(C18,"-儿童（加收）","")),0)+P18</f>
        <v>8.5</v>
      </c>
    </row>
    <row r="19" s="22" customFormat="1" ht="54" customHeight="1" spans="1:36">
      <c r="A19" s="34">
        <v>9</v>
      </c>
      <c r="B19" s="11" t="s">
        <v>122</v>
      </c>
      <c r="C19" s="34" t="s">
        <v>123</v>
      </c>
      <c r="D19" s="38" t="s">
        <v>35</v>
      </c>
      <c r="E19" s="48" t="s">
        <v>124</v>
      </c>
      <c r="F19" s="48" t="s">
        <v>37</v>
      </c>
      <c r="G19" s="34" t="s">
        <v>38</v>
      </c>
      <c r="H19" s="34" t="s">
        <v>39</v>
      </c>
      <c r="I19" s="15">
        <v>60</v>
      </c>
      <c r="J19" s="15">
        <v>54</v>
      </c>
      <c r="K19" s="52">
        <v>69</v>
      </c>
      <c r="L19" s="52">
        <v>60</v>
      </c>
      <c r="M19" s="52">
        <v>51</v>
      </c>
      <c r="N19" s="58">
        <v>60</v>
      </c>
      <c r="O19" s="58">
        <v>54</v>
      </c>
      <c r="P19" s="58">
        <v>46</v>
      </c>
      <c r="Q19" s="34" t="s">
        <v>40</v>
      </c>
      <c r="R19" s="34" t="s">
        <v>39</v>
      </c>
      <c r="S19" s="34" t="s">
        <v>39</v>
      </c>
      <c r="T19" s="52" t="s">
        <v>41</v>
      </c>
      <c r="U19" s="48" t="s">
        <v>42</v>
      </c>
      <c r="V19" s="34" t="s">
        <v>125</v>
      </c>
      <c r="W19" s="34">
        <v>310602003</v>
      </c>
      <c r="X19" s="34" t="s">
        <v>126</v>
      </c>
      <c r="Y19" s="12" t="s">
        <v>127</v>
      </c>
      <c r="Z19" s="12" t="s">
        <v>39</v>
      </c>
      <c r="AA19" s="14" t="s">
        <v>38</v>
      </c>
      <c r="AB19" s="12" t="s">
        <v>39</v>
      </c>
      <c r="AC19" s="18">
        <v>69</v>
      </c>
      <c r="AD19" s="18">
        <v>60</v>
      </c>
      <c r="AE19" s="18">
        <v>51</v>
      </c>
      <c r="AF19" s="71">
        <f t="shared" si="0"/>
        <v>0</v>
      </c>
      <c r="AG19" s="71" t="str">
        <f t="shared" si="1"/>
        <v>呼吸肌功能检查费</v>
      </c>
      <c r="AH19" s="71">
        <f>IF(AF19&gt;0,_xlfn.MAXIFS(N:N,C:C,SUBSTITUTE(C19,"-儿童（加收）","")),0)+N19</f>
        <v>60</v>
      </c>
      <c r="AI19" s="71">
        <f>IF(AF19&gt;0,_xlfn.MAXIFS(O:O,C:C,SUBSTITUTE(C19,"-儿童（加收）","")),0)+O19</f>
        <v>54</v>
      </c>
      <c r="AJ19" s="71">
        <f>IF(AF19&gt;0,_xlfn.MAXIFS(P:P,C:C,SUBSTITUTE(C19,"-儿童（加收）","")),0)+P19</f>
        <v>46</v>
      </c>
    </row>
    <row r="20" s="22" customFormat="1" ht="54" customHeight="1" spans="1:36">
      <c r="A20" s="34">
        <v>10</v>
      </c>
      <c r="B20" s="11" t="s">
        <v>128</v>
      </c>
      <c r="C20" s="34" t="s">
        <v>129</v>
      </c>
      <c r="D20" s="38" t="s">
        <v>35</v>
      </c>
      <c r="E20" s="48" t="s">
        <v>130</v>
      </c>
      <c r="F20" s="48" t="s">
        <v>37</v>
      </c>
      <c r="G20" s="34" t="s">
        <v>38</v>
      </c>
      <c r="H20" s="34" t="s">
        <v>39</v>
      </c>
      <c r="I20" s="15">
        <v>60</v>
      </c>
      <c r="J20" s="15">
        <v>54</v>
      </c>
      <c r="K20" s="52">
        <v>69</v>
      </c>
      <c r="L20" s="52">
        <v>60</v>
      </c>
      <c r="M20" s="52">
        <v>51</v>
      </c>
      <c r="N20" s="58">
        <v>60</v>
      </c>
      <c r="O20" s="58">
        <v>54</v>
      </c>
      <c r="P20" s="58">
        <v>46</v>
      </c>
      <c r="Q20" s="34" t="s">
        <v>40</v>
      </c>
      <c r="R20" s="34" t="s">
        <v>39</v>
      </c>
      <c r="S20" s="34" t="s">
        <v>39</v>
      </c>
      <c r="T20" s="52" t="s">
        <v>41</v>
      </c>
      <c r="U20" s="48" t="s">
        <v>42</v>
      </c>
      <c r="V20" s="34" t="s">
        <v>125</v>
      </c>
      <c r="W20" s="34">
        <v>310602003</v>
      </c>
      <c r="X20" s="34" t="s">
        <v>126</v>
      </c>
      <c r="Y20" s="12" t="s">
        <v>127</v>
      </c>
      <c r="Z20" s="12" t="s">
        <v>39</v>
      </c>
      <c r="AA20" s="14" t="s">
        <v>38</v>
      </c>
      <c r="AB20" s="12" t="s">
        <v>39</v>
      </c>
      <c r="AC20" s="18">
        <v>69</v>
      </c>
      <c r="AD20" s="18">
        <v>60</v>
      </c>
      <c r="AE20" s="18">
        <v>51</v>
      </c>
      <c r="AF20" s="71">
        <f t="shared" si="0"/>
        <v>0</v>
      </c>
      <c r="AG20" s="71" t="str">
        <f t="shared" si="1"/>
        <v>膈肌功能检查费</v>
      </c>
      <c r="AH20" s="71">
        <f>IF(AF20&gt;0,_xlfn.MAXIFS(N:N,C:C,SUBSTITUTE(C20,"-儿童（加收）","")),0)+N20</f>
        <v>60</v>
      </c>
      <c r="AI20" s="71">
        <f>IF(AF20&gt;0,_xlfn.MAXIFS(O:O,C:C,SUBSTITUTE(C20,"-儿童（加收）","")),0)+O20</f>
        <v>54</v>
      </c>
      <c r="AJ20" s="71">
        <f>IF(AF20&gt;0,_xlfn.MAXIFS(P:P,C:C,SUBSTITUTE(C20,"-儿童（加收）","")),0)+P20</f>
        <v>46</v>
      </c>
    </row>
    <row r="21" s="22" customFormat="1" ht="108" customHeight="1" spans="1:36">
      <c r="A21" s="34">
        <v>11</v>
      </c>
      <c r="B21" s="11" t="s">
        <v>131</v>
      </c>
      <c r="C21" s="34" t="s">
        <v>132</v>
      </c>
      <c r="D21" s="38" t="s">
        <v>35</v>
      </c>
      <c r="E21" s="48" t="s">
        <v>133</v>
      </c>
      <c r="F21" s="48" t="s">
        <v>37</v>
      </c>
      <c r="G21" s="34" t="s">
        <v>38</v>
      </c>
      <c r="H21" s="34" t="s">
        <v>134</v>
      </c>
      <c r="I21" s="15">
        <v>400</v>
      </c>
      <c r="J21" s="15">
        <v>360</v>
      </c>
      <c r="K21" s="52">
        <v>379.5</v>
      </c>
      <c r="L21" s="52">
        <v>356.5</v>
      </c>
      <c r="M21" s="52">
        <v>333.5</v>
      </c>
      <c r="N21" s="18">
        <v>380</v>
      </c>
      <c r="O21" s="18">
        <v>357</v>
      </c>
      <c r="P21" s="18">
        <v>335</v>
      </c>
      <c r="Q21" s="34" t="s">
        <v>40</v>
      </c>
      <c r="R21" s="34" t="s">
        <v>39</v>
      </c>
      <c r="S21" s="34" t="s">
        <v>39</v>
      </c>
      <c r="T21" s="52" t="s">
        <v>95</v>
      </c>
      <c r="U21" s="48" t="s">
        <v>135</v>
      </c>
      <c r="V21" s="34" t="s">
        <v>136</v>
      </c>
      <c r="W21" s="34">
        <v>310604001</v>
      </c>
      <c r="X21" s="34" t="s">
        <v>137</v>
      </c>
      <c r="Y21" s="12" t="s">
        <v>138</v>
      </c>
      <c r="Z21" s="12" t="s">
        <v>39</v>
      </c>
      <c r="AA21" s="14" t="s">
        <v>139</v>
      </c>
      <c r="AB21" s="12" t="s">
        <v>39</v>
      </c>
      <c r="AC21" s="18">
        <v>33</v>
      </c>
      <c r="AD21" s="18">
        <v>31</v>
      </c>
      <c r="AE21" s="18">
        <v>29</v>
      </c>
      <c r="AF21" s="71">
        <f t="shared" si="0"/>
        <v>0</v>
      </c>
      <c r="AG21" s="71" t="str">
        <f t="shared" si="1"/>
        <v>睡眠呼吸监测费</v>
      </c>
      <c r="AH21" s="71">
        <f>IF(AF21&gt;0,_xlfn.MAXIFS(N:N,C:C,SUBSTITUTE(C21,"-儿童（加收）","")),0)+N21</f>
        <v>380</v>
      </c>
      <c r="AI21" s="71">
        <f>IF(AF21&gt;0,_xlfn.MAXIFS(O:O,C:C,SUBSTITUTE(C21,"-儿童（加收）","")),0)+O21</f>
        <v>357</v>
      </c>
      <c r="AJ21" s="71">
        <f>IF(AF21&gt;0,_xlfn.MAXIFS(P:P,C:C,SUBSTITUTE(C21,"-儿童（加收）","")),0)+P21</f>
        <v>335</v>
      </c>
    </row>
    <row r="22" s="22" customFormat="1" ht="33" customHeight="1" spans="1:36">
      <c r="A22" s="34" t="s">
        <v>68</v>
      </c>
      <c r="B22" s="38" t="s">
        <v>140</v>
      </c>
      <c r="C22" s="37" t="s">
        <v>141</v>
      </c>
      <c r="D22" s="38"/>
      <c r="E22" s="48" t="s">
        <v>39</v>
      </c>
      <c r="F22" s="48" t="s">
        <v>39</v>
      </c>
      <c r="G22" s="34" t="s">
        <v>38</v>
      </c>
      <c r="H22" s="34" t="s">
        <v>39</v>
      </c>
      <c r="I22" s="15">
        <v>277</v>
      </c>
      <c r="J22" s="15">
        <v>249</v>
      </c>
      <c r="K22" s="55">
        <v>230.5</v>
      </c>
      <c r="L22" s="55">
        <v>227</v>
      </c>
      <c r="M22" s="55">
        <v>224.5</v>
      </c>
      <c r="N22" s="61">
        <v>250</v>
      </c>
      <c r="O22" s="61">
        <v>242</v>
      </c>
      <c r="P22" s="61">
        <v>186</v>
      </c>
      <c r="Q22" s="34" t="s">
        <v>40</v>
      </c>
      <c r="R22" s="34" t="s">
        <v>39</v>
      </c>
      <c r="S22" s="34" t="s">
        <v>39</v>
      </c>
      <c r="T22" s="52"/>
      <c r="U22" s="68" t="s">
        <v>142</v>
      </c>
      <c r="V22" s="34" t="s">
        <v>143</v>
      </c>
      <c r="W22" s="34">
        <v>310602004</v>
      </c>
      <c r="X22" s="34" t="s">
        <v>144</v>
      </c>
      <c r="Y22" s="12" t="s">
        <v>39</v>
      </c>
      <c r="Z22" s="12" t="s">
        <v>39</v>
      </c>
      <c r="AA22" s="14" t="s">
        <v>38</v>
      </c>
      <c r="AB22" s="12" t="s">
        <v>39</v>
      </c>
      <c r="AC22" s="18">
        <v>115</v>
      </c>
      <c r="AD22" s="18">
        <v>100</v>
      </c>
      <c r="AE22" s="18">
        <v>85</v>
      </c>
      <c r="AF22" s="71">
        <f t="shared" si="0"/>
        <v>0</v>
      </c>
      <c r="AG22" s="71" t="str">
        <f t="shared" si="1"/>
        <v>睡眠呼吸监测费-便携睡眠呼吸监测（减收）</v>
      </c>
      <c r="AH22" s="71">
        <f>IF(AF22&gt;0,_xlfn.MAXIFS(N:N,C:C,SUBSTITUTE(C22,"-儿童（加收）","")),0)+N22</f>
        <v>250</v>
      </c>
      <c r="AI22" s="71">
        <f>IF(AF22&gt;0,_xlfn.MAXIFS(O:O,C:C,SUBSTITUTE(C22,"-儿童（加收）","")),0)+O22</f>
        <v>242</v>
      </c>
      <c r="AJ22" s="71">
        <f>IF(AF22&gt;0,_xlfn.MAXIFS(P:P,C:C,SUBSTITUTE(C22,"-儿童（加收）","")),0)+P22</f>
        <v>186</v>
      </c>
    </row>
    <row r="23" s="22" customFormat="1" ht="35" customHeight="1" spans="1:36">
      <c r="A23" s="34"/>
      <c r="B23" s="43"/>
      <c r="C23" s="37" t="s">
        <v>141</v>
      </c>
      <c r="D23" s="43"/>
      <c r="E23" s="48"/>
      <c r="F23" s="48"/>
      <c r="G23" s="34"/>
      <c r="H23" s="34"/>
      <c r="I23" s="54"/>
      <c r="J23" s="54"/>
      <c r="K23" s="56"/>
      <c r="L23" s="56"/>
      <c r="M23" s="56"/>
      <c r="N23" s="61">
        <v>250</v>
      </c>
      <c r="O23" s="61">
        <v>242</v>
      </c>
      <c r="P23" s="61">
        <v>186</v>
      </c>
      <c r="Q23" s="34"/>
      <c r="R23" s="34"/>
      <c r="S23" s="34"/>
      <c r="T23" s="52"/>
      <c r="U23" s="68"/>
      <c r="V23" s="34" t="s">
        <v>145</v>
      </c>
      <c r="W23" s="34">
        <v>310604002</v>
      </c>
      <c r="X23" s="34" t="s">
        <v>146</v>
      </c>
      <c r="Y23" s="12" t="s">
        <v>147</v>
      </c>
      <c r="Z23" s="12" t="s">
        <v>39</v>
      </c>
      <c r="AA23" s="14" t="s">
        <v>38</v>
      </c>
      <c r="AB23" s="12" t="s">
        <v>39</v>
      </c>
      <c r="AC23" s="18">
        <v>149.5</v>
      </c>
      <c r="AD23" s="18">
        <v>130</v>
      </c>
      <c r="AE23" s="18">
        <v>110.5</v>
      </c>
      <c r="AF23" s="71">
        <f t="shared" si="0"/>
        <v>0</v>
      </c>
      <c r="AG23" s="71" t="str">
        <f t="shared" si="1"/>
        <v>睡眠呼吸监测费-便携睡眠呼吸监测（减收）</v>
      </c>
      <c r="AH23" s="71">
        <f>IF(AF23&gt;0,_xlfn.MAXIFS(N:N,C:C,SUBSTITUTE(C23,"-儿童（加收）","")),0)+N23</f>
        <v>250</v>
      </c>
      <c r="AI23" s="71">
        <f>IF(AF23&gt;0,_xlfn.MAXIFS(O:O,C:C,SUBSTITUTE(C23,"-儿童（加收）","")),0)+O23</f>
        <v>242</v>
      </c>
      <c r="AJ23" s="71">
        <f>IF(AF23&gt;0,_xlfn.MAXIFS(P:P,C:C,SUBSTITUTE(C23,"-儿童（加收）","")),0)+P23</f>
        <v>186</v>
      </c>
    </row>
    <row r="24" s="22" customFormat="1" ht="30" customHeight="1" spans="1:36">
      <c r="A24" s="34">
        <v>13</v>
      </c>
      <c r="B24" s="11" t="s">
        <v>155</v>
      </c>
      <c r="C24" s="37" t="s">
        <v>156</v>
      </c>
      <c r="D24" s="38" t="s">
        <v>35</v>
      </c>
      <c r="E24" s="48" t="s">
        <v>157</v>
      </c>
      <c r="F24" s="48" t="s">
        <v>158</v>
      </c>
      <c r="G24" s="34" t="s">
        <v>38</v>
      </c>
      <c r="H24" s="34" t="s">
        <v>159</v>
      </c>
      <c r="I24" s="15">
        <v>250</v>
      </c>
      <c r="J24" s="15">
        <v>225</v>
      </c>
      <c r="K24" s="53">
        <v>239.439683911594</v>
      </c>
      <c r="L24" s="53">
        <v>215.611592021076</v>
      </c>
      <c r="M24" s="53">
        <v>192</v>
      </c>
      <c r="N24" s="61">
        <v>240</v>
      </c>
      <c r="O24" s="61">
        <v>216</v>
      </c>
      <c r="P24" s="61">
        <v>190</v>
      </c>
      <c r="Q24" s="34" t="s">
        <v>40</v>
      </c>
      <c r="R24" s="34" t="s">
        <v>39</v>
      </c>
      <c r="S24" s="63">
        <v>0.2</v>
      </c>
      <c r="T24" s="53" t="s">
        <v>95</v>
      </c>
      <c r="U24" s="48" t="s">
        <v>95</v>
      </c>
      <c r="V24" s="34" t="s">
        <v>160</v>
      </c>
      <c r="W24" s="34">
        <v>310605002</v>
      </c>
      <c r="X24" s="34" t="s">
        <v>161</v>
      </c>
      <c r="Y24" s="12" t="s">
        <v>162</v>
      </c>
      <c r="Z24" s="12" t="s">
        <v>163</v>
      </c>
      <c r="AA24" s="14" t="s">
        <v>38</v>
      </c>
      <c r="AB24" s="12" t="s">
        <v>39</v>
      </c>
      <c r="AC24" s="18">
        <v>138</v>
      </c>
      <c r="AD24" s="18">
        <v>120</v>
      </c>
      <c r="AE24" s="18">
        <v>102</v>
      </c>
      <c r="AF24" s="71">
        <f t="shared" si="0"/>
        <v>0</v>
      </c>
      <c r="AG24" s="71" t="str">
        <f t="shared" si="1"/>
        <v>支气管镜检查费（常规内镜）</v>
      </c>
      <c r="AH24" s="71">
        <f>IF(AF24&gt;0,_xlfn.MAXIFS(N:N,C:C,SUBSTITUTE(C24,"-儿童（加收）","")),0)+N24</f>
        <v>240</v>
      </c>
      <c r="AI24" s="71">
        <f>IF(AF24&gt;0,_xlfn.MAXIFS(O:O,C:C,SUBSTITUTE(C24,"-儿童（加收）","")),0)+O24</f>
        <v>216</v>
      </c>
      <c r="AJ24" s="71">
        <f>IF(AF24&gt;0,_xlfn.MAXIFS(P:P,C:C,SUBSTITUTE(C24,"-儿童（加收）","")),0)+P24</f>
        <v>190</v>
      </c>
    </row>
    <row r="25" s="22" customFormat="1" ht="30" customHeight="1" spans="1:36">
      <c r="A25" s="34"/>
      <c r="B25" s="11"/>
      <c r="C25" s="37" t="s">
        <v>156</v>
      </c>
      <c r="D25" s="38"/>
      <c r="E25" s="48"/>
      <c r="F25" s="48"/>
      <c r="G25" s="34"/>
      <c r="H25" s="34"/>
      <c r="I25" s="54"/>
      <c r="J25" s="54"/>
      <c r="K25" s="53"/>
      <c r="L25" s="53"/>
      <c r="M25" s="53"/>
      <c r="N25" s="61">
        <v>240</v>
      </c>
      <c r="O25" s="61">
        <v>216</v>
      </c>
      <c r="P25" s="61">
        <v>190</v>
      </c>
      <c r="Q25" s="34"/>
      <c r="R25" s="34"/>
      <c r="S25" s="63"/>
      <c r="T25" s="53"/>
      <c r="U25" s="48"/>
      <c r="V25" s="34" t="s">
        <v>164</v>
      </c>
      <c r="W25" s="34">
        <v>310605001</v>
      </c>
      <c r="X25" s="34" t="s">
        <v>165</v>
      </c>
      <c r="Y25" s="12" t="s">
        <v>39</v>
      </c>
      <c r="Z25" s="12" t="s">
        <v>39</v>
      </c>
      <c r="AA25" s="14" t="s">
        <v>38</v>
      </c>
      <c r="AB25" s="12" t="s">
        <v>39</v>
      </c>
      <c r="AC25" s="18">
        <v>115</v>
      </c>
      <c r="AD25" s="18">
        <v>100</v>
      </c>
      <c r="AE25" s="18">
        <v>85</v>
      </c>
      <c r="AF25" s="71">
        <f t="shared" si="0"/>
        <v>0</v>
      </c>
      <c r="AG25" s="71" t="str">
        <f t="shared" si="1"/>
        <v>支气管镜检查费（常规内镜）</v>
      </c>
      <c r="AH25" s="71">
        <f>IF(AF25&gt;0,_xlfn.MAXIFS(N:N,C:C,SUBSTITUTE(C25,"-儿童（加收）","")),0)+N25</f>
        <v>240</v>
      </c>
      <c r="AI25" s="71">
        <f>IF(AF25&gt;0,_xlfn.MAXIFS(O:O,C:C,SUBSTITUTE(C25,"-儿童（加收）","")),0)+O25</f>
        <v>216</v>
      </c>
      <c r="AJ25" s="71">
        <f>IF(AF25&gt;0,_xlfn.MAXIFS(P:P,C:C,SUBSTITUTE(C25,"-儿童（加收）","")),0)+P25</f>
        <v>190</v>
      </c>
    </row>
    <row r="26" s="22" customFormat="1" ht="30" customHeight="1" spans="1:36">
      <c r="A26" s="34"/>
      <c r="B26" s="11"/>
      <c r="C26" s="37" t="s">
        <v>156</v>
      </c>
      <c r="D26" s="38"/>
      <c r="E26" s="48"/>
      <c r="F26" s="48"/>
      <c r="G26" s="34"/>
      <c r="H26" s="34"/>
      <c r="I26" s="54"/>
      <c r="J26" s="54"/>
      <c r="K26" s="53"/>
      <c r="L26" s="53"/>
      <c r="M26" s="53"/>
      <c r="N26" s="61">
        <v>240</v>
      </c>
      <c r="O26" s="61">
        <v>216</v>
      </c>
      <c r="P26" s="61">
        <v>190</v>
      </c>
      <c r="Q26" s="34"/>
      <c r="R26" s="34"/>
      <c r="S26" s="63"/>
      <c r="T26" s="53"/>
      <c r="U26" s="48"/>
      <c r="V26" s="34" t="s">
        <v>166</v>
      </c>
      <c r="W26" s="34">
        <v>31060500002</v>
      </c>
      <c r="X26" s="34" t="s">
        <v>167</v>
      </c>
      <c r="Y26" s="12" t="s">
        <v>39</v>
      </c>
      <c r="Z26" s="12" t="s">
        <v>39</v>
      </c>
      <c r="AA26" s="14" t="s">
        <v>38</v>
      </c>
      <c r="AB26" s="12" t="s">
        <v>168</v>
      </c>
      <c r="AC26" s="18">
        <v>138</v>
      </c>
      <c r="AD26" s="18">
        <v>120</v>
      </c>
      <c r="AE26" s="18">
        <v>102</v>
      </c>
      <c r="AF26" s="71">
        <f t="shared" si="0"/>
        <v>0</v>
      </c>
      <c r="AG26" s="71" t="str">
        <f t="shared" si="1"/>
        <v>支气管镜检查费（常规内镜）</v>
      </c>
      <c r="AH26" s="71">
        <f>IF(AF26&gt;0,_xlfn.MAXIFS(N:N,C:C,SUBSTITUTE(C26,"-儿童（加收）","")),0)+N26</f>
        <v>240</v>
      </c>
      <c r="AI26" s="71">
        <f>IF(AF26&gt;0,_xlfn.MAXIFS(O:O,C:C,SUBSTITUTE(C26,"-儿童（加收）","")),0)+O26</f>
        <v>216</v>
      </c>
      <c r="AJ26" s="71">
        <f>IF(AF26&gt;0,_xlfn.MAXIFS(P:P,C:C,SUBSTITUTE(C26,"-儿童（加收）","")),0)+P26</f>
        <v>190</v>
      </c>
    </row>
    <row r="27" s="22" customFormat="1" ht="30" customHeight="1" spans="1:36">
      <c r="A27" s="34"/>
      <c r="B27" s="11"/>
      <c r="C27" s="37" t="s">
        <v>156</v>
      </c>
      <c r="D27" s="38"/>
      <c r="E27" s="48"/>
      <c r="F27" s="48"/>
      <c r="G27" s="34"/>
      <c r="H27" s="34"/>
      <c r="I27" s="54"/>
      <c r="J27" s="54"/>
      <c r="K27" s="53"/>
      <c r="L27" s="53"/>
      <c r="M27" s="53"/>
      <c r="N27" s="61">
        <v>240</v>
      </c>
      <c r="O27" s="61">
        <v>216</v>
      </c>
      <c r="P27" s="61">
        <v>190</v>
      </c>
      <c r="Q27" s="34"/>
      <c r="R27" s="34"/>
      <c r="S27" s="63"/>
      <c r="T27" s="53"/>
      <c r="U27" s="48"/>
      <c r="V27" s="34" t="s">
        <v>169</v>
      </c>
      <c r="W27" s="34">
        <v>31060500001</v>
      </c>
      <c r="X27" s="34" t="s">
        <v>170</v>
      </c>
      <c r="Y27" s="12" t="s">
        <v>39</v>
      </c>
      <c r="Z27" s="12" t="s">
        <v>39</v>
      </c>
      <c r="AA27" s="14" t="s">
        <v>38</v>
      </c>
      <c r="AB27" s="12" t="s">
        <v>171</v>
      </c>
      <c r="AC27" s="18">
        <v>115</v>
      </c>
      <c r="AD27" s="18">
        <v>100</v>
      </c>
      <c r="AE27" s="18">
        <v>85</v>
      </c>
      <c r="AF27" s="71">
        <f t="shared" si="0"/>
        <v>0</v>
      </c>
      <c r="AG27" s="71" t="str">
        <f t="shared" si="1"/>
        <v>支气管镜检查费（常规内镜）</v>
      </c>
      <c r="AH27" s="71">
        <f>IF(AF27&gt;0,_xlfn.MAXIFS(N:N,C:C,SUBSTITUTE(C27,"-儿童（加收）","")),0)+N27</f>
        <v>240</v>
      </c>
      <c r="AI27" s="71">
        <f>IF(AF27&gt;0,_xlfn.MAXIFS(O:O,C:C,SUBSTITUTE(C27,"-儿童（加收）","")),0)+O27</f>
        <v>216</v>
      </c>
      <c r="AJ27" s="71">
        <f>IF(AF27&gt;0,_xlfn.MAXIFS(P:P,C:C,SUBSTITUTE(C27,"-儿童（加收）","")),0)+P27</f>
        <v>190</v>
      </c>
    </row>
    <row r="28" s="22" customFormat="1" ht="66" customHeight="1" spans="1:36">
      <c r="A28" s="34">
        <v>14</v>
      </c>
      <c r="B28" s="11" t="s">
        <v>175</v>
      </c>
      <c r="C28" s="34" t="s">
        <v>176</v>
      </c>
      <c r="D28" s="38" t="s">
        <v>35</v>
      </c>
      <c r="E28" s="48" t="s">
        <v>177</v>
      </c>
      <c r="F28" s="48" t="s">
        <v>158</v>
      </c>
      <c r="G28" s="34" t="s">
        <v>38</v>
      </c>
      <c r="H28" s="34" t="s">
        <v>39</v>
      </c>
      <c r="I28" s="15">
        <v>650</v>
      </c>
      <c r="J28" s="15">
        <v>585</v>
      </c>
      <c r="K28" s="52">
        <v>585</v>
      </c>
      <c r="L28" s="52">
        <v>527</v>
      </c>
      <c r="M28" s="52">
        <v>448</v>
      </c>
      <c r="N28" s="18">
        <v>585</v>
      </c>
      <c r="O28" s="18">
        <v>527</v>
      </c>
      <c r="P28" s="18">
        <v>448</v>
      </c>
      <c r="Q28" s="34" t="s">
        <v>40</v>
      </c>
      <c r="R28" s="34" t="s">
        <v>39</v>
      </c>
      <c r="S28" s="63">
        <v>0.2</v>
      </c>
      <c r="T28" s="52" t="s">
        <v>113</v>
      </c>
      <c r="U28" s="48" t="s">
        <v>113</v>
      </c>
      <c r="V28" s="11" t="s">
        <v>178</v>
      </c>
      <c r="W28" s="11">
        <v>310605015</v>
      </c>
      <c r="X28" s="11" t="s">
        <v>179</v>
      </c>
      <c r="Y28" s="12" t="s">
        <v>180</v>
      </c>
      <c r="Z28" s="12" t="s">
        <v>181</v>
      </c>
      <c r="AA28" s="14" t="s">
        <v>38</v>
      </c>
      <c r="AB28" s="12" t="s">
        <v>39</v>
      </c>
      <c r="AC28" s="18">
        <v>585</v>
      </c>
      <c r="AD28" s="18">
        <v>527</v>
      </c>
      <c r="AE28" s="18">
        <v>448</v>
      </c>
      <c r="AF28" s="71">
        <f t="shared" si="0"/>
        <v>0</v>
      </c>
      <c r="AG28" s="71" t="str">
        <f t="shared" si="1"/>
        <v>支气管镜检查费（超声内镜）</v>
      </c>
      <c r="AH28" s="71">
        <f>IF(AF28&gt;0,_xlfn.MAXIFS(N:N,C:C,SUBSTITUTE(C28,"-儿童（加收）","")),0)+N28</f>
        <v>585</v>
      </c>
      <c r="AI28" s="71">
        <f>IF(AF28&gt;0,_xlfn.MAXIFS(O:O,C:C,SUBSTITUTE(C28,"-儿童（加收）","")),0)+O28</f>
        <v>527</v>
      </c>
      <c r="AJ28" s="71">
        <f>IF(AF28&gt;0,_xlfn.MAXIFS(P:P,C:C,SUBSTITUTE(C28,"-儿童（加收）","")),0)+P28</f>
        <v>448</v>
      </c>
    </row>
    <row r="29" s="22" customFormat="1" ht="66" customHeight="1" spans="1:36">
      <c r="A29" s="34">
        <v>17</v>
      </c>
      <c r="B29" s="11" t="s">
        <v>190</v>
      </c>
      <c r="C29" s="34" t="s">
        <v>191</v>
      </c>
      <c r="D29" s="38" t="s">
        <v>35</v>
      </c>
      <c r="E29" s="48" t="s">
        <v>192</v>
      </c>
      <c r="F29" s="48" t="s">
        <v>193</v>
      </c>
      <c r="G29" s="34" t="s">
        <v>38</v>
      </c>
      <c r="H29" s="34" t="s">
        <v>39</v>
      </c>
      <c r="I29" s="15">
        <v>550</v>
      </c>
      <c r="J29" s="15">
        <v>495</v>
      </c>
      <c r="K29" s="52">
        <v>575</v>
      </c>
      <c r="L29" s="52">
        <v>500</v>
      </c>
      <c r="M29" s="52">
        <v>425</v>
      </c>
      <c r="N29" s="58">
        <v>540</v>
      </c>
      <c r="O29" s="58">
        <v>490</v>
      </c>
      <c r="P29" s="58">
        <v>415</v>
      </c>
      <c r="Q29" s="62" t="s">
        <v>40</v>
      </c>
      <c r="R29" s="62" t="s">
        <v>39</v>
      </c>
      <c r="S29" s="64" t="s">
        <v>39</v>
      </c>
      <c r="T29" s="52" t="s">
        <v>41</v>
      </c>
      <c r="U29" s="48" t="s">
        <v>194</v>
      </c>
      <c r="V29" s="34" t="s">
        <v>195</v>
      </c>
      <c r="W29" s="34">
        <v>310605014</v>
      </c>
      <c r="X29" s="34" t="s">
        <v>196</v>
      </c>
      <c r="Y29" s="12" t="s">
        <v>197</v>
      </c>
      <c r="Z29" s="12" t="s">
        <v>39</v>
      </c>
      <c r="AA29" s="14" t="s">
        <v>38</v>
      </c>
      <c r="AB29" s="12" t="s">
        <v>39</v>
      </c>
      <c r="AC29" s="18">
        <v>575</v>
      </c>
      <c r="AD29" s="18">
        <v>500</v>
      </c>
      <c r="AE29" s="18">
        <v>425</v>
      </c>
      <c r="AF29" s="71">
        <f t="shared" si="0"/>
        <v>0</v>
      </c>
      <c r="AG29" s="71" t="str">
        <f t="shared" si="1"/>
        <v>纵隔镜探查费</v>
      </c>
      <c r="AH29" s="71">
        <f>IF(AF29&gt;0,_xlfn.MAXIFS(N:N,C:C,SUBSTITUTE(C29,"-儿童（加收）","")),0)+N29</f>
        <v>540</v>
      </c>
      <c r="AI29" s="71">
        <f>IF(AF29&gt;0,_xlfn.MAXIFS(O:O,C:C,SUBSTITUTE(C29,"-儿童（加收）","")),0)+O29</f>
        <v>490</v>
      </c>
      <c r="AJ29" s="71">
        <f>IF(AF29&gt;0,_xlfn.MAXIFS(P:P,C:C,SUBSTITUTE(C29,"-儿童（加收）","")),0)+P29</f>
        <v>415</v>
      </c>
    </row>
    <row r="30" s="22" customFormat="1" ht="66" customHeight="1" spans="1:36">
      <c r="A30" s="34">
        <v>18</v>
      </c>
      <c r="B30" s="11" t="s">
        <v>198</v>
      </c>
      <c r="C30" s="34" t="s">
        <v>199</v>
      </c>
      <c r="D30" s="38" t="s">
        <v>200</v>
      </c>
      <c r="E30" s="48" t="s">
        <v>201</v>
      </c>
      <c r="F30" s="48" t="s">
        <v>202</v>
      </c>
      <c r="G30" s="34" t="s">
        <v>38</v>
      </c>
      <c r="H30" s="34" t="s">
        <v>39</v>
      </c>
      <c r="I30" s="15">
        <v>15</v>
      </c>
      <c r="J30" s="15">
        <v>15</v>
      </c>
      <c r="K30" s="52">
        <v>17.3</v>
      </c>
      <c r="L30" s="52">
        <v>15</v>
      </c>
      <c r="M30" s="52">
        <v>12.8</v>
      </c>
      <c r="N30" s="18">
        <v>15</v>
      </c>
      <c r="O30" s="18">
        <v>14</v>
      </c>
      <c r="P30" s="18">
        <v>13</v>
      </c>
      <c r="Q30" s="34" t="s">
        <v>40</v>
      </c>
      <c r="R30" s="34" t="s">
        <v>39</v>
      </c>
      <c r="S30" s="63" t="s">
        <v>39</v>
      </c>
      <c r="T30" s="52" t="s">
        <v>41</v>
      </c>
      <c r="U30" s="48" t="s">
        <v>194</v>
      </c>
      <c r="V30" s="34" t="s">
        <v>203</v>
      </c>
      <c r="W30" s="34">
        <v>310603003</v>
      </c>
      <c r="X30" s="34" t="s">
        <v>204</v>
      </c>
      <c r="Y30" s="12" t="s">
        <v>39</v>
      </c>
      <c r="Z30" s="12" t="s">
        <v>39</v>
      </c>
      <c r="AA30" s="14" t="s">
        <v>38</v>
      </c>
      <c r="AB30" s="12" t="s">
        <v>39</v>
      </c>
      <c r="AC30" s="18">
        <v>17.3</v>
      </c>
      <c r="AD30" s="18">
        <v>15</v>
      </c>
      <c r="AE30" s="18">
        <v>12.8</v>
      </c>
      <c r="AF30" s="71">
        <f t="shared" si="0"/>
        <v>0</v>
      </c>
      <c r="AG30" s="71" t="str">
        <f t="shared" si="1"/>
        <v>体外膈肌起搏治疗费</v>
      </c>
      <c r="AH30" s="71">
        <f>IF(AF30&gt;0,_xlfn.MAXIFS(N:N,C:C,SUBSTITUTE(C30,"-儿童（加收）","")),0)+N30</f>
        <v>15</v>
      </c>
      <c r="AI30" s="71">
        <f>IF(AF30&gt;0,_xlfn.MAXIFS(O:O,C:C,SUBSTITUTE(C30,"-儿童（加收）","")),0)+O30</f>
        <v>14</v>
      </c>
      <c r="AJ30" s="71">
        <f>IF(AF30&gt;0,_xlfn.MAXIFS(P:P,C:C,SUBSTITUTE(C30,"-儿童（加收）","")),0)+P30</f>
        <v>13</v>
      </c>
    </row>
    <row r="31" s="22" customFormat="1" ht="66" customHeight="1" spans="1:36">
      <c r="A31" s="34">
        <v>19</v>
      </c>
      <c r="B31" s="11" t="s">
        <v>205</v>
      </c>
      <c r="C31" s="34" t="s">
        <v>206</v>
      </c>
      <c r="D31" s="38" t="s">
        <v>200</v>
      </c>
      <c r="E31" s="48" t="s">
        <v>207</v>
      </c>
      <c r="F31" s="48" t="s">
        <v>208</v>
      </c>
      <c r="G31" s="34" t="s">
        <v>139</v>
      </c>
      <c r="H31" s="34" t="s">
        <v>39</v>
      </c>
      <c r="I31" s="15">
        <v>50</v>
      </c>
      <c r="J31" s="15">
        <v>50</v>
      </c>
      <c r="K31" s="52">
        <v>9</v>
      </c>
      <c r="L31" s="52">
        <v>9</v>
      </c>
      <c r="M31" s="52">
        <v>9</v>
      </c>
      <c r="N31" s="58">
        <v>45</v>
      </c>
      <c r="O31" s="58">
        <v>45</v>
      </c>
      <c r="P31" s="58">
        <v>41</v>
      </c>
      <c r="Q31" s="62" t="s">
        <v>40</v>
      </c>
      <c r="R31" s="62" t="s">
        <v>39</v>
      </c>
      <c r="S31" s="64" t="s">
        <v>39</v>
      </c>
      <c r="T31" s="52" t="s">
        <v>209</v>
      </c>
      <c r="U31" s="48" t="s">
        <v>210</v>
      </c>
      <c r="V31" s="11" t="s">
        <v>211</v>
      </c>
      <c r="W31" s="11">
        <v>12030000140</v>
      </c>
      <c r="X31" s="11" t="s">
        <v>212</v>
      </c>
      <c r="Y31" s="12" t="s">
        <v>213</v>
      </c>
      <c r="Z31" s="12" t="s">
        <v>39</v>
      </c>
      <c r="AA31" s="14" t="s">
        <v>139</v>
      </c>
      <c r="AB31" s="12" t="s">
        <v>214</v>
      </c>
      <c r="AC31" s="18">
        <v>9</v>
      </c>
      <c r="AD31" s="18">
        <v>9</v>
      </c>
      <c r="AE31" s="18">
        <v>9</v>
      </c>
      <c r="AF31" s="71">
        <f t="shared" si="0"/>
        <v>0</v>
      </c>
      <c r="AG31" s="71" t="str">
        <f t="shared" si="1"/>
        <v>一氧化氮吸入治疗费</v>
      </c>
      <c r="AH31" s="71">
        <f>IF(AF31&gt;0,_xlfn.MAXIFS(N:N,C:C,SUBSTITUTE(C31,"-儿童（加收）","")),0)+N31</f>
        <v>45</v>
      </c>
      <c r="AI31" s="71">
        <f>IF(AF31&gt;0,_xlfn.MAXIFS(O:O,C:C,SUBSTITUTE(C31,"-儿童（加收）","")),0)+O31</f>
        <v>45</v>
      </c>
      <c r="AJ31" s="71">
        <f>IF(AF31&gt;0,_xlfn.MAXIFS(P:P,C:C,SUBSTITUTE(C31,"-儿童（加收）","")),0)+P31</f>
        <v>41</v>
      </c>
    </row>
    <row r="32" s="22" customFormat="1" ht="25.5" spans="1:36">
      <c r="A32" s="34">
        <v>20</v>
      </c>
      <c r="B32" s="11" t="s">
        <v>215</v>
      </c>
      <c r="C32" s="37" t="s">
        <v>216</v>
      </c>
      <c r="D32" s="38" t="s">
        <v>200</v>
      </c>
      <c r="E32" s="48" t="s">
        <v>217</v>
      </c>
      <c r="F32" s="48" t="s">
        <v>218</v>
      </c>
      <c r="G32" s="34" t="s">
        <v>38</v>
      </c>
      <c r="H32" s="34" t="s">
        <v>219</v>
      </c>
      <c r="I32" s="15">
        <v>15</v>
      </c>
      <c r="J32" s="15">
        <v>15</v>
      </c>
      <c r="K32" s="53">
        <v>12.2052789750484</v>
      </c>
      <c r="L32" s="53">
        <v>12.2028121411421</v>
      </c>
      <c r="M32" s="53">
        <v>11.5000049004386</v>
      </c>
      <c r="N32" s="61">
        <v>14</v>
      </c>
      <c r="O32" s="61">
        <v>13</v>
      </c>
      <c r="P32" s="61">
        <v>12</v>
      </c>
      <c r="Q32" s="34" t="s">
        <v>40</v>
      </c>
      <c r="R32" s="34" t="s">
        <v>39</v>
      </c>
      <c r="S32" s="63" t="s">
        <v>39</v>
      </c>
      <c r="T32" s="53" t="s">
        <v>209</v>
      </c>
      <c r="U32" s="48" t="s">
        <v>220</v>
      </c>
      <c r="V32" s="34" t="s">
        <v>221</v>
      </c>
      <c r="W32" s="34">
        <v>120700001</v>
      </c>
      <c r="X32" s="34" t="s">
        <v>222</v>
      </c>
      <c r="Y32" s="12" t="s">
        <v>223</v>
      </c>
      <c r="Z32" s="12" t="s">
        <v>224</v>
      </c>
      <c r="AA32" s="14" t="s">
        <v>38</v>
      </c>
      <c r="AB32" s="12" t="s">
        <v>39</v>
      </c>
      <c r="AC32" s="72" t="s">
        <v>39</v>
      </c>
      <c r="AD32" s="72" t="s">
        <v>39</v>
      </c>
      <c r="AE32" s="72" t="s">
        <v>39</v>
      </c>
      <c r="AF32" s="71">
        <f t="shared" si="0"/>
        <v>0</v>
      </c>
      <c r="AG32" s="71" t="str">
        <f t="shared" si="1"/>
        <v>雾化吸入治疗费</v>
      </c>
      <c r="AH32" s="71">
        <f>IF(AF32&gt;0,_xlfn.MAXIFS(N:N,C:C,SUBSTITUTE(C32,"-儿童（加收）","")),0)+N32</f>
        <v>14</v>
      </c>
      <c r="AI32" s="71">
        <f>IF(AF32&gt;0,_xlfn.MAXIFS(O:O,C:C,SUBSTITUTE(C32,"-儿童（加收）","")),0)+O32</f>
        <v>13</v>
      </c>
      <c r="AJ32" s="71">
        <f>IF(AF32&gt;0,_xlfn.MAXIFS(P:P,C:C,SUBSTITUTE(C32,"-儿童（加收）","")),0)+P32</f>
        <v>12</v>
      </c>
    </row>
    <row r="33" s="22" customFormat="1" ht="25.5" spans="1:36">
      <c r="A33" s="34"/>
      <c r="B33" s="11"/>
      <c r="C33" s="37" t="s">
        <v>216</v>
      </c>
      <c r="D33" s="38"/>
      <c r="E33" s="48"/>
      <c r="F33" s="48"/>
      <c r="G33" s="34"/>
      <c r="H33" s="34"/>
      <c r="I33" s="54"/>
      <c r="J33" s="54"/>
      <c r="K33" s="53"/>
      <c r="L33" s="53"/>
      <c r="M33" s="53"/>
      <c r="N33" s="61">
        <v>14</v>
      </c>
      <c r="O33" s="61">
        <v>13</v>
      </c>
      <c r="P33" s="61">
        <v>12</v>
      </c>
      <c r="Q33" s="34"/>
      <c r="R33" s="34"/>
      <c r="S33" s="63"/>
      <c r="T33" s="53"/>
      <c r="U33" s="48"/>
      <c r="V33" s="34" t="s">
        <v>225</v>
      </c>
      <c r="W33" s="34">
        <v>12070000101</v>
      </c>
      <c r="X33" s="34" t="s">
        <v>226</v>
      </c>
      <c r="Y33" s="12" t="s">
        <v>39</v>
      </c>
      <c r="Z33" s="12" t="s">
        <v>39</v>
      </c>
      <c r="AA33" s="14" t="s">
        <v>38</v>
      </c>
      <c r="AB33" s="12" t="s">
        <v>39</v>
      </c>
      <c r="AC33" s="18">
        <v>5</v>
      </c>
      <c r="AD33" s="18">
        <v>5</v>
      </c>
      <c r="AE33" s="18">
        <v>4.3</v>
      </c>
      <c r="AF33" s="71">
        <f t="shared" si="0"/>
        <v>0</v>
      </c>
      <c r="AG33" s="71" t="str">
        <f t="shared" si="1"/>
        <v>雾化吸入治疗费</v>
      </c>
      <c r="AH33" s="71">
        <f>IF(AF33&gt;0,_xlfn.MAXIFS(N:N,C:C,SUBSTITUTE(C33,"-儿童（加收）","")),0)+N33</f>
        <v>14</v>
      </c>
      <c r="AI33" s="71">
        <f>IF(AF33&gt;0,_xlfn.MAXIFS(O:O,C:C,SUBSTITUTE(C33,"-儿童（加收）","")),0)+O33</f>
        <v>13</v>
      </c>
      <c r="AJ33" s="71">
        <f>IF(AF33&gt;0,_xlfn.MAXIFS(P:P,C:C,SUBSTITUTE(C33,"-儿童（加收）","")),0)+P33</f>
        <v>12</v>
      </c>
    </row>
    <row r="34" s="22" customFormat="1" ht="25.5" spans="1:36">
      <c r="A34" s="34"/>
      <c r="B34" s="11"/>
      <c r="C34" s="37" t="s">
        <v>216</v>
      </c>
      <c r="D34" s="38"/>
      <c r="E34" s="48"/>
      <c r="F34" s="48"/>
      <c r="G34" s="34"/>
      <c r="H34" s="34"/>
      <c r="I34" s="54"/>
      <c r="J34" s="54"/>
      <c r="K34" s="53"/>
      <c r="L34" s="53"/>
      <c r="M34" s="53"/>
      <c r="N34" s="61">
        <v>14</v>
      </c>
      <c r="O34" s="61">
        <v>13</v>
      </c>
      <c r="P34" s="61">
        <v>12</v>
      </c>
      <c r="Q34" s="34"/>
      <c r="R34" s="34"/>
      <c r="S34" s="63"/>
      <c r="T34" s="53"/>
      <c r="U34" s="48"/>
      <c r="V34" s="34" t="s">
        <v>227</v>
      </c>
      <c r="W34" s="34">
        <v>12070000102</v>
      </c>
      <c r="X34" s="34" t="s">
        <v>228</v>
      </c>
      <c r="Y34" s="12" t="s">
        <v>39</v>
      </c>
      <c r="Z34" s="12" t="s">
        <v>39</v>
      </c>
      <c r="AA34" s="14" t="s">
        <v>38</v>
      </c>
      <c r="AB34" s="12" t="s">
        <v>39</v>
      </c>
      <c r="AC34" s="18">
        <v>5</v>
      </c>
      <c r="AD34" s="18">
        <v>5</v>
      </c>
      <c r="AE34" s="18">
        <v>4.3</v>
      </c>
      <c r="AF34" s="71">
        <f t="shared" si="0"/>
        <v>0</v>
      </c>
      <c r="AG34" s="71" t="str">
        <f t="shared" si="1"/>
        <v>雾化吸入治疗费</v>
      </c>
      <c r="AH34" s="71">
        <f>IF(AF34&gt;0,_xlfn.MAXIFS(N:N,C:C,SUBSTITUTE(C34,"-儿童（加收）","")),0)+N34</f>
        <v>14</v>
      </c>
      <c r="AI34" s="71">
        <f>IF(AF34&gt;0,_xlfn.MAXIFS(O:O,C:C,SUBSTITUTE(C34,"-儿童（加收）","")),0)+O34</f>
        <v>13</v>
      </c>
      <c r="AJ34" s="71">
        <f>IF(AF34&gt;0,_xlfn.MAXIFS(P:P,C:C,SUBSTITUTE(C34,"-儿童（加收）","")),0)+P34</f>
        <v>12</v>
      </c>
    </row>
    <row r="35" s="22" customFormat="1" ht="25.5" spans="1:36">
      <c r="A35" s="34"/>
      <c r="B35" s="11"/>
      <c r="C35" s="37" t="s">
        <v>216</v>
      </c>
      <c r="D35" s="38"/>
      <c r="E35" s="48"/>
      <c r="F35" s="48"/>
      <c r="G35" s="34"/>
      <c r="H35" s="34"/>
      <c r="I35" s="54"/>
      <c r="J35" s="54"/>
      <c r="K35" s="53"/>
      <c r="L35" s="53"/>
      <c r="M35" s="53"/>
      <c r="N35" s="61">
        <v>14</v>
      </c>
      <c r="O35" s="61">
        <v>13</v>
      </c>
      <c r="P35" s="61">
        <v>12</v>
      </c>
      <c r="Q35" s="34"/>
      <c r="R35" s="34"/>
      <c r="S35" s="63"/>
      <c r="T35" s="53"/>
      <c r="U35" s="48"/>
      <c r="V35" s="34" t="s">
        <v>229</v>
      </c>
      <c r="W35" s="34">
        <v>12070000103</v>
      </c>
      <c r="X35" s="34" t="s">
        <v>230</v>
      </c>
      <c r="Y35" s="12" t="s">
        <v>39</v>
      </c>
      <c r="Z35" s="12" t="s">
        <v>39</v>
      </c>
      <c r="AA35" s="14" t="s">
        <v>38</v>
      </c>
      <c r="AB35" s="12" t="s">
        <v>39</v>
      </c>
      <c r="AC35" s="18">
        <v>5</v>
      </c>
      <c r="AD35" s="18">
        <v>5</v>
      </c>
      <c r="AE35" s="18">
        <v>4.3</v>
      </c>
      <c r="AF35" s="71">
        <f t="shared" si="0"/>
        <v>0</v>
      </c>
      <c r="AG35" s="71" t="str">
        <f t="shared" si="1"/>
        <v>雾化吸入治疗费</v>
      </c>
      <c r="AH35" s="71">
        <f>IF(AF35&gt;0,_xlfn.MAXIFS(N:N,C:C,SUBSTITUTE(C35,"-儿童（加收）","")),0)+N35</f>
        <v>14</v>
      </c>
      <c r="AI35" s="71">
        <f>IF(AF35&gt;0,_xlfn.MAXIFS(O:O,C:C,SUBSTITUTE(C35,"-儿童（加收）","")),0)+O35</f>
        <v>13</v>
      </c>
      <c r="AJ35" s="71">
        <f>IF(AF35&gt;0,_xlfn.MAXIFS(P:P,C:C,SUBSTITUTE(C35,"-儿童（加收）","")),0)+P35</f>
        <v>12</v>
      </c>
    </row>
    <row r="36" s="22" customFormat="1" ht="25.5" spans="1:36">
      <c r="A36" s="34"/>
      <c r="B36" s="11"/>
      <c r="C36" s="37" t="s">
        <v>216</v>
      </c>
      <c r="D36" s="38"/>
      <c r="E36" s="48"/>
      <c r="F36" s="48"/>
      <c r="G36" s="34"/>
      <c r="H36" s="34"/>
      <c r="I36" s="54"/>
      <c r="J36" s="54"/>
      <c r="K36" s="53"/>
      <c r="L36" s="53"/>
      <c r="M36" s="53"/>
      <c r="N36" s="61">
        <v>14</v>
      </c>
      <c r="O36" s="61">
        <v>13</v>
      </c>
      <c r="P36" s="61">
        <v>12</v>
      </c>
      <c r="Q36" s="34"/>
      <c r="R36" s="34"/>
      <c r="S36" s="63"/>
      <c r="T36" s="53"/>
      <c r="U36" s="48"/>
      <c r="V36" s="34" t="s">
        <v>231</v>
      </c>
      <c r="W36" s="34">
        <v>12070000104</v>
      </c>
      <c r="X36" s="34" t="s">
        <v>232</v>
      </c>
      <c r="Y36" s="12" t="s">
        <v>39</v>
      </c>
      <c r="Z36" s="12" t="s">
        <v>39</v>
      </c>
      <c r="AA36" s="14" t="s">
        <v>38</v>
      </c>
      <c r="AB36" s="12" t="s">
        <v>39</v>
      </c>
      <c r="AC36" s="18">
        <v>5</v>
      </c>
      <c r="AD36" s="18">
        <v>5</v>
      </c>
      <c r="AE36" s="18">
        <v>4.3</v>
      </c>
      <c r="AF36" s="71">
        <f t="shared" si="0"/>
        <v>0</v>
      </c>
      <c r="AG36" s="71" t="str">
        <f t="shared" si="1"/>
        <v>雾化吸入治疗费</v>
      </c>
      <c r="AH36" s="71">
        <f>IF(AF36&gt;0,_xlfn.MAXIFS(N:N,C:C,SUBSTITUTE(C36,"-儿童（加收）","")),0)+N36</f>
        <v>14</v>
      </c>
      <c r="AI36" s="71">
        <f>IF(AF36&gt;0,_xlfn.MAXIFS(O:O,C:C,SUBSTITUTE(C36,"-儿童（加收）","")),0)+O36</f>
        <v>13</v>
      </c>
      <c r="AJ36" s="71">
        <f>IF(AF36&gt;0,_xlfn.MAXIFS(P:P,C:C,SUBSTITUTE(C36,"-儿童（加收）","")),0)+P36</f>
        <v>12</v>
      </c>
    </row>
    <row r="37" s="22" customFormat="1" ht="25.5" spans="1:36">
      <c r="A37" s="34"/>
      <c r="B37" s="11"/>
      <c r="C37" s="37" t="s">
        <v>216</v>
      </c>
      <c r="D37" s="38"/>
      <c r="E37" s="48"/>
      <c r="F37" s="48"/>
      <c r="G37" s="34"/>
      <c r="H37" s="34"/>
      <c r="I37" s="54"/>
      <c r="J37" s="54"/>
      <c r="K37" s="53"/>
      <c r="L37" s="53"/>
      <c r="M37" s="53"/>
      <c r="N37" s="61">
        <v>14</v>
      </c>
      <c r="O37" s="61">
        <v>13</v>
      </c>
      <c r="P37" s="61">
        <v>12</v>
      </c>
      <c r="Q37" s="34"/>
      <c r="R37" s="34"/>
      <c r="S37" s="63"/>
      <c r="T37" s="53"/>
      <c r="U37" s="48"/>
      <c r="V37" s="34" t="s">
        <v>233</v>
      </c>
      <c r="W37" s="34">
        <v>12070000105</v>
      </c>
      <c r="X37" s="34" t="s">
        <v>234</v>
      </c>
      <c r="Y37" s="12" t="s">
        <v>39</v>
      </c>
      <c r="Z37" s="12" t="s">
        <v>39</v>
      </c>
      <c r="AA37" s="14" t="s">
        <v>38</v>
      </c>
      <c r="AB37" s="12" t="s">
        <v>39</v>
      </c>
      <c r="AC37" s="18">
        <v>5</v>
      </c>
      <c r="AD37" s="18">
        <v>5</v>
      </c>
      <c r="AE37" s="18">
        <v>4.3</v>
      </c>
      <c r="AF37" s="71">
        <f t="shared" si="0"/>
        <v>0</v>
      </c>
      <c r="AG37" s="71" t="str">
        <f t="shared" si="1"/>
        <v>雾化吸入治疗费</v>
      </c>
      <c r="AH37" s="71">
        <f>IF(AF37&gt;0,_xlfn.MAXIFS(N:N,C:C,SUBSTITUTE(C37,"-儿童（加收）","")),0)+N37</f>
        <v>14</v>
      </c>
      <c r="AI37" s="71">
        <f>IF(AF37&gt;0,_xlfn.MAXIFS(O:O,C:C,SUBSTITUTE(C37,"-儿童（加收）","")),0)+O37</f>
        <v>13</v>
      </c>
      <c r="AJ37" s="71">
        <f>IF(AF37&gt;0,_xlfn.MAXIFS(P:P,C:C,SUBSTITUTE(C37,"-儿童（加收）","")),0)+P37</f>
        <v>12</v>
      </c>
    </row>
    <row r="38" s="22" customFormat="1" ht="25.5" spans="1:36">
      <c r="A38" s="34"/>
      <c r="B38" s="11"/>
      <c r="C38" s="37" t="s">
        <v>216</v>
      </c>
      <c r="D38" s="38"/>
      <c r="E38" s="48"/>
      <c r="F38" s="48"/>
      <c r="G38" s="34"/>
      <c r="H38" s="34"/>
      <c r="I38" s="54"/>
      <c r="J38" s="54"/>
      <c r="K38" s="53"/>
      <c r="L38" s="53"/>
      <c r="M38" s="53"/>
      <c r="N38" s="61">
        <v>14</v>
      </c>
      <c r="O38" s="61">
        <v>13</v>
      </c>
      <c r="P38" s="61">
        <v>12</v>
      </c>
      <c r="Q38" s="34"/>
      <c r="R38" s="34"/>
      <c r="S38" s="63"/>
      <c r="T38" s="53"/>
      <c r="U38" s="48"/>
      <c r="V38" s="11" t="s">
        <v>235</v>
      </c>
      <c r="W38" s="11">
        <v>12070000106</v>
      </c>
      <c r="X38" s="11" t="s">
        <v>236</v>
      </c>
      <c r="Y38" s="12" t="s">
        <v>39</v>
      </c>
      <c r="Z38" s="12" t="s">
        <v>39</v>
      </c>
      <c r="AA38" s="14" t="s">
        <v>38</v>
      </c>
      <c r="AB38" s="12" t="s">
        <v>39</v>
      </c>
      <c r="AC38" s="18">
        <v>6.5</v>
      </c>
      <c r="AD38" s="18">
        <v>6.5</v>
      </c>
      <c r="AE38" s="18">
        <v>5.6</v>
      </c>
      <c r="AF38" s="71">
        <f t="shared" si="0"/>
        <v>0</v>
      </c>
      <c r="AG38" s="71" t="str">
        <f t="shared" si="1"/>
        <v>雾化吸入治疗费</v>
      </c>
      <c r="AH38" s="71">
        <f>IF(AF38&gt;0,_xlfn.MAXIFS(N:N,C:C,SUBSTITUTE(C38,"-儿童（加收）","")),0)+N38</f>
        <v>14</v>
      </c>
      <c r="AI38" s="71">
        <f>IF(AF38&gt;0,_xlfn.MAXIFS(O:O,C:C,SUBSTITUTE(C38,"-儿童（加收）","")),0)+O38</f>
        <v>13</v>
      </c>
      <c r="AJ38" s="71">
        <f>IF(AF38&gt;0,_xlfn.MAXIFS(P:P,C:C,SUBSTITUTE(C38,"-儿童（加收）","")),0)+P38</f>
        <v>12</v>
      </c>
    </row>
    <row r="39" s="22" customFormat="1" ht="90" customHeight="1" spans="1:36">
      <c r="A39" s="34">
        <v>22</v>
      </c>
      <c r="B39" s="11" t="s">
        <v>243</v>
      </c>
      <c r="C39" s="34" t="s">
        <v>244</v>
      </c>
      <c r="D39" s="38" t="s">
        <v>200</v>
      </c>
      <c r="E39" s="48" t="s">
        <v>245</v>
      </c>
      <c r="F39" s="48" t="s">
        <v>246</v>
      </c>
      <c r="G39" s="34" t="s">
        <v>38</v>
      </c>
      <c r="H39" s="34" t="s">
        <v>247</v>
      </c>
      <c r="I39" s="15">
        <v>110</v>
      </c>
      <c r="J39" s="15">
        <v>99</v>
      </c>
      <c r="K39" s="52">
        <v>115</v>
      </c>
      <c r="L39" s="52">
        <v>100</v>
      </c>
      <c r="M39" s="52">
        <v>85</v>
      </c>
      <c r="N39" s="58">
        <v>105</v>
      </c>
      <c r="O39" s="58">
        <v>95</v>
      </c>
      <c r="P39" s="58">
        <v>81</v>
      </c>
      <c r="Q39" s="62" t="s">
        <v>40</v>
      </c>
      <c r="R39" s="62" t="s">
        <v>39</v>
      </c>
      <c r="S39" s="64" t="s">
        <v>39</v>
      </c>
      <c r="T39" s="52" t="s">
        <v>41</v>
      </c>
      <c r="U39" s="67" t="s">
        <v>194</v>
      </c>
      <c r="V39" s="34" t="s">
        <v>248</v>
      </c>
      <c r="W39" s="34">
        <v>310605006</v>
      </c>
      <c r="X39" s="34" t="s">
        <v>249</v>
      </c>
      <c r="Y39" s="12" t="s">
        <v>250</v>
      </c>
      <c r="Z39" s="12" t="s">
        <v>39</v>
      </c>
      <c r="AA39" s="14" t="s">
        <v>251</v>
      </c>
      <c r="AB39" s="12" t="s">
        <v>39</v>
      </c>
      <c r="AC39" s="18">
        <v>115</v>
      </c>
      <c r="AD39" s="18">
        <v>100</v>
      </c>
      <c r="AE39" s="18">
        <v>85</v>
      </c>
      <c r="AF39" s="71">
        <f t="shared" ref="AF39:AF76" si="2">IFERROR(FIND("-儿童（加收）",C39,1),0)</f>
        <v>0</v>
      </c>
      <c r="AG39" s="71" t="str">
        <f t="shared" ref="AG39:AG76" si="3">SUBSTITUTE(C39,"-儿童（加收）","")</f>
        <v>支气管肺泡灌洗费</v>
      </c>
      <c r="AH39" s="71">
        <f t="shared" ref="AH39:AH50" si="4">IF(AF39&gt;0,_xlfn.MAXIFS(N:N,C:C,SUBSTITUTE(C39,"-儿童（加收）","")),0)+N39</f>
        <v>105</v>
      </c>
      <c r="AI39" s="71">
        <f t="shared" ref="AI39:AI50" si="5">IF(AF39&gt;0,_xlfn.MAXIFS(O:O,C:C,SUBSTITUTE(C39,"-儿童（加收）","")),0)+O39</f>
        <v>95</v>
      </c>
      <c r="AJ39" s="71">
        <f t="shared" ref="AJ39:AJ50" si="6">IF(AF39&gt;0,_xlfn.MAXIFS(P:P,C:C,SUBSTITUTE(C39,"-儿童（加收）","")),0)+P39</f>
        <v>81</v>
      </c>
    </row>
    <row r="40" s="22" customFormat="1" ht="66" customHeight="1" spans="1:36">
      <c r="A40" s="34">
        <v>23</v>
      </c>
      <c r="B40" s="11" t="s">
        <v>252</v>
      </c>
      <c r="C40" s="34" t="s">
        <v>253</v>
      </c>
      <c r="D40" s="38" t="s">
        <v>200</v>
      </c>
      <c r="E40" s="48" t="s">
        <v>254</v>
      </c>
      <c r="F40" s="48" t="s">
        <v>246</v>
      </c>
      <c r="G40" s="34" t="s">
        <v>38</v>
      </c>
      <c r="H40" s="11"/>
      <c r="I40" s="15">
        <v>180</v>
      </c>
      <c r="J40" s="15">
        <v>162</v>
      </c>
      <c r="K40" s="52">
        <v>149.5</v>
      </c>
      <c r="L40" s="52">
        <v>130</v>
      </c>
      <c r="M40" s="52">
        <v>110.5</v>
      </c>
      <c r="N40" s="58">
        <v>165</v>
      </c>
      <c r="O40" s="58">
        <v>150</v>
      </c>
      <c r="P40" s="58">
        <v>130</v>
      </c>
      <c r="Q40" s="62" t="s">
        <v>40</v>
      </c>
      <c r="R40" s="62" t="s">
        <v>39</v>
      </c>
      <c r="S40" s="64" t="s">
        <v>39</v>
      </c>
      <c r="T40" s="52" t="s">
        <v>209</v>
      </c>
      <c r="U40" s="67" t="s">
        <v>255</v>
      </c>
      <c r="V40" s="34" t="s">
        <v>256</v>
      </c>
      <c r="W40" s="34">
        <v>310605003</v>
      </c>
      <c r="X40" s="34" t="s">
        <v>257</v>
      </c>
      <c r="Y40" s="12" t="s">
        <v>258</v>
      </c>
      <c r="Z40" s="12" t="s">
        <v>259</v>
      </c>
      <c r="AA40" s="14" t="s">
        <v>38</v>
      </c>
      <c r="AB40" s="12" t="s">
        <v>260</v>
      </c>
      <c r="AC40" s="18">
        <v>149.5</v>
      </c>
      <c r="AD40" s="18">
        <v>130</v>
      </c>
      <c r="AE40" s="18">
        <v>110.5</v>
      </c>
      <c r="AF40" s="71">
        <f t="shared" si="2"/>
        <v>0</v>
      </c>
      <c r="AG40" s="71" t="str">
        <f t="shared" si="3"/>
        <v>支气管镜治疗费（常规）</v>
      </c>
      <c r="AH40" s="71">
        <f t="shared" si="4"/>
        <v>165</v>
      </c>
      <c r="AI40" s="71">
        <f t="shared" si="5"/>
        <v>150</v>
      </c>
      <c r="AJ40" s="71">
        <f t="shared" si="6"/>
        <v>130</v>
      </c>
    </row>
    <row r="41" s="22" customFormat="1" ht="51" spans="1:36">
      <c r="A41" s="34">
        <v>24</v>
      </c>
      <c r="B41" s="44" t="s">
        <v>261</v>
      </c>
      <c r="C41" s="45" t="s">
        <v>262</v>
      </c>
      <c r="D41" s="38" t="s">
        <v>200</v>
      </c>
      <c r="E41" s="48" t="s">
        <v>263</v>
      </c>
      <c r="F41" s="48" t="s">
        <v>246</v>
      </c>
      <c r="G41" s="34" t="s">
        <v>38</v>
      </c>
      <c r="H41" s="11"/>
      <c r="I41" s="15">
        <v>460</v>
      </c>
      <c r="J41" s="15">
        <v>414</v>
      </c>
      <c r="K41" s="53">
        <v>433.022900763359</v>
      </c>
      <c r="L41" s="53">
        <v>424.979079497908</v>
      </c>
      <c r="M41" s="53">
        <v>323.75</v>
      </c>
      <c r="N41" s="61">
        <v>435</v>
      </c>
      <c r="O41" s="59">
        <v>410</v>
      </c>
      <c r="P41" s="61">
        <v>350</v>
      </c>
      <c r="Q41" s="34" t="s">
        <v>40</v>
      </c>
      <c r="R41" s="34" t="s">
        <v>39</v>
      </c>
      <c r="S41" s="63" t="s">
        <v>39</v>
      </c>
      <c r="T41" s="53" t="s">
        <v>264</v>
      </c>
      <c r="U41" s="48" t="s">
        <v>265</v>
      </c>
      <c r="V41" s="34" t="s">
        <v>266</v>
      </c>
      <c r="W41" s="34">
        <v>310605008</v>
      </c>
      <c r="X41" s="34" t="s">
        <v>267</v>
      </c>
      <c r="Y41" s="12" t="s">
        <v>268</v>
      </c>
      <c r="Z41" s="12" t="s">
        <v>39</v>
      </c>
      <c r="AA41" s="14" t="s">
        <v>38</v>
      </c>
      <c r="AB41" s="12" t="s">
        <v>269</v>
      </c>
      <c r="AC41" s="18">
        <v>325</v>
      </c>
      <c r="AD41" s="18">
        <v>290</v>
      </c>
      <c r="AE41" s="18">
        <v>250</v>
      </c>
      <c r="AF41" s="71">
        <f t="shared" si="2"/>
        <v>0</v>
      </c>
      <c r="AG41" s="71" t="str">
        <f t="shared" si="3"/>
        <v>支气管镜治疗费（特殊）</v>
      </c>
      <c r="AH41" s="71">
        <f t="shared" si="4"/>
        <v>435</v>
      </c>
      <c r="AI41" s="71">
        <f t="shared" si="5"/>
        <v>410</v>
      </c>
      <c r="AJ41" s="71">
        <f t="shared" si="6"/>
        <v>350</v>
      </c>
    </row>
    <row r="42" s="22" customFormat="1" ht="25.5" spans="1:36">
      <c r="A42" s="34"/>
      <c r="B42" s="11"/>
      <c r="C42" s="45" t="s">
        <v>262</v>
      </c>
      <c r="D42" s="38"/>
      <c r="E42" s="48"/>
      <c r="F42" s="48"/>
      <c r="G42" s="34"/>
      <c r="H42" s="11"/>
      <c r="I42" s="54"/>
      <c r="J42" s="54"/>
      <c r="K42" s="53"/>
      <c r="L42" s="53"/>
      <c r="M42" s="53"/>
      <c r="N42" s="61">
        <v>435</v>
      </c>
      <c r="O42" s="59">
        <v>410</v>
      </c>
      <c r="P42" s="61">
        <v>350</v>
      </c>
      <c r="Q42" s="34"/>
      <c r="R42" s="34"/>
      <c r="S42" s="63"/>
      <c r="T42" s="53"/>
      <c r="U42" s="48"/>
      <c r="V42" s="11" t="s">
        <v>270</v>
      </c>
      <c r="W42" s="11">
        <v>31060500801</v>
      </c>
      <c r="X42" s="11" t="s">
        <v>271</v>
      </c>
      <c r="Y42" s="12" t="s">
        <v>39</v>
      </c>
      <c r="Z42" s="12" t="s">
        <v>39</v>
      </c>
      <c r="AA42" s="14" t="s">
        <v>38</v>
      </c>
      <c r="AB42" s="12" t="s">
        <v>272</v>
      </c>
      <c r="AC42" s="18">
        <v>488</v>
      </c>
      <c r="AD42" s="18">
        <v>435</v>
      </c>
      <c r="AE42" s="18">
        <v>375</v>
      </c>
      <c r="AF42" s="71">
        <f t="shared" si="2"/>
        <v>0</v>
      </c>
      <c r="AG42" s="71" t="str">
        <f t="shared" si="3"/>
        <v>支气管镜治疗费（特殊）</v>
      </c>
      <c r="AH42" s="71">
        <f t="shared" si="4"/>
        <v>435</v>
      </c>
      <c r="AI42" s="71">
        <f t="shared" si="5"/>
        <v>410</v>
      </c>
      <c r="AJ42" s="71">
        <f t="shared" si="6"/>
        <v>350</v>
      </c>
    </row>
    <row r="43" s="22" customFormat="1" ht="25.5" spans="1:36">
      <c r="A43" s="34"/>
      <c r="B43" s="11"/>
      <c r="C43" s="45" t="s">
        <v>262</v>
      </c>
      <c r="D43" s="38"/>
      <c r="E43" s="48"/>
      <c r="F43" s="48"/>
      <c r="G43" s="34"/>
      <c r="H43" s="11"/>
      <c r="I43" s="54"/>
      <c r="J43" s="54"/>
      <c r="K43" s="53"/>
      <c r="L43" s="53"/>
      <c r="M43" s="53"/>
      <c r="N43" s="61">
        <v>435</v>
      </c>
      <c r="O43" s="59">
        <v>410</v>
      </c>
      <c r="P43" s="61">
        <v>350</v>
      </c>
      <c r="Q43" s="34"/>
      <c r="R43" s="34"/>
      <c r="S43" s="63"/>
      <c r="T43" s="53"/>
      <c r="U43" s="48"/>
      <c r="V43" s="11" t="s">
        <v>273</v>
      </c>
      <c r="W43" s="11">
        <v>31060500802</v>
      </c>
      <c r="X43" s="11" t="s">
        <v>274</v>
      </c>
      <c r="Y43" s="12" t="s">
        <v>39</v>
      </c>
      <c r="Z43" s="12" t="s">
        <v>39</v>
      </c>
      <c r="AA43" s="14" t="s">
        <v>38</v>
      </c>
      <c r="AB43" s="12" t="s">
        <v>275</v>
      </c>
      <c r="AC43" s="18">
        <v>488</v>
      </c>
      <c r="AD43" s="18">
        <v>435</v>
      </c>
      <c r="AE43" s="18">
        <v>375</v>
      </c>
      <c r="AF43" s="71">
        <f t="shared" si="2"/>
        <v>0</v>
      </c>
      <c r="AG43" s="71" t="str">
        <f t="shared" si="3"/>
        <v>支气管镜治疗费（特殊）</v>
      </c>
      <c r="AH43" s="71">
        <f t="shared" si="4"/>
        <v>435</v>
      </c>
      <c r="AI43" s="71">
        <f t="shared" si="5"/>
        <v>410</v>
      </c>
      <c r="AJ43" s="71">
        <f t="shared" si="6"/>
        <v>350</v>
      </c>
    </row>
    <row r="44" s="22" customFormat="1" ht="25.5" spans="1:36">
      <c r="A44" s="34"/>
      <c r="B44" s="11"/>
      <c r="C44" s="45" t="s">
        <v>262</v>
      </c>
      <c r="D44" s="38"/>
      <c r="E44" s="48"/>
      <c r="F44" s="48"/>
      <c r="G44" s="34"/>
      <c r="H44" s="11"/>
      <c r="I44" s="54"/>
      <c r="J44" s="54"/>
      <c r="K44" s="53"/>
      <c r="L44" s="53"/>
      <c r="M44" s="53"/>
      <c r="N44" s="61">
        <v>435</v>
      </c>
      <c r="O44" s="59">
        <v>410</v>
      </c>
      <c r="P44" s="61">
        <v>350</v>
      </c>
      <c r="Q44" s="34"/>
      <c r="R44" s="34"/>
      <c r="S44" s="63"/>
      <c r="T44" s="53"/>
      <c r="U44" s="48"/>
      <c r="V44" s="11" t="s">
        <v>276</v>
      </c>
      <c r="W44" s="11">
        <v>31060500803</v>
      </c>
      <c r="X44" s="11" t="s">
        <v>277</v>
      </c>
      <c r="Y44" s="12" t="s">
        <v>39</v>
      </c>
      <c r="Z44" s="12" t="s">
        <v>39</v>
      </c>
      <c r="AA44" s="14" t="s">
        <v>38</v>
      </c>
      <c r="AB44" s="12" t="s">
        <v>278</v>
      </c>
      <c r="AC44" s="18">
        <v>488</v>
      </c>
      <c r="AD44" s="18">
        <v>435</v>
      </c>
      <c r="AE44" s="18">
        <v>375</v>
      </c>
      <c r="AF44" s="71">
        <f t="shared" si="2"/>
        <v>0</v>
      </c>
      <c r="AG44" s="71" t="str">
        <f t="shared" si="3"/>
        <v>支气管镜治疗费（特殊）</v>
      </c>
      <c r="AH44" s="71">
        <f t="shared" si="4"/>
        <v>435</v>
      </c>
      <c r="AI44" s="71">
        <f t="shared" si="5"/>
        <v>410</v>
      </c>
      <c r="AJ44" s="71">
        <f t="shared" si="6"/>
        <v>350</v>
      </c>
    </row>
    <row r="45" s="22" customFormat="1" ht="25.5" spans="1:36">
      <c r="A45" s="34"/>
      <c r="B45" s="11"/>
      <c r="C45" s="45" t="s">
        <v>262</v>
      </c>
      <c r="D45" s="38"/>
      <c r="E45" s="48"/>
      <c r="F45" s="48"/>
      <c r="G45" s="34"/>
      <c r="H45" s="11"/>
      <c r="I45" s="54"/>
      <c r="J45" s="54"/>
      <c r="K45" s="53"/>
      <c r="L45" s="53"/>
      <c r="M45" s="53"/>
      <c r="N45" s="61">
        <v>435</v>
      </c>
      <c r="O45" s="59">
        <v>410</v>
      </c>
      <c r="P45" s="61">
        <v>350</v>
      </c>
      <c r="Q45" s="34"/>
      <c r="R45" s="34"/>
      <c r="S45" s="63"/>
      <c r="T45" s="53"/>
      <c r="U45" s="48"/>
      <c r="V45" s="11" t="s">
        <v>279</v>
      </c>
      <c r="W45" s="11">
        <v>31060500804</v>
      </c>
      <c r="X45" s="11" t="s">
        <v>280</v>
      </c>
      <c r="Y45" s="12" t="s">
        <v>39</v>
      </c>
      <c r="Z45" s="12" t="s">
        <v>39</v>
      </c>
      <c r="AA45" s="14" t="s">
        <v>38</v>
      </c>
      <c r="AB45" s="12" t="s">
        <v>281</v>
      </c>
      <c r="AC45" s="18">
        <v>488</v>
      </c>
      <c r="AD45" s="18">
        <v>435</v>
      </c>
      <c r="AE45" s="18">
        <v>375</v>
      </c>
      <c r="AF45" s="71">
        <f t="shared" si="2"/>
        <v>0</v>
      </c>
      <c r="AG45" s="71" t="str">
        <f t="shared" si="3"/>
        <v>支气管镜治疗费（特殊）</v>
      </c>
      <c r="AH45" s="71">
        <f t="shared" si="4"/>
        <v>435</v>
      </c>
      <c r="AI45" s="71">
        <f t="shared" si="5"/>
        <v>410</v>
      </c>
      <c r="AJ45" s="71">
        <f t="shared" si="6"/>
        <v>350</v>
      </c>
    </row>
    <row r="46" s="22" customFormat="1" ht="25.5" spans="1:36">
      <c r="A46" s="34"/>
      <c r="B46" s="11"/>
      <c r="C46" s="45" t="s">
        <v>262</v>
      </c>
      <c r="D46" s="38"/>
      <c r="E46" s="48"/>
      <c r="F46" s="48"/>
      <c r="G46" s="34"/>
      <c r="H46" s="11"/>
      <c r="I46" s="54"/>
      <c r="J46" s="54"/>
      <c r="K46" s="53"/>
      <c r="L46" s="53"/>
      <c r="M46" s="53"/>
      <c r="N46" s="61">
        <v>435</v>
      </c>
      <c r="O46" s="59">
        <v>410</v>
      </c>
      <c r="P46" s="61">
        <v>350</v>
      </c>
      <c r="Q46" s="34"/>
      <c r="R46" s="34"/>
      <c r="S46" s="63"/>
      <c r="T46" s="53"/>
      <c r="U46" s="48"/>
      <c r="V46" s="34" t="s">
        <v>282</v>
      </c>
      <c r="W46" s="34">
        <v>31060600101</v>
      </c>
      <c r="X46" s="34" t="s">
        <v>283</v>
      </c>
      <c r="Y46" s="12" t="s">
        <v>39</v>
      </c>
      <c r="Z46" s="12" t="s">
        <v>39</v>
      </c>
      <c r="AA46" s="14" t="s">
        <v>38</v>
      </c>
      <c r="AB46" s="12" t="s">
        <v>272</v>
      </c>
      <c r="AC46" s="18">
        <v>517.5</v>
      </c>
      <c r="AD46" s="18">
        <v>450</v>
      </c>
      <c r="AE46" s="18">
        <v>382.5</v>
      </c>
      <c r="AF46" s="71">
        <f t="shared" si="2"/>
        <v>0</v>
      </c>
      <c r="AG46" s="71" t="str">
        <f t="shared" si="3"/>
        <v>支气管镜治疗费（特殊）</v>
      </c>
      <c r="AH46" s="71">
        <f t="shared" si="4"/>
        <v>435</v>
      </c>
      <c r="AI46" s="71">
        <f t="shared" si="5"/>
        <v>410</v>
      </c>
      <c r="AJ46" s="71">
        <f t="shared" si="6"/>
        <v>350</v>
      </c>
    </row>
    <row r="47" s="22" customFormat="1" ht="25.5" spans="1:36">
      <c r="A47" s="34"/>
      <c r="B47" s="11"/>
      <c r="C47" s="45" t="s">
        <v>262</v>
      </c>
      <c r="D47" s="38"/>
      <c r="E47" s="48"/>
      <c r="F47" s="48"/>
      <c r="G47" s="34"/>
      <c r="H47" s="11"/>
      <c r="I47" s="54"/>
      <c r="J47" s="54"/>
      <c r="K47" s="53"/>
      <c r="L47" s="53"/>
      <c r="M47" s="53"/>
      <c r="N47" s="61">
        <v>435</v>
      </c>
      <c r="O47" s="59">
        <v>410</v>
      </c>
      <c r="P47" s="61">
        <v>350</v>
      </c>
      <c r="Q47" s="34"/>
      <c r="R47" s="34"/>
      <c r="S47" s="63"/>
      <c r="T47" s="53"/>
      <c r="U47" s="48"/>
      <c r="V47" s="34" t="s">
        <v>284</v>
      </c>
      <c r="W47" s="34">
        <v>31060600102</v>
      </c>
      <c r="X47" s="34" t="s">
        <v>285</v>
      </c>
      <c r="Y47" s="12" t="s">
        <v>39</v>
      </c>
      <c r="Z47" s="12" t="s">
        <v>39</v>
      </c>
      <c r="AA47" s="14" t="s">
        <v>38</v>
      </c>
      <c r="AB47" s="12" t="s">
        <v>286</v>
      </c>
      <c r="AC47" s="18">
        <v>517.5</v>
      </c>
      <c r="AD47" s="18">
        <v>450</v>
      </c>
      <c r="AE47" s="18">
        <v>382.5</v>
      </c>
      <c r="AF47" s="71">
        <f t="shared" si="2"/>
        <v>0</v>
      </c>
      <c r="AG47" s="71" t="str">
        <f t="shared" si="3"/>
        <v>支气管镜治疗费（特殊）</v>
      </c>
      <c r="AH47" s="71">
        <f t="shared" si="4"/>
        <v>435</v>
      </c>
      <c r="AI47" s="71">
        <f t="shared" si="5"/>
        <v>410</v>
      </c>
      <c r="AJ47" s="71">
        <f t="shared" si="6"/>
        <v>350</v>
      </c>
    </row>
    <row r="48" s="22" customFormat="1" ht="25.5" spans="1:36">
      <c r="A48" s="34"/>
      <c r="B48" s="11"/>
      <c r="C48" s="45" t="s">
        <v>262</v>
      </c>
      <c r="D48" s="38"/>
      <c r="E48" s="48"/>
      <c r="F48" s="48"/>
      <c r="G48" s="34"/>
      <c r="H48" s="11"/>
      <c r="I48" s="54"/>
      <c r="J48" s="54"/>
      <c r="K48" s="53"/>
      <c r="L48" s="53"/>
      <c r="M48" s="53"/>
      <c r="N48" s="61">
        <v>435</v>
      </c>
      <c r="O48" s="59">
        <v>410</v>
      </c>
      <c r="P48" s="61">
        <v>350</v>
      </c>
      <c r="Q48" s="34"/>
      <c r="R48" s="34"/>
      <c r="S48" s="63"/>
      <c r="T48" s="53"/>
      <c r="U48" s="48"/>
      <c r="V48" s="34" t="s">
        <v>287</v>
      </c>
      <c r="W48" s="34">
        <v>310606001</v>
      </c>
      <c r="X48" s="34" t="s">
        <v>288</v>
      </c>
      <c r="Y48" s="12" t="s">
        <v>289</v>
      </c>
      <c r="Z48" s="12" t="s">
        <v>290</v>
      </c>
      <c r="AA48" s="14" t="s">
        <v>38</v>
      </c>
      <c r="AB48" s="12" t="s">
        <v>291</v>
      </c>
      <c r="AC48" s="18">
        <v>345</v>
      </c>
      <c r="AD48" s="18">
        <v>300</v>
      </c>
      <c r="AE48" s="18">
        <v>255</v>
      </c>
      <c r="AF48" s="71">
        <f t="shared" si="2"/>
        <v>0</v>
      </c>
      <c r="AG48" s="71" t="str">
        <f t="shared" si="3"/>
        <v>支气管镜治疗费（特殊）</v>
      </c>
      <c r="AH48" s="71">
        <f t="shared" si="4"/>
        <v>435</v>
      </c>
      <c r="AI48" s="71">
        <f t="shared" si="5"/>
        <v>410</v>
      </c>
      <c r="AJ48" s="71">
        <f t="shared" si="6"/>
        <v>350</v>
      </c>
    </row>
    <row r="49" s="22" customFormat="1" ht="25.5" spans="1:36">
      <c r="A49" s="34"/>
      <c r="B49" s="11"/>
      <c r="C49" s="45" t="s">
        <v>262</v>
      </c>
      <c r="D49" s="38"/>
      <c r="E49" s="48"/>
      <c r="F49" s="48"/>
      <c r="G49" s="34"/>
      <c r="H49" s="11"/>
      <c r="I49" s="54"/>
      <c r="J49" s="54"/>
      <c r="K49" s="53"/>
      <c r="L49" s="53"/>
      <c r="M49" s="53"/>
      <c r="N49" s="61">
        <v>435</v>
      </c>
      <c r="O49" s="59">
        <v>410</v>
      </c>
      <c r="P49" s="61">
        <v>350</v>
      </c>
      <c r="Q49" s="34"/>
      <c r="R49" s="34"/>
      <c r="S49" s="63"/>
      <c r="T49" s="53"/>
      <c r="U49" s="48"/>
      <c r="V49" s="34" t="s">
        <v>292</v>
      </c>
      <c r="W49" s="34">
        <v>310605009</v>
      </c>
      <c r="X49" s="34" t="s">
        <v>293</v>
      </c>
      <c r="Y49" s="12" t="s">
        <v>39</v>
      </c>
      <c r="Z49" s="12" t="s">
        <v>294</v>
      </c>
      <c r="AA49" s="14" t="s">
        <v>38</v>
      </c>
      <c r="AB49" s="12" t="s">
        <v>39</v>
      </c>
      <c r="AC49" s="18">
        <v>230</v>
      </c>
      <c r="AD49" s="18">
        <v>200</v>
      </c>
      <c r="AE49" s="18">
        <v>170</v>
      </c>
      <c r="AF49" s="71">
        <f t="shared" si="2"/>
        <v>0</v>
      </c>
      <c r="AG49" s="71" t="str">
        <f t="shared" si="3"/>
        <v>支气管镜治疗费（特殊）</v>
      </c>
      <c r="AH49" s="71">
        <f t="shared" si="4"/>
        <v>435</v>
      </c>
      <c r="AI49" s="71">
        <f t="shared" si="5"/>
        <v>410</v>
      </c>
      <c r="AJ49" s="71">
        <f t="shared" si="6"/>
        <v>350</v>
      </c>
    </row>
    <row r="50" s="22" customFormat="1" ht="67" customHeight="1" spans="1:36">
      <c r="A50" s="34">
        <v>25</v>
      </c>
      <c r="B50" s="46" t="s">
        <v>295</v>
      </c>
      <c r="C50" s="37" t="s">
        <v>296</v>
      </c>
      <c r="D50" s="43" t="s">
        <v>297</v>
      </c>
      <c r="E50" s="48" t="s">
        <v>298</v>
      </c>
      <c r="F50" s="48" t="s">
        <v>299</v>
      </c>
      <c r="G50" s="37" t="s">
        <v>38</v>
      </c>
      <c r="H50" s="46"/>
      <c r="I50" s="15">
        <v>780</v>
      </c>
      <c r="J50" s="15">
        <v>702</v>
      </c>
      <c r="K50" s="52">
        <v>545</v>
      </c>
      <c r="L50" s="52">
        <v>490</v>
      </c>
      <c r="M50" s="52">
        <v>420</v>
      </c>
      <c r="N50" s="58">
        <v>710</v>
      </c>
      <c r="O50" s="58">
        <v>640</v>
      </c>
      <c r="P50" s="58">
        <v>545</v>
      </c>
      <c r="Q50" s="37" t="s">
        <v>40</v>
      </c>
      <c r="R50" s="37" t="s">
        <v>39</v>
      </c>
      <c r="S50" s="65" t="s">
        <v>39</v>
      </c>
      <c r="T50" s="52" t="s">
        <v>209</v>
      </c>
      <c r="U50" s="48" t="s">
        <v>300</v>
      </c>
      <c r="V50" s="34" t="s">
        <v>301</v>
      </c>
      <c r="W50" s="37">
        <v>310605010</v>
      </c>
      <c r="X50" s="37" t="s">
        <v>302</v>
      </c>
      <c r="Y50" s="12" t="s">
        <v>303</v>
      </c>
      <c r="Z50" s="12" t="s">
        <v>304</v>
      </c>
      <c r="AA50" s="14" t="s">
        <v>38</v>
      </c>
      <c r="AB50" s="12" t="s">
        <v>39</v>
      </c>
      <c r="AC50" s="18">
        <v>545</v>
      </c>
      <c r="AD50" s="18">
        <v>490</v>
      </c>
      <c r="AE50" s="18">
        <v>420</v>
      </c>
      <c r="AF50" s="71">
        <f t="shared" si="2"/>
        <v>0</v>
      </c>
      <c r="AG50" s="71" t="str">
        <f t="shared" si="3"/>
        <v>气道支架置入费</v>
      </c>
      <c r="AH50" s="71">
        <f t="shared" si="4"/>
        <v>710</v>
      </c>
      <c r="AI50" s="71">
        <f t="shared" si="5"/>
        <v>640</v>
      </c>
      <c r="AJ50" s="71">
        <f t="shared" si="6"/>
        <v>545</v>
      </c>
    </row>
    <row r="51" s="22" customFormat="1" ht="63" customHeight="1" spans="1:36">
      <c r="A51" s="34">
        <v>26</v>
      </c>
      <c r="B51" s="11" t="s">
        <v>307</v>
      </c>
      <c r="C51" s="34" t="s">
        <v>308</v>
      </c>
      <c r="D51" s="38" t="s">
        <v>297</v>
      </c>
      <c r="E51" s="48" t="s">
        <v>309</v>
      </c>
      <c r="F51" s="48" t="s">
        <v>310</v>
      </c>
      <c r="G51" s="34" t="s">
        <v>38</v>
      </c>
      <c r="H51" s="34" t="s">
        <v>39</v>
      </c>
      <c r="I51" s="15">
        <v>780</v>
      </c>
      <c r="J51" s="15">
        <v>702</v>
      </c>
      <c r="K51" s="52">
        <v>545</v>
      </c>
      <c r="L51" s="52">
        <v>490</v>
      </c>
      <c r="M51" s="52">
        <v>420</v>
      </c>
      <c r="N51" s="58">
        <v>710</v>
      </c>
      <c r="O51" s="58">
        <v>640</v>
      </c>
      <c r="P51" s="58">
        <v>545</v>
      </c>
      <c r="Q51" s="37" t="s">
        <v>40</v>
      </c>
      <c r="R51" s="37" t="s">
        <v>39</v>
      </c>
      <c r="S51" s="65" t="s">
        <v>39</v>
      </c>
      <c r="T51" s="52" t="s">
        <v>209</v>
      </c>
      <c r="U51" s="48" t="s">
        <v>300</v>
      </c>
      <c r="V51" s="34" t="s">
        <v>311</v>
      </c>
      <c r="W51" s="38">
        <v>31060501001</v>
      </c>
      <c r="X51" s="38" t="s">
        <v>312</v>
      </c>
      <c r="Y51" s="12" t="s">
        <v>39</v>
      </c>
      <c r="Z51" s="12" t="s">
        <v>39</v>
      </c>
      <c r="AA51" s="14" t="s">
        <v>38</v>
      </c>
      <c r="AB51" s="12" t="s">
        <v>39</v>
      </c>
      <c r="AC51" s="18">
        <v>545</v>
      </c>
      <c r="AD51" s="18">
        <v>490</v>
      </c>
      <c r="AE51" s="18">
        <v>420</v>
      </c>
      <c r="AF51" s="71">
        <f t="shared" si="2"/>
        <v>0</v>
      </c>
      <c r="AG51" s="71" t="str">
        <f t="shared" si="3"/>
        <v>气道支架取出费</v>
      </c>
      <c r="AH51" s="71">
        <f>IF(AF51&gt;0,_xlfn.MAXIFS(N:N,C:C,SUBSTITUTE(C51,"-儿童（加收）","")),0)+N51</f>
        <v>710</v>
      </c>
      <c r="AI51" s="71">
        <f>IF(AF51&gt;0,_xlfn.MAXIFS(O:O,C:C,SUBSTITUTE(C51,"-儿童（加收）","")),0)+O51</f>
        <v>640</v>
      </c>
      <c r="AJ51" s="71">
        <f>IF(AF51&gt;0,_xlfn.MAXIFS(P:P,C:C,SUBSTITUTE(C51,"-儿童（加收）","")),0)+P51</f>
        <v>545</v>
      </c>
    </row>
    <row r="52" s="22" customFormat="1" ht="72" customHeight="1" spans="1:36">
      <c r="A52" s="34">
        <v>27</v>
      </c>
      <c r="B52" s="11" t="s">
        <v>315</v>
      </c>
      <c r="C52" s="34" t="s">
        <v>316</v>
      </c>
      <c r="D52" s="38" t="s">
        <v>297</v>
      </c>
      <c r="E52" s="48" t="s">
        <v>317</v>
      </c>
      <c r="F52" s="48" t="s">
        <v>318</v>
      </c>
      <c r="G52" s="34" t="s">
        <v>38</v>
      </c>
      <c r="H52" s="34" t="s">
        <v>319</v>
      </c>
      <c r="I52" s="15">
        <v>1040</v>
      </c>
      <c r="J52" s="15">
        <v>936</v>
      </c>
      <c r="K52" s="52">
        <v>625</v>
      </c>
      <c r="L52" s="52">
        <v>600</v>
      </c>
      <c r="M52" s="52">
        <v>510</v>
      </c>
      <c r="N52" s="58">
        <v>950</v>
      </c>
      <c r="O52" s="58">
        <v>855</v>
      </c>
      <c r="P52" s="58">
        <v>725</v>
      </c>
      <c r="Q52" s="34" t="s">
        <v>40</v>
      </c>
      <c r="R52" s="34" t="s">
        <v>39</v>
      </c>
      <c r="S52" s="63" t="s">
        <v>39</v>
      </c>
      <c r="T52" s="52" t="s">
        <v>209</v>
      </c>
      <c r="U52" s="48" t="s">
        <v>300</v>
      </c>
      <c r="V52" s="34" t="s">
        <v>320</v>
      </c>
      <c r="W52" s="34">
        <v>330703024</v>
      </c>
      <c r="X52" s="34" t="s">
        <v>321</v>
      </c>
      <c r="Y52" s="12" t="s">
        <v>39</v>
      </c>
      <c r="Z52" s="12" t="s">
        <v>39</v>
      </c>
      <c r="AA52" s="14" t="s">
        <v>38</v>
      </c>
      <c r="AB52" s="12" t="s">
        <v>39</v>
      </c>
      <c r="AC52" s="18">
        <v>625</v>
      </c>
      <c r="AD52" s="18">
        <v>600</v>
      </c>
      <c r="AE52" s="18">
        <v>510</v>
      </c>
      <c r="AF52" s="71">
        <f t="shared" si="2"/>
        <v>0</v>
      </c>
      <c r="AG52" s="71" t="str">
        <f t="shared" si="3"/>
        <v>无创气管食管瘘修补费</v>
      </c>
      <c r="AH52" s="71">
        <f>IF(AF52&gt;0,_xlfn.MAXIFS(N:N,C:C,SUBSTITUTE(C52,"-儿童（加收）","")),0)+N52</f>
        <v>950</v>
      </c>
      <c r="AI52" s="71">
        <f>IF(AF52&gt;0,_xlfn.MAXIFS(O:O,C:C,SUBSTITUTE(C52,"-儿童（加收）","")),0)+O52</f>
        <v>855</v>
      </c>
      <c r="AJ52" s="71">
        <f>IF(AF52&gt;0,_xlfn.MAXIFS(P:P,C:C,SUBSTITUTE(C52,"-儿童（加收）","")),0)+P52</f>
        <v>725</v>
      </c>
    </row>
    <row r="53" s="22" customFormat="1" ht="36" customHeight="1" spans="1:36">
      <c r="A53" s="34" t="s">
        <v>68</v>
      </c>
      <c r="B53" s="11" t="s">
        <v>322</v>
      </c>
      <c r="C53" s="34" t="s">
        <v>323</v>
      </c>
      <c r="D53" s="38" t="s">
        <v>297</v>
      </c>
      <c r="E53" s="48" t="s">
        <v>39</v>
      </c>
      <c r="F53" s="48" t="s">
        <v>39</v>
      </c>
      <c r="G53" s="34" t="s">
        <v>38</v>
      </c>
      <c r="H53" s="34" t="s">
        <v>39</v>
      </c>
      <c r="I53" s="15">
        <v>312</v>
      </c>
      <c r="J53" s="15">
        <v>281</v>
      </c>
      <c r="K53" s="52"/>
      <c r="L53" s="52"/>
      <c r="M53" s="52"/>
      <c r="N53" s="18">
        <v>285</v>
      </c>
      <c r="O53" s="18">
        <v>255</v>
      </c>
      <c r="P53" s="18">
        <v>215</v>
      </c>
      <c r="Q53" s="34" t="s">
        <v>40</v>
      </c>
      <c r="R53" s="34" t="s">
        <v>39</v>
      </c>
      <c r="S53" s="63" t="s">
        <v>39</v>
      </c>
      <c r="T53" s="52"/>
      <c r="U53" s="48" t="s">
        <v>71</v>
      </c>
      <c r="V53" s="11" t="s">
        <v>324</v>
      </c>
      <c r="W53" s="11">
        <v>33070302401</v>
      </c>
      <c r="X53" s="11" t="s">
        <v>325</v>
      </c>
      <c r="Y53" s="12" t="s">
        <v>39</v>
      </c>
      <c r="Z53" s="12" t="s">
        <v>39</v>
      </c>
      <c r="AA53" s="14" t="s">
        <v>38</v>
      </c>
      <c r="AB53" s="12" t="s">
        <v>39</v>
      </c>
      <c r="AC53" s="18">
        <v>815</v>
      </c>
      <c r="AD53" s="18">
        <v>780</v>
      </c>
      <c r="AE53" s="18">
        <v>665</v>
      </c>
      <c r="AF53" s="71">
        <f t="shared" si="2"/>
        <v>11</v>
      </c>
      <c r="AG53" s="71" t="str">
        <f t="shared" si="3"/>
        <v>无创气管食管瘘修补费</v>
      </c>
      <c r="AH53" s="71">
        <f>IF(AF53&gt;0,_xlfn.MAXIFS(N:N,C:C,SUBSTITUTE(C53,"-儿童（加收）","")),0)+N53</f>
        <v>1235</v>
      </c>
      <c r="AI53" s="71">
        <f>IF(AF53&gt;0,_xlfn.MAXIFS(O:O,C:C,SUBSTITUTE(C53,"-儿童（加收）","")),0)+O53</f>
        <v>1110</v>
      </c>
      <c r="AJ53" s="71">
        <f>IF(AF53&gt;0,_xlfn.MAXIFS(P:P,C:C,SUBSTITUTE(C53,"-儿童（加收）","")),0)+P53</f>
        <v>940</v>
      </c>
    </row>
    <row r="54" s="22" customFormat="1" ht="55" customHeight="1" spans="1:36">
      <c r="A54" s="34">
        <v>28</v>
      </c>
      <c r="B54" s="11" t="s">
        <v>326</v>
      </c>
      <c r="C54" s="34" t="s">
        <v>327</v>
      </c>
      <c r="D54" s="38" t="s">
        <v>297</v>
      </c>
      <c r="E54" s="48" t="s">
        <v>328</v>
      </c>
      <c r="F54" s="48" t="s">
        <v>329</v>
      </c>
      <c r="G54" s="34" t="s">
        <v>38</v>
      </c>
      <c r="H54" s="34" t="s">
        <v>39</v>
      </c>
      <c r="I54" s="15">
        <v>1090</v>
      </c>
      <c r="J54" s="15">
        <v>981</v>
      </c>
      <c r="K54" s="52">
        <v>575</v>
      </c>
      <c r="L54" s="52">
        <v>500</v>
      </c>
      <c r="M54" s="52">
        <v>425</v>
      </c>
      <c r="N54" s="58">
        <v>1000</v>
      </c>
      <c r="O54" s="58">
        <v>900</v>
      </c>
      <c r="P54" s="58">
        <v>765</v>
      </c>
      <c r="Q54" s="34" t="s">
        <v>40</v>
      </c>
      <c r="R54" s="34" t="s">
        <v>39</v>
      </c>
      <c r="S54" s="63" t="s">
        <v>39</v>
      </c>
      <c r="T54" s="52" t="s">
        <v>209</v>
      </c>
      <c r="U54" s="48" t="s">
        <v>300</v>
      </c>
      <c r="V54" s="34" t="s">
        <v>330</v>
      </c>
      <c r="W54" s="34">
        <v>310605012</v>
      </c>
      <c r="X54" s="34" t="s">
        <v>331</v>
      </c>
      <c r="Y54" s="12" t="s">
        <v>39</v>
      </c>
      <c r="Z54" s="12" t="s">
        <v>39</v>
      </c>
      <c r="AA54" s="14" t="s">
        <v>38</v>
      </c>
      <c r="AB54" s="12" t="s">
        <v>39</v>
      </c>
      <c r="AC54" s="18">
        <v>575</v>
      </c>
      <c r="AD54" s="18">
        <v>500</v>
      </c>
      <c r="AE54" s="18">
        <v>425</v>
      </c>
      <c r="AF54" s="71">
        <f t="shared" si="2"/>
        <v>0</v>
      </c>
      <c r="AG54" s="71" t="str">
        <f t="shared" si="3"/>
        <v>无创气管病变切除费</v>
      </c>
      <c r="AH54" s="71">
        <f>IF(AF54&gt;0,_xlfn.MAXIFS(N:N,C:C,SUBSTITUTE(C54,"-儿童（加收）","")),0)+N54</f>
        <v>1000</v>
      </c>
      <c r="AI54" s="71">
        <f>IF(AF54&gt;0,_xlfn.MAXIFS(O:O,C:C,SUBSTITUTE(C54,"-儿童（加收）","")),0)+O54</f>
        <v>900</v>
      </c>
      <c r="AJ54" s="71">
        <f>IF(AF54&gt;0,_xlfn.MAXIFS(P:P,C:C,SUBSTITUTE(C54,"-儿童（加收）","")),0)+P54</f>
        <v>765</v>
      </c>
    </row>
    <row r="55" s="22" customFormat="1" ht="35" customHeight="1" spans="1:36">
      <c r="A55" s="34">
        <v>30</v>
      </c>
      <c r="B55" s="11" t="s">
        <v>340</v>
      </c>
      <c r="C55" s="37" t="s">
        <v>341</v>
      </c>
      <c r="D55" s="38" t="s">
        <v>297</v>
      </c>
      <c r="E55" s="48" t="s">
        <v>342</v>
      </c>
      <c r="F55" s="48" t="s">
        <v>343</v>
      </c>
      <c r="G55" s="34" t="s">
        <v>38</v>
      </c>
      <c r="H55" s="34" t="s">
        <v>39</v>
      </c>
      <c r="I55" s="15">
        <v>360</v>
      </c>
      <c r="J55" s="15">
        <v>324</v>
      </c>
      <c r="K55" s="52">
        <v>299</v>
      </c>
      <c r="L55" s="52">
        <v>260</v>
      </c>
      <c r="M55" s="52">
        <v>221</v>
      </c>
      <c r="N55" s="59">
        <v>330</v>
      </c>
      <c r="O55" s="59">
        <v>300</v>
      </c>
      <c r="P55" s="59">
        <v>260</v>
      </c>
      <c r="Q55" s="34" t="s">
        <v>40</v>
      </c>
      <c r="R55" s="34" t="s">
        <v>39</v>
      </c>
      <c r="S55" s="63" t="s">
        <v>39</v>
      </c>
      <c r="T55" s="52" t="s">
        <v>344</v>
      </c>
      <c r="U55" s="48" t="s">
        <v>345</v>
      </c>
      <c r="V55" s="34" t="s">
        <v>256</v>
      </c>
      <c r="W55" s="34">
        <v>310605003</v>
      </c>
      <c r="X55" s="34" t="s">
        <v>257</v>
      </c>
      <c r="Y55" s="12" t="s">
        <v>258</v>
      </c>
      <c r="Z55" s="12" t="s">
        <v>259</v>
      </c>
      <c r="AA55" s="14" t="s">
        <v>38</v>
      </c>
      <c r="AB55" s="12" t="s">
        <v>260</v>
      </c>
      <c r="AC55" s="18">
        <v>149.5</v>
      </c>
      <c r="AD55" s="18">
        <v>130</v>
      </c>
      <c r="AE55" s="18">
        <v>110.5</v>
      </c>
      <c r="AF55" s="71">
        <f t="shared" si="2"/>
        <v>0</v>
      </c>
      <c r="AG55" s="71" t="str">
        <f t="shared" si="3"/>
        <v>无创气管异物取出费</v>
      </c>
      <c r="AH55" s="71">
        <f>IF(AF55&gt;0,_xlfn.MAXIFS(N:N,C:C,SUBSTITUTE(C55,"-儿童（加收）","")),0)+N55</f>
        <v>330</v>
      </c>
      <c r="AI55" s="71">
        <f>IF(AF55&gt;0,_xlfn.MAXIFS(O:O,C:C,SUBSTITUTE(C55,"-儿童（加收）","")),0)+O55</f>
        <v>300</v>
      </c>
      <c r="AJ55" s="71">
        <f>IF(AF55&gt;0,_xlfn.MAXIFS(P:P,C:C,SUBSTITUTE(C55,"-儿童（加收）","")),0)+P55</f>
        <v>260</v>
      </c>
    </row>
    <row r="56" s="22" customFormat="1" ht="35" customHeight="1" spans="1:36">
      <c r="A56" s="34"/>
      <c r="B56" s="11"/>
      <c r="C56" s="37" t="s">
        <v>341</v>
      </c>
      <c r="D56" s="38"/>
      <c r="E56" s="48"/>
      <c r="F56" s="48"/>
      <c r="G56" s="34"/>
      <c r="H56" s="34"/>
      <c r="I56" s="54"/>
      <c r="J56" s="54"/>
      <c r="K56" s="52"/>
      <c r="L56" s="52"/>
      <c r="M56" s="52"/>
      <c r="N56" s="59">
        <v>330</v>
      </c>
      <c r="O56" s="59">
        <v>300</v>
      </c>
      <c r="P56" s="59">
        <v>260</v>
      </c>
      <c r="Q56" s="34"/>
      <c r="R56" s="34"/>
      <c r="S56" s="63"/>
      <c r="T56" s="52"/>
      <c r="U56" s="48"/>
      <c r="V56" s="34" t="s">
        <v>346</v>
      </c>
      <c r="W56" s="34">
        <v>31060500301</v>
      </c>
      <c r="X56" s="34" t="s">
        <v>347</v>
      </c>
      <c r="Y56" s="12" t="s">
        <v>39</v>
      </c>
      <c r="Z56" s="12" t="s">
        <v>39</v>
      </c>
      <c r="AA56" s="14" t="s">
        <v>38</v>
      </c>
      <c r="AB56" s="12" t="s">
        <v>348</v>
      </c>
      <c r="AC56" s="18">
        <v>149.5</v>
      </c>
      <c r="AD56" s="18">
        <v>130</v>
      </c>
      <c r="AE56" s="18">
        <v>110.5</v>
      </c>
      <c r="AF56" s="71">
        <f t="shared" si="2"/>
        <v>0</v>
      </c>
      <c r="AG56" s="71" t="str">
        <f t="shared" si="3"/>
        <v>无创气管异物取出费</v>
      </c>
      <c r="AH56" s="71">
        <f>IF(AF56&gt;0,_xlfn.MAXIFS(N:N,C:C,SUBSTITUTE(C56,"-儿童（加收）","")),0)+N56</f>
        <v>330</v>
      </c>
      <c r="AI56" s="71">
        <f>IF(AF56&gt;0,_xlfn.MAXIFS(O:O,C:C,SUBSTITUTE(C56,"-儿童（加收）","")),0)+O56</f>
        <v>300</v>
      </c>
      <c r="AJ56" s="71">
        <f>IF(AF56&gt;0,_xlfn.MAXIFS(P:P,C:C,SUBSTITUTE(C56,"-儿童（加收）","")),0)+P56</f>
        <v>260</v>
      </c>
    </row>
    <row r="57" s="22" customFormat="1" ht="38.25" spans="1:36">
      <c r="A57" s="34">
        <v>31</v>
      </c>
      <c r="B57" s="11" t="s">
        <v>351</v>
      </c>
      <c r="C57" s="37" t="s">
        <v>352</v>
      </c>
      <c r="D57" s="38" t="s">
        <v>297</v>
      </c>
      <c r="E57" s="48" t="s">
        <v>353</v>
      </c>
      <c r="F57" s="48" t="s">
        <v>354</v>
      </c>
      <c r="G57" s="34" t="s">
        <v>38</v>
      </c>
      <c r="H57" s="34" t="s">
        <v>39</v>
      </c>
      <c r="I57" s="15">
        <v>5274</v>
      </c>
      <c r="J57" s="15">
        <v>4747</v>
      </c>
      <c r="K57" s="52">
        <v>3930</v>
      </c>
      <c r="L57" s="52">
        <v>3540</v>
      </c>
      <c r="M57" s="52">
        <v>3010</v>
      </c>
      <c r="N57" s="59">
        <v>4750</v>
      </c>
      <c r="O57" s="59">
        <v>4300</v>
      </c>
      <c r="P57" s="59">
        <v>3650</v>
      </c>
      <c r="Q57" s="62" t="s">
        <v>40</v>
      </c>
      <c r="R57" s="62" t="s">
        <v>39</v>
      </c>
      <c r="S57" s="64" t="s">
        <v>39</v>
      </c>
      <c r="T57" s="52" t="s">
        <v>344</v>
      </c>
      <c r="U57" s="67" t="s">
        <v>355</v>
      </c>
      <c r="V57" s="34" t="s">
        <v>356</v>
      </c>
      <c r="W57" s="34">
        <v>330701042</v>
      </c>
      <c r="X57" s="34" t="s">
        <v>357</v>
      </c>
      <c r="Y57" s="12" t="s">
        <v>358</v>
      </c>
      <c r="Z57" s="12" t="s">
        <v>39</v>
      </c>
      <c r="AA57" s="14" t="s">
        <v>38</v>
      </c>
      <c r="AB57" s="12" t="s">
        <v>359</v>
      </c>
      <c r="AC57" s="18">
        <v>3930</v>
      </c>
      <c r="AD57" s="18">
        <v>3540</v>
      </c>
      <c r="AE57" s="18">
        <v>3010</v>
      </c>
      <c r="AF57" s="71">
        <f t="shared" si="2"/>
        <v>0</v>
      </c>
      <c r="AG57" s="71" t="str">
        <f t="shared" si="3"/>
        <v>气管成形费</v>
      </c>
      <c r="AH57" s="71">
        <f>IF(AF57&gt;0,_xlfn.MAXIFS(N:N,C:C,SUBSTITUTE(C57,"-儿童（加收）","")),0)+N57</f>
        <v>4750</v>
      </c>
      <c r="AI57" s="71">
        <f>IF(AF57&gt;0,_xlfn.MAXIFS(O:O,C:C,SUBSTITUTE(C57,"-儿童（加收）","")),0)+O57</f>
        <v>4300</v>
      </c>
      <c r="AJ57" s="71">
        <f>IF(AF57&gt;0,_xlfn.MAXIFS(P:P,C:C,SUBSTITUTE(C57,"-儿童（加收）","")),0)+P57</f>
        <v>3650</v>
      </c>
    </row>
    <row r="58" s="22" customFormat="1" ht="25.5" spans="1:36">
      <c r="A58" s="34"/>
      <c r="B58" s="11"/>
      <c r="C58" s="37" t="s">
        <v>352</v>
      </c>
      <c r="D58" s="38"/>
      <c r="E58" s="48"/>
      <c r="F58" s="48"/>
      <c r="G58" s="34"/>
      <c r="H58" s="34"/>
      <c r="I58" s="54"/>
      <c r="J58" s="54"/>
      <c r="K58" s="52"/>
      <c r="L58" s="52"/>
      <c r="M58" s="52"/>
      <c r="N58" s="59">
        <v>4750</v>
      </c>
      <c r="O58" s="59">
        <v>4300</v>
      </c>
      <c r="P58" s="59">
        <v>3650</v>
      </c>
      <c r="Q58" s="62"/>
      <c r="R58" s="62"/>
      <c r="S58" s="64"/>
      <c r="T58" s="52"/>
      <c r="U58" s="67"/>
      <c r="V58" s="11" t="s">
        <v>360</v>
      </c>
      <c r="W58" s="11">
        <v>33070104202</v>
      </c>
      <c r="X58" s="11" t="s">
        <v>361</v>
      </c>
      <c r="Y58" s="12" t="s">
        <v>39</v>
      </c>
      <c r="Z58" s="12" t="s">
        <v>39</v>
      </c>
      <c r="AA58" s="14" t="s">
        <v>38</v>
      </c>
      <c r="AB58" s="12" t="s">
        <v>39</v>
      </c>
      <c r="AC58" s="18">
        <v>1150</v>
      </c>
      <c r="AD58" s="18">
        <v>1040</v>
      </c>
      <c r="AE58" s="18">
        <v>885</v>
      </c>
      <c r="AF58" s="71">
        <f t="shared" si="2"/>
        <v>0</v>
      </c>
      <c r="AG58" s="71" t="str">
        <f t="shared" si="3"/>
        <v>气管成形费</v>
      </c>
      <c r="AH58" s="71">
        <f>IF(AF58&gt;0,_xlfn.MAXIFS(N:N,C:C,SUBSTITUTE(C58,"-儿童（加收）","")),0)+N58</f>
        <v>4750</v>
      </c>
      <c r="AI58" s="71">
        <f>IF(AF58&gt;0,_xlfn.MAXIFS(O:O,C:C,SUBSTITUTE(C58,"-儿童（加收）","")),0)+O58</f>
        <v>4300</v>
      </c>
      <c r="AJ58" s="71">
        <f>IF(AF58&gt;0,_xlfn.MAXIFS(P:P,C:C,SUBSTITUTE(C58,"-儿童（加收）","")),0)+P58</f>
        <v>3650</v>
      </c>
    </row>
    <row r="59" s="22" customFormat="1" ht="25.5" spans="1:36">
      <c r="A59" s="34"/>
      <c r="B59" s="11"/>
      <c r="C59" s="37" t="s">
        <v>352</v>
      </c>
      <c r="D59" s="38"/>
      <c r="E59" s="48"/>
      <c r="F59" s="48"/>
      <c r="G59" s="34"/>
      <c r="H59" s="34"/>
      <c r="I59" s="54"/>
      <c r="J59" s="54"/>
      <c r="K59" s="52"/>
      <c r="L59" s="52"/>
      <c r="M59" s="52"/>
      <c r="N59" s="59">
        <v>4750</v>
      </c>
      <c r="O59" s="59">
        <v>4300</v>
      </c>
      <c r="P59" s="59">
        <v>3650</v>
      </c>
      <c r="Q59" s="62"/>
      <c r="R59" s="62"/>
      <c r="S59" s="64"/>
      <c r="T59" s="52"/>
      <c r="U59" s="67"/>
      <c r="V59" s="34" t="s">
        <v>362</v>
      </c>
      <c r="W59" s="34">
        <v>330701039</v>
      </c>
      <c r="X59" s="34" t="s">
        <v>363</v>
      </c>
      <c r="Y59" s="12" t="s">
        <v>39</v>
      </c>
      <c r="Z59" s="12" t="s">
        <v>39</v>
      </c>
      <c r="AA59" s="14" t="s">
        <v>38</v>
      </c>
      <c r="AB59" s="12" t="s">
        <v>39</v>
      </c>
      <c r="AC59" s="18">
        <v>1625</v>
      </c>
      <c r="AD59" s="18">
        <v>1560</v>
      </c>
      <c r="AE59" s="18">
        <v>1326</v>
      </c>
      <c r="AF59" s="71">
        <f t="shared" si="2"/>
        <v>0</v>
      </c>
      <c r="AG59" s="71" t="str">
        <f t="shared" si="3"/>
        <v>气管成形费</v>
      </c>
      <c r="AH59" s="71">
        <f>IF(AF59&gt;0,_xlfn.MAXIFS(N:N,C:C,SUBSTITUTE(C59,"-儿童（加收）","")),0)+N59</f>
        <v>4750</v>
      </c>
      <c r="AI59" s="71">
        <f>IF(AF59&gt;0,_xlfn.MAXIFS(O:O,C:C,SUBSTITUTE(C59,"-儿童（加收）","")),0)+O59</f>
        <v>4300</v>
      </c>
      <c r="AJ59" s="71">
        <f>IF(AF59&gt;0,_xlfn.MAXIFS(P:P,C:C,SUBSTITUTE(C59,"-儿童（加收）","")),0)+P59</f>
        <v>3650</v>
      </c>
    </row>
    <row r="60" s="22" customFormat="1" ht="25.5" spans="1:36">
      <c r="A60" s="34" t="s">
        <v>68</v>
      </c>
      <c r="B60" s="11" t="s">
        <v>364</v>
      </c>
      <c r="C60" s="37" t="s">
        <v>365</v>
      </c>
      <c r="D60" s="38" t="s">
        <v>297</v>
      </c>
      <c r="E60" s="48" t="s">
        <v>39</v>
      </c>
      <c r="F60" s="48" t="s">
        <v>39</v>
      </c>
      <c r="G60" s="34" t="s">
        <v>38</v>
      </c>
      <c r="H60" s="34" t="s">
        <v>39</v>
      </c>
      <c r="I60" s="15">
        <v>1582</v>
      </c>
      <c r="J60" s="15">
        <v>1424</v>
      </c>
      <c r="K60" s="52"/>
      <c r="L60" s="52"/>
      <c r="M60" s="52"/>
      <c r="N60" s="61">
        <v>1425</v>
      </c>
      <c r="O60" s="61">
        <v>1290</v>
      </c>
      <c r="P60" s="61">
        <v>1095</v>
      </c>
      <c r="Q60" s="34" t="s">
        <v>40</v>
      </c>
      <c r="R60" s="34" t="s">
        <v>39</v>
      </c>
      <c r="S60" s="63" t="s">
        <v>39</v>
      </c>
      <c r="T60" s="52"/>
      <c r="U60" s="48" t="s">
        <v>71</v>
      </c>
      <c r="V60" s="11" t="s">
        <v>366</v>
      </c>
      <c r="W60" s="11">
        <v>33070104201</v>
      </c>
      <c r="X60" s="11" t="s">
        <v>367</v>
      </c>
      <c r="Y60" s="12" t="s">
        <v>39</v>
      </c>
      <c r="Z60" s="12" t="s">
        <v>39</v>
      </c>
      <c r="AA60" s="14" t="s">
        <v>38</v>
      </c>
      <c r="AB60" s="12" t="s">
        <v>39</v>
      </c>
      <c r="AC60" s="18">
        <v>5110</v>
      </c>
      <c r="AD60" s="18">
        <v>4600</v>
      </c>
      <c r="AE60" s="18">
        <v>3910</v>
      </c>
      <c r="AF60" s="71">
        <f t="shared" si="2"/>
        <v>6</v>
      </c>
      <c r="AG60" s="71" t="str">
        <f t="shared" si="3"/>
        <v>气管成形费</v>
      </c>
      <c r="AH60" s="71">
        <f>IF(AF60&gt;0,_xlfn.MAXIFS(N:N,C:C,SUBSTITUTE(C60,"-儿童（加收）","")),0)+N60</f>
        <v>6175</v>
      </c>
      <c r="AI60" s="71">
        <f>IF(AF60&gt;0,_xlfn.MAXIFS(O:O,C:C,SUBSTITUTE(C60,"-儿童（加收）","")),0)+O60</f>
        <v>5590</v>
      </c>
      <c r="AJ60" s="71">
        <f>IF(AF60&gt;0,_xlfn.MAXIFS(P:P,C:C,SUBSTITUTE(C60,"-儿童（加收）","")),0)+P60</f>
        <v>4745</v>
      </c>
    </row>
    <row r="61" s="22" customFormat="1" ht="25.5" spans="1:36">
      <c r="A61" s="34"/>
      <c r="B61" s="11"/>
      <c r="C61" s="37" t="s">
        <v>365</v>
      </c>
      <c r="D61" s="38"/>
      <c r="E61" s="48"/>
      <c r="F61" s="48"/>
      <c r="G61" s="34"/>
      <c r="H61" s="34"/>
      <c r="I61" s="54"/>
      <c r="J61" s="54"/>
      <c r="K61" s="52"/>
      <c r="L61" s="52"/>
      <c r="M61" s="52"/>
      <c r="N61" s="61">
        <v>1425</v>
      </c>
      <c r="O61" s="61">
        <v>1290</v>
      </c>
      <c r="P61" s="61">
        <v>1095</v>
      </c>
      <c r="Q61" s="34"/>
      <c r="R61" s="34"/>
      <c r="S61" s="63"/>
      <c r="T61" s="52"/>
      <c r="U61" s="48"/>
      <c r="V61" s="11" t="s">
        <v>368</v>
      </c>
      <c r="W61" s="11">
        <v>33070104203</v>
      </c>
      <c r="X61" s="11" t="s">
        <v>369</v>
      </c>
      <c r="Y61" s="12" t="s">
        <v>39</v>
      </c>
      <c r="Z61" s="12" t="s">
        <v>39</v>
      </c>
      <c r="AA61" s="14" t="s">
        <v>38</v>
      </c>
      <c r="AB61" s="12" t="s">
        <v>39</v>
      </c>
      <c r="AC61" s="18">
        <v>1495</v>
      </c>
      <c r="AD61" s="18">
        <v>1350</v>
      </c>
      <c r="AE61" s="18">
        <v>1150</v>
      </c>
      <c r="AF61" s="71">
        <f t="shared" si="2"/>
        <v>6</v>
      </c>
      <c r="AG61" s="71" t="str">
        <f t="shared" si="3"/>
        <v>气管成形费</v>
      </c>
      <c r="AH61" s="71">
        <f>IF(AF61&gt;0,_xlfn.MAXIFS(N:N,C:C,SUBSTITUTE(C61,"-儿童（加收）","")),0)+N61</f>
        <v>6175</v>
      </c>
      <c r="AI61" s="71">
        <f>IF(AF61&gt;0,_xlfn.MAXIFS(O:O,C:C,SUBSTITUTE(C61,"-儿童（加收）","")),0)+O61</f>
        <v>5590</v>
      </c>
      <c r="AJ61" s="71">
        <f>IF(AF61&gt;0,_xlfn.MAXIFS(P:P,C:C,SUBSTITUTE(C61,"-儿童（加收）","")),0)+P61</f>
        <v>4745</v>
      </c>
    </row>
    <row r="62" s="22" customFormat="1" ht="25.5" spans="1:36">
      <c r="A62" s="34"/>
      <c r="B62" s="11"/>
      <c r="C62" s="37" t="s">
        <v>365</v>
      </c>
      <c r="D62" s="38"/>
      <c r="E62" s="48"/>
      <c r="F62" s="48"/>
      <c r="G62" s="34"/>
      <c r="H62" s="34"/>
      <c r="I62" s="54"/>
      <c r="J62" s="54"/>
      <c r="K62" s="52"/>
      <c r="L62" s="52"/>
      <c r="M62" s="52"/>
      <c r="N62" s="61">
        <v>1425</v>
      </c>
      <c r="O62" s="61">
        <v>1290</v>
      </c>
      <c r="P62" s="61">
        <v>1095</v>
      </c>
      <c r="Q62" s="34"/>
      <c r="R62" s="34"/>
      <c r="S62" s="63"/>
      <c r="T62" s="52"/>
      <c r="U62" s="48"/>
      <c r="V62" s="11" t="s">
        <v>370</v>
      </c>
      <c r="W62" s="11">
        <v>33070103901</v>
      </c>
      <c r="X62" s="11" t="s">
        <v>371</v>
      </c>
      <c r="Y62" s="12" t="s">
        <v>39</v>
      </c>
      <c r="Z62" s="12" t="s">
        <v>39</v>
      </c>
      <c r="AA62" s="14" t="s">
        <v>38</v>
      </c>
      <c r="AB62" s="12" t="s">
        <v>39</v>
      </c>
      <c r="AC62" s="18">
        <v>2115</v>
      </c>
      <c r="AD62" s="18">
        <v>2030</v>
      </c>
      <c r="AE62" s="18">
        <v>1725</v>
      </c>
      <c r="AF62" s="71">
        <f t="shared" si="2"/>
        <v>6</v>
      </c>
      <c r="AG62" s="71" t="str">
        <f t="shared" si="3"/>
        <v>气管成形费</v>
      </c>
      <c r="AH62" s="71">
        <f>IF(AF62&gt;0,_xlfn.MAXIFS(N:N,C:C,SUBSTITUTE(C62,"-儿童（加收）","")),0)+N62</f>
        <v>6175</v>
      </c>
      <c r="AI62" s="71">
        <f>IF(AF62&gt;0,_xlfn.MAXIFS(O:O,C:C,SUBSTITUTE(C62,"-儿童（加收）","")),0)+O62</f>
        <v>5590</v>
      </c>
      <c r="AJ62" s="71">
        <f>IF(AF62&gt;0,_xlfn.MAXIFS(P:P,C:C,SUBSTITUTE(C62,"-儿童（加收）","")),0)+P62</f>
        <v>4745</v>
      </c>
    </row>
    <row r="63" s="22" customFormat="1" ht="27" customHeight="1" spans="1:36">
      <c r="A63" s="34">
        <v>32</v>
      </c>
      <c r="B63" s="11" t="s">
        <v>372</v>
      </c>
      <c r="C63" s="37" t="s">
        <v>373</v>
      </c>
      <c r="D63" s="38" t="s">
        <v>297</v>
      </c>
      <c r="E63" s="48" t="s">
        <v>374</v>
      </c>
      <c r="F63" s="48" t="s">
        <v>354</v>
      </c>
      <c r="G63" s="34" t="s">
        <v>38</v>
      </c>
      <c r="H63" s="34" t="s">
        <v>39</v>
      </c>
      <c r="I63" s="15">
        <v>5274</v>
      </c>
      <c r="J63" s="15">
        <v>4747</v>
      </c>
      <c r="K63" s="52">
        <v>3930</v>
      </c>
      <c r="L63" s="52">
        <v>3540</v>
      </c>
      <c r="M63" s="52">
        <v>3010</v>
      </c>
      <c r="N63" s="59">
        <v>4750</v>
      </c>
      <c r="O63" s="59">
        <v>4300</v>
      </c>
      <c r="P63" s="59">
        <v>3650</v>
      </c>
      <c r="Q63" s="62" t="s">
        <v>40</v>
      </c>
      <c r="R63" s="62" t="s">
        <v>39</v>
      </c>
      <c r="S63" s="64" t="s">
        <v>39</v>
      </c>
      <c r="T63" s="52" t="s">
        <v>344</v>
      </c>
      <c r="U63" s="67" t="s">
        <v>375</v>
      </c>
      <c r="V63" s="34" t="s">
        <v>356</v>
      </c>
      <c r="W63" s="34">
        <v>330701042</v>
      </c>
      <c r="X63" s="34" t="s">
        <v>357</v>
      </c>
      <c r="Y63" s="12" t="s">
        <v>358</v>
      </c>
      <c r="Z63" s="12" t="s">
        <v>39</v>
      </c>
      <c r="AA63" s="14" t="s">
        <v>38</v>
      </c>
      <c r="AB63" s="12" t="s">
        <v>359</v>
      </c>
      <c r="AC63" s="18">
        <v>3930</v>
      </c>
      <c r="AD63" s="18">
        <v>3540</v>
      </c>
      <c r="AE63" s="18">
        <v>3010</v>
      </c>
      <c r="AF63" s="71">
        <f t="shared" si="2"/>
        <v>0</v>
      </c>
      <c r="AG63" s="71" t="str">
        <f t="shared" si="3"/>
        <v>气管隆突成形费</v>
      </c>
      <c r="AH63" s="71">
        <f>IF(AF63&gt;0,_xlfn.MAXIFS(N:N,C:C,SUBSTITUTE(C63,"-儿童（加收）","")),0)+N63</f>
        <v>4750</v>
      </c>
      <c r="AI63" s="71">
        <f>IF(AF63&gt;0,_xlfn.MAXIFS(O:O,C:C,SUBSTITUTE(C63,"-儿童（加收）","")),0)+O63</f>
        <v>4300</v>
      </c>
      <c r="AJ63" s="71">
        <f>IF(AF63&gt;0,_xlfn.MAXIFS(P:P,C:C,SUBSTITUTE(C63,"-儿童（加收）","")),0)+P63</f>
        <v>3650</v>
      </c>
    </row>
    <row r="64" s="22" customFormat="1" ht="27" customHeight="1" spans="1:36">
      <c r="A64" s="34"/>
      <c r="B64" s="11"/>
      <c r="C64" s="37" t="s">
        <v>373</v>
      </c>
      <c r="D64" s="38"/>
      <c r="E64" s="48"/>
      <c r="F64" s="48"/>
      <c r="G64" s="34"/>
      <c r="H64" s="34"/>
      <c r="I64" s="54"/>
      <c r="J64" s="54"/>
      <c r="K64" s="52"/>
      <c r="L64" s="52"/>
      <c r="M64" s="52"/>
      <c r="N64" s="59">
        <v>4750</v>
      </c>
      <c r="O64" s="59">
        <v>4300</v>
      </c>
      <c r="P64" s="59">
        <v>3650</v>
      </c>
      <c r="Q64" s="62"/>
      <c r="R64" s="62"/>
      <c r="S64" s="64"/>
      <c r="T64" s="52"/>
      <c r="U64" s="67"/>
      <c r="V64" s="11" t="s">
        <v>360</v>
      </c>
      <c r="W64" s="11">
        <v>33070104202</v>
      </c>
      <c r="X64" s="11" t="s">
        <v>361</v>
      </c>
      <c r="Y64" s="12" t="s">
        <v>39</v>
      </c>
      <c r="Z64" s="12" t="s">
        <v>39</v>
      </c>
      <c r="AA64" s="14" t="s">
        <v>38</v>
      </c>
      <c r="AB64" s="12" t="s">
        <v>39</v>
      </c>
      <c r="AC64" s="18">
        <v>1150</v>
      </c>
      <c r="AD64" s="18">
        <v>1040</v>
      </c>
      <c r="AE64" s="18">
        <v>885</v>
      </c>
      <c r="AF64" s="71">
        <f t="shared" si="2"/>
        <v>0</v>
      </c>
      <c r="AG64" s="71" t="str">
        <f t="shared" si="3"/>
        <v>气管隆突成形费</v>
      </c>
      <c r="AH64" s="71">
        <f>IF(AF64&gt;0,_xlfn.MAXIFS(N:N,C:C,SUBSTITUTE(C64,"-儿童（加收）","")),0)+N64</f>
        <v>4750</v>
      </c>
      <c r="AI64" s="71">
        <f>IF(AF64&gt;0,_xlfn.MAXIFS(O:O,C:C,SUBSTITUTE(C64,"-儿童（加收）","")),0)+O64</f>
        <v>4300</v>
      </c>
      <c r="AJ64" s="71">
        <f>IF(AF64&gt;0,_xlfn.MAXIFS(P:P,C:C,SUBSTITUTE(C64,"-儿童（加收）","")),0)+P64</f>
        <v>3650</v>
      </c>
    </row>
    <row r="65" s="22" customFormat="1" ht="27" customHeight="1" spans="1:36">
      <c r="A65" s="34"/>
      <c r="B65" s="11"/>
      <c r="C65" s="37" t="s">
        <v>373</v>
      </c>
      <c r="D65" s="38"/>
      <c r="E65" s="48"/>
      <c r="F65" s="48"/>
      <c r="G65" s="34"/>
      <c r="H65" s="34"/>
      <c r="I65" s="54"/>
      <c r="J65" s="54"/>
      <c r="K65" s="52"/>
      <c r="L65" s="52"/>
      <c r="M65" s="52"/>
      <c r="N65" s="59">
        <v>4750</v>
      </c>
      <c r="O65" s="59">
        <v>4300</v>
      </c>
      <c r="P65" s="59">
        <v>3650</v>
      </c>
      <c r="Q65" s="62"/>
      <c r="R65" s="62"/>
      <c r="S65" s="64"/>
      <c r="T65" s="52"/>
      <c r="U65" s="67"/>
      <c r="V65" s="34" t="s">
        <v>362</v>
      </c>
      <c r="W65" s="34">
        <v>330701039</v>
      </c>
      <c r="X65" s="34" t="s">
        <v>363</v>
      </c>
      <c r="Y65" s="12" t="s">
        <v>39</v>
      </c>
      <c r="Z65" s="12" t="s">
        <v>39</v>
      </c>
      <c r="AA65" s="14" t="s">
        <v>38</v>
      </c>
      <c r="AB65" s="12" t="s">
        <v>39</v>
      </c>
      <c r="AC65" s="18">
        <v>1625</v>
      </c>
      <c r="AD65" s="18">
        <v>1560</v>
      </c>
      <c r="AE65" s="18">
        <v>1326</v>
      </c>
      <c r="AF65" s="71">
        <f t="shared" si="2"/>
        <v>0</v>
      </c>
      <c r="AG65" s="71" t="str">
        <f t="shared" si="3"/>
        <v>气管隆突成形费</v>
      </c>
      <c r="AH65" s="71">
        <f>IF(AF65&gt;0,_xlfn.MAXIFS(N:N,C:C,SUBSTITUTE(C65,"-儿童（加收）","")),0)+N65</f>
        <v>4750</v>
      </c>
      <c r="AI65" s="71">
        <f>IF(AF65&gt;0,_xlfn.MAXIFS(O:O,C:C,SUBSTITUTE(C65,"-儿童（加收）","")),0)+O65</f>
        <v>4300</v>
      </c>
      <c r="AJ65" s="71">
        <f>IF(AF65&gt;0,_xlfn.MAXIFS(P:P,C:C,SUBSTITUTE(C65,"-儿童（加收）","")),0)+P65</f>
        <v>3650</v>
      </c>
    </row>
    <row r="66" s="22" customFormat="1" ht="27" customHeight="1" spans="1:36">
      <c r="A66" s="34" t="s">
        <v>68</v>
      </c>
      <c r="B66" s="11" t="s">
        <v>376</v>
      </c>
      <c r="C66" s="37" t="s">
        <v>377</v>
      </c>
      <c r="D66" s="38" t="s">
        <v>297</v>
      </c>
      <c r="E66" s="48" t="s">
        <v>39</v>
      </c>
      <c r="F66" s="48" t="s">
        <v>39</v>
      </c>
      <c r="G66" s="34" t="s">
        <v>38</v>
      </c>
      <c r="H66" s="34" t="s">
        <v>39</v>
      </c>
      <c r="I66" s="15">
        <v>1582</v>
      </c>
      <c r="J66" s="15">
        <v>1424</v>
      </c>
      <c r="K66" s="52"/>
      <c r="L66" s="52"/>
      <c r="M66" s="52"/>
      <c r="N66" s="61">
        <v>1425</v>
      </c>
      <c r="O66" s="61">
        <v>1290</v>
      </c>
      <c r="P66" s="61">
        <v>1095</v>
      </c>
      <c r="Q66" s="34" t="s">
        <v>40</v>
      </c>
      <c r="R66" s="34" t="s">
        <v>39</v>
      </c>
      <c r="S66" s="63" t="s">
        <v>39</v>
      </c>
      <c r="T66" s="52"/>
      <c r="U66" s="48" t="s">
        <v>71</v>
      </c>
      <c r="V66" s="11" t="s">
        <v>366</v>
      </c>
      <c r="W66" s="11">
        <v>33070104201</v>
      </c>
      <c r="X66" s="11" t="s">
        <v>367</v>
      </c>
      <c r="Y66" s="12" t="s">
        <v>39</v>
      </c>
      <c r="Z66" s="12" t="s">
        <v>39</v>
      </c>
      <c r="AA66" s="14" t="s">
        <v>38</v>
      </c>
      <c r="AB66" s="12" t="s">
        <v>39</v>
      </c>
      <c r="AC66" s="18">
        <v>5110</v>
      </c>
      <c r="AD66" s="18">
        <v>4600</v>
      </c>
      <c r="AE66" s="18">
        <v>3910</v>
      </c>
      <c r="AF66" s="71">
        <f t="shared" si="2"/>
        <v>8</v>
      </c>
      <c r="AG66" s="71" t="str">
        <f t="shared" si="3"/>
        <v>气管隆突成形费</v>
      </c>
      <c r="AH66" s="71">
        <f>IF(AF66&gt;0,_xlfn.MAXIFS(N:N,C:C,SUBSTITUTE(C66,"-儿童（加收）","")),0)+N66</f>
        <v>6175</v>
      </c>
      <c r="AI66" s="71">
        <f>IF(AF66&gt;0,_xlfn.MAXIFS(O:O,C:C,SUBSTITUTE(C66,"-儿童（加收）","")),0)+O66</f>
        <v>5590</v>
      </c>
      <c r="AJ66" s="71">
        <f>IF(AF66&gt;0,_xlfn.MAXIFS(P:P,C:C,SUBSTITUTE(C66,"-儿童（加收）","")),0)+P66</f>
        <v>4745</v>
      </c>
    </row>
    <row r="67" s="22" customFormat="1" ht="27" customHeight="1" spans="1:36">
      <c r="A67" s="34"/>
      <c r="B67" s="11"/>
      <c r="C67" s="37" t="s">
        <v>377</v>
      </c>
      <c r="D67" s="38"/>
      <c r="E67" s="48"/>
      <c r="F67" s="48"/>
      <c r="G67" s="34"/>
      <c r="H67" s="34"/>
      <c r="I67" s="54"/>
      <c r="J67" s="54"/>
      <c r="K67" s="52"/>
      <c r="L67" s="52"/>
      <c r="M67" s="52"/>
      <c r="N67" s="61">
        <v>1425</v>
      </c>
      <c r="O67" s="61">
        <v>1290</v>
      </c>
      <c r="P67" s="61">
        <v>1095</v>
      </c>
      <c r="Q67" s="34"/>
      <c r="R67" s="34"/>
      <c r="S67" s="63"/>
      <c r="T67" s="52"/>
      <c r="U67" s="48"/>
      <c r="V67" s="11" t="s">
        <v>368</v>
      </c>
      <c r="W67" s="11">
        <v>33070104203</v>
      </c>
      <c r="X67" s="11" t="s">
        <v>369</v>
      </c>
      <c r="Y67" s="12" t="s">
        <v>39</v>
      </c>
      <c r="Z67" s="12" t="s">
        <v>39</v>
      </c>
      <c r="AA67" s="14" t="s">
        <v>38</v>
      </c>
      <c r="AB67" s="12" t="s">
        <v>39</v>
      </c>
      <c r="AC67" s="18">
        <v>1495</v>
      </c>
      <c r="AD67" s="18">
        <v>1350</v>
      </c>
      <c r="AE67" s="18">
        <v>1150</v>
      </c>
      <c r="AF67" s="71">
        <f t="shared" si="2"/>
        <v>8</v>
      </c>
      <c r="AG67" s="71" t="str">
        <f t="shared" si="3"/>
        <v>气管隆突成形费</v>
      </c>
      <c r="AH67" s="71">
        <f>IF(AF67&gt;0,_xlfn.MAXIFS(N:N,C:C,SUBSTITUTE(C67,"-儿童（加收）","")),0)+N67</f>
        <v>6175</v>
      </c>
      <c r="AI67" s="71">
        <f>IF(AF67&gt;0,_xlfn.MAXIFS(O:O,C:C,SUBSTITUTE(C67,"-儿童（加收）","")),0)+O67</f>
        <v>5590</v>
      </c>
      <c r="AJ67" s="71">
        <f>IF(AF67&gt;0,_xlfn.MAXIFS(P:P,C:C,SUBSTITUTE(C67,"-儿童（加收）","")),0)+P67</f>
        <v>4745</v>
      </c>
    </row>
    <row r="68" s="22" customFormat="1" ht="27" customHeight="1" spans="1:36">
      <c r="A68" s="34"/>
      <c r="B68" s="11"/>
      <c r="C68" s="37" t="s">
        <v>377</v>
      </c>
      <c r="D68" s="38"/>
      <c r="E68" s="48"/>
      <c r="F68" s="48"/>
      <c r="G68" s="34"/>
      <c r="H68" s="34"/>
      <c r="I68" s="54"/>
      <c r="J68" s="54"/>
      <c r="K68" s="52"/>
      <c r="L68" s="52"/>
      <c r="M68" s="52"/>
      <c r="N68" s="61">
        <v>1425</v>
      </c>
      <c r="O68" s="61">
        <v>1290</v>
      </c>
      <c r="P68" s="61">
        <v>1095</v>
      </c>
      <c r="Q68" s="34"/>
      <c r="R68" s="34"/>
      <c r="S68" s="63"/>
      <c r="T68" s="52"/>
      <c r="U68" s="48"/>
      <c r="V68" s="11" t="s">
        <v>370</v>
      </c>
      <c r="W68" s="11">
        <v>33070103901</v>
      </c>
      <c r="X68" s="11" t="s">
        <v>371</v>
      </c>
      <c r="Y68" s="12" t="s">
        <v>39</v>
      </c>
      <c r="Z68" s="12" t="s">
        <v>39</v>
      </c>
      <c r="AA68" s="14" t="s">
        <v>38</v>
      </c>
      <c r="AB68" s="12" t="s">
        <v>39</v>
      </c>
      <c r="AC68" s="18">
        <v>2115</v>
      </c>
      <c r="AD68" s="18">
        <v>2030</v>
      </c>
      <c r="AE68" s="18">
        <v>1725</v>
      </c>
      <c r="AF68" s="71">
        <f t="shared" si="2"/>
        <v>8</v>
      </c>
      <c r="AG68" s="71" t="str">
        <f t="shared" si="3"/>
        <v>气管隆突成形费</v>
      </c>
      <c r="AH68" s="71">
        <f>IF(AF68&gt;0,_xlfn.MAXIFS(N:N,C:C,SUBSTITUTE(C68,"-儿童（加收）","")),0)+N68</f>
        <v>6175</v>
      </c>
      <c r="AI68" s="71">
        <f>IF(AF68&gt;0,_xlfn.MAXIFS(O:O,C:C,SUBSTITUTE(C68,"-儿童（加收）","")),0)+O68</f>
        <v>5590</v>
      </c>
      <c r="AJ68" s="71">
        <f>IF(AF68&gt;0,_xlfn.MAXIFS(P:P,C:C,SUBSTITUTE(C68,"-儿童（加收）","")),0)+P68</f>
        <v>4745</v>
      </c>
    </row>
    <row r="69" s="22" customFormat="1" ht="61" customHeight="1" spans="1:36">
      <c r="A69" s="34">
        <v>34</v>
      </c>
      <c r="B69" s="11" t="s">
        <v>385</v>
      </c>
      <c r="C69" s="34" t="s">
        <v>386</v>
      </c>
      <c r="D69" s="38" t="s">
        <v>297</v>
      </c>
      <c r="E69" s="48" t="s">
        <v>387</v>
      </c>
      <c r="F69" s="48" t="s">
        <v>381</v>
      </c>
      <c r="G69" s="34" t="s">
        <v>38</v>
      </c>
      <c r="H69" s="48" t="s">
        <v>388</v>
      </c>
      <c r="I69" s="15">
        <v>4300</v>
      </c>
      <c r="J69" s="15">
        <v>3870</v>
      </c>
      <c r="K69" s="52">
        <v>3880</v>
      </c>
      <c r="L69" s="52">
        <v>3490</v>
      </c>
      <c r="M69" s="52">
        <v>2970</v>
      </c>
      <c r="N69" s="18">
        <v>3880</v>
      </c>
      <c r="O69" s="18">
        <v>3490</v>
      </c>
      <c r="P69" s="18">
        <v>2970</v>
      </c>
      <c r="Q69" s="34" t="s">
        <v>40</v>
      </c>
      <c r="R69" s="34" t="s">
        <v>39</v>
      </c>
      <c r="S69" s="63" t="s">
        <v>39</v>
      </c>
      <c r="T69" s="52" t="s">
        <v>113</v>
      </c>
      <c r="U69" s="48" t="s">
        <v>113</v>
      </c>
      <c r="V69" s="34" t="s">
        <v>389</v>
      </c>
      <c r="W69" s="34">
        <v>330701043</v>
      </c>
      <c r="X69" s="34" t="s">
        <v>390</v>
      </c>
      <c r="Y69" s="12" t="s">
        <v>39</v>
      </c>
      <c r="Z69" s="12" t="s">
        <v>39</v>
      </c>
      <c r="AA69" s="14" t="s">
        <v>38</v>
      </c>
      <c r="AB69" s="12" t="s">
        <v>39</v>
      </c>
      <c r="AC69" s="18">
        <v>3880</v>
      </c>
      <c r="AD69" s="18">
        <v>3490</v>
      </c>
      <c r="AE69" s="18">
        <v>2970</v>
      </c>
      <c r="AF69" s="71">
        <f t="shared" si="2"/>
        <v>0</v>
      </c>
      <c r="AG69" s="71" t="str">
        <f t="shared" si="3"/>
        <v>气管食管瘘修补费（复杂）</v>
      </c>
      <c r="AH69" s="71">
        <f>IF(AF69&gt;0,_xlfn.MAXIFS(N:N,C:C,SUBSTITUTE(C69,"-儿童（加收）","")),0)+N69</f>
        <v>3880</v>
      </c>
      <c r="AI69" s="71">
        <f>IF(AF69&gt;0,_xlfn.MAXIFS(O:O,C:C,SUBSTITUTE(C69,"-儿童（加收）","")),0)+O69</f>
        <v>3490</v>
      </c>
      <c r="AJ69" s="71">
        <f>IF(AF69&gt;0,_xlfn.MAXIFS(P:P,C:C,SUBSTITUTE(C69,"-儿童（加收）","")),0)+P69</f>
        <v>2970</v>
      </c>
    </row>
    <row r="70" s="22" customFormat="1" ht="50" customHeight="1" spans="1:36">
      <c r="A70" s="34" t="s">
        <v>68</v>
      </c>
      <c r="B70" s="11" t="s">
        <v>391</v>
      </c>
      <c r="C70" s="34" t="s">
        <v>392</v>
      </c>
      <c r="D70" s="38" t="s">
        <v>297</v>
      </c>
      <c r="E70" s="48" t="s">
        <v>39</v>
      </c>
      <c r="F70" s="48" t="s">
        <v>39</v>
      </c>
      <c r="G70" s="34" t="s">
        <v>38</v>
      </c>
      <c r="H70" s="34" t="s">
        <v>39</v>
      </c>
      <c r="I70" s="15">
        <v>1290</v>
      </c>
      <c r="J70" s="15">
        <v>1161</v>
      </c>
      <c r="K70" s="52"/>
      <c r="L70" s="52"/>
      <c r="M70" s="52"/>
      <c r="N70" s="18">
        <v>1165</v>
      </c>
      <c r="O70" s="18">
        <v>1047</v>
      </c>
      <c r="P70" s="18">
        <v>890</v>
      </c>
      <c r="Q70" s="34" t="s">
        <v>40</v>
      </c>
      <c r="R70" s="34" t="s">
        <v>39</v>
      </c>
      <c r="S70" s="63" t="s">
        <v>39</v>
      </c>
      <c r="T70" s="52"/>
      <c r="U70" s="48" t="s">
        <v>71</v>
      </c>
      <c r="V70" s="11" t="s">
        <v>393</v>
      </c>
      <c r="W70" s="11">
        <v>33070104301</v>
      </c>
      <c r="X70" s="11" t="s">
        <v>394</v>
      </c>
      <c r="Y70" s="12" t="s">
        <v>39</v>
      </c>
      <c r="Z70" s="12" t="s">
        <v>39</v>
      </c>
      <c r="AA70" s="14" t="s">
        <v>38</v>
      </c>
      <c r="AB70" s="12" t="s">
        <v>39</v>
      </c>
      <c r="AC70" s="18">
        <v>5045</v>
      </c>
      <c r="AD70" s="18">
        <v>4535</v>
      </c>
      <c r="AE70" s="18">
        <v>3855</v>
      </c>
      <c r="AF70" s="71">
        <f t="shared" si="2"/>
        <v>13</v>
      </c>
      <c r="AG70" s="71" t="str">
        <f t="shared" si="3"/>
        <v>气管食管瘘修补费（复杂）</v>
      </c>
      <c r="AH70" s="71">
        <f>IF(AF70&gt;0,_xlfn.MAXIFS(N:N,C:C,SUBSTITUTE(C70,"-儿童（加收）","")),0)+N70</f>
        <v>5045</v>
      </c>
      <c r="AI70" s="71">
        <f>IF(AF70&gt;0,_xlfn.MAXIFS(O:O,C:C,SUBSTITUTE(C70,"-儿童（加收）","")),0)+O70</f>
        <v>4537</v>
      </c>
      <c r="AJ70" s="71">
        <f>IF(AF70&gt;0,_xlfn.MAXIFS(P:P,C:C,SUBSTITUTE(C70,"-儿童（加收）","")),0)+P70</f>
        <v>3860</v>
      </c>
    </row>
    <row r="71" s="22" customFormat="1" ht="38.25" spans="1:36">
      <c r="A71" s="34">
        <v>35</v>
      </c>
      <c r="B71" s="11" t="s">
        <v>395</v>
      </c>
      <c r="C71" s="37" t="s">
        <v>396</v>
      </c>
      <c r="D71" s="38" t="s">
        <v>297</v>
      </c>
      <c r="E71" s="48" t="s">
        <v>397</v>
      </c>
      <c r="F71" s="48" t="s">
        <v>398</v>
      </c>
      <c r="G71" s="34" t="s">
        <v>38</v>
      </c>
      <c r="H71" s="34" t="s">
        <v>39</v>
      </c>
      <c r="I71" s="15">
        <v>2095</v>
      </c>
      <c r="J71" s="15">
        <v>1886</v>
      </c>
      <c r="K71" s="52"/>
      <c r="L71" s="52"/>
      <c r="M71" s="52"/>
      <c r="N71" s="61">
        <v>1900</v>
      </c>
      <c r="O71" s="61">
        <v>1750</v>
      </c>
      <c r="P71" s="61">
        <v>1500</v>
      </c>
      <c r="Q71" s="34" t="s">
        <v>40</v>
      </c>
      <c r="R71" s="34" t="s">
        <v>39</v>
      </c>
      <c r="S71" s="63" t="s">
        <v>39</v>
      </c>
      <c r="T71" s="52" t="s">
        <v>264</v>
      </c>
      <c r="U71" s="48" t="s">
        <v>399</v>
      </c>
      <c r="V71" s="34" t="s">
        <v>400</v>
      </c>
      <c r="W71" s="34">
        <v>330701041</v>
      </c>
      <c r="X71" s="34" t="s">
        <v>401</v>
      </c>
      <c r="Y71" s="12" t="s">
        <v>402</v>
      </c>
      <c r="Z71" s="12" t="s">
        <v>39</v>
      </c>
      <c r="AA71" s="14" t="s">
        <v>38</v>
      </c>
      <c r="AB71" s="12" t="s">
        <v>403</v>
      </c>
      <c r="AC71" s="18">
        <v>4220</v>
      </c>
      <c r="AD71" s="18">
        <v>3800</v>
      </c>
      <c r="AE71" s="18">
        <v>3230</v>
      </c>
      <c r="AF71" s="71">
        <f t="shared" si="2"/>
        <v>0</v>
      </c>
      <c r="AG71" s="71" t="str">
        <f t="shared" si="3"/>
        <v>气管病变切除费</v>
      </c>
      <c r="AH71" s="71">
        <f>IF(AF71&gt;0,_xlfn.MAXIFS(N:N,C:C,SUBSTITUTE(C71,"-儿童（加收）","")),0)+N71</f>
        <v>1900</v>
      </c>
      <c r="AI71" s="71">
        <f>IF(AF71&gt;0,_xlfn.MAXIFS(O:O,C:C,SUBSTITUTE(C71,"-儿童（加收）","")),0)+O71</f>
        <v>1750</v>
      </c>
      <c r="AJ71" s="71">
        <f>IF(AF71&gt;0,_xlfn.MAXIFS(P:P,C:C,SUBSTITUTE(C71,"-儿童（加收）","")),0)+P71</f>
        <v>1500</v>
      </c>
    </row>
    <row r="72" s="22" customFormat="1" ht="25.5" spans="1:36">
      <c r="A72" s="34"/>
      <c r="B72" s="11"/>
      <c r="C72" s="37" t="s">
        <v>396</v>
      </c>
      <c r="D72" s="38"/>
      <c r="E72" s="48"/>
      <c r="F72" s="48"/>
      <c r="G72" s="34"/>
      <c r="H72" s="34"/>
      <c r="I72" s="15"/>
      <c r="J72" s="15"/>
      <c r="K72" s="52"/>
      <c r="L72" s="52"/>
      <c r="M72" s="52"/>
      <c r="N72" s="61">
        <v>1900</v>
      </c>
      <c r="O72" s="61">
        <v>1750</v>
      </c>
      <c r="P72" s="61">
        <v>1500</v>
      </c>
      <c r="Q72" s="34"/>
      <c r="R72" s="34"/>
      <c r="S72" s="63"/>
      <c r="T72" s="52"/>
      <c r="U72" s="48"/>
      <c r="V72" s="34" t="s">
        <v>404</v>
      </c>
      <c r="W72" s="34">
        <v>33070104101</v>
      </c>
      <c r="X72" s="34" t="s">
        <v>405</v>
      </c>
      <c r="Y72" s="12" t="s">
        <v>39</v>
      </c>
      <c r="Z72" s="12" t="s">
        <v>39</v>
      </c>
      <c r="AA72" s="14" t="s">
        <v>38</v>
      </c>
      <c r="AB72" s="12" t="s">
        <v>406</v>
      </c>
      <c r="AC72" s="18">
        <v>4510</v>
      </c>
      <c r="AD72" s="18">
        <v>4060</v>
      </c>
      <c r="AE72" s="18">
        <v>3450</v>
      </c>
      <c r="AF72" s="71">
        <f t="shared" si="2"/>
        <v>0</v>
      </c>
      <c r="AG72" s="71" t="str">
        <f t="shared" si="3"/>
        <v>气管病变切除费</v>
      </c>
      <c r="AH72" s="71">
        <f>IF(AF72&gt;0,_xlfn.MAXIFS(N:N,C:C,SUBSTITUTE(C72,"-儿童（加收）","")),0)+N72</f>
        <v>1900</v>
      </c>
      <c r="AI72" s="71">
        <f>IF(AF72&gt;0,_xlfn.MAXIFS(O:O,C:C,SUBSTITUTE(C72,"-儿童（加收）","")),0)+O72</f>
        <v>1750</v>
      </c>
      <c r="AJ72" s="71">
        <f>IF(AF72&gt;0,_xlfn.MAXIFS(P:P,C:C,SUBSTITUTE(C72,"-儿童（加收）","")),0)+P72</f>
        <v>1500</v>
      </c>
    </row>
    <row r="73" s="22" customFormat="1" ht="25.5" spans="1:36">
      <c r="A73" s="34"/>
      <c r="B73" s="11"/>
      <c r="C73" s="37" t="s">
        <v>396</v>
      </c>
      <c r="D73" s="38"/>
      <c r="E73" s="48"/>
      <c r="F73" s="48"/>
      <c r="G73" s="34"/>
      <c r="H73" s="34"/>
      <c r="I73" s="54"/>
      <c r="J73" s="54"/>
      <c r="K73" s="52"/>
      <c r="L73" s="52"/>
      <c r="M73" s="52"/>
      <c r="N73" s="61">
        <v>1900</v>
      </c>
      <c r="O73" s="61">
        <v>1750</v>
      </c>
      <c r="P73" s="61">
        <v>1500</v>
      </c>
      <c r="Q73" s="34"/>
      <c r="R73" s="34"/>
      <c r="S73" s="63"/>
      <c r="T73" s="52"/>
      <c r="U73" s="48"/>
      <c r="V73" s="34" t="s">
        <v>407</v>
      </c>
      <c r="W73" s="34">
        <v>330701044</v>
      </c>
      <c r="X73" s="34" t="s">
        <v>408</v>
      </c>
      <c r="Y73" s="12" t="s">
        <v>39</v>
      </c>
      <c r="Z73" s="12" t="s">
        <v>39</v>
      </c>
      <c r="AA73" s="14" t="s">
        <v>38</v>
      </c>
      <c r="AB73" s="12" t="s">
        <v>39</v>
      </c>
      <c r="AC73" s="18">
        <v>1000</v>
      </c>
      <c r="AD73" s="18">
        <v>960</v>
      </c>
      <c r="AE73" s="18">
        <v>816</v>
      </c>
      <c r="AF73" s="71">
        <f t="shared" si="2"/>
        <v>0</v>
      </c>
      <c r="AG73" s="71" t="str">
        <f t="shared" si="3"/>
        <v>气管病变切除费</v>
      </c>
      <c r="AH73" s="71">
        <f>IF(AF73&gt;0,_xlfn.MAXIFS(N:N,C:C,SUBSTITUTE(C73,"-儿童（加收）","")),0)+N73</f>
        <v>1900</v>
      </c>
      <c r="AI73" s="71">
        <f>IF(AF73&gt;0,_xlfn.MAXIFS(O:O,C:C,SUBSTITUTE(C73,"-儿童（加收）","")),0)+O73</f>
        <v>1750</v>
      </c>
      <c r="AJ73" s="71">
        <f>IF(AF73&gt;0,_xlfn.MAXIFS(P:P,C:C,SUBSTITUTE(C73,"-儿童（加收）","")),0)+P73</f>
        <v>1500</v>
      </c>
    </row>
    <row r="74" s="22" customFormat="1" ht="25.5" spans="1:36">
      <c r="A74" s="34" t="s">
        <v>68</v>
      </c>
      <c r="B74" s="11" t="s">
        <v>409</v>
      </c>
      <c r="C74" s="37" t="s">
        <v>410</v>
      </c>
      <c r="D74" s="38" t="s">
        <v>297</v>
      </c>
      <c r="E74" s="48" t="s">
        <v>39</v>
      </c>
      <c r="F74" s="48" t="s">
        <v>39</v>
      </c>
      <c r="G74" s="34" t="s">
        <v>38</v>
      </c>
      <c r="H74" s="34" t="s">
        <v>39</v>
      </c>
      <c r="I74" s="15">
        <v>629</v>
      </c>
      <c r="J74" s="15">
        <v>566</v>
      </c>
      <c r="K74" s="52"/>
      <c r="L74" s="52"/>
      <c r="M74" s="52"/>
      <c r="N74" s="61">
        <v>570</v>
      </c>
      <c r="O74" s="61">
        <v>525</v>
      </c>
      <c r="P74" s="61">
        <v>450</v>
      </c>
      <c r="Q74" s="34" t="s">
        <v>40</v>
      </c>
      <c r="R74" s="34" t="s">
        <v>39</v>
      </c>
      <c r="S74" s="63" t="s">
        <v>39</v>
      </c>
      <c r="T74" s="52"/>
      <c r="U74" s="48" t="s">
        <v>71</v>
      </c>
      <c r="V74" s="11" t="s">
        <v>411</v>
      </c>
      <c r="W74" s="11">
        <v>33070104102</v>
      </c>
      <c r="X74" s="11" t="s">
        <v>412</v>
      </c>
      <c r="Y74" s="12" t="s">
        <v>39</v>
      </c>
      <c r="Z74" s="12" t="s">
        <v>39</v>
      </c>
      <c r="AA74" s="14" t="s">
        <v>38</v>
      </c>
      <c r="AB74" s="12" t="s">
        <v>39</v>
      </c>
      <c r="AC74" s="18">
        <v>5485</v>
      </c>
      <c r="AD74" s="18">
        <v>4940</v>
      </c>
      <c r="AE74" s="18">
        <v>4200</v>
      </c>
      <c r="AF74" s="71">
        <f t="shared" si="2"/>
        <v>8</v>
      </c>
      <c r="AG74" s="71" t="str">
        <f t="shared" si="3"/>
        <v>气管病变切除费</v>
      </c>
      <c r="AH74" s="71">
        <f>IF(AF74&gt;0,_xlfn.MAXIFS(N:N,C:C,SUBSTITUTE(C74,"-儿童（加收）","")),0)+N74</f>
        <v>2470</v>
      </c>
      <c r="AI74" s="71">
        <f>IF(AF74&gt;0,_xlfn.MAXIFS(O:O,C:C,SUBSTITUTE(C74,"-儿童（加收）","")),0)+O74</f>
        <v>2275</v>
      </c>
      <c r="AJ74" s="71">
        <f>IF(AF74&gt;0,_xlfn.MAXIFS(P:P,C:C,SUBSTITUTE(C74,"-儿童（加收）","")),0)+P74</f>
        <v>1950</v>
      </c>
    </row>
    <row r="75" s="22" customFormat="1" ht="25.5" spans="1:36">
      <c r="A75" s="34"/>
      <c r="B75" s="11"/>
      <c r="C75" s="37" t="s">
        <v>410</v>
      </c>
      <c r="D75" s="38"/>
      <c r="E75" s="48"/>
      <c r="F75" s="48"/>
      <c r="G75" s="34"/>
      <c r="H75" s="34"/>
      <c r="I75" s="15"/>
      <c r="J75" s="15"/>
      <c r="K75" s="52"/>
      <c r="L75" s="52"/>
      <c r="M75" s="52"/>
      <c r="N75" s="61">
        <v>570</v>
      </c>
      <c r="O75" s="61">
        <v>525</v>
      </c>
      <c r="P75" s="61">
        <v>450</v>
      </c>
      <c r="Q75" s="34"/>
      <c r="R75" s="34"/>
      <c r="S75" s="63"/>
      <c r="T75" s="52"/>
      <c r="U75" s="48"/>
      <c r="V75" s="11" t="s">
        <v>413</v>
      </c>
      <c r="W75" s="11">
        <v>33070104103</v>
      </c>
      <c r="X75" s="11" t="s">
        <v>414</v>
      </c>
      <c r="Y75" s="12" t="s">
        <v>39</v>
      </c>
      <c r="Z75" s="12" t="s">
        <v>39</v>
      </c>
      <c r="AA75" s="14" t="s">
        <v>38</v>
      </c>
      <c r="AB75" s="12" t="s">
        <v>406</v>
      </c>
      <c r="AC75" s="18">
        <v>5865</v>
      </c>
      <c r="AD75" s="18">
        <v>5280</v>
      </c>
      <c r="AE75" s="18">
        <v>4490</v>
      </c>
      <c r="AF75" s="71">
        <f t="shared" si="2"/>
        <v>8</v>
      </c>
      <c r="AG75" s="71" t="str">
        <f t="shared" si="3"/>
        <v>气管病变切除费</v>
      </c>
      <c r="AH75" s="71">
        <f>IF(AF75&gt;0,_xlfn.MAXIFS(N:N,C:C,SUBSTITUTE(C75,"-儿童（加收）","")),0)+N75</f>
        <v>2470</v>
      </c>
      <c r="AI75" s="71">
        <f>IF(AF75&gt;0,_xlfn.MAXIFS(O:O,C:C,SUBSTITUTE(C75,"-儿童（加收）","")),0)+O75</f>
        <v>2275</v>
      </c>
      <c r="AJ75" s="71">
        <f>IF(AF75&gt;0,_xlfn.MAXIFS(P:P,C:C,SUBSTITUTE(C75,"-儿童（加收）","")),0)+P75</f>
        <v>1950</v>
      </c>
    </row>
    <row r="76" s="22" customFormat="1" ht="25.5" spans="1:36">
      <c r="A76" s="34"/>
      <c r="B76" s="11"/>
      <c r="C76" s="37" t="s">
        <v>410</v>
      </c>
      <c r="D76" s="38"/>
      <c r="E76" s="48"/>
      <c r="F76" s="48"/>
      <c r="G76" s="34"/>
      <c r="H76" s="34"/>
      <c r="I76" s="54"/>
      <c r="J76" s="54"/>
      <c r="K76" s="52"/>
      <c r="L76" s="52"/>
      <c r="M76" s="52"/>
      <c r="N76" s="61">
        <v>570</v>
      </c>
      <c r="O76" s="61">
        <v>525</v>
      </c>
      <c r="P76" s="61">
        <v>450</v>
      </c>
      <c r="Q76" s="34"/>
      <c r="R76" s="34"/>
      <c r="S76" s="63"/>
      <c r="T76" s="52"/>
      <c r="U76" s="48"/>
      <c r="V76" s="11" t="s">
        <v>415</v>
      </c>
      <c r="W76" s="11">
        <v>33070104401</v>
      </c>
      <c r="X76" s="11" t="s">
        <v>416</v>
      </c>
      <c r="Y76" s="12" t="s">
        <v>39</v>
      </c>
      <c r="Z76" s="12" t="s">
        <v>39</v>
      </c>
      <c r="AA76" s="14" t="s">
        <v>38</v>
      </c>
      <c r="AB76" s="12" t="s">
        <v>39</v>
      </c>
      <c r="AC76" s="18">
        <v>1300</v>
      </c>
      <c r="AD76" s="18">
        <v>1250</v>
      </c>
      <c r="AE76" s="18">
        <v>1065</v>
      </c>
      <c r="AF76" s="71">
        <f t="shared" si="2"/>
        <v>8</v>
      </c>
      <c r="AG76" s="71" t="str">
        <f t="shared" si="3"/>
        <v>气管病变切除费</v>
      </c>
      <c r="AH76" s="71">
        <f>IF(AF76&gt;0,_xlfn.MAXIFS(N:N,C:C,SUBSTITUTE(C76,"-儿童（加收）","")),0)+N76</f>
        <v>2470</v>
      </c>
      <c r="AI76" s="71">
        <f>IF(AF76&gt;0,_xlfn.MAXIFS(O:O,C:C,SUBSTITUTE(C76,"-儿童（加收）","")),0)+O76</f>
        <v>2275</v>
      </c>
      <c r="AJ76" s="71">
        <f>IF(AF76&gt;0,_xlfn.MAXIFS(P:P,C:C,SUBSTITUTE(C76,"-儿童（加收）","")),0)+P76</f>
        <v>1950</v>
      </c>
    </row>
    <row r="77" s="22" customFormat="1" ht="25.5" spans="1:36">
      <c r="A77" s="34">
        <v>37</v>
      </c>
      <c r="B77" s="44" t="s">
        <v>422</v>
      </c>
      <c r="C77" s="45" t="s">
        <v>423</v>
      </c>
      <c r="D77" s="38" t="s">
        <v>297</v>
      </c>
      <c r="E77" s="48" t="s">
        <v>424</v>
      </c>
      <c r="F77" s="48" t="s">
        <v>425</v>
      </c>
      <c r="G77" s="34" t="s">
        <v>38</v>
      </c>
      <c r="H77" s="34" t="s">
        <v>426</v>
      </c>
      <c r="I77" s="15">
        <v>1800</v>
      </c>
      <c r="J77" s="15">
        <v>1620</v>
      </c>
      <c r="K77" s="53">
        <v>2058.54430379747</v>
      </c>
      <c r="L77" s="53">
        <v>2079.75609756098</v>
      </c>
      <c r="M77" s="53">
        <v>1836</v>
      </c>
      <c r="N77" s="59">
        <v>1750</v>
      </c>
      <c r="O77" s="59">
        <v>1620</v>
      </c>
      <c r="P77" s="59">
        <v>1450</v>
      </c>
      <c r="Q77" s="62" t="s">
        <v>40</v>
      </c>
      <c r="R77" s="62" t="s">
        <v>39</v>
      </c>
      <c r="S77" s="64" t="s">
        <v>39</v>
      </c>
      <c r="T77" s="53" t="s">
        <v>41</v>
      </c>
      <c r="U77" s="67" t="s">
        <v>194</v>
      </c>
      <c r="V77" s="34" t="s">
        <v>427</v>
      </c>
      <c r="W77" s="34">
        <v>330703003</v>
      </c>
      <c r="X77" s="34" t="s">
        <v>428</v>
      </c>
      <c r="Y77" s="12" t="s">
        <v>39</v>
      </c>
      <c r="Z77" s="12" t="s">
        <v>39</v>
      </c>
      <c r="AA77" s="14" t="s">
        <v>38</v>
      </c>
      <c r="AB77" s="12" t="s">
        <v>39</v>
      </c>
      <c r="AC77" s="18">
        <v>1520</v>
      </c>
      <c r="AD77" s="18">
        <v>1370</v>
      </c>
      <c r="AE77" s="18">
        <v>1160</v>
      </c>
      <c r="AF77" s="71">
        <f t="shared" ref="AF77:AF115" si="7">IFERROR(FIND("-儿童（加收）",C77,1),0)</f>
        <v>0</v>
      </c>
      <c r="AG77" s="71" t="str">
        <f t="shared" ref="AG77:AG115" si="8">SUBSTITUTE(C77,"-儿童（加收）","")</f>
        <v>胸腔探查费</v>
      </c>
      <c r="AH77" s="71">
        <f t="shared" ref="AH77:AH115" si="9">IF(AF77&gt;0,_xlfn.MAXIFS(N:N,C:C,SUBSTITUTE(C77,"-儿童（加收）","")),0)+N77</f>
        <v>1750</v>
      </c>
      <c r="AI77" s="71">
        <f t="shared" ref="AI77:AI115" si="10">IF(AF77&gt;0,_xlfn.MAXIFS(O:O,C:C,SUBSTITUTE(C77,"-儿童（加收）","")),0)+O77</f>
        <v>1620</v>
      </c>
      <c r="AJ77" s="71">
        <f t="shared" ref="AJ77:AJ115" si="11">IF(AF77&gt;0,_xlfn.MAXIFS(P:P,C:C,SUBSTITUTE(C77,"-儿童（加收）","")),0)+P77</f>
        <v>1450</v>
      </c>
    </row>
    <row r="78" s="22" customFormat="1" ht="25.5" spans="1:36">
      <c r="A78" s="34"/>
      <c r="B78" s="11"/>
      <c r="C78" s="45" t="s">
        <v>423</v>
      </c>
      <c r="D78" s="38"/>
      <c r="E78" s="48"/>
      <c r="F78" s="48"/>
      <c r="G78" s="34"/>
      <c r="H78" s="34"/>
      <c r="I78" s="54"/>
      <c r="J78" s="54"/>
      <c r="K78" s="53"/>
      <c r="L78" s="53"/>
      <c r="M78" s="53"/>
      <c r="N78" s="59">
        <v>1750</v>
      </c>
      <c r="O78" s="59">
        <v>1620</v>
      </c>
      <c r="P78" s="59">
        <v>1450</v>
      </c>
      <c r="Q78" s="62"/>
      <c r="R78" s="62"/>
      <c r="S78" s="64"/>
      <c r="T78" s="53"/>
      <c r="U78" s="67"/>
      <c r="V78" s="34" t="s">
        <v>429</v>
      </c>
      <c r="W78" s="34">
        <v>33070300302</v>
      </c>
      <c r="X78" s="34" t="s">
        <v>430</v>
      </c>
      <c r="Y78" s="12" t="s">
        <v>39</v>
      </c>
      <c r="Z78" s="12" t="s">
        <v>39</v>
      </c>
      <c r="AA78" s="14" t="s">
        <v>38</v>
      </c>
      <c r="AB78" s="12" t="s">
        <v>39</v>
      </c>
      <c r="AC78" s="18">
        <v>2145</v>
      </c>
      <c r="AD78" s="18">
        <v>1970</v>
      </c>
      <c r="AE78" s="18">
        <v>1670</v>
      </c>
      <c r="AF78" s="71">
        <f t="shared" si="7"/>
        <v>0</v>
      </c>
      <c r="AG78" s="71" t="str">
        <f t="shared" si="8"/>
        <v>胸腔探查费</v>
      </c>
      <c r="AH78" s="71">
        <f t="shared" si="9"/>
        <v>1750</v>
      </c>
      <c r="AI78" s="71">
        <f t="shared" si="10"/>
        <v>1620</v>
      </c>
      <c r="AJ78" s="71">
        <f t="shared" si="11"/>
        <v>1450</v>
      </c>
    </row>
    <row r="79" s="22" customFormat="1" ht="25.5" spans="1:36">
      <c r="A79" s="34"/>
      <c r="B79" s="11"/>
      <c r="C79" s="45" t="s">
        <v>423</v>
      </c>
      <c r="D79" s="38"/>
      <c r="E79" s="48"/>
      <c r="F79" s="48"/>
      <c r="G79" s="34"/>
      <c r="H79" s="34"/>
      <c r="I79" s="54"/>
      <c r="J79" s="54"/>
      <c r="K79" s="53"/>
      <c r="L79" s="53"/>
      <c r="M79" s="53"/>
      <c r="N79" s="59">
        <v>1750</v>
      </c>
      <c r="O79" s="59">
        <v>1620</v>
      </c>
      <c r="P79" s="59">
        <v>1450</v>
      </c>
      <c r="Q79" s="62"/>
      <c r="R79" s="62"/>
      <c r="S79" s="64"/>
      <c r="T79" s="53"/>
      <c r="U79" s="67"/>
      <c r="V79" s="34" t="s">
        <v>431</v>
      </c>
      <c r="W79" s="34">
        <v>330703004</v>
      </c>
      <c r="X79" s="34" t="s">
        <v>432</v>
      </c>
      <c r="Y79" s="12" t="s">
        <v>39</v>
      </c>
      <c r="Z79" s="12" t="s">
        <v>39</v>
      </c>
      <c r="AA79" s="14" t="s">
        <v>38</v>
      </c>
      <c r="AB79" s="12" t="s">
        <v>39</v>
      </c>
      <c r="AC79" s="18">
        <v>1625</v>
      </c>
      <c r="AD79" s="18">
        <v>1560</v>
      </c>
      <c r="AE79" s="18">
        <v>1326</v>
      </c>
      <c r="AF79" s="71">
        <f t="shared" si="7"/>
        <v>0</v>
      </c>
      <c r="AG79" s="71" t="str">
        <f t="shared" si="8"/>
        <v>胸腔探查费</v>
      </c>
      <c r="AH79" s="71">
        <f t="shared" si="9"/>
        <v>1750</v>
      </c>
      <c r="AI79" s="71">
        <f t="shared" si="10"/>
        <v>1620</v>
      </c>
      <c r="AJ79" s="71">
        <f t="shared" si="11"/>
        <v>1450</v>
      </c>
    </row>
    <row r="80" s="22" customFormat="1" ht="25.5" spans="1:36">
      <c r="A80" s="34"/>
      <c r="B80" s="11"/>
      <c r="C80" s="45" t="s">
        <v>423</v>
      </c>
      <c r="D80" s="38"/>
      <c r="E80" s="48"/>
      <c r="F80" s="48"/>
      <c r="G80" s="34"/>
      <c r="H80" s="34"/>
      <c r="I80" s="54"/>
      <c r="J80" s="54"/>
      <c r="K80" s="53"/>
      <c r="L80" s="53"/>
      <c r="M80" s="53"/>
      <c r="N80" s="59">
        <v>1750</v>
      </c>
      <c r="O80" s="59">
        <v>1620</v>
      </c>
      <c r="P80" s="59">
        <v>1450</v>
      </c>
      <c r="Q80" s="62"/>
      <c r="R80" s="62"/>
      <c r="S80" s="64"/>
      <c r="T80" s="53"/>
      <c r="U80" s="67"/>
      <c r="V80" s="11" t="s">
        <v>433</v>
      </c>
      <c r="W80" s="11">
        <v>33070300402</v>
      </c>
      <c r="X80" s="11" t="s">
        <v>434</v>
      </c>
      <c r="Y80" s="12" t="s">
        <v>39</v>
      </c>
      <c r="Z80" s="12" t="s">
        <v>39</v>
      </c>
      <c r="AA80" s="14" t="s">
        <v>38</v>
      </c>
      <c r="AB80" s="12" t="s">
        <v>39</v>
      </c>
      <c r="AC80" s="18">
        <v>2250</v>
      </c>
      <c r="AD80" s="18">
        <v>2160</v>
      </c>
      <c r="AE80" s="18">
        <v>1836</v>
      </c>
      <c r="AF80" s="71">
        <f t="shared" si="7"/>
        <v>0</v>
      </c>
      <c r="AG80" s="71" t="str">
        <f t="shared" si="8"/>
        <v>胸腔探查费</v>
      </c>
      <c r="AH80" s="71">
        <f t="shared" si="9"/>
        <v>1750</v>
      </c>
      <c r="AI80" s="71">
        <f t="shared" si="10"/>
        <v>1620</v>
      </c>
      <c r="AJ80" s="71">
        <f t="shared" si="11"/>
        <v>1450</v>
      </c>
    </row>
    <row r="81" s="22" customFormat="1" ht="25.5" spans="1:36">
      <c r="A81" s="34" t="s">
        <v>68</v>
      </c>
      <c r="B81" s="44" t="s">
        <v>435</v>
      </c>
      <c r="C81" s="45" t="s">
        <v>436</v>
      </c>
      <c r="D81" s="38" t="s">
        <v>297</v>
      </c>
      <c r="E81" s="48" t="s">
        <v>39</v>
      </c>
      <c r="F81" s="48" t="s">
        <v>39</v>
      </c>
      <c r="G81" s="34" t="s">
        <v>38</v>
      </c>
      <c r="H81" s="34" t="s">
        <v>39</v>
      </c>
      <c r="I81" s="15">
        <v>540</v>
      </c>
      <c r="J81" s="15">
        <v>486</v>
      </c>
      <c r="K81" s="52"/>
      <c r="L81" s="52"/>
      <c r="M81" s="52"/>
      <c r="N81" s="61">
        <v>525</v>
      </c>
      <c r="O81" s="61">
        <v>485</v>
      </c>
      <c r="P81" s="61">
        <v>435</v>
      </c>
      <c r="Q81" s="34" t="s">
        <v>40</v>
      </c>
      <c r="R81" s="34" t="s">
        <v>39</v>
      </c>
      <c r="S81" s="63" t="s">
        <v>39</v>
      </c>
      <c r="T81" s="52"/>
      <c r="U81" s="48" t="s">
        <v>71</v>
      </c>
      <c r="V81" s="11" t="s">
        <v>437</v>
      </c>
      <c r="W81" s="11">
        <v>33070300301</v>
      </c>
      <c r="X81" s="11" t="s">
        <v>438</v>
      </c>
      <c r="Y81" s="12" t="s">
        <v>39</v>
      </c>
      <c r="Z81" s="12" t="s">
        <v>39</v>
      </c>
      <c r="AA81" s="14" t="s">
        <v>38</v>
      </c>
      <c r="AB81" s="12" t="s">
        <v>39</v>
      </c>
      <c r="AC81" s="18">
        <v>1975</v>
      </c>
      <c r="AD81" s="18">
        <v>1780</v>
      </c>
      <c r="AE81" s="18">
        <v>1515</v>
      </c>
      <c r="AF81" s="71">
        <f t="shared" si="7"/>
        <v>6</v>
      </c>
      <c r="AG81" s="71" t="str">
        <f t="shared" si="8"/>
        <v>胸腔探查费</v>
      </c>
      <c r="AH81" s="71">
        <f t="shared" si="9"/>
        <v>2275</v>
      </c>
      <c r="AI81" s="71">
        <f t="shared" si="10"/>
        <v>2105</v>
      </c>
      <c r="AJ81" s="71">
        <f t="shared" si="11"/>
        <v>1885</v>
      </c>
    </row>
    <row r="82" s="22" customFormat="1" ht="25.5" spans="1:36">
      <c r="A82" s="34"/>
      <c r="B82" s="11"/>
      <c r="C82" s="45" t="s">
        <v>436</v>
      </c>
      <c r="D82" s="38"/>
      <c r="E82" s="48"/>
      <c r="F82" s="48"/>
      <c r="G82" s="34"/>
      <c r="H82" s="34"/>
      <c r="I82" s="54"/>
      <c r="J82" s="54"/>
      <c r="K82" s="52"/>
      <c r="L82" s="52"/>
      <c r="M82" s="52"/>
      <c r="N82" s="61">
        <v>525</v>
      </c>
      <c r="O82" s="61">
        <v>485</v>
      </c>
      <c r="P82" s="61">
        <v>435</v>
      </c>
      <c r="Q82" s="34"/>
      <c r="R82" s="34"/>
      <c r="S82" s="63"/>
      <c r="T82" s="52"/>
      <c r="U82" s="48"/>
      <c r="V82" s="11" t="s">
        <v>439</v>
      </c>
      <c r="W82" s="11">
        <v>33070300303</v>
      </c>
      <c r="X82" s="11" t="s">
        <v>440</v>
      </c>
      <c r="Y82" s="12" t="s">
        <v>39</v>
      </c>
      <c r="Z82" s="12" t="s">
        <v>39</v>
      </c>
      <c r="AA82" s="14" t="s">
        <v>38</v>
      </c>
      <c r="AB82" s="12" t="s">
        <v>39</v>
      </c>
      <c r="AC82" s="18">
        <v>2600</v>
      </c>
      <c r="AD82" s="18">
        <v>2380</v>
      </c>
      <c r="AE82" s="18">
        <v>2025</v>
      </c>
      <c r="AF82" s="71">
        <f t="shared" si="7"/>
        <v>6</v>
      </c>
      <c r="AG82" s="71" t="str">
        <f t="shared" si="8"/>
        <v>胸腔探查费</v>
      </c>
      <c r="AH82" s="71">
        <f t="shared" si="9"/>
        <v>2275</v>
      </c>
      <c r="AI82" s="71">
        <f t="shared" si="10"/>
        <v>2105</v>
      </c>
      <c r="AJ82" s="71">
        <f t="shared" si="11"/>
        <v>1885</v>
      </c>
    </row>
    <row r="83" s="22" customFormat="1" ht="25.5" spans="1:36">
      <c r="A83" s="34"/>
      <c r="B83" s="11"/>
      <c r="C83" s="45" t="s">
        <v>436</v>
      </c>
      <c r="D83" s="38"/>
      <c r="E83" s="48"/>
      <c r="F83" s="48"/>
      <c r="G83" s="34"/>
      <c r="H83" s="34"/>
      <c r="I83" s="54"/>
      <c r="J83" s="54"/>
      <c r="K83" s="52"/>
      <c r="L83" s="52"/>
      <c r="M83" s="52"/>
      <c r="N83" s="61">
        <v>525</v>
      </c>
      <c r="O83" s="61">
        <v>485</v>
      </c>
      <c r="P83" s="61">
        <v>435</v>
      </c>
      <c r="Q83" s="34"/>
      <c r="R83" s="34"/>
      <c r="S83" s="63"/>
      <c r="T83" s="52"/>
      <c r="U83" s="48"/>
      <c r="V83" s="11" t="s">
        <v>441</v>
      </c>
      <c r="W83" s="11">
        <v>33070300401</v>
      </c>
      <c r="X83" s="11" t="s">
        <v>442</v>
      </c>
      <c r="Y83" s="12" t="s">
        <v>39</v>
      </c>
      <c r="Z83" s="12" t="s">
        <v>39</v>
      </c>
      <c r="AA83" s="14" t="s">
        <v>38</v>
      </c>
      <c r="AB83" s="12" t="s">
        <v>39</v>
      </c>
      <c r="AC83" s="18">
        <v>2115</v>
      </c>
      <c r="AD83" s="18">
        <v>2030</v>
      </c>
      <c r="AE83" s="18">
        <v>1725</v>
      </c>
      <c r="AF83" s="71">
        <f t="shared" si="7"/>
        <v>6</v>
      </c>
      <c r="AG83" s="71" t="str">
        <f t="shared" si="8"/>
        <v>胸腔探查费</v>
      </c>
      <c r="AH83" s="71">
        <f t="shared" si="9"/>
        <v>2275</v>
      </c>
      <c r="AI83" s="71">
        <f t="shared" si="10"/>
        <v>2105</v>
      </c>
      <c r="AJ83" s="71">
        <f t="shared" si="11"/>
        <v>1885</v>
      </c>
    </row>
    <row r="84" s="22" customFormat="1" ht="25.5" spans="1:36">
      <c r="A84" s="34"/>
      <c r="B84" s="11"/>
      <c r="C84" s="45" t="s">
        <v>436</v>
      </c>
      <c r="D84" s="38"/>
      <c r="E84" s="48"/>
      <c r="F84" s="48"/>
      <c r="G84" s="34"/>
      <c r="H84" s="34"/>
      <c r="I84" s="54"/>
      <c r="J84" s="54"/>
      <c r="K84" s="52"/>
      <c r="L84" s="52"/>
      <c r="M84" s="52"/>
      <c r="N84" s="61">
        <v>525</v>
      </c>
      <c r="O84" s="61">
        <v>485</v>
      </c>
      <c r="P84" s="61">
        <v>435</v>
      </c>
      <c r="Q84" s="34"/>
      <c r="R84" s="34"/>
      <c r="S84" s="63"/>
      <c r="T84" s="52"/>
      <c r="U84" s="48"/>
      <c r="V84" s="11" t="s">
        <v>443</v>
      </c>
      <c r="W84" s="11">
        <v>33070300403</v>
      </c>
      <c r="X84" s="11" t="s">
        <v>444</v>
      </c>
      <c r="Y84" s="12" t="s">
        <v>39</v>
      </c>
      <c r="Z84" s="12" t="s">
        <v>39</v>
      </c>
      <c r="AA84" s="14" t="s">
        <v>38</v>
      </c>
      <c r="AB84" s="12" t="s">
        <v>39</v>
      </c>
      <c r="AC84" s="18">
        <v>2740</v>
      </c>
      <c r="AD84" s="18">
        <v>2630</v>
      </c>
      <c r="AE84" s="18">
        <v>2235</v>
      </c>
      <c r="AF84" s="71">
        <f t="shared" si="7"/>
        <v>6</v>
      </c>
      <c r="AG84" s="71" t="str">
        <f t="shared" si="8"/>
        <v>胸腔探查费</v>
      </c>
      <c r="AH84" s="71">
        <f t="shared" si="9"/>
        <v>2275</v>
      </c>
      <c r="AI84" s="71">
        <f t="shared" si="10"/>
        <v>2105</v>
      </c>
      <c r="AJ84" s="71">
        <f t="shared" si="11"/>
        <v>1885</v>
      </c>
    </row>
    <row r="85" s="22" customFormat="1" ht="33" customHeight="1" spans="1:36">
      <c r="A85" s="34">
        <v>38</v>
      </c>
      <c r="B85" s="11" t="s">
        <v>445</v>
      </c>
      <c r="C85" s="37" t="s">
        <v>446</v>
      </c>
      <c r="D85" s="38" t="s">
        <v>297</v>
      </c>
      <c r="E85" s="48" t="s">
        <v>447</v>
      </c>
      <c r="F85" s="48" t="s">
        <v>448</v>
      </c>
      <c r="G85" s="34" t="s">
        <v>38</v>
      </c>
      <c r="H85" s="34" t="s">
        <v>449</v>
      </c>
      <c r="I85" s="15">
        <v>4156</v>
      </c>
      <c r="J85" s="15">
        <v>3740</v>
      </c>
      <c r="K85" s="52">
        <v>3665</v>
      </c>
      <c r="L85" s="52"/>
      <c r="M85" s="52"/>
      <c r="N85" s="61">
        <v>3700</v>
      </c>
      <c r="O85" s="61">
        <v>3350</v>
      </c>
      <c r="P85" s="61">
        <v>2850</v>
      </c>
      <c r="Q85" s="34" t="s">
        <v>40</v>
      </c>
      <c r="R85" s="34" t="s">
        <v>39</v>
      </c>
      <c r="S85" s="63" t="s">
        <v>39</v>
      </c>
      <c r="T85" s="52" t="s">
        <v>344</v>
      </c>
      <c r="U85" s="48" t="s">
        <v>450</v>
      </c>
      <c r="V85" s="34" t="s">
        <v>451</v>
      </c>
      <c r="W85" s="34">
        <v>330703030</v>
      </c>
      <c r="X85" s="34" t="s">
        <v>452</v>
      </c>
      <c r="Y85" s="12" t="s">
        <v>39</v>
      </c>
      <c r="Z85" s="12" t="s">
        <v>453</v>
      </c>
      <c r="AA85" s="14" t="s">
        <v>38</v>
      </c>
      <c r="AB85" s="12" t="s">
        <v>39</v>
      </c>
      <c r="AC85" s="18">
        <v>3040</v>
      </c>
      <c r="AD85" s="18">
        <v>2740</v>
      </c>
      <c r="AE85" s="18">
        <v>2330</v>
      </c>
      <c r="AF85" s="71">
        <f t="shared" si="7"/>
        <v>0</v>
      </c>
      <c r="AG85" s="71" t="str">
        <f t="shared" si="8"/>
        <v>胸腔病变切除费</v>
      </c>
      <c r="AH85" s="71">
        <f t="shared" si="9"/>
        <v>3700</v>
      </c>
      <c r="AI85" s="71">
        <f t="shared" si="10"/>
        <v>3350</v>
      </c>
      <c r="AJ85" s="71">
        <f t="shared" si="11"/>
        <v>2850</v>
      </c>
    </row>
    <row r="86" s="22" customFormat="1" ht="33" customHeight="1" spans="1:36">
      <c r="A86" s="34"/>
      <c r="B86" s="11"/>
      <c r="C86" s="37" t="s">
        <v>446</v>
      </c>
      <c r="D86" s="38"/>
      <c r="E86" s="48"/>
      <c r="F86" s="48"/>
      <c r="G86" s="34"/>
      <c r="H86" s="34"/>
      <c r="I86" s="54"/>
      <c r="J86" s="54"/>
      <c r="K86" s="52"/>
      <c r="L86" s="52"/>
      <c r="M86" s="52"/>
      <c r="N86" s="61">
        <v>3700</v>
      </c>
      <c r="O86" s="61">
        <v>3350</v>
      </c>
      <c r="P86" s="61">
        <v>2850</v>
      </c>
      <c r="Q86" s="34"/>
      <c r="R86" s="34"/>
      <c r="S86" s="63"/>
      <c r="T86" s="52"/>
      <c r="U86" s="48"/>
      <c r="V86" s="11" t="s">
        <v>454</v>
      </c>
      <c r="W86" s="11">
        <v>33070303002</v>
      </c>
      <c r="X86" s="11" t="s">
        <v>455</v>
      </c>
      <c r="Y86" s="12" t="s">
        <v>39</v>
      </c>
      <c r="Z86" s="12" t="s">
        <v>39</v>
      </c>
      <c r="AA86" s="14" t="s">
        <v>38</v>
      </c>
      <c r="AB86" s="12" t="s">
        <v>39</v>
      </c>
      <c r="AC86" s="18">
        <v>3665</v>
      </c>
      <c r="AD86" s="18">
        <v>3340</v>
      </c>
      <c r="AE86" s="18">
        <v>2840</v>
      </c>
      <c r="AF86" s="71">
        <f t="shared" si="7"/>
        <v>0</v>
      </c>
      <c r="AG86" s="71" t="str">
        <f t="shared" si="8"/>
        <v>胸腔病变切除费</v>
      </c>
      <c r="AH86" s="71">
        <f t="shared" si="9"/>
        <v>3700</v>
      </c>
      <c r="AI86" s="71">
        <f t="shared" si="10"/>
        <v>3350</v>
      </c>
      <c r="AJ86" s="71">
        <f t="shared" si="11"/>
        <v>2850</v>
      </c>
    </row>
    <row r="87" s="22" customFormat="1" ht="28" customHeight="1" spans="1:36">
      <c r="A87" s="34" t="s">
        <v>68</v>
      </c>
      <c r="B87" s="11" t="s">
        <v>456</v>
      </c>
      <c r="C87" s="37" t="s">
        <v>457</v>
      </c>
      <c r="D87" s="38" t="s">
        <v>297</v>
      </c>
      <c r="E87" s="48" t="s">
        <v>39</v>
      </c>
      <c r="F87" s="48" t="s">
        <v>39</v>
      </c>
      <c r="G87" s="34" t="s">
        <v>38</v>
      </c>
      <c r="H87" s="34" t="s">
        <v>39</v>
      </c>
      <c r="I87" s="15">
        <v>1247</v>
      </c>
      <c r="J87" s="15">
        <v>1122</v>
      </c>
      <c r="K87" s="52"/>
      <c r="L87" s="52"/>
      <c r="M87" s="52"/>
      <c r="N87" s="61">
        <v>1110</v>
      </c>
      <c r="O87" s="61">
        <v>1005</v>
      </c>
      <c r="P87" s="61">
        <v>855</v>
      </c>
      <c r="Q87" s="34" t="s">
        <v>40</v>
      </c>
      <c r="R87" s="34" t="s">
        <v>39</v>
      </c>
      <c r="S87" s="63" t="s">
        <v>39</v>
      </c>
      <c r="T87" s="52"/>
      <c r="U87" s="48" t="s">
        <v>71</v>
      </c>
      <c r="V87" s="11" t="s">
        <v>458</v>
      </c>
      <c r="W87" s="11">
        <v>33070303001</v>
      </c>
      <c r="X87" s="11" t="s">
        <v>459</v>
      </c>
      <c r="Y87" s="12" t="s">
        <v>39</v>
      </c>
      <c r="Z87" s="12" t="s">
        <v>39</v>
      </c>
      <c r="AA87" s="14" t="s">
        <v>38</v>
      </c>
      <c r="AB87" s="12" t="s">
        <v>39</v>
      </c>
      <c r="AC87" s="18">
        <v>3950</v>
      </c>
      <c r="AD87" s="18">
        <v>3560</v>
      </c>
      <c r="AE87" s="18">
        <v>3025</v>
      </c>
      <c r="AF87" s="71">
        <f t="shared" si="7"/>
        <v>8</v>
      </c>
      <c r="AG87" s="71" t="str">
        <f t="shared" si="8"/>
        <v>胸腔病变切除费</v>
      </c>
      <c r="AH87" s="71">
        <f t="shared" si="9"/>
        <v>4810</v>
      </c>
      <c r="AI87" s="71">
        <f t="shared" si="10"/>
        <v>4355</v>
      </c>
      <c r="AJ87" s="71">
        <f t="shared" si="11"/>
        <v>3705</v>
      </c>
    </row>
    <row r="88" s="22" customFormat="1" ht="28" customHeight="1" spans="1:36">
      <c r="A88" s="34"/>
      <c r="B88" s="11"/>
      <c r="C88" s="37" t="s">
        <v>457</v>
      </c>
      <c r="D88" s="38"/>
      <c r="E88" s="48"/>
      <c r="F88" s="48"/>
      <c r="G88" s="34"/>
      <c r="H88" s="34"/>
      <c r="I88" s="54"/>
      <c r="J88" s="54"/>
      <c r="K88" s="52"/>
      <c r="L88" s="52"/>
      <c r="M88" s="52"/>
      <c r="N88" s="61">
        <v>1110</v>
      </c>
      <c r="O88" s="61">
        <v>1005</v>
      </c>
      <c r="P88" s="61">
        <v>855</v>
      </c>
      <c r="Q88" s="34"/>
      <c r="R88" s="34"/>
      <c r="S88" s="63"/>
      <c r="T88" s="52"/>
      <c r="U88" s="48"/>
      <c r="V88" s="11" t="s">
        <v>460</v>
      </c>
      <c r="W88" s="11">
        <v>33070303003</v>
      </c>
      <c r="X88" s="11" t="s">
        <v>461</v>
      </c>
      <c r="Y88" s="12" t="s">
        <v>39</v>
      </c>
      <c r="Z88" s="12" t="s">
        <v>39</v>
      </c>
      <c r="AA88" s="14" t="s">
        <v>38</v>
      </c>
      <c r="AB88" s="12" t="s">
        <v>39</v>
      </c>
      <c r="AC88" s="18">
        <v>4575</v>
      </c>
      <c r="AD88" s="18">
        <v>4160</v>
      </c>
      <c r="AE88" s="18">
        <v>3535</v>
      </c>
      <c r="AF88" s="71">
        <f t="shared" si="7"/>
        <v>8</v>
      </c>
      <c r="AG88" s="71" t="str">
        <f t="shared" si="8"/>
        <v>胸腔病变切除费</v>
      </c>
      <c r="AH88" s="71">
        <f t="shared" si="9"/>
        <v>4810</v>
      </c>
      <c r="AI88" s="71">
        <f t="shared" si="10"/>
        <v>4355</v>
      </c>
      <c r="AJ88" s="71">
        <f t="shared" si="11"/>
        <v>3705</v>
      </c>
    </row>
    <row r="89" s="22" customFormat="1" ht="24" customHeight="1" spans="1:36">
      <c r="A89" s="34">
        <v>39</v>
      </c>
      <c r="B89" s="11" t="s">
        <v>462</v>
      </c>
      <c r="C89" s="37" t="s">
        <v>463</v>
      </c>
      <c r="D89" s="38" t="s">
        <v>297</v>
      </c>
      <c r="E89" s="48" t="s">
        <v>464</v>
      </c>
      <c r="F89" s="48" t="s">
        <v>398</v>
      </c>
      <c r="G89" s="34" t="s">
        <v>241</v>
      </c>
      <c r="H89" s="34" t="s">
        <v>39</v>
      </c>
      <c r="I89" s="15">
        <v>4800</v>
      </c>
      <c r="J89" s="15">
        <v>4320</v>
      </c>
      <c r="K89" s="53">
        <v>4703.57685810811</v>
      </c>
      <c r="L89" s="53">
        <v>4316.26423690205</v>
      </c>
      <c r="M89" s="53">
        <v>3861.11111111111</v>
      </c>
      <c r="N89" s="59">
        <v>4700</v>
      </c>
      <c r="O89" s="59">
        <v>4300</v>
      </c>
      <c r="P89" s="59">
        <v>3800</v>
      </c>
      <c r="Q89" s="62" t="s">
        <v>40</v>
      </c>
      <c r="R89" s="62" t="s">
        <v>39</v>
      </c>
      <c r="S89" s="64" t="s">
        <v>39</v>
      </c>
      <c r="T89" s="53" t="s">
        <v>95</v>
      </c>
      <c r="U89" s="67" t="s">
        <v>465</v>
      </c>
      <c r="V89" s="34" t="s">
        <v>466</v>
      </c>
      <c r="W89" s="34">
        <v>330702005</v>
      </c>
      <c r="X89" s="34" t="s">
        <v>467</v>
      </c>
      <c r="Y89" s="12" t="s">
        <v>39</v>
      </c>
      <c r="Z89" s="12" t="s">
        <v>39</v>
      </c>
      <c r="AA89" s="14" t="s">
        <v>38</v>
      </c>
      <c r="AB89" s="12" t="s">
        <v>468</v>
      </c>
      <c r="AC89" s="18">
        <v>2185</v>
      </c>
      <c r="AD89" s="18">
        <v>1965</v>
      </c>
      <c r="AE89" s="18">
        <v>1570</v>
      </c>
      <c r="AF89" s="71">
        <f t="shared" si="7"/>
        <v>0</v>
      </c>
      <c r="AG89" s="71" t="str">
        <f t="shared" si="8"/>
        <v>非解剖性肺部分切除费</v>
      </c>
      <c r="AH89" s="71">
        <f t="shared" si="9"/>
        <v>4700</v>
      </c>
      <c r="AI89" s="71">
        <f t="shared" si="10"/>
        <v>4300</v>
      </c>
      <c r="AJ89" s="71">
        <f t="shared" si="11"/>
        <v>3800</v>
      </c>
    </row>
    <row r="90" s="22" customFormat="1" ht="24" customHeight="1" spans="1:36">
      <c r="A90" s="34"/>
      <c r="B90" s="11"/>
      <c r="C90" s="37" t="s">
        <v>463</v>
      </c>
      <c r="D90" s="38"/>
      <c r="E90" s="48"/>
      <c r="F90" s="48"/>
      <c r="G90" s="34"/>
      <c r="H90" s="34"/>
      <c r="I90" s="54"/>
      <c r="J90" s="54"/>
      <c r="K90" s="53"/>
      <c r="L90" s="53"/>
      <c r="M90" s="53"/>
      <c r="N90" s="59">
        <v>4700</v>
      </c>
      <c r="O90" s="59">
        <v>4300</v>
      </c>
      <c r="P90" s="59">
        <v>3800</v>
      </c>
      <c r="Q90" s="62"/>
      <c r="R90" s="62"/>
      <c r="S90" s="64"/>
      <c r="T90" s="53"/>
      <c r="U90" s="67"/>
      <c r="V90" s="34" t="s">
        <v>469</v>
      </c>
      <c r="W90" s="34">
        <v>33070200504</v>
      </c>
      <c r="X90" s="34" t="s">
        <v>470</v>
      </c>
      <c r="Y90" s="12" t="s">
        <v>39</v>
      </c>
      <c r="Z90" s="12" t="s">
        <v>39</v>
      </c>
      <c r="AA90" s="14" t="s">
        <v>38</v>
      </c>
      <c r="AB90" s="12" t="s">
        <v>39</v>
      </c>
      <c r="AC90" s="18">
        <v>2810</v>
      </c>
      <c r="AD90" s="18">
        <v>2565</v>
      </c>
      <c r="AE90" s="18">
        <v>2080</v>
      </c>
      <c r="AF90" s="71">
        <f t="shared" si="7"/>
        <v>0</v>
      </c>
      <c r="AG90" s="71" t="str">
        <f t="shared" si="8"/>
        <v>非解剖性肺部分切除费</v>
      </c>
      <c r="AH90" s="71">
        <f t="shared" si="9"/>
        <v>4700</v>
      </c>
      <c r="AI90" s="71">
        <f t="shared" si="10"/>
        <v>4300</v>
      </c>
      <c r="AJ90" s="71">
        <f t="shared" si="11"/>
        <v>3800</v>
      </c>
    </row>
    <row r="91" s="22" customFormat="1" ht="24" customHeight="1" spans="1:36">
      <c r="A91" s="34"/>
      <c r="B91" s="11"/>
      <c r="C91" s="37" t="s">
        <v>463</v>
      </c>
      <c r="D91" s="38"/>
      <c r="E91" s="48"/>
      <c r="F91" s="48"/>
      <c r="G91" s="34"/>
      <c r="H91" s="34"/>
      <c r="I91" s="54"/>
      <c r="J91" s="54"/>
      <c r="K91" s="53"/>
      <c r="L91" s="53"/>
      <c r="M91" s="53"/>
      <c r="N91" s="59">
        <v>4700</v>
      </c>
      <c r="O91" s="59">
        <v>4300</v>
      </c>
      <c r="P91" s="59">
        <v>3800</v>
      </c>
      <c r="Q91" s="62"/>
      <c r="R91" s="62"/>
      <c r="S91" s="64"/>
      <c r="T91" s="53"/>
      <c r="U91" s="67"/>
      <c r="V91" s="34" t="s">
        <v>471</v>
      </c>
      <c r="W91" s="34">
        <v>330702004</v>
      </c>
      <c r="X91" s="73" t="s">
        <v>472</v>
      </c>
      <c r="Y91" s="12" t="s">
        <v>473</v>
      </c>
      <c r="Z91" s="12" t="s">
        <v>39</v>
      </c>
      <c r="AA91" s="14" t="s">
        <v>38</v>
      </c>
      <c r="AB91" s="12" t="s">
        <v>474</v>
      </c>
      <c r="AC91" s="18">
        <v>3380</v>
      </c>
      <c r="AD91" s="18">
        <v>3040</v>
      </c>
      <c r="AE91" s="18">
        <v>2580</v>
      </c>
      <c r="AF91" s="71">
        <f t="shared" si="7"/>
        <v>0</v>
      </c>
      <c r="AG91" s="71" t="str">
        <f t="shared" si="8"/>
        <v>非解剖性肺部分切除费</v>
      </c>
      <c r="AH91" s="71">
        <f t="shared" si="9"/>
        <v>4700</v>
      </c>
      <c r="AI91" s="71">
        <f t="shared" si="10"/>
        <v>4300</v>
      </c>
      <c r="AJ91" s="71">
        <f t="shared" si="11"/>
        <v>3800</v>
      </c>
    </row>
    <row r="92" s="22" customFormat="1" ht="24" customHeight="1" spans="1:36">
      <c r="A92" s="34"/>
      <c r="B92" s="11"/>
      <c r="C92" s="37" t="s">
        <v>463</v>
      </c>
      <c r="D92" s="38"/>
      <c r="E92" s="48"/>
      <c r="F92" s="48"/>
      <c r="G92" s="34"/>
      <c r="H92" s="34"/>
      <c r="I92" s="54"/>
      <c r="J92" s="54"/>
      <c r="K92" s="53"/>
      <c r="L92" s="53"/>
      <c r="M92" s="53"/>
      <c r="N92" s="59">
        <v>4700</v>
      </c>
      <c r="O92" s="59">
        <v>4300</v>
      </c>
      <c r="P92" s="59">
        <v>3800</v>
      </c>
      <c r="Q92" s="62"/>
      <c r="R92" s="62"/>
      <c r="S92" s="64"/>
      <c r="T92" s="53"/>
      <c r="U92" s="67"/>
      <c r="V92" s="11" t="s">
        <v>475</v>
      </c>
      <c r="W92" s="11">
        <v>33070200404</v>
      </c>
      <c r="X92" s="18" t="s">
        <v>476</v>
      </c>
      <c r="Y92" s="12" t="s">
        <v>39</v>
      </c>
      <c r="Z92" s="12" t="s">
        <v>39</v>
      </c>
      <c r="AA92" s="14" t="s">
        <v>38</v>
      </c>
      <c r="AB92" s="12" t="s">
        <v>39</v>
      </c>
      <c r="AC92" s="18">
        <v>4005</v>
      </c>
      <c r="AD92" s="18">
        <v>3640</v>
      </c>
      <c r="AE92" s="18">
        <v>3090</v>
      </c>
      <c r="AF92" s="71">
        <f t="shared" si="7"/>
        <v>0</v>
      </c>
      <c r="AG92" s="71" t="str">
        <f t="shared" si="8"/>
        <v>非解剖性肺部分切除费</v>
      </c>
      <c r="AH92" s="71">
        <f t="shared" si="9"/>
        <v>4700</v>
      </c>
      <c r="AI92" s="71">
        <f t="shared" si="10"/>
        <v>4300</v>
      </c>
      <c r="AJ92" s="71">
        <f t="shared" si="11"/>
        <v>3800</v>
      </c>
    </row>
    <row r="93" s="22" customFormat="1" ht="24" customHeight="1" spans="1:36">
      <c r="A93" s="34"/>
      <c r="B93" s="11"/>
      <c r="C93" s="37" t="s">
        <v>463</v>
      </c>
      <c r="D93" s="38"/>
      <c r="E93" s="48"/>
      <c r="F93" s="48"/>
      <c r="G93" s="34"/>
      <c r="H93" s="34"/>
      <c r="I93" s="54"/>
      <c r="J93" s="54"/>
      <c r="K93" s="53"/>
      <c r="L93" s="53"/>
      <c r="M93" s="53"/>
      <c r="N93" s="59">
        <v>4700</v>
      </c>
      <c r="O93" s="59">
        <v>4300</v>
      </c>
      <c r="P93" s="59">
        <v>3800</v>
      </c>
      <c r="Q93" s="62"/>
      <c r="R93" s="62"/>
      <c r="S93" s="64"/>
      <c r="T93" s="53"/>
      <c r="U93" s="67"/>
      <c r="V93" s="34" t="s">
        <v>477</v>
      </c>
      <c r="W93" s="34">
        <v>330702009</v>
      </c>
      <c r="X93" s="34" t="s">
        <v>478</v>
      </c>
      <c r="Y93" s="12" t="s">
        <v>479</v>
      </c>
      <c r="Z93" s="12" t="s">
        <v>39</v>
      </c>
      <c r="AA93" s="14" t="s">
        <v>38</v>
      </c>
      <c r="AB93" s="12" t="s">
        <v>480</v>
      </c>
      <c r="AC93" s="18">
        <v>1875</v>
      </c>
      <c r="AD93" s="18">
        <v>1800</v>
      </c>
      <c r="AE93" s="18">
        <v>1530</v>
      </c>
      <c r="AF93" s="71">
        <f t="shared" si="7"/>
        <v>0</v>
      </c>
      <c r="AG93" s="71" t="str">
        <f t="shared" si="8"/>
        <v>非解剖性肺部分切除费</v>
      </c>
      <c r="AH93" s="71">
        <f t="shared" si="9"/>
        <v>4700</v>
      </c>
      <c r="AI93" s="71">
        <f t="shared" si="10"/>
        <v>4300</v>
      </c>
      <c r="AJ93" s="71">
        <f t="shared" si="11"/>
        <v>3800</v>
      </c>
    </row>
    <row r="94" s="22" customFormat="1" ht="24" customHeight="1" spans="1:36">
      <c r="A94" s="34"/>
      <c r="B94" s="11"/>
      <c r="C94" s="37" t="s">
        <v>463</v>
      </c>
      <c r="D94" s="38"/>
      <c r="E94" s="48"/>
      <c r="F94" s="48"/>
      <c r="G94" s="34"/>
      <c r="H94" s="34"/>
      <c r="I94" s="54"/>
      <c r="J94" s="54"/>
      <c r="K94" s="53"/>
      <c r="L94" s="53"/>
      <c r="M94" s="53"/>
      <c r="N94" s="59">
        <v>4700</v>
      </c>
      <c r="O94" s="59">
        <v>4300</v>
      </c>
      <c r="P94" s="59">
        <v>3800</v>
      </c>
      <c r="Q94" s="62"/>
      <c r="R94" s="62"/>
      <c r="S94" s="64"/>
      <c r="T94" s="53"/>
      <c r="U94" s="67"/>
      <c r="V94" s="34" t="s">
        <v>481</v>
      </c>
      <c r="W94" s="34">
        <v>33070200904</v>
      </c>
      <c r="X94" s="34" t="s">
        <v>482</v>
      </c>
      <c r="Y94" s="12" t="s">
        <v>39</v>
      </c>
      <c r="Z94" s="12" t="s">
        <v>39</v>
      </c>
      <c r="AA94" s="14" t="s">
        <v>38</v>
      </c>
      <c r="AB94" s="12" t="s">
        <v>39</v>
      </c>
      <c r="AC94" s="18">
        <v>2500</v>
      </c>
      <c r="AD94" s="18">
        <v>2400</v>
      </c>
      <c r="AE94" s="18">
        <v>2040</v>
      </c>
      <c r="AF94" s="71">
        <f t="shared" si="7"/>
        <v>0</v>
      </c>
      <c r="AG94" s="71" t="str">
        <f t="shared" si="8"/>
        <v>非解剖性肺部分切除费</v>
      </c>
      <c r="AH94" s="71">
        <f t="shared" si="9"/>
        <v>4700</v>
      </c>
      <c r="AI94" s="71">
        <f t="shared" si="10"/>
        <v>4300</v>
      </c>
      <c r="AJ94" s="71">
        <f t="shared" si="11"/>
        <v>3800</v>
      </c>
    </row>
    <row r="95" s="22" customFormat="1" ht="24" customHeight="1" spans="1:36">
      <c r="A95" s="34"/>
      <c r="B95" s="11"/>
      <c r="C95" s="37" t="s">
        <v>463</v>
      </c>
      <c r="D95" s="38"/>
      <c r="E95" s="48"/>
      <c r="F95" s="48"/>
      <c r="G95" s="34"/>
      <c r="H95" s="34"/>
      <c r="I95" s="54"/>
      <c r="J95" s="54"/>
      <c r="K95" s="53"/>
      <c r="L95" s="53"/>
      <c r="M95" s="53"/>
      <c r="N95" s="59">
        <v>4700</v>
      </c>
      <c r="O95" s="59">
        <v>4300</v>
      </c>
      <c r="P95" s="59">
        <v>3800</v>
      </c>
      <c r="Q95" s="62"/>
      <c r="R95" s="62"/>
      <c r="S95" s="64"/>
      <c r="T95" s="53"/>
      <c r="U95" s="67"/>
      <c r="V95" s="34" t="s">
        <v>483</v>
      </c>
      <c r="W95" s="34">
        <v>330702015</v>
      </c>
      <c r="X95" s="34" t="s">
        <v>484</v>
      </c>
      <c r="Y95" s="12" t="s">
        <v>485</v>
      </c>
      <c r="Z95" s="12" t="s">
        <v>39</v>
      </c>
      <c r="AA95" s="14" t="s">
        <v>38</v>
      </c>
      <c r="AB95" s="12" t="s">
        <v>486</v>
      </c>
      <c r="AC95" s="18">
        <v>3040</v>
      </c>
      <c r="AD95" s="18">
        <v>2740</v>
      </c>
      <c r="AE95" s="18">
        <v>2330</v>
      </c>
      <c r="AF95" s="71">
        <f t="shared" si="7"/>
        <v>0</v>
      </c>
      <c r="AG95" s="71" t="str">
        <f t="shared" si="8"/>
        <v>非解剖性肺部分切除费</v>
      </c>
      <c r="AH95" s="71">
        <f t="shared" si="9"/>
        <v>4700</v>
      </c>
      <c r="AI95" s="71">
        <f t="shared" si="10"/>
        <v>4300</v>
      </c>
      <c r="AJ95" s="71">
        <f t="shared" si="11"/>
        <v>3800</v>
      </c>
    </row>
    <row r="96" s="22" customFormat="1" ht="24" customHeight="1" spans="1:36">
      <c r="A96" s="34"/>
      <c r="B96" s="11"/>
      <c r="C96" s="37" t="s">
        <v>463</v>
      </c>
      <c r="D96" s="38"/>
      <c r="E96" s="48"/>
      <c r="F96" s="48"/>
      <c r="G96" s="34"/>
      <c r="H96" s="34"/>
      <c r="I96" s="54"/>
      <c r="J96" s="54"/>
      <c r="K96" s="53"/>
      <c r="L96" s="53"/>
      <c r="M96" s="53"/>
      <c r="N96" s="59">
        <v>4700</v>
      </c>
      <c r="O96" s="59">
        <v>4300</v>
      </c>
      <c r="P96" s="59">
        <v>3800</v>
      </c>
      <c r="Q96" s="62"/>
      <c r="R96" s="62"/>
      <c r="S96" s="64"/>
      <c r="T96" s="53"/>
      <c r="U96" s="67"/>
      <c r="V96" s="34" t="s">
        <v>487</v>
      </c>
      <c r="W96" s="34">
        <v>33070201504</v>
      </c>
      <c r="X96" s="34" t="s">
        <v>488</v>
      </c>
      <c r="Y96" s="12" t="s">
        <v>39</v>
      </c>
      <c r="Z96" s="12" t="s">
        <v>39</v>
      </c>
      <c r="AA96" s="14" t="s">
        <v>38</v>
      </c>
      <c r="AB96" s="12" t="s">
        <v>39</v>
      </c>
      <c r="AC96" s="18">
        <v>3665</v>
      </c>
      <c r="AD96" s="18">
        <v>3340</v>
      </c>
      <c r="AE96" s="18">
        <v>2840</v>
      </c>
      <c r="AF96" s="71">
        <f t="shared" si="7"/>
        <v>0</v>
      </c>
      <c r="AG96" s="71" t="str">
        <f t="shared" si="8"/>
        <v>非解剖性肺部分切除费</v>
      </c>
      <c r="AH96" s="71">
        <f t="shared" si="9"/>
        <v>4700</v>
      </c>
      <c r="AI96" s="71">
        <f t="shared" si="10"/>
        <v>4300</v>
      </c>
      <c r="AJ96" s="71">
        <f t="shared" si="11"/>
        <v>3800</v>
      </c>
    </row>
    <row r="97" s="22" customFormat="1" ht="24" customHeight="1" spans="1:36">
      <c r="A97" s="34"/>
      <c r="B97" s="11"/>
      <c r="C97" s="37" t="s">
        <v>463</v>
      </c>
      <c r="D97" s="38"/>
      <c r="E97" s="48"/>
      <c r="F97" s="48"/>
      <c r="G97" s="34"/>
      <c r="H97" s="34"/>
      <c r="I97" s="54"/>
      <c r="J97" s="54"/>
      <c r="K97" s="53"/>
      <c r="L97" s="53"/>
      <c r="M97" s="53"/>
      <c r="N97" s="59">
        <v>4700</v>
      </c>
      <c r="O97" s="59">
        <v>4300</v>
      </c>
      <c r="P97" s="59">
        <v>3800</v>
      </c>
      <c r="Q97" s="62"/>
      <c r="R97" s="62"/>
      <c r="S97" s="64"/>
      <c r="T97" s="53"/>
      <c r="U97" s="67"/>
      <c r="V97" s="74" t="s">
        <v>489</v>
      </c>
      <c r="W97" s="74">
        <v>330702002</v>
      </c>
      <c r="X97" s="74" t="s">
        <v>490</v>
      </c>
      <c r="Y97" s="76" t="s">
        <v>491</v>
      </c>
      <c r="Z97" s="76" t="s">
        <v>39</v>
      </c>
      <c r="AA97" s="77" t="s">
        <v>38</v>
      </c>
      <c r="AB97" s="76" t="s">
        <v>492</v>
      </c>
      <c r="AC97" s="78">
        <v>7980</v>
      </c>
      <c r="AD97" s="78">
        <v>7180</v>
      </c>
      <c r="AE97" s="78">
        <v>5745</v>
      </c>
      <c r="AF97" s="71">
        <f t="shared" si="7"/>
        <v>0</v>
      </c>
      <c r="AG97" s="71" t="str">
        <f t="shared" si="8"/>
        <v>非解剖性肺部分切除费</v>
      </c>
      <c r="AH97" s="71">
        <f t="shared" si="9"/>
        <v>4700</v>
      </c>
      <c r="AI97" s="71">
        <f t="shared" si="10"/>
        <v>4300</v>
      </c>
      <c r="AJ97" s="71">
        <f t="shared" si="11"/>
        <v>3800</v>
      </c>
    </row>
    <row r="98" s="22" customFormat="1" ht="24" customHeight="1" spans="1:36">
      <c r="A98" s="34"/>
      <c r="B98" s="11"/>
      <c r="C98" s="37" t="s">
        <v>463</v>
      </c>
      <c r="D98" s="38"/>
      <c r="E98" s="48"/>
      <c r="F98" s="48"/>
      <c r="G98" s="34"/>
      <c r="H98" s="34"/>
      <c r="I98" s="54"/>
      <c r="J98" s="54"/>
      <c r="K98" s="53"/>
      <c r="L98" s="53"/>
      <c r="M98" s="53"/>
      <c r="N98" s="59">
        <v>4700</v>
      </c>
      <c r="O98" s="59">
        <v>4300</v>
      </c>
      <c r="P98" s="59">
        <v>3800</v>
      </c>
      <c r="Q98" s="62"/>
      <c r="R98" s="62"/>
      <c r="S98" s="64"/>
      <c r="T98" s="53"/>
      <c r="U98" s="67"/>
      <c r="V98" s="74" t="s">
        <v>493</v>
      </c>
      <c r="W98" s="74">
        <v>33070200204</v>
      </c>
      <c r="X98" s="74" t="s">
        <v>494</v>
      </c>
      <c r="Y98" s="76" t="s">
        <v>39</v>
      </c>
      <c r="Z98" s="76" t="s">
        <v>39</v>
      </c>
      <c r="AA98" s="77" t="s">
        <v>38</v>
      </c>
      <c r="AB98" s="76" t="s">
        <v>39</v>
      </c>
      <c r="AC98" s="78">
        <v>8605</v>
      </c>
      <c r="AD98" s="78">
        <v>7780</v>
      </c>
      <c r="AE98" s="78">
        <v>6255</v>
      </c>
      <c r="AF98" s="71">
        <f t="shared" si="7"/>
        <v>0</v>
      </c>
      <c r="AG98" s="71" t="str">
        <f t="shared" si="8"/>
        <v>非解剖性肺部分切除费</v>
      </c>
      <c r="AH98" s="71">
        <f t="shared" si="9"/>
        <v>4700</v>
      </c>
      <c r="AI98" s="71">
        <f t="shared" si="10"/>
        <v>4300</v>
      </c>
      <c r="AJ98" s="71">
        <f t="shared" si="11"/>
        <v>3800</v>
      </c>
    </row>
    <row r="99" s="22" customFormat="1" ht="25" customHeight="1" spans="1:36">
      <c r="A99" s="34" t="s">
        <v>68</v>
      </c>
      <c r="B99" s="34" t="s">
        <v>495</v>
      </c>
      <c r="C99" s="37" t="s">
        <v>496</v>
      </c>
      <c r="D99" s="34" t="s">
        <v>297</v>
      </c>
      <c r="E99" s="48" t="s">
        <v>39</v>
      </c>
      <c r="F99" s="48" t="s">
        <v>39</v>
      </c>
      <c r="G99" s="34" t="s">
        <v>241</v>
      </c>
      <c r="H99" s="34" t="s">
        <v>39</v>
      </c>
      <c r="I99" s="15">
        <v>1440</v>
      </c>
      <c r="J99" s="15">
        <v>1296</v>
      </c>
      <c r="K99" s="52"/>
      <c r="L99" s="52"/>
      <c r="M99" s="52"/>
      <c r="N99" s="61">
        <v>1410</v>
      </c>
      <c r="O99" s="61">
        <v>1290</v>
      </c>
      <c r="P99" s="61">
        <v>1140</v>
      </c>
      <c r="Q99" s="34" t="s">
        <v>40</v>
      </c>
      <c r="R99" s="34" t="s">
        <v>39</v>
      </c>
      <c r="S99" s="63" t="s">
        <v>39</v>
      </c>
      <c r="T99" s="52"/>
      <c r="U99" s="48" t="s">
        <v>71</v>
      </c>
      <c r="V99" s="11" t="s">
        <v>497</v>
      </c>
      <c r="W99" s="11">
        <v>33070200502</v>
      </c>
      <c r="X99" s="11" t="s">
        <v>498</v>
      </c>
      <c r="Y99" s="12" t="s">
        <v>39</v>
      </c>
      <c r="Z99" s="12" t="s">
        <v>39</v>
      </c>
      <c r="AA99" s="14" t="s">
        <v>38</v>
      </c>
      <c r="AB99" s="12" t="s">
        <v>39</v>
      </c>
      <c r="AC99" s="18">
        <v>2840</v>
      </c>
      <c r="AD99" s="18">
        <v>2555</v>
      </c>
      <c r="AE99" s="18">
        <v>2040</v>
      </c>
      <c r="AF99" s="71">
        <f t="shared" si="7"/>
        <v>11</v>
      </c>
      <c r="AG99" s="71" t="str">
        <f t="shared" si="8"/>
        <v>非解剖性肺部分切除费</v>
      </c>
      <c r="AH99" s="71">
        <f t="shared" si="9"/>
        <v>6110</v>
      </c>
      <c r="AI99" s="71">
        <f t="shared" si="10"/>
        <v>5590</v>
      </c>
      <c r="AJ99" s="71">
        <f t="shared" si="11"/>
        <v>4940</v>
      </c>
    </row>
    <row r="100" s="22" customFormat="1" ht="25" customHeight="1" spans="1:36">
      <c r="A100" s="34"/>
      <c r="B100" s="34"/>
      <c r="C100" s="37" t="s">
        <v>496</v>
      </c>
      <c r="D100" s="34"/>
      <c r="E100" s="48"/>
      <c r="F100" s="48"/>
      <c r="G100" s="34"/>
      <c r="H100" s="34"/>
      <c r="I100" s="54"/>
      <c r="J100" s="54"/>
      <c r="K100" s="52"/>
      <c r="L100" s="52"/>
      <c r="M100" s="52"/>
      <c r="N100" s="61">
        <v>1410</v>
      </c>
      <c r="O100" s="61">
        <v>1290</v>
      </c>
      <c r="P100" s="61">
        <v>1140</v>
      </c>
      <c r="Q100" s="34"/>
      <c r="R100" s="34"/>
      <c r="S100" s="63"/>
      <c r="T100" s="52"/>
      <c r="U100" s="48"/>
      <c r="V100" s="11" t="s">
        <v>499</v>
      </c>
      <c r="W100" s="11">
        <v>33070200402</v>
      </c>
      <c r="X100" s="11" t="s">
        <v>500</v>
      </c>
      <c r="Y100" s="12" t="s">
        <v>39</v>
      </c>
      <c r="Z100" s="12" t="s">
        <v>39</v>
      </c>
      <c r="AA100" s="14" t="s">
        <v>38</v>
      </c>
      <c r="AB100" s="12" t="s">
        <v>39</v>
      </c>
      <c r="AC100" s="18">
        <v>4395</v>
      </c>
      <c r="AD100" s="18">
        <v>3950</v>
      </c>
      <c r="AE100" s="18">
        <v>3360</v>
      </c>
      <c r="AF100" s="71">
        <f t="shared" si="7"/>
        <v>11</v>
      </c>
      <c r="AG100" s="71" t="str">
        <f t="shared" si="8"/>
        <v>非解剖性肺部分切除费</v>
      </c>
      <c r="AH100" s="71">
        <f t="shared" si="9"/>
        <v>6110</v>
      </c>
      <c r="AI100" s="71">
        <f t="shared" si="10"/>
        <v>5590</v>
      </c>
      <c r="AJ100" s="71">
        <f t="shared" si="11"/>
        <v>4940</v>
      </c>
    </row>
    <row r="101" s="22" customFormat="1" ht="25" customHeight="1" spans="1:36">
      <c r="A101" s="34"/>
      <c r="B101" s="34"/>
      <c r="C101" s="37" t="s">
        <v>496</v>
      </c>
      <c r="D101" s="34"/>
      <c r="E101" s="48"/>
      <c r="F101" s="48"/>
      <c r="G101" s="34"/>
      <c r="H101" s="34"/>
      <c r="I101" s="54"/>
      <c r="J101" s="54"/>
      <c r="K101" s="52"/>
      <c r="L101" s="52"/>
      <c r="M101" s="52"/>
      <c r="N101" s="61">
        <v>1410</v>
      </c>
      <c r="O101" s="61">
        <v>1290</v>
      </c>
      <c r="P101" s="61">
        <v>1140</v>
      </c>
      <c r="Q101" s="34"/>
      <c r="R101" s="34"/>
      <c r="S101" s="63"/>
      <c r="T101" s="52"/>
      <c r="U101" s="48"/>
      <c r="V101" s="11" t="s">
        <v>501</v>
      </c>
      <c r="W101" s="11">
        <v>33070200902</v>
      </c>
      <c r="X101" s="11" t="s">
        <v>502</v>
      </c>
      <c r="Y101" s="12" t="s">
        <v>39</v>
      </c>
      <c r="Z101" s="12" t="s">
        <v>39</v>
      </c>
      <c r="AA101" s="14" t="s">
        <v>38</v>
      </c>
      <c r="AB101" s="12" t="s">
        <v>39</v>
      </c>
      <c r="AC101" s="18">
        <v>2440</v>
      </c>
      <c r="AD101" s="18">
        <v>2340</v>
      </c>
      <c r="AE101" s="18">
        <v>1990</v>
      </c>
      <c r="AF101" s="71">
        <f t="shared" si="7"/>
        <v>11</v>
      </c>
      <c r="AG101" s="71" t="str">
        <f t="shared" si="8"/>
        <v>非解剖性肺部分切除费</v>
      </c>
      <c r="AH101" s="71">
        <f t="shared" si="9"/>
        <v>6110</v>
      </c>
      <c r="AI101" s="71">
        <f t="shared" si="10"/>
        <v>5590</v>
      </c>
      <c r="AJ101" s="71">
        <f t="shared" si="11"/>
        <v>4940</v>
      </c>
    </row>
    <row r="102" s="22" customFormat="1" ht="25" customHeight="1" spans="1:36">
      <c r="A102" s="34"/>
      <c r="B102" s="34"/>
      <c r="C102" s="37" t="s">
        <v>496</v>
      </c>
      <c r="D102" s="34"/>
      <c r="E102" s="48"/>
      <c r="F102" s="48"/>
      <c r="G102" s="34"/>
      <c r="H102" s="34"/>
      <c r="I102" s="54"/>
      <c r="J102" s="54"/>
      <c r="K102" s="52"/>
      <c r="L102" s="52"/>
      <c r="M102" s="52"/>
      <c r="N102" s="61">
        <v>1410</v>
      </c>
      <c r="O102" s="61">
        <v>1290</v>
      </c>
      <c r="P102" s="61">
        <v>1140</v>
      </c>
      <c r="Q102" s="34"/>
      <c r="R102" s="34"/>
      <c r="S102" s="63"/>
      <c r="T102" s="52"/>
      <c r="U102" s="48"/>
      <c r="V102" s="11" t="s">
        <v>503</v>
      </c>
      <c r="W102" s="11">
        <v>33070201502</v>
      </c>
      <c r="X102" s="11" t="s">
        <v>504</v>
      </c>
      <c r="Y102" s="12" t="s">
        <v>39</v>
      </c>
      <c r="Z102" s="12" t="s">
        <v>39</v>
      </c>
      <c r="AA102" s="14" t="s">
        <v>38</v>
      </c>
      <c r="AB102" s="12" t="s">
        <v>39</v>
      </c>
      <c r="AC102" s="18">
        <v>3950</v>
      </c>
      <c r="AD102" s="18">
        <v>3560</v>
      </c>
      <c r="AE102" s="18">
        <v>3025</v>
      </c>
      <c r="AF102" s="71">
        <f t="shared" si="7"/>
        <v>11</v>
      </c>
      <c r="AG102" s="71" t="str">
        <f t="shared" si="8"/>
        <v>非解剖性肺部分切除费</v>
      </c>
      <c r="AH102" s="71">
        <f t="shared" si="9"/>
        <v>6110</v>
      </c>
      <c r="AI102" s="71">
        <f t="shared" si="10"/>
        <v>5590</v>
      </c>
      <c r="AJ102" s="71">
        <f t="shared" si="11"/>
        <v>4940</v>
      </c>
    </row>
    <row r="103" s="22" customFormat="1" ht="25" customHeight="1" spans="1:36">
      <c r="A103" s="34"/>
      <c r="B103" s="34"/>
      <c r="C103" s="37" t="s">
        <v>496</v>
      </c>
      <c r="D103" s="34"/>
      <c r="E103" s="48"/>
      <c r="F103" s="48"/>
      <c r="G103" s="34"/>
      <c r="H103" s="34"/>
      <c r="I103" s="54"/>
      <c r="J103" s="54"/>
      <c r="K103" s="52"/>
      <c r="L103" s="52"/>
      <c r="M103" s="52"/>
      <c r="N103" s="61">
        <v>1410</v>
      </c>
      <c r="O103" s="61">
        <v>1290</v>
      </c>
      <c r="P103" s="61">
        <v>1140</v>
      </c>
      <c r="Q103" s="34"/>
      <c r="R103" s="34"/>
      <c r="S103" s="63"/>
      <c r="T103" s="52"/>
      <c r="U103" s="48"/>
      <c r="V103" s="11" t="s">
        <v>505</v>
      </c>
      <c r="W103" s="11">
        <v>33070200406</v>
      </c>
      <c r="X103" s="11" t="s">
        <v>506</v>
      </c>
      <c r="Y103" s="12" t="s">
        <v>39</v>
      </c>
      <c r="Z103" s="12" t="s">
        <v>39</v>
      </c>
      <c r="AA103" s="14" t="s">
        <v>38</v>
      </c>
      <c r="AB103" s="12" t="s">
        <v>39</v>
      </c>
      <c r="AC103" s="18">
        <v>5020</v>
      </c>
      <c r="AD103" s="18">
        <v>4550</v>
      </c>
      <c r="AE103" s="18">
        <v>3870</v>
      </c>
      <c r="AF103" s="71">
        <f t="shared" si="7"/>
        <v>11</v>
      </c>
      <c r="AG103" s="71" t="str">
        <f t="shared" si="8"/>
        <v>非解剖性肺部分切除费</v>
      </c>
      <c r="AH103" s="71">
        <f t="shared" si="9"/>
        <v>6110</v>
      </c>
      <c r="AI103" s="71">
        <f t="shared" si="10"/>
        <v>5590</v>
      </c>
      <c r="AJ103" s="71">
        <f t="shared" si="11"/>
        <v>4940</v>
      </c>
    </row>
    <row r="104" s="22" customFormat="1" ht="25" customHeight="1" spans="1:36">
      <c r="A104" s="34"/>
      <c r="B104" s="34"/>
      <c r="C104" s="37" t="s">
        <v>496</v>
      </c>
      <c r="D104" s="34"/>
      <c r="E104" s="48"/>
      <c r="F104" s="48"/>
      <c r="G104" s="34"/>
      <c r="H104" s="34"/>
      <c r="I104" s="54"/>
      <c r="J104" s="54"/>
      <c r="K104" s="52"/>
      <c r="L104" s="52"/>
      <c r="M104" s="52"/>
      <c r="N104" s="61">
        <v>1410</v>
      </c>
      <c r="O104" s="61">
        <v>1290</v>
      </c>
      <c r="P104" s="61">
        <v>1140</v>
      </c>
      <c r="Q104" s="34"/>
      <c r="R104" s="34"/>
      <c r="S104" s="63"/>
      <c r="T104" s="52"/>
      <c r="U104" s="48"/>
      <c r="V104" s="11" t="s">
        <v>507</v>
      </c>
      <c r="W104" s="11">
        <v>33070200506</v>
      </c>
      <c r="X104" s="11" t="s">
        <v>508</v>
      </c>
      <c r="Y104" s="12" t="s">
        <v>39</v>
      </c>
      <c r="Z104" s="12" t="s">
        <v>39</v>
      </c>
      <c r="AA104" s="14" t="s">
        <v>38</v>
      </c>
      <c r="AB104" s="12" t="s">
        <v>39</v>
      </c>
      <c r="AC104" s="18">
        <v>3465</v>
      </c>
      <c r="AD104" s="18">
        <v>3155</v>
      </c>
      <c r="AE104" s="18">
        <v>2550</v>
      </c>
      <c r="AF104" s="71">
        <f t="shared" si="7"/>
        <v>11</v>
      </c>
      <c r="AG104" s="71" t="str">
        <f t="shared" si="8"/>
        <v>非解剖性肺部分切除费</v>
      </c>
      <c r="AH104" s="71">
        <f t="shared" si="9"/>
        <v>6110</v>
      </c>
      <c r="AI104" s="71">
        <f t="shared" si="10"/>
        <v>5590</v>
      </c>
      <c r="AJ104" s="71">
        <f t="shared" si="11"/>
        <v>4940</v>
      </c>
    </row>
    <row r="105" s="22" customFormat="1" ht="25" customHeight="1" spans="1:36">
      <c r="A105" s="34"/>
      <c r="B105" s="34"/>
      <c r="C105" s="37" t="s">
        <v>496</v>
      </c>
      <c r="D105" s="34"/>
      <c r="E105" s="48"/>
      <c r="F105" s="48"/>
      <c r="G105" s="34"/>
      <c r="H105" s="34"/>
      <c r="I105" s="54"/>
      <c r="J105" s="54"/>
      <c r="K105" s="52"/>
      <c r="L105" s="52"/>
      <c r="M105" s="52"/>
      <c r="N105" s="61">
        <v>1410</v>
      </c>
      <c r="O105" s="61">
        <v>1290</v>
      </c>
      <c r="P105" s="61">
        <v>1140</v>
      </c>
      <c r="Q105" s="34"/>
      <c r="R105" s="34"/>
      <c r="S105" s="63"/>
      <c r="T105" s="52"/>
      <c r="U105" s="48"/>
      <c r="V105" s="11" t="s">
        <v>509</v>
      </c>
      <c r="W105" s="11">
        <v>33070200906</v>
      </c>
      <c r="X105" s="11" t="s">
        <v>510</v>
      </c>
      <c r="Y105" s="12" t="s">
        <v>39</v>
      </c>
      <c r="Z105" s="12" t="s">
        <v>39</v>
      </c>
      <c r="AA105" s="14" t="s">
        <v>38</v>
      </c>
      <c r="AB105" s="12" t="s">
        <v>39</v>
      </c>
      <c r="AC105" s="18">
        <v>3065</v>
      </c>
      <c r="AD105" s="18">
        <v>2940</v>
      </c>
      <c r="AE105" s="18">
        <v>2500</v>
      </c>
      <c r="AF105" s="71">
        <f t="shared" si="7"/>
        <v>11</v>
      </c>
      <c r="AG105" s="71" t="str">
        <f t="shared" si="8"/>
        <v>非解剖性肺部分切除费</v>
      </c>
      <c r="AH105" s="71">
        <f t="shared" si="9"/>
        <v>6110</v>
      </c>
      <c r="AI105" s="71">
        <f t="shared" si="10"/>
        <v>5590</v>
      </c>
      <c r="AJ105" s="71">
        <f t="shared" si="11"/>
        <v>4940</v>
      </c>
    </row>
    <row r="106" s="22" customFormat="1" ht="25" customHeight="1" spans="1:36">
      <c r="A106" s="34"/>
      <c r="B106" s="34"/>
      <c r="C106" s="37" t="s">
        <v>496</v>
      </c>
      <c r="D106" s="34"/>
      <c r="E106" s="48"/>
      <c r="F106" s="48"/>
      <c r="G106" s="34"/>
      <c r="H106" s="34"/>
      <c r="I106" s="54"/>
      <c r="J106" s="54"/>
      <c r="K106" s="52"/>
      <c r="L106" s="52"/>
      <c r="M106" s="52"/>
      <c r="N106" s="61">
        <v>1410</v>
      </c>
      <c r="O106" s="61">
        <v>1290</v>
      </c>
      <c r="P106" s="61">
        <v>1140</v>
      </c>
      <c r="Q106" s="34"/>
      <c r="R106" s="34"/>
      <c r="S106" s="63"/>
      <c r="T106" s="52"/>
      <c r="U106" s="48"/>
      <c r="V106" s="11" t="s">
        <v>511</v>
      </c>
      <c r="W106" s="11">
        <v>33070201505</v>
      </c>
      <c r="X106" s="11" t="s">
        <v>512</v>
      </c>
      <c r="Y106" s="12" t="s">
        <v>39</v>
      </c>
      <c r="Z106" s="12" t="s">
        <v>39</v>
      </c>
      <c r="AA106" s="14" t="s">
        <v>38</v>
      </c>
      <c r="AB106" s="12" t="s">
        <v>39</v>
      </c>
      <c r="AC106" s="18">
        <v>4575</v>
      </c>
      <c r="AD106" s="18">
        <v>4160</v>
      </c>
      <c r="AE106" s="18">
        <v>3535</v>
      </c>
      <c r="AF106" s="71">
        <f t="shared" si="7"/>
        <v>11</v>
      </c>
      <c r="AG106" s="71" t="str">
        <f t="shared" si="8"/>
        <v>非解剖性肺部分切除费</v>
      </c>
      <c r="AH106" s="71">
        <f t="shared" si="9"/>
        <v>6110</v>
      </c>
      <c r="AI106" s="71">
        <f t="shared" si="10"/>
        <v>5590</v>
      </c>
      <c r="AJ106" s="71">
        <f t="shared" si="11"/>
        <v>4940</v>
      </c>
    </row>
    <row r="107" s="22" customFormat="1" ht="25" customHeight="1" spans="1:36">
      <c r="A107" s="34"/>
      <c r="B107" s="34"/>
      <c r="C107" s="37" t="s">
        <v>496</v>
      </c>
      <c r="D107" s="34"/>
      <c r="E107" s="48"/>
      <c r="F107" s="48"/>
      <c r="G107" s="34"/>
      <c r="H107" s="34"/>
      <c r="I107" s="54"/>
      <c r="J107" s="54"/>
      <c r="K107" s="52"/>
      <c r="L107" s="52"/>
      <c r="M107" s="52"/>
      <c r="N107" s="61">
        <v>1410</v>
      </c>
      <c r="O107" s="61">
        <v>1290</v>
      </c>
      <c r="P107" s="61">
        <v>1140</v>
      </c>
      <c r="Q107" s="34"/>
      <c r="R107" s="34"/>
      <c r="S107" s="63"/>
      <c r="T107" s="52"/>
      <c r="U107" s="48"/>
      <c r="V107" s="11" t="s">
        <v>513</v>
      </c>
      <c r="W107" s="11">
        <v>33070200202</v>
      </c>
      <c r="X107" s="11" t="s">
        <v>514</v>
      </c>
      <c r="Y107" s="12" t="s">
        <v>39</v>
      </c>
      <c r="Z107" s="12" t="s">
        <v>39</v>
      </c>
      <c r="AA107" s="14" t="s">
        <v>38</v>
      </c>
      <c r="AB107" s="12" t="s">
        <v>39</v>
      </c>
      <c r="AC107" s="18">
        <v>10375</v>
      </c>
      <c r="AD107" s="18">
        <v>9335</v>
      </c>
      <c r="AE107" s="18">
        <v>7470</v>
      </c>
      <c r="AF107" s="71">
        <f t="shared" si="7"/>
        <v>11</v>
      </c>
      <c r="AG107" s="71" t="str">
        <f t="shared" si="8"/>
        <v>非解剖性肺部分切除费</v>
      </c>
      <c r="AH107" s="71">
        <f t="shared" si="9"/>
        <v>6110</v>
      </c>
      <c r="AI107" s="71">
        <f t="shared" si="10"/>
        <v>5590</v>
      </c>
      <c r="AJ107" s="71">
        <f t="shared" si="11"/>
        <v>4940</v>
      </c>
    </row>
    <row r="108" s="22" customFormat="1" ht="25" customHeight="1" spans="1:36">
      <c r="A108" s="34"/>
      <c r="B108" s="34"/>
      <c r="C108" s="37" t="s">
        <v>496</v>
      </c>
      <c r="D108" s="34"/>
      <c r="E108" s="48"/>
      <c r="F108" s="48"/>
      <c r="G108" s="34"/>
      <c r="H108" s="34"/>
      <c r="I108" s="54"/>
      <c r="J108" s="54"/>
      <c r="K108" s="52"/>
      <c r="L108" s="52"/>
      <c r="M108" s="52"/>
      <c r="N108" s="61">
        <v>1410</v>
      </c>
      <c r="O108" s="61">
        <v>1290</v>
      </c>
      <c r="P108" s="61">
        <v>1140</v>
      </c>
      <c r="Q108" s="34"/>
      <c r="R108" s="34"/>
      <c r="S108" s="63"/>
      <c r="T108" s="52"/>
      <c r="U108" s="48"/>
      <c r="V108" s="11" t="s">
        <v>515</v>
      </c>
      <c r="W108" s="11">
        <v>33070200206</v>
      </c>
      <c r="X108" s="11" t="s">
        <v>516</v>
      </c>
      <c r="Y108" s="12" t="s">
        <v>39</v>
      </c>
      <c r="Z108" s="12" t="s">
        <v>39</v>
      </c>
      <c r="AA108" s="14" t="s">
        <v>38</v>
      </c>
      <c r="AB108" s="12" t="s">
        <v>39</v>
      </c>
      <c r="AC108" s="18">
        <v>11000</v>
      </c>
      <c r="AD108" s="18">
        <v>9935</v>
      </c>
      <c r="AE108" s="18">
        <v>7980</v>
      </c>
      <c r="AF108" s="71">
        <f t="shared" si="7"/>
        <v>11</v>
      </c>
      <c r="AG108" s="71" t="str">
        <f t="shared" si="8"/>
        <v>非解剖性肺部分切除费</v>
      </c>
      <c r="AH108" s="71">
        <f t="shared" si="9"/>
        <v>6110</v>
      </c>
      <c r="AI108" s="71">
        <f t="shared" si="10"/>
        <v>5590</v>
      </c>
      <c r="AJ108" s="71">
        <f t="shared" si="11"/>
        <v>4940</v>
      </c>
    </row>
    <row r="109" s="22" customFormat="1" ht="24" customHeight="1" spans="1:36">
      <c r="A109" s="34">
        <v>40</v>
      </c>
      <c r="B109" s="11" t="s">
        <v>517</v>
      </c>
      <c r="C109" s="37" t="s">
        <v>518</v>
      </c>
      <c r="D109" s="34" t="s">
        <v>297</v>
      </c>
      <c r="E109" s="48" t="s">
        <v>519</v>
      </c>
      <c r="F109" s="48" t="s">
        <v>398</v>
      </c>
      <c r="G109" s="34" t="s">
        <v>241</v>
      </c>
      <c r="H109" s="34" t="s">
        <v>39</v>
      </c>
      <c r="I109" s="15">
        <v>6300</v>
      </c>
      <c r="J109" s="15">
        <v>5670</v>
      </c>
      <c r="K109" s="53">
        <v>6094.77707006369</v>
      </c>
      <c r="L109" s="53">
        <v>5830.6976744186</v>
      </c>
      <c r="M109" s="52"/>
      <c r="N109" s="59">
        <v>6100</v>
      </c>
      <c r="O109" s="59">
        <v>5650</v>
      </c>
      <c r="P109" s="59">
        <v>4800</v>
      </c>
      <c r="Q109" s="62" t="s">
        <v>40</v>
      </c>
      <c r="R109" s="62" t="s">
        <v>39</v>
      </c>
      <c r="S109" s="64" t="s">
        <v>39</v>
      </c>
      <c r="T109" s="52" t="s">
        <v>95</v>
      </c>
      <c r="U109" s="67" t="s">
        <v>465</v>
      </c>
      <c r="V109" s="34" t="s">
        <v>520</v>
      </c>
      <c r="W109" s="34">
        <v>330702006</v>
      </c>
      <c r="X109" s="34" t="s">
        <v>521</v>
      </c>
      <c r="Y109" s="12" t="s">
        <v>522</v>
      </c>
      <c r="Z109" s="12" t="s">
        <v>39</v>
      </c>
      <c r="AA109" s="14" t="s">
        <v>38</v>
      </c>
      <c r="AB109" s="12" t="s">
        <v>523</v>
      </c>
      <c r="AC109" s="18">
        <v>3110</v>
      </c>
      <c r="AD109" s="18">
        <v>2800</v>
      </c>
      <c r="AE109" s="18">
        <v>2380</v>
      </c>
      <c r="AF109" s="71">
        <f t="shared" si="7"/>
        <v>0</v>
      </c>
      <c r="AG109" s="71" t="str">
        <f t="shared" si="8"/>
        <v>肺叶切除费（常规）</v>
      </c>
      <c r="AH109" s="71">
        <f t="shared" si="9"/>
        <v>6100</v>
      </c>
      <c r="AI109" s="71">
        <f t="shared" si="10"/>
        <v>5650</v>
      </c>
      <c r="AJ109" s="71">
        <f t="shared" si="11"/>
        <v>4800</v>
      </c>
    </row>
    <row r="110" s="22" customFormat="1" ht="24" customHeight="1" spans="1:36">
      <c r="A110" s="34"/>
      <c r="B110" s="11"/>
      <c r="C110" s="37" t="s">
        <v>518</v>
      </c>
      <c r="D110" s="34"/>
      <c r="E110" s="48"/>
      <c r="F110" s="48"/>
      <c r="G110" s="34"/>
      <c r="H110" s="34"/>
      <c r="I110" s="54"/>
      <c r="J110" s="54"/>
      <c r="K110" s="53"/>
      <c r="L110" s="53"/>
      <c r="M110" s="52"/>
      <c r="N110" s="59">
        <v>6100</v>
      </c>
      <c r="O110" s="59">
        <v>5650</v>
      </c>
      <c r="P110" s="59">
        <v>4800</v>
      </c>
      <c r="Q110" s="62"/>
      <c r="R110" s="62"/>
      <c r="S110" s="64"/>
      <c r="T110" s="52"/>
      <c r="U110" s="67"/>
      <c r="V110" s="11" t="s">
        <v>524</v>
      </c>
      <c r="W110" s="11">
        <v>33070200604</v>
      </c>
      <c r="X110" s="11" t="s">
        <v>525</v>
      </c>
      <c r="Y110" s="12" t="s">
        <v>39</v>
      </c>
      <c r="Z110" s="12" t="s">
        <v>39</v>
      </c>
      <c r="AA110" s="14" t="s">
        <v>38</v>
      </c>
      <c r="AB110" s="12" t="s">
        <v>39</v>
      </c>
      <c r="AC110" s="18">
        <v>3735</v>
      </c>
      <c r="AD110" s="18">
        <v>3400</v>
      </c>
      <c r="AE110" s="18">
        <v>2890</v>
      </c>
      <c r="AF110" s="71">
        <f t="shared" si="7"/>
        <v>0</v>
      </c>
      <c r="AG110" s="71" t="str">
        <f t="shared" si="8"/>
        <v>肺叶切除费（常规）</v>
      </c>
      <c r="AH110" s="71">
        <f t="shared" si="9"/>
        <v>6100</v>
      </c>
      <c r="AI110" s="71">
        <f t="shared" si="10"/>
        <v>5650</v>
      </c>
      <c r="AJ110" s="71">
        <f t="shared" si="11"/>
        <v>4800</v>
      </c>
    </row>
    <row r="111" s="22" customFormat="1" ht="24" customHeight="1" spans="1:36">
      <c r="A111" s="34"/>
      <c r="B111" s="11"/>
      <c r="C111" s="37" t="s">
        <v>518</v>
      </c>
      <c r="D111" s="34"/>
      <c r="E111" s="48"/>
      <c r="F111" s="48"/>
      <c r="G111" s="34"/>
      <c r="H111" s="34"/>
      <c r="I111" s="54"/>
      <c r="J111" s="54"/>
      <c r="K111" s="53"/>
      <c r="L111" s="53"/>
      <c r="M111" s="52"/>
      <c r="N111" s="59">
        <v>6100</v>
      </c>
      <c r="O111" s="59">
        <v>5650</v>
      </c>
      <c r="P111" s="59">
        <v>4800</v>
      </c>
      <c r="Q111" s="62"/>
      <c r="R111" s="62"/>
      <c r="S111" s="64"/>
      <c r="T111" s="52"/>
      <c r="U111" s="67"/>
      <c r="V111" s="74" t="s">
        <v>489</v>
      </c>
      <c r="W111" s="74">
        <v>330702002</v>
      </c>
      <c r="X111" s="74" t="s">
        <v>490</v>
      </c>
      <c r="Y111" s="76" t="s">
        <v>491</v>
      </c>
      <c r="Z111" s="76" t="s">
        <v>39</v>
      </c>
      <c r="AA111" s="77" t="s">
        <v>38</v>
      </c>
      <c r="AB111" s="76" t="s">
        <v>492</v>
      </c>
      <c r="AC111" s="78">
        <v>7980</v>
      </c>
      <c r="AD111" s="78">
        <v>7180</v>
      </c>
      <c r="AE111" s="78">
        <v>5745</v>
      </c>
      <c r="AF111" s="71">
        <f t="shared" si="7"/>
        <v>0</v>
      </c>
      <c r="AG111" s="71" t="str">
        <f t="shared" si="8"/>
        <v>肺叶切除费（常规）</v>
      </c>
      <c r="AH111" s="71">
        <f t="shared" si="9"/>
        <v>6100</v>
      </c>
      <c r="AI111" s="71">
        <f t="shared" si="10"/>
        <v>5650</v>
      </c>
      <c r="AJ111" s="71">
        <f t="shared" si="11"/>
        <v>4800</v>
      </c>
    </row>
    <row r="112" s="22" customFormat="1" ht="24" customHeight="1" spans="1:36">
      <c r="A112" s="34"/>
      <c r="B112" s="11"/>
      <c r="C112" s="37" t="s">
        <v>518</v>
      </c>
      <c r="D112" s="34"/>
      <c r="E112" s="48"/>
      <c r="F112" s="48"/>
      <c r="G112" s="34"/>
      <c r="H112" s="34"/>
      <c r="I112" s="54"/>
      <c r="J112" s="54"/>
      <c r="K112" s="53"/>
      <c r="L112" s="53"/>
      <c r="M112" s="52"/>
      <c r="N112" s="59">
        <v>6100</v>
      </c>
      <c r="O112" s="59">
        <v>5650</v>
      </c>
      <c r="P112" s="59">
        <v>4800</v>
      </c>
      <c r="Q112" s="62"/>
      <c r="R112" s="62"/>
      <c r="S112" s="64"/>
      <c r="T112" s="52"/>
      <c r="U112" s="67"/>
      <c r="V112" s="74" t="s">
        <v>493</v>
      </c>
      <c r="W112" s="74">
        <v>33070200204</v>
      </c>
      <c r="X112" s="74" t="s">
        <v>494</v>
      </c>
      <c r="Y112" s="76" t="s">
        <v>39</v>
      </c>
      <c r="Z112" s="76" t="s">
        <v>39</v>
      </c>
      <c r="AA112" s="77" t="s">
        <v>38</v>
      </c>
      <c r="AB112" s="76" t="s">
        <v>39</v>
      </c>
      <c r="AC112" s="78">
        <v>8605</v>
      </c>
      <c r="AD112" s="78">
        <v>7780</v>
      </c>
      <c r="AE112" s="78">
        <v>6255</v>
      </c>
      <c r="AF112" s="71">
        <f t="shared" si="7"/>
        <v>0</v>
      </c>
      <c r="AG112" s="71" t="str">
        <f t="shared" si="8"/>
        <v>肺叶切除费（常规）</v>
      </c>
      <c r="AH112" s="71">
        <f t="shared" si="9"/>
        <v>6100</v>
      </c>
      <c r="AI112" s="71">
        <f t="shared" si="10"/>
        <v>5650</v>
      </c>
      <c r="AJ112" s="71">
        <f t="shared" si="11"/>
        <v>4800</v>
      </c>
    </row>
    <row r="113" s="22" customFormat="1" ht="27" customHeight="1" spans="1:36">
      <c r="A113" s="34" t="s">
        <v>68</v>
      </c>
      <c r="B113" s="34" t="s">
        <v>526</v>
      </c>
      <c r="C113" s="37" t="s">
        <v>527</v>
      </c>
      <c r="D113" s="34" t="s">
        <v>297</v>
      </c>
      <c r="E113" s="48" t="s">
        <v>39</v>
      </c>
      <c r="F113" s="48" t="s">
        <v>39</v>
      </c>
      <c r="G113" s="34" t="s">
        <v>241</v>
      </c>
      <c r="H113" s="34" t="s">
        <v>39</v>
      </c>
      <c r="I113" s="15">
        <v>1890</v>
      </c>
      <c r="J113" s="15">
        <v>1701</v>
      </c>
      <c r="K113" s="52"/>
      <c r="L113" s="52"/>
      <c r="M113" s="52"/>
      <c r="N113" s="61">
        <v>1830</v>
      </c>
      <c r="O113" s="61">
        <v>1695</v>
      </c>
      <c r="P113" s="61">
        <v>1440</v>
      </c>
      <c r="Q113" s="34" t="s">
        <v>40</v>
      </c>
      <c r="R113" s="34" t="s">
        <v>39</v>
      </c>
      <c r="S113" s="63" t="s">
        <v>39</v>
      </c>
      <c r="T113" s="52"/>
      <c r="U113" s="48" t="s">
        <v>71</v>
      </c>
      <c r="V113" s="11" t="s">
        <v>528</v>
      </c>
      <c r="W113" s="11">
        <v>33070200602</v>
      </c>
      <c r="X113" s="11" t="s">
        <v>529</v>
      </c>
      <c r="Y113" s="12" t="s">
        <v>39</v>
      </c>
      <c r="Z113" s="12" t="s">
        <v>39</v>
      </c>
      <c r="AA113" s="14" t="s">
        <v>38</v>
      </c>
      <c r="AB113" s="12" t="s">
        <v>39</v>
      </c>
      <c r="AC113" s="18">
        <v>4045</v>
      </c>
      <c r="AD113" s="18">
        <v>3640</v>
      </c>
      <c r="AE113" s="18">
        <v>3095</v>
      </c>
      <c r="AF113" s="71">
        <f t="shared" si="7"/>
        <v>10</v>
      </c>
      <c r="AG113" s="71" t="str">
        <f t="shared" si="8"/>
        <v>肺叶切除费（常规）</v>
      </c>
      <c r="AH113" s="71">
        <f t="shared" si="9"/>
        <v>7930</v>
      </c>
      <c r="AI113" s="71">
        <f t="shared" si="10"/>
        <v>7345</v>
      </c>
      <c r="AJ113" s="71">
        <f t="shared" si="11"/>
        <v>6240</v>
      </c>
    </row>
    <row r="114" s="22" customFormat="1" ht="27" customHeight="1" spans="1:36">
      <c r="A114" s="34"/>
      <c r="B114" s="34"/>
      <c r="C114" s="37" t="s">
        <v>527</v>
      </c>
      <c r="D114" s="34"/>
      <c r="E114" s="48"/>
      <c r="F114" s="48"/>
      <c r="G114" s="34"/>
      <c r="H114" s="34"/>
      <c r="I114" s="54"/>
      <c r="J114" s="54"/>
      <c r="K114" s="52"/>
      <c r="L114" s="52"/>
      <c r="M114" s="52"/>
      <c r="N114" s="61">
        <v>1830</v>
      </c>
      <c r="O114" s="61">
        <v>1695</v>
      </c>
      <c r="P114" s="61">
        <v>1440</v>
      </c>
      <c r="Q114" s="34"/>
      <c r="R114" s="34"/>
      <c r="S114" s="63"/>
      <c r="T114" s="52"/>
      <c r="U114" s="48"/>
      <c r="V114" s="11" t="s">
        <v>530</v>
      </c>
      <c r="W114" s="11">
        <v>33070200606</v>
      </c>
      <c r="X114" s="11" t="s">
        <v>531</v>
      </c>
      <c r="Y114" s="12" t="s">
        <v>39</v>
      </c>
      <c r="Z114" s="12" t="s">
        <v>39</v>
      </c>
      <c r="AA114" s="14" t="s">
        <v>38</v>
      </c>
      <c r="AB114" s="12" t="s">
        <v>39</v>
      </c>
      <c r="AC114" s="18">
        <v>4670</v>
      </c>
      <c r="AD114" s="18">
        <v>4240</v>
      </c>
      <c r="AE114" s="18">
        <v>3605</v>
      </c>
      <c r="AF114" s="71">
        <f t="shared" si="7"/>
        <v>10</v>
      </c>
      <c r="AG114" s="71" t="str">
        <f t="shared" si="8"/>
        <v>肺叶切除费（常规）</v>
      </c>
      <c r="AH114" s="71">
        <f t="shared" si="9"/>
        <v>7930</v>
      </c>
      <c r="AI114" s="71">
        <f t="shared" si="10"/>
        <v>7345</v>
      </c>
      <c r="AJ114" s="71">
        <f t="shared" si="11"/>
        <v>6240</v>
      </c>
    </row>
    <row r="115" s="22" customFormat="1" ht="27" customHeight="1" spans="1:36">
      <c r="A115" s="34"/>
      <c r="B115" s="34"/>
      <c r="C115" s="37" t="s">
        <v>527</v>
      </c>
      <c r="D115" s="34"/>
      <c r="E115" s="48"/>
      <c r="F115" s="48"/>
      <c r="G115" s="34"/>
      <c r="H115" s="34"/>
      <c r="I115" s="54"/>
      <c r="J115" s="54"/>
      <c r="K115" s="52"/>
      <c r="L115" s="52"/>
      <c r="M115" s="52"/>
      <c r="N115" s="61">
        <v>1830</v>
      </c>
      <c r="O115" s="61">
        <v>1695</v>
      </c>
      <c r="P115" s="61">
        <v>1440</v>
      </c>
      <c r="Q115" s="34"/>
      <c r="R115" s="34"/>
      <c r="S115" s="63"/>
      <c r="T115" s="52"/>
      <c r="U115" s="48"/>
      <c r="V115" s="11" t="s">
        <v>513</v>
      </c>
      <c r="W115" s="11">
        <v>33070200202</v>
      </c>
      <c r="X115" s="11" t="s">
        <v>514</v>
      </c>
      <c r="Y115" s="12" t="s">
        <v>39</v>
      </c>
      <c r="Z115" s="12" t="s">
        <v>39</v>
      </c>
      <c r="AA115" s="14" t="s">
        <v>38</v>
      </c>
      <c r="AB115" s="12" t="s">
        <v>39</v>
      </c>
      <c r="AC115" s="18">
        <v>10375</v>
      </c>
      <c r="AD115" s="18">
        <v>9335</v>
      </c>
      <c r="AE115" s="18">
        <v>7470</v>
      </c>
      <c r="AF115" s="71">
        <f t="shared" si="7"/>
        <v>10</v>
      </c>
      <c r="AG115" s="71" t="str">
        <f t="shared" si="8"/>
        <v>肺叶切除费（常规）</v>
      </c>
      <c r="AH115" s="71">
        <f t="shared" si="9"/>
        <v>7930</v>
      </c>
      <c r="AI115" s="71">
        <f t="shared" si="10"/>
        <v>7345</v>
      </c>
      <c r="AJ115" s="71">
        <f t="shared" si="11"/>
        <v>6240</v>
      </c>
    </row>
    <row r="116" s="22" customFormat="1" ht="27" customHeight="1" spans="1:36">
      <c r="A116" s="34"/>
      <c r="B116" s="34"/>
      <c r="C116" s="37" t="s">
        <v>527</v>
      </c>
      <c r="D116" s="34"/>
      <c r="E116" s="48"/>
      <c r="F116" s="48"/>
      <c r="G116" s="34"/>
      <c r="H116" s="34"/>
      <c r="I116" s="54"/>
      <c r="J116" s="54"/>
      <c r="K116" s="52"/>
      <c r="L116" s="52"/>
      <c r="M116" s="52"/>
      <c r="N116" s="61">
        <v>1830</v>
      </c>
      <c r="O116" s="61">
        <v>1695</v>
      </c>
      <c r="P116" s="61">
        <v>1440</v>
      </c>
      <c r="Q116" s="34"/>
      <c r="R116" s="34"/>
      <c r="S116" s="63"/>
      <c r="T116" s="52"/>
      <c r="U116" s="48"/>
      <c r="V116" s="11" t="s">
        <v>515</v>
      </c>
      <c r="W116" s="11">
        <v>33070200206</v>
      </c>
      <c r="X116" s="11" t="s">
        <v>516</v>
      </c>
      <c r="Y116" s="12" t="s">
        <v>39</v>
      </c>
      <c r="Z116" s="12" t="s">
        <v>39</v>
      </c>
      <c r="AA116" s="14" t="s">
        <v>38</v>
      </c>
      <c r="AB116" s="12" t="s">
        <v>39</v>
      </c>
      <c r="AC116" s="18">
        <v>11000</v>
      </c>
      <c r="AD116" s="18">
        <v>9935</v>
      </c>
      <c r="AE116" s="18">
        <v>7980</v>
      </c>
      <c r="AF116" s="71">
        <f t="shared" ref="AF116:AF179" si="12">IFERROR(FIND("-儿童（加收）",C116,1),0)</f>
        <v>10</v>
      </c>
      <c r="AG116" s="71" t="str">
        <f t="shared" ref="AG116:AG179" si="13">SUBSTITUTE(C116,"-儿童（加收）","")</f>
        <v>肺叶切除费（常规）</v>
      </c>
      <c r="AH116" s="71">
        <f t="shared" ref="AH116:AH179" si="14">IF(AF116&gt;0,_xlfn.MAXIFS(N:N,C:C,SUBSTITUTE(C116,"-儿童（加收）","")),0)+N116</f>
        <v>7930</v>
      </c>
      <c r="AI116" s="71">
        <f t="shared" ref="AI116:AI179" si="15">IF(AF116&gt;0,_xlfn.MAXIFS(O:O,C:C,SUBSTITUTE(C116,"-儿童（加收）","")),0)+O116</f>
        <v>7345</v>
      </c>
      <c r="AJ116" s="71">
        <f t="shared" ref="AJ116:AJ179" si="16">IF(AF116&gt;0,_xlfn.MAXIFS(P:P,C:C,SUBSTITUTE(C116,"-儿童（加收）","")),0)+P116</f>
        <v>6240</v>
      </c>
    </row>
    <row r="117" s="22" customFormat="1" ht="24" customHeight="1" spans="1:36">
      <c r="A117" s="34">
        <v>41</v>
      </c>
      <c r="B117" s="11" t="s">
        <v>532</v>
      </c>
      <c r="C117" s="37" t="s">
        <v>533</v>
      </c>
      <c r="D117" s="34" t="s">
        <v>297</v>
      </c>
      <c r="E117" s="48" t="s">
        <v>534</v>
      </c>
      <c r="F117" s="48" t="s">
        <v>398</v>
      </c>
      <c r="G117" s="34" t="s">
        <v>241</v>
      </c>
      <c r="H117" s="48" t="s">
        <v>535</v>
      </c>
      <c r="I117" s="15">
        <v>7500</v>
      </c>
      <c r="J117" s="15">
        <v>6750</v>
      </c>
      <c r="K117" s="52"/>
      <c r="L117" s="52"/>
      <c r="M117" s="52"/>
      <c r="N117" s="61">
        <v>7400</v>
      </c>
      <c r="O117" s="61">
        <v>6750</v>
      </c>
      <c r="P117" s="61">
        <v>6000</v>
      </c>
      <c r="Q117" s="34" t="s">
        <v>40</v>
      </c>
      <c r="R117" s="34" t="s">
        <v>39</v>
      </c>
      <c r="S117" s="63" t="s">
        <v>39</v>
      </c>
      <c r="T117" s="52" t="s">
        <v>264</v>
      </c>
      <c r="U117" s="75" t="s">
        <v>536</v>
      </c>
      <c r="V117" s="34" t="s">
        <v>537</v>
      </c>
      <c r="W117" s="34">
        <v>330702007</v>
      </c>
      <c r="X117" s="34" t="s">
        <v>538</v>
      </c>
      <c r="Y117" s="12" t="s">
        <v>539</v>
      </c>
      <c r="Z117" s="12" t="s">
        <v>39</v>
      </c>
      <c r="AA117" s="14" t="s">
        <v>38</v>
      </c>
      <c r="AB117" s="12" t="s">
        <v>540</v>
      </c>
      <c r="AC117" s="18">
        <v>5800</v>
      </c>
      <c r="AD117" s="18">
        <v>5200</v>
      </c>
      <c r="AE117" s="18">
        <v>4700</v>
      </c>
      <c r="AF117" s="71">
        <f t="shared" si="12"/>
        <v>0</v>
      </c>
      <c r="AG117" s="71" t="str">
        <f t="shared" si="13"/>
        <v>肺叶切除费（复杂）</v>
      </c>
      <c r="AH117" s="71">
        <f t="shared" si="14"/>
        <v>7400</v>
      </c>
      <c r="AI117" s="71">
        <f t="shared" si="15"/>
        <v>6750</v>
      </c>
      <c r="AJ117" s="71">
        <f t="shared" si="16"/>
        <v>6000</v>
      </c>
    </row>
    <row r="118" s="22" customFormat="1" ht="24" customHeight="1" spans="1:36">
      <c r="A118" s="34"/>
      <c r="B118" s="11"/>
      <c r="C118" s="37" t="s">
        <v>533</v>
      </c>
      <c r="D118" s="34"/>
      <c r="E118" s="48"/>
      <c r="F118" s="48"/>
      <c r="G118" s="34"/>
      <c r="H118" s="48"/>
      <c r="I118" s="54"/>
      <c r="J118" s="54"/>
      <c r="K118" s="52"/>
      <c r="L118" s="52"/>
      <c r="M118" s="52"/>
      <c r="N118" s="61">
        <v>7400</v>
      </c>
      <c r="O118" s="61">
        <v>6750</v>
      </c>
      <c r="P118" s="61">
        <v>6000</v>
      </c>
      <c r="Q118" s="34"/>
      <c r="R118" s="34"/>
      <c r="S118" s="63"/>
      <c r="T118" s="52"/>
      <c r="U118" s="75"/>
      <c r="V118" s="11" t="s">
        <v>541</v>
      </c>
      <c r="W118" s="11">
        <v>33070200704</v>
      </c>
      <c r="X118" s="11" t="s">
        <v>542</v>
      </c>
      <c r="Y118" s="12" t="s">
        <v>39</v>
      </c>
      <c r="Z118" s="12" t="s">
        <v>39</v>
      </c>
      <c r="AA118" s="14" t="s">
        <v>38</v>
      </c>
      <c r="AB118" s="12" t="s">
        <v>39</v>
      </c>
      <c r="AC118" s="18">
        <v>6425</v>
      </c>
      <c r="AD118" s="18">
        <v>5800</v>
      </c>
      <c r="AE118" s="18">
        <v>5210</v>
      </c>
      <c r="AF118" s="71">
        <f t="shared" si="12"/>
        <v>0</v>
      </c>
      <c r="AG118" s="71" t="str">
        <f t="shared" si="13"/>
        <v>肺叶切除费（复杂）</v>
      </c>
      <c r="AH118" s="71">
        <f t="shared" si="14"/>
        <v>7400</v>
      </c>
      <c r="AI118" s="71">
        <f t="shared" si="15"/>
        <v>6750</v>
      </c>
      <c r="AJ118" s="71">
        <f t="shared" si="16"/>
        <v>6000</v>
      </c>
    </row>
    <row r="119" s="22" customFormat="1" ht="24" customHeight="1" spans="1:36">
      <c r="A119" s="34"/>
      <c r="B119" s="11"/>
      <c r="C119" s="37" t="s">
        <v>533</v>
      </c>
      <c r="D119" s="34"/>
      <c r="E119" s="48"/>
      <c r="F119" s="48"/>
      <c r="G119" s="34"/>
      <c r="H119" s="48"/>
      <c r="I119" s="54"/>
      <c r="J119" s="54"/>
      <c r="K119" s="52"/>
      <c r="L119" s="52"/>
      <c r="M119" s="52"/>
      <c r="N119" s="61">
        <v>7400</v>
      </c>
      <c r="O119" s="61">
        <v>6750</v>
      </c>
      <c r="P119" s="61">
        <v>6000</v>
      </c>
      <c r="Q119" s="34"/>
      <c r="R119" s="34"/>
      <c r="S119" s="63"/>
      <c r="T119" s="52"/>
      <c r="U119" s="75"/>
      <c r="V119" s="74" t="s">
        <v>489</v>
      </c>
      <c r="W119" s="74">
        <v>330702002</v>
      </c>
      <c r="X119" s="74" t="s">
        <v>490</v>
      </c>
      <c r="Y119" s="76" t="s">
        <v>491</v>
      </c>
      <c r="Z119" s="76" t="s">
        <v>39</v>
      </c>
      <c r="AA119" s="77" t="s">
        <v>38</v>
      </c>
      <c r="AB119" s="76" t="s">
        <v>492</v>
      </c>
      <c r="AC119" s="78">
        <v>7980</v>
      </c>
      <c r="AD119" s="78">
        <v>7180</v>
      </c>
      <c r="AE119" s="78">
        <v>5745</v>
      </c>
      <c r="AF119" s="71">
        <f t="shared" si="12"/>
        <v>0</v>
      </c>
      <c r="AG119" s="71" t="str">
        <f t="shared" si="13"/>
        <v>肺叶切除费（复杂）</v>
      </c>
      <c r="AH119" s="71">
        <f t="shared" si="14"/>
        <v>7400</v>
      </c>
      <c r="AI119" s="71">
        <f t="shared" si="15"/>
        <v>6750</v>
      </c>
      <c r="AJ119" s="71">
        <f t="shared" si="16"/>
        <v>6000</v>
      </c>
    </row>
    <row r="120" s="22" customFormat="1" ht="24" customHeight="1" spans="1:36">
      <c r="A120" s="34"/>
      <c r="B120" s="11"/>
      <c r="C120" s="37" t="s">
        <v>533</v>
      </c>
      <c r="D120" s="34"/>
      <c r="E120" s="48"/>
      <c r="F120" s="48"/>
      <c r="G120" s="34"/>
      <c r="H120" s="48"/>
      <c r="I120" s="54"/>
      <c r="J120" s="54"/>
      <c r="K120" s="52"/>
      <c r="L120" s="52"/>
      <c r="M120" s="52"/>
      <c r="N120" s="61">
        <v>7400</v>
      </c>
      <c r="O120" s="61">
        <v>6750</v>
      </c>
      <c r="P120" s="61">
        <v>6000</v>
      </c>
      <c r="Q120" s="34"/>
      <c r="R120" s="34"/>
      <c r="S120" s="63"/>
      <c r="T120" s="52"/>
      <c r="U120" s="75"/>
      <c r="V120" s="74" t="s">
        <v>493</v>
      </c>
      <c r="W120" s="74">
        <v>33070200204</v>
      </c>
      <c r="X120" s="74" t="s">
        <v>494</v>
      </c>
      <c r="Y120" s="76" t="s">
        <v>39</v>
      </c>
      <c r="Z120" s="76" t="s">
        <v>39</v>
      </c>
      <c r="AA120" s="77" t="s">
        <v>38</v>
      </c>
      <c r="AB120" s="76" t="s">
        <v>39</v>
      </c>
      <c r="AC120" s="78">
        <v>8605</v>
      </c>
      <c r="AD120" s="78">
        <v>7780</v>
      </c>
      <c r="AE120" s="78">
        <v>6255</v>
      </c>
      <c r="AF120" s="71">
        <f t="shared" si="12"/>
        <v>0</v>
      </c>
      <c r="AG120" s="71" t="str">
        <f t="shared" si="13"/>
        <v>肺叶切除费（复杂）</v>
      </c>
      <c r="AH120" s="71">
        <f t="shared" si="14"/>
        <v>7400</v>
      </c>
      <c r="AI120" s="71">
        <f t="shared" si="15"/>
        <v>6750</v>
      </c>
      <c r="AJ120" s="71">
        <f t="shared" si="16"/>
        <v>6000</v>
      </c>
    </row>
    <row r="121" s="22" customFormat="1" ht="24" customHeight="1" spans="1:36">
      <c r="A121" s="34" t="s">
        <v>68</v>
      </c>
      <c r="B121" s="34" t="s">
        <v>543</v>
      </c>
      <c r="C121" s="37" t="s">
        <v>544</v>
      </c>
      <c r="D121" s="34" t="s">
        <v>297</v>
      </c>
      <c r="E121" s="48" t="s">
        <v>39</v>
      </c>
      <c r="F121" s="48" t="s">
        <v>39</v>
      </c>
      <c r="G121" s="34" t="s">
        <v>241</v>
      </c>
      <c r="H121" s="34" t="s">
        <v>39</v>
      </c>
      <c r="I121" s="15">
        <v>2250</v>
      </c>
      <c r="J121" s="15">
        <v>2025</v>
      </c>
      <c r="K121" s="52"/>
      <c r="L121" s="52"/>
      <c r="M121" s="52"/>
      <c r="N121" s="61">
        <v>2220</v>
      </c>
      <c r="O121" s="61">
        <v>2025</v>
      </c>
      <c r="P121" s="61">
        <v>1800</v>
      </c>
      <c r="Q121" s="34" t="s">
        <v>40</v>
      </c>
      <c r="R121" s="34" t="s">
        <v>39</v>
      </c>
      <c r="S121" s="63" t="s">
        <v>39</v>
      </c>
      <c r="T121" s="52"/>
      <c r="U121" s="48" t="s">
        <v>71</v>
      </c>
      <c r="V121" s="11" t="s">
        <v>545</v>
      </c>
      <c r="W121" s="11">
        <v>33070200702</v>
      </c>
      <c r="X121" s="11" t="s">
        <v>546</v>
      </c>
      <c r="Y121" s="12" t="s">
        <v>39</v>
      </c>
      <c r="Z121" s="12" t="s">
        <v>39</v>
      </c>
      <c r="AA121" s="14" t="s">
        <v>38</v>
      </c>
      <c r="AB121" s="12" t="s">
        <v>39</v>
      </c>
      <c r="AC121" s="18">
        <v>7540</v>
      </c>
      <c r="AD121" s="18">
        <v>6760</v>
      </c>
      <c r="AE121" s="18">
        <v>6110</v>
      </c>
      <c r="AF121" s="71">
        <f t="shared" si="12"/>
        <v>10</v>
      </c>
      <c r="AG121" s="71" t="str">
        <f t="shared" si="13"/>
        <v>肺叶切除费（复杂）</v>
      </c>
      <c r="AH121" s="71">
        <f t="shared" si="14"/>
        <v>9620</v>
      </c>
      <c r="AI121" s="71">
        <f t="shared" si="15"/>
        <v>8775</v>
      </c>
      <c r="AJ121" s="71">
        <f t="shared" si="16"/>
        <v>7800</v>
      </c>
    </row>
    <row r="122" s="22" customFormat="1" ht="24" customHeight="1" spans="1:36">
      <c r="A122" s="34"/>
      <c r="B122" s="34"/>
      <c r="C122" s="37" t="s">
        <v>544</v>
      </c>
      <c r="D122" s="34"/>
      <c r="E122" s="48"/>
      <c r="F122" s="48"/>
      <c r="G122" s="34"/>
      <c r="H122" s="34"/>
      <c r="I122" s="54"/>
      <c r="J122" s="54"/>
      <c r="K122" s="52"/>
      <c r="L122" s="52"/>
      <c r="M122" s="52"/>
      <c r="N122" s="61">
        <v>2220</v>
      </c>
      <c r="O122" s="61">
        <v>2025</v>
      </c>
      <c r="P122" s="61">
        <v>1800</v>
      </c>
      <c r="Q122" s="34"/>
      <c r="R122" s="34"/>
      <c r="S122" s="63"/>
      <c r="T122" s="52"/>
      <c r="U122" s="48"/>
      <c r="V122" s="11" t="s">
        <v>547</v>
      </c>
      <c r="W122" s="11">
        <v>33070200706</v>
      </c>
      <c r="X122" s="11" t="s">
        <v>548</v>
      </c>
      <c r="Y122" s="12" t="s">
        <v>39</v>
      </c>
      <c r="Z122" s="12" t="s">
        <v>39</v>
      </c>
      <c r="AA122" s="14" t="s">
        <v>38</v>
      </c>
      <c r="AB122" s="12" t="s">
        <v>39</v>
      </c>
      <c r="AC122" s="18">
        <v>8165</v>
      </c>
      <c r="AD122" s="18">
        <v>7360</v>
      </c>
      <c r="AE122" s="18">
        <v>6620</v>
      </c>
      <c r="AF122" s="71">
        <f t="shared" si="12"/>
        <v>10</v>
      </c>
      <c r="AG122" s="71" t="str">
        <f t="shared" si="13"/>
        <v>肺叶切除费（复杂）</v>
      </c>
      <c r="AH122" s="71">
        <f t="shared" si="14"/>
        <v>9620</v>
      </c>
      <c r="AI122" s="71">
        <f t="shared" si="15"/>
        <v>8775</v>
      </c>
      <c r="AJ122" s="71">
        <f t="shared" si="16"/>
        <v>7800</v>
      </c>
    </row>
    <row r="123" s="22" customFormat="1" ht="24" customHeight="1" spans="1:36">
      <c r="A123" s="34"/>
      <c r="B123" s="34"/>
      <c r="C123" s="37" t="s">
        <v>544</v>
      </c>
      <c r="D123" s="34"/>
      <c r="E123" s="48"/>
      <c r="F123" s="48"/>
      <c r="G123" s="34"/>
      <c r="H123" s="34"/>
      <c r="I123" s="54"/>
      <c r="J123" s="54"/>
      <c r="K123" s="52"/>
      <c r="L123" s="52"/>
      <c r="M123" s="52"/>
      <c r="N123" s="61">
        <v>2220</v>
      </c>
      <c r="O123" s="61">
        <v>2025</v>
      </c>
      <c r="P123" s="61">
        <v>1800</v>
      </c>
      <c r="Q123" s="34"/>
      <c r="R123" s="34"/>
      <c r="S123" s="63"/>
      <c r="T123" s="52"/>
      <c r="U123" s="48"/>
      <c r="V123" s="11" t="s">
        <v>513</v>
      </c>
      <c r="W123" s="11">
        <v>33070200202</v>
      </c>
      <c r="X123" s="11" t="s">
        <v>514</v>
      </c>
      <c r="Y123" s="12" t="s">
        <v>39</v>
      </c>
      <c r="Z123" s="12" t="s">
        <v>39</v>
      </c>
      <c r="AA123" s="14" t="s">
        <v>38</v>
      </c>
      <c r="AB123" s="12" t="s">
        <v>39</v>
      </c>
      <c r="AC123" s="18">
        <v>10375</v>
      </c>
      <c r="AD123" s="18">
        <v>9335</v>
      </c>
      <c r="AE123" s="18">
        <v>7470</v>
      </c>
      <c r="AF123" s="71">
        <f t="shared" si="12"/>
        <v>10</v>
      </c>
      <c r="AG123" s="71" t="str">
        <f t="shared" si="13"/>
        <v>肺叶切除费（复杂）</v>
      </c>
      <c r="AH123" s="71">
        <f t="shared" si="14"/>
        <v>9620</v>
      </c>
      <c r="AI123" s="71">
        <f t="shared" si="15"/>
        <v>8775</v>
      </c>
      <c r="AJ123" s="71">
        <f t="shared" si="16"/>
        <v>7800</v>
      </c>
    </row>
    <row r="124" s="22" customFormat="1" ht="24" customHeight="1" spans="1:36">
      <c r="A124" s="34"/>
      <c r="B124" s="34"/>
      <c r="C124" s="37" t="s">
        <v>544</v>
      </c>
      <c r="D124" s="34"/>
      <c r="E124" s="48"/>
      <c r="F124" s="48"/>
      <c r="G124" s="34"/>
      <c r="H124" s="34"/>
      <c r="I124" s="54"/>
      <c r="J124" s="54"/>
      <c r="K124" s="52"/>
      <c r="L124" s="52"/>
      <c r="M124" s="52"/>
      <c r="N124" s="61">
        <v>2220</v>
      </c>
      <c r="O124" s="61">
        <v>2025</v>
      </c>
      <c r="P124" s="61">
        <v>1800</v>
      </c>
      <c r="Q124" s="34"/>
      <c r="R124" s="34"/>
      <c r="S124" s="63"/>
      <c r="T124" s="52"/>
      <c r="U124" s="48"/>
      <c r="V124" s="11" t="s">
        <v>515</v>
      </c>
      <c r="W124" s="11">
        <v>33070200206</v>
      </c>
      <c r="X124" s="11" t="s">
        <v>516</v>
      </c>
      <c r="Y124" s="12" t="s">
        <v>39</v>
      </c>
      <c r="Z124" s="12" t="s">
        <v>39</v>
      </c>
      <c r="AA124" s="14" t="s">
        <v>38</v>
      </c>
      <c r="AB124" s="12" t="s">
        <v>39</v>
      </c>
      <c r="AC124" s="18">
        <v>11000</v>
      </c>
      <c r="AD124" s="18">
        <v>9935</v>
      </c>
      <c r="AE124" s="18">
        <v>7980</v>
      </c>
      <c r="AF124" s="71">
        <f t="shared" si="12"/>
        <v>10</v>
      </c>
      <c r="AG124" s="71" t="str">
        <f t="shared" si="13"/>
        <v>肺叶切除费（复杂）</v>
      </c>
      <c r="AH124" s="71">
        <f t="shared" si="14"/>
        <v>9620</v>
      </c>
      <c r="AI124" s="71">
        <f t="shared" si="15"/>
        <v>8775</v>
      </c>
      <c r="AJ124" s="71">
        <f t="shared" si="16"/>
        <v>7800</v>
      </c>
    </row>
    <row r="125" s="22" customFormat="1" ht="25" customHeight="1" spans="1:36">
      <c r="A125" s="34">
        <v>42</v>
      </c>
      <c r="B125" s="11" t="s">
        <v>549</v>
      </c>
      <c r="C125" s="37" t="s">
        <v>550</v>
      </c>
      <c r="D125" s="34" t="s">
        <v>297</v>
      </c>
      <c r="E125" s="48" t="s">
        <v>551</v>
      </c>
      <c r="F125" s="48" t="s">
        <v>398</v>
      </c>
      <c r="G125" s="34" t="s">
        <v>241</v>
      </c>
      <c r="H125" s="11"/>
      <c r="I125" s="15">
        <v>6600</v>
      </c>
      <c r="J125" s="15">
        <v>5940</v>
      </c>
      <c r="K125" s="52"/>
      <c r="L125" s="52"/>
      <c r="M125" s="52"/>
      <c r="N125" s="61">
        <v>6500</v>
      </c>
      <c r="O125" s="61">
        <v>5900</v>
      </c>
      <c r="P125" s="61">
        <v>5200</v>
      </c>
      <c r="Q125" s="34" t="s">
        <v>40</v>
      </c>
      <c r="R125" s="34" t="s">
        <v>39</v>
      </c>
      <c r="S125" s="63" t="s">
        <v>39</v>
      </c>
      <c r="T125" s="52" t="s">
        <v>264</v>
      </c>
      <c r="U125" s="48" t="s">
        <v>552</v>
      </c>
      <c r="V125" s="34" t="s">
        <v>553</v>
      </c>
      <c r="W125" s="34">
        <v>330702003</v>
      </c>
      <c r="X125" s="34" t="s">
        <v>554</v>
      </c>
      <c r="Y125" s="12" t="s">
        <v>39</v>
      </c>
      <c r="Z125" s="12" t="s">
        <v>39</v>
      </c>
      <c r="AA125" s="14" t="s">
        <v>38</v>
      </c>
      <c r="AB125" s="12" t="s">
        <v>555</v>
      </c>
      <c r="AC125" s="18">
        <v>3710</v>
      </c>
      <c r="AD125" s="18">
        <v>3340</v>
      </c>
      <c r="AE125" s="18">
        <v>2840</v>
      </c>
      <c r="AF125" s="71">
        <f t="shared" si="12"/>
        <v>0</v>
      </c>
      <c r="AG125" s="71" t="str">
        <f t="shared" si="13"/>
        <v>肺段切除费（常规）</v>
      </c>
      <c r="AH125" s="71">
        <f t="shared" si="14"/>
        <v>6500</v>
      </c>
      <c r="AI125" s="71">
        <f t="shared" si="15"/>
        <v>5900</v>
      </c>
      <c r="AJ125" s="71">
        <f t="shared" si="16"/>
        <v>5200</v>
      </c>
    </row>
    <row r="126" s="22" customFormat="1" ht="25" customHeight="1" spans="1:36">
      <c r="A126" s="34"/>
      <c r="B126" s="11"/>
      <c r="C126" s="37" t="s">
        <v>550</v>
      </c>
      <c r="D126" s="34"/>
      <c r="E126" s="48"/>
      <c r="F126" s="48"/>
      <c r="G126" s="34"/>
      <c r="H126" s="11"/>
      <c r="I126" s="54"/>
      <c r="J126" s="54"/>
      <c r="K126" s="52"/>
      <c r="L126" s="52"/>
      <c r="M126" s="52"/>
      <c r="N126" s="61">
        <v>6500</v>
      </c>
      <c r="O126" s="61">
        <v>5900</v>
      </c>
      <c r="P126" s="61">
        <v>5200</v>
      </c>
      <c r="Q126" s="34"/>
      <c r="R126" s="34"/>
      <c r="S126" s="63"/>
      <c r="T126" s="52"/>
      <c r="U126" s="48"/>
      <c r="V126" s="11" t="s">
        <v>556</v>
      </c>
      <c r="W126" s="11">
        <v>33070200304</v>
      </c>
      <c r="X126" s="11" t="s">
        <v>557</v>
      </c>
      <c r="Y126" s="12" t="s">
        <v>39</v>
      </c>
      <c r="Z126" s="12" t="s">
        <v>39</v>
      </c>
      <c r="AA126" s="14" t="s">
        <v>38</v>
      </c>
      <c r="AB126" s="12" t="s">
        <v>39</v>
      </c>
      <c r="AC126" s="18">
        <v>4335</v>
      </c>
      <c r="AD126" s="18">
        <v>3940</v>
      </c>
      <c r="AE126" s="18">
        <v>3350</v>
      </c>
      <c r="AF126" s="71">
        <f t="shared" si="12"/>
        <v>0</v>
      </c>
      <c r="AG126" s="71" t="str">
        <f t="shared" si="13"/>
        <v>肺段切除费（常规）</v>
      </c>
      <c r="AH126" s="71">
        <f t="shared" si="14"/>
        <v>6500</v>
      </c>
      <c r="AI126" s="71">
        <f t="shared" si="15"/>
        <v>5900</v>
      </c>
      <c r="AJ126" s="71">
        <f t="shared" si="16"/>
        <v>5200</v>
      </c>
    </row>
    <row r="127" s="22" customFormat="1" ht="25" customHeight="1" spans="1:36">
      <c r="A127" s="34"/>
      <c r="B127" s="11"/>
      <c r="C127" s="37" t="s">
        <v>550</v>
      </c>
      <c r="D127" s="34"/>
      <c r="E127" s="48"/>
      <c r="F127" s="48"/>
      <c r="G127" s="34"/>
      <c r="H127" s="11"/>
      <c r="I127" s="54"/>
      <c r="J127" s="54"/>
      <c r="K127" s="52"/>
      <c r="L127" s="52"/>
      <c r="M127" s="52"/>
      <c r="N127" s="61">
        <v>6500</v>
      </c>
      <c r="O127" s="61">
        <v>5900</v>
      </c>
      <c r="P127" s="61">
        <v>5200</v>
      </c>
      <c r="Q127" s="34"/>
      <c r="R127" s="34"/>
      <c r="S127" s="63"/>
      <c r="T127" s="52"/>
      <c r="U127" s="48"/>
      <c r="V127" s="74" t="s">
        <v>489</v>
      </c>
      <c r="W127" s="74">
        <v>330702002</v>
      </c>
      <c r="X127" s="74" t="s">
        <v>490</v>
      </c>
      <c r="Y127" s="76" t="s">
        <v>491</v>
      </c>
      <c r="Z127" s="76" t="s">
        <v>39</v>
      </c>
      <c r="AA127" s="77" t="s">
        <v>38</v>
      </c>
      <c r="AB127" s="76" t="s">
        <v>492</v>
      </c>
      <c r="AC127" s="78">
        <v>7980</v>
      </c>
      <c r="AD127" s="78">
        <v>7180</v>
      </c>
      <c r="AE127" s="78">
        <v>5745</v>
      </c>
      <c r="AF127" s="71">
        <f t="shared" si="12"/>
        <v>0</v>
      </c>
      <c r="AG127" s="71" t="str">
        <f t="shared" si="13"/>
        <v>肺段切除费（常规）</v>
      </c>
      <c r="AH127" s="71">
        <f t="shared" si="14"/>
        <v>6500</v>
      </c>
      <c r="AI127" s="71">
        <f t="shared" si="15"/>
        <v>5900</v>
      </c>
      <c r="AJ127" s="71">
        <f t="shared" si="16"/>
        <v>5200</v>
      </c>
    </row>
    <row r="128" s="22" customFormat="1" ht="25" customHeight="1" spans="1:36">
      <c r="A128" s="34"/>
      <c r="B128" s="11"/>
      <c r="C128" s="37" t="s">
        <v>550</v>
      </c>
      <c r="D128" s="34"/>
      <c r="E128" s="48"/>
      <c r="F128" s="48"/>
      <c r="G128" s="34"/>
      <c r="H128" s="11"/>
      <c r="I128" s="54"/>
      <c r="J128" s="54"/>
      <c r="K128" s="52"/>
      <c r="L128" s="52"/>
      <c r="M128" s="52"/>
      <c r="N128" s="61">
        <v>6500</v>
      </c>
      <c r="O128" s="61">
        <v>5900</v>
      </c>
      <c r="P128" s="61">
        <v>5200</v>
      </c>
      <c r="Q128" s="34"/>
      <c r="R128" s="34"/>
      <c r="S128" s="63"/>
      <c r="T128" s="52"/>
      <c r="U128" s="48"/>
      <c r="V128" s="74" t="s">
        <v>493</v>
      </c>
      <c r="W128" s="74">
        <v>33070200204</v>
      </c>
      <c r="X128" s="74" t="s">
        <v>494</v>
      </c>
      <c r="Y128" s="76" t="s">
        <v>39</v>
      </c>
      <c r="Z128" s="76" t="s">
        <v>39</v>
      </c>
      <c r="AA128" s="77" t="s">
        <v>38</v>
      </c>
      <c r="AB128" s="76" t="s">
        <v>39</v>
      </c>
      <c r="AC128" s="78">
        <v>8605</v>
      </c>
      <c r="AD128" s="78">
        <v>7780</v>
      </c>
      <c r="AE128" s="78">
        <v>6255</v>
      </c>
      <c r="AF128" s="71">
        <f t="shared" si="12"/>
        <v>0</v>
      </c>
      <c r="AG128" s="71" t="str">
        <f t="shared" si="13"/>
        <v>肺段切除费（常规）</v>
      </c>
      <c r="AH128" s="71">
        <f t="shared" si="14"/>
        <v>6500</v>
      </c>
      <c r="AI128" s="71">
        <f t="shared" si="15"/>
        <v>5900</v>
      </c>
      <c r="AJ128" s="71">
        <f t="shared" si="16"/>
        <v>5200</v>
      </c>
    </row>
    <row r="129" s="22" customFormat="1" ht="25.5" spans="1:36">
      <c r="A129" s="34" t="s">
        <v>68</v>
      </c>
      <c r="B129" s="34" t="s">
        <v>558</v>
      </c>
      <c r="C129" s="37" t="s">
        <v>559</v>
      </c>
      <c r="D129" s="34" t="s">
        <v>297</v>
      </c>
      <c r="E129" s="48" t="s">
        <v>39</v>
      </c>
      <c r="F129" s="48" t="s">
        <v>39</v>
      </c>
      <c r="G129" s="34" t="s">
        <v>241</v>
      </c>
      <c r="H129" s="34" t="s">
        <v>39</v>
      </c>
      <c r="I129" s="15">
        <v>1980</v>
      </c>
      <c r="J129" s="15">
        <v>1782</v>
      </c>
      <c r="K129" s="52"/>
      <c r="L129" s="52"/>
      <c r="M129" s="52"/>
      <c r="N129" s="61">
        <v>1950</v>
      </c>
      <c r="O129" s="61">
        <v>1770</v>
      </c>
      <c r="P129" s="61">
        <v>1560</v>
      </c>
      <c r="Q129" s="34" t="s">
        <v>40</v>
      </c>
      <c r="R129" s="34" t="s">
        <v>39</v>
      </c>
      <c r="S129" s="63" t="s">
        <v>39</v>
      </c>
      <c r="T129" s="52"/>
      <c r="U129" s="75" t="s">
        <v>71</v>
      </c>
      <c r="V129" s="11" t="s">
        <v>560</v>
      </c>
      <c r="W129" s="11">
        <v>33070200302</v>
      </c>
      <c r="X129" s="11" t="s">
        <v>561</v>
      </c>
      <c r="Y129" s="12" t="s">
        <v>39</v>
      </c>
      <c r="Z129" s="12" t="s">
        <v>39</v>
      </c>
      <c r="AA129" s="14" t="s">
        <v>38</v>
      </c>
      <c r="AB129" s="12" t="s">
        <v>39</v>
      </c>
      <c r="AC129" s="18">
        <v>4825</v>
      </c>
      <c r="AD129" s="18">
        <v>4340</v>
      </c>
      <c r="AE129" s="18">
        <v>3690</v>
      </c>
      <c r="AF129" s="71">
        <f t="shared" si="12"/>
        <v>10</v>
      </c>
      <c r="AG129" s="71" t="str">
        <f t="shared" si="13"/>
        <v>肺段切除费（常规）</v>
      </c>
      <c r="AH129" s="71">
        <f t="shared" si="14"/>
        <v>8450</v>
      </c>
      <c r="AI129" s="71">
        <f t="shared" si="15"/>
        <v>7670</v>
      </c>
      <c r="AJ129" s="71">
        <f t="shared" si="16"/>
        <v>6760</v>
      </c>
    </row>
    <row r="130" s="22" customFormat="1" ht="25.5" spans="1:36">
      <c r="A130" s="34"/>
      <c r="B130" s="34"/>
      <c r="C130" s="37" t="s">
        <v>559</v>
      </c>
      <c r="D130" s="34"/>
      <c r="E130" s="48"/>
      <c r="F130" s="48"/>
      <c r="G130" s="34"/>
      <c r="H130" s="34"/>
      <c r="I130" s="54"/>
      <c r="J130" s="54"/>
      <c r="K130" s="52"/>
      <c r="L130" s="52"/>
      <c r="M130" s="52"/>
      <c r="N130" s="61">
        <v>1950</v>
      </c>
      <c r="O130" s="61">
        <v>1770</v>
      </c>
      <c r="P130" s="61">
        <v>1560</v>
      </c>
      <c r="Q130" s="34"/>
      <c r="R130" s="34"/>
      <c r="S130" s="63"/>
      <c r="T130" s="52"/>
      <c r="U130" s="75"/>
      <c r="V130" s="11" t="s">
        <v>562</v>
      </c>
      <c r="W130" s="11">
        <v>33070200306</v>
      </c>
      <c r="X130" s="11" t="s">
        <v>563</v>
      </c>
      <c r="Y130" s="12" t="s">
        <v>39</v>
      </c>
      <c r="Z130" s="12" t="s">
        <v>39</v>
      </c>
      <c r="AA130" s="14" t="s">
        <v>38</v>
      </c>
      <c r="AB130" s="12" t="s">
        <v>39</v>
      </c>
      <c r="AC130" s="18">
        <v>5450</v>
      </c>
      <c r="AD130" s="18">
        <v>4940</v>
      </c>
      <c r="AE130" s="18">
        <v>4200</v>
      </c>
      <c r="AF130" s="71">
        <f t="shared" si="12"/>
        <v>10</v>
      </c>
      <c r="AG130" s="71" t="str">
        <f t="shared" si="13"/>
        <v>肺段切除费（常规）</v>
      </c>
      <c r="AH130" s="71">
        <f t="shared" si="14"/>
        <v>8450</v>
      </c>
      <c r="AI130" s="71">
        <f t="shared" si="15"/>
        <v>7670</v>
      </c>
      <c r="AJ130" s="71">
        <f t="shared" si="16"/>
        <v>6760</v>
      </c>
    </row>
    <row r="131" s="22" customFormat="1" ht="25.5" spans="1:36">
      <c r="A131" s="34"/>
      <c r="B131" s="34"/>
      <c r="C131" s="37" t="s">
        <v>559</v>
      </c>
      <c r="D131" s="34"/>
      <c r="E131" s="48"/>
      <c r="F131" s="48"/>
      <c r="G131" s="34"/>
      <c r="H131" s="34"/>
      <c r="I131" s="54"/>
      <c r="J131" s="54"/>
      <c r="K131" s="52"/>
      <c r="L131" s="52"/>
      <c r="M131" s="52"/>
      <c r="N131" s="61">
        <v>1950</v>
      </c>
      <c r="O131" s="61">
        <v>1770</v>
      </c>
      <c r="P131" s="61">
        <v>1560</v>
      </c>
      <c r="Q131" s="34"/>
      <c r="R131" s="34"/>
      <c r="S131" s="63"/>
      <c r="T131" s="52"/>
      <c r="U131" s="75"/>
      <c r="V131" s="11" t="s">
        <v>513</v>
      </c>
      <c r="W131" s="11">
        <v>33070200202</v>
      </c>
      <c r="X131" s="11" t="s">
        <v>514</v>
      </c>
      <c r="Y131" s="12" t="s">
        <v>39</v>
      </c>
      <c r="Z131" s="12" t="s">
        <v>39</v>
      </c>
      <c r="AA131" s="14" t="s">
        <v>38</v>
      </c>
      <c r="AB131" s="12" t="s">
        <v>39</v>
      </c>
      <c r="AC131" s="18">
        <v>10375</v>
      </c>
      <c r="AD131" s="18">
        <v>9335</v>
      </c>
      <c r="AE131" s="18">
        <v>7470</v>
      </c>
      <c r="AF131" s="71">
        <f t="shared" si="12"/>
        <v>10</v>
      </c>
      <c r="AG131" s="71" t="str">
        <f t="shared" si="13"/>
        <v>肺段切除费（常规）</v>
      </c>
      <c r="AH131" s="71">
        <f t="shared" si="14"/>
        <v>8450</v>
      </c>
      <c r="AI131" s="71">
        <f t="shared" si="15"/>
        <v>7670</v>
      </c>
      <c r="AJ131" s="71">
        <f t="shared" si="16"/>
        <v>6760</v>
      </c>
    </row>
    <row r="132" s="22" customFormat="1" ht="25.5" spans="1:36">
      <c r="A132" s="34"/>
      <c r="B132" s="34"/>
      <c r="C132" s="37" t="s">
        <v>559</v>
      </c>
      <c r="D132" s="34"/>
      <c r="E132" s="48"/>
      <c r="F132" s="48"/>
      <c r="G132" s="34"/>
      <c r="H132" s="34"/>
      <c r="I132" s="54"/>
      <c r="J132" s="54"/>
      <c r="K132" s="52"/>
      <c r="L132" s="52"/>
      <c r="M132" s="52"/>
      <c r="N132" s="61">
        <v>1950</v>
      </c>
      <c r="O132" s="61">
        <v>1770</v>
      </c>
      <c r="P132" s="61">
        <v>1560</v>
      </c>
      <c r="Q132" s="34"/>
      <c r="R132" s="34"/>
      <c r="S132" s="63"/>
      <c r="T132" s="52"/>
      <c r="U132" s="75"/>
      <c r="V132" s="11" t="s">
        <v>515</v>
      </c>
      <c r="W132" s="11">
        <v>33070200206</v>
      </c>
      <c r="X132" s="11" t="s">
        <v>516</v>
      </c>
      <c r="Y132" s="12" t="s">
        <v>39</v>
      </c>
      <c r="Z132" s="12" t="s">
        <v>39</v>
      </c>
      <c r="AA132" s="14" t="s">
        <v>38</v>
      </c>
      <c r="AB132" s="12" t="s">
        <v>39</v>
      </c>
      <c r="AC132" s="18">
        <v>11000</v>
      </c>
      <c r="AD132" s="18">
        <v>9935</v>
      </c>
      <c r="AE132" s="18">
        <v>7980</v>
      </c>
      <c r="AF132" s="71">
        <f t="shared" si="12"/>
        <v>10</v>
      </c>
      <c r="AG132" s="71" t="str">
        <f t="shared" si="13"/>
        <v>肺段切除费（常规）</v>
      </c>
      <c r="AH132" s="71">
        <f t="shared" si="14"/>
        <v>8450</v>
      </c>
      <c r="AI132" s="71">
        <f t="shared" si="15"/>
        <v>7670</v>
      </c>
      <c r="AJ132" s="71">
        <f t="shared" si="16"/>
        <v>6760</v>
      </c>
    </row>
    <row r="133" s="22" customFormat="1" ht="29" customHeight="1" spans="1:36">
      <c r="A133" s="34">
        <v>43</v>
      </c>
      <c r="B133" s="11" t="s">
        <v>564</v>
      </c>
      <c r="C133" s="37" t="s">
        <v>565</v>
      </c>
      <c r="D133" s="11" t="s">
        <v>297</v>
      </c>
      <c r="E133" s="48" t="s">
        <v>566</v>
      </c>
      <c r="F133" s="48" t="s">
        <v>398</v>
      </c>
      <c r="G133" s="34" t="s">
        <v>241</v>
      </c>
      <c r="H133" s="34" t="s">
        <v>567</v>
      </c>
      <c r="I133" s="15">
        <v>7500</v>
      </c>
      <c r="J133" s="15">
        <v>6750</v>
      </c>
      <c r="K133" s="53">
        <v>7942.41379310345</v>
      </c>
      <c r="L133" s="53">
        <v>7278.49710982659</v>
      </c>
      <c r="M133" s="52">
        <v>6255</v>
      </c>
      <c r="N133" s="59">
        <v>7400</v>
      </c>
      <c r="O133" s="59">
        <v>6750</v>
      </c>
      <c r="P133" s="59">
        <v>6000</v>
      </c>
      <c r="Q133" s="62" t="s">
        <v>40</v>
      </c>
      <c r="R133" s="62" t="s">
        <v>39</v>
      </c>
      <c r="S133" s="64" t="s">
        <v>39</v>
      </c>
      <c r="T133" s="52" t="s">
        <v>41</v>
      </c>
      <c r="U133" s="67" t="s">
        <v>465</v>
      </c>
      <c r="V133" s="34" t="s">
        <v>553</v>
      </c>
      <c r="W133" s="34">
        <v>330702003</v>
      </c>
      <c r="X133" s="34" t="s">
        <v>554</v>
      </c>
      <c r="Y133" s="12" t="s">
        <v>39</v>
      </c>
      <c r="Z133" s="12" t="s">
        <v>39</v>
      </c>
      <c r="AA133" s="14" t="s">
        <v>38</v>
      </c>
      <c r="AB133" s="12" t="s">
        <v>555</v>
      </c>
      <c r="AC133" s="18">
        <v>3710</v>
      </c>
      <c r="AD133" s="18">
        <v>3340</v>
      </c>
      <c r="AE133" s="18">
        <v>2840</v>
      </c>
      <c r="AF133" s="71">
        <f t="shared" si="12"/>
        <v>0</v>
      </c>
      <c r="AG133" s="71" t="str">
        <f t="shared" si="13"/>
        <v>肺段切除费（复杂）</v>
      </c>
      <c r="AH133" s="71">
        <f t="shared" si="14"/>
        <v>7400</v>
      </c>
      <c r="AI133" s="71">
        <f t="shared" si="15"/>
        <v>6750</v>
      </c>
      <c r="AJ133" s="71">
        <f t="shared" si="16"/>
        <v>6000</v>
      </c>
    </row>
    <row r="134" s="22" customFormat="1" ht="29" customHeight="1" spans="1:36">
      <c r="A134" s="34"/>
      <c r="B134" s="11"/>
      <c r="C134" s="37" t="s">
        <v>565</v>
      </c>
      <c r="D134" s="11"/>
      <c r="E134" s="48"/>
      <c r="F134" s="48"/>
      <c r="G134" s="34"/>
      <c r="H134" s="34"/>
      <c r="I134" s="54"/>
      <c r="J134" s="54"/>
      <c r="K134" s="53"/>
      <c r="L134" s="53"/>
      <c r="M134" s="52"/>
      <c r="N134" s="59">
        <v>7400</v>
      </c>
      <c r="O134" s="59">
        <v>6750</v>
      </c>
      <c r="P134" s="59">
        <v>6000</v>
      </c>
      <c r="Q134" s="62"/>
      <c r="R134" s="62"/>
      <c r="S134" s="64"/>
      <c r="T134" s="52"/>
      <c r="U134" s="67"/>
      <c r="V134" s="11" t="s">
        <v>556</v>
      </c>
      <c r="W134" s="11">
        <v>33070200304</v>
      </c>
      <c r="X134" s="11" t="s">
        <v>557</v>
      </c>
      <c r="Y134" s="12" t="s">
        <v>39</v>
      </c>
      <c r="Z134" s="12" t="s">
        <v>39</v>
      </c>
      <c r="AA134" s="14" t="s">
        <v>38</v>
      </c>
      <c r="AB134" s="12" t="s">
        <v>39</v>
      </c>
      <c r="AC134" s="18">
        <v>4335</v>
      </c>
      <c r="AD134" s="18">
        <v>3940</v>
      </c>
      <c r="AE134" s="18">
        <v>3350</v>
      </c>
      <c r="AF134" s="71">
        <f t="shared" si="12"/>
        <v>0</v>
      </c>
      <c r="AG134" s="71" t="str">
        <f t="shared" si="13"/>
        <v>肺段切除费（复杂）</v>
      </c>
      <c r="AH134" s="71">
        <f t="shared" si="14"/>
        <v>7400</v>
      </c>
      <c r="AI134" s="71">
        <f t="shared" si="15"/>
        <v>6750</v>
      </c>
      <c r="AJ134" s="71">
        <f t="shared" si="16"/>
        <v>6000</v>
      </c>
    </row>
    <row r="135" s="22" customFormat="1" ht="29" customHeight="1" spans="1:36">
      <c r="A135" s="34"/>
      <c r="B135" s="11"/>
      <c r="C135" s="37" t="s">
        <v>565</v>
      </c>
      <c r="D135" s="11"/>
      <c r="E135" s="48"/>
      <c r="F135" s="48"/>
      <c r="G135" s="34"/>
      <c r="H135" s="34"/>
      <c r="I135" s="54"/>
      <c r="J135" s="54"/>
      <c r="K135" s="53"/>
      <c r="L135" s="53"/>
      <c r="M135" s="52"/>
      <c r="N135" s="59">
        <v>7400</v>
      </c>
      <c r="O135" s="59">
        <v>6750</v>
      </c>
      <c r="P135" s="59">
        <v>6000</v>
      </c>
      <c r="Q135" s="62"/>
      <c r="R135" s="62"/>
      <c r="S135" s="64"/>
      <c r="T135" s="52"/>
      <c r="U135" s="67"/>
      <c r="V135" s="74" t="s">
        <v>489</v>
      </c>
      <c r="W135" s="74">
        <v>330702002</v>
      </c>
      <c r="X135" s="74" t="s">
        <v>490</v>
      </c>
      <c r="Y135" s="76" t="s">
        <v>491</v>
      </c>
      <c r="Z135" s="76" t="s">
        <v>39</v>
      </c>
      <c r="AA135" s="77" t="s">
        <v>38</v>
      </c>
      <c r="AB135" s="76" t="s">
        <v>492</v>
      </c>
      <c r="AC135" s="78">
        <v>7980</v>
      </c>
      <c r="AD135" s="78">
        <v>7180</v>
      </c>
      <c r="AE135" s="78">
        <v>5745</v>
      </c>
      <c r="AF135" s="71">
        <f t="shared" si="12"/>
        <v>0</v>
      </c>
      <c r="AG135" s="71" t="str">
        <f t="shared" si="13"/>
        <v>肺段切除费（复杂）</v>
      </c>
      <c r="AH135" s="71">
        <f t="shared" si="14"/>
        <v>7400</v>
      </c>
      <c r="AI135" s="71">
        <f t="shared" si="15"/>
        <v>6750</v>
      </c>
      <c r="AJ135" s="71">
        <f t="shared" si="16"/>
        <v>6000</v>
      </c>
    </row>
    <row r="136" s="22" customFormat="1" ht="29" customHeight="1" spans="1:36">
      <c r="A136" s="34"/>
      <c r="B136" s="11"/>
      <c r="C136" s="37" t="s">
        <v>565</v>
      </c>
      <c r="D136" s="11"/>
      <c r="E136" s="48"/>
      <c r="F136" s="48"/>
      <c r="G136" s="34"/>
      <c r="H136" s="34"/>
      <c r="I136" s="54"/>
      <c r="J136" s="54"/>
      <c r="K136" s="53"/>
      <c r="L136" s="53"/>
      <c r="M136" s="52"/>
      <c r="N136" s="59">
        <v>7400</v>
      </c>
      <c r="O136" s="59">
        <v>6750</v>
      </c>
      <c r="P136" s="59">
        <v>6000</v>
      </c>
      <c r="Q136" s="62"/>
      <c r="R136" s="62"/>
      <c r="S136" s="64"/>
      <c r="T136" s="52"/>
      <c r="U136" s="67"/>
      <c r="V136" s="74" t="s">
        <v>493</v>
      </c>
      <c r="W136" s="74">
        <v>33070200204</v>
      </c>
      <c r="X136" s="74" t="s">
        <v>494</v>
      </c>
      <c r="Y136" s="76" t="s">
        <v>39</v>
      </c>
      <c r="Z136" s="76" t="s">
        <v>39</v>
      </c>
      <c r="AA136" s="77" t="s">
        <v>38</v>
      </c>
      <c r="AB136" s="76" t="s">
        <v>39</v>
      </c>
      <c r="AC136" s="78">
        <v>8605</v>
      </c>
      <c r="AD136" s="78">
        <v>7780</v>
      </c>
      <c r="AE136" s="78">
        <v>6255</v>
      </c>
      <c r="AF136" s="71">
        <f t="shared" si="12"/>
        <v>0</v>
      </c>
      <c r="AG136" s="71" t="str">
        <f t="shared" si="13"/>
        <v>肺段切除费（复杂）</v>
      </c>
      <c r="AH136" s="71">
        <f t="shared" si="14"/>
        <v>7400</v>
      </c>
      <c r="AI136" s="71">
        <f t="shared" si="15"/>
        <v>6750</v>
      </c>
      <c r="AJ136" s="71">
        <f t="shared" si="16"/>
        <v>6000</v>
      </c>
    </row>
    <row r="137" s="22" customFormat="1" ht="32" customHeight="1" spans="1:36">
      <c r="A137" s="34" t="s">
        <v>68</v>
      </c>
      <c r="B137" s="34" t="s">
        <v>568</v>
      </c>
      <c r="C137" s="37" t="s">
        <v>569</v>
      </c>
      <c r="D137" s="34" t="s">
        <v>297</v>
      </c>
      <c r="E137" s="48" t="s">
        <v>39</v>
      </c>
      <c r="F137" s="48" t="s">
        <v>39</v>
      </c>
      <c r="G137" s="34" t="s">
        <v>241</v>
      </c>
      <c r="H137" s="34" t="s">
        <v>39</v>
      </c>
      <c r="I137" s="15">
        <v>2250</v>
      </c>
      <c r="J137" s="15">
        <v>2025</v>
      </c>
      <c r="K137" s="52"/>
      <c r="L137" s="52"/>
      <c r="M137" s="52"/>
      <c r="N137" s="61">
        <v>2220</v>
      </c>
      <c r="O137" s="61">
        <v>2025</v>
      </c>
      <c r="P137" s="61">
        <v>1800</v>
      </c>
      <c r="Q137" s="34" t="s">
        <v>40</v>
      </c>
      <c r="R137" s="34" t="s">
        <v>39</v>
      </c>
      <c r="S137" s="63" t="s">
        <v>39</v>
      </c>
      <c r="T137" s="52"/>
      <c r="U137" s="48" t="s">
        <v>71</v>
      </c>
      <c r="V137" s="11" t="s">
        <v>560</v>
      </c>
      <c r="W137" s="11">
        <v>33070200302</v>
      </c>
      <c r="X137" s="11" t="s">
        <v>561</v>
      </c>
      <c r="Y137" s="12" t="s">
        <v>39</v>
      </c>
      <c r="Z137" s="12" t="s">
        <v>39</v>
      </c>
      <c r="AA137" s="14" t="s">
        <v>38</v>
      </c>
      <c r="AB137" s="12" t="s">
        <v>39</v>
      </c>
      <c r="AC137" s="18">
        <v>4825</v>
      </c>
      <c r="AD137" s="18">
        <v>4340</v>
      </c>
      <c r="AE137" s="18">
        <v>3690</v>
      </c>
      <c r="AF137" s="71">
        <f t="shared" si="12"/>
        <v>10</v>
      </c>
      <c r="AG137" s="71" t="str">
        <f t="shared" si="13"/>
        <v>肺段切除费（复杂）</v>
      </c>
      <c r="AH137" s="71">
        <f t="shared" si="14"/>
        <v>9620</v>
      </c>
      <c r="AI137" s="71">
        <f t="shared" si="15"/>
        <v>8775</v>
      </c>
      <c r="AJ137" s="71">
        <f t="shared" si="16"/>
        <v>7800</v>
      </c>
    </row>
    <row r="138" s="22" customFormat="1" ht="32" customHeight="1" spans="1:36">
      <c r="A138" s="34"/>
      <c r="B138" s="34"/>
      <c r="C138" s="37" t="s">
        <v>569</v>
      </c>
      <c r="D138" s="34"/>
      <c r="E138" s="48"/>
      <c r="F138" s="48"/>
      <c r="G138" s="34"/>
      <c r="H138" s="34"/>
      <c r="I138" s="54"/>
      <c r="J138" s="54"/>
      <c r="K138" s="52"/>
      <c r="L138" s="52"/>
      <c r="M138" s="52"/>
      <c r="N138" s="61">
        <v>2220</v>
      </c>
      <c r="O138" s="61">
        <v>2025</v>
      </c>
      <c r="P138" s="61">
        <v>1800</v>
      </c>
      <c r="Q138" s="34"/>
      <c r="R138" s="34"/>
      <c r="S138" s="63"/>
      <c r="T138" s="52"/>
      <c r="U138" s="48"/>
      <c r="V138" s="11" t="s">
        <v>562</v>
      </c>
      <c r="W138" s="11">
        <v>33070200306</v>
      </c>
      <c r="X138" s="11" t="s">
        <v>563</v>
      </c>
      <c r="Y138" s="12" t="s">
        <v>39</v>
      </c>
      <c r="Z138" s="12" t="s">
        <v>39</v>
      </c>
      <c r="AA138" s="14" t="s">
        <v>38</v>
      </c>
      <c r="AB138" s="12" t="s">
        <v>39</v>
      </c>
      <c r="AC138" s="18">
        <v>5450</v>
      </c>
      <c r="AD138" s="18">
        <v>4940</v>
      </c>
      <c r="AE138" s="18">
        <v>4200</v>
      </c>
      <c r="AF138" s="71">
        <f t="shared" si="12"/>
        <v>10</v>
      </c>
      <c r="AG138" s="71" t="str">
        <f t="shared" si="13"/>
        <v>肺段切除费（复杂）</v>
      </c>
      <c r="AH138" s="71">
        <f t="shared" si="14"/>
        <v>9620</v>
      </c>
      <c r="AI138" s="71">
        <f t="shared" si="15"/>
        <v>8775</v>
      </c>
      <c r="AJ138" s="71">
        <f t="shared" si="16"/>
        <v>7800</v>
      </c>
    </row>
    <row r="139" s="22" customFormat="1" ht="32" customHeight="1" spans="1:36">
      <c r="A139" s="34"/>
      <c r="B139" s="34"/>
      <c r="C139" s="37" t="s">
        <v>569</v>
      </c>
      <c r="D139" s="34"/>
      <c r="E139" s="48"/>
      <c r="F139" s="48"/>
      <c r="G139" s="34"/>
      <c r="H139" s="34"/>
      <c r="I139" s="54"/>
      <c r="J139" s="54"/>
      <c r="K139" s="52"/>
      <c r="L139" s="52"/>
      <c r="M139" s="52"/>
      <c r="N139" s="61">
        <v>2220</v>
      </c>
      <c r="O139" s="61">
        <v>2025</v>
      </c>
      <c r="P139" s="61">
        <v>1800</v>
      </c>
      <c r="Q139" s="34"/>
      <c r="R139" s="34"/>
      <c r="S139" s="63"/>
      <c r="T139" s="52"/>
      <c r="U139" s="48"/>
      <c r="V139" s="11" t="s">
        <v>513</v>
      </c>
      <c r="W139" s="11">
        <v>33070200202</v>
      </c>
      <c r="X139" s="11" t="s">
        <v>514</v>
      </c>
      <c r="Y139" s="12" t="s">
        <v>39</v>
      </c>
      <c r="Z139" s="12" t="s">
        <v>39</v>
      </c>
      <c r="AA139" s="14" t="s">
        <v>38</v>
      </c>
      <c r="AB139" s="12" t="s">
        <v>39</v>
      </c>
      <c r="AC139" s="18">
        <v>10375</v>
      </c>
      <c r="AD139" s="18">
        <v>9335</v>
      </c>
      <c r="AE139" s="18">
        <v>7470</v>
      </c>
      <c r="AF139" s="71">
        <f t="shared" si="12"/>
        <v>10</v>
      </c>
      <c r="AG139" s="71" t="str">
        <f t="shared" si="13"/>
        <v>肺段切除费（复杂）</v>
      </c>
      <c r="AH139" s="71">
        <f t="shared" si="14"/>
        <v>9620</v>
      </c>
      <c r="AI139" s="71">
        <f t="shared" si="15"/>
        <v>8775</v>
      </c>
      <c r="AJ139" s="71">
        <f t="shared" si="16"/>
        <v>7800</v>
      </c>
    </row>
    <row r="140" s="22" customFormat="1" ht="32" customHeight="1" spans="1:36">
      <c r="A140" s="34"/>
      <c r="B140" s="34"/>
      <c r="C140" s="37" t="s">
        <v>569</v>
      </c>
      <c r="D140" s="34"/>
      <c r="E140" s="48"/>
      <c r="F140" s="48"/>
      <c r="G140" s="34"/>
      <c r="H140" s="34"/>
      <c r="I140" s="54"/>
      <c r="J140" s="54"/>
      <c r="K140" s="52"/>
      <c r="L140" s="52"/>
      <c r="M140" s="52"/>
      <c r="N140" s="61">
        <v>2220</v>
      </c>
      <c r="O140" s="61">
        <v>2025</v>
      </c>
      <c r="P140" s="61">
        <v>1800</v>
      </c>
      <c r="Q140" s="34"/>
      <c r="R140" s="34"/>
      <c r="S140" s="63"/>
      <c r="T140" s="52"/>
      <c r="U140" s="48"/>
      <c r="V140" s="11" t="s">
        <v>515</v>
      </c>
      <c r="W140" s="11">
        <v>33070200206</v>
      </c>
      <c r="X140" s="11" t="s">
        <v>516</v>
      </c>
      <c r="Y140" s="12" t="s">
        <v>39</v>
      </c>
      <c r="Z140" s="12" t="s">
        <v>39</v>
      </c>
      <c r="AA140" s="14" t="s">
        <v>38</v>
      </c>
      <c r="AB140" s="12" t="s">
        <v>39</v>
      </c>
      <c r="AC140" s="18">
        <v>11000</v>
      </c>
      <c r="AD140" s="18">
        <v>9935</v>
      </c>
      <c r="AE140" s="18">
        <v>7980</v>
      </c>
      <c r="AF140" s="71">
        <f t="shared" si="12"/>
        <v>10</v>
      </c>
      <c r="AG140" s="71" t="str">
        <f t="shared" si="13"/>
        <v>肺段切除费（复杂）</v>
      </c>
      <c r="AH140" s="71">
        <f t="shared" si="14"/>
        <v>9620</v>
      </c>
      <c r="AI140" s="71">
        <f t="shared" si="15"/>
        <v>8775</v>
      </c>
      <c r="AJ140" s="71">
        <f t="shared" si="16"/>
        <v>7800</v>
      </c>
    </row>
    <row r="141" s="22" customFormat="1" ht="27" customHeight="1" spans="1:36">
      <c r="A141" s="34">
        <v>44</v>
      </c>
      <c r="B141" s="11" t="s">
        <v>570</v>
      </c>
      <c r="C141" s="37" t="s">
        <v>571</v>
      </c>
      <c r="D141" s="34" t="s">
        <v>297</v>
      </c>
      <c r="E141" s="48" t="s">
        <v>572</v>
      </c>
      <c r="F141" s="48" t="s">
        <v>398</v>
      </c>
      <c r="G141" s="34" t="s">
        <v>241</v>
      </c>
      <c r="H141" s="11"/>
      <c r="I141" s="15">
        <v>6500</v>
      </c>
      <c r="J141" s="15">
        <v>5850</v>
      </c>
      <c r="K141" s="52"/>
      <c r="L141" s="52"/>
      <c r="M141" s="52"/>
      <c r="N141" s="59">
        <v>6300</v>
      </c>
      <c r="O141" s="59">
        <v>5800</v>
      </c>
      <c r="P141" s="59">
        <v>5000</v>
      </c>
      <c r="Q141" s="62" t="s">
        <v>40</v>
      </c>
      <c r="R141" s="62" t="s">
        <v>39</v>
      </c>
      <c r="S141" s="64" t="s">
        <v>39</v>
      </c>
      <c r="T141" s="52" t="s">
        <v>264</v>
      </c>
      <c r="U141" s="67" t="s">
        <v>573</v>
      </c>
      <c r="V141" s="34" t="s">
        <v>574</v>
      </c>
      <c r="W141" s="34">
        <v>330702008</v>
      </c>
      <c r="X141" s="34" t="s">
        <v>575</v>
      </c>
      <c r="Y141" s="12" t="s">
        <v>39</v>
      </c>
      <c r="Z141" s="12" t="s">
        <v>39</v>
      </c>
      <c r="AA141" s="14" t="s">
        <v>38</v>
      </c>
      <c r="AB141" s="12" t="s">
        <v>576</v>
      </c>
      <c r="AC141" s="18">
        <v>4330</v>
      </c>
      <c r="AD141" s="18">
        <v>3900</v>
      </c>
      <c r="AE141" s="18">
        <v>3320</v>
      </c>
      <c r="AF141" s="71">
        <f t="shared" si="12"/>
        <v>0</v>
      </c>
      <c r="AG141" s="71" t="str">
        <f t="shared" si="13"/>
        <v>全肺切除费（常规）</v>
      </c>
      <c r="AH141" s="71">
        <f t="shared" si="14"/>
        <v>6300</v>
      </c>
      <c r="AI141" s="71">
        <f t="shared" si="15"/>
        <v>5800</v>
      </c>
      <c r="AJ141" s="71">
        <f t="shared" si="16"/>
        <v>5000</v>
      </c>
    </row>
    <row r="142" s="22" customFormat="1" ht="27" customHeight="1" spans="1:36">
      <c r="A142" s="34"/>
      <c r="B142" s="11"/>
      <c r="C142" s="37" t="s">
        <v>571</v>
      </c>
      <c r="D142" s="34"/>
      <c r="E142" s="48"/>
      <c r="F142" s="48"/>
      <c r="G142" s="34"/>
      <c r="H142" s="11"/>
      <c r="I142" s="54"/>
      <c r="J142" s="54"/>
      <c r="K142" s="52"/>
      <c r="L142" s="52"/>
      <c r="M142" s="52"/>
      <c r="N142" s="59">
        <v>6300</v>
      </c>
      <c r="O142" s="59">
        <v>5800</v>
      </c>
      <c r="P142" s="59">
        <v>5000</v>
      </c>
      <c r="Q142" s="62"/>
      <c r="R142" s="62"/>
      <c r="S142" s="64"/>
      <c r="T142" s="52"/>
      <c r="U142" s="67"/>
      <c r="V142" s="34" t="s">
        <v>577</v>
      </c>
      <c r="W142" s="34">
        <v>33070200806</v>
      </c>
      <c r="X142" s="34" t="s">
        <v>578</v>
      </c>
      <c r="Y142" s="12" t="s">
        <v>39</v>
      </c>
      <c r="Z142" s="12" t="s">
        <v>39</v>
      </c>
      <c r="AA142" s="14" t="s">
        <v>38</v>
      </c>
      <c r="AB142" s="12" t="s">
        <v>39</v>
      </c>
      <c r="AC142" s="18">
        <v>4955</v>
      </c>
      <c r="AD142" s="18">
        <v>4500</v>
      </c>
      <c r="AE142" s="18">
        <v>3830</v>
      </c>
      <c r="AF142" s="71">
        <f t="shared" si="12"/>
        <v>0</v>
      </c>
      <c r="AG142" s="71" t="str">
        <f t="shared" si="13"/>
        <v>全肺切除费（常规）</v>
      </c>
      <c r="AH142" s="71">
        <f t="shared" si="14"/>
        <v>6300</v>
      </c>
      <c r="AI142" s="71">
        <f t="shared" si="15"/>
        <v>5800</v>
      </c>
      <c r="AJ142" s="71">
        <f t="shared" si="16"/>
        <v>5000</v>
      </c>
    </row>
    <row r="143" s="22" customFormat="1" ht="27" customHeight="1" spans="1:36">
      <c r="A143" s="34"/>
      <c r="B143" s="11"/>
      <c r="C143" s="37" t="s">
        <v>571</v>
      </c>
      <c r="D143" s="34"/>
      <c r="E143" s="48"/>
      <c r="F143" s="48"/>
      <c r="G143" s="34"/>
      <c r="H143" s="11"/>
      <c r="I143" s="54"/>
      <c r="J143" s="54"/>
      <c r="K143" s="52"/>
      <c r="L143" s="52"/>
      <c r="M143" s="52"/>
      <c r="N143" s="59">
        <v>6300</v>
      </c>
      <c r="O143" s="59">
        <v>5800</v>
      </c>
      <c r="P143" s="59">
        <v>5000</v>
      </c>
      <c r="Q143" s="62"/>
      <c r="R143" s="62"/>
      <c r="S143" s="64"/>
      <c r="T143" s="52"/>
      <c r="U143" s="67"/>
      <c r="V143" s="34" t="s">
        <v>489</v>
      </c>
      <c r="W143" s="34">
        <v>330702002</v>
      </c>
      <c r="X143" s="34" t="s">
        <v>490</v>
      </c>
      <c r="Y143" s="12" t="s">
        <v>491</v>
      </c>
      <c r="Z143" s="12" t="s">
        <v>39</v>
      </c>
      <c r="AA143" s="14" t="s">
        <v>38</v>
      </c>
      <c r="AB143" s="12" t="s">
        <v>492</v>
      </c>
      <c r="AC143" s="18">
        <v>7980</v>
      </c>
      <c r="AD143" s="18">
        <v>7180</v>
      </c>
      <c r="AE143" s="18">
        <v>5745</v>
      </c>
      <c r="AF143" s="71">
        <f t="shared" si="12"/>
        <v>0</v>
      </c>
      <c r="AG143" s="71" t="str">
        <f t="shared" si="13"/>
        <v>全肺切除费（常规）</v>
      </c>
      <c r="AH143" s="71">
        <f t="shared" si="14"/>
        <v>6300</v>
      </c>
      <c r="AI143" s="71">
        <f t="shared" si="15"/>
        <v>5800</v>
      </c>
      <c r="AJ143" s="71">
        <f t="shared" si="16"/>
        <v>5000</v>
      </c>
    </row>
    <row r="144" s="22" customFormat="1" ht="27" customHeight="1" spans="1:36">
      <c r="A144" s="34"/>
      <c r="B144" s="11"/>
      <c r="C144" s="37" t="s">
        <v>571</v>
      </c>
      <c r="D144" s="34"/>
      <c r="E144" s="48"/>
      <c r="F144" s="48"/>
      <c r="G144" s="34"/>
      <c r="H144" s="11"/>
      <c r="I144" s="54"/>
      <c r="J144" s="54"/>
      <c r="K144" s="52"/>
      <c r="L144" s="52"/>
      <c r="M144" s="52"/>
      <c r="N144" s="59">
        <v>6300</v>
      </c>
      <c r="O144" s="59">
        <v>5800</v>
      </c>
      <c r="P144" s="59">
        <v>5000</v>
      </c>
      <c r="Q144" s="62"/>
      <c r="R144" s="62"/>
      <c r="S144" s="64"/>
      <c r="T144" s="52"/>
      <c r="U144" s="67"/>
      <c r="V144" s="34" t="s">
        <v>493</v>
      </c>
      <c r="W144" s="34">
        <v>33070200204</v>
      </c>
      <c r="X144" s="34" t="s">
        <v>494</v>
      </c>
      <c r="Y144" s="12" t="s">
        <v>39</v>
      </c>
      <c r="Z144" s="12" t="s">
        <v>39</v>
      </c>
      <c r="AA144" s="14" t="s">
        <v>38</v>
      </c>
      <c r="AB144" s="12" t="s">
        <v>39</v>
      </c>
      <c r="AC144" s="18">
        <v>8605</v>
      </c>
      <c r="AD144" s="18">
        <v>7780</v>
      </c>
      <c r="AE144" s="18">
        <v>6255</v>
      </c>
      <c r="AF144" s="71">
        <f t="shared" si="12"/>
        <v>0</v>
      </c>
      <c r="AG144" s="71" t="str">
        <f t="shared" si="13"/>
        <v>全肺切除费（常规）</v>
      </c>
      <c r="AH144" s="71">
        <f t="shared" si="14"/>
        <v>6300</v>
      </c>
      <c r="AI144" s="71">
        <f t="shared" si="15"/>
        <v>5800</v>
      </c>
      <c r="AJ144" s="71">
        <f t="shared" si="16"/>
        <v>5000</v>
      </c>
    </row>
    <row r="145" s="22" customFormat="1" ht="27" customHeight="1" spans="1:36">
      <c r="A145" s="34" t="s">
        <v>68</v>
      </c>
      <c r="B145" s="34" t="s">
        <v>579</v>
      </c>
      <c r="C145" s="37" t="s">
        <v>580</v>
      </c>
      <c r="D145" s="34" t="s">
        <v>297</v>
      </c>
      <c r="E145" s="48" t="s">
        <v>39</v>
      </c>
      <c r="F145" s="48" t="s">
        <v>39</v>
      </c>
      <c r="G145" s="34" t="s">
        <v>241</v>
      </c>
      <c r="H145" s="34" t="s">
        <v>39</v>
      </c>
      <c r="I145" s="15">
        <v>1950</v>
      </c>
      <c r="J145" s="15">
        <v>1755</v>
      </c>
      <c r="K145" s="52"/>
      <c r="L145" s="52"/>
      <c r="M145" s="52"/>
      <c r="N145" s="61">
        <v>1890</v>
      </c>
      <c r="O145" s="61">
        <v>1740</v>
      </c>
      <c r="P145" s="61">
        <v>1500</v>
      </c>
      <c r="Q145" s="34" t="s">
        <v>40</v>
      </c>
      <c r="R145" s="34" t="s">
        <v>39</v>
      </c>
      <c r="S145" s="63" t="s">
        <v>39</v>
      </c>
      <c r="T145" s="52"/>
      <c r="U145" s="48" t="s">
        <v>71</v>
      </c>
      <c r="V145" s="11" t="s">
        <v>581</v>
      </c>
      <c r="W145" s="11">
        <v>33070200803</v>
      </c>
      <c r="X145" s="11" t="s">
        <v>582</v>
      </c>
      <c r="Y145" s="12" t="s">
        <v>39</v>
      </c>
      <c r="Z145" s="12" t="s">
        <v>39</v>
      </c>
      <c r="AA145" s="14" t="s">
        <v>38</v>
      </c>
      <c r="AB145" s="12" t="s">
        <v>39</v>
      </c>
      <c r="AC145" s="18">
        <v>5630</v>
      </c>
      <c r="AD145" s="18">
        <v>5070</v>
      </c>
      <c r="AE145" s="18">
        <v>4310</v>
      </c>
      <c r="AF145" s="71">
        <f t="shared" si="12"/>
        <v>10</v>
      </c>
      <c r="AG145" s="71" t="str">
        <f t="shared" si="13"/>
        <v>全肺切除费（常规）</v>
      </c>
      <c r="AH145" s="71">
        <f t="shared" si="14"/>
        <v>8190</v>
      </c>
      <c r="AI145" s="71">
        <f t="shared" si="15"/>
        <v>7540</v>
      </c>
      <c r="AJ145" s="71">
        <f t="shared" si="16"/>
        <v>6500</v>
      </c>
    </row>
    <row r="146" s="22" customFormat="1" ht="27" customHeight="1" spans="1:36">
      <c r="A146" s="34"/>
      <c r="B146" s="34"/>
      <c r="C146" s="37" t="s">
        <v>580</v>
      </c>
      <c r="D146" s="34"/>
      <c r="E146" s="48"/>
      <c r="F146" s="48"/>
      <c r="G146" s="34"/>
      <c r="H146" s="34"/>
      <c r="I146" s="54"/>
      <c r="J146" s="54"/>
      <c r="K146" s="52"/>
      <c r="L146" s="52"/>
      <c r="M146" s="52"/>
      <c r="N146" s="61">
        <v>1890</v>
      </c>
      <c r="O146" s="61">
        <v>1740</v>
      </c>
      <c r="P146" s="61">
        <v>1500</v>
      </c>
      <c r="Q146" s="34"/>
      <c r="R146" s="34"/>
      <c r="S146" s="63"/>
      <c r="T146" s="52"/>
      <c r="U146" s="48"/>
      <c r="V146" s="11" t="s">
        <v>583</v>
      </c>
      <c r="W146" s="11">
        <v>33070200809</v>
      </c>
      <c r="X146" s="11" t="s">
        <v>584</v>
      </c>
      <c r="Y146" s="12" t="s">
        <v>39</v>
      </c>
      <c r="Z146" s="12" t="s">
        <v>39</v>
      </c>
      <c r="AA146" s="14" t="s">
        <v>38</v>
      </c>
      <c r="AB146" s="12" t="s">
        <v>39</v>
      </c>
      <c r="AC146" s="18">
        <v>6255</v>
      </c>
      <c r="AD146" s="18">
        <v>5670</v>
      </c>
      <c r="AE146" s="18">
        <v>4820</v>
      </c>
      <c r="AF146" s="71">
        <f t="shared" si="12"/>
        <v>10</v>
      </c>
      <c r="AG146" s="71" t="str">
        <f t="shared" si="13"/>
        <v>全肺切除费（常规）</v>
      </c>
      <c r="AH146" s="71">
        <f t="shared" si="14"/>
        <v>8190</v>
      </c>
      <c r="AI146" s="71">
        <f t="shared" si="15"/>
        <v>7540</v>
      </c>
      <c r="AJ146" s="71">
        <f t="shared" si="16"/>
        <v>6500</v>
      </c>
    </row>
    <row r="147" s="22" customFormat="1" ht="27" customHeight="1" spans="1:36">
      <c r="A147" s="34"/>
      <c r="B147" s="34"/>
      <c r="C147" s="37" t="s">
        <v>580</v>
      </c>
      <c r="D147" s="34"/>
      <c r="E147" s="48"/>
      <c r="F147" s="48"/>
      <c r="G147" s="34"/>
      <c r="H147" s="34"/>
      <c r="I147" s="54"/>
      <c r="J147" s="54"/>
      <c r="K147" s="52"/>
      <c r="L147" s="52"/>
      <c r="M147" s="52"/>
      <c r="N147" s="61">
        <v>1890</v>
      </c>
      <c r="O147" s="61">
        <v>1740</v>
      </c>
      <c r="P147" s="61">
        <v>1500</v>
      </c>
      <c r="Q147" s="34"/>
      <c r="R147" s="34"/>
      <c r="S147" s="63"/>
      <c r="T147" s="52"/>
      <c r="U147" s="48"/>
      <c r="V147" s="11" t="s">
        <v>513</v>
      </c>
      <c r="W147" s="11">
        <v>33070200202</v>
      </c>
      <c r="X147" s="11" t="s">
        <v>514</v>
      </c>
      <c r="Y147" s="12" t="s">
        <v>39</v>
      </c>
      <c r="Z147" s="12" t="s">
        <v>39</v>
      </c>
      <c r="AA147" s="14" t="s">
        <v>38</v>
      </c>
      <c r="AB147" s="12" t="s">
        <v>39</v>
      </c>
      <c r="AC147" s="18">
        <v>10375</v>
      </c>
      <c r="AD147" s="18">
        <v>9335</v>
      </c>
      <c r="AE147" s="18">
        <v>7470</v>
      </c>
      <c r="AF147" s="71">
        <f t="shared" si="12"/>
        <v>10</v>
      </c>
      <c r="AG147" s="71" t="str">
        <f t="shared" si="13"/>
        <v>全肺切除费（常规）</v>
      </c>
      <c r="AH147" s="71">
        <f t="shared" si="14"/>
        <v>8190</v>
      </c>
      <c r="AI147" s="71">
        <f t="shared" si="15"/>
        <v>7540</v>
      </c>
      <c r="AJ147" s="71">
        <f t="shared" si="16"/>
        <v>6500</v>
      </c>
    </row>
    <row r="148" s="22" customFormat="1" ht="27" customHeight="1" spans="1:36">
      <c r="A148" s="34"/>
      <c r="B148" s="34"/>
      <c r="C148" s="37" t="s">
        <v>580</v>
      </c>
      <c r="D148" s="34"/>
      <c r="E148" s="48"/>
      <c r="F148" s="48"/>
      <c r="G148" s="34"/>
      <c r="H148" s="34"/>
      <c r="I148" s="54"/>
      <c r="J148" s="54"/>
      <c r="K148" s="52"/>
      <c r="L148" s="52"/>
      <c r="M148" s="52"/>
      <c r="N148" s="61">
        <v>1890</v>
      </c>
      <c r="O148" s="61">
        <v>1740</v>
      </c>
      <c r="P148" s="61">
        <v>1500</v>
      </c>
      <c r="Q148" s="34"/>
      <c r="R148" s="34"/>
      <c r="S148" s="63"/>
      <c r="T148" s="52"/>
      <c r="U148" s="48"/>
      <c r="V148" s="11" t="s">
        <v>515</v>
      </c>
      <c r="W148" s="11">
        <v>33070200206</v>
      </c>
      <c r="X148" s="11" t="s">
        <v>516</v>
      </c>
      <c r="Y148" s="12" t="s">
        <v>39</v>
      </c>
      <c r="Z148" s="12" t="s">
        <v>39</v>
      </c>
      <c r="AA148" s="14" t="s">
        <v>38</v>
      </c>
      <c r="AB148" s="12" t="s">
        <v>39</v>
      </c>
      <c r="AC148" s="18">
        <v>11000</v>
      </c>
      <c r="AD148" s="18">
        <v>9935</v>
      </c>
      <c r="AE148" s="18">
        <v>7980</v>
      </c>
      <c r="AF148" s="71">
        <f t="shared" si="12"/>
        <v>10</v>
      </c>
      <c r="AG148" s="71" t="str">
        <f t="shared" si="13"/>
        <v>全肺切除费（常规）</v>
      </c>
      <c r="AH148" s="71">
        <f t="shared" si="14"/>
        <v>8190</v>
      </c>
      <c r="AI148" s="71">
        <f t="shared" si="15"/>
        <v>7540</v>
      </c>
      <c r="AJ148" s="71">
        <f t="shared" si="16"/>
        <v>6500</v>
      </c>
    </row>
    <row r="149" s="22" customFormat="1" ht="25" customHeight="1" spans="1:36">
      <c r="A149" s="34">
        <v>45</v>
      </c>
      <c r="B149" s="11" t="s">
        <v>585</v>
      </c>
      <c r="C149" s="37" t="s">
        <v>586</v>
      </c>
      <c r="D149" s="34" t="s">
        <v>297</v>
      </c>
      <c r="E149" s="48" t="s">
        <v>587</v>
      </c>
      <c r="F149" s="48" t="s">
        <v>398</v>
      </c>
      <c r="G149" s="34" t="s">
        <v>241</v>
      </c>
      <c r="H149" s="34" t="s">
        <v>588</v>
      </c>
      <c r="I149" s="15">
        <v>7000</v>
      </c>
      <c r="J149" s="15">
        <v>6300</v>
      </c>
      <c r="K149" s="52"/>
      <c r="L149" s="52"/>
      <c r="M149" s="52"/>
      <c r="N149" s="59">
        <v>6800</v>
      </c>
      <c r="O149" s="59">
        <v>6300</v>
      </c>
      <c r="P149" s="59">
        <v>5400</v>
      </c>
      <c r="Q149" s="62" t="s">
        <v>40</v>
      </c>
      <c r="R149" s="62" t="s">
        <v>39</v>
      </c>
      <c r="S149" s="64" t="s">
        <v>39</v>
      </c>
      <c r="T149" s="52" t="s">
        <v>264</v>
      </c>
      <c r="U149" s="67" t="s">
        <v>573</v>
      </c>
      <c r="V149" s="34" t="s">
        <v>589</v>
      </c>
      <c r="W149" s="34">
        <v>33070200802</v>
      </c>
      <c r="X149" s="34" t="s">
        <v>590</v>
      </c>
      <c r="Y149" s="12" t="s">
        <v>39</v>
      </c>
      <c r="Z149" s="12" t="s">
        <v>39</v>
      </c>
      <c r="AA149" s="14" t="s">
        <v>38</v>
      </c>
      <c r="AB149" s="12" t="s">
        <v>591</v>
      </c>
      <c r="AC149" s="18">
        <v>4870</v>
      </c>
      <c r="AD149" s="18">
        <v>4385</v>
      </c>
      <c r="AE149" s="18">
        <v>3735</v>
      </c>
      <c r="AF149" s="71">
        <f t="shared" si="12"/>
        <v>0</v>
      </c>
      <c r="AG149" s="71" t="str">
        <f t="shared" si="13"/>
        <v>全肺切除费（复杂）</v>
      </c>
      <c r="AH149" s="71">
        <f t="shared" si="14"/>
        <v>6800</v>
      </c>
      <c r="AI149" s="71">
        <f t="shared" si="15"/>
        <v>6300</v>
      </c>
      <c r="AJ149" s="71">
        <f t="shared" si="16"/>
        <v>5400</v>
      </c>
    </row>
    <row r="150" s="22" customFormat="1" ht="25" customHeight="1" spans="1:36">
      <c r="A150" s="34"/>
      <c r="B150" s="11"/>
      <c r="C150" s="37" t="s">
        <v>586</v>
      </c>
      <c r="D150" s="34"/>
      <c r="E150" s="48"/>
      <c r="F150" s="48"/>
      <c r="G150" s="34"/>
      <c r="H150" s="34"/>
      <c r="I150" s="54"/>
      <c r="J150" s="54"/>
      <c r="K150" s="52"/>
      <c r="L150" s="52"/>
      <c r="M150" s="52"/>
      <c r="N150" s="59">
        <v>6800</v>
      </c>
      <c r="O150" s="59">
        <v>6300</v>
      </c>
      <c r="P150" s="59">
        <v>5400</v>
      </c>
      <c r="Q150" s="62"/>
      <c r="R150" s="62"/>
      <c r="S150" s="64"/>
      <c r="T150" s="52"/>
      <c r="U150" s="67"/>
      <c r="V150" s="11" t="s">
        <v>592</v>
      </c>
      <c r="W150" s="11">
        <v>33070200808</v>
      </c>
      <c r="X150" s="11" t="s">
        <v>593</v>
      </c>
      <c r="Y150" s="12" t="s">
        <v>39</v>
      </c>
      <c r="Z150" s="12" t="s">
        <v>39</v>
      </c>
      <c r="AA150" s="14" t="s">
        <v>38</v>
      </c>
      <c r="AB150" s="12" t="s">
        <v>591</v>
      </c>
      <c r="AC150" s="18">
        <v>5495</v>
      </c>
      <c r="AD150" s="18">
        <v>4985</v>
      </c>
      <c r="AE150" s="18">
        <v>4245</v>
      </c>
      <c r="AF150" s="71">
        <f t="shared" si="12"/>
        <v>0</v>
      </c>
      <c r="AG150" s="71" t="str">
        <f t="shared" si="13"/>
        <v>全肺切除费（复杂）</v>
      </c>
      <c r="AH150" s="71">
        <f t="shared" si="14"/>
        <v>6800</v>
      </c>
      <c r="AI150" s="71">
        <f t="shared" si="15"/>
        <v>6300</v>
      </c>
      <c r="AJ150" s="71">
        <f t="shared" si="16"/>
        <v>5400</v>
      </c>
    </row>
    <row r="151" s="22" customFormat="1" ht="25" customHeight="1" spans="1:36">
      <c r="A151" s="34"/>
      <c r="B151" s="11"/>
      <c r="C151" s="37" t="s">
        <v>586</v>
      </c>
      <c r="D151" s="34"/>
      <c r="E151" s="48"/>
      <c r="F151" s="48"/>
      <c r="G151" s="34"/>
      <c r="H151" s="34"/>
      <c r="I151" s="54"/>
      <c r="J151" s="54"/>
      <c r="K151" s="52"/>
      <c r="L151" s="52"/>
      <c r="M151" s="52"/>
      <c r="N151" s="59">
        <v>6800</v>
      </c>
      <c r="O151" s="59">
        <v>6300</v>
      </c>
      <c r="P151" s="59">
        <v>5400</v>
      </c>
      <c r="Q151" s="62"/>
      <c r="R151" s="62"/>
      <c r="S151" s="64"/>
      <c r="T151" s="52"/>
      <c r="U151" s="67"/>
      <c r="V151" s="34" t="s">
        <v>594</v>
      </c>
      <c r="W151" s="34">
        <v>330702010</v>
      </c>
      <c r="X151" s="34" t="s">
        <v>595</v>
      </c>
      <c r="Y151" s="12" t="s">
        <v>39</v>
      </c>
      <c r="Z151" s="12" t="s">
        <v>39</v>
      </c>
      <c r="AA151" s="14" t="s">
        <v>38</v>
      </c>
      <c r="AB151" s="12" t="s">
        <v>596</v>
      </c>
      <c r="AC151" s="18">
        <v>4220</v>
      </c>
      <c r="AD151" s="18">
        <v>3800</v>
      </c>
      <c r="AE151" s="18">
        <v>3230</v>
      </c>
      <c r="AF151" s="71">
        <f t="shared" si="12"/>
        <v>0</v>
      </c>
      <c r="AG151" s="71" t="str">
        <f t="shared" si="13"/>
        <v>全肺切除费（复杂）</v>
      </c>
      <c r="AH151" s="71">
        <f t="shared" si="14"/>
        <v>6800</v>
      </c>
      <c r="AI151" s="71">
        <f t="shared" si="15"/>
        <v>6300</v>
      </c>
      <c r="AJ151" s="71">
        <f t="shared" si="16"/>
        <v>5400</v>
      </c>
    </row>
    <row r="152" s="22" customFormat="1" ht="25" customHeight="1" spans="1:36">
      <c r="A152" s="34"/>
      <c r="B152" s="11"/>
      <c r="C152" s="37" t="s">
        <v>586</v>
      </c>
      <c r="D152" s="34"/>
      <c r="E152" s="48"/>
      <c r="F152" s="48"/>
      <c r="G152" s="34"/>
      <c r="H152" s="34"/>
      <c r="I152" s="54"/>
      <c r="J152" s="54"/>
      <c r="K152" s="52"/>
      <c r="L152" s="52"/>
      <c r="M152" s="52"/>
      <c r="N152" s="59">
        <v>6800</v>
      </c>
      <c r="O152" s="59">
        <v>6300</v>
      </c>
      <c r="P152" s="59">
        <v>5400</v>
      </c>
      <c r="Q152" s="62"/>
      <c r="R152" s="62"/>
      <c r="S152" s="64"/>
      <c r="T152" s="52"/>
      <c r="U152" s="67"/>
      <c r="V152" s="11" t="s">
        <v>597</v>
      </c>
      <c r="W152" s="11">
        <v>33070201004</v>
      </c>
      <c r="X152" s="11" t="s">
        <v>598</v>
      </c>
      <c r="Y152" s="12" t="s">
        <v>39</v>
      </c>
      <c r="Z152" s="12" t="s">
        <v>39</v>
      </c>
      <c r="AA152" s="14" t="s">
        <v>38</v>
      </c>
      <c r="AB152" s="12" t="s">
        <v>39</v>
      </c>
      <c r="AC152" s="18">
        <v>4845</v>
      </c>
      <c r="AD152" s="18">
        <v>4400</v>
      </c>
      <c r="AE152" s="18">
        <v>3740</v>
      </c>
      <c r="AF152" s="71">
        <f t="shared" si="12"/>
        <v>0</v>
      </c>
      <c r="AG152" s="71" t="str">
        <f t="shared" si="13"/>
        <v>全肺切除费（复杂）</v>
      </c>
      <c r="AH152" s="71">
        <f t="shared" si="14"/>
        <v>6800</v>
      </c>
      <c r="AI152" s="71">
        <f t="shared" si="15"/>
        <v>6300</v>
      </c>
      <c r="AJ152" s="71">
        <f t="shared" si="16"/>
        <v>5400</v>
      </c>
    </row>
    <row r="153" s="22" customFormat="1" ht="25" customHeight="1" spans="1:36">
      <c r="A153" s="34"/>
      <c r="B153" s="11"/>
      <c r="C153" s="37" t="s">
        <v>586</v>
      </c>
      <c r="D153" s="34"/>
      <c r="E153" s="48"/>
      <c r="F153" s="48"/>
      <c r="G153" s="34"/>
      <c r="H153" s="34"/>
      <c r="I153" s="54"/>
      <c r="J153" s="54"/>
      <c r="K153" s="52"/>
      <c r="L153" s="52"/>
      <c r="M153" s="52"/>
      <c r="N153" s="59">
        <v>6800</v>
      </c>
      <c r="O153" s="59">
        <v>6300</v>
      </c>
      <c r="P153" s="59">
        <v>5400</v>
      </c>
      <c r="Q153" s="62"/>
      <c r="R153" s="62"/>
      <c r="S153" s="64"/>
      <c r="T153" s="52"/>
      <c r="U153" s="67"/>
      <c r="V153" s="34" t="s">
        <v>489</v>
      </c>
      <c r="W153" s="34">
        <v>330702002</v>
      </c>
      <c r="X153" s="34" t="s">
        <v>490</v>
      </c>
      <c r="Y153" s="12" t="s">
        <v>491</v>
      </c>
      <c r="Z153" s="12" t="s">
        <v>39</v>
      </c>
      <c r="AA153" s="14" t="s">
        <v>38</v>
      </c>
      <c r="AB153" s="12" t="s">
        <v>492</v>
      </c>
      <c r="AC153" s="18">
        <v>7980</v>
      </c>
      <c r="AD153" s="18">
        <v>7180</v>
      </c>
      <c r="AE153" s="18">
        <v>5745</v>
      </c>
      <c r="AF153" s="71">
        <f t="shared" si="12"/>
        <v>0</v>
      </c>
      <c r="AG153" s="71" t="str">
        <f t="shared" si="13"/>
        <v>全肺切除费（复杂）</v>
      </c>
      <c r="AH153" s="71">
        <f t="shared" si="14"/>
        <v>6800</v>
      </c>
      <c r="AI153" s="71">
        <f t="shared" si="15"/>
        <v>6300</v>
      </c>
      <c r="AJ153" s="71">
        <f t="shared" si="16"/>
        <v>5400</v>
      </c>
    </row>
    <row r="154" s="22" customFormat="1" ht="25" customHeight="1" spans="1:36">
      <c r="A154" s="34"/>
      <c r="B154" s="11"/>
      <c r="C154" s="37" t="s">
        <v>586</v>
      </c>
      <c r="D154" s="34"/>
      <c r="E154" s="48"/>
      <c r="F154" s="48"/>
      <c r="G154" s="34"/>
      <c r="H154" s="34"/>
      <c r="I154" s="54"/>
      <c r="J154" s="54"/>
      <c r="K154" s="52"/>
      <c r="L154" s="52"/>
      <c r="M154" s="52"/>
      <c r="N154" s="59">
        <v>6800</v>
      </c>
      <c r="O154" s="59">
        <v>6300</v>
      </c>
      <c r="P154" s="59">
        <v>5400</v>
      </c>
      <c r="Q154" s="62"/>
      <c r="R154" s="62"/>
      <c r="S154" s="64"/>
      <c r="T154" s="52"/>
      <c r="U154" s="67"/>
      <c r="V154" s="34" t="s">
        <v>493</v>
      </c>
      <c r="W154" s="34">
        <v>33070200204</v>
      </c>
      <c r="X154" s="34" t="s">
        <v>494</v>
      </c>
      <c r="Y154" s="12" t="s">
        <v>39</v>
      </c>
      <c r="Z154" s="12" t="s">
        <v>39</v>
      </c>
      <c r="AA154" s="14" t="s">
        <v>38</v>
      </c>
      <c r="AB154" s="12" t="s">
        <v>39</v>
      </c>
      <c r="AC154" s="18">
        <v>8605</v>
      </c>
      <c r="AD154" s="18">
        <v>7780</v>
      </c>
      <c r="AE154" s="18">
        <v>6255</v>
      </c>
      <c r="AF154" s="71">
        <f t="shared" si="12"/>
        <v>0</v>
      </c>
      <c r="AG154" s="71" t="str">
        <f t="shared" si="13"/>
        <v>全肺切除费（复杂）</v>
      </c>
      <c r="AH154" s="71">
        <f t="shared" si="14"/>
        <v>6800</v>
      </c>
      <c r="AI154" s="71">
        <f t="shared" si="15"/>
        <v>6300</v>
      </c>
      <c r="AJ154" s="71">
        <f t="shared" si="16"/>
        <v>5400</v>
      </c>
    </row>
    <row r="155" s="22" customFormat="1" ht="25.5" spans="1:36">
      <c r="A155" s="34" t="s">
        <v>68</v>
      </c>
      <c r="B155" s="34" t="s">
        <v>599</v>
      </c>
      <c r="C155" s="37" t="s">
        <v>600</v>
      </c>
      <c r="D155" s="34" t="s">
        <v>297</v>
      </c>
      <c r="E155" s="48" t="s">
        <v>39</v>
      </c>
      <c r="F155" s="48" t="s">
        <v>39</v>
      </c>
      <c r="G155" s="34" t="s">
        <v>241</v>
      </c>
      <c r="H155" s="34" t="s">
        <v>39</v>
      </c>
      <c r="I155" s="15">
        <v>2100</v>
      </c>
      <c r="J155" s="15">
        <v>1890</v>
      </c>
      <c r="K155" s="52"/>
      <c r="L155" s="52"/>
      <c r="M155" s="52"/>
      <c r="N155" s="61">
        <v>2040</v>
      </c>
      <c r="O155" s="61">
        <v>1890</v>
      </c>
      <c r="P155" s="61">
        <v>1620</v>
      </c>
      <c r="Q155" s="34" t="s">
        <v>40</v>
      </c>
      <c r="R155" s="34" t="s">
        <v>39</v>
      </c>
      <c r="S155" s="63" t="s">
        <v>39</v>
      </c>
      <c r="T155" s="52"/>
      <c r="U155" s="48" t="s">
        <v>71</v>
      </c>
      <c r="V155" s="11" t="s">
        <v>601</v>
      </c>
      <c r="W155" s="11">
        <v>33070200805</v>
      </c>
      <c r="X155" s="11" t="s">
        <v>602</v>
      </c>
      <c r="Y155" s="12" t="s">
        <v>39</v>
      </c>
      <c r="Z155" s="12" t="s">
        <v>39</v>
      </c>
      <c r="AA155" s="14" t="s">
        <v>38</v>
      </c>
      <c r="AB155" s="12" t="s">
        <v>591</v>
      </c>
      <c r="AC155" s="18">
        <v>6330</v>
      </c>
      <c r="AD155" s="18">
        <v>5700</v>
      </c>
      <c r="AE155" s="18">
        <v>4845</v>
      </c>
      <c r="AF155" s="71">
        <f t="shared" si="12"/>
        <v>10</v>
      </c>
      <c r="AG155" s="71" t="str">
        <f t="shared" si="13"/>
        <v>全肺切除费（复杂）</v>
      </c>
      <c r="AH155" s="71">
        <f t="shared" si="14"/>
        <v>8840</v>
      </c>
      <c r="AI155" s="71">
        <f t="shared" si="15"/>
        <v>8190</v>
      </c>
      <c r="AJ155" s="71">
        <f t="shared" si="16"/>
        <v>7020</v>
      </c>
    </row>
    <row r="156" s="22" customFormat="1" ht="25.5" spans="1:36">
      <c r="A156" s="34"/>
      <c r="B156" s="34"/>
      <c r="C156" s="37" t="s">
        <v>600</v>
      </c>
      <c r="D156" s="34"/>
      <c r="E156" s="48"/>
      <c r="F156" s="48"/>
      <c r="G156" s="34"/>
      <c r="H156" s="34"/>
      <c r="I156" s="54"/>
      <c r="J156" s="54"/>
      <c r="K156" s="52"/>
      <c r="L156" s="52"/>
      <c r="M156" s="52"/>
      <c r="N156" s="61">
        <v>2040</v>
      </c>
      <c r="O156" s="61">
        <v>1890</v>
      </c>
      <c r="P156" s="61">
        <v>1620</v>
      </c>
      <c r="Q156" s="34"/>
      <c r="R156" s="34"/>
      <c r="S156" s="63"/>
      <c r="T156" s="52"/>
      <c r="U156" s="48"/>
      <c r="V156" s="11" t="s">
        <v>603</v>
      </c>
      <c r="W156" s="11">
        <v>33070200811</v>
      </c>
      <c r="X156" s="11" t="s">
        <v>604</v>
      </c>
      <c r="Y156" s="12" t="s">
        <v>39</v>
      </c>
      <c r="Z156" s="12" t="s">
        <v>39</v>
      </c>
      <c r="AA156" s="14" t="s">
        <v>38</v>
      </c>
      <c r="AB156" s="12" t="s">
        <v>591</v>
      </c>
      <c r="AC156" s="18">
        <v>6955</v>
      </c>
      <c r="AD156" s="18">
        <v>6300</v>
      </c>
      <c r="AE156" s="18">
        <v>5355</v>
      </c>
      <c r="AF156" s="71">
        <f t="shared" si="12"/>
        <v>10</v>
      </c>
      <c r="AG156" s="71" t="str">
        <f t="shared" si="13"/>
        <v>全肺切除费（复杂）</v>
      </c>
      <c r="AH156" s="71">
        <f t="shared" si="14"/>
        <v>8840</v>
      </c>
      <c r="AI156" s="71">
        <f t="shared" si="15"/>
        <v>8190</v>
      </c>
      <c r="AJ156" s="71">
        <f t="shared" si="16"/>
        <v>7020</v>
      </c>
    </row>
    <row r="157" s="22" customFormat="1" ht="25.5" spans="1:36">
      <c r="A157" s="34"/>
      <c r="B157" s="34"/>
      <c r="C157" s="37" t="s">
        <v>600</v>
      </c>
      <c r="D157" s="34"/>
      <c r="E157" s="48"/>
      <c r="F157" s="48"/>
      <c r="G157" s="34"/>
      <c r="H157" s="34"/>
      <c r="I157" s="54"/>
      <c r="J157" s="54"/>
      <c r="K157" s="52"/>
      <c r="L157" s="52"/>
      <c r="M157" s="52"/>
      <c r="N157" s="61">
        <v>2040</v>
      </c>
      <c r="O157" s="61">
        <v>1890</v>
      </c>
      <c r="P157" s="61">
        <v>1620</v>
      </c>
      <c r="Q157" s="34"/>
      <c r="R157" s="34"/>
      <c r="S157" s="63"/>
      <c r="T157" s="52"/>
      <c r="U157" s="48"/>
      <c r="V157" s="11" t="s">
        <v>605</v>
      </c>
      <c r="W157" s="11">
        <v>33070201002</v>
      </c>
      <c r="X157" s="11" t="s">
        <v>606</v>
      </c>
      <c r="Y157" s="12" t="s">
        <v>39</v>
      </c>
      <c r="Z157" s="12" t="s">
        <v>39</v>
      </c>
      <c r="AA157" s="14" t="s">
        <v>38</v>
      </c>
      <c r="AB157" s="12" t="s">
        <v>39</v>
      </c>
      <c r="AC157" s="18">
        <v>5485</v>
      </c>
      <c r="AD157" s="18">
        <v>4940</v>
      </c>
      <c r="AE157" s="18">
        <v>4200</v>
      </c>
      <c r="AF157" s="71">
        <f t="shared" si="12"/>
        <v>10</v>
      </c>
      <c r="AG157" s="71" t="str">
        <f t="shared" si="13"/>
        <v>全肺切除费（复杂）</v>
      </c>
      <c r="AH157" s="71">
        <f t="shared" si="14"/>
        <v>8840</v>
      </c>
      <c r="AI157" s="71">
        <f t="shared" si="15"/>
        <v>8190</v>
      </c>
      <c r="AJ157" s="71">
        <f t="shared" si="16"/>
        <v>7020</v>
      </c>
    </row>
    <row r="158" s="22" customFormat="1" ht="25.5" spans="1:36">
      <c r="A158" s="34"/>
      <c r="B158" s="34"/>
      <c r="C158" s="37" t="s">
        <v>600</v>
      </c>
      <c r="D158" s="34"/>
      <c r="E158" s="48"/>
      <c r="F158" s="48"/>
      <c r="G158" s="34"/>
      <c r="H158" s="34"/>
      <c r="I158" s="54"/>
      <c r="J158" s="54"/>
      <c r="K158" s="52"/>
      <c r="L158" s="52"/>
      <c r="M158" s="52"/>
      <c r="N158" s="61">
        <v>2040</v>
      </c>
      <c r="O158" s="61">
        <v>1890</v>
      </c>
      <c r="P158" s="61">
        <v>1620</v>
      </c>
      <c r="Q158" s="34"/>
      <c r="R158" s="34"/>
      <c r="S158" s="63"/>
      <c r="T158" s="52"/>
      <c r="U158" s="48"/>
      <c r="V158" s="11" t="s">
        <v>607</v>
      </c>
      <c r="W158" s="11">
        <v>33070201006</v>
      </c>
      <c r="X158" s="11" t="s">
        <v>608</v>
      </c>
      <c r="Y158" s="12" t="s">
        <v>39</v>
      </c>
      <c r="Z158" s="12" t="s">
        <v>39</v>
      </c>
      <c r="AA158" s="14" t="s">
        <v>38</v>
      </c>
      <c r="AB158" s="12" t="s">
        <v>39</v>
      </c>
      <c r="AC158" s="18">
        <v>6110</v>
      </c>
      <c r="AD158" s="18">
        <v>5540</v>
      </c>
      <c r="AE158" s="18">
        <v>4710</v>
      </c>
      <c r="AF158" s="71">
        <f t="shared" si="12"/>
        <v>10</v>
      </c>
      <c r="AG158" s="71" t="str">
        <f t="shared" si="13"/>
        <v>全肺切除费（复杂）</v>
      </c>
      <c r="AH158" s="71">
        <f t="shared" si="14"/>
        <v>8840</v>
      </c>
      <c r="AI158" s="71">
        <f t="shared" si="15"/>
        <v>8190</v>
      </c>
      <c r="AJ158" s="71">
        <f t="shared" si="16"/>
        <v>7020</v>
      </c>
    </row>
    <row r="159" s="22" customFormat="1" ht="25.5" spans="1:36">
      <c r="A159" s="34"/>
      <c r="B159" s="34"/>
      <c r="C159" s="37" t="s">
        <v>600</v>
      </c>
      <c r="D159" s="34"/>
      <c r="E159" s="48"/>
      <c r="F159" s="48"/>
      <c r="G159" s="34"/>
      <c r="H159" s="34"/>
      <c r="I159" s="54"/>
      <c r="J159" s="54"/>
      <c r="K159" s="52"/>
      <c r="L159" s="52"/>
      <c r="M159" s="52"/>
      <c r="N159" s="61">
        <v>2040</v>
      </c>
      <c r="O159" s="61">
        <v>1890</v>
      </c>
      <c r="P159" s="61">
        <v>1620</v>
      </c>
      <c r="Q159" s="34"/>
      <c r="R159" s="34"/>
      <c r="S159" s="63"/>
      <c r="T159" s="52"/>
      <c r="U159" s="48"/>
      <c r="V159" s="11" t="s">
        <v>513</v>
      </c>
      <c r="W159" s="11">
        <v>33070200202</v>
      </c>
      <c r="X159" s="11" t="s">
        <v>514</v>
      </c>
      <c r="Y159" s="12" t="s">
        <v>39</v>
      </c>
      <c r="Z159" s="12" t="s">
        <v>39</v>
      </c>
      <c r="AA159" s="14" t="s">
        <v>38</v>
      </c>
      <c r="AB159" s="12" t="s">
        <v>39</v>
      </c>
      <c r="AC159" s="18">
        <v>10375</v>
      </c>
      <c r="AD159" s="18">
        <v>9335</v>
      </c>
      <c r="AE159" s="18">
        <v>7470</v>
      </c>
      <c r="AF159" s="71">
        <f t="shared" si="12"/>
        <v>10</v>
      </c>
      <c r="AG159" s="71" t="str">
        <f t="shared" si="13"/>
        <v>全肺切除费（复杂）</v>
      </c>
      <c r="AH159" s="71">
        <f t="shared" si="14"/>
        <v>8840</v>
      </c>
      <c r="AI159" s="71">
        <f t="shared" si="15"/>
        <v>8190</v>
      </c>
      <c r="AJ159" s="71">
        <f t="shared" si="16"/>
        <v>7020</v>
      </c>
    </row>
    <row r="160" s="22" customFormat="1" ht="25.5" spans="1:36">
      <c r="A160" s="34"/>
      <c r="B160" s="34"/>
      <c r="C160" s="37" t="s">
        <v>600</v>
      </c>
      <c r="D160" s="34"/>
      <c r="E160" s="48"/>
      <c r="F160" s="48"/>
      <c r="G160" s="34"/>
      <c r="H160" s="34"/>
      <c r="I160" s="54"/>
      <c r="J160" s="54"/>
      <c r="K160" s="52"/>
      <c r="L160" s="52"/>
      <c r="M160" s="52"/>
      <c r="N160" s="61">
        <v>2040</v>
      </c>
      <c r="O160" s="61">
        <v>1890</v>
      </c>
      <c r="P160" s="61">
        <v>1620</v>
      </c>
      <c r="Q160" s="34"/>
      <c r="R160" s="34"/>
      <c r="S160" s="63"/>
      <c r="T160" s="52"/>
      <c r="U160" s="48"/>
      <c r="V160" s="11" t="s">
        <v>515</v>
      </c>
      <c r="W160" s="11">
        <v>33070200206</v>
      </c>
      <c r="X160" s="11" t="s">
        <v>516</v>
      </c>
      <c r="Y160" s="12" t="s">
        <v>39</v>
      </c>
      <c r="Z160" s="12" t="s">
        <v>39</v>
      </c>
      <c r="AA160" s="14" t="s">
        <v>38</v>
      </c>
      <c r="AB160" s="12" t="s">
        <v>39</v>
      </c>
      <c r="AC160" s="18">
        <v>11000</v>
      </c>
      <c r="AD160" s="18">
        <v>9935</v>
      </c>
      <c r="AE160" s="18">
        <v>7980</v>
      </c>
      <c r="AF160" s="71">
        <f t="shared" si="12"/>
        <v>10</v>
      </c>
      <c r="AG160" s="71" t="str">
        <f t="shared" si="13"/>
        <v>全肺切除费（复杂）</v>
      </c>
      <c r="AH160" s="71">
        <f t="shared" si="14"/>
        <v>8840</v>
      </c>
      <c r="AI160" s="71">
        <f t="shared" si="15"/>
        <v>8190</v>
      </c>
      <c r="AJ160" s="71">
        <f t="shared" si="16"/>
        <v>7020</v>
      </c>
    </row>
    <row r="161" s="22" customFormat="1" ht="30" customHeight="1" spans="1:36">
      <c r="A161" s="34">
        <v>46</v>
      </c>
      <c r="B161" s="11" t="s">
        <v>609</v>
      </c>
      <c r="C161" s="37" t="s">
        <v>610</v>
      </c>
      <c r="D161" s="34" t="s">
        <v>297</v>
      </c>
      <c r="E161" s="48" t="s">
        <v>611</v>
      </c>
      <c r="F161" s="48" t="s">
        <v>612</v>
      </c>
      <c r="G161" s="34" t="s">
        <v>241</v>
      </c>
      <c r="H161" s="34" t="s">
        <v>39</v>
      </c>
      <c r="I161" s="15">
        <v>3000</v>
      </c>
      <c r="J161" s="15">
        <v>2700</v>
      </c>
      <c r="K161" s="53">
        <v>2020.83333333333</v>
      </c>
      <c r="L161" s="53">
        <v>1993.84615384615</v>
      </c>
      <c r="M161" s="53">
        <v>1394</v>
      </c>
      <c r="N161" s="59">
        <v>2700</v>
      </c>
      <c r="O161" s="59">
        <v>2450</v>
      </c>
      <c r="P161" s="59">
        <v>2100</v>
      </c>
      <c r="Q161" s="62" t="s">
        <v>40</v>
      </c>
      <c r="R161" s="62" t="s">
        <v>39</v>
      </c>
      <c r="S161" s="64" t="s">
        <v>39</v>
      </c>
      <c r="T161" s="53" t="s">
        <v>209</v>
      </c>
      <c r="U161" s="67" t="s">
        <v>613</v>
      </c>
      <c r="V161" s="11" t="s">
        <v>614</v>
      </c>
      <c r="W161" s="11">
        <v>330702011</v>
      </c>
      <c r="X161" s="11" t="s">
        <v>615</v>
      </c>
      <c r="Y161" s="12" t="s">
        <v>39</v>
      </c>
      <c r="Z161" s="12" t="s">
        <v>39</v>
      </c>
      <c r="AA161" s="14" t="s">
        <v>38</v>
      </c>
      <c r="AB161" s="12" t="s">
        <v>480</v>
      </c>
      <c r="AC161" s="18">
        <v>1500</v>
      </c>
      <c r="AD161" s="18">
        <v>1440</v>
      </c>
      <c r="AE161" s="18">
        <v>1224</v>
      </c>
      <c r="AF161" s="71">
        <f t="shared" si="12"/>
        <v>0</v>
      </c>
      <c r="AG161" s="71" t="str">
        <f t="shared" si="13"/>
        <v>肺修补费</v>
      </c>
      <c r="AH161" s="71">
        <f t="shared" si="14"/>
        <v>2700</v>
      </c>
      <c r="AI161" s="71">
        <f t="shared" si="15"/>
        <v>2450</v>
      </c>
      <c r="AJ161" s="71">
        <f t="shared" si="16"/>
        <v>2100</v>
      </c>
    </row>
    <row r="162" s="22" customFormat="1" ht="30" customHeight="1" spans="1:36">
      <c r="A162" s="34"/>
      <c r="B162" s="11"/>
      <c r="C162" s="37" t="s">
        <v>610</v>
      </c>
      <c r="D162" s="34"/>
      <c r="E162" s="48"/>
      <c r="F162" s="48"/>
      <c r="G162" s="34"/>
      <c r="H162" s="34"/>
      <c r="I162" s="54"/>
      <c r="J162" s="54"/>
      <c r="K162" s="53"/>
      <c r="L162" s="53"/>
      <c r="M162" s="53"/>
      <c r="N162" s="59">
        <v>2700</v>
      </c>
      <c r="O162" s="59">
        <v>2450</v>
      </c>
      <c r="P162" s="59">
        <v>2100</v>
      </c>
      <c r="Q162" s="62"/>
      <c r="R162" s="62"/>
      <c r="S162" s="64"/>
      <c r="T162" s="53"/>
      <c r="U162" s="67"/>
      <c r="V162" s="11" t="s">
        <v>616</v>
      </c>
      <c r="W162" s="11">
        <v>33070201104</v>
      </c>
      <c r="X162" s="11" t="s">
        <v>617</v>
      </c>
      <c r="Y162" s="12" t="s">
        <v>39</v>
      </c>
      <c r="Z162" s="12" t="s">
        <v>39</v>
      </c>
      <c r="AA162" s="14" t="s">
        <v>38</v>
      </c>
      <c r="AB162" s="12" t="s">
        <v>39</v>
      </c>
      <c r="AC162" s="18">
        <v>2125</v>
      </c>
      <c r="AD162" s="18">
        <v>2040</v>
      </c>
      <c r="AE162" s="18">
        <v>1734</v>
      </c>
      <c r="AF162" s="71">
        <f t="shared" si="12"/>
        <v>0</v>
      </c>
      <c r="AG162" s="71" t="str">
        <f t="shared" si="13"/>
        <v>肺修补费</v>
      </c>
      <c r="AH162" s="71">
        <f t="shared" si="14"/>
        <v>2700</v>
      </c>
      <c r="AI162" s="71">
        <f t="shared" si="15"/>
        <v>2450</v>
      </c>
      <c r="AJ162" s="71">
        <f t="shared" si="16"/>
        <v>2100</v>
      </c>
    </row>
    <row r="163" s="22" customFormat="1" ht="25.5" spans="1:36">
      <c r="A163" s="34" t="s">
        <v>68</v>
      </c>
      <c r="B163" s="34" t="s">
        <v>618</v>
      </c>
      <c r="C163" s="37" t="s">
        <v>619</v>
      </c>
      <c r="D163" s="34" t="s">
        <v>297</v>
      </c>
      <c r="E163" s="48" t="s">
        <v>39</v>
      </c>
      <c r="F163" s="48" t="s">
        <v>39</v>
      </c>
      <c r="G163" s="34" t="s">
        <v>241</v>
      </c>
      <c r="H163" s="34" t="s">
        <v>39</v>
      </c>
      <c r="I163" s="15">
        <v>900</v>
      </c>
      <c r="J163" s="15">
        <v>810</v>
      </c>
      <c r="K163" s="52"/>
      <c r="L163" s="52"/>
      <c r="M163" s="52"/>
      <c r="N163" s="61">
        <v>810</v>
      </c>
      <c r="O163" s="61">
        <v>735</v>
      </c>
      <c r="P163" s="61">
        <v>630</v>
      </c>
      <c r="Q163" s="34" t="s">
        <v>40</v>
      </c>
      <c r="R163" s="34" t="s">
        <v>39</v>
      </c>
      <c r="S163" s="63" t="s">
        <v>39</v>
      </c>
      <c r="T163" s="52"/>
      <c r="U163" s="48"/>
      <c r="V163" s="11" t="s">
        <v>620</v>
      </c>
      <c r="W163" s="11">
        <v>33070201102</v>
      </c>
      <c r="X163" s="11" t="s">
        <v>621</v>
      </c>
      <c r="Y163" s="12" t="s">
        <v>39</v>
      </c>
      <c r="Z163" s="12" t="s">
        <v>39</v>
      </c>
      <c r="AA163" s="14" t="s">
        <v>38</v>
      </c>
      <c r="AB163" s="12" t="s">
        <v>39</v>
      </c>
      <c r="AC163" s="18">
        <v>1950</v>
      </c>
      <c r="AD163" s="18">
        <v>1870</v>
      </c>
      <c r="AE163" s="18">
        <v>1590</v>
      </c>
      <c r="AF163" s="71">
        <f t="shared" si="12"/>
        <v>5</v>
      </c>
      <c r="AG163" s="71" t="str">
        <f t="shared" si="13"/>
        <v>肺修补费</v>
      </c>
      <c r="AH163" s="71">
        <f t="shared" si="14"/>
        <v>3510</v>
      </c>
      <c r="AI163" s="71">
        <f t="shared" si="15"/>
        <v>3185</v>
      </c>
      <c r="AJ163" s="71">
        <f t="shared" si="16"/>
        <v>2730</v>
      </c>
    </row>
    <row r="164" s="22" customFormat="1" ht="25.5" spans="1:36">
      <c r="A164" s="34"/>
      <c r="B164" s="34"/>
      <c r="C164" s="37" t="s">
        <v>619</v>
      </c>
      <c r="D164" s="34"/>
      <c r="E164" s="48"/>
      <c r="F164" s="48"/>
      <c r="G164" s="34"/>
      <c r="H164" s="34"/>
      <c r="I164" s="54"/>
      <c r="J164" s="54"/>
      <c r="K164" s="52"/>
      <c r="L164" s="52"/>
      <c r="M164" s="52"/>
      <c r="N164" s="61">
        <v>810</v>
      </c>
      <c r="O164" s="61">
        <v>735</v>
      </c>
      <c r="P164" s="61">
        <v>630</v>
      </c>
      <c r="Q164" s="34"/>
      <c r="R164" s="34"/>
      <c r="S164" s="63"/>
      <c r="T164" s="52"/>
      <c r="U164" s="48"/>
      <c r="V164" s="11" t="s">
        <v>622</v>
      </c>
      <c r="W164" s="11">
        <v>33070201106</v>
      </c>
      <c r="X164" s="11" t="s">
        <v>623</v>
      </c>
      <c r="Y164" s="12" t="s">
        <v>39</v>
      </c>
      <c r="Z164" s="12" t="s">
        <v>39</v>
      </c>
      <c r="AA164" s="14" t="s">
        <v>38</v>
      </c>
      <c r="AB164" s="12" t="s">
        <v>39</v>
      </c>
      <c r="AC164" s="18">
        <v>2575</v>
      </c>
      <c r="AD164" s="18">
        <v>2470</v>
      </c>
      <c r="AE164" s="18">
        <v>2100</v>
      </c>
      <c r="AF164" s="71">
        <f t="shared" si="12"/>
        <v>5</v>
      </c>
      <c r="AG164" s="71" t="str">
        <f t="shared" si="13"/>
        <v>肺修补费</v>
      </c>
      <c r="AH164" s="71">
        <f t="shared" si="14"/>
        <v>3510</v>
      </c>
      <c r="AI164" s="71">
        <f t="shared" si="15"/>
        <v>3185</v>
      </c>
      <c r="AJ164" s="71">
        <f t="shared" si="16"/>
        <v>2730</v>
      </c>
    </row>
    <row r="165" s="22" customFormat="1" ht="31" customHeight="1" spans="1:36">
      <c r="A165" s="34">
        <v>47</v>
      </c>
      <c r="B165" s="11" t="s">
        <v>624</v>
      </c>
      <c r="C165" s="37" t="s">
        <v>625</v>
      </c>
      <c r="D165" s="34" t="s">
        <v>297</v>
      </c>
      <c r="E165" s="48" t="s">
        <v>626</v>
      </c>
      <c r="F165" s="48" t="s">
        <v>398</v>
      </c>
      <c r="G165" s="34" t="s">
        <v>38</v>
      </c>
      <c r="H165" s="34" t="s">
        <v>39</v>
      </c>
      <c r="I165" s="15">
        <v>4536</v>
      </c>
      <c r="J165" s="15">
        <v>4082</v>
      </c>
      <c r="K165" s="53">
        <v>3986.61764705882</v>
      </c>
      <c r="L165" s="53">
        <v>3569.41176470588</v>
      </c>
      <c r="M165" s="53">
        <v>3090</v>
      </c>
      <c r="N165" s="61">
        <v>4000</v>
      </c>
      <c r="O165" s="61">
        <v>3600</v>
      </c>
      <c r="P165" s="61">
        <v>3100</v>
      </c>
      <c r="Q165" s="34" t="s">
        <v>40</v>
      </c>
      <c r="R165" s="34" t="s">
        <v>39</v>
      </c>
      <c r="S165" s="63" t="s">
        <v>39</v>
      </c>
      <c r="T165" s="53" t="s">
        <v>264</v>
      </c>
      <c r="U165" s="48" t="s">
        <v>627</v>
      </c>
      <c r="V165" s="34" t="s">
        <v>628</v>
      </c>
      <c r="W165" s="34">
        <v>330300018</v>
      </c>
      <c r="X165" s="34" t="s">
        <v>629</v>
      </c>
      <c r="Y165" s="12" t="s">
        <v>630</v>
      </c>
      <c r="Z165" s="12" t="s">
        <v>39</v>
      </c>
      <c r="AA165" s="14" t="s">
        <v>38</v>
      </c>
      <c r="AB165" s="12" t="s">
        <v>39</v>
      </c>
      <c r="AC165" s="18">
        <v>3380</v>
      </c>
      <c r="AD165" s="18">
        <v>3040</v>
      </c>
      <c r="AE165" s="18">
        <v>2580</v>
      </c>
      <c r="AF165" s="71">
        <f t="shared" si="12"/>
        <v>0</v>
      </c>
      <c r="AG165" s="71" t="str">
        <f t="shared" si="13"/>
        <v>胸腺病变切除费</v>
      </c>
      <c r="AH165" s="71">
        <f t="shared" si="14"/>
        <v>4000</v>
      </c>
      <c r="AI165" s="71">
        <f t="shared" si="15"/>
        <v>3600</v>
      </c>
      <c r="AJ165" s="71">
        <f t="shared" si="16"/>
        <v>3100</v>
      </c>
    </row>
    <row r="166" s="22" customFormat="1" ht="31" customHeight="1" spans="1:36">
      <c r="A166" s="34"/>
      <c r="B166" s="11"/>
      <c r="C166" s="37" t="s">
        <v>625</v>
      </c>
      <c r="D166" s="34"/>
      <c r="E166" s="48"/>
      <c r="F166" s="48"/>
      <c r="G166" s="34"/>
      <c r="H166" s="34"/>
      <c r="I166" s="54"/>
      <c r="J166" s="54"/>
      <c r="K166" s="53"/>
      <c r="L166" s="53"/>
      <c r="M166" s="53"/>
      <c r="N166" s="61">
        <v>4000</v>
      </c>
      <c r="O166" s="61">
        <v>3600</v>
      </c>
      <c r="P166" s="61">
        <v>3100</v>
      </c>
      <c r="Q166" s="34"/>
      <c r="R166" s="34"/>
      <c r="S166" s="63"/>
      <c r="T166" s="53"/>
      <c r="U166" s="48"/>
      <c r="V166" s="34" t="s">
        <v>631</v>
      </c>
      <c r="W166" s="34">
        <v>33030001802</v>
      </c>
      <c r="X166" s="34" t="s">
        <v>632</v>
      </c>
      <c r="Y166" s="12" t="s">
        <v>39</v>
      </c>
      <c r="Z166" s="12" t="s">
        <v>39</v>
      </c>
      <c r="AA166" s="14" t="s">
        <v>38</v>
      </c>
      <c r="AB166" s="12" t="s">
        <v>39</v>
      </c>
      <c r="AC166" s="18">
        <v>4005</v>
      </c>
      <c r="AD166" s="18">
        <v>3640</v>
      </c>
      <c r="AE166" s="18">
        <v>3090</v>
      </c>
      <c r="AF166" s="71">
        <f t="shared" si="12"/>
        <v>0</v>
      </c>
      <c r="AG166" s="71" t="str">
        <f t="shared" si="13"/>
        <v>胸腺病变切除费</v>
      </c>
      <c r="AH166" s="71">
        <f t="shared" si="14"/>
        <v>4000</v>
      </c>
      <c r="AI166" s="71">
        <f t="shared" si="15"/>
        <v>3600</v>
      </c>
      <c r="AJ166" s="71">
        <f t="shared" si="16"/>
        <v>3100</v>
      </c>
    </row>
    <row r="167" s="22" customFormat="1" ht="25.5" spans="1:36">
      <c r="A167" s="34" t="s">
        <v>68</v>
      </c>
      <c r="B167" s="11" t="s">
        <v>633</v>
      </c>
      <c r="C167" s="37" t="s">
        <v>634</v>
      </c>
      <c r="D167" s="38" t="s">
        <v>297</v>
      </c>
      <c r="E167" s="48" t="s">
        <v>39</v>
      </c>
      <c r="F167" s="48" t="s">
        <v>39</v>
      </c>
      <c r="G167" s="34" t="s">
        <v>38</v>
      </c>
      <c r="H167" s="34" t="s">
        <v>39</v>
      </c>
      <c r="I167" s="15">
        <v>1361</v>
      </c>
      <c r="J167" s="15">
        <v>1225</v>
      </c>
      <c r="K167" s="52"/>
      <c r="L167" s="52"/>
      <c r="M167" s="52"/>
      <c r="N167" s="61">
        <v>1200</v>
      </c>
      <c r="O167" s="61">
        <v>1080</v>
      </c>
      <c r="P167" s="61">
        <v>930</v>
      </c>
      <c r="Q167" s="34" t="s">
        <v>40</v>
      </c>
      <c r="R167" s="34" t="s">
        <v>39</v>
      </c>
      <c r="S167" s="63" t="s">
        <v>39</v>
      </c>
      <c r="T167" s="52"/>
      <c r="U167" s="48"/>
      <c r="V167" s="11" t="s">
        <v>635</v>
      </c>
      <c r="W167" s="11">
        <v>33030001801</v>
      </c>
      <c r="X167" s="11" t="s">
        <v>636</v>
      </c>
      <c r="Y167" s="12" t="s">
        <v>39</v>
      </c>
      <c r="Z167" s="12" t="s">
        <v>39</v>
      </c>
      <c r="AA167" s="14" t="s">
        <v>38</v>
      </c>
      <c r="AB167" s="12" t="s">
        <v>39</v>
      </c>
      <c r="AC167" s="18">
        <v>4395</v>
      </c>
      <c r="AD167" s="18">
        <v>3950</v>
      </c>
      <c r="AE167" s="18">
        <v>3360</v>
      </c>
      <c r="AF167" s="71">
        <f t="shared" si="12"/>
        <v>8</v>
      </c>
      <c r="AG167" s="71" t="str">
        <f t="shared" si="13"/>
        <v>胸腺病变切除费</v>
      </c>
      <c r="AH167" s="71">
        <f t="shared" si="14"/>
        <v>5200</v>
      </c>
      <c r="AI167" s="71">
        <f t="shared" si="15"/>
        <v>4680</v>
      </c>
      <c r="AJ167" s="71">
        <f t="shared" si="16"/>
        <v>4030</v>
      </c>
    </row>
    <row r="168" s="22" customFormat="1" ht="25.5" spans="1:36">
      <c r="A168" s="34"/>
      <c r="B168" s="11"/>
      <c r="C168" s="37" t="s">
        <v>634</v>
      </c>
      <c r="D168" s="38"/>
      <c r="E168" s="48"/>
      <c r="F168" s="48"/>
      <c r="G168" s="34"/>
      <c r="H168" s="34"/>
      <c r="I168" s="54"/>
      <c r="J168" s="54"/>
      <c r="K168" s="52"/>
      <c r="L168" s="52"/>
      <c r="M168" s="52"/>
      <c r="N168" s="61">
        <v>1200</v>
      </c>
      <c r="O168" s="61">
        <v>1080</v>
      </c>
      <c r="P168" s="61">
        <v>930</v>
      </c>
      <c r="Q168" s="34"/>
      <c r="R168" s="34"/>
      <c r="S168" s="63"/>
      <c r="T168" s="52"/>
      <c r="U168" s="48"/>
      <c r="V168" s="11" t="s">
        <v>637</v>
      </c>
      <c r="W168" s="11">
        <v>33030001803</v>
      </c>
      <c r="X168" s="11" t="s">
        <v>638</v>
      </c>
      <c r="Y168" s="12" t="s">
        <v>39</v>
      </c>
      <c r="Z168" s="12" t="s">
        <v>39</v>
      </c>
      <c r="AA168" s="14" t="s">
        <v>38</v>
      </c>
      <c r="AB168" s="12" t="s">
        <v>39</v>
      </c>
      <c r="AC168" s="18">
        <v>5020</v>
      </c>
      <c r="AD168" s="18">
        <v>4550</v>
      </c>
      <c r="AE168" s="18">
        <v>3870</v>
      </c>
      <c r="AF168" s="71">
        <f t="shared" si="12"/>
        <v>8</v>
      </c>
      <c r="AG168" s="71" t="str">
        <f t="shared" si="13"/>
        <v>胸腺病变切除费</v>
      </c>
      <c r="AH168" s="71">
        <f t="shared" si="14"/>
        <v>5200</v>
      </c>
      <c r="AI168" s="71">
        <f t="shared" si="15"/>
        <v>4680</v>
      </c>
      <c r="AJ168" s="71">
        <f t="shared" si="16"/>
        <v>4030</v>
      </c>
    </row>
    <row r="169" s="22" customFormat="1" ht="25.5" spans="1:36">
      <c r="A169" s="34">
        <v>48</v>
      </c>
      <c r="B169" s="11" t="s">
        <v>639</v>
      </c>
      <c r="C169" s="37" t="s">
        <v>640</v>
      </c>
      <c r="D169" s="34" t="s">
        <v>297</v>
      </c>
      <c r="E169" s="48" t="s">
        <v>641</v>
      </c>
      <c r="F169" s="48" t="s">
        <v>642</v>
      </c>
      <c r="G169" s="34" t="s">
        <v>38</v>
      </c>
      <c r="H169" s="34" t="s">
        <v>39</v>
      </c>
      <c r="I169" s="15">
        <v>2500</v>
      </c>
      <c r="J169" s="15">
        <v>2250</v>
      </c>
      <c r="K169" s="53">
        <v>2215.65934065934</v>
      </c>
      <c r="L169" s="53">
        <v>2015.22388059701</v>
      </c>
      <c r="M169" s="53">
        <v>1743.27272727273</v>
      </c>
      <c r="N169" s="59">
        <v>2250</v>
      </c>
      <c r="O169" s="59">
        <v>2050</v>
      </c>
      <c r="P169" s="59">
        <v>1750</v>
      </c>
      <c r="Q169" s="62" t="s">
        <v>40</v>
      </c>
      <c r="R169" s="62" t="s">
        <v>39</v>
      </c>
      <c r="S169" s="64" t="s">
        <v>39</v>
      </c>
      <c r="T169" s="53" t="s">
        <v>344</v>
      </c>
      <c r="U169" s="67" t="s">
        <v>643</v>
      </c>
      <c r="V169" s="34" t="s">
        <v>644</v>
      </c>
      <c r="W169" s="34">
        <v>330703012</v>
      </c>
      <c r="X169" s="34" t="s">
        <v>645</v>
      </c>
      <c r="Y169" s="12" t="s">
        <v>646</v>
      </c>
      <c r="Z169" s="12" t="s">
        <v>39</v>
      </c>
      <c r="AA169" s="14" t="s">
        <v>38</v>
      </c>
      <c r="AB169" s="12" t="s">
        <v>39</v>
      </c>
      <c r="AC169" s="18">
        <v>1625</v>
      </c>
      <c r="AD169" s="18">
        <v>1560</v>
      </c>
      <c r="AE169" s="18">
        <v>1326</v>
      </c>
      <c r="AF169" s="71">
        <f t="shared" si="12"/>
        <v>0</v>
      </c>
      <c r="AG169" s="71" t="str">
        <f t="shared" si="13"/>
        <v>胸壁病变切除费</v>
      </c>
      <c r="AH169" s="71">
        <f t="shared" si="14"/>
        <v>2250</v>
      </c>
      <c r="AI169" s="71">
        <f t="shared" si="15"/>
        <v>2050</v>
      </c>
      <c r="AJ169" s="71">
        <f t="shared" si="16"/>
        <v>1750</v>
      </c>
    </row>
    <row r="170" s="22" customFormat="1" ht="25.5" spans="1:36">
      <c r="A170" s="34"/>
      <c r="B170" s="11"/>
      <c r="C170" s="37" t="s">
        <v>640</v>
      </c>
      <c r="D170" s="34"/>
      <c r="E170" s="48"/>
      <c r="F170" s="48"/>
      <c r="G170" s="34"/>
      <c r="H170" s="34"/>
      <c r="I170" s="54"/>
      <c r="J170" s="54"/>
      <c r="K170" s="53"/>
      <c r="L170" s="53"/>
      <c r="M170" s="53"/>
      <c r="N170" s="59">
        <v>2250</v>
      </c>
      <c r="O170" s="59">
        <v>2050</v>
      </c>
      <c r="P170" s="59">
        <v>1750</v>
      </c>
      <c r="Q170" s="62"/>
      <c r="R170" s="62"/>
      <c r="S170" s="64"/>
      <c r="T170" s="53"/>
      <c r="U170" s="67"/>
      <c r="V170" s="11" t="s">
        <v>647</v>
      </c>
      <c r="W170" s="11">
        <v>33070301202</v>
      </c>
      <c r="X170" s="11" t="s">
        <v>648</v>
      </c>
      <c r="Y170" s="12" t="s">
        <v>39</v>
      </c>
      <c r="Z170" s="12" t="s">
        <v>39</v>
      </c>
      <c r="AA170" s="14" t="s">
        <v>38</v>
      </c>
      <c r="AB170" s="12" t="s">
        <v>39</v>
      </c>
      <c r="AC170" s="18">
        <v>2250</v>
      </c>
      <c r="AD170" s="18">
        <v>2160</v>
      </c>
      <c r="AE170" s="18">
        <v>1836</v>
      </c>
      <c r="AF170" s="71">
        <f t="shared" si="12"/>
        <v>0</v>
      </c>
      <c r="AG170" s="71" t="str">
        <f t="shared" si="13"/>
        <v>胸壁病变切除费</v>
      </c>
      <c r="AH170" s="71">
        <f t="shared" si="14"/>
        <v>2250</v>
      </c>
      <c r="AI170" s="71">
        <f t="shared" si="15"/>
        <v>2050</v>
      </c>
      <c r="AJ170" s="71">
        <f t="shared" si="16"/>
        <v>1750</v>
      </c>
    </row>
    <row r="171" s="22" customFormat="1" ht="25.5" spans="1:36">
      <c r="A171" s="34"/>
      <c r="B171" s="11"/>
      <c r="C171" s="37" t="s">
        <v>640</v>
      </c>
      <c r="D171" s="34"/>
      <c r="E171" s="48"/>
      <c r="F171" s="48"/>
      <c r="G171" s="34"/>
      <c r="H171" s="34"/>
      <c r="I171" s="54"/>
      <c r="J171" s="54"/>
      <c r="K171" s="53"/>
      <c r="L171" s="53"/>
      <c r="M171" s="53"/>
      <c r="N171" s="59">
        <v>2250</v>
      </c>
      <c r="O171" s="59">
        <v>2050</v>
      </c>
      <c r="P171" s="59">
        <v>1750</v>
      </c>
      <c r="Q171" s="62"/>
      <c r="R171" s="62"/>
      <c r="S171" s="64"/>
      <c r="T171" s="53"/>
      <c r="U171" s="67"/>
      <c r="V171" s="11" t="s">
        <v>649</v>
      </c>
      <c r="W171" s="11">
        <v>330703008</v>
      </c>
      <c r="X171" s="11" t="s">
        <v>650</v>
      </c>
      <c r="Y171" s="12" t="s">
        <v>651</v>
      </c>
      <c r="Z171" s="12" t="s">
        <v>39</v>
      </c>
      <c r="AA171" s="14" t="s">
        <v>38</v>
      </c>
      <c r="AB171" s="12" t="s">
        <v>39</v>
      </c>
      <c r="AC171" s="18">
        <v>1625</v>
      </c>
      <c r="AD171" s="18">
        <v>1560</v>
      </c>
      <c r="AE171" s="18">
        <v>1326</v>
      </c>
      <c r="AF171" s="71">
        <f t="shared" si="12"/>
        <v>0</v>
      </c>
      <c r="AG171" s="71" t="str">
        <f t="shared" si="13"/>
        <v>胸壁病变切除费</v>
      </c>
      <c r="AH171" s="71">
        <f t="shared" si="14"/>
        <v>2250</v>
      </c>
      <c r="AI171" s="71">
        <f t="shared" si="15"/>
        <v>2050</v>
      </c>
      <c r="AJ171" s="71">
        <f t="shared" si="16"/>
        <v>1750</v>
      </c>
    </row>
    <row r="172" s="23" customFormat="1" ht="25.5" spans="1:36">
      <c r="A172" s="34"/>
      <c r="B172" s="11"/>
      <c r="C172" s="37" t="s">
        <v>640</v>
      </c>
      <c r="D172" s="34"/>
      <c r="E172" s="48"/>
      <c r="F172" s="48"/>
      <c r="G172" s="34"/>
      <c r="H172" s="34"/>
      <c r="I172" s="54"/>
      <c r="J172" s="54"/>
      <c r="K172" s="53"/>
      <c r="L172" s="53"/>
      <c r="M172" s="53"/>
      <c r="N172" s="59">
        <v>2250</v>
      </c>
      <c r="O172" s="59">
        <v>2050</v>
      </c>
      <c r="P172" s="59">
        <v>1750</v>
      </c>
      <c r="Q172" s="62"/>
      <c r="R172" s="62"/>
      <c r="S172" s="64"/>
      <c r="T172" s="53"/>
      <c r="U172" s="67"/>
      <c r="V172" s="11" t="s">
        <v>652</v>
      </c>
      <c r="W172" s="11">
        <v>33070300802</v>
      </c>
      <c r="X172" s="11" t="s">
        <v>653</v>
      </c>
      <c r="Y172" s="12" t="s">
        <v>39</v>
      </c>
      <c r="Z172" s="12" t="s">
        <v>39</v>
      </c>
      <c r="AA172" s="14" t="s">
        <v>38</v>
      </c>
      <c r="AB172" s="12" t="s">
        <v>39</v>
      </c>
      <c r="AC172" s="18">
        <v>2250</v>
      </c>
      <c r="AD172" s="18">
        <v>2160</v>
      </c>
      <c r="AE172" s="18">
        <v>1836</v>
      </c>
      <c r="AF172" s="71">
        <f t="shared" si="12"/>
        <v>0</v>
      </c>
      <c r="AG172" s="71" t="str">
        <f t="shared" si="13"/>
        <v>胸壁病变切除费</v>
      </c>
      <c r="AH172" s="71">
        <f t="shared" si="14"/>
        <v>2250</v>
      </c>
      <c r="AI172" s="71">
        <f t="shared" si="15"/>
        <v>2050</v>
      </c>
      <c r="AJ172" s="71">
        <f t="shared" si="16"/>
        <v>1750</v>
      </c>
    </row>
    <row r="173" s="23" customFormat="1" ht="25.5" spans="1:36">
      <c r="A173" s="34" t="s">
        <v>68</v>
      </c>
      <c r="B173" s="34" t="s">
        <v>654</v>
      </c>
      <c r="C173" s="37" t="s">
        <v>655</v>
      </c>
      <c r="D173" s="34" t="s">
        <v>297</v>
      </c>
      <c r="E173" s="48" t="s">
        <v>39</v>
      </c>
      <c r="F173" s="48" t="s">
        <v>39</v>
      </c>
      <c r="G173" s="34" t="s">
        <v>38</v>
      </c>
      <c r="H173" s="34" t="s">
        <v>39</v>
      </c>
      <c r="I173" s="15">
        <v>750</v>
      </c>
      <c r="J173" s="15">
        <v>675</v>
      </c>
      <c r="K173" s="52"/>
      <c r="L173" s="52"/>
      <c r="M173" s="52"/>
      <c r="N173" s="61">
        <v>675</v>
      </c>
      <c r="O173" s="61">
        <v>615</v>
      </c>
      <c r="P173" s="61">
        <v>525</v>
      </c>
      <c r="Q173" s="34" t="s">
        <v>40</v>
      </c>
      <c r="R173" s="34" t="s">
        <v>39</v>
      </c>
      <c r="S173" s="63" t="s">
        <v>39</v>
      </c>
      <c r="T173" s="52"/>
      <c r="U173" s="48" t="s">
        <v>71</v>
      </c>
      <c r="V173" s="11" t="s">
        <v>656</v>
      </c>
      <c r="W173" s="11">
        <v>33070301201</v>
      </c>
      <c r="X173" s="11" t="s">
        <v>657</v>
      </c>
      <c r="Y173" s="12" t="s">
        <v>39</v>
      </c>
      <c r="Z173" s="12" t="s">
        <v>39</v>
      </c>
      <c r="AA173" s="14" t="s">
        <v>38</v>
      </c>
      <c r="AB173" s="12" t="s">
        <v>39</v>
      </c>
      <c r="AC173" s="18">
        <v>2115</v>
      </c>
      <c r="AD173" s="18">
        <v>2030</v>
      </c>
      <c r="AE173" s="18">
        <v>1725</v>
      </c>
      <c r="AF173" s="71">
        <f t="shared" si="12"/>
        <v>8</v>
      </c>
      <c r="AG173" s="71" t="str">
        <f t="shared" si="13"/>
        <v>胸壁病变切除费</v>
      </c>
      <c r="AH173" s="71">
        <f t="shared" si="14"/>
        <v>2925</v>
      </c>
      <c r="AI173" s="71">
        <f t="shared" si="15"/>
        <v>2665</v>
      </c>
      <c r="AJ173" s="71">
        <f t="shared" si="16"/>
        <v>2275</v>
      </c>
    </row>
    <row r="174" s="23" customFormat="1" ht="25.5" spans="1:36">
      <c r="A174" s="34"/>
      <c r="B174" s="34"/>
      <c r="C174" s="37" t="s">
        <v>655</v>
      </c>
      <c r="D174" s="34"/>
      <c r="E174" s="48"/>
      <c r="F174" s="48"/>
      <c r="G174" s="34"/>
      <c r="H174" s="34"/>
      <c r="I174" s="54"/>
      <c r="J174" s="54"/>
      <c r="K174" s="52"/>
      <c r="L174" s="52"/>
      <c r="M174" s="52"/>
      <c r="N174" s="61">
        <v>675</v>
      </c>
      <c r="O174" s="61">
        <v>615</v>
      </c>
      <c r="P174" s="61">
        <v>525</v>
      </c>
      <c r="Q174" s="34"/>
      <c r="R174" s="34"/>
      <c r="S174" s="63"/>
      <c r="T174" s="52"/>
      <c r="U174" s="48"/>
      <c r="V174" s="11" t="s">
        <v>658</v>
      </c>
      <c r="W174" s="11">
        <v>33070301203</v>
      </c>
      <c r="X174" s="11" t="s">
        <v>659</v>
      </c>
      <c r="Y174" s="12" t="s">
        <v>39</v>
      </c>
      <c r="Z174" s="12" t="s">
        <v>39</v>
      </c>
      <c r="AA174" s="14" t="s">
        <v>38</v>
      </c>
      <c r="AB174" s="12" t="s">
        <v>39</v>
      </c>
      <c r="AC174" s="18">
        <v>2740</v>
      </c>
      <c r="AD174" s="18">
        <v>2630</v>
      </c>
      <c r="AE174" s="18">
        <v>2235</v>
      </c>
      <c r="AF174" s="71">
        <f t="shared" si="12"/>
        <v>8</v>
      </c>
      <c r="AG174" s="71" t="str">
        <f t="shared" si="13"/>
        <v>胸壁病变切除费</v>
      </c>
      <c r="AH174" s="71">
        <f t="shared" si="14"/>
        <v>2925</v>
      </c>
      <c r="AI174" s="71">
        <f t="shared" si="15"/>
        <v>2665</v>
      </c>
      <c r="AJ174" s="71">
        <f t="shared" si="16"/>
        <v>2275</v>
      </c>
    </row>
    <row r="175" s="23" customFormat="1" ht="25.5" spans="1:36">
      <c r="A175" s="34"/>
      <c r="B175" s="34"/>
      <c r="C175" s="37" t="s">
        <v>655</v>
      </c>
      <c r="D175" s="34"/>
      <c r="E175" s="48"/>
      <c r="F175" s="48"/>
      <c r="G175" s="34"/>
      <c r="H175" s="34"/>
      <c r="I175" s="54"/>
      <c r="J175" s="54"/>
      <c r="K175" s="52"/>
      <c r="L175" s="52"/>
      <c r="M175" s="52"/>
      <c r="N175" s="61">
        <v>675</v>
      </c>
      <c r="O175" s="61">
        <v>615</v>
      </c>
      <c r="P175" s="61">
        <v>525</v>
      </c>
      <c r="Q175" s="34"/>
      <c r="R175" s="34"/>
      <c r="S175" s="63"/>
      <c r="T175" s="52"/>
      <c r="U175" s="48"/>
      <c r="V175" s="11" t="s">
        <v>660</v>
      </c>
      <c r="W175" s="11">
        <v>33070300801</v>
      </c>
      <c r="X175" s="11" t="s">
        <v>661</v>
      </c>
      <c r="Y175" s="12" t="s">
        <v>39</v>
      </c>
      <c r="Z175" s="12" t="s">
        <v>39</v>
      </c>
      <c r="AA175" s="14" t="s">
        <v>38</v>
      </c>
      <c r="AB175" s="12" t="s">
        <v>39</v>
      </c>
      <c r="AC175" s="18">
        <v>2115</v>
      </c>
      <c r="AD175" s="18">
        <v>2030</v>
      </c>
      <c r="AE175" s="18">
        <v>1725</v>
      </c>
      <c r="AF175" s="71">
        <f t="shared" si="12"/>
        <v>8</v>
      </c>
      <c r="AG175" s="71" t="str">
        <f t="shared" si="13"/>
        <v>胸壁病变切除费</v>
      </c>
      <c r="AH175" s="71">
        <f t="shared" si="14"/>
        <v>2925</v>
      </c>
      <c r="AI175" s="71">
        <f t="shared" si="15"/>
        <v>2665</v>
      </c>
      <c r="AJ175" s="71">
        <f t="shared" si="16"/>
        <v>2275</v>
      </c>
    </row>
    <row r="176" s="23" customFormat="1" ht="25.5" spans="1:36">
      <c r="A176" s="34"/>
      <c r="B176" s="34"/>
      <c r="C176" s="37" t="s">
        <v>655</v>
      </c>
      <c r="D176" s="34"/>
      <c r="E176" s="48"/>
      <c r="F176" s="48"/>
      <c r="G176" s="34"/>
      <c r="H176" s="34"/>
      <c r="I176" s="54"/>
      <c r="J176" s="54"/>
      <c r="K176" s="52"/>
      <c r="L176" s="52"/>
      <c r="M176" s="52"/>
      <c r="N176" s="61">
        <v>675</v>
      </c>
      <c r="O176" s="61">
        <v>615</v>
      </c>
      <c r="P176" s="61">
        <v>525</v>
      </c>
      <c r="Q176" s="34"/>
      <c r="R176" s="34"/>
      <c r="S176" s="63"/>
      <c r="T176" s="52"/>
      <c r="U176" s="48"/>
      <c r="V176" s="11" t="s">
        <v>662</v>
      </c>
      <c r="W176" s="11">
        <v>33070300803</v>
      </c>
      <c r="X176" s="11" t="s">
        <v>663</v>
      </c>
      <c r="Y176" s="12" t="s">
        <v>39</v>
      </c>
      <c r="Z176" s="12" t="s">
        <v>39</v>
      </c>
      <c r="AA176" s="14" t="s">
        <v>38</v>
      </c>
      <c r="AB176" s="12" t="s">
        <v>39</v>
      </c>
      <c r="AC176" s="18">
        <v>2740</v>
      </c>
      <c r="AD176" s="18">
        <v>2630</v>
      </c>
      <c r="AE176" s="18">
        <v>2235</v>
      </c>
      <c r="AF176" s="71">
        <f t="shared" si="12"/>
        <v>8</v>
      </c>
      <c r="AG176" s="71" t="str">
        <f t="shared" si="13"/>
        <v>胸壁病变切除费</v>
      </c>
      <c r="AH176" s="71">
        <f t="shared" si="14"/>
        <v>2925</v>
      </c>
      <c r="AI176" s="71">
        <f t="shared" si="15"/>
        <v>2665</v>
      </c>
      <c r="AJ176" s="71">
        <f t="shared" si="16"/>
        <v>2275</v>
      </c>
    </row>
    <row r="177" s="24" customFormat="1" ht="25.5" spans="1:36">
      <c r="A177" s="34">
        <v>49</v>
      </c>
      <c r="B177" s="11" t="s">
        <v>664</v>
      </c>
      <c r="C177" s="37" t="s">
        <v>665</v>
      </c>
      <c r="D177" s="34" t="s">
        <v>297</v>
      </c>
      <c r="E177" s="48" t="s">
        <v>666</v>
      </c>
      <c r="F177" s="48" t="s">
        <v>667</v>
      </c>
      <c r="G177" s="34" t="s">
        <v>38</v>
      </c>
      <c r="H177" s="34" t="s">
        <v>39</v>
      </c>
      <c r="I177" s="15">
        <v>1265</v>
      </c>
      <c r="J177" s="15">
        <v>1139</v>
      </c>
      <c r="K177" s="53">
        <v>1145.83333333333</v>
      </c>
      <c r="L177" s="53">
        <v>1027.51842751843</v>
      </c>
      <c r="M177" s="53"/>
      <c r="N177" s="59">
        <v>1150</v>
      </c>
      <c r="O177" s="59">
        <v>1030</v>
      </c>
      <c r="P177" s="59">
        <v>880</v>
      </c>
      <c r="Q177" s="62" t="s">
        <v>40</v>
      </c>
      <c r="R177" s="62" t="s">
        <v>39</v>
      </c>
      <c r="S177" s="64" t="s">
        <v>39</v>
      </c>
      <c r="T177" s="53" t="s">
        <v>95</v>
      </c>
      <c r="U177" s="67" t="s">
        <v>643</v>
      </c>
      <c r="V177" s="34" t="s">
        <v>668</v>
      </c>
      <c r="W177" s="34">
        <v>330703013</v>
      </c>
      <c r="X177" s="34" t="s">
        <v>669</v>
      </c>
      <c r="Y177" s="12" t="s">
        <v>670</v>
      </c>
      <c r="Z177" s="12" t="s">
        <v>671</v>
      </c>
      <c r="AA177" s="14" t="s">
        <v>241</v>
      </c>
      <c r="AB177" s="12" t="s">
        <v>39</v>
      </c>
      <c r="AC177" s="18">
        <v>1875</v>
      </c>
      <c r="AD177" s="18">
        <v>1800</v>
      </c>
      <c r="AE177" s="18">
        <v>1530</v>
      </c>
      <c r="AF177" s="71">
        <f t="shared" si="12"/>
        <v>0</v>
      </c>
      <c r="AG177" s="71" t="str">
        <f t="shared" si="13"/>
        <v>胸壁缺损修复费（常规）</v>
      </c>
      <c r="AH177" s="71">
        <f t="shared" si="14"/>
        <v>1150</v>
      </c>
      <c r="AI177" s="71">
        <f t="shared" si="15"/>
        <v>1030</v>
      </c>
      <c r="AJ177" s="71">
        <f t="shared" si="16"/>
        <v>880</v>
      </c>
    </row>
    <row r="178" s="23" customFormat="1" ht="25.5" spans="1:36">
      <c r="A178" s="34"/>
      <c r="B178" s="11"/>
      <c r="C178" s="37" t="s">
        <v>665</v>
      </c>
      <c r="D178" s="34"/>
      <c r="E178" s="48"/>
      <c r="F178" s="48"/>
      <c r="G178" s="34"/>
      <c r="H178" s="34"/>
      <c r="I178" s="54"/>
      <c r="J178" s="54"/>
      <c r="K178" s="53"/>
      <c r="L178" s="53"/>
      <c r="M178" s="53"/>
      <c r="N178" s="59">
        <v>1150</v>
      </c>
      <c r="O178" s="59">
        <v>1030</v>
      </c>
      <c r="P178" s="59">
        <v>880</v>
      </c>
      <c r="Q178" s="62"/>
      <c r="R178" s="62"/>
      <c r="S178" s="64"/>
      <c r="T178" s="53"/>
      <c r="U178" s="67"/>
      <c r="V178" s="11" t="s">
        <v>672</v>
      </c>
      <c r="W178" s="11">
        <v>33070301302</v>
      </c>
      <c r="X178" s="11" t="s">
        <v>673</v>
      </c>
      <c r="Y178" s="12" t="s">
        <v>39</v>
      </c>
      <c r="Z178" s="12" t="s">
        <v>39</v>
      </c>
      <c r="AA178" s="14" t="s">
        <v>38</v>
      </c>
      <c r="AB178" s="12" t="s">
        <v>39</v>
      </c>
      <c r="AC178" s="18">
        <v>2500</v>
      </c>
      <c r="AD178" s="18">
        <v>2400</v>
      </c>
      <c r="AE178" s="18">
        <v>2040</v>
      </c>
      <c r="AF178" s="71">
        <f t="shared" si="12"/>
        <v>0</v>
      </c>
      <c r="AG178" s="71" t="str">
        <f t="shared" si="13"/>
        <v>胸壁缺损修复费（常规）</v>
      </c>
      <c r="AH178" s="71">
        <f t="shared" si="14"/>
        <v>1150</v>
      </c>
      <c r="AI178" s="71">
        <f t="shared" si="15"/>
        <v>1030</v>
      </c>
      <c r="AJ178" s="71">
        <f t="shared" si="16"/>
        <v>880</v>
      </c>
    </row>
    <row r="179" s="22" customFormat="1" ht="25.5" spans="1:36">
      <c r="A179" s="34"/>
      <c r="B179" s="11"/>
      <c r="C179" s="37" t="s">
        <v>665</v>
      </c>
      <c r="D179" s="34"/>
      <c r="E179" s="48"/>
      <c r="F179" s="48"/>
      <c r="G179" s="34"/>
      <c r="H179" s="34"/>
      <c r="I179" s="54"/>
      <c r="J179" s="54"/>
      <c r="K179" s="53"/>
      <c r="L179" s="53"/>
      <c r="M179" s="53"/>
      <c r="N179" s="59">
        <v>1150</v>
      </c>
      <c r="O179" s="59">
        <v>1030</v>
      </c>
      <c r="P179" s="59">
        <v>880</v>
      </c>
      <c r="Q179" s="62"/>
      <c r="R179" s="62"/>
      <c r="S179" s="64"/>
      <c r="T179" s="53"/>
      <c r="U179" s="67"/>
      <c r="V179" s="34" t="s">
        <v>674</v>
      </c>
      <c r="W179" s="34">
        <v>330703011</v>
      </c>
      <c r="X179" s="34" t="s">
        <v>675</v>
      </c>
      <c r="Y179" s="12" t="s">
        <v>676</v>
      </c>
      <c r="Z179" s="12" t="s">
        <v>39</v>
      </c>
      <c r="AA179" s="14" t="s">
        <v>38</v>
      </c>
      <c r="AB179" s="12" t="s">
        <v>39</v>
      </c>
      <c r="AC179" s="18">
        <v>625</v>
      </c>
      <c r="AD179" s="18">
        <v>600</v>
      </c>
      <c r="AE179" s="18">
        <v>510</v>
      </c>
      <c r="AF179" s="71">
        <f t="shared" si="12"/>
        <v>0</v>
      </c>
      <c r="AG179" s="71" t="str">
        <f t="shared" si="13"/>
        <v>胸壁缺损修复费（常规）</v>
      </c>
      <c r="AH179" s="71">
        <f t="shared" si="14"/>
        <v>1150</v>
      </c>
      <c r="AI179" s="71">
        <f t="shared" si="15"/>
        <v>1030</v>
      </c>
      <c r="AJ179" s="71">
        <f t="shared" si="16"/>
        <v>880</v>
      </c>
    </row>
    <row r="180" s="22" customFormat="1" ht="25.5" spans="1:36">
      <c r="A180" s="34"/>
      <c r="B180" s="11"/>
      <c r="C180" s="37" t="s">
        <v>665</v>
      </c>
      <c r="D180" s="34"/>
      <c r="E180" s="48"/>
      <c r="F180" s="48"/>
      <c r="G180" s="34"/>
      <c r="H180" s="34"/>
      <c r="I180" s="54"/>
      <c r="J180" s="54"/>
      <c r="K180" s="53"/>
      <c r="L180" s="53"/>
      <c r="M180" s="53"/>
      <c r="N180" s="59">
        <v>1150</v>
      </c>
      <c r="O180" s="59">
        <v>1030</v>
      </c>
      <c r="P180" s="59">
        <v>880</v>
      </c>
      <c r="Q180" s="62"/>
      <c r="R180" s="62"/>
      <c r="S180" s="64"/>
      <c r="T180" s="53"/>
      <c r="U180" s="67"/>
      <c r="V180" s="11" t="s">
        <v>677</v>
      </c>
      <c r="W180" s="11">
        <v>33070301102</v>
      </c>
      <c r="X180" s="11" t="s">
        <v>678</v>
      </c>
      <c r="Y180" s="12" t="s">
        <v>39</v>
      </c>
      <c r="Z180" s="12" t="s">
        <v>39</v>
      </c>
      <c r="AA180" s="14" t="s">
        <v>38</v>
      </c>
      <c r="AB180" s="12" t="s">
        <v>39</v>
      </c>
      <c r="AC180" s="18">
        <v>1250</v>
      </c>
      <c r="AD180" s="18">
        <v>1200</v>
      </c>
      <c r="AE180" s="18">
        <v>1020</v>
      </c>
      <c r="AF180" s="71">
        <f t="shared" ref="AF180:AF243" si="17">IFERROR(FIND("-儿童（加收）",C180,1),0)</f>
        <v>0</v>
      </c>
      <c r="AG180" s="71" t="str">
        <f t="shared" ref="AG180:AG243" si="18">SUBSTITUTE(C180,"-儿童（加收）","")</f>
        <v>胸壁缺损修复费（常规）</v>
      </c>
      <c r="AH180" s="71">
        <f t="shared" ref="AH180:AH234" si="19">IF(AF180&gt;0,_xlfn.MAXIFS(N:N,C:C,SUBSTITUTE(C180,"-儿童（加收）","")),0)+N180</f>
        <v>1150</v>
      </c>
      <c r="AI180" s="71">
        <f t="shared" ref="AI180:AI234" si="20">IF(AF180&gt;0,_xlfn.MAXIFS(O:O,C:C,SUBSTITUTE(C180,"-儿童（加收）","")),0)+O180</f>
        <v>1030</v>
      </c>
      <c r="AJ180" s="71">
        <f t="shared" ref="AJ180:AJ234" si="21">IF(AF180&gt;0,_xlfn.MAXIFS(P:P,C:C,SUBSTITUTE(C180,"-儿童（加收）","")),0)+P180</f>
        <v>880</v>
      </c>
    </row>
    <row r="181" s="22" customFormat="1" ht="25.5" spans="1:36">
      <c r="A181" s="34" t="s">
        <v>68</v>
      </c>
      <c r="B181" s="34" t="s">
        <v>679</v>
      </c>
      <c r="C181" s="37" t="s">
        <v>680</v>
      </c>
      <c r="D181" s="34" t="s">
        <v>297</v>
      </c>
      <c r="E181" s="48" t="s">
        <v>39</v>
      </c>
      <c r="F181" s="48" t="s">
        <v>39</v>
      </c>
      <c r="G181" s="34" t="s">
        <v>38</v>
      </c>
      <c r="H181" s="34" t="s">
        <v>39</v>
      </c>
      <c r="I181" s="15">
        <v>380</v>
      </c>
      <c r="J181" s="15">
        <v>342</v>
      </c>
      <c r="K181" s="52"/>
      <c r="L181" s="52"/>
      <c r="M181" s="52"/>
      <c r="N181" s="61">
        <v>345</v>
      </c>
      <c r="O181" s="61">
        <v>310</v>
      </c>
      <c r="P181" s="61">
        <v>265</v>
      </c>
      <c r="Q181" s="34" t="s">
        <v>40</v>
      </c>
      <c r="R181" s="34" t="s">
        <v>39</v>
      </c>
      <c r="S181" s="63" t="s">
        <v>39</v>
      </c>
      <c r="T181" s="52"/>
      <c r="U181" s="48" t="s">
        <v>71</v>
      </c>
      <c r="V181" s="34" t="s">
        <v>681</v>
      </c>
      <c r="W181" s="34">
        <v>33070301301</v>
      </c>
      <c r="X181" s="34" t="s">
        <v>682</v>
      </c>
      <c r="Y181" s="12" t="s">
        <v>39</v>
      </c>
      <c r="Z181" s="12" t="s">
        <v>39</v>
      </c>
      <c r="AA181" s="14" t="s">
        <v>241</v>
      </c>
      <c r="AB181" s="12" t="s">
        <v>39</v>
      </c>
      <c r="AC181" s="18">
        <v>2440</v>
      </c>
      <c r="AD181" s="18">
        <v>2340</v>
      </c>
      <c r="AE181" s="18">
        <v>1990</v>
      </c>
      <c r="AF181" s="71">
        <f t="shared" si="17"/>
        <v>12</v>
      </c>
      <c r="AG181" s="71" t="str">
        <f t="shared" si="18"/>
        <v>胸壁缺损修复费（常规）</v>
      </c>
      <c r="AH181" s="71">
        <f t="shared" si="19"/>
        <v>1495</v>
      </c>
      <c r="AI181" s="71">
        <f t="shared" si="20"/>
        <v>1340</v>
      </c>
      <c r="AJ181" s="71">
        <f t="shared" si="21"/>
        <v>1145</v>
      </c>
    </row>
    <row r="182" s="22" customFormat="1" ht="25.5" spans="1:36">
      <c r="A182" s="34"/>
      <c r="B182" s="34"/>
      <c r="C182" s="37" t="s">
        <v>680</v>
      </c>
      <c r="D182" s="34"/>
      <c r="E182" s="48"/>
      <c r="F182" s="48"/>
      <c r="G182" s="34"/>
      <c r="H182" s="34"/>
      <c r="I182" s="54"/>
      <c r="J182" s="54"/>
      <c r="K182" s="52"/>
      <c r="L182" s="52"/>
      <c r="M182" s="52"/>
      <c r="N182" s="61">
        <v>345</v>
      </c>
      <c r="O182" s="61">
        <v>310</v>
      </c>
      <c r="P182" s="61">
        <v>265</v>
      </c>
      <c r="Q182" s="34"/>
      <c r="R182" s="34"/>
      <c r="S182" s="63"/>
      <c r="T182" s="52"/>
      <c r="U182" s="48"/>
      <c r="V182" s="34" t="s">
        <v>683</v>
      </c>
      <c r="W182" s="34">
        <v>33070301303</v>
      </c>
      <c r="X182" s="34" t="s">
        <v>684</v>
      </c>
      <c r="Y182" s="12" t="s">
        <v>39</v>
      </c>
      <c r="Z182" s="12" t="s">
        <v>39</v>
      </c>
      <c r="AA182" s="14" t="s">
        <v>38</v>
      </c>
      <c r="AB182" s="12" t="s">
        <v>39</v>
      </c>
      <c r="AC182" s="18">
        <v>3065</v>
      </c>
      <c r="AD182" s="18">
        <v>2940</v>
      </c>
      <c r="AE182" s="18">
        <v>2500</v>
      </c>
      <c r="AF182" s="71">
        <f t="shared" si="17"/>
        <v>12</v>
      </c>
      <c r="AG182" s="71" t="str">
        <f t="shared" si="18"/>
        <v>胸壁缺损修复费（常规）</v>
      </c>
      <c r="AH182" s="71">
        <f t="shared" si="19"/>
        <v>1495</v>
      </c>
      <c r="AI182" s="71">
        <f t="shared" si="20"/>
        <v>1340</v>
      </c>
      <c r="AJ182" s="71">
        <f t="shared" si="21"/>
        <v>1145</v>
      </c>
    </row>
    <row r="183" s="22" customFormat="1" ht="25.5" spans="1:36">
      <c r="A183" s="34"/>
      <c r="B183" s="34"/>
      <c r="C183" s="37" t="s">
        <v>680</v>
      </c>
      <c r="D183" s="34"/>
      <c r="E183" s="48"/>
      <c r="F183" s="48"/>
      <c r="G183" s="34"/>
      <c r="H183" s="34"/>
      <c r="I183" s="54"/>
      <c r="J183" s="54"/>
      <c r="K183" s="52"/>
      <c r="L183" s="52"/>
      <c r="M183" s="52"/>
      <c r="N183" s="61">
        <v>345</v>
      </c>
      <c r="O183" s="61">
        <v>310</v>
      </c>
      <c r="P183" s="61">
        <v>265</v>
      </c>
      <c r="Q183" s="34"/>
      <c r="R183" s="34"/>
      <c r="S183" s="63"/>
      <c r="T183" s="52"/>
      <c r="U183" s="48"/>
      <c r="V183" s="34" t="s">
        <v>685</v>
      </c>
      <c r="W183" s="34">
        <v>33070301101</v>
      </c>
      <c r="X183" s="34" t="s">
        <v>686</v>
      </c>
      <c r="Y183" s="12" t="s">
        <v>39</v>
      </c>
      <c r="Z183" s="12" t="s">
        <v>39</v>
      </c>
      <c r="AA183" s="14" t="s">
        <v>38</v>
      </c>
      <c r="AB183" s="12" t="s">
        <v>39</v>
      </c>
      <c r="AC183" s="18">
        <v>815</v>
      </c>
      <c r="AD183" s="18">
        <v>780</v>
      </c>
      <c r="AE183" s="18">
        <v>665</v>
      </c>
      <c r="AF183" s="71">
        <f t="shared" si="17"/>
        <v>12</v>
      </c>
      <c r="AG183" s="71" t="str">
        <f t="shared" si="18"/>
        <v>胸壁缺损修复费（常规）</v>
      </c>
      <c r="AH183" s="71">
        <f t="shared" si="19"/>
        <v>1495</v>
      </c>
      <c r="AI183" s="71">
        <f t="shared" si="20"/>
        <v>1340</v>
      </c>
      <c r="AJ183" s="71">
        <f t="shared" si="21"/>
        <v>1145</v>
      </c>
    </row>
    <row r="184" s="22" customFormat="1" ht="25.5" spans="1:36">
      <c r="A184" s="34"/>
      <c r="B184" s="34"/>
      <c r="C184" s="37" t="s">
        <v>680</v>
      </c>
      <c r="D184" s="34"/>
      <c r="E184" s="48"/>
      <c r="F184" s="48"/>
      <c r="G184" s="34"/>
      <c r="H184" s="34"/>
      <c r="I184" s="54"/>
      <c r="J184" s="54"/>
      <c r="K184" s="52"/>
      <c r="L184" s="52"/>
      <c r="M184" s="52"/>
      <c r="N184" s="61">
        <v>345</v>
      </c>
      <c r="O184" s="61">
        <v>310</v>
      </c>
      <c r="P184" s="61">
        <v>265</v>
      </c>
      <c r="Q184" s="34"/>
      <c r="R184" s="34"/>
      <c r="S184" s="63"/>
      <c r="T184" s="52"/>
      <c r="U184" s="48"/>
      <c r="V184" s="34" t="s">
        <v>687</v>
      </c>
      <c r="W184" s="34">
        <v>33070301103</v>
      </c>
      <c r="X184" s="34" t="s">
        <v>688</v>
      </c>
      <c r="Y184" s="12" t="s">
        <v>39</v>
      </c>
      <c r="Z184" s="12" t="s">
        <v>39</v>
      </c>
      <c r="AA184" s="14" t="s">
        <v>38</v>
      </c>
      <c r="AB184" s="12" t="s">
        <v>39</v>
      </c>
      <c r="AC184" s="18">
        <v>1440</v>
      </c>
      <c r="AD184" s="18">
        <v>1380</v>
      </c>
      <c r="AE184" s="18">
        <v>1175</v>
      </c>
      <c r="AF184" s="71">
        <f t="shared" si="17"/>
        <v>12</v>
      </c>
      <c r="AG184" s="71" t="str">
        <f t="shared" si="18"/>
        <v>胸壁缺损修复费（常规）</v>
      </c>
      <c r="AH184" s="71">
        <f t="shared" si="19"/>
        <v>1495</v>
      </c>
      <c r="AI184" s="71">
        <f t="shared" si="20"/>
        <v>1340</v>
      </c>
      <c r="AJ184" s="71">
        <f t="shared" si="21"/>
        <v>1145</v>
      </c>
    </row>
    <row r="185" s="22" customFormat="1" ht="25.5" spans="1:36">
      <c r="A185" s="34">
        <v>50</v>
      </c>
      <c r="B185" s="11" t="s">
        <v>689</v>
      </c>
      <c r="C185" s="37" t="s">
        <v>690</v>
      </c>
      <c r="D185" s="34" t="s">
        <v>297</v>
      </c>
      <c r="E185" s="48" t="s">
        <v>691</v>
      </c>
      <c r="F185" s="48" t="s">
        <v>667</v>
      </c>
      <c r="G185" s="34" t="s">
        <v>38</v>
      </c>
      <c r="H185" s="34" t="s">
        <v>692</v>
      </c>
      <c r="I185" s="15">
        <v>1787</v>
      </c>
      <c r="J185" s="15">
        <v>1608</v>
      </c>
      <c r="K185" s="52"/>
      <c r="L185" s="52"/>
      <c r="M185" s="52"/>
      <c r="N185" s="61">
        <v>1610</v>
      </c>
      <c r="O185" s="61">
        <v>1450</v>
      </c>
      <c r="P185" s="61">
        <v>1250</v>
      </c>
      <c r="Q185" s="34" t="s">
        <v>40</v>
      </c>
      <c r="R185" s="34" t="s">
        <v>39</v>
      </c>
      <c r="S185" s="63" t="s">
        <v>39</v>
      </c>
      <c r="T185" s="52" t="s">
        <v>264</v>
      </c>
      <c r="U185" s="48" t="s">
        <v>693</v>
      </c>
      <c r="V185" s="34" t="s">
        <v>668</v>
      </c>
      <c r="W185" s="34">
        <v>330703013</v>
      </c>
      <c r="X185" s="34" t="s">
        <v>669</v>
      </c>
      <c r="Y185" s="12" t="s">
        <v>670</v>
      </c>
      <c r="Z185" s="12" t="s">
        <v>671</v>
      </c>
      <c r="AA185" s="14" t="s">
        <v>241</v>
      </c>
      <c r="AB185" s="12" t="s">
        <v>39</v>
      </c>
      <c r="AC185" s="18">
        <v>1875</v>
      </c>
      <c r="AD185" s="18">
        <v>1800</v>
      </c>
      <c r="AE185" s="18">
        <v>1530</v>
      </c>
      <c r="AF185" s="71">
        <f t="shared" si="17"/>
        <v>0</v>
      </c>
      <c r="AG185" s="71" t="str">
        <f t="shared" si="18"/>
        <v>胸壁缺损修复费（复杂）</v>
      </c>
      <c r="AH185" s="71">
        <f t="shared" si="19"/>
        <v>1610</v>
      </c>
      <c r="AI185" s="71">
        <f t="shared" si="20"/>
        <v>1450</v>
      </c>
      <c r="AJ185" s="71">
        <f t="shared" si="21"/>
        <v>1250</v>
      </c>
    </row>
    <row r="186" s="22" customFormat="1" ht="25.5" spans="1:36">
      <c r="A186" s="34"/>
      <c r="B186" s="11"/>
      <c r="C186" s="37" t="s">
        <v>690</v>
      </c>
      <c r="D186" s="34"/>
      <c r="E186" s="48"/>
      <c r="F186" s="48"/>
      <c r="G186" s="34"/>
      <c r="H186" s="34"/>
      <c r="I186" s="54"/>
      <c r="J186" s="54"/>
      <c r="K186" s="52"/>
      <c r="L186" s="52"/>
      <c r="M186" s="52"/>
      <c r="N186" s="61">
        <v>1610</v>
      </c>
      <c r="O186" s="61">
        <v>1450</v>
      </c>
      <c r="P186" s="61">
        <v>1250</v>
      </c>
      <c r="Q186" s="34"/>
      <c r="R186" s="34"/>
      <c r="S186" s="63"/>
      <c r="T186" s="52"/>
      <c r="U186" s="48"/>
      <c r="V186" s="34" t="s">
        <v>672</v>
      </c>
      <c r="W186" s="34">
        <v>33070301302</v>
      </c>
      <c r="X186" s="34" t="s">
        <v>673</v>
      </c>
      <c r="Y186" s="12" t="s">
        <v>39</v>
      </c>
      <c r="Z186" s="12" t="s">
        <v>39</v>
      </c>
      <c r="AA186" s="14" t="s">
        <v>38</v>
      </c>
      <c r="AB186" s="12" t="s">
        <v>39</v>
      </c>
      <c r="AC186" s="18">
        <v>2500</v>
      </c>
      <c r="AD186" s="18">
        <v>2400</v>
      </c>
      <c r="AE186" s="18">
        <v>2040</v>
      </c>
      <c r="AF186" s="71">
        <f t="shared" si="17"/>
        <v>0</v>
      </c>
      <c r="AG186" s="71" t="str">
        <f t="shared" si="18"/>
        <v>胸壁缺损修复费（复杂）</v>
      </c>
      <c r="AH186" s="71">
        <f t="shared" si="19"/>
        <v>1610</v>
      </c>
      <c r="AI186" s="71">
        <f t="shared" si="20"/>
        <v>1450</v>
      </c>
      <c r="AJ186" s="71">
        <f t="shared" si="21"/>
        <v>1250</v>
      </c>
    </row>
    <row r="187" s="22" customFormat="1" ht="25.5" spans="1:36">
      <c r="A187" s="34"/>
      <c r="B187" s="11"/>
      <c r="C187" s="37" t="s">
        <v>690</v>
      </c>
      <c r="D187" s="34"/>
      <c r="E187" s="48"/>
      <c r="F187" s="48"/>
      <c r="G187" s="34"/>
      <c r="H187" s="34"/>
      <c r="I187" s="54"/>
      <c r="J187" s="54"/>
      <c r="K187" s="52"/>
      <c r="L187" s="52"/>
      <c r="M187" s="52"/>
      <c r="N187" s="61">
        <v>1610</v>
      </c>
      <c r="O187" s="61">
        <v>1450</v>
      </c>
      <c r="P187" s="61">
        <v>1250</v>
      </c>
      <c r="Q187" s="34"/>
      <c r="R187" s="34"/>
      <c r="S187" s="63"/>
      <c r="T187" s="52"/>
      <c r="U187" s="48"/>
      <c r="V187" s="34" t="s">
        <v>674</v>
      </c>
      <c r="W187" s="34">
        <v>330703011</v>
      </c>
      <c r="X187" s="34" t="s">
        <v>675</v>
      </c>
      <c r="Y187" s="12" t="s">
        <v>676</v>
      </c>
      <c r="Z187" s="12" t="s">
        <v>39</v>
      </c>
      <c r="AA187" s="14" t="s">
        <v>38</v>
      </c>
      <c r="AB187" s="12" t="s">
        <v>39</v>
      </c>
      <c r="AC187" s="18">
        <v>625</v>
      </c>
      <c r="AD187" s="18">
        <v>600</v>
      </c>
      <c r="AE187" s="18">
        <v>510</v>
      </c>
      <c r="AF187" s="71">
        <f t="shared" si="17"/>
        <v>0</v>
      </c>
      <c r="AG187" s="71" t="str">
        <f t="shared" si="18"/>
        <v>胸壁缺损修复费（复杂）</v>
      </c>
      <c r="AH187" s="71">
        <f t="shared" si="19"/>
        <v>1610</v>
      </c>
      <c r="AI187" s="71">
        <f t="shared" si="20"/>
        <v>1450</v>
      </c>
      <c r="AJ187" s="71">
        <f t="shared" si="21"/>
        <v>1250</v>
      </c>
    </row>
    <row r="188" s="22" customFormat="1" ht="25.5" spans="1:36">
      <c r="A188" s="34"/>
      <c r="B188" s="11"/>
      <c r="C188" s="37" t="s">
        <v>690</v>
      </c>
      <c r="D188" s="34"/>
      <c r="E188" s="48"/>
      <c r="F188" s="48"/>
      <c r="G188" s="34"/>
      <c r="H188" s="34"/>
      <c r="I188" s="54"/>
      <c r="J188" s="54"/>
      <c r="K188" s="52"/>
      <c r="L188" s="52"/>
      <c r="M188" s="52"/>
      <c r="N188" s="61">
        <v>1610</v>
      </c>
      <c r="O188" s="61">
        <v>1450</v>
      </c>
      <c r="P188" s="61">
        <v>1250</v>
      </c>
      <c r="Q188" s="34"/>
      <c r="R188" s="34"/>
      <c r="S188" s="63"/>
      <c r="T188" s="52"/>
      <c r="U188" s="48"/>
      <c r="V188" s="11" t="s">
        <v>677</v>
      </c>
      <c r="W188" s="11">
        <v>33070301102</v>
      </c>
      <c r="X188" s="11" t="s">
        <v>678</v>
      </c>
      <c r="Y188" s="12" t="s">
        <v>39</v>
      </c>
      <c r="Z188" s="12" t="s">
        <v>39</v>
      </c>
      <c r="AA188" s="14" t="s">
        <v>38</v>
      </c>
      <c r="AB188" s="12" t="s">
        <v>39</v>
      </c>
      <c r="AC188" s="18">
        <v>1250</v>
      </c>
      <c r="AD188" s="18">
        <v>1200</v>
      </c>
      <c r="AE188" s="18">
        <v>1020</v>
      </c>
      <c r="AF188" s="71">
        <f t="shared" si="17"/>
        <v>0</v>
      </c>
      <c r="AG188" s="71" t="str">
        <f t="shared" si="18"/>
        <v>胸壁缺损修复费（复杂）</v>
      </c>
      <c r="AH188" s="71">
        <f t="shared" si="19"/>
        <v>1610</v>
      </c>
      <c r="AI188" s="71">
        <f t="shared" si="20"/>
        <v>1450</v>
      </c>
      <c r="AJ188" s="71">
        <f t="shared" si="21"/>
        <v>1250</v>
      </c>
    </row>
    <row r="189" s="22" customFormat="1" ht="25.5" spans="1:36">
      <c r="A189" s="34" t="s">
        <v>68</v>
      </c>
      <c r="B189" s="34" t="s">
        <v>694</v>
      </c>
      <c r="C189" s="37" t="s">
        <v>695</v>
      </c>
      <c r="D189" s="34" t="s">
        <v>297</v>
      </c>
      <c r="E189" s="48" t="s">
        <v>39</v>
      </c>
      <c r="F189" s="48" t="s">
        <v>39</v>
      </c>
      <c r="G189" s="34" t="s">
        <v>38</v>
      </c>
      <c r="H189" s="34" t="s">
        <v>39</v>
      </c>
      <c r="I189" s="15">
        <v>536</v>
      </c>
      <c r="J189" s="15">
        <v>482</v>
      </c>
      <c r="K189" s="52"/>
      <c r="L189" s="52"/>
      <c r="M189" s="52"/>
      <c r="N189" s="61">
        <v>485</v>
      </c>
      <c r="O189" s="61">
        <v>435</v>
      </c>
      <c r="P189" s="61">
        <v>375</v>
      </c>
      <c r="Q189" s="34" t="s">
        <v>40</v>
      </c>
      <c r="R189" s="34" t="s">
        <v>39</v>
      </c>
      <c r="S189" s="63" t="s">
        <v>39</v>
      </c>
      <c r="T189" s="52"/>
      <c r="U189" s="48" t="s">
        <v>71</v>
      </c>
      <c r="V189" s="34" t="s">
        <v>681</v>
      </c>
      <c r="W189" s="34">
        <v>33070301301</v>
      </c>
      <c r="X189" s="34" t="s">
        <v>682</v>
      </c>
      <c r="Y189" s="12" t="s">
        <v>39</v>
      </c>
      <c r="Z189" s="12" t="s">
        <v>39</v>
      </c>
      <c r="AA189" s="14" t="s">
        <v>241</v>
      </c>
      <c r="AB189" s="12" t="s">
        <v>39</v>
      </c>
      <c r="AC189" s="18">
        <v>2440</v>
      </c>
      <c r="AD189" s="18">
        <v>2340</v>
      </c>
      <c r="AE189" s="18">
        <v>1990</v>
      </c>
      <c r="AF189" s="71">
        <f t="shared" si="17"/>
        <v>12</v>
      </c>
      <c r="AG189" s="71" t="str">
        <f t="shared" si="18"/>
        <v>胸壁缺损修复费（复杂）</v>
      </c>
      <c r="AH189" s="71">
        <f t="shared" si="19"/>
        <v>2095</v>
      </c>
      <c r="AI189" s="71">
        <f t="shared" si="20"/>
        <v>1885</v>
      </c>
      <c r="AJ189" s="71">
        <f t="shared" si="21"/>
        <v>1625</v>
      </c>
    </row>
    <row r="190" s="22" customFormat="1" ht="25.5" spans="1:36">
      <c r="A190" s="34"/>
      <c r="B190" s="34"/>
      <c r="C190" s="37" t="s">
        <v>695</v>
      </c>
      <c r="D190" s="34"/>
      <c r="E190" s="48"/>
      <c r="F190" s="48"/>
      <c r="G190" s="34"/>
      <c r="H190" s="34"/>
      <c r="I190" s="54"/>
      <c r="J190" s="54"/>
      <c r="K190" s="52"/>
      <c r="L190" s="52"/>
      <c r="M190" s="52"/>
      <c r="N190" s="61">
        <v>485</v>
      </c>
      <c r="O190" s="61">
        <v>435</v>
      </c>
      <c r="P190" s="61">
        <v>375</v>
      </c>
      <c r="Q190" s="34"/>
      <c r="R190" s="34"/>
      <c r="S190" s="63"/>
      <c r="T190" s="52"/>
      <c r="U190" s="48"/>
      <c r="V190" s="34" t="s">
        <v>683</v>
      </c>
      <c r="W190" s="34">
        <v>33070301303</v>
      </c>
      <c r="X190" s="34" t="s">
        <v>684</v>
      </c>
      <c r="Y190" s="12" t="s">
        <v>39</v>
      </c>
      <c r="Z190" s="12" t="s">
        <v>39</v>
      </c>
      <c r="AA190" s="14" t="s">
        <v>38</v>
      </c>
      <c r="AB190" s="12" t="s">
        <v>39</v>
      </c>
      <c r="AC190" s="18">
        <v>3065</v>
      </c>
      <c r="AD190" s="18">
        <v>2940</v>
      </c>
      <c r="AE190" s="18">
        <v>2500</v>
      </c>
      <c r="AF190" s="71">
        <f t="shared" si="17"/>
        <v>12</v>
      </c>
      <c r="AG190" s="71" t="str">
        <f t="shared" si="18"/>
        <v>胸壁缺损修复费（复杂）</v>
      </c>
      <c r="AH190" s="71">
        <f t="shared" si="19"/>
        <v>2095</v>
      </c>
      <c r="AI190" s="71">
        <f t="shared" si="20"/>
        <v>1885</v>
      </c>
      <c r="AJ190" s="71">
        <f t="shared" si="21"/>
        <v>1625</v>
      </c>
    </row>
    <row r="191" s="22" customFormat="1" ht="25.5" spans="1:36">
      <c r="A191" s="34"/>
      <c r="B191" s="34"/>
      <c r="C191" s="37" t="s">
        <v>695</v>
      </c>
      <c r="D191" s="34"/>
      <c r="E191" s="48"/>
      <c r="F191" s="48"/>
      <c r="G191" s="34"/>
      <c r="H191" s="34"/>
      <c r="I191" s="54"/>
      <c r="J191" s="54"/>
      <c r="K191" s="52"/>
      <c r="L191" s="52"/>
      <c r="M191" s="52"/>
      <c r="N191" s="61">
        <v>485</v>
      </c>
      <c r="O191" s="61">
        <v>435</v>
      </c>
      <c r="P191" s="61">
        <v>375</v>
      </c>
      <c r="Q191" s="34"/>
      <c r="R191" s="34"/>
      <c r="S191" s="63"/>
      <c r="T191" s="52"/>
      <c r="U191" s="48"/>
      <c r="V191" s="34" t="s">
        <v>685</v>
      </c>
      <c r="W191" s="34">
        <v>33070301101</v>
      </c>
      <c r="X191" s="34" t="s">
        <v>686</v>
      </c>
      <c r="Y191" s="12" t="s">
        <v>39</v>
      </c>
      <c r="Z191" s="12" t="s">
        <v>39</v>
      </c>
      <c r="AA191" s="14" t="s">
        <v>38</v>
      </c>
      <c r="AB191" s="12" t="s">
        <v>39</v>
      </c>
      <c r="AC191" s="18">
        <v>815</v>
      </c>
      <c r="AD191" s="18">
        <v>780</v>
      </c>
      <c r="AE191" s="18">
        <v>665</v>
      </c>
      <c r="AF191" s="71">
        <f t="shared" si="17"/>
        <v>12</v>
      </c>
      <c r="AG191" s="71" t="str">
        <f t="shared" si="18"/>
        <v>胸壁缺损修复费（复杂）</v>
      </c>
      <c r="AH191" s="71">
        <f t="shared" si="19"/>
        <v>2095</v>
      </c>
      <c r="AI191" s="71">
        <f t="shared" si="20"/>
        <v>1885</v>
      </c>
      <c r="AJ191" s="71">
        <f t="shared" si="21"/>
        <v>1625</v>
      </c>
    </row>
    <row r="192" s="22" customFormat="1" ht="25.5" spans="1:36">
      <c r="A192" s="34"/>
      <c r="B192" s="34"/>
      <c r="C192" s="37" t="s">
        <v>695</v>
      </c>
      <c r="D192" s="34"/>
      <c r="E192" s="48"/>
      <c r="F192" s="48"/>
      <c r="G192" s="34"/>
      <c r="H192" s="34"/>
      <c r="I192" s="54"/>
      <c r="J192" s="54"/>
      <c r="K192" s="52"/>
      <c r="L192" s="52"/>
      <c r="M192" s="52"/>
      <c r="N192" s="61">
        <v>485</v>
      </c>
      <c r="O192" s="61">
        <v>435</v>
      </c>
      <c r="P192" s="61">
        <v>375</v>
      </c>
      <c r="Q192" s="34"/>
      <c r="R192" s="34"/>
      <c r="S192" s="63"/>
      <c r="T192" s="52"/>
      <c r="U192" s="48"/>
      <c r="V192" s="34" t="s">
        <v>687</v>
      </c>
      <c r="W192" s="34">
        <v>33070301103</v>
      </c>
      <c r="X192" s="34" t="s">
        <v>688</v>
      </c>
      <c r="Y192" s="12" t="s">
        <v>39</v>
      </c>
      <c r="Z192" s="12" t="s">
        <v>39</v>
      </c>
      <c r="AA192" s="14" t="s">
        <v>38</v>
      </c>
      <c r="AB192" s="12" t="s">
        <v>39</v>
      </c>
      <c r="AC192" s="18">
        <v>1440</v>
      </c>
      <c r="AD192" s="18">
        <v>1380</v>
      </c>
      <c r="AE192" s="18">
        <v>1175</v>
      </c>
      <c r="AF192" s="71">
        <f t="shared" si="17"/>
        <v>12</v>
      </c>
      <c r="AG192" s="71" t="str">
        <f t="shared" si="18"/>
        <v>胸壁缺损修复费（复杂）</v>
      </c>
      <c r="AH192" s="71">
        <f t="shared" si="19"/>
        <v>2095</v>
      </c>
      <c r="AI192" s="71">
        <f t="shared" si="20"/>
        <v>1885</v>
      </c>
      <c r="AJ192" s="71">
        <f t="shared" si="21"/>
        <v>1625</v>
      </c>
    </row>
    <row r="193" s="22" customFormat="1" ht="33" customHeight="1" spans="1:36">
      <c r="A193" s="34">
        <v>51</v>
      </c>
      <c r="B193" s="11" t="s">
        <v>696</v>
      </c>
      <c r="C193" s="37" t="s">
        <v>697</v>
      </c>
      <c r="D193" s="34" t="s">
        <v>297</v>
      </c>
      <c r="E193" s="48" t="s">
        <v>698</v>
      </c>
      <c r="F193" s="48" t="s">
        <v>699</v>
      </c>
      <c r="G193" s="34" t="s">
        <v>38</v>
      </c>
      <c r="H193" s="34" t="s">
        <v>700</v>
      </c>
      <c r="I193" s="15">
        <v>2726</v>
      </c>
      <c r="J193" s="15">
        <v>2453</v>
      </c>
      <c r="K193" s="52">
        <v>2500</v>
      </c>
      <c r="L193" s="52">
        <v>2400</v>
      </c>
      <c r="M193" s="52"/>
      <c r="N193" s="61">
        <v>2500</v>
      </c>
      <c r="O193" s="61">
        <v>2300</v>
      </c>
      <c r="P193" s="61">
        <v>1950</v>
      </c>
      <c r="Q193" s="34" t="s">
        <v>40</v>
      </c>
      <c r="R193" s="34" t="s">
        <v>39</v>
      </c>
      <c r="S193" s="63" t="s">
        <v>39</v>
      </c>
      <c r="T193" s="52" t="s">
        <v>264</v>
      </c>
      <c r="U193" s="48" t="s">
        <v>701</v>
      </c>
      <c r="V193" s="34" t="s">
        <v>702</v>
      </c>
      <c r="W193" s="34">
        <v>330703009</v>
      </c>
      <c r="X193" s="34" t="s">
        <v>703</v>
      </c>
      <c r="Y193" s="12" t="s">
        <v>704</v>
      </c>
      <c r="Z193" s="12" t="s">
        <v>39</v>
      </c>
      <c r="AA193" s="14" t="s">
        <v>38</v>
      </c>
      <c r="AB193" s="12" t="s">
        <v>39</v>
      </c>
      <c r="AC193" s="18">
        <v>1875</v>
      </c>
      <c r="AD193" s="18">
        <v>1800</v>
      </c>
      <c r="AE193" s="18">
        <v>1530</v>
      </c>
      <c r="AF193" s="71">
        <f t="shared" si="17"/>
        <v>0</v>
      </c>
      <c r="AG193" s="71" t="str">
        <f t="shared" si="18"/>
        <v>胸廓成形费（常规）</v>
      </c>
      <c r="AH193" s="71">
        <f t="shared" si="19"/>
        <v>2500</v>
      </c>
      <c r="AI193" s="71">
        <f t="shared" si="20"/>
        <v>2300</v>
      </c>
      <c r="AJ193" s="71">
        <f t="shared" si="21"/>
        <v>1950</v>
      </c>
    </row>
    <row r="194" s="22" customFormat="1" ht="33" customHeight="1" spans="1:36">
      <c r="A194" s="34"/>
      <c r="B194" s="11"/>
      <c r="C194" s="37" t="s">
        <v>697</v>
      </c>
      <c r="D194" s="34"/>
      <c r="E194" s="48"/>
      <c r="F194" s="48"/>
      <c r="G194" s="34"/>
      <c r="H194" s="34"/>
      <c r="I194" s="54"/>
      <c r="J194" s="54"/>
      <c r="K194" s="52"/>
      <c r="L194" s="52"/>
      <c r="M194" s="52"/>
      <c r="N194" s="61">
        <v>2500</v>
      </c>
      <c r="O194" s="61">
        <v>2300</v>
      </c>
      <c r="P194" s="61">
        <v>1950</v>
      </c>
      <c r="Q194" s="34"/>
      <c r="R194" s="34"/>
      <c r="S194" s="63"/>
      <c r="T194" s="52"/>
      <c r="U194" s="48"/>
      <c r="V194" s="11" t="s">
        <v>705</v>
      </c>
      <c r="W194" s="11">
        <v>33070300902</v>
      </c>
      <c r="X194" s="11" t="s">
        <v>706</v>
      </c>
      <c r="Y194" s="12" t="s">
        <v>39</v>
      </c>
      <c r="Z194" s="12" t="s">
        <v>39</v>
      </c>
      <c r="AA194" s="14" t="s">
        <v>38</v>
      </c>
      <c r="AB194" s="12" t="s">
        <v>39</v>
      </c>
      <c r="AC194" s="18">
        <v>2500</v>
      </c>
      <c r="AD194" s="18">
        <v>2400</v>
      </c>
      <c r="AE194" s="18">
        <v>2040</v>
      </c>
      <c r="AF194" s="71">
        <f t="shared" si="17"/>
        <v>0</v>
      </c>
      <c r="AG194" s="71" t="str">
        <f t="shared" si="18"/>
        <v>胸廓成形费（常规）</v>
      </c>
      <c r="AH194" s="71">
        <f t="shared" si="19"/>
        <v>2500</v>
      </c>
      <c r="AI194" s="71">
        <f t="shared" si="20"/>
        <v>2300</v>
      </c>
      <c r="AJ194" s="71">
        <f t="shared" si="21"/>
        <v>1950</v>
      </c>
    </row>
    <row r="195" s="22" customFormat="1" ht="25.5" spans="1:36">
      <c r="A195" s="34" t="s">
        <v>68</v>
      </c>
      <c r="B195" s="34" t="s">
        <v>707</v>
      </c>
      <c r="C195" s="37" t="s">
        <v>708</v>
      </c>
      <c r="D195" s="34" t="s">
        <v>297</v>
      </c>
      <c r="E195" s="48" t="s">
        <v>39</v>
      </c>
      <c r="F195" s="48" t="s">
        <v>39</v>
      </c>
      <c r="G195" s="34" t="s">
        <v>38</v>
      </c>
      <c r="H195" s="34" t="s">
        <v>39</v>
      </c>
      <c r="I195" s="15">
        <v>818</v>
      </c>
      <c r="J195" s="15">
        <v>736</v>
      </c>
      <c r="K195" s="52"/>
      <c r="L195" s="52"/>
      <c r="M195" s="52"/>
      <c r="N195" s="61">
        <v>750</v>
      </c>
      <c r="O195" s="61">
        <v>690</v>
      </c>
      <c r="P195" s="61">
        <v>585</v>
      </c>
      <c r="Q195" s="34" t="s">
        <v>40</v>
      </c>
      <c r="R195" s="34" t="s">
        <v>39</v>
      </c>
      <c r="S195" s="63" t="s">
        <v>39</v>
      </c>
      <c r="T195" s="52"/>
      <c r="U195" s="48" t="s">
        <v>71</v>
      </c>
      <c r="V195" s="11" t="s">
        <v>709</v>
      </c>
      <c r="W195" s="11">
        <v>33070300901</v>
      </c>
      <c r="X195" s="11" t="s">
        <v>710</v>
      </c>
      <c r="Y195" s="12" t="s">
        <v>39</v>
      </c>
      <c r="Z195" s="12" t="s">
        <v>39</v>
      </c>
      <c r="AA195" s="14" t="s">
        <v>38</v>
      </c>
      <c r="AB195" s="12" t="s">
        <v>39</v>
      </c>
      <c r="AC195" s="18">
        <v>2440</v>
      </c>
      <c r="AD195" s="18">
        <v>2340</v>
      </c>
      <c r="AE195" s="18">
        <v>1990</v>
      </c>
      <c r="AF195" s="71">
        <f t="shared" si="17"/>
        <v>10</v>
      </c>
      <c r="AG195" s="71" t="str">
        <f t="shared" si="18"/>
        <v>胸廓成形费（常规）</v>
      </c>
      <c r="AH195" s="71">
        <f t="shared" si="19"/>
        <v>3250</v>
      </c>
      <c r="AI195" s="71">
        <f t="shared" si="20"/>
        <v>2990</v>
      </c>
      <c r="AJ195" s="71">
        <f t="shared" si="21"/>
        <v>2535</v>
      </c>
    </row>
    <row r="196" s="22" customFormat="1" ht="25.5" spans="1:36">
      <c r="A196" s="34"/>
      <c r="B196" s="34"/>
      <c r="C196" s="37" t="s">
        <v>708</v>
      </c>
      <c r="D196" s="34"/>
      <c r="E196" s="48"/>
      <c r="F196" s="48"/>
      <c r="G196" s="34"/>
      <c r="H196" s="34"/>
      <c r="I196" s="54"/>
      <c r="J196" s="54"/>
      <c r="K196" s="52"/>
      <c r="L196" s="52"/>
      <c r="M196" s="52"/>
      <c r="N196" s="61">
        <v>750</v>
      </c>
      <c r="O196" s="61">
        <v>690</v>
      </c>
      <c r="P196" s="61">
        <v>585</v>
      </c>
      <c r="Q196" s="34"/>
      <c r="R196" s="34"/>
      <c r="S196" s="63"/>
      <c r="T196" s="52"/>
      <c r="U196" s="48"/>
      <c r="V196" s="11" t="s">
        <v>711</v>
      </c>
      <c r="W196" s="11">
        <v>33070300903</v>
      </c>
      <c r="X196" s="11" t="s">
        <v>712</v>
      </c>
      <c r="Y196" s="12" t="s">
        <v>39</v>
      </c>
      <c r="Z196" s="12" t="s">
        <v>39</v>
      </c>
      <c r="AA196" s="14" t="s">
        <v>38</v>
      </c>
      <c r="AB196" s="12" t="s">
        <v>39</v>
      </c>
      <c r="AC196" s="18">
        <v>3065</v>
      </c>
      <c r="AD196" s="18">
        <v>2940</v>
      </c>
      <c r="AE196" s="18">
        <v>2500</v>
      </c>
      <c r="AF196" s="71">
        <f t="shared" si="17"/>
        <v>10</v>
      </c>
      <c r="AG196" s="71" t="str">
        <f t="shared" si="18"/>
        <v>胸廓成形费（常规）</v>
      </c>
      <c r="AH196" s="71">
        <f t="shared" si="19"/>
        <v>3250</v>
      </c>
      <c r="AI196" s="71">
        <f t="shared" si="20"/>
        <v>2990</v>
      </c>
      <c r="AJ196" s="71">
        <f t="shared" si="21"/>
        <v>2535</v>
      </c>
    </row>
    <row r="197" s="22" customFormat="1" ht="25.5" spans="1:36">
      <c r="A197" s="34">
        <v>52</v>
      </c>
      <c r="B197" s="11" t="s">
        <v>713</v>
      </c>
      <c r="C197" s="37" t="s">
        <v>714</v>
      </c>
      <c r="D197" s="34" t="s">
        <v>297</v>
      </c>
      <c r="E197" s="48" t="s">
        <v>715</v>
      </c>
      <c r="F197" s="48" t="s">
        <v>699</v>
      </c>
      <c r="G197" s="34" t="s">
        <v>38</v>
      </c>
      <c r="H197" s="34" t="s">
        <v>716</v>
      </c>
      <c r="I197" s="15">
        <v>3500</v>
      </c>
      <c r="J197" s="15">
        <v>3150</v>
      </c>
      <c r="K197" s="52">
        <v>2375</v>
      </c>
      <c r="L197" s="52"/>
      <c r="M197" s="52"/>
      <c r="N197" s="59">
        <v>3200</v>
      </c>
      <c r="O197" s="59">
        <v>2900</v>
      </c>
      <c r="P197" s="59">
        <v>2470</v>
      </c>
      <c r="Q197" s="62" t="s">
        <v>40</v>
      </c>
      <c r="R197" s="62" t="s">
        <v>39</v>
      </c>
      <c r="S197" s="64" t="s">
        <v>39</v>
      </c>
      <c r="T197" s="52" t="s">
        <v>209</v>
      </c>
      <c r="U197" s="67" t="s">
        <v>717</v>
      </c>
      <c r="V197" s="34" t="s">
        <v>718</v>
      </c>
      <c r="W197" s="34">
        <v>330703014</v>
      </c>
      <c r="X197" s="34" t="s">
        <v>719</v>
      </c>
      <c r="Y197" s="12" t="s">
        <v>720</v>
      </c>
      <c r="Z197" s="12" t="s">
        <v>39</v>
      </c>
      <c r="AA197" s="14" t="s">
        <v>38</v>
      </c>
      <c r="AB197" s="12" t="s">
        <v>39</v>
      </c>
      <c r="AC197" s="18">
        <v>1750</v>
      </c>
      <c r="AD197" s="18">
        <v>1680</v>
      </c>
      <c r="AE197" s="18">
        <v>1428</v>
      </c>
      <c r="AF197" s="71">
        <f t="shared" si="17"/>
        <v>0</v>
      </c>
      <c r="AG197" s="71" t="str">
        <f t="shared" si="18"/>
        <v>胸廓成形费（复杂）</v>
      </c>
      <c r="AH197" s="71">
        <f t="shared" si="19"/>
        <v>3200</v>
      </c>
      <c r="AI197" s="71">
        <f t="shared" si="20"/>
        <v>2900</v>
      </c>
      <c r="AJ197" s="71">
        <f t="shared" si="21"/>
        <v>2470</v>
      </c>
    </row>
    <row r="198" s="22" customFormat="1" ht="25.5" spans="1:36">
      <c r="A198" s="34"/>
      <c r="B198" s="11"/>
      <c r="C198" s="37" t="s">
        <v>714</v>
      </c>
      <c r="D198" s="34"/>
      <c r="E198" s="48"/>
      <c r="F198" s="48"/>
      <c r="G198" s="34"/>
      <c r="H198" s="34"/>
      <c r="I198" s="54"/>
      <c r="J198" s="54"/>
      <c r="K198" s="52"/>
      <c r="L198" s="52"/>
      <c r="M198" s="52"/>
      <c r="N198" s="59">
        <v>3200</v>
      </c>
      <c r="O198" s="59">
        <v>2900</v>
      </c>
      <c r="P198" s="59">
        <v>2470</v>
      </c>
      <c r="Q198" s="62"/>
      <c r="R198" s="62"/>
      <c r="S198" s="64"/>
      <c r="T198" s="52"/>
      <c r="U198" s="67"/>
      <c r="V198" s="11" t="s">
        <v>721</v>
      </c>
      <c r="W198" s="11">
        <v>33070301402</v>
      </c>
      <c r="X198" s="11" t="s">
        <v>722</v>
      </c>
      <c r="Y198" s="12" t="s">
        <v>39</v>
      </c>
      <c r="Z198" s="12" t="s">
        <v>39</v>
      </c>
      <c r="AA198" s="14" t="s">
        <v>38</v>
      </c>
      <c r="AB198" s="12" t="s">
        <v>39</v>
      </c>
      <c r="AC198" s="18">
        <v>2375</v>
      </c>
      <c r="AD198" s="18">
        <v>2280</v>
      </c>
      <c r="AE198" s="18">
        <v>1836</v>
      </c>
      <c r="AF198" s="71">
        <f t="shared" si="17"/>
        <v>0</v>
      </c>
      <c r="AG198" s="71" t="str">
        <f t="shared" si="18"/>
        <v>胸廓成形费（复杂）</v>
      </c>
      <c r="AH198" s="71">
        <f t="shared" si="19"/>
        <v>3200</v>
      </c>
      <c r="AI198" s="71">
        <f t="shared" si="20"/>
        <v>2900</v>
      </c>
      <c r="AJ198" s="71">
        <f t="shared" si="21"/>
        <v>2470</v>
      </c>
    </row>
    <row r="199" s="22" customFormat="1" ht="25.5" spans="1:36">
      <c r="A199" s="34"/>
      <c r="B199" s="11"/>
      <c r="C199" s="37" t="s">
        <v>714</v>
      </c>
      <c r="D199" s="34"/>
      <c r="E199" s="48"/>
      <c r="F199" s="48"/>
      <c r="G199" s="34"/>
      <c r="H199" s="34"/>
      <c r="I199" s="54"/>
      <c r="J199" s="54"/>
      <c r="K199" s="52"/>
      <c r="L199" s="52"/>
      <c r="M199" s="52"/>
      <c r="N199" s="59">
        <v>3200</v>
      </c>
      <c r="O199" s="59">
        <v>2900</v>
      </c>
      <c r="P199" s="59">
        <v>2470</v>
      </c>
      <c r="Q199" s="62"/>
      <c r="R199" s="62"/>
      <c r="S199" s="64"/>
      <c r="T199" s="52"/>
      <c r="U199" s="67"/>
      <c r="V199" s="11" t="s">
        <v>723</v>
      </c>
      <c r="W199" s="11">
        <v>330703015</v>
      </c>
      <c r="X199" s="11" t="s">
        <v>724</v>
      </c>
      <c r="Y199" s="12" t="s">
        <v>725</v>
      </c>
      <c r="Z199" s="12" t="s">
        <v>726</v>
      </c>
      <c r="AA199" s="14" t="s">
        <v>38</v>
      </c>
      <c r="AB199" s="12" t="s">
        <v>727</v>
      </c>
      <c r="AC199" s="18">
        <v>1875</v>
      </c>
      <c r="AD199" s="18">
        <v>1800</v>
      </c>
      <c r="AE199" s="18">
        <v>1530</v>
      </c>
      <c r="AF199" s="71">
        <f t="shared" si="17"/>
        <v>0</v>
      </c>
      <c r="AG199" s="71" t="str">
        <f t="shared" si="18"/>
        <v>胸廓成形费（复杂）</v>
      </c>
      <c r="AH199" s="71">
        <f t="shared" si="19"/>
        <v>3200</v>
      </c>
      <c r="AI199" s="71">
        <f t="shared" si="20"/>
        <v>2900</v>
      </c>
      <c r="AJ199" s="71">
        <f t="shared" si="21"/>
        <v>2470</v>
      </c>
    </row>
    <row r="200" s="22" customFormat="1" ht="25.5" spans="1:36">
      <c r="A200" s="34"/>
      <c r="B200" s="11"/>
      <c r="C200" s="37" t="s">
        <v>714</v>
      </c>
      <c r="D200" s="34"/>
      <c r="E200" s="48"/>
      <c r="F200" s="48"/>
      <c r="G200" s="34"/>
      <c r="H200" s="34"/>
      <c r="I200" s="54"/>
      <c r="J200" s="54"/>
      <c r="K200" s="52"/>
      <c r="L200" s="52"/>
      <c r="M200" s="52"/>
      <c r="N200" s="59">
        <v>3200</v>
      </c>
      <c r="O200" s="59">
        <v>2900</v>
      </c>
      <c r="P200" s="59">
        <v>2470</v>
      </c>
      <c r="Q200" s="62"/>
      <c r="R200" s="62"/>
      <c r="S200" s="64"/>
      <c r="T200" s="52"/>
      <c r="U200" s="67"/>
      <c r="V200" s="11" t="s">
        <v>728</v>
      </c>
      <c r="W200" s="11">
        <v>33070301501</v>
      </c>
      <c r="X200" s="11" t="s">
        <v>729</v>
      </c>
      <c r="Y200" s="12" t="s">
        <v>39</v>
      </c>
      <c r="Z200" s="12" t="s">
        <v>39</v>
      </c>
      <c r="AA200" s="14" t="s">
        <v>38</v>
      </c>
      <c r="AB200" s="12" t="s">
        <v>727</v>
      </c>
      <c r="AC200" s="18">
        <v>2500</v>
      </c>
      <c r="AD200" s="18">
        <v>2400</v>
      </c>
      <c r="AE200" s="18">
        <v>2040</v>
      </c>
      <c r="AF200" s="71">
        <f t="shared" si="17"/>
        <v>0</v>
      </c>
      <c r="AG200" s="71" t="str">
        <f t="shared" si="18"/>
        <v>胸廓成形费（复杂）</v>
      </c>
      <c r="AH200" s="71">
        <f t="shared" si="19"/>
        <v>3200</v>
      </c>
      <c r="AI200" s="71">
        <f t="shared" si="20"/>
        <v>2900</v>
      </c>
      <c r="AJ200" s="71">
        <f t="shared" si="21"/>
        <v>2470</v>
      </c>
    </row>
    <row r="201" s="22" customFormat="1" ht="25.5" spans="1:36">
      <c r="A201" s="34" t="s">
        <v>68</v>
      </c>
      <c r="B201" s="34" t="s">
        <v>730</v>
      </c>
      <c r="C201" s="37" t="s">
        <v>731</v>
      </c>
      <c r="D201" s="34" t="s">
        <v>297</v>
      </c>
      <c r="E201" s="48" t="s">
        <v>39</v>
      </c>
      <c r="F201" s="48" t="s">
        <v>39</v>
      </c>
      <c r="G201" s="34" t="s">
        <v>38</v>
      </c>
      <c r="H201" s="34" t="s">
        <v>39</v>
      </c>
      <c r="I201" s="15">
        <v>1050</v>
      </c>
      <c r="J201" s="15">
        <v>945</v>
      </c>
      <c r="K201" s="52"/>
      <c r="L201" s="52"/>
      <c r="M201" s="52"/>
      <c r="N201" s="61">
        <v>960</v>
      </c>
      <c r="O201" s="61">
        <v>870</v>
      </c>
      <c r="P201" s="61">
        <v>740</v>
      </c>
      <c r="Q201" s="34" t="s">
        <v>40</v>
      </c>
      <c r="R201" s="34" t="s">
        <v>39</v>
      </c>
      <c r="S201" s="63" t="s">
        <v>39</v>
      </c>
      <c r="T201" s="52"/>
      <c r="U201" s="48" t="s">
        <v>71</v>
      </c>
      <c r="V201" s="34" t="s">
        <v>732</v>
      </c>
      <c r="W201" s="34">
        <v>33070301401</v>
      </c>
      <c r="X201" s="34" t="s">
        <v>733</v>
      </c>
      <c r="Y201" s="12" t="s">
        <v>39</v>
      </c>
      <c r="Z201" s="12" t="s">
        <v>39</v>
      </c>
      <c r="AA201" s="14" t="s">
        <v>38</v>
      </c>
      <c r="AB201" s="12" t="s">
        <v>39</v>
      </c>
      <c r="AC201" s="18">
        <v>2275</v>
      </c>
      <c r="AD201" s="18">
        <v>2185</v>
      </c>
      <c r="AE201" s="18">
        <v>1855</v>
      </c>
      <c r="AF201" s="71">
        <f t="shared" si="17"/>
        <v>10</v>
      </c>
      <c r="AG201" s="71" t="str">
        <f t="shared" si="18"/>
        <v>胸廓成形费（复杂）</v>
      </c>
      <c r="AH201" s="71">
        <f t="shared" si="19"/>
        <v>4160</v>
      </c>
      <c r="AI201" s="71">
        <f t="shared" si="20"/>
        <v>3770</v>
      </c>
      <c r="AJ201" s="71">
        <f t="shared" si="21"/>
        <v>3210</v>
      </c>
    </row>
    <row r="202" s="22" customFormat="1" ht="25.5" spans="1:36">
      <c r="A202" s="34"/>
      <c r="B202" s="34"/>
      <c r="C202" s="37" t="s">
        <v>731</v>
      </c>
      <c r="D202" s="34"/>
      <c r="E202" s="48"/>
      <c r="F202" s="48"/>
      <c r="G202" s="34"/>
      <c r="H202" s="34"/>
      <c r="I202" s="54"/>
      <c r="J202" s="54"/>
      <c r="K202" s="52"/>
      <c r="L202" s="52"/>
      <c r="M202" s="52"/>
      <c r="N202" s="61">
        <v>960</v>
      </c>
      <c r="O202" s="61">
        <v>870</v>
      </c>
      <c r="P202" s="61">
        <v>740</v>
      </c>
      <c r="Q202" s="34"/>
      <c r="R202" s="34"/>
      <c r="S202" s="63"/>
      <c r="T202" s="52"/>
      <c r="U202" s="48"/>
      <c r="V202" s="34" t="s">
        <v>734</v>
      </c>
      <c r="W202" s="34">
        <v>33070301403</v>
      </c>
      <c r="X202" s="34" t="s">
        <v>735</v>
      </c>
      <c r="Y202" s="12" t="s">
        <v>39</v>
      </c>
      <c r="Z202" s="12" t="s">
        <v>39</v>
      </c>
      <c r="AA202" s="14" t="s">
        <v>38</v>
      </c>
      <c r="AB202" s="12" t="s">
        <v>39</v>
      </c>
      <c r="AC202" s="18">
        <v>2900</v>
      </c>
      <c r="AD202" s="18">
        <v>2785</v>
      </c>
      <c r="AE202" s="18">
        <v>2365</v>
      </c>
      <c r="AF202" s="71">
        <f t="shared" si="17"/>
        <v>10</v>
      </c>
      <c r="AG202" s="71" t="str">
        <f t="shared" si="18"/>
        <v>胸廓成形费（复杂）</v>
      </c>
      <c r="AH202" s="71">
        <f t="shared" si="19"/>
        <v>4160</v>
      </c>
      <c r="AI202" s="71">
        <f t="shared" si="20"/>
        <v>3770</v>
      </c>
      <c r="AJ202" s="71">
        <f t="shared" si="21"/>
        <v>3210</v>
      </c>
    </row>
    <row r="203" s="22" customFormat="1" ht="25.5" spans="1:36">
      <c r="A203" s="34"/>
      <c r="B203" s="34"/>
      <c r="C203" s="37" t="s">
        <v>731</v>
      </c>
      <c r="D203" s="34"/>
      <c r="E203" s="48"/>
      <c r="F203" s="48"/>
      <c r="G203" s="34"/>
      <c r="H203" s="34"/>
      <c r="I203" s="54"/>
      <c r="J203" s="54"/>
      <c r="K203" s="52"/>
      <c r="L203" s="52"/>
      <c r="M203" s="52"/>
      <c r="N203" s="61">
        <v>960</v>
      </c>
      <c r="O203" s="61">
        <v>870</v>
      </c>
      <c r="P203" s="61">
        <v>740</v>
      </c>
      <c r="Q203" s="34"/>
      <c r="R203" s="34"/>
      <c r="S203" s="63"/>
      <c r="T203" s="52"/>
      <c r="U203" s="48"/>
      <c r="V203" s="11" t="s">
        <v>723</v>
      </c>
      <c r="W203" s="11">
        <v>330703015</v>
      </c>
      <c r="X203" s="11" t="s">
        <v>724</v>
      </c>
      <c r="Y203" s="12" t="s">
        <v>725</v>
      </c>
      <c r="Z203" s="12" t="s">
        <v>726</v>
      </c>
      <c r="AA203" s="14" t="s">
        <v>38</v>
      </c>
      <c r="AB203" s="12" t="s">
        <v>727</v>
      </c>
      <c r="AC203" s="18">
        <v>1875</v>
      </c>
      <c r="AD203" s="18">
        <v>1800</v>
      </c>
      <c r="AE203" s="18">
        <v>1530</v>
      </c>
      <c r="AF203" s="71">
        <f t="shared" si="17"/>
        <v>10</v>
      </c>
      <c r="AG203" s="71" t="str">
        <f t="shared" si="18"/>
        <v>胸廓成形费（复杂）</v>
      </c>
      <c r="AH203" s="71">
        <f t="shared" si="19"/>
        <v>4160</v>
      </c>
      <c r="AI203" s="71">
        <f t="shared" si="20"/>
        <v>3770</v>
      </c>
      <c r="AJ203" s="71">
        <f t="shared" si="21"/>
        <v>3210</v>
      </c>
    </row>
    <row r="204" s="22" customFormat="1" ht="25.5" spans="1:36">
      <c r="A204" s="34"/>
      <c r="B204" s="34"/>
      <c r="C204" s="37" t="s">
        <v>731</v>
      </c>
      <c r="D204" s="34"/>
      <c r="E204" s="48"/>
      <c r="F204" s="48"/>
      <c r="G204" s="34"/>
      <c r="H204" s="34"/>
      <c r="I204" s="54"/>
      <c r="J204" s="54"/>
      <c r="K204" s="52"/>
      <c r="L204" s="52"/>
      <c r="M204" s="52"/>
      <c r="N204" s="61">
        <v>960</v>
      </c>
      <c r="O204" s="61">
        <v>870</v>
      </c>
      <c r="P204" s="61">
        <v>740</v>
      </c>
      <c r="Q204" s="34"/>
      <c r="R204" s="34"/>
      <c r="S204" s="63"/>
      <c r="T204" s="52"/>
      <c r="U204" s="48"/>
      <c r="V204" s="11" t="s">
        <v>728</v>
      </c>
      <c r="W204" s="11">
        <v>33070301501</v>
      </c>
      <c r="X204" s="11" t="s">
        <v>729</v>
      </c>
      <c r="Y204" s="12" t="s">
        <v>39</v>
      </c>
      <c r="Z204" s="12" t="s">
        <v>39</v>
      </c>
      <c r="AA204" s="14" t="s">
        <v>38</v>
      </c>
      <c r="AB204" s="12" t="s">
        <v>727</v>
      </c>
      <c r="AC204" s="18">
        <v>2500</v>
      </c>
      <c r="AD204" s="18">
        <v>2400</v>
      </c>
      <c r="AE204" s="18">
        <v>2040</v>
      </c>
      <c r="AF204" s="71">
        <f t="shared" si="17"/>
        <v>10</v>
      </c>
      <c r="AG204" s="71" t="str">
        <f t="shared" si="18"/>
        <v>胸廓成形费（复杂）</v>
      </c>
      <c r="AH204" s="71">
        <f t="shared" si="19"/>
        <v>4160</v>
      </c>
      <c r="AI204" s="71">
        <f t="shared" si="20"/>
        <v>3770</v>
      </c>
      <c r="AJ204" s="71">
        <f t="shared" si="21"/>
        <v>3210</v>
      </c>
    </row>
    <row r="205" s="24" customFormat="1" ht="64" customHeight="1" spans="1:36">
      <c r="A205" s="34">
        <v>53</v>
      </c>
      <c r="B205" s="11" t="s">
        <v>736</v>
      </c>
      <c r="C205" s="34" t="s">
        <v>737</v>
      </c>
      <c r="D205" s="34" t="s">
        <v>297</v>
      </c>
      <c r="E205" s="48" t="s">
        <v>738</v>
      </c>
      <c r="F205" s="48" t="s">
        <v>739</v>
      </c>
      <c r="G205" s="34" t="s">
        <v>38</v>
      </c>
      <c r="H205" s="34" t="s">
        <v>39</v>
      </c>
      <c r="I205" s="15">
        <v>1750</v>
      </c>
      <c r="J205" s="15">
        <v>1575</v>
      </c>
      <c r="K205" s="52">
        <v>875</v>
      </c>
      <c r="L205" s="52">
        <v>840</v>
      </c>
      <c r="M205" s="52">
        <v>714</v>
      </c>
      <c r="N205" s="58">
        <v>1600</v>
      </c>
      <c r="O205" s="58">
        <v>1440</v>
      </c>
      <c r="P205" s="58">
        <v>1225</v>
      </c>
      <c r="Q205" s="62" t="s">
        <v>40</v>
      </c>
      <c r="R205" s="62" t="s">
        <v>39</v>
      </c>
      <c r="S205" s="64" t="s">
        <v>39</v>
      </c>
      <c r="T205" s="52" t="s">
        <v>209</v>
      </c>
      <c r="U205" s="67" t="s">
        <v>613</v>
      </c>
      <c r="V205" s="34" t="s">
        <v>740</v>
      </c>
      <c r="W205" s="34">
        <v>330703020</v>
      </c>
      <c r="X205" s="34" t="s">
        <v>741</v>
      </c>
      <c r="Y205" s="12" t="s">
        <v>742</v>
      </c>
      <c r="Z205" s="12" t="s">
        <v>39</v>
      </c>
      <c r="AA205" s="14" t="s">
        <v>38</v>
      </c>
      <c r="AB205" s="12" t="s">
        <v>39</v>
      </c>
      <c r="AC205" s="18">
        <v>875</v>
      </c>
      <c r="AD205" s="18">
        <v>840</v>
      </c>
      <c r="AE205" s="18">
        <v>714</v>
      </c>
      <c r="AF205" s="71">
        <f t="shared" si="17"/>
        <v>0</v>
      </c>
      <c r="AG205" s="71" t="str">
        <f t="shared" si="18"/>
        <v>脓胸廓清费（常规）</v>
      </c>
      <c r="AH205" s="71">
        <f t="shared" si="19"/>
        <v>1600</v>
      </c>
      <c r="AI205" s="71">
        <f t="shared" si="20"/>
        <v>1440</v>
      </c>
      <c r="AJ205" s="71">
        <f t="shared" si="21"/>
        <v>1225</v>
      </c>
    </row>
    <row r="206" s="22" customFormat="1" ht="38" customHeight="1" spans="1:36">
      <c r="A206" s="34" t="s">
        <v>68</v>
      </c>
      <c r="B206" s="11" t="s">
        <v>743</v>
      </c>
      <c r="C206" s="34" t="s">
        <v>744</v>
      </c>
      <c r="D206" s="38" t="s">
        <v>297</v>
      </c>
      <c r="E206" s="48" t="s">
        <v>39</v>
      </c>
      <c r="F206" s="48" t="s">
        <v>39</v>
      </c>
      <c r="G206" s="34" t="s">
        <v>38</v>
      </c>
      <c r="H206" s="34" t="s">
        <v>39</v>
      </c>
      <c r="I206" s="15">
        <v>525</v>
      </c>
      <c r="J206" s="15">
        <v>473</v>
      </c>
      <c r="K206" s="52"/>
      <c r="L206" s="52"/>
      <c r="M206" s="52"/>
      <c r="N206" s="18">
        <v>480</v>
      </c>
      <c r="O206" s="18">
        <v>430</v>
      </c>
      <c r="P206" s="18">
        <v>365</v>
      </c>
      <c r="Q206" s="34" t="s">
        <v>40</v>
      </c>
      <c r="R206" s="34" t="s">
        <v>39</v>
      </c>
      <c r="S206" s="63" t="s">
        <v>39</v>
      </c>
      <c r="T206" s="52"/>
      <c r="U206" s="48" t="s">
        <v>71</v>
      </c>
      <c r="V206" s="34" t="s">
        <v>745</v>
      </c>
      <c r="W206" s="34">
        <v>33070302001</v>
      </c>
      <c r="X206" s="34" t="s">
        <v>746</v>
      </c>
      <c r="Y206" s="12" t="s">
        <v>39</v>
      </c>
      <c r="Z206" s="12" t="s">
        <v>39</v>
      </c>
      <c r="AA206" s="14" t="s">
        <v>38</v>
      </c>
      <c r="AB206" s="12" t="s">
        <v>39</v>
      </c>
      <c r="AC206" s="18">
        <v>1140</v>
      </c>
      <c r="AD206" s="18">
        <v>1090</v>
      </c>
      <c r="AE206" s="18">
        <v>925</v>
      </c>
      <c r="AF206" s="71">
        <f t="shared" si="17"/>
        <v>10</v>
      </c>
      <c r="AG206" s="71" t="str">
        <f t="shared" si="18"/>
        <v>脓胸廓清费（常规）</v>
      </c>
      <c r="AH206" s="71">
        <f t="shared" si="19"/>
        <v>2080</v>
      </c>
      <c r="AI206" s="71">
        <f t="shared" si="20"/>
        <v>1870</v>
      </c>
      <c r="AJ206" s="71">
        <f t="shared" si="21"/>
        <v>1590</v>
      </c>
    </row>
    <row r="207" s="22" customFormat="1" ht="37" customHeight="1" spans="1:36">
      <c r="A207" s="34">
        <v>54</v>
      </c>
      <c r="B207" s="11" t="s">
        <v>747</v>
      </c>
      <c r="C207" s="37" t="s">
        <v>748</v>
      </c>
      <c r="D207" s="34" t="s">
        <v>297</v>
      </c>
      <c r="E207" s="48" t="s">
        <v>749</v>
      </c>
      <c r="F207" s="48" t="s">
        <v>750</v>
      </c>
      <c r="G207" s="34" t="s">
        <v>38</v>
      </c>
      <c r="H207" s="34" t="s">
        <v>388</v>
      </c>
      <c r="I207" s="15">
        <v>2750</v>
      </c>
      <c r="J207" s="15">
        <v>2475</v>
      </c>
      <c r="K207" s="52"/>
      <c r="L207" s="52"/>
      <c r="M207" s="52"/>
      <c r="N207" s="61">
        <v>2500</v>
      </c>
      <c r="O207" s="61">
        <v>2300</v>
      </c>
      <c r="P207" s="61">
        <v>1950</v>
      </c>
      <c r="Q207" s="34" t="s">
        <v>40</v>
      </c>
      <c r="R207" s="34" t="s">
        <v>39</v>
      </c>
      <c r="S207" s="63" t="s">
        <v>39</v>
      </c>
      <c r="T207" s="52" t="s">
        <v>264</v>
      </c>
      <c r="U207" s="48" t="s">
        <v>399</v>
      </c>
      <c r="V207" s="34" t="s">
        <v>751</v>
      </c>
      <c r="W207" s="34">
        <v>330703018</v>
      </c>
      <c r="X207" s="34" t="s">
        <v>752</v>
      </c>
      <c r="Y207" s="12" t="s">
        <v>753</v>
      </c>
      <c r="Z207" s="12" t="s">
        <v>39</v>
      </c>
      <c r="AA207" s="14" t="s">
        <v>38</v>
      </c>
      <c r="AB207" s="12" t="s">
        <v>39</v>
      </c>
      <c r="AC207" s="18">
        <v>1625</v>
      </c>
      <c r="AD207" s="18">
        <v>1560</v>
      </c>
      <c r="AE207" s="18">
        <v>1326</v>
      </c>
      <c r="AF207" s="71">
        <f t="shared" si="17"/>
        <v>0</v>
      </c>
      <c r="AG207" s="71" t="str">
        <f t="shared" si="18"/>
        <v>脓胸廓清费（复杂）</v>
      </c>
      <c r="AH207" s="71">
        <f t="shared" si="19"/>
        <v>2500</v>
      </c>
      <c r="AI207" s="71">
        <f t="shared" si="20"/>
        <v>2300</v>
      </c>
      <c r="AJ207" s="71">
        <f t="shared" si="21"/>
        <v>1950</v>
      </c>
    </row>
    <row r="208" s="22" customFormat="1" ht="37" customHeight="1" spans="1:36">
      <c r="A208" s="34"/>
      <c r="B208" s="11"/>
      <c r="C208" s="37" t="s">
        <v>748</v>
      </c>
      <c r="D208" s="34"/>
      <c r="E208" s="48"/>
      <c r="F208" s="48"/>
      <c r="G208" s="34"/>
      <c r="H208" s="34"/>
      <c r="I208" s="54"/>
      <c r="J208" s="54"/>
      <c r="K208" s="52"/>
      <c r="L208" s="52"/>
      <c r="M208" s="52"/>
      <c r="N208" s="61">
        <v>2500</v>
      </c>
      <c r="O208" s="61">
        <v>2300</v>
      </c>
      <c r="P208" s="61">
        <v>1950</v>
      </c>
      <c r="Q208" s="34"/>
      <c r="R208" s="34"/>
      <c r="S208" s="63"/>
      <c r="T208" s="52"/>
      <c r="U208" s="48"/>
      <c r="V208" s="34" t="s">
        <v>754</v>
      </c>
      <c r="W208" s="34">
        <v>33070301802</v>
      </c>
      <c r="X208" s="34" t="s">
        <v>755</v>
      </c>
      <c r="Y208" s="12" t="s">
        <v>39</v>
      </c>
      <c r="Z208" s="12" t="s">
        <v>39</v>
      </c>
      <c r="AA208" s="14" t="s">
        <v>38</v>
      </c>
      <c r="AB208" s="12" t="s">
        <v>39</v>
      </c>
      <c r="AC208" s="18">
        <v>2250</v>
      </c>
      <c r="AD208" s="18">
        <v>2160</v>
      </c>
      <c r="AE208" s="18">
        <v>1836</v>
      </c>
      <c r="AF208" s="71">
        <f t="shared" si="17"/>
        <v>0</v>
      </c>
      <c r="AG208" s="71" t="str">
        <f t="shared" si="18"/>
        <v>脓胸廓清费（复杂）</v>
      </c>
      <c r="AH208" s="71">
        <f t="shared" si="19"/>
        <v>2500</v>
      </c>
      <c r="AI208" s="71">
        <f t="shared" si="20"/>
        <v>2300</v>
      </c>
      <c r="AJ208" s="71">
        <f t="shared" si="21"/>
        <v>1950</v>
      </c>
    </row>
    <row r="209" s="22" customFormat="1" ht="25.5" spans="1:36">
      <c r="A209" s="34" t="s">
        <v>68</v>
      </c>
      <c r="B209" s="34" t="s">
        <v>756</v>
      </c>
      <c r="C209" s="37" t="s">
        <v>757</v>
      </c>
      <c r="D209" s="34" t="s">
        <v>297</v>
      </c>
      <c r="E209" s="48" t="s">
        <v>39</v>
      </c>
      <c r="F209" s="48" t="s">
        <v>39</v>
      </c>
      <c r="G209" s="34" t="s">
        <v>38</v>
      </c>
      <c r="H209" s="34" t="s">
        <v>39</v>
      </c>
      <c r="I209" s="15">
        <v>825</v>
      </c>
      <c r="J209" s="15">
        <v>743</v>
      </c>
      <c r="K209" s="52"/>
      <c r="L209" s="52"/>
      <c r="M209" s="52"/>
      <c r="N209" s="61">
        <v>750</v>
      </c>
      <c r="O209" s="61">
        <v>690</v>
      </c>
      <c r="P209" s="61">
        <v>585</v>
      </c>
      <c r="Q209" s="34" t="s">
        <v>40</v>
      </c>
      <c r="R209" s="34" t="s">
        <v>39</v>
      </c>
      <c r="S209" s="63" t="s">
        <v>39</v>
      </c>
      <c r="T209" s="52"/>
      <c r="U209" s="48" t="s">
        <v>71</v>
      </c>
      <c r="V209" s="11" t="s">
        <v>758</v>
      </c>
      <c r="W209" s="11">
        <v>33070301801</v>
      </c>
      <c r="X209" s="11" t="s">
        <v>759</v>
      </c>
      <c r="Y209" s="12" t="s">
        <v>39</v>
      </c>
      <c r="Z209" s="12" t="s">
        <v>39</v>
      </c>
      <c r="AA209" s="14" t="s">
        <v>38</v>
      </c>
      <c r="AB209" s="12" t="s">
        <v>39</v>
      </c>
      <c r="AC209" s="18">
        <v>2115</v>
      </c>
      <c r="AD209" s="18">
        <v>2030</v>
      </c>
      <c r="AE209" s="18">
        <v>1725</v>
      </c>
      <c r="AF209" s="71">
        <f t="shared" si="17"/>
        <v>10</v>
      </c>
      <c r="AG209" s="71" t="str">
        <f t="shared" si="18"/>
        <v>脓胸廓清费（复杂）</v>
      </c>
      <c r="AH209" s="71">
        <f t="shared" si="19"/>
        <v>3250</v>
      </c>
      <c r="AI209" s="71">
        <f t="shared" si="20"/>
        <v>2990</v>
      </c>
      <c r="AJ209" s="71">
        <f t="shared" si="21"/>
        <v>2535</v>
      </c>
    </row>
    <row r="210" s="22" customFormat="1" ht="25.5" spans="1:36">
      <c r="A210" s="34"/>
      <c r="B210" s="34"/>
      <c r="C210" s="37" t="s">
        <v>757</v>
      </c>
      <c r="D210" s="34"/>
      <c r="E210" s="48"/>
      <c r="F210" s="48"/>
      <c r="G210" s="34"/>
      <c r="H210" s="34"/>
      <c r="I210" s="54"/>
      <c r="J210" s="54"/>
      <c r="K210" s="52"/>
      <c r="L210" s="52"/>
      <c r="M210" s="52"/>
      <c r="N210" s="61">
        <v>750</v>
      </c>
      <c r="O210" s="61">
        <v>690</v>
      </c>
      <c r="P210" s="61">
        <v>585</v>
      </c>
      <c r="Q210" s="34"/>
      <c r="R210" s="34"/>
      <c r="S210" s="63"/>
      <c r="T210" s="52"/>
      <c r="U210" s="48"/>
      <c r="V210" s="11" t="s">
        <v>760</v>
      </c>
      <c r="W210" s="11">
        <v>33070301803</v>
      </c>
      <c r="X210" s="11" t="s">
        <v>761</v>
      </c>
      <c r="Y210" s="12" t="s">
        <v>39</v>
      </c>
      <c r="Z210" s="12" t="s">
        <v>39</v>
      </c>
      <c r="AA210" s="14" t="s">
        <v>38</v>
      </c>
      <c r="AB210" s="12" t="s">
        <v>39</v>
      </c>
      <c r="AC210" s="18">
        <v>2740</v>
      </c>
      <c r="AD210" s="18">
        <v>2630</v>
      </c>
      <c r="AE210" s="18">
        <v>2235</v>
      </c>
      <c r="AF210" s="71">
        <f t="shared" si="17"/>
        <v>10</v>
      </c>
      <c r="AG210" s="71" t="str">
        <f t="shared" si="18"/>
        <v>脓胸廓清费（复杂）</v>
      </c>
      <c r="AH210" s="71">
        <f t="shared" si="19"/>
        <v>3250</v>
      </c>
      <c r="AI210" s="71">
        <f t="shared" si="20"/>
        <v>2990</v>
      </c>
      <c r="AJ210" s="71">
        <f t="shared" si="21"/>
        <v>2535</v>
      </c>
    </row>
    <row r="211" s="22" customFormat="1" ht="25.5" spans="1:36">
      <c r="A211" s="34">
        <v>55</v>
      </c>
      <c r="B211" s="11" t="s">
        <v>762</v>
      </c>
      <c r="C211" s="37" t="s">
        <v>763</v>
      </c>
      <c r="D211" s="34" t="s">
        <v>297</v>
      </c>
      <c r="E211" s="48" t="s">
        <v>764</v>
      </c>
      <c r="F211" s="48" t="s">
        <v>765</v>
      </c>
      <c r="G211" s="34" t="s">
        <v>38</v>
      </c>
      <c r="H211" s="34" t="s">
        <v>39</v>
      </c>
      <c r="I211" s="15">
        <v>2700</v>
      </c>
      <c r="J211" s="15">
        <v>2430</v>
      </c>
      <c r="K211" s="52"/>
      <c r="L211" s="52"/>
      <c r="M211" s="52"/>
      <c r="N211" s="61">
        <v>2450</v>
      </c>
      <c r="O211" s="61">
        <v>2200</v>
      </c>
      <c r="P211" s="61">
        <v>1900</v>
      </c>
      <c r="Q211" s="34" t="s">
        <v>40</v>
      </c>
      <c r="R211" s="34" t="s">
        <v>39</v>
      </c>
      <c r="S211" s="63" t="s">
        <v>39</v>
      </c>
      <c r="T211" s="52" t="s">
        <v>264</v>
      </c>
      <c r="U211" s="48" t="s">
        <v>399</v>
      </c>
      <c r="V211" s="34" t="s">
        <v>766</v>
      </c>
      <c r="W211" s="34">
        <v>330703019</v>
      </c>
      <c r="X211" s="34" t="s">
        <v>767</v>
      </c>
      <c r="Y211" s="12" t="s">
        <v>768</v>
      </c>
      <c r="Z211" s="12" t="s">
        <v>39</v>
      </c>
      <c r="AA211" s="14" t="s">
        <v>38</v>
      </c>
      <c r="AB211" s="12" t="s">
        <v>39</v>
      </c>
      <c r="AC211" s="18">
        <v>1875</v>
      </c>
      <c r="AD211" s="18">
        <v>1800</v>
      </c>
      <c r="AE211" s="18">
        <v>1530</v>
      </c>
      <c r="AF211" s="71">
        <f t="shared" si="17"/>
        <v>0</v>
      </c>
      <c r="AG211" s="71" t="str">
        <f t="shared" si="18"/>
        <v>胸膜剥脱费</v>
      </c>
      <c r="AH211" s="71">
        <f t="shared" si="19"/>
        <v>2450</v>
      </c>
      <c r="AI211" s="71">
        <f t="shared" si="20"/>
        <v>2200</v>
      </c>
      <c r="AJ211" s="71">
        <f t="shared" si="21"/>
        <v>1900</v>
      </c>
    </row>
    <row r="212" s="22" customFormat="1" ht="25.5" spans="1:36">
      <c r="A212" s="34"/>
      <c r="B212" s="11"/>
      <c r="C212" s="37" t="s">
        <v>763</v>
      </c>
      <c r="D212" s="34"/>
      <c r="E212" s="48"/>
      <c r="F212" s="48"/>
      <c r="G212" s="34"/>
      <c r="H212" s="34"/>
      <c r="I212" s="54"/>
      <c r="J212" s="54"/>
      <c r="K212" s="52"/>
      <c r="L212" s="52"/>
      <c r="M212" s="52"/>
      <c r="N212" s="61">
        <v>2450</v>
      </c>
      <c r="O212" s="61">
        <v>2200</v>
      </c>
      <c r="P212" s="61">
        <v>1900</v>
      </c>
      <c r="Q212" s="34"/>
      <c r="R212" s="34"/>
      <c r="S212" s="63"/>
      <c r="T212" s="52"/>
      <c r="U212" s="48"/>
      <c r="V212" s="11" t="s">
        <v>769</v>
      </c>
      <c r="W212" s="11">
        <v>33070301902</v>
      </c>
      <c r="X212" s="11" t="s">
        <v>770</v>
      </c>
      <c r="Y212" s="12" t="s">
        <v>39</v>
      </c>
      <c r="Z212" s="12" t="s">
        <v>39</v>
      </c>
      <c r="AA212" s="14" t="s">
        <v>38</v>
      </c>
      <c r="AB212" s="12" t="s">
        <v>39</v>
      </c>
      <c r="AC212" s="18">
        <v>2500</v>
      </c>
      <c r="AD212" s="18">
        <v>2400</v>
      </c>
      <c r="AE212" s="18">
        <v>2040</v>
      </c>
      <c r="AF212" s="71">
        <f t="shared" si="17"/>
        <v>0</v>
      </c>
      <c r="AG212" s="71" t="str">
        <f t="shared" si="18"/>
        <v>胸膜剥脱费</v>
      </c>
      <c r="AH212" s="71">
        <f t="shared" si="19"/>
        <v>2450</v>
      </c>
      <c r="AI212" s="71">
        <f t="shared" si="20"/>
        <v>2200</v>
      </c>
      <c r="AJ212" s="71">
        <f t="shared" si="21"/>
        <v>1900</v>
      </c>
    </row>
    <row r="213" s="22" customFormat="1" ht="25.5" spans="1:36">
      <c r="A213" s="34" t="s">
        <v>68</v>
      </c>
      <c r="B213" s="34" t="s">
        <v>771</v>
      </c>
      <c r="C213" s="37" t="s">
        <v>772</v>
      </c>
      <c r="D213" s="34" t="s">
        <v>297</v>
      </c>
      <c r="E213" s="48" t="s">
        <v>39</v>
      </c>
      <c r="F213" s="48" t="s">
        <v>39</v>
      </c>
      <c r="G213" s="34" t="s">
        <v>38</v>
      </c>
      <c r="H213" s="34" t="s">
        <v>39</v>
      </c>
      <c r="I213" s="15">
        <v>810</v>
      </c>
      <c r="J213" s="15">
        <v>729</v>
      </c>
      <c r="K213" s="52"/>
      <c r="L213" s="52"/>
      <c r="M213" s="52"/>
      <c r="N213" s="61">
        <v>735</v>
      </c>
      <c r="O213" s="61">
        <v>660</v>
      </c>
      <c r="P213" s="61">
        <v>570</v>
      </c>
      <c r="Q213" s="34" t="s">
        <v>40</v>
      </c>
      <c r="R213" s="34" t="s">
        <v>39</v>
      </c>
      <c r="S213" s="63" t="s">
        <v>39</v>
      </c>
      <c r="T213" s="52"/>
      <c r="U213" s="48" t="s">
        <v>71</v>
      </c>
      <c r="V213" s="34" t="s">
        <v>773</v>
      </c>
      <c r="W213" s="34">
        <v>33070301901</v>
      </c>
      <c r="X213" s="34" t="s">
        <v>774</v>
      </c>
      <c r="Y213" s="12" t="s">
        <v>39</v>
      </c>
      <c r="Z213" s="12" t="s">
        <v>39</v>
      </c>
      <c r="AA213" s="14" t="s">
        <v>38</v>
      </c>
      <c r="AB213" s="12" t="s">
        <v>39</v>
      </c>
      <c r="AC213" s="18">
        <v>2440</v>
      </c>
      <c r="AD213" s="18">
        <v>2340</v>
      </c>
      <c r="AE213" s="18">
        <v>1990</v>
      </c>
      <c r="AF213" s="71">
        <f t="shared" si="17"/>
        <v>6</v>
      </c>
      <c r="AG213" s="71" t="str">
        <f t="shared" si="18"/>
        <v>胸膜剥脱费</v>
      </c>
      <c r="AH213" s="71">
        <f t="shared" si="19"/>
        <v>3185</v>
      </c>
      <c r="AI213" s="71">
        <f t="shared" si="20"/>
        <v>2860</v>
      </c>
      <c r="AJ213" s="71">
        <f t="shared" si="21"/>
        <v>2470</v>
      </c>
    </row>
    <row r="214" s="22" customFormat="1" ht="25.5" spans="1:36">
      <c r="A214" s="34"/>
      <c r="B214" s="34"/>
      <c r="C214" s="37" t="s">
        <v>772</v>
      </c>
      <c r="D214" s="34"/>
      <c r="E214" s="48"/>
      <c r="F214" s="48"/>
      <c r="G214" s="34"/>
      <c r="H214" s="34"/>
      <c r="I214" s="54"/>
      <c r="J214" s="54"/>
      <c r="K214" s="52"/>
      <c r="L214" s="52"/>
      <c r="M214" s="52"/>
      <c r="N214" s="61">
        <v>735</v>
      </c>
      <c r="O214" s="61">
        <v>660</v>
      </c>
      <c r="P214" s="61">
        <v>570</v>
      </c>
      <c r="Q214" s="34"/>
      <c r="R214" s="34"/>
      <c r="S214" s="63"/>
      <c r="T214" s="52"/>
      <c r="U214" s="48"/>
      <c r="V214" s="34" t="s">
        <v>775</v>
      </c>
      <c r="W214" s="34">
        <v>33070301903</v>
      </c>
      <c r="X214" s="34" t="s">
        <v>776</v>
      </c>
      <c r="Y214" s="12" t="s">
        <v>39</v>
      </c>
      <c r="Z214" s="12" t="s">
        <v>39</v>
      </c>
      <c r="AA214" s="14" t="s">
        <v>38</v>
      </c>
      <c r="AB214" s="12" t="s">
        <v>39</v>
      </c>
      <c r="AC214" s="18">
        <v>3065</v>
      </c>
      <c r="AD214" s="18">
        <v>2940</v>
      </c>
      <c r="AE214" s="18">
        <v>2500</v>
      </c>
      <c r="AF214" s="71">
        <f t="shared" si="17"/>
        <v>6</v>
      </c>
      <c r="AG214" s="71" t="str">
        <f t="shared" si="18"/>
        <v>胸膜剥脱费</v>
      </c>
      <c r="AH214" s="71">
        <f t="shared" si="19"/>
        <v>3185</v>
      </c>
      <c r="AI214" s="71">
        <f t="shared" si="20"/>
        <v>2860</v>
      </c>
      <c r="AJ214" s="71">
        <f t="shared" si="21"/>
        <v>2470</v>
      </c>
    </row>
    <row r="215" s="22" customFormat="1" ht="25.5" spans="1:36">
      <c r="A215" s="34">
        <v>56</v>
      </c>
      <c r="B215" s="11" t="s">
        <v>777</v>
      </c>
      <c r="C215" s="37" t="s">
        <v>778</v>
      </c>
      <c r="D215" s="34" t="s">
        <v>297</v>
      </c>
      <c r="E215" s="48" t="s">
        <v>779</v>
      </c>
      <c r="F215" s="48" t="s">
        <v>780</v>
      </c>
      <c r="G215" s="34" t="s">
        <v>38</v>
      </c>
      <c r="H215" s="34" t="s">
        <v>39</v>
      </c>
      <c r="I215" s="15">
        <v>2000</v>
      </c>
      <c r="J215" s="15">
        <v>1800</v>
      </c>
      <c r="K215" s="53">
        <v>1181.03448275862</v>
      </c>
      <c r="L215" s="53">
        <v>1120</v>
      </c>
      <c r="M215" s="53"/>
      <c r="N215" s="59">
        <v>1800</v>
      </c>
      <c r="O215" s="59">
        <v>1620</v>
      </c>
      <c r="P215" s="59">
        <v>1380</v>
      </c>
      <c r="Q215" s="62" t="s">
        <v>40</v>
      </c>
      <c r="R215" s="62" t="s">
        <v>39</v>
      </c>
      <c r="S215" s="64" t="s">
        <v>39</v>
      </c>
      <c r="T215" s="53" t="s">
        <v>209</v>
      </c>
      <c r="U215" s="67" t="s">
        <v>613</v>
      </c>
      <c r="V215" s="11" t="s">
        <v>781</v>
      </c>
      <c r="W215" s="11">
        <v>330703023</v>
      </c>
      <c r="X215" s="11" t="s">
        <v>782</v>
      </c>
      <c r="Y215" s="12" t="s">
        <v>783</v>
      </c>
      <c r="Z215" s="12" t="s">
        <v>39</v>
      </c>
      <c r="AA215" s="14" t="s">
        <v>38</v>
      </c>
      <c r="AB215" s="12" t="s">
        <v>39</v>
      </c>
      <c r="AC215" s="18">
        <v>750</v>
      </c>
      <c r="AD215" s="18">
        <v>720</v>
      </c>
      <c r="AE215" s="18">
        <v>612</v>
      </c>
      <c r="AF215" s="71">
        <f t="shared" si="17"/>
        <v>0</v>
      </c>
      <c r="AG215" s="71" t="str">
        <f t="shared" si="18"/>
        <v>胸膜固定费</v>
      </c>
      <c r="AH215" s="71">
        <f t="shared" si="19"/>
        <v>1800</v>
      </c>
      <c r="AI215" s="71">
        <f t="shared" si="20"/>
        <v>1620</v>
      </c>
      <c r="AJ215" s="71">
        <f t="shared" si="21"/>
        <v>1380</v>
      </c>
    </row>
    <row r="216" s="22" customFormat="1" ht="25.5" spans="1:36">
      <c r="A216" s="34"/>
      <c r="B216" s="11"/>
      <c r="C216" s="37" t="s">
        <v>778</v>
      </c>
      <c r="D216" s="34"/>
      <c r="E216" s="48"/>
      <c r="F216" s="48"/>
      <c r="G216" s="34"/>
      <c r="H216" s="34"/>
      <c r="I216" s="54"/>
      <c r="J216" s="54"/>
      <c r="K216" s="53"/>
      <c r="L216" s="53"/>
      <c r="M216" s="53"/>
      <c r="N216" s="59">
        <v>1800</v>
      </c>
      <c r="O216" s="59">
        <v>1620</v>
      </c>
      <c r="P216" s="59">
        <v>1380</v>
      </c>
      <c r="Q216" s="62"/>
      <c r="R216" s="62"/>
      <c r="S216" s="64"/>
      <c r="T216" s="53"/>
      <c r="U216" s="67"/>
      <c r="V216" s="11" t="s">
        <v>784</v>
      </c>
      <c r="W216" s="11">
        <v>33070302302</v>
      </c>
      <c r="X216" s="11" t="s">
        <v>785</v>
      </c>
      <c r="Y216" s="12" t="s">
        <v>39</v>
      </c>
      <c r="Z216" s="12" t="s">
        <v>39</v>
      </c>
      <c r="AA216" s="14" t="s">
        <v>38</v>
      </c>
      <c r="AB216" s="12" t="s">
        <v>39</v>
      </c>
      <c r="AC216" s="18">
        <v>1375</v>
      </c>
      <c r="AD216" s="18">
        <v>1320</v>
      </c>
      <c r="AE216" s="18">
        <v>1122</v>
      </c>
      <c r="AF216" s="71">
        <f t="shared" si="17"/>
        <v>0</v>
      </c>
      <c r="AG216" s="71" t="str">
        <f t="shared" si="18"/>
        <v>胸膜固定费</v>
      </c>
      <c r="AH216" s="71">
        <f t="shared" si="19"/>
        <v>1800</v>
      </c>
      <c r="AI216" s="71">
        <f t="shared" si="20"/>
        <v>1620</v>
      </c>
      <c r="AJ216" s="71">
        <f t="shared" si="21"/>
        <v>1380</v>
      </c>
    </row>
    <row r="217" s="22" customFormat="1" ht="25.5" spans="1:36">
      <c r="A217" s="34" t="s">
        <v>68</v>
      </c>
      <c r="B217" s="34" t="s">
        <v>786</v>
      </c>
      <c r="C217" s="37" t="s">
        <v>787</v>
      </c>
      <c r="D217" s="34" t="s">
        <v>297</v>
      </c>
      <c r="E217" s="48" t="s">
        <v>39</v>
      </c>
      <c r="F217" s="48" t="s">
        <v>39</v>
      </c>
      <c r="G217" s="34" t="s">
        <v>38</v>
      </c>
      <c r="H217" s="34" t="s">
        <v>39</v>
      </c>
      <c r="I217" s="15">
        <v>600</v>
      </c>
      <c r="J217" s="15">
        <v>540</v>
      </c>
      <c r="K217" s="52"/>
      <c r="L217" s="52"/>
      <c r="M217" s="52"/>
      <c r="N217" s="61">
        <v>540</v>
      </c>
      <c r="O217" s="61">
        <v>485</v>
      </c>
      <c r="P217" s="61">
        <v>415</v>
      </c>
      <c r="Q217" s="34" t="s">
        <v>40</v>
      </c>
      <c r="R217" s="34" t="s">
        <v>39</v>
      </c>
      <c r="S217" s="63" t="s">
        <v>39</v>
      </c>
      <c r="T217" s="52"/>
      <c r="U217" s="48" t="s">
        <v>71</v>
      </c>
      <c r="V217" s="11" t="s">
        <v>788</v>
      </c>
      <c r="W217" s="11">
        <v>33070302301</v>
      </c>
      <c r="X217" s="11" t="s">
        <v>789</v>
      </c>
      <c r="Y217" s="12" t="s">
        <v>39</v>
      </c>
      <c r="Z217" s="12" t="s">
        <v>39</v>
      </c>
      <c r="AA217" s="14" t="s">
        <v>38</v>
      </c>
      <c r="AB217" s="12" t="s">
        <v>39</v>
      </c>
      <c r="AC217" s="18">
        <v>975</v>
      </c>
      <c r="AD217" s="18">
        <v>935</v>
      </c>
      <c r="AE217" s="18">
        <v>795</v>
      </c>
      <c r="AF217" s="71">
        <f t="shared" si="17"/>
        <v>6</v>
      </c>
      <c r="AG217" s="71" t="str">
        <f t="shared" si="18"/>
        <v>胸膜固定费</v>
      </c>
      <c r="AH217" s="71">
        <f t="shared" si="19"/>
        <v>2340</v>
      </c>
      <c r="AI217" s="71">
        <f t="shared" si="20"/>
        <v>2105</v>
      </c>
      <c r="AJ217" s="71">
        <f t="shared" si="21"/>
        <v>1795</v>
      </c>
    </row>
    <row r="218" s="22" customFormat="1" ht="25.5" spans="1:36">
      <c r="A218" s="34"/>
      <c r="B218" s="34"/>
      <c r="C218" s="37" t="s">
        <v>787</v>
      </c>
      <c r="D218" s="34"/>
      <c r="E218" s="48"/>
      <c r="F218" s="48"/>
      <c r="G218" s="34"/>
      <c r="H218" s="34"/>
      <c r="I218" s="54"/>
      <c r="J218" s="54"/>
      <c r="K218" s="52"/>
      <c r="L218" s="52"/>
      <c r="M218" s="52"/>
      <c r="N218" s="61">
        <v>540</v>
      </c>
      <c r="O218" s="61">
        <v>485</v>
      </c>
      <c r="P218" s="61">
        <v>415</v>
      </c>
      <c r="Q218" s="34"/>
      <c r="R218" s="34"/>
      <c r="S218" s="63"/>
      <c r="T218" s="52"/>
      <c r="U218" s="48"/>
      <c r="V218" s="11" t="s">
        <v>790</v>
      </c>
      <c r="W218" s="11">
        <v>33070302303</v>
      </c>
      <c r="X218" s="11" t="s">
        <v>791</v>
      </c>
      <c r="Y218" s="12" t="s">
        <v>39</v>
      </c>
      <c r="Z218" s="12" t="s">
        <v>39</v>
      </c>
      <c r="AA218" s="14" t="s">
        <v>38</v>
      </c>
      <c r="AB218" s="12" t="s">
        <v>39</v>
      </c>
      <c r="AC218" s="18">
        <v>1600</v>
      </c>
      <c r="AD218" s="18">
        <v>1535</v>
      </c>
      <c r="AE218" s="18">
        <v>1305</v>
      </c>
      <c r="AF218" s="71">
        <f t="shared" si="17"/>
        <v>6</v>
      </c>
      <c r="AG218" s="71" t="str">
        <f t="shared" si="18"/>
        <v>胸膜固定费</v>
      </c>
      <c r="AH218" s="71">
        <f t="shared" si="19"/>
        <v>2340</v>
      </c>
      <c r="AI218" s="71">
        <f t="shared" si="20"/>
        <v>2105</v>
      </c>
      <c r="AJ218" s="71">
        <f t="shared" si="21"/>
        <v>1795</v>
      </c>
    </row>
    <row r="219" s="22" customFormat="1" ht="25.5" spans="1:36">
      <c r="A219" s="34">
        <v>57</v>
      </c>
      <c r="B219" s="11" t="s">
        <v>792</v>
      </c>
      <c r="C219" s="37" t="s">
        <v>793</v>
      </c>
      <c r="D219" s="11" t="s">
        <v>297</v>
      </c>
      <c r="E219" s="48" t="s">
        <v>794</v>
      </c>
      <c r="F219" s="48" t="s">
        <v>795</v>
      </c>
      <c r="G219" s="34" t="s">
        <v>38</v>
      </c>
      <c r="H219" s="34" t="s">
        <v>39</v>
      </c>
      <c r="I219" s="15">
        <v>2236</v>
      </c>
      <c r="J219" s="15">
        <v>2012</v>
      </c>
      <c r="K219" s="52"/>
      <c r="L219" s="52"/>
      <c r="M219" s="52"/>
      <c r="N219" s="61">
        <v>2000</v>
      </c>
      <c r="O219" s="61">
        <v>1800</v>
      </c>
      <c r="P219" s="61">
        <v>1550</v>
      </c>
      <c r="Q219" s="34" t="s">
        <v>40</v>
      </c>
      <c r="R219" s="34" t="s">
        <v>39</v>
      </c>
      <c r="S219" s="63" t="s">
        <v>39</v>
      </c>
      <c r="T219" s="52" t="s">
        <v>264</v>
      </c>
      <c r="U219" s="48" t="s">
        <v>399</v>
      </c>
      <c r="V219" s="34" t="s">
        <v>796</v>
      </c>
      <c r="W219" s="34">
        <v>330703016</v>
      </c>
      <c r="X219" s="34" t="s">
        <v>797</v>
      </c>
      <c r="Y219" s="12" t="s">
        <v>39</v>
      </c>
      <c r="Z219" s="12" t="s">
        <v>39</v>
      </c>
      <c r="AA219" s="14" t="s">
        <v>38</v>
      </c>
      <c r="AB219" s="12" t="s">
        <v>39</v>
      </c>
      <c r="AC219" s="18">
        <v>1625</v>
      </c>
      <c r="AD219" s="18">
        <v>1560</v>
      </c>
      <c r="AE219" s="18">
        <v>1326</v>
      </c>
      <c r="AF219" s="71">
        <f t="shared" si="17"/>
        <v>0</v>
      </c>
      <c r="AG219" s="71" t="str">
        <f t="shared" si="18"/>
        <v>胸内异物清除费</v>
      </c>
      <c r="AH219" s="71">
        <f t="shared" si="19"/>
        <v>2000</v>
      </c>
      <c r="AI219" s="71">
        <f t="shared" si="20"/>
        <v>1800</v>
      </c>
      <c r="AJ219" s="71">
        <f t="shared" si="21"/>
        <v>1550</v>
      </c>
    </row>
    <row r="220" s="22" customFormat="1" ht="38.25" spans="1:36">
      <c r="A220" s="34"/>
      <c r="B220" s="11"/>
      <c r="C220" s="37" t="s">
        <v>793</v>
      </c>
      <c r="D220" s="11"/>
      <c r="E220" s="48"/>
      <c r="F220" s="48"/>
      <c r="G220" s="34"/>
      <c r="H220" s="34"/>
      <c r="I220" s="54"/>
      <c r="J220" s="54"/>
      <c r="K220" s="52"/>
      <c r="L220" s="52"/>
      <c r="M220" s="52"/>
      <c r="N220" s="61">
        <v>2000</v>
      </c>
      <c r="O220" s="61">
        <v>1800</v>
      </c>
      <c r="P220" s="61">
        <v>1550</v>
      </c>
      <c r="Q220" s="34"/>
      <c r="R220" s="34"/>
      <c r="S220" s="63"/>
      <c r="T220" s="52"/>
      <c r="U220" s="48"/>
      <c r="V220" s="34" t="s">
        <v>798</v>
      </c>
      <c r="W220" s="34">
        <v>330702001</v>
      </c>
      <c r="X220" s="34" t="s">
        <v>799</v>
      </c>
      <c r="Y220" s="12" t="s">
        <v>39</v>
      </c>
      <c r="Z220" s="12" t="s">
        <v>39</v>
      </c>
      <c r="AA220" s="14" t="s">
        <v>38</v>
      </c>
      <c r="AB220" s="12" t="s">
        <v>800</v>
      </c>
      <c r="AC220" s="18">
        <v>2700</v>
      </c>
      <c r="AD220" s="18">
        <v>2430</v>
      </c>
      <c r="AE220" s="18">
        <v>2070</v>
      </c>
      <c r="AF220" s="71">
        <f t="shared" si="17"/>
        <v>0</v>
      </c>
      <c r="AG220" s="71" t="str">
        <f t="shared" si="18"/>
        <v>胸内异物清除费</v>
      </c>
      <c r="AH220" s="71">
        <f t="shared" si="19"/>
        <v>2000</v>
      </c>
      <c r="AI220" s="71">
        <f t="shared" si="20"/>
        <v>1800</v>
      </c>
      <c r="AJ220" s="71">
        <f t="shared" si="21"/>
        <v>1550</v>
      </c>
    </row>
    <row r="221" s="22" customFormat="1" ht="25.5" spans="1:36">
      <c r="A221" s="34"/>
      <c r="B221" s="11"/>
      <c r="C221" s="37" t="s">
        <v>793</v>
      </c>
      <c r="D221" s="11"/>
      <c r="E221" s="48"/>
      <c r="F221" s="48"/>
      <c r="G221" s="34"/>
      <c r="H221" s="34"/>
      <c r="I221" s="54"/>
      <c r="J221" s="54"/>
      <c r="K221" s="52"/>
      <c r="L221" s="52"/>
      <c r="M221" s="52"/>
      <c r="N221" s="61">
        <v>2000</v>
      </c>
      <c r="O221" s="61">
        <v>1800</v>
      </c>
      <c r="P221" s="61">
        <v>1550</v>
      </c>
      <c r="Q221" s="34"/>
      <c r="R221" s="34"/>
      <c r="S221" s="63"/>
      <c r="T221" s="52"/>
      <c r="U221" s="48"/>
      <c r="V221" s="11" t="s">
        <v>801</v>
      </c>
      <c r="W221" s="11">
        <v>33070200101</v>
      </c>
      <c r="X221" s="11" t="s">
        <v>802</v>
      </c>
      <c r="Y221" s="12" t="s">
        <v>39</v>
      </c>
      <c r="Z221" s="12" t="s">
        <v>39</v>
      </c>
      <c r="AA221" s="14" t="s">
        <v>38</v>
      </c>
      <c r="AB221" s="12" t="s">
        <v>803</v>
      </c>
      <c r="AC221" s="18">
        <v>3460</v>
      </c>
      <c r="AD221" s="18">
        <v>3110</v>
      </c>
      <c r="AE221" s="18">
        <v>2640</v>
      </c>
      <c r="AF221" s="71">
        <f t="shared" si="17"/>
        <v>0</v>
      </c>
      <c r="AG221" s="71" t="str">
        <f t="shared" si="18"/>
        <v>胸内异物清除费</v>
      </c>
      <c r="AH221" s="71">
        <f t="shared" si="19"/>
        <v>2000</v>
      </c>
      <c r="AI221" s="71">
        <f t="shared" si="20"/>
        <v>1800</v>
      </c>
      <c r="AJ221" s="71">
        <f t="shared" si="21"/>
        <v>1550</v>
      </c>
    </row>
    <row r="222" s="22" customFormat="1" ht="25.5" spans="1:36">
      <c r="A222" s="34"/>
      <c r="B222" s="11"/>
      <c r="C222" s="37" t="s">
        <v>793</v>
      </c>
      <c r="D222" s="11"/>
      <c r="E222" s="48"/>
      <c r="F222" s="48"/>
      <c r="G222" s="34"/>
      <c r="H222" s="34"/>
      <c r="I222" s="54"/>
      <c r="J222" s="54"/>
      <c r="K222" s="52"/>
      <c r="L222" s="52"/>
      <c r="M222" s="52"/>
      <c r="N222" s="61">
        <v>2000</v>
      </c>
      <c r="O222" s="61">
        <v>1800</v>
      </c>
      <c r="P222" s="61">
        <v>1550</v>
      </c>
      <c r="Q222" s="34"/>
      <c r="R222" s="34"/>
      <c r="S222" s="63"/>
      <c r="T222" s="52"/>
      <c r="U222" s="48"/>
      <c r="V222" s="11" t="s">
        <v>804</v>
      </c>
      <c r="W222" s="11">
        <v>33070301602</v>
      </c>
      <c r="X222" s="11" t="s">
        <v>805</v>
      </c>
      <c r="Y222" s="12" t="s">
        <v>39</v>
      </c>
      <c r="Z222" s="12" t="s">
        <v>39</v>
      </c>
      <c r="AA222" s="14" t="s">
        <v>38</v>
      </c>
      <c r="AB222" s="12" t="s">
        <v>39</v>
      </c>
      <c r="AC222" s="18">
        <v>2250</v>
      </c>
      <c r="AD222" s="18">
        <v>2160</v>
      </c>
      <c r="AE222" s="18">
        <v>1836</v>
      </c>
      <c r="AF222" s="71">
        <f t="shared" si="17"/>
        <v>0</v>
      </c>
      <c r="AG222" s="71" t="str">
        <f t="shared" si="18"/>
        <v>胸内异物清除费</v>
      </c>
      <c r="AH222" s="71">
        <f t="shared" si="19"/>
        <v>2000</v>
      </c>
      <c r="AI222" s="71">
        <f t="shared" si="20"/>
        <v>1800</v>
      </c>
      <c r="AJ222" s="71">
        <f t="shared" si="21"/>
        <v>1550</v>
      </c>
    </row>
    <row r="223" s="22" customFormat="1" ht="25.5" spans="1:36">
      <c r="A223" s="34"/>
      <c r="B223" s="11"/>
      <c r="C223" s="37" t="s">
        <v>793</v>
      </c>
      <c r="D223" s="11"/>
      <c r="E223" s="48"/>
      <c r="F223" s="48"/>
      <c r="G223" s="34"/>
      <c r="H223" s="34"/>
      <c r="I223" s="54"/>
      <c r="J223" s="54"/>
      <c r="K223" s="52"/>
      <c r="L223" s="52"/>
      <c r="M223" s="52"/>
      <c r="N223" s="61">
        <v>2000</v>
      </c>
      <c r="O223" s="61">
        <v>1800</v>
      </c>
      <c r="P223" s="61">
        <v>1550</v>
      </c>
      <c r="Q223" s="34"/>
      <c r="R223" s="34"/>
      <c r="S223" s="63"/>
      <c r="T223" s="52"/>
      <c r="U223" s="48"/>
      <c r="V223" s="34" t="s">
        <v>806</v>
      </c>
      <c r="W223" s="34">
        <v>33070200104</v>
      </c>
      <c r="X223" s="34" t="s">
        <v>807</v>
      </c>
      <c r="Y223" s="12" t="s">
        <v>39</v>
      </c>
      <c r="Z223" s="12" t="s">
        <v>39</v>
      </c>
      <c r="AA223" s="14" t="s">
        <v>38</v>
      </c>
      <c r="AB223" s="12" t="s">
        <v>39</v>
      </c>
      <c r="AC223" s="18">
        <v>3325</v>
      </c>
      <c r="AD223" s="18">
        <v>3030</v>
      </c>
      <c r="AE223" s="18">
        <v>2580</v>
      </c>
      <c r="AF223" s="71">
        <f t="shared" si="17"/>
        <v>0</v>
      </c>
      <c r="AG223" s="71" t="str">
        <f t="shared" si="18"/>
        <v>胸内异物清除费</v>
      </c>
      <c r="AH223" s="71">
        <f t="shared" si="19"/>
        <v>2000</v>
      </c>
      <c r="AI223" s="71">
        <f t="shared" si="20"/>
        <v>1800</v>
      </c>
      <c r="AJ223" s="71">
        <f t="shared" si="21"/>
        <v>1550</v>
      </c>
    </row>
    <row r="224" s="22" customFormat="1" ht="25.5" spans="1:36">
      <c r="A224" s="34"/>
      <c r="B224" s="11"/>
      <c r="C224" s="37" t="s">
        <v>793</v>
      </c>
      <c r="D224" s="11"/>
      <c r="E224" s="48"/>
      <c r="F224" s="48"/>
      <c r="G224" s="34"/>
      <c r="H224" s="34"/>
      <c r="I224" s="54"/>
      <c r="J224" s="54"/>
      <c r="K224" s="52"/>
      <c r="L224" s="52"/>
      <c r="M224" s="52"/>
      <c r="N224" s="61">
        <v>2000</v>
      </c>
      <c r="O224" s="61">
        <v>1800</v>
      </c>
      <c r="P224" s="61">
        <v>1550</v>
      </c>
      <c r="Q224" s="34"/>
      <c r="R224" s="34"/>
      <c r="S224" s="63"/>
      <c r="T224" s="52"/>
      <c r="U224" s="48"/>
      <c r="V224" s="11" t="s">
        <v>808</v>
      </c>
      <c r="W224" s="11">
        <v>33070200105</v>
      </c>
      <c r="X224" s="11" t="s">
        <v>809</v>
      </c>
      <c r="Y224" s="12" t="s">
        <v>39</v>
      </c>
      <c r="Z224" s="12" t="s">
        <v>39</v>
      </c>
      <c r="AA224" s="14" t="s">
        <v>38</v>
      </c>
      <c r="AB224" s="12" t="s">
        <v>803</v>
      </c>
      <c r="AC224" s="18">
        <v>4085</v>
      </c>
      <c r="AD224" s="18">
        <v>3710</v>
      </c>
      <c r="AE224" s="18">
        <v>3150</v>
      </c>
      <c r="AF224" s="71">
        <f t="shared" si="17"/>
        <v>0</v>
      </c>
      <c r="AG224" s="71" t="str">
        <f t="shared" si="18"/>
        <v>胸内异物清除费</v>
      </c>
      <c r="AH224" s="71">
        <f t="shared" si="19"/>
        <v>2000</v>
      </c>
      <c r="AI224" s="71">
        <f t="shared" si="20"/>
        <v>1800</v>
      </c>
      <c r="AJ224" s="71">
        <f t="shared" si="21"/>
        <v>1550</v>
      </c>
    </row>
    <row r="225" s="22" customFormat="1" ht="25.5" spans="1:36">
      <c r="A225" s="34" t="s">
        <v>68</v>
      </c>
      <c r="B225" s="34" t="s">
        <v>810</v>
      </c>
      <c r="C225" s="37" t="s">
        <v>811</v>
      </c>
      <c r="D225" s="34" t="s">
        <v>297</v>
      </c>
      <c r="E225" s="48" t="s">
        <v>39</v>
      </c>
      <c r="F225" s="48" t="s">
        <v>39</v>
      </c>
      <c r="G225" s="34" t="s">
        <v>38</v>
      </c>
      <c r="H225" s="34" t="s">
        <v>39</v>
      </c>
      <c r="I225" s="15">
        <v>671</v>
      </c>
      <c r="J225" s="15">
        <v>604</v>
      </c>
      <c r="K225" s="52"/>
      <c r="L225" s="52"/>
      <c r="M225" s="52"/>
      <c r="N225" s="61">
        <v>600</v>
      </c>
      <c r="O225" s="61">
        <v>540</v>
      </c>
      <c r="P225" s="61">
        <v>465</v>
      </c>
      <c r="Q225" s="34" t="s">
        <v>40</v>
      </c>
      <c r="R225" s="34" t="s">
        <v>39</v>
      </c>
      <c r="S225" s="63" t="s">
        <v>39</v>
      </c>
      <c r="T225" s="52"/>
      <c r="U225" s="48" t="s">
        <v>71</v>
      </c>
      <c r="V225" s="11" t="s">
        <v>812</v>
      </c>
      <c r="W225" s="11">
        <v>33070301601</v>
      </c>
      <c r="X225" s="11" t="s">
        <v>813</v>
      </c>
      <c r="Y225" s="12" t="s">
        <v>39</v>
      </c>
      <c r="Z225" s="12" t="s">
        <v>39</v>
      </c>
      <c r="AA225" s="14" t="s">
        <v>38</v>
      </c>
      <c r="AB225" s="12" t="s">
        <v>39</v>
      </c>
      <c r="AC225" s="18">
        <v>2115</v>
      </c>
      <c r="AD225" s="18">
        <v>2030</v>
      </c>
      <c r="AE225" s="18">
        <v>1725</v>
      </c>
      <c r="AF225" s="71">
        <f t="shared" si="17"/>
        <v>8</v>
      </c>
      <c r="AG225" s="71" t="str">
        <f t="shared" si="18"/>
        <v>胸内异物清除费</v>
      </c>
      <c r="AH225" s="71">
        <f t="shared" si="19"/>
        <v>2600</v>
      </c>
      <c r="AI225" s="71">
        <f t="shared" si="20"/>
        <v>2340</v>
      </c>
      <c r="AJ225" s="71">
        <f t="shared" si="21"/>
        <v>2015</v>
      </c>
    </row>
    <row r="226" s="22" customFormat="1" ht="25.5" spans="1:36">
      <c r="A226" s="34"/>
      <c r="B226" s="34"/>
      <c r="C226" s="37" t="s">
        <v>811</v>
      </c>
      <c r="D226" s="34"/>
      <c r="E226" s="48"/>
      <c r="F226" s="48"/>
      <c r="G226" s="34"/>
      <c r="H226" s="34"/>
      <c r="I226" s="54"/>
      <c r="J226" s="54"/>
      <c r="K226" s="52"/>
      <c r="L226" s="52"/>
      <c r="M226" s="52"/>
      <c r="N226" s="61">
        <v>600</v>
      </c>
      <c r="O226" s="61">
        <v>540</v>
      </c>
      <c r="P226" s="61">
        <v>465</v>
      </c>
      <c r="Q226" s="34"/>
      <c r="R226" s="34"/>
      <c r="S226" s="63"/>
      <c r="T226" s="52"/>
      <c r="U226" s="48"/>
      <c r="V226" s="11" t="s">
        <v>814</v>
      </c>
      <c r="W226" s="11">
        <v>33070200102</v>
      </c>
      <c r="X226" s="11" t="s">
        <v>815</v>
      </c>
      <c r="Y226" s="12" t="s">
        <v>39</v>
      </c>
      <c r="Z226" s="12" t="s">
        <v>39</v>
      </c>
      <c r="AA226" s="14" t="s">
        <v>38</v>
      </c>
      <c r="AB226" s="12" t="s">
        <v>39</v>
      </c>
      <c r="AC226" s="18">
        <v>3510</v>
      </c>
      <c r="AD226" s="18">
        <v>3160</v>
      </c>
      <c r="AE226" s="18">
        <v>2685</v>
      </c>
      <c r="AF226" s="71">
        <f t="shared" si="17"/>
        <v>8</v>
      </c>
      <c r="AG226" s="71" t="str">
        <f t="shared" si="18"/>
        <v>胸内异物清除费</v>
      </c>
      <c r="AH226" s="71">
        <f t="shared" si="19"/>
        <v>2600</v>
      </c>
      <c r="AI226" s="71">
        <f t="shared" si="20"/>
        <v>2340</v>
      </c>
      <c r="AJ226" s="71">
        <f t="shared" si="21"/>
        <v>2015</v>
      </c>
    </row>
    <row r="227" s="22" customFormat="1" ht="25.5" spans="1:36">
      <c r="A227" s="34"/>
      <c r="B227" s="34"/>
      <c r="C227" s="37" t="s">
        <v>811</v>
      </c>
      <c r="D227" s="34"/>
      <c r="E227" s="48"/>
      <c r="F227" s="48"/>
      <c r="G227" s="34"/>
      <c r="H227" s="34"/>
      <c r="I227" s="54"/>
      <c r="J227" s="54"/>
      <c r="K227" s="52"/>
      <c r="L227" s="52"/>
      <c r="M227" s="52"/>
      <c r="N227" s="61">
        <v>600</v>
      </c>
      <c r="O227" s="61">
        <v>540</v>
      </c>
      <c r="P227" s="61">
        <v>465</v>
      </c>
      <c r="Q227" s="34"/>
      <c r="R227" s="34"/>
      <c r="S227" s="63"/>
      <c r="T227" s="52"/>
      <c r="U227" s="48"/>
      <c r="V227" s="11" t="s">
        <v>816</v>
      </c>
      <c r="W227" s="11">
        <v>33070200103</v>
      </c>
      <c r="X227" s="11" t="s">
        <v>817</v>
      </c>
      <c r="Y227" s="12" t="s">
        <v>39</v>
      </c>
      <c r="Z227" s="12" t="s">
        <v>39</v>
      </c>
      <c r="AA227" s="14" t="s">
        <v>38</v>
      </c>
      <c r="AB227" s="12" t="s">
        <v>803</v>
      </c>
      <c r="AC227" s="18">
        <v>4500</v>
      </c>
      <c r="AD227" s="18">
        <v>4045</v>
      </c>
      <c r="AE227" s="18">
        <v>3440</v>
      </c>
      <c r="AF227" s="71">
        <f t="shared" si="17"/>
        <v>8</v>
      </c>
      <c r="AG227" s="71" t="str">
        <f t="shared" si="18"/>
        <v>胸内异物清除费</v>
      </c>
      <c r="AH227" s="71">
        <f t="shared" si="19"/>
        <v>2600</v>
      </c>
      <c r="AI227" s="71">
        <f t="shared" si="20"/>
        <v>2340</v>
      </c>
      <c r="AJ227" s="71">
        <f t="shared" si="21"/>
        <v>2015</v>
      </c>
    </row>
    <row r="228" s="22" customFormat="1" ht="25.5" spans="1:36">
      <c r="A228" s="34"/>
      <c r="B228" s="34"/>
      <c r="C228" s="37" t="s">
        <v>811</v>
      </c>
      <c r="D228" s="34"/>
      <c r="E228" s="48"/>
      <c r="F228" s="48"/>
      <c r="G228" s="34"/>
      <c r="H228" s="34"/>
      <c r="I228" s="54"/>
      <c r="J228" s="54"/>
      <c r="K228" s="52"/>
      <c r="L228" s="52"/>
      <c r="M228" s="52"/>
      <c r="N228" s="61">
        <v>600</v>
      </c>
      <c r="O228" s="61">
        <v>540</v>
      </c>
      <c r="P228" s="61">
        <v>465</v>
      </c>
      <c r="Q228" s="34"/>
      <c r="R228" s="34"/>
      <c r="S228" s="63"/>
      <c r="T228" s="52"/>
      <c r="U228" s="48"/>
      <c r="V228" s="11" t="s">
        <v>818</v>
      </c>
      <c r="W228" s="11">
        <v>33070301603</v>
      </c>
      <c r="X228" s="11" t="s">
        <v>819</v>
      </c>
      <c r="Y228" s="12" t="s">
        <v>39</v>
      </c>
      <c r="Z228" s="12" t="s">
        <v>39</v>
      </c>
      <c r="AA228" s="14" t="s">
        <v>38</v>
      </c>
      <c r="AB228" s="12" t="s">
        <v>39</v>
      </c>
      <c r="AC228" s="18">
        <v>2740</v>
      </c>
      <c r="AD228" s="18">
        <v>2630</v>
      </c>
      <c r="AE228" s="18">
        <v>2235</v>
      </c>
      <c r="AF228" s="71">
        <f t="shared" si="17"/>
        <v>8</v>
      </c>
      <c r="AG228" s="71" t="str">
        <f t="shared" si="18"/>
        <v>胸内异物清除费</v>
      </c>
      <c r="AH228" s="71">
        <f t="shared" si="19"/>
        <v>2600</v>
      </c>
      <c r="AI228" s="71">
        <f t="shared" si="20"/>
        <v>2340</v>
      </c>
      <c r="AJ228" s="71">
        <f t="shared" si="21"/>
        <v>2015</v>
      </c>
    </row>
    <row r="229" s="22" customFormat="1" ht="25.5" spans="1:36">
      <c r="A229" s="34"/>
      <c r="B229" s="34"/>
      <c r="C229" s="37" t="s">
        <v>811</v>
      </c>
      <c r="D229" s="34"/>
      <c r="E229" s="48"/>
      <c r="F229" s="48"/>
      <c r="G229" s="34"/>
      <c r="H229" s="34"/>
      <c r="I229" s="54"/>
      <c r="J229" s="54"/>
      <c r="K229" s="52"/>
      <c r="L229" s="52"/>
      <c r="M229" s="52"/>
      <c r="N229" s="61">
        <v>600</v>
      </c>
      <c r="O229" s="61">
        <v>540</v>
      </c>
      <c r="P229" s="61">
        <v>465</v>
      </c>
      <c r="Q229" s="34"/>
      <c r="R229" s="34"/>
      <c r="S229" s="63"/>
      <c r="T229" s="52"/>
      <c r="U229" s="48"/>
      <c r="V229" s="11" t="s">
        <v>820</v>
      </c>
      <c r="W229" s="11">
        <v>33070200106</v>
      </c>
      <c r="X229" s="11" t="s">
        <v>821</v>
      </c>
      <c r="Y229" s="12" t="s">
        <v>39</v>
      </c>
      <c r="Z229" s="12" t="s">
        <v>39</v>
      </c>
      <c r="AA229" s="14" t="s">
        <v>38</v>
      </c>
      <c r="AB229" s="12" t="s">
        <v>39</v>
      </c>
      <c r="AC229" s="18">
        <v>4135</v>
      </c>
      <c r="AD229" s="18">
        <v>3760</v>
      </c>
      <c r="AE229" s="18">
        <v>3195</v>
      </c>
      <c r="AF229" s="71">
        <f t="shared" si="17"/>
        <v>8</v>
      </c>
      <c r="AG229" s="71" t="str">
        <f t="shared" si="18"/>
        <v>胸内异物清除费</v>
      </c>
      <c r="AH229" s="71">
        <f t="shared" si="19"/>
        <v>2600</v>
      </c>
      <c r="AI229" s="71">
        <f t="shared" si="20"/>
        <v>2340</v>
      </c>
      <c r="AJ229" s="71">
        <f t="shared" si="21"/>
        <v>2015</v>
      </c>
    </row>
    <row r="230" s="22" customFormat="1" ht="25.5" spans="1:36">
      <c r="A230" s="34"/>
      <c r="B230" s="34"/>
      <c r="C230" s="37" t="s">
        <v>811</v>
      </c>
      <c r="D230" s="34"/>
      <c r="E230" s="48"/>
      <c r="F230" s="48"/>
      <c r="G230" s="34"/>
      <c r="H230" s="34"/>
      <c r="I230" s="54"/>
      <c r="J230" s="54"/>
      <c r="K230" s="52"/>
      <c r="L230" s="52"/>
      <c r="M230" s="52"/>
      <c r="N230" s="61">
        <v>600</v>
      </c>
      <c r="O230" s="61">
        <v>540</v>
      </c>
      <c r="P230" s="61">
        <v>465</v>
      </c>
      <c r="Q230" s="34"/>
      <c r="R230" s="34"/>
      <c r="S230" s="63"/>
      <c r="T230" s="52"/>
      <c r="U230" s="48"/>
      <c r="V230" s="11" t="s">
        <v>822</v>
      </c>
      <c r="W230" s="11">
        <v>33070200107</v>
      </c>
      <c r="X230" s="11" t="s">
        <v>823</v>
      </c>
      <c r="Y230" s="12" t="s">
        <v>39</v>
      </c>
      <c r="Z230" s="12" t="s">
        <v>39</v>
      </c>
      <c r="AA230" s="14" t="s">
        <v>38</v>
      </c>
      <c r="AB230" s="12" t="s">
        <v>803</v>
      </c>
      <c r="AC230" s="18">
        <v>5125</v>
      </c>
      <c r="AD230" s="18">
        <v>4645</v>
      </c>
      <c r="AE230" s="18">
        <v>3950</v>
      </c>
      <c r="AF230" s="71">
        <f t="shared" si="17"/>
        <v>8</v>
      </c>
      <c r="AG230" s="71" t="str">
        <f t="shared" si="18"/>
        <v>胸内异物清除费</v>
      </c>
      <c r="AH230" s="71">
        <f t="shared" si="19"/>
        <v>2600</v>
      </c>
      <c r="AI230" s="71">
        <f t="shared" si="20"/>
        <v>2340</v>
      </c>
      <c r="AJ230" s="71">
        <f t="shared" si="21"/>
        <v>2015</v>
      </c>
    </row>
    <row r="231" s="22" customFormat="1" ht="38.25" spans="1:36">
      <c r="A231" s="34">
        <v>58</v>
      </c>
      <c r="B231" s="11" t="s">
        <v>824</v>
      </c>
      <c r="C231" s="37" t="s">
        <v>825</v>
      </c>
      <c r="D231" s="11" t="s">
        <v>297</v>
      </c>
      <c r="E231" s="48" t="s">
        <v>826</v>
      </c>
      <c r="F231" s="48" t="s">
        <v>398</v>
      </c>
      <c r="G231" s="34" t="s">
        <v>38</v>
      </c>
      <c r="H231" s="34" t="s">
        <v>39</v>
      </c>
      <c r="I231" s="15">
        <v>4000</v>
      </c>
      <c r="J231" s="15">
        <v>3600</v>
      </c>
      <c r="K231" s="53">
        <v>3049.52934662237</v>
      </c>
      <c r="L231" s="53">
        <v>2953.07692307692</v>
      </c>
      <c r="M231" s="53">
        <v>2580</v>
      </c>
      <c r="N231" s="61">
        <v>3600</v>
      </c>
      <c r="O231" s="61">
        <v>3250</v>
      </c>
      <c r="P231" s="61">
        <v>2760</v>
      </c>
      <c r="Q231" s="34" t="s">
        <v>40</v>
      </c>
      <c r="R231" s="34" t="s">
        <v>39</v>
      </c>
      <c r="S231" s="63" t="s">
        <v>39</v>
      </c>
      <c r="T231" s="53" t="s">
        <v>209</v>
      </c>
      <c r="U231" s="48" t="s">
        <v>613</v>
      </c>
      <c r="V231" s="34" t="s">
        <v>827</v>
      </c>
      <c r="W231" s="34">
        <v>330703026</v>
      </c>
      <c r="X231" s="34" t="s">
        <v>828</v>
      </c>
      <c r="Y231" s="12" t="s">
        <v>829</v>
      </c>
      <c r="Z231" s="12" t="s">
        <v>830</v>
      </c>
      <c r="AA231" s="14" t="s">
        <v>38</v>
      </c>
      <c r="AB231" s="12" t="s">
        <v>39</v>
      </c>
      <c r="AC231" s="18">
        <v>2700</v>
      </c>
      <c r="AD231" s="18">
        <v>2430</v>
      </c>
      <c r="AE231" s="18">
        <v>2070</v>
      </c>
      <c r="AF231" s="71">
        <f t="shared" si="17"/>
        <v>0</v>
      </c>
      <c r="AG231" s="71" t="str">
        <f t="shared" si="18"/>
        <v>纵隔病变切除费（常规）</v>
      </c>
      <c r="AH231" s="71">
        <f t="shared" si="19"/>
        <v>3600</v>
      </c>
      <c r="AI231" s="71">
        <f t="shared" si="20"/>
        <v>3250</v>
      </c>
      <c r="AJ231" s="71">
        <f t="shared" si="21"/>
        <v>2760</v>
      </c>
    </row>
    <row r="232" s="22" customFormat="1" ht="25.5" spans="1:36">
      <c r="A232" s="34"/>
      <c r="B232" s="11"/>
      <c r="C232" s="37" t="s">
        <v>825</v>
      </c>
      <c r="D232" s="11"/>
      <c r="E232" s="48"/>
      <c r="F232" s="48"/>
      <c r="G232" s="34"/>
      <c r="H232" s="34"/>
      <c r="I232" s="54"/>
      <c r="J232" s="54"/>
      <c r="K232" s="53"/>
      <c r="L232" s="53"/>
      <c r="M232" s="53"/>
      <c r="N232" s="61">
        <v>3600</v>
      </c>
      <c r="O232" s="61">
        <v>3250</v>
      </c>
      <c r="P232" s="61">
        <v>2760</v>
      </c>
      <c r="Q232" s="34"/>
      <c r="R232" s="34"/>
      <c r="S232" s="63"/>
      <c r="T232" s="53"/>
      <c r="U232" s="48"/>
      <c r="V232" s="11" t="s">
        <v>831</v>
      </c>
      <c r="W232" s="11">
        <v>33070302602</v>
      </c>
      <c r="X232" s="11" t="s">
        <v>832</v>
      </c>
      <c r="Y232" s="12" t="s">
        <v>39</v>
      </c>
      <c r="Z232" s="12" t="s">
        <v>39</v>
      </c>
      <c r="AA232" s="14" t="s">
        <v>38</v>
      </c>
      <c r="AB232" s="12" t="s">
        <v>39</v>
      </c>
      <c r="AC232" s="18">
        <v>3325</v>
      </c>
      <c r="AD232" s="18">
        <v>3030</v>
      </c>
      <c r="AE232" s="18">
        <v>2580</v>
      </c>
      <c r="AF232" s="71">
        <f t="shared" si="17"/>
        <v>0</v>
      </c>
      <c r="AG232" s="71" t="str">
        <f t="shared" si="18"/>
        <v>纵隔病变切除费（常规）</v>
      </c>
      <c r="AH232" s="71">
        <f t="shared" si="19"/>
        <v>3600</v>
      </c>
      <c r="AI232" s="71">
        <f t="shared" si="20"/>
        <v>3250</v>
      </c>
      <c r="AJ232" s="71">
        <f t="shared" si="21"/>
        <v>2760</v>
      </c>
    </row>
    <row r="233" s="22" customFormat="1" ht="25.5" spans="1:36">
      <c r="A233" s="34" t="s">
        <v>68</v>
      </c>
      <c r="B233" s="34" t="s">
        <v>833</v>
      </c>
      <c r="C233" s="37" t="s">
        <v>834</v>
      </c>
      <c r="D233" s="34" t="s">
        <v>297</v>
      </c>
      <c r="E233" s="48" t="s">
        <v>39</v>
      </c>
      <c r="F233" s="48" t="s">
        <v>39</v>
      </c>
      <c r="G233" s="34" t="s">
        <v>38</v>
      </c>
      <c r="H233" s="34" t="s">
        <v>39</v>
      </c>
      <c r="I233" s="15">
        <v>1200</v>
      </c>
      <c r="J233" s="15">
        <v>1080</v>
      </c>
      <c r="K233" s="52"/>
      <c r="L233" s="52"/>
      <c r="M233" s="52"/>
      <c r="N233" s="61">
        <v>1080</v>
      </c>
      <c r="O233" s="61">
        <v>975</v>
      </c>
      <c r="P233" s="61">
        <v>830</v>
      </c>
      <c r="Q233" s="34" t="s">
        <v>40</v>
      </c>
      <c r="R233" s="34" t="s">
        <v>39</v>
      </c>
      <c r="S233" s="63" t="s">
        <v>39</v>
      </c>
      <c r="T233" s="52"/>
      <c r="U233" s="48" t="s">
        <v>71</v>
      </c>
      <c r="V233" s="34" t="s">
        <v>835</v>
      </c>
      <c r="W233" s="34">
        <v>33070302601</v>
      </c>
      <c r="X233" s="34" t="s">
        <v>836</v>
      </c>
      <c r="Y233" s="12" t="s">
        <v>39</v>
      </c>
      <c r="Z233" s="12" t="s">
        <v>39</v>
      </c>
      <c r="AA233" s="14" t="s">
        <v>38</v>
      </c>
      <c r="AB233" s="12" t="s">
        <v>39</v>
      </c>
      <c r="AC233" s="18">
        <v>3510</v>
      </c>
      <c r="AD233" s="18">
        <v>3160</v>
      </c>
      <c r="AE233" s="18">
        <v>2685</v>
      </c>
      <c r="AF233" s="71">
        <f t="shared" si="17"/>
        <v>12</v>
      </c>
      <c r="AG233" s="71" t="str">
        <f t="shared" si="18"/>
        <v>纵隔病变切除费（常规）</v>
      </c>
      <c r="AH233" s="71">
        <f t="shared" si="19"/>
        <v>4680</v>
      </c>
      <c r="AI233" s="71">
        <f t="shared" si="20"/>
        <v>4225</v>
      </c>
      <c r="AJ233" s="71">
        <f t="shared" si="21"/>
        <v>3590</v>
      </c>
    </row>
    <row r="234" s="22" customFormat="1" ht="25.5" spans="1:36">
      <c r="A234" s="34"/>
      <c r="B234" s="34"/>
      <c r="C234" s="37" t="s">
        <v>834</v>
      </c>
      <c r="D234" s="34"/>
      <c r="E234" s="48"/>
      <c r="F234" s="48"/>
      <c r="G234" s="34"/>
      <c r="H234" s="34"/>
      <c r="I234" s="54"/>
      <c r="J234" s="54"/>
      <c r="K234" s="52"/>
      <c r="L234" s="52"/>
      <c r="M234" s="52"/>
      <c r="N234" s="61">
        <v>1080</v>
      </c>
      <c r="O234" s="61">
        <v>975</v>
      </c>
      <c r="P234" s="61">
        <v>830</v>
      </c>
      <c r="Q234" s="34"/>
      <c r="R234" s="34"/>
      <c r="S234" s="63"/>
      <c r="T234" s="52"/>
      <c r="U234" s="48"/>
      <c r="V234" s="34" t="s">
        <v>837</v>
      </c>
      <c r="W234" s="34">
        <v>33070302603</v>
      </c>
      <c r="X234" s="34" t="s">
        <v>838</v>
      </c>
      <c r="Y234" s="12" t="s">
        <v>39</v>
      </c>
      <c r="Z234" s="12" t="s">
        <v>39</v>
      </c>
      <c r="AA234" s="14" t="s">
        <v>38</v>
      </c>
      <c r="AB234" s="12" t="s">
        <v>39</v>
      </c>
      <c r="AC234" s="18">
        <v>4135</v>
      </c>
      <c r="AD234" s="18">
        <v>3760</v>
      </c>
      <c r="AE234" s="18">
        <v>3195</v>
      </c>
      <c r="AF234" s="71">
        <f t="shared" si="17"/>
        <v>12</v>
      </c>
      <c r="AG234" s="71" t="str">
        <f t="shared" si="18"/>
        <v>纵隔病变切除费（常规）</v>
      </c>
      <c r="AH234" s="71">
        <f t="shared" si="19"/>
        <v>4680</v>
      </c>
      <c r="AI234" s="71">
        <f t="shared" si="20"/>
        <v>4225</v>
      </c>
      <c r="AJ234" s="71">
        <f t="shared" si="21"/>
        <v>3590</v>
      </c>
    </row>
    <row r="235" s="22" customFormat="1" ht="25.5" spans="1:36">
      <c r="A235" s="34">
        <v>60</v>
      </c>
      <c r="B235" s="11" t="s">
        <v>846</v>
      </c>
      <c r="C235" s="37" t="s">
        <v>847</v>
      </c>
      <c r="D235" s="34" t="s">
        <v>297</v>
      </c>
      <c r="E235" s="48" t="s">
        <v>848</v>
      </c>
      <c r="F235" s="48" t="s">
        <v>849</v>
      </c>
      <c r="G235" s="34" t="s">
        <v>38</v>
      </c>
      <c r="H235" s="34" t="s">
        <v>39</v>
      </c>
      <c r="I235" s="15">
        <v>1100</v>
      </c>
      <c r="J235" s="15">
        <v>990</v>
      </c>
      <c r="K235" s="52"/>
      <c r="L235" s="52"/>
      <c r="M235" s="52"/>
      <c r="N235" s="61">
        <v>1000</v>
      </c>
      <c r="O235" s="61">
        <v>900</v>
      </c>
      <c r="P235" s="61">
        <v>765</v>
      </c>
      <c r="Q235" s="34" t="s">
        <v>40</v>
      </c>
      <c r="R235" s="34" t="s">
        <v>39</v>
      </c>
      <c r="S235" s="63" t="s">
        <v>39</v>
      </c>
      <c r="T235" s="52" t="s">
        <v>264</v>
      </c>
      <c r="U235" s="48" t="s">
        <v>399</v>
      </c>
      <c r="V235" s="34" t="s">
        <v>850</v>
      </c>
      <c r="W235" s="34">
        <v>330703027</v>
      </c>
      <c r="X235" s="34" t="s">
        <v>851</v>
      </c>
      <c r="Y235" s="12" t="s">
        <v>852</v>
      </c>
      <c r="Z235" s="12" t="s">
        <v>39</v>
      </c>
      <c r="AA235" s="14" t="s">
        <v>38</v>
      </c>
      <c r="AB235" s="12" t="s">
        <v>39</v>
      </c>
      <c r="AC235" s="18">
        <v>625</v>
      </c>
      <c r="AD235" s="18">
        <v>600</v>
      </c>
      <c r="AE235" s="18">
        <v>510</v>
      </c>
      <c r="AF235" s="71">
        <f t="shared" si="17"/>
        <v>0</v>
      </c>
      <c r="AG235" s="71" t="str">
        <f t="shared" si="18"/>
        <v>纵隔气肿切开减压费</v>
      </c>
      <c r="AH235" s="71">
        <f>IF(AF235&gt;0,_xlfn.MAXIFS(N:N,C:C,SUBSTITUTE(C235,"-儿童（加收）","")),0)+N235</f>
        <v>1000</v>
      </c>
      <c r="AI235" s="71">
        <f>IF(AF235&gt;0,_xlfn.MAXIFS(O:O,C:C,SUBSTITUTE(C235,"-儿童（加收）","")),0)+O235</f>
        <v>900</v>
      </c>
      <c r="AJ235" s="71">
        <f>IF(AF235&gt;0,_xlfn.MAXIFS(P:P,C:C,SUBSTITUTE(C235,"-儿童（加收）","")),0)+P235</f>
        <v>765</v>
      </c>
    </row>
    <row r="236" s="22" customFormat="1" ht="25.5" spans="1:36">
      <c r="A236" s="34"/>
      <c r="B236" s="11"/>
      <c r="C236" s="37" t="s">
        <v>847</v>
      </c>
      <c r="D236" s="34"/>
      <c r="E236" s="48"/>
      <c r="F236" s="48"/>
      <c r="G236" s="34"/>
      <c r="H236" s="34"/>
      <c r="I236" s="54"/>
      <c r="J236" s="54"/>
      <c r="K236" s="52"/>
      <c r="L236" s="52"/>
      <c r="M236" s="52"/>
      <c r="N236" s="61">
        <v>1000</v>
      </c>
      <c r="O236" s="61">
        <v>900</v>
      </c>
      <c r="P236" s="61">
        <v>765</v>
      </c>
      <c r="Q236" s="34"/>
      <c r="R236" s="34"/>
      <c r="S236" s="63"/>
      <c r="T236" s="52"/>
      <c r="U236" s="48"/>
      <c r="V236" s="11" t="s">
        <v>853</v>
      </c>
      <c r="W236" s="11">
        <v>33070302702</v>
      </c>
      <c r="X236" s="11" t="s">
        <v>854</v>
      </c>
      <c r="Y236" s="12" t="s">
        <v>39</v>
      </c>
      <c r="Z236" s="12" t="s">
        <v>39</v>
      </c>
      <c r="AA236" s="14" t="s">
        <v>38</v>
      </c>
      <c r="AB236" s="12" t="s">
        <v>39</v>
      </c>
      <c r="AC236" s="18">
        <v>1250</v>
      </c>
      <c r="AD236" s="18">
        <v>1200</v>
      </c>
      <c r="AE236" s="18">
        <v>1020</v>
      </c>
      <c r="AF236" s="71">
        <f t="shared" si="17"/>
        <v>0</v>
      </c>
      <c r="AG236" s="71" t="str">
        <f t="shared" si="18"/>
        <v>纵隔气肿切开减压费</v>
      </c>
      <c r="AH236" s="71">
        <f>IF(AF236&gt;0,_xlfn.MAXIFS(N:N,C:C,SUBSTITUTE(C236,"-儿童（加收）","")),0)+N236</f>
        <v>1000</v>
      </c>
      <c r="AI236" s="71">
        <f>IF(AF236&gt;0,_xlfn.MAXIFS(O:O,C:C,SUBSTITUTE(C236,"-儿童（加收）","")),0)+O236</f>
        <v>900</v>
      </c>
      <c r="AJ236" s="71">
        <f>IF(AF236&gt;0,_xlfn.MAXIFS(P:P,C:C,SUBSTITUTE(C236,"-儿童（加收）","")),0)+P236</f>
        <v>765</v>
      </c>
    </row>
    <row r="237" s="22" customFormat="1" ht="25.5" spans="1:36">
      <c r="A237" s="34" t="s">
        <v>68</v>
      </c>
      <c r="B237" s="34" t="s">
        <v>855</v>
      </c>
      <c r="C237" s="37" t="s">
        <v>856</v>
      </c>
      <c r="D237" s="34" t="s">
        <v>297</v>
      </c>
      <c r="E237" s="48" t="s">
        <v>39</v>
      </c>
      <c r="F237" s="48" t="s">
        <v>39</v>
      </c>
      <c r="G237" s="34" t="s">
        <v>38</v>
      </c>
      <c r="H237" s="34" t="s">
        <v>39</v>
      </c>
      <c r="I237" s="15">
        <v>330</v>
      </c>
      <c r="J237" s="15">
        <v>297</v>
      </c>
      <c r="K237" s="52"/>
      <c r="L237" s="52"/>
      <c r="M237" s="52"/>
      <c r="N237" s="61">
        <v>300</v>
      </c>
      <c r="O237" s="61">
        <v>270</v>
      </c>
      <c r="P237" s="61">
        <v>230</v>
      </c>
      <c r="Q237" s="34" t="s">
        <v>40</v>
      </c>
      <c r="R237" s="34" t="s">
        <v>39</v>
      </c>
      <c r="S237" s="63" t="s">
        <v>39</v>
      </c>
      <c r="T237" s="52"/>
      <c r="U237" s="48" t="s">
        <v>71</v>
      </c>
      <c r="V237" s="34" t="s">
        <v>857</v>
      </c>
      <c r="W237" s="34">
        <v>33070302701</v>
      </c>
      <c r="X237" s="34" t="s">
        <v>858</v>
      </c>
      <c r="Y237" s="12" t="s">
        <v>39</v>
      </c>
      <c r="Z237" s="12" t="s">
        <v>39</v>
      </c>
      <c r="AA237" s="14" t="s">
        <v>38</v>
      </c>
      <c r="AB237" s="12" t="s">
        <v>39</v>
      </c>
      <c r="AC237" s="18">
        <v>815</v>
      </c>
      <c r="AD237" s="18">
        <v>780</v>
      </c>
      <c r="AE237" s="18">
        <v>665</v>
      </c>
      <c r="AF237" s="71">
        <f t="shared" si="17"/>
        <v>10</v>
      </c>
      <c r="AG237" s="71" t="str">
        <f t="shared" si="18"/>
        <v>纵隔气肿切开减压费</v>
      </c>
      <c r="AH237" s="71">
        <f>IF(AF237&gt;0,_xlfn.MAXIFS(N:N,C:C,SUBSTITUTE(C237,"-儿童（加收）","")),0)+N237</f>
        <v>1300</v>
      </c>
      <c r="AI237" s="71">
        <f>IF(AF237&gt;0,_xlfn.MAXIFS(O:O,C:C,SUBSTITUTE(C237,"-儿童（加收）","")),0)+O237</f>
        <v>1170</v>
      </c>
      <c r="AJ237" s="71">
        <f>IF(AF237&gt;0,_xlfn.MAXIFS(P:P,C:C,SUBSTITUTE(C237,"-儿童（加收）","")),0)+P237</f>
        <v>995</v>
      </c>
    </row>
    <row r="238" s="22" customFormat="1" ht="25.5" spans="1:36">
      <c r="A238" s="34"/>
      <c r="B238" s="34"/>
      <c r="C238" s="37" t="s">
        <v>856</v>
      </c>
      <c r="D238" s="34"/>
      <c r="E238" s="48"/>
      <c r="F238" s="48"/>
      <c r="G238" s="34"/>
      <c r="H238" s="34"/>
      <c r="I238" s="54"/>
      <c r="J238" s="54"/>
      <c r="K238" s="52"/>
      <c r="L238" s="52"/>
      <c r="M238" s="52"/>
      <c r="N238" s="61">
        <v>300</v>
      </c>
      <c r="O238" s="61">
        <v>270</v>
      </c>
      <c r="P238" s="61">
        <v>230</v>
      </c>
      <c r="Q238" s="34"/>
      <c r="R238" s="34"/>
      <c r="S238" s="63"/>
      <c r="T238" s="52"/>
      <c r="U238" s="48"/>
      <c r="V238" s="34" t="s">
        <v>859</v>
      </c>
      <c r="W238" s="34">
        <v>33070302703</v>
      </c>
      <c r="X238" s="34" t="s">
        <v>860</v>
      </c>
      <c r="Y238" s="12" t="s">
        <v>39</v>
      </c>
      <c r="Z238" s="12" t="s">
        <v>39</v>
      </c>
      <c r="AA238" s="14" t="s">
        <v>38</v>
      </c>
      <c r="AB238" s="12" t="s">
        <v>39</v>
      </c>
      <c r="AC238" s="18">
        <v>1440</v>
      </c>
      <c r="AD238" s="18">
        <v>1380</v>
      </c>
      <c r="AE238" s="18">
        <v>1175</v>
      </c>
      <c r="AF238" s="71">
        <f t="shared" si="17"/>
        <v>10</v>
      </c>
      <c r="AG238" s="71" t="str">
        <f t="shared" si="18"/>
        <v>纵隔气肿切开减压费</v>
      </c>
      <c r="AH238" s="71">
        <f>IF(AF238&gt;0,_xlfn.MAXIFS(N:N,C:C,SUBSTITUTE(C238,"-儿童（加收）","")),0)+N238</f>
        <v>1300</v>
      </c>
      <c r="AI238" s="71">
        <f>IF(AF238&gt;0,_xlfn.MAXIFS(O:O,C:C,SUBSTITUTE(C238,"-儿童（加收）","")),0)+O238</f>
        <v>1170</v>
      </c>
      <c r="AJ238" s="71">
        <f>IF(AF238&gt;0,_xlfn.MAXIFS(P:P,C:C,SUBSTITUTE(C238,"-儿童（加收）","")),0)+P238</f>
        <v>995</v>
      </c>
    </row>
    <row r="239" s="22" customFormat="1" ht="25.5" spans="1:36">
      <c r="A239" s="34">
        <v>61</v>
      </c>
      <c r="B239" s="11" t="s">
        <v>861</v>
      </c>
      <c r="C239" s="37" t="s">
        <v>862</v>
      </c>
      <c r="D239" s="34" t="s">
        <v>297</v>
      </c>
      <c r="E239" s="48" t="s">
        <v>863</v>
      </c>
      <c r="F239" s="48" t="s">
        <v>864</v>
      </c>
      <c r="G239" s="34" t="s">
        <v>38</v>
      </c>
      <c r="H239" s="34" t="s">
        <v>865</v>
      </c>
      <c r="I239" s="15">
        <v>1794</v>
      </c>
      <c r="J239" s="15">
        <v>1615</v>
      </c>
      <c r="K239" s="53">
        <v>1777.77777777778</v>
      </c>
      <c r="L239" s="52"/>
      <c r="M239" s="52"/>
      <c r="N239" s="59">
        <v>1750</v>
      </c>
      <c r="O239" s="59">
        <v>1580</v>
      </c>
      <c r="P239" s="59">
        <v>1340</v>
      </c>
      <c r="Q239" s="62" t="s">
        <v>40</v>
      </c>
      <c r="R239" s="62" t="s">
        <v>39</v>
      </c>
      <c r="S239" s="64" t="s">
        <v>39</v>
      </c>
      <c r="T239" s="52" t="s">
        <v>41</v>
      </c>
      <c r="U239" s="67" t="s">
        <v>866</v>
      </c>
      <c r="V239" s="11" t="s">
        <v>867</v>
      </c>
      <c r="W239" s="11">
        <v>330703025</v>
      </c>
      <c r="X239" s="11" t="s">
        <v>868</v>
      </c>
      <c r="Y239" s="12" t="s">
        <v>869</v>
      </c>
      <c r="Z239" s="12" t="s">
        <v>39</v>
      </c>
      <c r="AA239" s="14" t="s">
        <v>38</v>
      </c>
      <c r="AB239" s="12" t="s">
        <v>39</v>
      </c>
      <c r="AC239" s="18">
        <v>1500</v>
      </c>
      <c r="AD239" s="18">
        <v>1440</v>
      </c>
      <c r="AE239" s="18">
        <v>1224</v>
      </c>
      <c r="AF239" s="71">
        <f t="shared" si="17"/>
        <v>0</v>
      </c>
      <c r="AG239" s="71" t="str">
        <f t="shared" si="18"/>
        <v>纵隔感染清创引流费</v>
      </c>
      <c r="AH239" s="71">
        <f>IF(AF239&gt;0,_xlfn.MAXIFS(N:N,C:C,SUBSTITUTE(C239,"-儿童（加收）","")),0)+N239</f>
        <v>1750</v>
      </c>
      <c r="AI239" s="71">
        <f>IF(AF239&gt;0,_xlfn.MAXIFS(O:O,C:C,SUBSTITUTE(C239,"-儿童（加收）","")),0)+O239</f>
        <v>1580</v>
      </c>
      <c r="AJ239" s="71">
        <f>IF(AF239&gt;0,_xlfn.MAXIFS(P:P,C:C,SUBSTITUTE(C239,"-儿童（加收）","")),0)+P239</f>
        <v>1340</v>
      </c>
    </row>
    <row r="240" s="22" customFormat="1" ht="25.5" spans="1:36">
      <c r="A240" s="34"/>
      <c r="B240" s="11"/>
      <c r="C240" s="37" t="s">
        <v>862</v>
      </c>
      <c r="D240" s="34"/>
      <c r="E240" s="48"/>
      <c r="F240" s="48"/>
      <c r="G240" s="34"/>
      <c r="H240" s="34"/>
      <c r="I240" s="54"/>
      <c r="J240" s="54"/>
      <c r="K240" s="53"/>
      <c r="L240" s="52"/>
      <c r="M240" s="52"/>
      <c r="N240" s="59">
        <v>1750</v>
      </c>
      <c r="O240" s="59">
        <v>1580</v>
      </c>
      <c r="P240" s="59">
        <v>1340</v>
      </c>
      <c r="Q240" s="62"/>
      <c r="R240" s="62"/>
      <c r="S240" s="64"/>
      <c r="T240" s="52"/>
      <c r="U240" s="67"/>
      <c r="V240" s="11" t="s">
        <v>870</v>
      </c>
      <c r="W240" s="11">
        <v>33070302502</v>
      </c>
      <c r="X240" s="11" t="s">
        <v>871</v>
      </c>
      <c r="Y240" s="12" t="s">
        <v>39</v>
      </c>
      <c r="Z240" s="12" t="s">
        <v>39</v>
      </c>
      <c r="AA240" s="14" t="s">
        <v>38</v>
      </c>
      <c r="AB240" s="12" t="s">
        <v>39</v>
      </c>
      <c r="AC240" s="18">
        <v>2125</v>
      </c>
      <c r="AD240" s="18">
        <v>2040</v>
      </c>
      <c r="AE240" s="18">
        <v>1734</v>
      </c>
      <c r="AF240" s="71">
        <f t="shared" si="17"/>
        <v>0</v>
      </c>
      <c r="AG240" s="71" t="str">
        <f t="shared" si="18"/>
        <v>纵隔感染清创引流费</v>
      </c>
      <c r="AH240" s="71">
        <f>IF(AF240&gt;0,_xlfn.MAXIFS(N:N,C:C,SUBSTITUTE(C240,"-儿童（加收）","")),0)+N240</f>
        <v>1750</v>
      </c>
      <c r="AI240" s="71">
        <f>IF(AF240&gt;0,_xlfn.MAXIFS(O:O,C:C,SUBSTITUTE(C240,"-儿童（加收）","")),0)+O240</f>
        <v>1580</v>
      </c>
      <c r="AJ240" s="71">
        <f>IF(AF240&gt;0,_xlfn.MAXIFS(P:P,C:C,SUBSTITUTE(C240,"-儿童（加收）","")),0)+P240</f>
        <v>1340</v>
      </c>
    </row>
    <row r="241" s="22" customFormat="1" ht="25.5" spans="1:36">
      <c r="A241" s="34" t="s">
        <v>68</v>
      </c>
      <c r="B241" s="34" t="s">
        <v>872</v>
      </c>
      <c r="C241" s="37" t="s">
        <v>873</v>
      </c>
      <c r="D241" s="34" t="s">
        <v>297</v>
      </c>
      <c r="E241" s="48" t="s">
        <v>39</v>
      </c>
      <c r="F241" s="48" t="s">
        <v>39</v>
      </c>
      <c r="G241" s="34" t="s">
        <v>38</v>
      </c>
      <c r="H241" s="34" t="s">
        <v>39</v>
      </c>
      <c r="I241" s="15">
        <v>538</v>
      </c>
      <c r="J241" s="15">
        <v>484</v>
      </c>
      <c r="K241" s="52"/>
      <c r="L241" s="52"/>
      <c r="M241" s="52"/>
      <c r="N241" s="61">
        <v>525</v>
      </c>
      <c r="O241" s="61">
        <v>475</v>
      </c>
      <c r="P241" s="61">
        <v>400</v>
      </c>
      <c r="Q241" s="34" t="s">
        <v>40</v>
      </c>
      <c r="R241" s="34" t="s">
        <v>39</v>
      </c>
      <c r="S241" s="63" t="s">
        <v>39</v>
      </c>
      <c r="T241" s="52"/>
      <c r="U241" s="48" t="s">
        <v>71</v>
      </c>
      <c r="V241" s="34" t="s">
        <v>874</v>
      </c>
      <c r="W241" s="34">
        <v>33070302501</v>
      </c>
      <c r="X241" s="34" t="s">
        <v>875</v>
      </c>
      <c r="Y241" s="12" t="s">
        <v>39</v>
      </c>
      <c r="Z241" s="12" t="s">
        <v>39</v>
      </c>
      <c r="AA241" s="14" t="s">
        <v>38</v>
      </c>
      <c r="AB241" s="12" t="s">
        <v>39</v>
      </c>
      <c r="AC241" s="18">
        <v>1950</v>
      </c>
      <c r="AD241" s="18">
        <v>1870</v>
      </c>
      <c r="AE241" s="18">
        <v>1590</v>
      </c>
      <c r="AF241" s="71">
        <f t="shared" si="17"/>
        <v>10</v>
      </c>
      <c r="AG241" s="71" t="str">
        <f t="shared" si="18"/>
        <v>纵隔感染清创引流费</v>
      </c>
      <c r="AH241" s="71">
        <f>IF(AF241&gt;0,_xlfn.MAXIFS(N:N,C:C,SUBSTITUTE(C241,"-儿童（加收）","")),0)+N241</f>
        <v>2275</v>
      </c>
      <c r="AI241" s="71">
        <f>IF(AF241&gt;0,_xlfn.MAXIFS(O:O,C:C,SUBSTITUTE(C241,"-儿童（加收）","")),0)+O241</f>
        <v>2055</v>
      </c>
      <c r="AJ241" s="71">
        <f>IF(AF241&gt;0,_xlfn.MAXIFS(P:P,C:C,SUBSTITUTE(C241,"-儿童（加收）","")),0)+P241</f>
        <v>1740</v>
      </c>
    </row>
    <row r="242" s="22" customFormat="1" ht="25.5" spans="1:36">
      <c r="A242" s="34"/>
      <c r="B242" s="34"/>
      <c r="C242" s="37" t="s">
        <v>873</v>
      </c>
      <c r="D242" s="34"/>
      <c r="E242" s="48"/>
      <c r="F242" s="48"/>
      <c r="G242" s="34"/>
      <c r="H242" s="34"/>
      <c r="I242" s="54"/>
      <c r="J242" s="54"/>
      <c r="K242" s="52"/>
      <c r="L242" s="52"/>
      <c r="M242" s="52"/>
      <c r="N242" s="61">
        <v>525</v>
      </c>
      <c r="O242" s="61">
        <v>475</v>
      </c>
      <c r="P242" s="61">
        <v>400</v>
      </c>
      <c r="Q242" s="34"/>
      <c r="R242" s="34"/>
      <c r="S242" s="63"/>
      <c r="T242" s="52"/>
      <c r="U242" s="48"/>
      <c r="V242" s="34" t="s">
        <v>876</v>
      </c>
      <c r="W242" s="34">
        <v>33070302503</v>
      </c>
      <c r="X242" s="34" t="s">
        <v>877</v>
      </c>
      <c r="Y242" s="12" t="s">
        <v>39</v>
      </c>
      <c r="Z242" s="12" t="s">
        <v>39</v>
      </c>
      <c r="AA242" s="14" t="s">
        <v>38</v>
      </c>
      <c r="AB242" s="12" t="s">
        <v>39</v>
      </c>
      <c r="AC242" s="18">
        <v>2575</v>
      </c>
      <c r="AD242" s="18">
        <v>2470</v>
      </c>
      <c r="AE242" s="18">
        <v>2100</v>
      </c>
      <c r="AF242" s="71">
        <f t="shared" si="17"/>
        <v>10</v>
      </c>
      <c r="AG242" s="71" t="str">
        <f t="shared" si="18"/>
        <v>纵隔感染清创引流费</v>
      </c>
      <c r="AH242" s="71">
        <f>IF(AF242&gt;0,_xlfn.MAXIFS(N:N,C:C,SUBSTITUTE(C242,"-儿童（加收）","")),0)+N242</f>
        <v>2275</v>
      </c>
      <c r="AI242" s="71">
        <f>IF(AF242&gt;0,_xlfn.MAXIFS(O:O,C:C,SUBSTITUTE(C242,"-儿童（加收）","")),0)+O242</f>
        <v>2055</v>
      </c>
      <c r="AJ242" s="71">
        <f>IF(AF242&gt;0,_xlfn.MAXIFS(P:P,C:C,SUBSTITUTE(C242,"-儿童（加收）","")),0)+P242</f>
        <v>1740</v>
      </c>
    </row>
    <row r="243" s="22" customFormat="1" ht="25.5" spans="1:36">
      <c r="A243" s="34">
        <v>62</v>
      </c>
      <c r="B243" s="11" t="s">
        <v>878</v>
      </c>
      <c r="C243" s="37" t="s">
        <v>879</v>
      </c>
      <c r="D243" s="34" t="s">
        <v>297</v>
      </c>
      <c r="E243" s="48" t="s">
        <v>880</v>
      </c>
      <c r="F243" s="48" t="s">
        <v>612</v>
      </c>
      <c r="G243" s="34" t="s">
        <v>38</v>
      </c>
      <c r="H243" s="34" t="s">
        <v>39</v>
      </c>
      <c r="I243" s="15">
        <v>2979</v>
      </c>
      <c r="J243" s="15">
        <v>2681</v>
      </c>
      <c r="K243" s="52">
        <v>2647.05882352941</v>
      </c>
      <c r="L243" s="52">
        <v>2340</v>
      </c>
      <c r="M243" s="52"/>
      <c r="N243" s="61">
        <v>2650</v>
      </c>
      <c r="O243" s="61">
        <v>2350</v>
      </c>
      <c r="P243" s="61">
        <v>2000</v>
      </c>
      <c r="Q243" s="34" t="s">
        <v>40</v>
      </c>
      <c r="R243" s="34" t="s">
        <v>39</v>
      </c>
      <c r="S243" s="63" t="s">
        <v>39</v>
      </c>
      <c r="T243" s="52" t="s">
        <v>95</v>
      </c>
      <c r="U243" s="48" t="s">
        <v>881</v>
      </c>
      <c r="V243" s="34" t="s">
        <v>882</v>
      </c>
      <c r="W243" s="34">
        <v>330703028</v>
      </c>
      <c r="X243" s="34" t="s">
        <v>883</v>
      </c>
      <c r="Y243" s="12" t="s">
        <v>884</v>
      </c>
      <c r="Z243" s="12" t="s">
        <v>885</v>
      </c>
      <c r="AA243" s="14" t="s">
        <v>38</v>
      </c>
      <c r="AB243" s="12" t="s">
        <v>39</v>
      </c>
      <c r="AC243" s="18">
        <v>2125</v>
      </c>
      <c r="AD243" s="18">
        <v>2040</v>
      </c>
      <c r="AE243" s="18">
        <v>1734</v>
      </c>
      <c r="AF243" s="71">
        <f t="shared" si="17"/>
        <v>0</v>
      </c>
      <c r="AG243" s="71" t="str">
        <f t="shared" si="18"/>
        <v>膈肌修补费</v>
      </c>
      <c r="AH243" s="71">
        <f>IF(AF243&gt;0,_xlfn.MAXIFS(N:N,C:C,SUBSTITUTE(C243,"-儿童（加收）","")),0)+N243</f>
        <v>2650</v>
      </c>
      <c r="AI243" s="71">
        <f>IF(AF243&gt;0,_xlfn.MAXIFS(O:O,C:C,SUBSTITUTE(C243,"-儿童（加收）","")),0)+O243</f>
        <v>2350</v>
      </c>
      <c r="AJ243" s="71">
        <f>IF(AF243&gt;0,_xlfn.MAXIFS(P:P,C:C,SUBSTITUTE(C243,"-儿童（加收）","")),0)+P243</f>
        <v>2000</v>
      </c>
    </row>
    <row r="244" s="22" customFormat="1" ht="25.5" spans="1:36">
      <c r="A244" s="34"/>
      <c r="B244" s="11"/>
      <c r="C244" s="37" t="s">
        <v>879</v>
      </c>
      <c r="D244" s="34"/>
      <c r="E244" s="48"/>
      <c r="F244" s="48"/>
      <c r="G244" s="34"/>
      <c r="H244" s="34"/>
      <c r="I244" s="54"/>
      <c r="J244" s="54"/>
      <c r="K244" s="52"/>
      <c r="L244" s="52"/>
      <c r="M244" s="52"/>
      <c r="N244" s="61">
        <v>2650</v>
      </c>
      <c r="O244" s="61">
        <v>2350</v>
      </c>
      <c r="P244" s="61">
        <v>2000</v>
      </c>
      <c r="Q244" s="34"/>
      <c r="R244" s="34"/>
      <c r="S244" s="63"/>
      <c r="T244" s="52"/>
      <c r="U244" s="48"/>
      <c r="V244" s="11" t="s">
        <v>886</v>
      </c>
      <c r="W244" s="11">
        <v>33070302802</v>
      </c>
      <c r="X244" s="11" t="s">
        <v>887</v>
      </c>
      <c r="Y244" s="12" t="s">
        <v>39</v>
      </c>
      <c r="Z244" s="12" t="s">
        <v>39</v>
      </c>
      <c r="AA244" s="14" t="s">
        <v>38</v>
      </c>
      <c r="AB244" s="12" t="s">
        <v>39</v>
      </c>
      <c r="AC244" s="18">
        <v>2750</v>
      </c>
      <c r="AD244" s="18">
        <v>2640</v>
      </c>
      <c r="AE244" s="18">
        <v>2244</v>
      </c>
      <c r="AF244" s="71">
        <f t="shared" ref="AF244:AF266" si="22">IFERROR(FIND("-儿童（加收）",C244,1),0)</f>
        <v>0</v>
      </c>
      <c r="AG244" s="71" t="str">
        <f t="shared" ref="AG244:AG266" si="23">SUBSTITUTE(C244,"-儿童（加收）","")</f>
        <v>膈肌修补费</v>
      </c>
      <c r="AH244" s="71">
        <f>IF(AF244&gt;0,_xlfn.MAXIFS(N:N,C:C,SUBSTITUTE(C244,"-儿童（加收）","")),0)+N244</f>
        <v>2650</v>
      </c>
      <c r="AI244" s="71">
        <f>IF(AF244&gt;0,_xlfn.MAXIFS(O:O,C:C,SUBSTITUTE(C244,"-儿童（加收）","")),0)+O244</f>
        <v>2350</v>
      </c>
      <c r="AJ244" s="71">
        <f>IF(AF244&gt;0,_xlfn.MAXIFS(P:P,C:C,SUBSTITUTE(C244,"-儿童（加收）","")),0)+P244</f>
        <v>2000</v>
      </c>
    </row>
    <row r="245" s="22" customFormat="1" ht="25.5" spans="1:36">
      <c r="A245" s="34"/>
      <c r="B245" s="11"/>
      <c r="C245" s="37" t="s">
        <v>879</v>
      </c>
      <c r="D245" s="34"/>
      <c r="E245" s="48"/>
      <c r="F245" s="48"/>
      <c r="G245" s="34"/>
      <c r="H245" s="34"/>
      <c r="I245" s="54"/>
      <c r="J245" s="54"/>
      <c r="K245" s="52"/>
      <c r="L245" s="52"/>
      <c r="M245" s="52"/>
      <c r="N245" s="61">
        <v>2650</v>
      </c>
      <c r="O245" s="61">
        <v>2350</v>
      </c>
      <c r="P245" s="61">
        <v>2000</v>
      </c>
      <c r="Q245" s="34"/>
      <c r="R245" s="34"/>
      <c r="S245" s="63"/>
      <c r="T245" s="52"/>
      <c r="U245" s="48"/>
      <c r="V245" s="11" t="s">
        <v>888</v>
      </c>
      <c r="W245" s="11">
        <v>330703032</v>
      </c>
      <c r="X245" s="11" t="s">
        <v>889</v>
      </c>
      <c r="Y245" s="12" t="s">
        <v>890</v>
      </c>
      <c r="Z245" s="12" t="s">
        <v>39</v>
      </c>
      <c r="AA245" s="14" t="s">
        <v>38</v>
      </c>
      <c r="AB245" s="12" t="s">
        <v>891</v>
      </c>
      <c r="AC245" s="18">
        <v>1625</v>
      </c>
      <c r="AD245" s="18">
        <v>1560</v>
      </c>
      <c r="AE245" s="18">
        <v>1326</v>
      </c>
      <c r="AF245" s="71">
        <f t="shared" si="22"/>
        <v>0</v>
      </c>
      <c r="AG245" s="71" t="str">
        <f t="shared" si="23"/>
        <v>膈肌修补费</v>
      </c>
      <c r="AH245" s="71">
        <f>IF(AF245&gt;0,_xlfn.MAXIFS(N:N,C:C,SUBSTITUTE(C245,"-儿童（加收）","")),0)+N245</f>
        <v>2650</v>
      </c>
      <c r="AI245" s="71">
        <f>IF(AF245&gt;0,_xlfn.MAXIFS(O:O,C:C,SUBSTITUTE(C245,"-儿童（加收）","")),0)+O245</f>
        <v>2350</v>
      </c>
      <c r="AJ245" s="71">
        <f>IF(AF245&gt;0,_xlfn.MAXIFS(P:P,C:C,SUBSTITUTE(C245,"-儿童（加收）","")),0)+P245</f>
        <v>2000</v>
      </c>
    </row>
    <row r="246" s="22" customFormat="1" ht="25.5" spans="1:36">
      <c r="A246" s="34"/>
      <c r="B246" s="11"/>
      <c r="C246" s="37" t="s">
        <v>879</v>
      </c>
      <c r="D246" s="34"/>
      <c r="E246" s="48"/>
      <c r="F246" s="48"/>
      <c r="G246" s="34"/>
      <c r="H246" s="34"/>
      <c r="I246" s="54"/>
      <c r="J246" s="54"/>
      <c r="K246" s="52"/>
      <c r="L246" s="52"/>
      <c r="M246" s="52"/>
      <c r="N246" s="61">
        <v>2650</v>
      </c>
      <c r="O246" s="61">
        <v>2350</v>
      </c>
      <c r="P246" s="61">
        <v>2000</v>
      </c>
      <c r="Q246" s="34"/>
      <c r="R246" s="34"/>
      <c r="S246" s="63"/>
      <c r="T246" s="52"/>
      <c r="U246" s="48"/>
      <c r="V246" s="11" t="s">
        <v>892</v>
      </c>
      <c r="W246" s="11">
        <v>33070303201</v>
      </c>
      <c r="X246" s="11" t="s">
        <v>893</v>
      </c>
      <c r="Y246" s="12" t="s">
        <v>39</v>
      </c>
      <c r="Z246" s="12" t="s">
        <v>39</v>
      </c>
      <c r="AA246" s="14" t="s">
        <v>38</v>
      </c>
      <c r="AB246" s="12" t="s">
        <v>894</v>
      </c>
      <c r="AC246" s="18">
        <v>1950</v>
      </c>
      <c r="AD246" s="18">
        <v>1870</v>
      </c>
      <c r="AE246" s="18">
        <v>1590</v>
      </c>
      <c r="AF246" s="71">
        <f t="shared" si="22"/>
        <v>0</v>
      </c>
      <c r="AG246" s="71" t="str">
        <f t="shared" si="23"/>
        <v>膈肌修补费</v>
      </c>
      <c r="AH246" s="71">
        <f>IF(AF246&gt;0,_xlfn.MAXIFS(N:N,C:C,SUBSTITUTE(C246,"-儿童（加收）","")),0)+N246</f>
        <v>2650</v>
      </c>
      <c r="AI246" s="71">
        <f>IF(AF246&gt;0,_xlfn.MAXIFS(O:O,C:C,SUBSTITUTE(C246,"-儿童（加收）","")),0)+O246</f>
        <v>2350</v>
      </c>
      <c r="AJ246" s="71">
        <f>IF(AF246&gt;0,_xlfn.MAXIFS(P:P,C:C,SUBSTITUTE(C246,"-儿童（加收）","")),0)+P246</f>
        <v>2000</v>
      </c>
    </row>
    <row r="247" s="22" customFormat="1" ht="25.5" spans="1:36">
      <c r="A247" s="34"/>
      <c r="B247" s="11"/>
      <c r="C247" s="37" t="s">
        <v>879</v>
      </c>
      <c r="D247" s="34"/>
      <c r="E247" s="48"/>
      <c r="F247" s="48"/>
      <c r="G247" s="34"/>
      <c r="H247" s="34"/>
      <c r="I247" s="54"/>
      <c r="J247" s="54"/>
      <c r="K247" s="52"/>
      <c r="L247" s="52"/>
      <c r="M247" s="52"/>
      <c r="N247" s="61">
        <v>2650</v>
      </c>
      <c r="O247" s="61">
        <v>2350</v>
      </c>
      <c r="P247" s="61">
        <v>2000</v>
      </c>
      <c r="Q247" s="34"/>
      <c r="R247" s="34"/>
      <c r="S247" s="63"/>
      <c r="T247" s="52"/>
      <c r="U247" s="48"/>
      <c r="V247" s="11" t="s">
        <v>895</v>
      </c>
      <c r="W247" s="11">
        <v>33070303204</v>
      </c>
      <c r="X247" s="11" t="s">
        <v>896</v>
      </c>
      <c r="Y247" s="12" t="s">
        <v>39</v>
      </c>
      <c r="Z247" s="12" t="s">
        <v>39</v>
      </c>
      <c r="AA247" s="14" t="s">
        <v>38</v>
      </c>
      <c r="AB247" s="12" t="s">
        <v>39</v>
      </c>
      <c r="AC247" s="18">
        <v>2250</v>
      </c>
      <c r="AD247" s="18">
        <v>2160</v>
      </c>
      <c r="AE247" s="18">
        <v>1836</v>
      </c>
      <c r="AF247" s="71">
        <f t="shared" si="22"/>
        <v>0</v>
      </c>
      <c r="AG247" s="71" t="str">
        <f t="shared" si="23"/>
        <v>膈肌修补费</v>
      </c>
      <c r="AH247" s="71">
        <f>IF(AF247&gt;0,_xlfn.MAXIFS(N:N,C:C,SUBSTITUTE(C247,"-儿童（加收）","")),0)+N247</f>
        <v>2650</v>
      </c>
      <c r="AI247" s="71">
        <f>IF(AF247&gt;0,_xlfn.MAXIFS(O:O,C:C,SUBSTITUTE(C247,"-儿童（加收）","")),0)+O247</f>
        <v>2350</v>
      </c>
      <c r="AJ247" s="71">
        <f>IF(AF247&gt;0,_xlfn.MAXIFS(P:P,C:C,SUBSTITUTE(C247,"-儿童（加收）","")),0)+P247</f>
        <v>2000</v>
      </c>
    </row>
    <row r="248" s="22" customFormat="1" ht="25.5" spans="1:36">
      <c r="A248" s="34"/>
      <c r="B248" s="11"/>
      <c r="C248" s="37" t="s">
        <v>879</v>
      </c>
      <c r="D248" s="34"/>
      <c r="E248" s="48"/>
      <c r="F248" s="48"/>
      <c r="G248" s="34"/>
      <c r="H248" s="34"/>
      <c r="I248" s="54"/>
      <c r="J248" s="54"/>
      <c r="K248" s="52"/>
      <c r="L248" s="52"/>
      <c r="M248" s="52"/>
      <c r="N248" s="61">
        <v>2650</v>
      </c>
      <c r="O248" s="61">
        <v>2350</v>
      </c>
      <c r="P248" s="61">
        <v>2000</v>
      </c>
      <c r="Q248" s="34"/>
      <c r="R248" s="34"/>
      <c r="S248" s="63"/>
      <c r="T248" s="52"/>
      <c r="U248" s="48"/>
      <c r="V248" s="11" t="s">
        <v>897</v>
      </c>
      <c r="W248" s="11">
        <v>33070303205</v>
      </c>
      <c r="X248" s="11" t="s">
        <v>898</v>
      </c>
      <c r="Y248" s="12" t="s">
        <v>39</v>
      </c>
      <c r="Z248" s="12" t="s">
        <v>39</v>
      </c>
      <c r="AA248" s="14" t="s">
        <v>38</v>
      </c>
      <c r="AB248" s="12" t="s">
        <v>894</v>
      </c>
      <c r="AC248" s="18">
        <v>2575</v>
      </c>
      <c r="AD248" s="18">
        <v>2470</v>
      </c>
      <c r="AE248" s="18">
        <v>2100</v>
      </c>
      <c r="AF248" s="71">
        <f t="shared" si="22"/>
        <v>0</v>
      </c>
      <c r="AG248" s="71" t="str">
        <f t="shared" si="23"/>
        <v>膈肌修补费</v>
      </c>
      <c r="AH248" s="71">
        <f>IF(AF248&gt;0,_xlfn.MAXIFS(N:N,C:C,SUBSTITUTE(C248,"-儿童（加收）","")),0)+N248</f>
        <v>2650</v>
      </c>
      <c r="AI248" s="71">
        <f>IF(AF248&gt;0,_xlfn.MAXIFS(O:O,C:C,SUBSTITUTE(C248,"-儿童（加收）","")),0)+O248</f>
        <v>2350</v>
      </c>
      <c r="AJ248" s="71">
        <f>IF(AF248&gt;0,_xlfn.MAXIFS(P:P,C:C,SUBSTITUTE(C248,"-儿童（加收）","")),0)+P248</f>
        <v>2000</v>
      </c>
    </row>
    <row r="249" s="22" customFormat="1" ht="25.5" spans="1:36">
      <c r="A249" s="34" t="s">
        <v>68</v>
      </c>
      <c r="B249" s="34" t="s">
        <v>899</v>
      </c>
      <c r="C249" s="37" t="s">
        <v>900</v>
      </c>
      <c r="D249" s="34" t="s">
        <v>297</v>
      </c>
      <c r="E249" s="48" t="s">
        <v>39</v>
      </c>
      <c r="F249" s="48" t="s">
        <v>39</v>
      </c>
      <c r="G249" s="34" t="s">
        <v>38</v>
      </c>
      <c r="H249" s="34" t="s">
        <v>39</v>
      </c>
      <c r="I249" s="15">
        <v>894</v>
      </c>
      <c r="J249" s="15">
        <v>804</v>
      </c>
      <c r="K249" s="79">
        <v>490</v>
      </c>
      <c r="L249" s="52"/>
      <c r="M249" s="52"/>
      <c r="N249" s="61">
        <v>795</v>
      </c>
      <c r="O249" s="61">
        <v>705</v>
      </c>
      <c r="P249" s="61">
        <v>600</v>
      </c>
      <c r="Q249" s="34" t="s">
        <v>40</v>
      </c>
      <c r="R249" s="34" t="s">
        <v>39</v>
      </c>
      <c r="S249" s="63" t="s">
        <v>39</v>
      </c>
      <c r="T249" s="52"/>
      <c r="U249" s="48" t="s">
        <v>71</v>
      </c>
      <c r="V249" s="11" t="s">
        <v>901</v>
      </c>
      <c r="W249" s="11">
        <v>33070302801</v>
      </c>
      <c r="X249" s="11" t="s">
        <v>902</v>
      </c>
      <c r="Y249" s="12" t="s">
        <v>39</v>
      </c>
      <c r="Z249" s="12" t="s">
        <v>39</v>
      </c>
      <c r="AA249" s="14" t="s">
        <v>38</v>
      </c>
      <c r="AB249" s="12" t="s">
        <v>39</v>
      </c>
      <c r="AC249" s="18">
        <v>2765</v>
      </c>
      <c r="AD249" s="18">
        <v>2650</v>
      </c>
      <c r="AE249" s="18">
        <v>2255</v>
      </c>
      <c r="AF249" s="71">
        <f t="shared" si="22"/>
        <v>6</v>
      </c>
      <c r="AG249" s="71" t="str">
        <f t="shared" si="23"/>
        <v>膈肌修补费</v>
      </c>
      <c r="AH249" s="71">
        <f>IF(AF249&gt;0,_xlfn.MAXIFS(N:N,C:C,SUBSTITUTE(C249,"-儿童（加收）","")),0)+N249</f>
        <v>3445</v>
      </c>
      <c r="AI249" s="71">
        <f>IF(AF249&gt;0,_xlfn.MAXIFS(O:O,C:C,SUBSTITUTE(C249,"-儿童（加收）","")),0)+O249</f>
        <v>3055</v>
      </c>
      <c r="AJ249" s="71">
        <f>IF(AF249&gt;0,_xlfn.MAXIFS(P:P,C:C,SUBSTITUTE(C249,"-儿童（加收）","")),0)+P249</f>
        <v>2600</v>
      </c>
    </row>
    <row r="250" s="22" customFormat="1" ht="25.5" spans="1:36">
      <c r="A250" s="34"/>
      <c r="B250" s="34"/>
      <c r="C250" s="37" t="s">
        <v>900</v>
      </c>
      <c r="D250" s="34"/>
      <c r="E250" s="48"/>
      <c r="F250" s="48"/>
      <c r="G250" s="34"/>
      <c r="H250" s="34"/>
      <c r="I250" s="54"/>
      <c r="J250" s="54"/>
      <c r="K250" s="79"/>
      <c r="L250" s="52"/>
      <c r="M250" s="52"/>
      <c r="N250" s="61">
        <v>795</v>
      </c>
      <c r="O250" s="61">
        <v>705</v>
      </c>
      <c r="P250" s="61">
        <v>600</v>
      </c>
      <c r="Q250" s="34"/>
      <c r="R250" s="34"/>
      <c r="S250" s="63"/>
      <c r="T250" s="52"/>
      <c r="U250" s="48"/>
      <c r="V250" s="11" t="s">
        <v>903</v>
      </c>
      <c r="W250" s="11">
        <v>33070302803</v>
      </c>
      <c r="X250" s="11" t="s">
        <v>904</v>
      </c>
      <c r="Y250" s="12" t="s">
        <v>39</v>
      </c>
      <c r="Z250" s="12" t="s">
        <v>39</v>
      </c>
      <c r="AA250" s="14" t="s">
        <v>38</v>
      </c>
      <c r="AB250" s="12" t="s">
        <v>39</v>
      </c>
      <c r="AC250" s="18">
        <v>3390</v>
      </c>
      <c r="AD250" s="18">
        <v>3250</v>
      </c>
      <c r="AE250" s="18">
        <v>2765</v>
      </c>
      <c r="AF250" s="71">
        <f t="shared" si="22"/>
        <v>6</v>
      </c>
      <c r="AG250" s="71" t="str">
        <f t="shared" si="23"/>
        <v>膈肌修补费</v>
      </c>
      <c r="AH250" s="71">
        <f>IF(AF250&gt;0,_xlfn.MAXIFS(N:N,C:C,SUBSTITUTE(C250,"-儿童（加收）","")),0)+N250</f>
        <v>3445</v>
      </c>
      <c r="AI250" s="71">
        <f>IF(AF250&gt;0,_xlfn.MAXIFS(O:O,C:C,SUBSTITUTE(C250,"-儿童（加收）","")),0)+O250</f>
        <v>3055</v>
      </c>
      <c r="AJ250" s="71">
        <f>IF(AF250&gt;0,_xlfn.MAXIFS(P:P,C:C,SUBSTITUTE(C250,"-儿童（加收）","")),0)+P250</f>
        <v>2600</v>
      </c>
    </row>
    <row r="251" s="22" customFormat="1" ht="25.5" spans="1:36">
      <c r="A251" s="34"/>
      <c r="B251" s="34"/>
      <c r="C251" s="37" t="s">
        <v>900</v>
      </c>
      <c r="D251" s="34"/>
      <c r="E251" s="48"/>
      <c r="F251" s="48"/>
      <c r="G251" s="34"/>
      <c r="H251" s="34"/>
      <c r="I251" s="54"/>
      <c r="J251" s="54"/>
      <c r="K251" s="79"/>
      <c r="L251" s="52"/>
      <c r="M251" s="52"/>
      <c r="N251" s="61">
        <v>795</v>
      </c>
      <c r="O251" s="61">
        <v>705</v>
      </c>
      <c r="P251" s="61">
        <v>600</v>
      </c>
      <c r="Q251" s="34"/>
      <c r="R251" s="34"/>
      <c r="S251" s="63"/>
      <c r="T251" s="52"/>
      <c r="U251" s="48"/>
      <c r="V251" s="11" t="s">
        <v>905</v>
      </c>
      <c r="W251" s="11">
        <v>33070303202</v>
      </c>
      <c r="X251" s="11" t="s">
        <v>906</v>
      </c>
      <c r="Y251" s="12" t="s">
        <v>39</v>
      </c>
      <c r="Z251" s="12" t="s">
        <v>39</v>
      </c>
      <c r="AA251" s="14" t="s">
        <v>38</v>
      </c>
      <c r="AB251" s="12" t="s">
        <v>39</v>
      </c>
      <c r="AC251" s="18">
        <v>2115</v>
      </c>
      <c r="AD251" s="18">
        <v>2030</v>
      </c>
      <c r="AE251" s="18">
        <v>1725</v>
      </c>
      <c r="AF251" s="71">
        <f t="shared" si="22"/>
        <v>6</v>
      </c>
      <c r="AG251" s="71" t="str">
        <f t="shared" si="23"/>
        <v>膈肌修补费</v>
      </c>
      <c r="AH251" s="71">
        <f>IF(AF251&gt;0,_xlfn.MAXIFS(N:N,C:C,SUBSTITUTE(C251,"-儿童（加收）","")),0)+N251</f>
        <v>3445</v>
      </c>
      <c r="AI251" s="71">
        <f>IF(AF251&gt;0,_xlfn.MAXIFS(O:O,C:C,SUBSTITUTE(C251,"-儿童（加收）","")),0)+O251</f>
        <v>3055</v>
      </c>
      <c r="AJ251" s="71">
        <f>IF(AF251&gt;0,_xlfn.MAXIFS(P:P,C:C,SUBSTITUTE(C251,"-儿童（加收）","")),0)+P251</f>
        <v>2600</v>
      </c>
    </row>
    <row r="252" s="22" customFormat="1" ht="25.5" spans="1:36">
      <c r="A252" s="34"/>
      <c r="B252" s="34"/>
      <c r="C252" s="37" t="s">
        <v>900</v>
      </c>
      <c r="D252" s="34"/>
      <c r="E252" s="48"/>
      <c r="F252" s="48"/>
      <c r="G252" s="34"/>
      <c r="H252" s="34"/>
      <c r="I252" s="54"/>
      <c r="J252" s="54"/>
      <c r="K252" s="79"/>
      <c r="L252" s="52"/>
      <c r="M252" s="52"/>
      <c r="N252" s="61">
        <v>795</v>
      </c>
      <c r="O252" s="61">
        <v>705</v>
      </c>
      <c r="P252" s="61">
        <v>600</v>
      </c>
      <c r="Q252" s="34"/>
      <c r="R252" s="34"/>
      <c r="S252" s="63"/>
      <c r="T252" s="52"/>
      <c r="U252" s="48"/>
      <c r="V252" s="11" t="s">
        <v>907</v>
      </c>
      <c r="W252" s="11">
        <v>33070303203</v>
      </c>
      <c r="X252" s="11" t="s">
        <v>908</v>
      </c>
      <c r="Y252" s="12" t="s">
        <v>39</v>
      </c>
      <c r="Z252" s="12" t="s">
        <v>39</v>
      </c>
      <c r="AA252" s="14" t="s">
        <v>38</v>
      </c>
      <c r="AB252" s="12" t="s">
        <v>894</v>
      </c>
      <c r="AC252" s="18">
        <v>2535</v>
      </c>
      <c r="AD252" s="18">
        <v>2430</v>
      </c>
      <c r="AE252" s="18">
        <v>2065</v>
      </c>
      <c r="AF252" s="71">
        <f t="shared" si="22"/>
        <v>6</v>
      </c>
      <c r="AG252" s="71" t="str">
        <f t="shared" si="23"/>
        <v>膈肌修补费</v>
      </c>
      <c r="AH252" s="71">
        <f>IF(AF252&gt;0,_xlfn.MAXIFS(N:N,C:C,SUBSTITUTE(C252,"-儿童（加收）","")),0)+N252</f>
        <v>3445</v>
      </c>
      <c r="AI252" s="71">
        <f>IF(AF252&gt;0,_xlfn.MAXIFS(O:O,C:C,SUBSTITUTE(C252,"-儿童（加收）","")),0)+O252</f>
        <v>3055</v>
      </c>
      <c r="AJ252" s="71">
        <f>IF(AF252&gt;0,_xlfn.MAXIFS(P:P,C:C,SUBSTITUTE(C252,"-儿童（加收）","")),0)+P252</f>
        <v>2600</v>
      </c>
    </row>
    <row r="253" s="22" customFormat="1" ht="25.5" spans="1:36">
      <c r="A253" s="34"/>
      <c r="B253" s="34"/>
      <c r="C253" s="37" t="s">
        <v>900</v>
      </c>
      <c r="D253" s="34"/>
      <c r="E253" s="48"/>
      <c r="F253" s="48"/>
      <c r="G253" s="34"/>
      <c r="H253" s="34"/>
      <c r="I253" s="54"/>
      <c r="J253" s="54"/>
      <c r="K253" s="79"/>
      <c r="L253" s="52"/>
      <c r="M253" s="52"/>
      <c r="N253" s="61">
        <v>795</v>
      </c>
      <c r="O253" s="61">
        <v>705</v>
      </c>
      <c r="P253" s="61">
        <v>600</v>
      </c>
      <c r="Q253" s="34"/>
      <c r="R253" s="34"/>
      <c r="S253" s="63"/>
      <c r="T253" s="52"/>
      <c r="U253" s="48"/>
      <c r="V253" s="11" t="s">
        <v>909</v>
      </c>
      <c r="W253" s="11">
        <v>33070303206</v>
      </c>
      <c r="X253" s="11" t="s">
        <v>910</v>
      </c>
      <c r="Y253" s="12" t="s">
        <v>39</v>
      </c>
      <c r="Z253" s="12" t="s">
        <v>39</v>
      </c>
      <c r="AA253" s="14" t="s">
        <v>38</v>
      </c>
      <c r="AB253" s="12" t="s">
        <v>39</v>
      </c>
      <c r="AC253" s="18">
        <v>2740</v>
      </c>
      <c r="AD253" s="18">
        <v>2630</v>
      </c>
      <c r="AE253" s="18">
        <v>2235</v>
      </c>
      <c r="AF253" s="71">
        <f t="shared" si="22"/>
        <v>6</v>
      </c>
      <c r="AG253" s="71" t="str">
        <f t="shared" si="23"/>
        <v>膈肌修补费</v>
      </c>
      <c r="AH253" s="71">
        <f>IF(AF253&gt;0,_xlfn.MAXIFS(N:N,C:C,SUBSTITUTE(C253,"-儿童（加收）","")),0)+N253</f>
        <v>3445</v>
      </c>
      <c r="AI253" s="71">
        <f>IF(AF253&gt;0,_xlfn.MAXIFS(O:O,C:C,SUBSTITUTE(C253,"-儿童（加收）","")),0)+O253</f>
        <v>3055</v>
      </c>
      <c r="AJ253" s="71">
        <f>IF(AF253&gt;0,_xlfn.MAXIFS(P:P,C:C,SUBSTITUTE(C253,"-儿童（加收）","")),0)+P253</f>
        <v>2600</v>
      </c>
    </row>
    <row r="254" s="22" customFormat="1" ht="25.5" spans="1:36">
      <c r="A254" s="34"/>
      <c r="B254" s="34"/>
      <c r="C254" s="37" t="s">
        <v>900</v>
      </c>
      <c r="D254" s="34"/>
      <c r="E254" s="48"/>
      <c r="F254" s="48"/>
      <c r="G254" s="34"/>
      <c r="H254" s="34"/>
      <c r="I254" s="54"/>
      <c r="J254" s="54"/>
      <c r="K254" s="79"/>
      <c r="L254" s="52"/>
      <c r="M254" s="52"/>
      <c r="N254" s="61">
        <v>795</v>
      </c>
      <c r="O254" s="61">
        <v>705</v>
      </c>
      <c r="P254" s="61">
        <v>600</v>
      </c>
      <c r="Q254" s="34"/>
      <c r="R254" s="34"/>
      <c r="S254" s="63"/>
      <c r="T254" s="52"/>
      <c r="U254" s="48"/>
      <c r="V254" s="11" t="s">
        <v>911</v>
      </c>
      <c r="W254" s="11">
        <v>33070303207</v>
      </c>
      <c r="X254" s="11" t="s">
        <v>912</v>
      </c>
      <c r="Y254" s="12" t="s">
        <v>39</v>
      </c>
      <c r="Z254" s="12" t="s">
        <v>39</v>
      </c>
      <c r="AA254" s="14" t="s">
        <v>38</v>
      </c>
      <c r="AB254" s="12" t="s">
        <v>894</v>
      </c>
      <c r="AC254" s="18">
        <v>3160</v>
      </c>
      <c r="AD254" s="18">
        <v>3030</v>
      </c>
      <c r="AE254" s="18">
        <v>2575</v>
      </c>
      <c r="AF254" s="71">
        <f t="shared" si="22"/>
        <v>6</v>
      </c>
      <c r="AG254" s="71" t="str">
        <f t="shared" si="23"/>
        <v>膈肌修补费</v>
      </c>
      <c r="AH254" s="71">
        <f>IF(AF254&gt;0,_xlfn.MAXIFS(N:N,C:C,SUBSTITUTE(C254,"-儿童（加收）","")),0)+N254</f>
        <v>3445</v>
      </c>
      <c r="AI254" s="71">
        <f>IF(AF254&gt;0,_xlfn.MAXIFS(O:O,C:C,SUBSTITUTE(C254,"-儿童（加收）","")),0)+O254</f>
        <v>3055</v>
      </c>
      <c r="AJ254" s="71">
        <f>IF(AF254&gt;0,_xlfn.MAXIFS(P:P,C:C,SUBSTITUTE(C254,"-儿童（加收）","")),0)+P254</f>
        <v>2600</v>
      </c>
    </row>
    <row r="255" s="22" customFormat="1" ht="25.5" spans="1:36">
      <c r="A255" s="34">
        <v>63</v>
      </c>
      <c r="B255" s="11" t="s">
        <v>913</v>
      </c>
      <c r="C255" s="37" t="s">
        <v>914</v>
      </c>
      <c r="D255" s="34" t="s">
        <v>297</v>
      </c>
      <c r="E255" s="48" t="s">
        <v>915</v>
      </c>
      <c r="F255" s="48" t="s">
        <v>916</v>
      </c>
      <c r="G255" s="34" t="s">
        <v>38</v>
      </c>
      <c r="H255" s="34" t="s">
        <v>39</v>
      </c>
      <c r="I255" s="15">
        <v>2726</v>
      </c>
      <c r="J255" s="15">
        <v>2453</v>
      </c>
      <c r="K255" s="52"/>
      <c r="L255" s="52"/>
      <c r="M255" s="52"/>
      <c r="N255" s="61">
        <v>2450</v>
      </c>
      <c r="O255" s="61">
        <v>2200</v>
      </c>
      <c r="P255" s="61">
        <v>1900</v>
      </c>
      <c r="Q255" s="34" t="s">
        <v>40</v>
      </c>
      <c r="R255" s="34" t="s">
        <v>39</v>
      </c>
      <c r="S255" s="63" t="s">
        <v>39</v>
      </c>
      <c r="T255" s="52" t="s">
        <v>264</v>
      </c>
      <c r="U255" s="48" t="s">
        <v>399</v>
      </c>
      <c r="V255" s="34" t="s">
        <v>917</v>
      </c>
      <c r="W255" s="34">
        <v>330703029</v>
      </c>
      <c r="X255" s="34" t="s">
        <v>918</v>
      </c>
      <c r="Y255" s="12" t="s">
        <v>919</v>
      </c>
      <c r="Z255" s="12" t="s">
        <v>39</v>
      </c>
      <c r="AA255" s="14" t="s">
        <v>38</v>
      </c>
      <c r="AB255" s="12" t="s">
        <v>39</v>
      </c>
      <c r="AC255" s="18">
        <v>1875</v>
      </c>
      <c r="AD255" s="18">
        <v>1800</v>
      </c>
      <c r="AE255" s="18">
        <v>1530</v>
      </c>
      <c r="AF255" s="71">
        <f t="shared" si="22"/>
        <v>0</v>
      </c>
      <c r="AG255" s="71" t="str">
        <f t="shared" si="23"/>
        <v>膈肌折叠费</v>
      </c>
      <c r="AH255" s="71">
        <f>IF(AF255&gt;0,_xlfn.MAXIFS(N:N,C:C,SUBSTITUTE(C255,"-儿童（加收）","")),0)+N255</f>
        <v>2450</v>
      </c>
      <c r="AI255" s="71">
        <f>IF(AF255&gt;0,_xlfn.MAXIFS(O:O,C:C,SUBSTITUTE(C255,"-儿童（加收）","")),0)+O255</f>
        <v>2200</v>
      </c>
      <c r="AJ255" s="71">
        <f>IF(AF255&gt;0,_xlfn.MAXIFS(P:P,C:C,SUBSTITUTE(C255,"-儿童（加收）","")),0)+P255</f>
        <v>1900</v>
      </c>
    </row>
    <row r="256" s="22" customFormat="1" ht="25.5" spans="1:36">
      <c r="A256" s="34"/>
      <c r="B256" s="11"/>
      <c r="C256" s="37" t="s">
        <v>914</v>
      </c>
      <c r="D256" s="34"/>
      <c r="E256" s="48"/>
      <c r="F256" s="48"/>
      <c r="G256" s="34"/>
      <c r="H256" s="34"/>
      <c r="I256" s="54"/>
      <c r="J256" s="54"/>
      <c r="K256" s="52"/>
      <c r="L256" s="52"/>
      <c r="M256" s="52"/>
      <c r="N256" s="61">
        <v>2450</v>
      </c>
      <c r="O256" s="61">
        <v>2200</v>
      </c>
      <c r="P256" s="61">
        <v>1900</v>
      </c>
      <c r="Q256" s="34"/>
      <c r="R256" s="34"/>
      <c r="S256" s="63"/>
      <c r="T256" s="52"/>
      <c r="U256" s="48"/>
      <c r="V256" s="11" t="s">
        <v>920</v>
      </c>
      <c r="W256" s="11">
        <v>33070302902</v>
      </c>
      <c r="X256" s="11" t="s">
        <v>921</v>
      </c>
      <c r="Y256" s="12" t="s">
        <v>39</v>
      </c>
      <c r="Z256" s="12" t="s">
        <v>39</v>
      </c>
      <c r="AA256" s="14" t="s">
        <v>38</v>
      </c>
      <c r="AB256" s="12" t="s">
        <v>39</v>
      </c>
      <c r="AC256" s="18">
        <v>2500</v>
      </c>
      <c r="AD256" s="18">
        <v>2400</v>
      </c>
      <c r="AE256" s="18">
        <v>2040</v>
      </c>
      <c r="AF256" s="71">
        <f t="shared" si="22"/>
        <v>0</v>
      </c>
      <c r="AG256" s="71" t="str">
        <f t="shared" si="23"/>
        <v>膈肌折叠费</v>
      </c>
      <c r="AH256" s="71">
        <f>IF(AF256&gt;0,_xlfn.MAXIFS(N:N,C:C,SUBSTITUTE(C256,"-儿童（加收）","")),0)+N256</f>
        <v>2450</v>
      </c>
      <c r="AI256" s="71">
        <f>IF(AF256&gt;0,_xlfn.MAXIFS(O:O,C:C,SUBSTITUTE(C256,"-儿童（加收）","")),0)+O256</f>
        <v>2200</v>
      </c>
      <c r="AJ256" s="71">
        <f>IF(AF256&gt;0,_xlfn.MAXIFS(P:P,C:C,SUBSTITUTE(C256,"-儿童（加收）","")),0)+P256</f>
        <v>1900</v>
      </c>
    </row>
    <row r="257" s="22" customFormat="1" ht="25.5" spans="1:36">
      <c r="A257" s="34" t="s">
        <v>68</v>
      </c>
      <c r="B257" s="34" t="s">
        <v>922</v>
      </c>
      <c r="C257" s="37" t="s">
        <v>923</v>
      </c>
      <c r="D257" s="34" t="s">
        <v>297</v>
      </c>
      <c r="E257" s="48" t="s">
        <v>39</v>
      </c>
      <c r="F257" s="48" t="s">
        <v>39</v>
      </c>
      <c r="G257" s="34" t="s">
        <v>38</v>
      </c>
      <c r="H257" s="34" t="s">
        <v>39</v>
      </c>
      <c r="I257" s="15">
        <v>818</v>
      </c>
      <c r="J257" s="15">
        <v>736</v>
      </c>
      <c r="K257" s="52"/>
      <c r="L257" s="52"/>
      <c r="M257" s="52"/>
      <c r="N257" s="61">
        <v>735</v>
      </c>
      <c r="O257" s="61">
        <v>660</v>
      </c>
      <c r="P257" s="61">
        <v>570</v>
      </c>
      <c r="Q257" s="34" t="s">
        <v>40</v>
      </c>
      <c r="R257" s="34" t="s">
        <v>39</v>
      </c>
      <c r="S257" s="63" t="s">
        <v>39</v>
      </c>
      <c r="T257" s="52"/>
      <c r="U257" s="48" t="s">
        <v>71</v>
      </c>
      <c r="V257" s="11" t="s">
        <v>924</v>
      </c>
      <c r="W257" s="11">
        <v>33070302901</v>
      </c>
      <c r="X257" s="11" t="s">
        <v>925</v>
      </c>
      <c r="Y257" s="12" t="s">
        <v>39</v>
      </c>
      <c r="Z257" s="12" t="s">
        <v>39</v>
      </c>
      <c r="AA257" s="14" t="s">
        <v>38</v>
      </c>
      <c r="AB257" s="12" t="s">
        <v>39</v>
      </c>
      <c r="AC257" s="18">
        <v>2440</v>
      </c>
      <c r="AD257" s="18">
        <v>2340</v>
      </c>
      <c r="AE257" s="18">
        <v>1990</v>
      </c>
      <c r="AF257" s="71">
        <f t="shared" si="22"/>
        <v>6</v>
      </c>
      <c r="AG257" s="71" t="str">
        <f t="shared" si="23"/>
        <v>膈肌折叠费</v>
      </c>
      <c r="AH257" s="71">
        <f>IF(AF257&gt;0,_xlfn.MAXIFS(N:N,C:C,SUBSTITUTE(C257,"-儿童（加收）","")),0)+N257</f>
        <v>3185</v>
      </c>
      <c r="AI257" s="71">
        <f>IF(AF257&gt;0,_xlfn.MAXIFS(O:O,C:C,SUBSTITUTE(C257,"-儿童（加收）","")),0)+O257</f>
        <v>2860</v>
      </c>
      <c r="AJ257" s="71">
        <f>IF(AF257&gt;0,_xlfn.MAXIFS(P:P,C:C,SUBSTITUTE(C257,"-儿童（加收）","")),0)+P257</f>
        <v>2470</v>
      </c>
    </row>
    <row r="258" s="22" customFormat="1" ht="25.5" spans="1:36">
      <c r="A258" s="34"/>
      <c r="B258" s="34"/>
      <c r="C258" s="37" t="s">
        <v>923</v>
      </c>
      <c r="D258" s="34"/>
      <c r="E258" s="48"/>
      <c r="F258" s="48"/>
      <c r="G258" s="34"/>
      <c r="H258" s="34"/>
      <c r="I258" s="54"/>
      <c r="J258" s="54"/>
      <c r="K258" s="52"/>
      <c r="L258" s="52"/>
      <c r="M258" s="52"/>
      <c r="N258" s="61">
        <v>735</v>
      </c>
      <c r="O258" s="61">
        <v>660</v>
      </c>
      <c r="P258" s="61">
        <v>570</v>
      </c>
      <c r="Q258" s="34"/>
      <c r="R258" s="34"/>
      <c r="S258" s="63"/>
      <c r="T258" s="52"/>
      <c r="U258" s="48"/>
      <c r="V258" s="11" t="s">
        <v>926</v>
      </c>
      <c r="W258" s="11">
        <v>33070302903</v>
      </c>
      <c r="X258" s="11" t="s">
        <v>927</v>
      </c>
      <c r="Y258" s="12" t="s">
        <v>39</v>
      </c>
      <c r="Z258" s="12" t="s">
        <v>39</v>
      </c>
      <c r="AA258" s="14" t="s">
        <v>38</v>
      </c>
      <c r="AB258" s="12" t="s">
        <v>39</v>
      </c>
      <c r="AC258" s="18">
        <v>3065</v>
      </c>
      <c r="AD258" s="18">
        <v>2940</v>
      </c>
      <c r="AE258" s="18">
        <v>2500</v>
      </c>
      <c r="AF258" s="71">
        <f t="shared" si="22"/>
        <v>6</v>
      </c>
      <c r="AG258" s="71" t="str">
        <f t="shared" si="23"/>
        <v>膈肌折叠费</v>
      </c>
      <c r="AH258" s="71">
        <f>IF(AF258&gt;0,_xlfn.MAXIFS(N:N,C:C,SUBSTITUTE(C258,"-儿童（加收）","")),0)+N258</f>
        <v>3185</v>
      </c>
      <c r="AI258" s="71">
        <f>IF(AF258&gt;0,_xlfn.MAXIFS(O:O,C:C,SUBSTITUTE(C258,"-儿童（加收）","")),0)+O258</f>
        <v>2860</v>
      </c>
      <c r="AJ258" s="71">
        <f>IF(AF258&gt;0,_xlfn.MAXIFS(P:P,C:C,SUBSTITUTE(C258,"-儿童（加收）","")),0)+P258</f>
        <v>2470</v>
      </c>
    </row>
    <row r="259" s="22" customFormat="1" ht="58" customHeight="1" spans="1:36">
      <c r="A259" s="34">
        <v>66</v>
      </c>
      <c r="B259" s="11" t="s">
        <v>940</v>
      </c>
      <c r="C259" s="34" t="s">
        <v>941</v>
      </c>
      <c r="D259" s="38" t="s">
        <v>297</v>
      </c>
      <c r="E259" s="48" t="s">
        <v>942</v>
      </c>
      <c r="F259" s="48" t="s">
        <v>943</v>
      </c>
      <c r="G259" s="34" t="s">
        <v>38</v>
      </c>
      <c r="H259" s="34" t="s">
        <v>944</v>
      </c>
      <c r="I259" s="15">
        <v>2190</v>
      </c>
      <c r="J259" s="15">
        <v>1971</v>
      </c>
      <c r="K259" s="52">
        <v>2530</v>
      </c>
      <c r="L259" s="52">
        <v>2280</v>
      </c>
      <c r="M259" s="52">
        <v>1940</v>
      </c>
      <c r="N259" s="18">
        <v>2000</v>
      </c>
      <c r="O259" s="18">
        <v>1800</v>
      </c>
      <c r="P259" s="18">
        <v>1550</v>
      </c>
      <c r="Q259" s="34" t="s">
        <v>40</v>
      </c>
      <c r="R259" s="34" t="s">
        <v>39</v>
      </c>
      <c r="S259" s="34" t="s">
        <v>39</v>
      </c>
      <c r="T259" s="52" t="s">
        <v>41</v>
      </c>
      <c r="U259" s="48" t="s">
        <v>945</v>
      </c>
      <c r="V259" s="34" t="s">
        <v>946</v>
      </c>
      <c r="W259" s="34">
        <v>330900010</v>
      </c>
      <c r="X259" s="34" t="s">
        <v>947</v>
      </c>
      <c r="Y259" s="12" t="s">
        <v>39</v>
      </c>
      <c r="Z259" s="12" t="s">
        <v>39</v>
      </c>
      <c r="AA259" s="14" t="s">
        <v>38</v>
      </c>
      <c r="AB259" s="12" t="s">
        <v>39</v>
      </c>
      <c r="AC259" s="18">
        <v>2530</v>
      </c>
      <c r="AD259" s="18">
        <v>2280</v>
      </c>
      <c r="AE259" s="18">
        <v>1940</v>
      </c>
      <c r="AF259" s="71">
        <f t="shared" si="22"/>
        <v>0</v>
      </c>
      <c r="AG259" s="71" t="str">
        <f t="shared" si="23"/>
        <v>胸腔淋巴清扫费</v>
      </c>
      <c r="AH259" s="71">
        <f>IF(AF259&gt;0,_xlfn.MAXIFS(N:N,C:C,SUBSTITUTE(C259,"-儿童（加收）","")),0)+N259</f>
        <v>2000</v>
      </c>
      <c r="AI259" s="71">
        <f>IF(AF259&gt;0,_xlfn.MAXIFS(O:O,C:C,SUBSTITUTE(C259,"-儿童（加收）","")),0)+O259</f>
        <v>1800</v>
      </c>
      <c r="AJ259" s="71">
        <f>IF(AF259&gt;0,_xlfn.MAXIFS(P:P,C:C,SUBSTITUTE(C259,"-儿童（加收）","")),0)+P259</f>
        <v>1550</v>
      </c>
    </row>
    <row r="260" s="22" customFormat="1" ht="38" customHeight="1" spans="1:36">
      <c r="A260" s="34" t="s">
        <v>68</v>
      </c>
      <c r="B260" s="11" t="s">
        <v>948</v>
      </c>
      <c r="C260" s="34" t="s">
        <v>949</v>
      </c>
      <c r="D260" s="38" t="s">
        <v>297</v>
      </c>
      <c r="E260" s="48" t="s">
        <v>39</v>
      </c>
      <c r="F260" s="48" t="s">
        <v>39</v>
      </c>
      <c r="G260" s="34" t="s">
        <v>38</v>
      </c>
      <c r="H260" s="34" t="s">
        <v>39</v>
      </c>
      <c r="I260" s="15">
        <v>657</v>
      </c>
      <c r="J260" s="15">
        <v>591</v>
      </c>
      <c r="K260" s="52"/>
      <c r="L260" s="52"/>
      <c r="M260" s="52"/>
      <c r="N260" s="18">
        <v>600</v>
      </c>
      <c r="O260" s="18">
        <v>540</v>
      </c>
      <c r="P260" s="18">
        <v>460</v>
      </c>
      <c r="Q260" s="34" t="s">
        <v>40</v>
      </c>
      <c r="R260" s="34" t="s">
        <v>39</v>
      </c>
      <c r="S260" s="34" t="s">
        <v>39</v>
      </c>
      <c r="T260" s="52"/>
      <c r="U260" s="48" t="s">
        <v>71</v>
      </c>
      <c r="V260" s="34" t="s">
        <v>950</v>
      </c>
      <c r="W260" s="34">
        <v>33090001001</v>
      </c>
      <c r="X260" s="34" t="s">
        <v>951</v>
      </c>
      <c r="Y260" s="12" t="s">
        <v>39</v>
      </c>
      <c r="Z260" s="12" t="s">
        <v>39</v>
      </c>
      <c r="AA260" s="14" t="s">
        <v>38</v>
      </c>
      <c r="AB260" s="12" t="s">
        <v>39</v>
      </c>
      <c r="AC260" s="18">
        <v>3290</v>
      </c>
      <c r="AD260" s="18">
        <v>2965</v>
      </c>
      <c r="AE260" s="18">
        <v>2520</v>
      </c>
      <c r="AF260" s="71">
        <f t="shared" si="22"/>
        <v>8</v>
      </c>
      <c r="AG260" s="71" t="str">
        <f t="shared" si="23"/>
        <v>胸腔淋巴清扫费</v>
      </c>
      <c r="AH260" s="71">
        <f>IF(AF260&gt;0,_xlfn.MAXIFS(N:N,C:C,SUBSTITUTE(C260,"-儿童（加收）","")),0)+N260</f>
        <v>2600</v>
      </c>
      <c r="AI260" s="71">
        <f>IF(AF260&gt;0,_xlfn.MAXIFS(O:O,C:C,SUBSTITUTE(C260,"-儿童（加收）","")),0)+O260</f>
        <v>2340</v>
      </c>
      <c r="AJ260" s="71">
        <f>IF(AF260&gt;0,_xlfn.MAXIFS(P:P,C:C,SUBSTITUTE(C260,"-儿童（加收）","")),0)+P260</f>
        <v>2010</v>
      </c>
    </row>
    <row r="261" s="22" customFormat="1" ht="62" customHeight="1" spans="1:36">
      <c r="A261" s="34">
        <v>67</v>
      </c>
      <c r="B261" s="11" t="s">
        <v>955</v>
      </c>
      <c r="C261" s="34" t="s">
        <v>956</v>
      </c>
      <c r="D261" s="38" t="s">
        <v>297</v>
      </c>
      <c r="E261" s="48" t="s">
        <v>957</v>
      </c>
      <c r="F261" s="48" t="s">
        <v>958</v>
      </c>
      <c r="G261" s="34" t="s">
        <v>38</v>
      </c>
      <c r="H261" s="34" t="s">
        <v>39</v>
      </c>
      <c r="I261" s="15">
        <v>1674</v>
      </c>
      <c r="J261" s="15">
        <v>1507</v>
      </c>
      <c r="K261" s="52">
        <v>1500</v>
      </c>
      <c r="L261" s="52">
        <v>1440</v>
      </c>
      <c r="M261" s="52">
        <v>1224</v>
      </c>
      <c r="N261" s="18">
        <v>1500</v>
      </c>
      <c r="O261" s="18">
        <v>1440</v>
      </c>
      <c r="P261" s="18">
        <v>1224</v>
      </c>
      <c r="Q261" s="34" t="s">
        <v>40</v>
      </c>
      <c r="R261" s="34" t="s">
        <v>39</v>
      </c>
      <c r="S261" s="34" t="s">
        <v>39</v>
      </c>
      <c r="T261" s="52" t="s">
        <v>113</v>
      </c>
      <c r="U261" s="48" t="s">
        <v>113</v>
      </c>
      <c r="V261" s="34" t="s">
        <v>959</v>
      </c>
      <c r="W261" s="34">
        <v>330703022</v>
      </c>
      <c r="X261" s="34" t="s">
        <v>960</v>
      </c>
      <c r="Y261" s="12" t="s">
        <v>39</v>
      </c>
      <c r="Z261" s="12" t="s">
        <v>39</v>
      </c>
      <c r="AA261" s="14" t="s">
        <v>38</v>
      </c>
      <c r="AB261" s="12" t="s">
        <v>39</v>
      </c>
      <c r="AC261" s="18">
        <v>1500</v>
      </c>
      <c r="AD261" s="18">
        <v>1440</v>
      </c>
      <c r="AE261" s="18">
        <v>1224</v>
      </c>
      <c r="AF261" s="71">
        <f t="shared" si="22"/>
        <v>0</v>
      </c>
      <c r="AG261" s="71" t="str">
        <f t="shared" si="23"/>
        <v>胸腔粘连松解费</v>
      </c>
      <c r="AH261" s="71">
        <f>IF(AF261&gt;0,_xlfn.MAXIFS(N:N,C:C,SUBSTITUTE(C261,"-儿童（加收）","")),0)+N261</f>
        <v>1500</v>
      </c>
      <c r="AI261" s="71">
        <f>IF(AF261&gt;0,_xlfn.MAXIFS(O:O,C:C,SUBSTITUTE(C261,"-儿童（加收）","")),0)+O261</f>
        <v>1440</v>
      </c>
      <c r="AJ261" s="71">
        <f>IF(AF261&gt;0,_xlfn.MAXIFS(P:P,C:C,SUBSTITUTE(C261,"-儿童（加收）","")),0)+P261</f>
        <v>1224</v>
      </c>
    </row>
    <row r="262" s="22" customFormat="1" ht="36" customHeight="1" spans="1:36">
      <c r="A262" s="34" t="s">
        <v>68</v>
      </c>
      <c r="B262" s="11" t="s">
        <v>961</v>
      </c>
      <c r="C262" s="34" t="s">
        <v>962</v>
      </c>
      <c r="D262" s="38" t="s">
        <v>297</v>
      </c>
      <c r="E262" s="48" t="s">
        <v>39</v>
      </c>
      <c r="F262" s="48" t="s">
        <v>39</v>
      </c>
      <c r="G262" s="34" t="s">
        <v>38</v>
      </c>
      <c r="H262" s="34" t="s">
        <v>39</v>
      </c>
      <c r="I262" s="15">
        <v>502</v>
      </c>
      <c r="J262" s="15">
        <v>452</v>
      </c>
      <c r="K262" s="52"/>
      <c r="L262" s="52"/>
      <c r="M262" s="52"/>
      <c r="N262" s="18">
        <v>450</v>
      </c>
      <c r="O262" s="18">
        <v>430</v>
      </c>
      <c r="P262" s="18">
        <v>365</v>
      </c>
      <c r="Q262" s="34" t="s">
        <v>40</v>
      </c>
      <c r="R262" s="34" t="s">
        <v>39</v>
      </c>
      <c r="S262" s="34" t="s">
        <v>39</v>
      </c>
      <c r="T262" s="52"/>
      <c r="U262" s="48" t="s">
        <v>71</v>
      </c>
      <c r="V262" s="34" t="s">
        <v>963</v>
      </c>
      <c r="W262" s="34">
        <v>33070302201</v>
      </c>
      <c r="X262" s="34" t="s">
        <v>964</v>
      </c>
      <c r="Y262" s="12" t="s">
        <v>39</v>
      </c>
      <c r="Z262" s="12" t="s">
        <v>39</v>
      </c>
      <c r="AA262" s="14" t="s">
        <v>38</v>
      </c>
      <c r="AB262" s="12" t="s">
        <v>39</v>
      </c>
      <c r="AC262" s="18">
        <v>1950</v>
      </c>
      <c r="AD262" s="18">
        <v>1870</v>
      </c>
      <c r="AE262" s="18">
        <v>1590</v>
      </c>
      <c r="AF262" s="71">
        <f t="shared" si="22"/>
        <v>8</v>
      </c>
      <c r="AG262" s="71" t="str">
        <f t="shared" si="23"/>
        <v>胸腔粘连松解费</v>
      </c>
      <c r="AH262" s="71">
        <f>IF(AF262&gt;0,_xlfn.MAXIFS(N:N,C:C,SUBSTITUTE(C262,"-儿童（加收）","")),0)+N262</f>
        <v>1950</v>
      </c>
      <c r="AI262" s="71">
        <f>IF(AF262&gt;0,_xlfn.MAXIFS(O:O,C:C,SUBSTITUTE(C262,"-儿童（加收）","")),0)+O262</f>
        <v>1870</v>
      </c>
      <c r="AJ262" s="71">
        <f>IF(AF262&gt;0,_xlfn.MAXIFS(P:P,C:C,SUBSTITUTE(C262,"-儿童（加收）","")),0)+P262</f>
        <v>1589</v>
      </c>
    </row>
    <row r="263" s="22" customFormat="1" ht="33" customHeight="1" spans="1:36">
      <c r="A263" s="34">
        <v>68</v>
      </c>
      <c r="B263" s="11" t="s">
        <v>965</v>
      </c>
      <c r="C263" s="37" t="s">
        <v>966</v>
      </c>
      <c r="D263" s="11" t="s">
        <v>297</v>
      </c>
      <c r="E263" s="48" t="s">
        <v>967</v>
      </c>
      <c r="F263" s="48" t="s">
        <v>398</v>
      </c>
      <c r="G263" s="34" t="s">
        <v>38</v>
      </c>
      <c r="H263" s="34" t="s">
        <v>39</v>
      </c>
      <c r="I263" s="15">
        <v>5866</v>
      </c>
      <c r="J263" s="15">
        <v>5279</v>
      </c>
      <c r="K263" s="53">
        <v>4505.71428571429</v>
      </c>
      <c r="L263" s="53">
        <v>3973.90728476821</v>
      </c>
      <c r="M263" s="53">
        <v>3495</v>
      </c>
      <c r="N263" s="59">
        <v>5200</v>
      </c>
      <c r="O263" s="59">
        <v>4700</v>
      </c>
      <c r="P263" s="59">
        <v>4000</v>
      </c>
      <c r="Q263" s="62" t="s">
        <v>40</v>
      </c>
      <c r="R263" s="62" t="s">
        <v>39</v>
      </c>
      <c r="S263" s="62" t="s">
        <v>39</v>
      </c>
      <c r="T263" s="53" t="s">
        <v>209</v>
      </c>
      <c r="U263" s="68" t="s">
        <v>968</v>
      </c>
      <c r="V263" s="34" t="s">
        <v>969</v>
      </c>
      <c r="W263" s="34">
        <v>330204016</v>
      </c>
      <c r="X263" s="34" t="s">
        <v>970</v>
      </c>
      <c r="Y263" s="12" t="s">
        <v>39</v>
      </c>
      <c r="Z263" s="12" t="s">
        <v>39</v>
      </c>
      <c r="AA263" s="14" t="s">
        <v>241</v>
      </c>
      <c r="AB263" s="12" t="s">
        <v>971</v>
      </c>
      <c r="AC263" s="18">
        <v>3040</v>
      </c>
      <c r="AD263" s="18">
        <v>2740</v>
      </c>
      <c r="AE263" s="18">
        <v>2330</v>
      </c>
      <c r="AF263" s="71">
        <f t="shared" si="22"/>
        <v>0</v>
      </c>
      <c r="AG263" s="71" t="str">
        <f t="shared" si="23"/>
        <v>胸交感神经链切除费</v>
      </c>
      <c r="AH263" s="71">
        <f>IF(AF263&gt;0,_xlfn.MAXIFS(N:N,C:C,SUBSTITUTE(C263,"-儿童（加收）","")),0)+N263</f>
        <v>5200</v>
      </c>
      <c r="AI263" s="71">
        <f>IF(AF263&gt;0,_xlfn.MAXIFS(O:O,C:C,SUBSTITUTE(C263,"-儿童（加收）","")),0)+O263</f>
        <v>4700</v>
      </c>
      <c r="AJ263" s="71">
        <f>IF(AF263&gt;0,_xlfn.MAXIFS(P:P,C:C,SUBSTITUTE(C263,"-儿童（加收）","")),0)+P263</f>
        <v>4000</v>
      </c>
    </row>
    <row r="264" s="25" customFormat="1" ht="33" customHeight="1" spans="1:36">
      <c r="A264" s="34"/>
      <c r="B264" s="11"/>
      <c r="C264" s="37" t="s">
        <v>966</v>
      </c>
      <c r="D264" s="11"/>
      <c r="E264" s="48"/>
      <c r="F264" s="48"/>
      <c r="G264" s="34"/>
      <c r="H264" s="34"/>
      <c r="I264" s="54"/>
      <c r="J264" s="54"/>
      <c r="K264" s="53"/>
      <c r="L264" s="53"/>
      <c r="M264" s="53"/>
      <c r="N264" s="59">
        <v>5200</v>
      </c>
      <c r="O264" s="59">
        <v>4700</v>
      </c>
      <c r="P264" s="59">
        <v>4000</v>
      </c>
      <c r="Q264" s="62"/>
      <c r="R264" s="62"/>
      <c r="S264" s="62"/>
      <c r="T264" s="53"/>
      <c r="U264" s="68"/>
      <c r="V264" s="11" t="s">
        <v>972</v>
      </c>
      <c r="W264" s="11">
        <v>33020401602</v>
      </c>
      <c r="X264" s="11" t="s">
        <v>970</v>
      </c>
      <c r="Y264" s="12" t="s">
        <v>39</v>
      </c>
      <c r="Z264" s="12" t="s">
        <v>39</v>
      </c>
      <c r="AA264" s="14" t="s">
        <v>803</v>
      </c>
      <c r="AB264" s="12" t="s">
        <v>39</v>
      </c>
      <c r="AC264" s="18">
        <v>4560</v>
      </c>
      <c r="AD264" s="18">
        <v>4110</v>
      </c>
      <c r="AE264" s="18">
        <v>3495</v>
      </c>
      <c r="AF264" s="71">
        <f t="shared" si="22"/>
        <v>0</v>
      </c>
      <c r="AG264" s="71" t="str">
        <f t="shared" si="23"/>
        <v>胸交感神经链切除费</v>
      </c>
      <c r="AH264" s="71">
        <f>IF(AF264&gt;0,_xlfn.MAXIFS(N:N,C:C,SUBSTITUTE(C264,"-儿童（加收）","")),0)+N264</f>
        <v>5200</v>
      </c>
      <c r="AI264" s="71">
        <f>IF(AF264&gt;0,_xlfn.MAXIFS(O:O,C:C,SUBSTITUTE(C264,"-儿童（加收）","")),0)+O264</f>
        <v>4700</v>
      </c>
      <c r="AJ264" s="71">
        <f>IF(AF264&gt;0,_xlfn.MAXIFS(P:P,C:C,SUBSTITUTE(C264,"-儿童（加收）","")),0)+P264</f>
        <v>4000</v>
      </c>
    </row>
    <row r="265" s="25" customFormat="1" ht="32" customHeight="1" spans="1:36">
      <c r="A265" s="14" t="s">
        <v>68</v>
      </c>
      <c r="B265" s="11" t="s">
        <v>973</v>
      </c>
      <c r="C265" s="46" t="s">
        <v>974</v>
      </c>
      <c r="D265" s="11" t="s">
        <v>297</v>
      </c>
      <c r="E265" s="80" t="s">
        <v>39</v>
      </c>
      <c r="F265" s="80" t="s">
        <v>39</v>
      </c>
      <c r="G265" s="11" t="s">
        <v>38</v>
      </c>
      <c r="H265" s="11" t="s">
        <v>39</v>
      </c>
      <c r="I265" s="15">
        <v>1760</v>
      </c>
      <c r="J265" s="15">
        <v>1584</v>
      </c>
      <c r="K265" s="52"/>
      <c r="L265" s="52"/>
      <c r="M265" s="52"/>
      <c r="N265" s="61">
        <v>1560</v>
      </c>
      <c r="O265" s="61">
        <v>1410</v>
      </c>
      <c r="P265" s="61">
        <v>1200</v>
      </c>
      <c r="Q265" s="11" t="s">
        <v>40</v>
      </c>
      <c r="R265" s="11" t="s">
        <v>39</v>
      </c>
      <c r="S265" s="11" t="s">
        <v>39</v>
      </c>
      <c r="T265" s="52"/>
      <c r="U265" s="80" t="s">
        <v>71</v>
      </c>
      <c r="V265" s="11" t="s">
        <v>975</v>
      </c>
      <c r="W265" s="11">
        <v>33020401601</v>
      </c>
      <c r="X265" s="11" t="s">
        <v>976</v>
      </c>
      <c r="Y265" s="12" t="s">
        <v>39</v>
      </c>
      <c r="Z265" s="12" t="s">
        <v>39</v>
      </c>
      <c r="AA265" s="14" t="s">
        <v>241</v>
      </c>
      <c r="AB265" s="12" t="s">
        <v>39</v>
      </c>
      <c r="AC265" s="18">
        <v>3950</v>
      </c>
      <c r="AD265" s="18">
        <v>3560</v>
      </c>
      <c r="AE265" s="18">
        <v>3025</v>
      </c>
      <c r="AF265" s="71">
        <f t="shared" si="22"/>
        <v>10</v>
      </c>
      <c r="AG265" s="71" t="str">
        <f t="shared" si="23"/>
        <v>胸交感神经链切除费</v>
      </c>
      <c r="AH265" s="71">
        <f>IF(AF265&gt;0,_xlfn.MAXIFS(N:N,C:C,SUBSTITUTE(C265,"-儿童（加收）","")),0)+N265</f>
        <v>6760</v>
      </c>
      <c r="AI265" s="71">
        <f>IF(AF265&gt;0,_xlfn.MAXIFS(O:O,C:C,SUBSTITUTE(C265,"-儿童（加收）","")),0)+O265</f>
        <v>6110</v>
      </c>
      <c r="AJ265" s="71">
        <f>IF(AF265&gt;0,_xlfn.MAXIFS(P:P,C:C,SUBSTITUTE(C265,"-儿童（加收）","")),0)+P265</f>
        <v>5200</v>
      </c>
    </row>
    <row r="266" s="25" customFormat="1" ht="32" customHeight="1" spans="1:36">
      <c r="A266" s="14"/>
      <c r="B266" s="11"/>
      <c r="C266" s="46" t="s">
        <v>974</v>
      </c>
      <c r="D266" s="11"/>
      <c r="E266" s="80"/>
      <c r="F266" s="80"/>
      <c r="G266" s="11"/>
      <c r="H266" s="11"/>
      <c r="I266" s="15"/>
      <c r="J266" s="15"/>
      <c r="K266" s="52"/>
      <c r="L266" s="52"/>
      <c r="M266" s="52"/>
      <c r="N266" s="61">
        <v>1560</v>
      </c>
      <c r="O266" s="61">
        <v>1410</v>
      </c>
      <c r="P266" s="61">
        <v>1200</v>
      </c>
      <c r="Q266" s="11"/>
      <c r="R266" s="11"/>
      <c r="S266" s="11"/>
      <c r="T266" s="52"/>
      <c r="U266" s="80"/>
      <c r="V266" s="12" t="s">
        <v>977</v>
      </c>
      <c r="W266" s="12">
        <v>33020401603</v>
      </c>
      <c r="X266" s="14" t="s">
        <v>976</v>
      </c>
      <c r="Y266" s="12" t="s">
        <v>39</v>
      </c>
      <c r="Z266" s="12" t="s">
        <v>39</v>
      </c>
      <c r="AA266" s="14" t="s">
        <v>803</v>
      </c>
      <c r="AB266" s="12" t="s">
        <v>39</v>
      </c>
      <c r="AC266" s="18">
        <v>5930</v>
      </c>
      <c r="AD266" s="18">
        <v>5345</v>
      </c>
      <c r="AE266" s="18">
        <v>4545</v>
      </c>
      <c r="AF266" s="71">
        <f t="shared" si="22"/>
        <v>10</v>
      </c>
      <c r="AG266" s="71" t="str">
        <f t="shared" si="23"/>
        <v>胸交感神经链切除费</v>
      </c>
      <c r="AH266" s="71">
        <f>IF(AF266&gt;0,_xlfn.MAXIFS(N:N,C:C,SUBSTITUTE(C266,"-儿童（加收）","")),0)+N266</f>
        <v>6760</v>
      </c>
      <c r="AI266" s="71">
        <f>IF(AF266&gt;0,_xlfn.MAXIFS(O:O,C:C,SUBSTITUTE(C266,"-儿童（加收）","")),0)+O266</f>
        <v>6110</v>
      </c>
      <c r="AJ266" s="71">
        <f>IF(AF266&gt;0,_xlfn.MAXIFS(P:P,C:C,SUBSTITUTE(C266,"-儿童（加收）","")),0)+P266</f>
        <v>5200</v>
      </c>
    </row>
  </sheetData>
  <autoFilter ref="A3:XFD266">
    <extLst/>
  </autoFilter>
  <mergeCells count="1125">
    <mergeCell ref="A1:X1"/>
    <mergeCell ref="A2:U2"/>
    <mergeCell ref="V2:AE2"/>
    <mergeCell ref="A5:A9"/>
    <mergeCell ref="A11:A12"/>
    <mergeCell ref="A14:A16"/>
    <mergeCell ref="A22:A23"/>
    <mergeCell ref="A24:A27"/>
    <mergeCell ref="A32:A38"/>
    <mergeCell ref="A41:A49"/>
    <mergeCell ref="A55:A56"/>
    <mergeCell ref="A57:A59"/>
    <mergeCell ref="A60:A62"/>
    <mergeCell ref="A63:A65"/>
    <mergeCell ref="A66:A68"/>
    <mergeCell ref="A71:A73"/>
    <mergeCell ref="A74:A76"/>
    <mergeCell ref="A77:A80"/>
    <mergeCell ref="A81:A84"/>
    <mergeCell ref="A85:A86"/>
    <mergeCell ref="A87:A88"/>
    <mergeCell ref="A89:A98"/>
    <mergeCell ref="A99:A108"/>
    <mergeCell ref="A109:A112"/>
    <mergeCell ref="A113:A116"/>
    <mergeCell ref="A117:A120"/>
    <mergeCell ref="A121:A124"/>
    <mergeCell ref="A125:A128"/>
    <mergeCell ref="A129:A132"/>
    <mergeCell ref="A133:A136"/>
    <mergeCell ref="A137:A140"/>
    <mergeCell ref="A141:A144"/>
    <mergeCell ref="A145:A148"/>
    <mergeCell ref="A149:A154"/>
    <mergeCell ref="A155:A160"/>
    <mergeCell ref="A161:A162"/>
    <mergeCell ref="A163:A164"/>
    <mergeCell ref="A165:A166"/>
    <mergeCell ref="A167:A168"/>
    <mergeCell ref="A169:A172"/>
    <mergeCell ref="A173:A176"/>
    <mergeCell ref="A177:A180"/>
    <mergeCell ref="A181:A184"/>
    <mergeCell ref="A185:A188"/>
    <mergeCell ref="A189:A192"/>
    <mergeCell ref="A193:A194"/>
    <mergeCell ref="A195:A196"/>
    <mergeCell ref="A197:A200"/>
    <mergeCell ref="A201:A204"/>
    <mergeCell ref="A207:A208"/>
    <mergeCell ref="A209:A210"/>
    <mergeCell ref="A211:A212"/>
    <mergeCell ref="A213:A214"/>
    <mergeCell ref="A215:A216"/>
    <mergeCell ref="A217:A218"/>
    <mergeCell ref="A219:A224"/>
    <mergeCell ref="A225:A230"/>
    <mergeCell ref="A231:A232"/>
    <mergeCell ref="A233:A234"/>
    <mergeCell ref="A235:A236"/>
    <mergeCell ref="A237:A238"/>
    <mergeCell ref="A239:A240"/>
    <mergeCell ref="A241:A242"/>
    <mergeCell ref="A243:A248"/>
    <mergeCell ref="A249:A254"/>
    <mergeCell ref="A255:A256"/>
    <mergeCell ref="A257:A258"/>
    <mergeCell ref="A263:A264"/>
    <mergeCell ref="A265:A266"/>
    <mergeCell ref="B5:B9"/>
    <mergeCell ref="B11:B12"/>
    <mergeCell ref="B14:B16"/>
    <mergeCell ref="B22:B23"/>
    <mergeCell ref="B24:B27"/>
    <mergeCell ref="B32:B38"/>
    <mergeCell ref="B41:B49"/>
    <mergeCell ref="B55:B56"/>
    <mergeCell ref="B57:B59"/>
    <mergeCell ref="B60:B62"/>
    <mergeCell ref="B63:B65"/>
    <mergeCell ref="B66:B68"/>
    <mergeCell ref="B71:B73"/>
    <mergeCell ref="B74:B76"/>
    <mergeCell ref="B77:B80"/>
    <mergeCell ref="B81:B84"/>
    <mergeCell ref="B85:B86"/>
    <mergeCell ref="B87:B88"/>
    <mergeCell ref="B89:B98"/>
    <mergeCell ref="B99:B108"/>
    <mergeCell ref="B109:B112"/>
    <mergeCell ref="B113:B116"/>
    <mergeCell ref="B117:B120"/>
    <mergeCell ref="B121:B124"/>
    <mergeCell ref="B125:B128"/>
    <mergeCell ref="B129:B132"/>
    <mergeCell ref="B133:B136"/>
    <mergeCell ref="B137:B140"/>
    <mergeCell ref="B141:B144"/>
    <mergeCell ref="B145:B148"/>
    <mergeCell ref="B149:B154"/>
    <mergeCell ref="B155:B160"/>
    <mergeCell ref="B161:B162"/>
    <mergeCell ref="B163:B164"/>
    <mergeCell ref="B165:B166"/>
    <mergeCell ref="B167:B168"/>
    <mergeCell ref="B169:B172"/>
    <mergeCell ref="B173:B176"/>
    <mergeCell ref="B177:B180"/>
    <mergeCell ref="B181:B184"/>
    <mergeCell ref="B185:B188"/>
    <mergeCell ref="B189:B192"/>
    <mergeCell ref="B193:B194"/>
    <mergeCell ref="B195:B196"/>
    <mergeCell ref="B197:B200"/>
    <mergeCell ref="B201:B204"/>
    <mergeCell ref="B207:B208"/>
    <mergeCell ref="B209:B210"/>
    <mergeCell ref="B211:B212"/>
    <mergeCell ref="B213:B214"/>
    <mergeCell ref="B215:B216"/>
    <mergeCell ref="B217:B218"/>
    <mergeCell ref="B219:B224"/>
    <mergeCell ref="B225:B230"/>
    <mergeCell ref="B231:B232"/>
    <mergeCell ref="B233:B234"/>
    <mergeCell ref="B235:B236"/>
    <mergeCell ref="B237:B238"/>
    <mergeCell ref="B239:B240"/>
    <mergeCell ref="B241:B242"/>
    <mergeCell ref="B243:B248"/>
    <mergeCell ref="B249:B254"/>
    <mergeCell ref="B255:B256"/>
    <mergeCell ref="B257:B258"/>
    <mergeCell ref="B263:B264"/>
    <mergeCell ref="B265:B266"/>
    <mergeCell ref="D5:D8"/>
    <mergeCell ref="D11:D12"/>
    <mergeCell ref="D14:D16"/>
    <mergeCell ref="D22:D23"/>
    <mergeCell ref="D24:D27"/>
    <mergeCell ref="D32:D38"/>
    <mergeCell ref="D41:D49"/>
    <mergeCell ref="D55:D56"/>
    <mergeCell ref="D57:D59"/>
    <mergeCell ref="D60:D62"/>
    <mergeCell ref="D63:D65"/>
    <mergeCell ref="D66:D68"/>
    <mergeCell ref="D71:D73"/>
    <mergeCell ref="D74:D76"/>
    <mergeCell ref="D77:D80"/>
    <mergeCell ref="D81:D84"/>
    <mergeCell ref="D85:D86"/>
    <mergeCell ref="D87:D88"/>
    <mergeCell ref="D89:D98"/>
    <mergeCell ref="D99:D108"/>
    <mergeCell ref="D109:D112"/>
    <mergeCell ref="D113:D116"/>
    <mergeCell ref="D117:D120"/>
    <mergeCell ref="D121:D124"/>
    <mergeCell ref="D125:D128"/>
    <mergeCell ref="D129:D132"/>
    <mergeCell ref="D133:D136"/>
    <mergeCell ref="D137:D140"/>
    <mergeCell ref="D141:D144"/>
    <mergeCell ref="D145:D148"/>
    <mergeCell ref="D149:D154"/>
    <mergeCell ref="D155:D160"/>
    <mergeCell ref="D161:D162"/>
    <mergeCell ref="D163:D164"/>
    <mergeCell ref="D165:D166"/>
    <mergeCell ref="D167:D168"/>
    <mergeCell ref="D169:D172"/>
    <mergeCell ref="D173:D176"/>
    <mergeCell ref="D177:D180"/>
    <mergeCell ref="D181:D184"/>
    <mergeCell ref="D185:D188"/>
    <mergeCell ref="D189:D192"/>
    <mergeCell ref="D193:D194"/>
    <mergeCell ref="D195:D196"/>
    <mergeCell ref="D197:D200"/>
    <mergeCell ref="D201:D204"/>
    <mergeCell ref="D207:D208"/>
    <mergeCell ref="D209:D210"/>
    <mergeCell ref="D211:D212"/>
    <mergeCell ref="D213:D214"/>
    <mergeCell ref="D215:D216"/>
    <mergeCell ref="D217:D218"/>
    <mergeCell ref="D219:D224"/>
    <mergeCell ref="D225:D230"/>
    <mergeCell ref="D231:D232"/>
    <mergeCell ref="D233:D234"/>
    <mergeCell ref="D235:D236"/>
    <mergeCell ref="D237:D238"/>
    <mergeCell ref="D239:D240"/>
    <mergeCell ref="D241:D242"/>
    <mergeCell ref="D243:D248"/>
    <mergeCell ref="D249:D254"/>
    <mergeCell ref="D255:D256"/>
    <mergeCell ref="D257:D258"/>
    <mergeCell ref="D263:D264"/>
    <mergeCell ref="D265:D266"/>
    <mergeCell ref="E5:E8"/>
    <mergeCell ref="E11:E12"/>
    <mergeCell ref="E14:E16"/>
    <mergeCell ref="E22:E23"/>
    <mergeCell ref="E24:E27"/>
    <mergeCell ref="E32:E38"/>
    <mergeCell ref="E41:E49"/>
    <mergeCell ref="E55:E56"/>
    <mergeCell ref="E57:E59"/>
    <mergeCell ref="E60:E62"/>
    <mergeCell ref="E63:E65"/>
    <mergeCell ref="E66:E68"/>
    <mergeCell ref="E71:E73"/>
    <mergeCell ref="E74:E76"/>
    <mergeCell ref="E77:E80"/>
    <mergeCell ref="E81:E84"/>
    <mergeCell ref="E85:E86"/>
    <mergeCell ref="E87:E88"/>
    <mergeCell ref="E89:E98"/>
    <mergeCell ref="E99:E108"/>
    <mergeCell ref="E109:E112"/>
    <mergeCell ref="E113:E116"/>
    <mergeCell ref="E117:E120"/>
    <mergeCell ref="E121:E124"/>
    <mergeCell ref="E125:E128"/>
    <mergeCell ref="E129:E132"/>
    <mergeCell ref="E133:E136"/>
    <mergeCell ref="E137:E140"/>
    <mergeCell ref="E141:E144"/>
    <mergeCell ref="E145:E148"/>
    <mergeCell ref="E149:E154"/>
    <mergeCell ref="E155:E160"/>
    <mergeCell ref="E161:E162"/>
    <mergeCell ref="E163:E164"/>
    <mergeCell ref="E165:E166"/>
    <mergeCell ref="E167:E168"/>
    <mergeCell ref="E169:E172"/>
    <mergeCell ref="E173:E176"/>
    <mergeCell ref="E177:E180"/>
    <mergeCell ref="E181:E184"/>
    <mergeCell ref="E185:E188"/>
    <mergeCell ref="E189:E192"/>
    <mergeCell ref="E193:E194"/>
    <mergeCell ref="E195:E196"/>
    <mergeCell ref="E197:E200"/>
    <mergeCell ref="E201:E204"/>
    <mergeCell ref="E207:E208"/>
    <mergeCell ref="E209:E210"/>
    <mergeCell ref="E211:E212"/>
    <mergeCell ref="E213:E214"/>
    <mergeCell ref="E215:E216"/>
    <mergeCell ref="E217:E218"/>
    <mergeCell ref="E219:E224"/>
    <mergeCell ref="E225:E230"/>
    <mergeCell ref="E231:E232"/>
    <mergeCell ref="E233:E234"/>
    <mergeCell ref="E235:E236"/>
    <mergeCell ref="E237:E238"/>
    <mergeCell ref="E239:E240"/>
    <mergeCell ref="E241:E242"/>
    <mergeCell ref="E243:E248"/>
    <mergeCell ref="E249:E254"/>
    <mergeCell ref="E255:E256"/>
    <mergeCell ref="E257:E258"/>
    <mergeCell ref="E263:E264"/>
    <mergeCell ref="E265:E266"/>
    <mergeCell ref="F5:F8"/>
    <mergeCell ref="F11:F12"/>
    <mergeCell ref="F14:F16"/>
    <mergeCell ref="F22:F23"/>
    <mergeCell ref="F24:F27"/>
    <mergeCell ref="F32:F38"/>
    <mergeCell ref="F41:F49"/>
    <mergeCell ref="F55:F56"/>
    <mergeCell ref="F57:F59"/>
    <mergeCell ref="F60:F62"/>
    <mergeCell ref="F63:F65"/>
    <mergeCell ref="F66:F68"/>
    <mergeCell ref="F71:F73"/>
    <mergeCell ref="F74:F76"/>
    <mergeCell ref="F77:F80"/>
    <mergeCell ref="F81:F84"/>
    <mergeCell ref="F85:F86"/>
    <mergeCell ref="F87:F88"/>
    <mergeCell ref="F89:F98"/>
    <mergeCell ref="F99:F108"/>
    <mergeCell ref="F109:F112"/>
    <mergeCell ref="F113:F116"/>
    <mergeCell ref="F117:F120"/>
    <mergeCell ref="F121:F124"/>
    <mergeCell ref="F125:F128"/>
    <mergeCell ref="F129:F132"/>
    <mergeCell ref="F133:F136"/>
    <mergeCell ref="F137:F140"/>
    <mergeCell ref="F141:F144"/>
    <mergeCell ref="F145:F148"/>
    <mergeCell ref="F149:F154"/>
    <mergeCell ref="F155:F160"/>
    <mergeCell ref="F161:F162"/>
    <mergeCell ref="F163:F164"/>
    <mergeCell ref="F165:F166"/>
    <mergeCell ref="F167:F168"/>
    <mergeCell ref="F169:F172"/>
    <mergeCell ref="F173:F176"/>
    <mergeCell ref="F177:F180"/>
    <mergeCell ref="F181:F184"/>
    <mergeCell ref="F185:F188"/>
    <mergeCell ref="F189:F192"/>
    <mergeCell ref="F193:F194"/>
    <mergeCell ref="F195:F196"/>
    <mergeCell ref="F197:F200"/>
    <mergeCell ref="F201:F204"/>
    <mergeCell ref="F207:F208"/>
    <mergeCell ref="F209:F210"/>
    <mergeCell ref="F211:F212"/>
    <mergeCell ref="F213:F214"/>
    <mergeCell ref="F215:F216"/>
    <mergeCell ref="F217:F218"/>
    <mergeCell ref="F219:F224"/>
    <mergeCell ref="F225:F230"/>
    <mergeCell ref="F231:F232"/>
    <mergeCell ref="F233:F234"/>
    <mergeCell ref="F235:F236"/>
    <mergeCell ref="F237:F238"/>
    <mergeCell ref="F239:F240"/>
    <mergeCell ref="F241:F242"/>
    <mergeCell ref="F243:F248"/>
    <mergeCell ref="F249:F254"/>
    <mergeCell ref="F255:F256"/>
    <mergeCell ref="F257:F258"/>
    <mergeCell ref="F263:F264"/>
    <mergeCell ref="F265:F266"/>
    <mergeCell ref="G5:G8"/>
    <mergeCell ref="G11:G12"/>
    <mergeCell ref="G14:G16"/>
    <mergeCell ref="G22:G23"/>
    <mergeCell ref="G24:G27"/>
    <mergeCell ref="G32:G38"/>
    <mergeCell ref="G41:G49"/>
    <mergeCell ref="G55:G56"/>
    <mergeCell ref="G57:G59"/>
    <mergeCell ref="G60:G62"/>
    <mergeCell ref="G63:G65"/>
    <mergeCell ref="G66:G68"/>
    <mergeCell ref="G71:G73"/>
    <mergeCell ref="G74:G76"/>
    <mergeCell ref="G77:G80"/>
    <mergeCell ref="G81:G84"/>
    <mergeCell ref="G85:G86"/>
    <mergeCell ref="G87:G88"/>
    <mergeCell ref="G89:G98"/>
    <mergeCell ref="G99:G108"/>
    <mergeCell ref="G109:G112"/>
    <mergeCell ref="G113:G116"/>
    <mergeCell ref="G117:G120"/>
    <mergeCell ref="G121:G124"/>
    <mergeCell ref="G125:G128"/>
    <mergeCell ref="G129:G132"/>
    <mergeCell ref="G133:G136"/>
    <mergeCell ref="G137:G140"/>
    <mergeCell ref="G141:G144"/>
    <mergeCell ref="G145:G148"/>
    <mergeCell ref="G149:G154"/>
    <mergeCell ref="G155:G160"/>
    <mergeCell ref="G161:G162"/>
    <mergeCell ref="G163:G164"/>
    <mergeCell ref="G165:G166"/>
    <mergeCell ref="G167:G168"/>
    <mergeCell ref="G169:G172"/>
    <mergeCell ref="G173:G176"/>
    <mergeCell ref="G177:G180"/>
    <mergeCell ref="G181:G184"/>
    <mergeCell ref="G185:G188"/>
    <mergeCell ref="G189:G192"/>
    <mergeCell ref="G193:G194"/>
    <mergeCell ref="G195:G196"/>
    <mergeCell ref="G197:G200"/>
    <mergeCell ref="G201:G204"/>
    <mergeCell ref="G207:G208"/>
    <mergeCell ref="G209:G210"/>
    <mergeCell ref="G211:G212"/>
    <mergeCell ref="G213:G214"/>
    <mergeCell ref="G215:G216"/>
    <mergeCell ref="G217:G218"/>
    <mergeCell ref="G219:G224"/>
    <mergeCell ref="G225:G230"/>
    <mergeCell ref="G231:G232"/>
    <mergeCell ref="G233:G234"/>
    <mergeCell ref="G235:G236"/>
    <mergeCell ref="G237:G238"/>
    <mergeCell ref="G239:G240"/>
    <mergeCell ref="G241:G242"/>
    <mergeCell ref="G243:G248"/>
    <mergeCell ref="G249:G254"/>
    <mergeCell ref="G255:G256"/>
    <mergeCell ref="G257:G258"/>
    <mergeCell ref="G263:G264"/>
    <mergeCell ref="G265:G266"/>
    <mergeCell ref="H5:H8"/>
    <mergeCell ref="H11:H12"/>
    <mergeCell ref="H14:H16"/>
    <mergeCell ref="H22:H23"/>
    <mergeCell ref="H24:H27"/>
    <mergeCell ref="H32:H38"/>
    <mergeCell ref="H41:H49"/>
    <mergeCell ref="H55:H56"/>
    <mergeCell ref="H57:H59"/>
    <mergeCell ref="H60:H62"/>
    <mergeCell ref="H63:H65"/>
    <mergeCell ref="H66:H68"/>
    <mergeCell ref="H71:H73"/>
    <mergeCell ref="H74:H76"/>
    <mergeCell ref="H77:H80"/>
    <mergeCell ref="H81:H84"/>
    <mergeCell ref="H85:H86"/>
    <mergeCell ref="H87:H88"/>
    <mergeCell ref="H89:H98"/>
    <mergeCell ref="H99:H108"/>
    <mergeCell ref="H109:H112"/>
    <mergeCell ref="H113:H116"/>
    <mergeCell ref="H117:H120"/>
    <mergeCell ref="H121:H124"/>
    <mergeCell ref="H125:H128"/>
    <mergeCell ref="H129:H132"/>
    <mergeCell ref="H133:H136"/>
    <mergeCell ref="H137:H140"/>
    <mergeCell ref="H141:H144"/>
    <mergeCell ref="H145:H148"/>
    <mergeCell ref="H149:H154"/>
    <mergeCell ref="H155:H160"/>
    <mergeCell ref="H161:H162"/>
    <mergeCell ref="H163:H164"/>
    <mergeCell ref="H165:H166"/>
    <mergeCell ref="H167:H168"/>
    <mergeCell ref="H169:H172"/>
    <mergeCell ref="H173:H176"/>
    <mergeCell ref="H177:H180"/>
    <mergeCell ref="H181:H184"/>
    <mergeCell ref="H185:H188"/>
    <mergeCell ref="H189:H192"/>
    <mergeCell ref="H193:H194"/>
    <mergeCell ref="H195:H196"/>
    <mergeCell ref="H197:H200"/>
    <mergeCell ref="H201:H204"/>
    <mergeCell ref="H207:H208"/>
    <mergeCell ref="H209:H210"/>
    <mergeCell ref="H211:H212"/>
    <mergeCell ref="H213:H214"/>
    <mergeCell ref="H215:H216"/>
    <mergeCell ref="H217:H218"/>
    <mergeCell ref="H219:H224"/>
    <mergeCell ref="H225:H230"/>
    <mergeCell ref="H231:H232"/>
    <mergeCell ref="H233:H234"/>
    <mergeCell ref="H235:H236"/>
    <mergeCell ref="H237:H238"/>
    <mergeCell ref="H239:H240"/>
    <mergeCell ref="H241:H242"/>
    <mergeCell ref="H243:H248"/>
    <mergeCell ref="H249:H254"/>
    <mergeCell ref="H255:H256"/>
    <mergeCell ref="H257:H258"/>
    <mergeCell ref="H263:H264"/>
    <mergeCell ref="H265:H266"/>
    <mergeCell ref="I5:I8"/>
    <mergeCell ref="I11:I12"/>
    <mergeCell ref="I14:I16"/>
    <mergeCell ref="I22:I23"/>
    <mergeCell ref="I24:I27"/>
    <mergeCell ref="I32:I38"/>
    <mergeCell ref="I41:I49"/>
    <mergeCell ref="I55:I56"/>
    <mergeCell ref="I57:I59"/>
    <mergeCell ref="I60:I62"/>
    <mergeCell ref="I63:I65"/>
    <mergeCell ref="I66:I68"/>
    <mergeCell ref="I71:I73"/>
    <mergeCell ref="I74:I76"/>
    <mergeCell ref="I77:I80"/>
    <mergeCell ref="I81:I84"/>
    <mergeCell ref="I85:I86"/>
    <mergeCell ref="I87:I88"/>
    <mergeCell ref="I89:I98"/>
    <mergeCell ref="I99:I108"/>
    <mergeCell ref="I109:I112"/>
    <mergeCell ref="I113:I116"/>
    <mergeCell ref="I117:I120"/>
    <mergeCell ref="I121:I124"/>
    <mergeCell ref="I125:I128"/>
    <mergeCell ref="I129:I132"/>
    <mergeCell ref="I133:I136"/>
    <mergeCell ref="I137:I140"/>
    <mergeCell ref="I141:I144"/>
    <mergeCell ref="I145:I148"/>
    <mergeCell ref="I149:I154"/>
    <mergeCell ref="I155:I160"/>
    <mergeCell ref="I161:I162"/>
    <mergeCell ref="I163:I164"/>
    <mergeCell ref="I165:I166"/>
    <mergeCell ref="I167:I168"/>
    <mergeCell ref="I169:I172"/>
    <mergeCell ref="I173:I176"/>
    <mergeCell ref="I177:I180"/>
    <mergeCell ref="I181:I184"/>
    <mergeCell ref="I185:I188"/>
    <mergeCell ref="I189:I192"/>
    <mergeCell ref="I193:I194"/>
    <mergeCell ref="I195:I196"/>
    <mergeCell ref="I197:I200"/>
    <mergeCell ref="I201:I204"/>
    <mergeCell ref="I207:I208"/>
    <mergeCell ref="I209:I210"/>
    <mergeCell ref="I211:I212"/>
    <mergeCell ref="I213:I214"/>
    <mergeCell ref="I215:I216"/>
    <mergeCell ref="I217:I218"/>
    <mergeCell ref="I219:I224"/>
    <mergeCell ref="I225:I230"/>
    <mergeCell ref="I231:I232"/>
    <mergeCell ref="I233:I234"/>
    <mergeCell ref="I235:I236"/>
    <mergeCell ref="I237:I238"/>
    <mergeCell ref="I239:I240"/>
    <mergeCell ref="I241:I242"/>
    <mergeCell ref="I243:I248"/>
    <mergeCell ref="I249:I254"/>
    <mergeCell ref="I255:I256"/>
    <mergeCell ref="I257:I258"/>
    <mergeCell ref="I263:I264"/>
    <mergeCell ref="I265:I266"/>
    <mergeCell ref="J5:J8"/>
    <mergeCell ref="J11:J12"/>
    <mergeCell ref="J14:J16"/>
    <mergeCell ref="J22:J23"/>
    <mergeCell ref="J24:J27"/>
    <mergeCell ref="J32:J38"/>
    <mergeCell ref="J41:J49"/>
    <mergeCell ref="J55:J56"/>
    <mergeCell ref="J57:J59"/>
    <mergeCell ref="J60:J62"/>
    <mergeCell ref="J63:J65"/>
    <mergeCell ref="J66:J68"/>
    <mergeCell ref="J71:J73"/>
    <mergeCell ref="J74:J76"/>
    <mergeCell ref="J77:J80"/>
    <mergeCell ref="J81:J84"/>
    <mergeCell ref="J85:J86"/>
    <mergeCell ref="J87:J88"/>
    <mergeCell ref="J89:J98"/>
    <mergeCell ref="J99:J108"/>
    <mergeCell ref="J109:J112"/>
    <mergeCell ref="J113:J116"/>
    <mergeCell ref="J117:J120"/>
    <mergeCell ref="J121:J124"/>
    <mergeCell ref="J125:J128"/>
    <mergeCell ref="J129:J132"/>
    <mergeCell ref="J133:J136"/>
    <mergeCell ref="J137:J140"/>
    <mergeCell ref="J141:J144"/>
    <mergeCell ref="J145:J148"/>
    <mergeCell ref="J149:J154"/>
    <mergeCell ref="J155:J160"/>
    <mergeCell ref="J161:J162"/>
    <mergeCell ref="J163:J164"/>
    <mergeCell ref="J165:J166"/>
    <mergeCell ref="J167:J168"/>
    <mergeCell ref="J169:J172"/>
    <mergeCell ref="J173:J176"/>
    <mergeCell ref="J177:J180"/>
    <mergeCell ref="J181:J184"/>
    <mergeCell ref="J185:J188"/>
    <mergeCell ref="J189:J192"/>
    <mergeCell ref="J193:J194"/>
    <mergeCell ref="J195:J196"/>
    <mergeCell ref="J197:J200"/>
    <mergeCell ref="J201:J204"/>
    <mergeCell ref="J207:J208"/>
    <mergeCell ref="J209:J210"/>
    <mergeCell ref="J211:J212"/>
    <mergeCell ref="J213:J214"/>
    <mergeCell ref="J215:J216"/>
    <mergeCell ref="J217:J218"/>
    <mergeCell ref="J219:J224"/>
    <mergeCell ref="J225:J230"/>
    <mergeCell ref="J231:J232"/>
    <mergeCell ref="J233:J234"/>
    <mergeCell ref="J235:J236"/>
    <mergeCell ref="J237:J238"/>
    <mergeCell ref="J239:J240"/>
    <mergeCell ref="J241:J242"/>
    <mergeCell ref="J243:J248"/>
    <mergeCell ref="J249:J254"/>
    <mergeCell ref="J255:J256"/>
    <mergeCell ref="J257:J258"/>
    <mergeCell ref="J263:J264"/>
    <mergeCell ref="J265:J266"/>
    <mergeCell ref="K5:K8"/>
    <mergeCell ref="K11:K12"/>
    <mergeCell ref="K14:K16"/>
    <mergeCell ref="K22:K23"/>
    <mergeCell ref="K24:K27"/>
    <mergeCell ref="K32:K38"/>
    <mergeCell ref="K41:K49"/>
    <mergeCell ref="K55:K56"/>
    <mergeCell ref="K57:K59"/>
    <mergeCell ref="K60:K62"/>
    <mergeCell ref="K63:K65"/>
    <mergeCell ref="K66:K68"/>
    <mergeCell ref="K71:K73"/>
    <mergeCell ref="K74:K76"/>
    <mergeCell ref="K77:K80"/>
    <mergeCell ref="K81:K84"/>
    <mergeCell ref="K85:K86"/>
    <mergeCell ref="K87:K88"/>
    <mergeCell ref="K89:K98"/>
    <mergeCell ref="K99:K108"/>
    <mergeCell ref="K109:K112"/>
    <mergeCell ref="K113:K116"/>
    <mergeCell ref="K117:K120"/>
    <mergeCell ref="K121:K124"/>
    <mergeCell ref="K125:K128"/>
    <mergeCell ref="K129:K132"/>
    <mergeCell ref="K133:K136"/>
    <mergeCell ref="K137:K140"/>
    <mergeCell ref="K141:K144"/>
    <mergeCell ref="K145:K148"/>
    <mergeCell ref="K149:K154"/>
    <mergeCell ref="K155:K160"/>
    <mergeCell ref="K161:K162"/>
    <mergeCell ref="K163:K164"/>
    <mergeCell ref="K165:K166"/>
    <mergeCell ref="K167:K168"/>
    <mergeCell ref="K169:K172"/>
    <mergeCell ref="K173:K176"/>
    <mergeCell ref="K177:K180"/>
    <mergeCell ref="K181:K184"/>
    <mergeCell ref="K185:K188"/>
    <mergeCell ref="K189:K192"/>
    <mergeCell ref="K193:K194"/>
    <mergeCell ref="K195:K196"/>
    <mergeCell ref="K197:K200"/>
    <mergeCell ref="K201:K204"/>
    <mergeCell ref="K207:K208"/>
    <mergeCell ref="K209:K210"/>
    <mergeCell ref="K211:K212"/>
    <mergeCell ref="K213:K214"/>
    <mergeCell ref="K215:K216"/>
    <mergeCell ref="K217:K218"/>
    <mergeCell ref="K219:K224"/>
    <mergeCell ref="K225:K230"/>
    <mergeCell ref="K231:K232"/>
    <mergeCell ref="K233:K234"/>
    <mergeCell ref="K235:K236"/>
    <mergeCell ref="K237:K238"/>
    <mergeCell ref="K239:K240"/>
    <mergeCell ref="K241:K242"/>
    <mergeCell ref="K243:K248"/>
    <mergeCell ref="K249:K254"/>
    <mergeCell ref="K255:K256"/>
    <mergeCell ref="K257:K258"/>
    <mergeCell ref="K263:K264"/>
    <mergeCell ref="K265:K266"/>
    <mergeCell ref="L5:L8"/>
    <mergeCell ref="L11:L12"/>
    <mergeCell ref="L14:L16"/>
    <mergeCell ref="L22:L23"/>
    <mergeCell ref="L24:L27"/>
    <mergeCell ref="L32:L38"/>
    <mergeCell ref="L41:L49"/>
    <mergeCell ref="L55:L56"/>
    <mergeCell ref="L57:L59"/>
    <mergeCell ref="L60:L62"/>
    <mergeCell ref="L63:L65"/>
    <mergeCell ref="L66:L68"/>
    <mergeCell ref="L71:L73"/>
    <mergeCell ref="L74:L76"/>
    <mergeCell ref="L77:L80"/>
    <mergeCell ref="L81:L84"/>
    <mergeCell ref="L85:L86"/>
    <mergeCell ref="L87:L88"/>
    <mergeCell ref="L89:L98"/>
    <mergeCell ref="L99:L108"/>
    <mergeCell ref="L109:L112"/>
    <mergeCell ref="L113:L116"/>
    <mergeCell ref="L117:L120"/>
    <mergeCell ref="L121:L124"/>
    <mergeCell ref="L125:L128"/>
    <mergeCell ref="L129:L132"/>
    <mergeCell ref="L133:L136"/>
    <mergeCell ref="L137:L140"/>
    <mergeCell ref="L141:L144"/>
    <mergeCell ref="L145:L148"/>
    <mergeCell ref="L149:L154"/>
    <mergeCell ref="L155:L160"/>
    <mergeCell ref="L161:L162"/>
    <mergeCell ref="L163:L164"/>
    <mergeCell ref="L165:L166"/>
    <mergeCell ref="L167:L168"/>
    <mergeCell ref="L169:L172"/>
    <mergeCell ref="L173:L176"/>
    <mergeCell ref="L177:L180"/>
    <mergeCell ref="L181:L184"/>
    <mergeCell ref="L185:L188"/>
    <mergeCell ref="L189:L192"/>
    <mergeCell ref="L193:L194"/>
    <mergeCell ref="L195:L196"/>
    <mergeCell ref="L197:L200"/>
    <mergeCell ref="L201:L204"/>
    <mergeCell ref="L207:L208"/>
    <mergeCell ref="L209:L210"/>
    <mergeCell ref="L211:L212"/>
    <mergeCell ref="L213:L214"/>
    <mergeCell ref="L215:L216"/>
    <mergeCell ref="L217:L218"/>
    <mergeCell ref="L219:L224"/>
    <mergeCell ref="L225:L230"/>
    <mergeCell ref="L231:L232"/>
    <mergeCell ref="L233:L234"/>
    <mergeCell ref="L235:L236"/>
    <mergeCell ref="L237:L238"/>
    <mergeCell ref="L239:L240"/>
    <mergeCell ref="L241:L242"/>
    <mergeCell ref="L243:L248"/>
    <mergeCell ref="L249:L254"/>
    <mergeCell ref="L255:L256"/>
    <mergeCell ref="L257:L258"/>
    <mergeCell ref="L263:L264"/>
    <mergeCell ref="L265:L266"/>
    <mergeCell ref="M5:M8"/>
    <mergeCell ref="M11:M12"/>
    <mergeCell ref="M14:M16"/>
    <mergeCell ref="M22:M23"/>
    <mergeCell ref="M24:M27"/>
    <mergeCell ref="M32:M38"/>
    <mergeCell ref="M41:M49"/>
    <mergeCell ref="M55:M56"/>
    <mergeCell ref="M57:M59"/>
    <mergeCell ref="M60:M62"/>
    <mergeCell ref="M63:M65"/>
    <mergeCell ref="M66:M68"/>
    <mergeCell ref="M71:M73"/>
    <mergeCell ref="M74:M76"/>
    <mergeCell ref="M77:M80"/>
    <mergeCell ref="M81:M84"/>
    <mergeCell ref="M85:M86"/>
    <mergeCell ref="M87:M88"/>
    <mergeCell ref="M89:M98"/>
    <mergeCell ref="M99:M108"/>
    <mergeCell ref="M109:M112"/>
    <mergeCell ref="M113:M116"/>
    <mergeCell ref="M117:M120"/>
    <mergeCell ref="M121:M124"/>
    <mergeCell ref="M125:M128"/>
    <mergeCell ref="M129:M132"/>
    <mergeCell ref="M133:M136"/>
    <mergeCell ref="M137:M140"/>
    <mergeCell ref="M141:M144"/>
    <mergeCell ref="M145:M148"/>
    <mergeCell ref="M149:M154"/>
    <mergeCell ref="M155:M160"/>
    <mergeCell ref="M161:M162"/>
    <mergeCell ref="M163:M164"/>
    <mergeCell ref="M165:M166"/>
    <mergeCell ref="M167:M168"/>
    <mergeCell ref="M169:M172"/>
    <mergeCell ref="M173:M176"/>
    <mergeCell ref="M177:M180"/>
    <mergeCell ref="M181:M184"/>
    <mergeCell ref="M185:M188"/>
    <mergeCell ref="M189:M192"/>
    <mergeCell ref="M193:M194"/>
    <mergeCell ref="M195:M196"/>
    <mergeCell ref="M197:M200"/>
    <mergeCell ref="M201:M204"/>
    <mergeCell ref="M207:M208"/>
    <mergeCell ref="M209:M210"/>
    <mergeCell ref="M211:M212"/>
    <mergeCell ref="M213:M214"/>
    <mergeCell ref="M215:M216"/>
    <mergeCell ref="M217:M218"/>
    <mergeCell ref="M219:M224"/>
    <mergeCell ref="M225:M230"/>
    <mergeCell ref="M231:M232"/>
    <mergeCell ref="M233:M234"/>
    <mergeCell ref="M235:M236"/>
    <mergeCell ref="M237:M238"/>
    <mergeCell ref="M239:M240"/>
    <mergeCell ref="M241:M242"/>
    <mergeCell ref="M243:M248"/>
    <mergeCell ref="M249:M254"/>
    <mergeCell ref="M255:M256"/>
    <mergeCell ref="M257:M258"/>
    <mergeCell ref="M263:M264"/>
    <mergeCell ref="M265:M266"/>
    <mergeCell ref="Q5:Q8"/>
    <mergeCell ref="Q11:Q12"/>
    <mergeCell ref="Q14:Q16"/>
    <mergeCell ref="Q22:Q23"/>
    <mergeCell ref="Q24:Q27"/>
    <mergeCell ref="Q32:Q38"/>
    <mergeCell ref="Q41:Q49"/>
    <mergeCell ref="Q55:Q56"/>
    <mergeCell ref="Q57:Q59"/>
    <mergeCell ref="Q60:Q62"/>
    <mergeCell ref="Q63:Q65"/>
    <mergeCell ref="Q66:Q68"/>
    <mergeCell ref="Q71:Q73"/>
    <mergeCell ref="Q74:Q76"/>
    <mergeCell ref="Q77:Q80"/>
    <mergeCell ref="Q81:Q84"/>
    <mergeCell ref="Q85:Q86"/>
    <mergeCell ref="Q87:Q88"/>
    <mergeCell ref="Q89:Q98"/>
    <mergeCell ref="Q99:Q108"/>
    <mergeCell ref="Q109:Q112"/>
    <mergeCell ref="Q113:Q116"/>
    <mergeCell ref="Q117:Q120"/>
    <mergeCell ref="Q121:Q124"/>
    <mergeCell ref="Q125:Q128"/>
    <mergeCell ref="Q129:Q132"/>
    <mergeCell ref="Q133:Q136"/>
    <mergeCell ref="Q137:Q140"/>
    <mergeCell ref="Q141:Q144"/>
    <mergeCell ref="Q145:Q148"/>
    <mergeCell ref="Q149:Q154"/>
    <mergeCell ref="Q155:Q160"/>
    <mergeCell ref="Q161:Q162"/>
    <mergeCell ref="Q163:Q164"/>
    <mergeCell ref="Q165:Q166"/>
    <mergeCell ref="Q167:Q168"/>
    <mergeCell ref="Q169:Q172"/>
    <mergeCell ref="Q173:Q176"/>
    <mergeCell ref="Q177:Q180"/>
    <mergeCell ref="Q181:Q184"/>
    <mergeCell ref="Q185:Q188"/>
    <mergeCell ref="Q189:Q192"/>
    <mergeCell ref="Q193:Q194"/>
    <mergeCell ref="Q195:Q196"/>
    <mergeCell ref="Q197:Q200"/>
    <mergeCell ref="Q201:Q204"/>
    <mergeCell ref="Q207:Q208"/>
    <mergeCell ref="Q209:Q210"/>
    <mergeCell ref="Q211:Q212"/>
    <mergeCell ref="Q213:Q214"/>
    <mergeCell ref="Q215:Q216"/>
    <mergeCell ref="Q217:Q218"/>
    <mergeCell ref="Q219:Q224"/>
    <mergeCell ref="Q225:Q230"/>
    <mergeCell ref="Q231:Q232"/>
    <mergeCell ref="Q233:Q234"/>
    <mergeCell ref="Q235:Q236"/>
    <mergeCell ref="Q237:Q238"/>
    <mergeCell ref="Q239:Q240"/>
    <mergeCell ref="Q241:Q242"/>
    <mergeCell ref="Q243:Q248"/>
    <mergeCell ref="Q249:Q254"/>
    <mergeCell ref="Q255:Q256"/>
    <mergeCell ref="Q257:Q258"/>
    <mergeCell ref="Q263:Q264"/>
    <mergeCell ref="Q265:Q266"/>
    <mergeCell ref="R5:R8"/>
    <mergeCell ref="R11:R12"/>
    <mergeCell ref="R14:R16"/>
    <mergeCell ref="R22:R23"/>
    <mergeCell ref="R24:R27"/>
    <mergeCell ref="R32:R38"/>
    <mergeCell ref="R41:R49"/>
    <mergeCell ref="R55:R56"/>
    <mergeCell ref="R57:R59"/>
    <mergeCell ref="R60:R62"/>
    <mergeCell ref="R63:R65"/>
    <mergeCell ref="R66:R68"/>
    <mergeCell ref="R71:R73"/>
    <mergeCell ref="R74:R76"/>
    <mergeCell ref="R77:R80"/>
    <mergeCell ref="R81:R84"/>
    <mergeCell ref="R85:R86"/>
    <mergeCell ref="R87:R88"/>
    <mergeCell ref="R89:R98"/>
    <mergeCell ref="R99:R108"/>
    <mergeCell ref="R109:R112"/>
    <mergeCell ref="R113:R116"/>
    <mergeCell ref="R117:R120"/>
    <mergeCell ref="R121:R124"/>
    <mergeCell ref="R125:R128"/>
    <mergeCell ref="R129:R132"/>
    <mergeCell ref="R133:R136"/>
    <mergeCell ref="R137:R140"/>
    <mergeCell ref="R141:R144"/>
    <mergeCell ref="R145:R148"/>
    <mergeCell ref="R149:R154"/>
    <mergeCell ref="R155:R160"/>
    <mergeCell ref="R161:R162"/>
    <mergeCell ref="R163:R164"/>
    <mergeCell ref="R165:R166"/>
    <mergeCell ref="R167:R168"/>
    <mergeCell ref="R169:R172"/>
    <mergeCell ref="R173:R176"/>
    <mergeCell ref="R177:R180"/>
    <mergeCell ref="R181:R184"/>
    <mergeCell ref="R185:R188"/>
    <mergeCell ref="R189:R192"/>
    <mergeCell ref="R193:R194"/>
    <mergeCell ref="R195:R196"/>
    <mergeCell ref="R197:R200"/>
    <mergeCell ref="R201:R204"/>
    <mergeCell ref="R207:R208"/>
    <mergeCell ref="R209:R210"/>
    <mergeCell ref="R211:R212"/>
    <mergeCell ref="R213:R214"/>
    <mergeCell ref="R215:R216"/>
    <mergeCell ref="R217:R218"/>
    <mergeCell ref="R219:R224"/>
    <mergeCell ref="R225:R230"/>
    <mergeCell ref="R231:R232"/>
    <mergeCell ref="R233:R234"/>
    <mergeCell ref="R235:R236"/>
    <mergeCell ref="R237:R238"/>
    <mergeCell ref="R239:R240"/>
    <mergeCell ref="R241:R242"/>
    <mergeCell ref="R243:R248"/>
    <mergeCell ref="R249:R254"/>
    <mergeCell ref="R255:R256"/>
    <mergeCell ref="R257:R258"/>
    <mergeCell ref="R263:R264"/>
    <mergeCell ref="R265:R266"/>
    <mergeCell ref="S5:S8"/>
    <mergeCell ref="S11:S12"/>
    <mergeCell ref="S14:S16"/>
    <mergeCell ref="S22:S23"/>
    <mergeCell ref="S24:S27"/>
    <mergeCell ref="S32:S38"/>
    <mergeCell ref="S41:S49"/>
    <mergeCell ref="S55:S56"/>
    <mergeCell ref="S57:S59"/>
    <mergeCell ref="S60:S62"/>
    <mergeCell ref="S63:S65"/>
    <mergeCell ref="S66:S68"/>
    <mergeCell ref="S71:S73"/>
    <mergeCell ref="S74:S76"/>
    <mergeCell ref="S77:S80"/>
    <mergeCell ref="S81:S84"/>
    <mergeCell ref="S85:S86"/>
    <mergeCell ref="S87:S88"/>
    <mergeCell ref="S89:S98"/>
    <mergeCell ref="S99:S108"/>
    <mergeCell ref="S109:S112"/>
    <mergeCell ref="S113:S116"/>
    <mergeCell ref="S117:S120"/>
    <mergeCell ref="S121:S124"/>
    <mergeCell ref="S125:S128"/>
    <mergeCell ref="S129:S132"/>
    <mergeCell ref="S133:S136"/>
    <mergeCell ref="S137:S140"/>
    <mergeCell ref="S141:S144"/>
    <mergeCell ref="S145:S148"/>
    <mergeCell ref="S149:S154"/>
    <mergeCell ref="S155:S160"/>
    <mergeCell ref="S161:S162"/>
    <mergeCell ref="S163:S164"/>
    <mergeCell ref="S165:S166"/>
    <mergeCell ref="S167:S168"/>
    <mergeCell ref="S169:S172"/>
    <mergeCell ref="S173:S176"/>
    <mergeCell ref="S177:S180"/>
    <mergeCell ref="S181:S184"/>
    <mergeCell ref="S185:S188"/>
    <mergeCell ref="S189:S192"/>
    <mergeCell ref="S193:S194"/>
    <mergeCell ref="S195:S196"/>
    <mergeCell ref="S197:S200"/>
    <mergeCell ref="S201:S204"/>
    <mergeCell ref="S207:S208"/>
    <mergeCell ref="S209:S210"/>
    <mergeCell ref="S211:S212"/>
    <mergeCell ref="S213:S214"/>
    <mergeCell ref="S215:S216"/>
    <mergeCell ref="S217:S218"/>
    <mergeCell ref="S219:S224"/>
    <mergeCell ref="S225:S230"/>
    <mergeCell ref="S231:S232"/>
    <mergeCell ref="S233:S234"/>
    <mergeCell ref="S235:S236"/>
    <mergeCell ref="S237:S238"/>
    <mergeCell ref="S239:S240"/>
    <mergeCell ref="S241:S242"/>
    <mergeCell ref="S243:S248"/>
    <mergeCell ref="S249:S254"/>
    <mergeCell ref="S255:S256"/>
    <mergeCell ref="S257:S258"/>
    <mergeCell ref="S263:S264"/>
    <mergeCell ref="S265:S266"/>
    <mergeCell ref="T5:T8"/>
    <mergeCell ref="T11:T12"/>
    <mergeCell ref="T14:T16"/>
    <mergeCell ref="T22:T23"/>
    <mergeCell ref="T24:T27"/>
    <mergeCell ref="T32:T38"/>
    <mergeCell ref="T41:T49"/>
    <mergeCell ref="T55:T56"/>
    <mergeCell ref="T57:T59"/>
    <mergeCell ref="T60:T62"/>
    <mergeCell ref="T63:T65"/>
    <mergeCell ref="T66:T68"/>
    <mergeCell ref="T71:T73"/>
    <mergeCell ref="T74:T76"/>
    <mergeCell ref="T77:T80"/>
    <mergeCell ref="T81:T84"/>
    <mergeCell ref="T85:T86"/>
    <mergeCell ref="T87:T88"/>
    <mergeCell ref="T89:T98"/>
    <mergeCell ref="T99:T108"/>
    <mergeCell ref="T109:T112"/>
    <mergeCell ref="T113:T116"/>
    <mergeCell ref="T117:T120"/>
    <mergeCell ref="T121:T124"/>
    <mergeCell ref="T125:T128"/>
    <mergeCell ref="T129:T132"/>
    <mergeCell ref="T133:T136"/>
    <mergeCell ref="T137:T140"/>
    <mergeCell ref="T141:T144"/>
    <mergeCell ref="T145:T148"/>
    <mergeCell ref="T149:T154"/>
    <mergeCell ref="T155:T160"/>
    <mergeCell ref="T161:T162"/>
    <mergeCell ref="T163:T164"/>
    <mergeCell ref="T165:T166"/>
    <mergeCell ref="T167:T168"/>
    <mergeCell ref="T169:T172"/>
    <mergeCell ref="T173:T176"/>
    <mergeCell ref="T177:T180"/>
    <mergeCell ref="T181:T184"/>
    <mergeCell ref="T185:T188"/>
    <mergeCell ref="T189:T192"/>
    <mergeCell ref="T193:T194"/>
    <mergeCell ref="T195:T196"/>
    <mergeCell ref="T197:T200"/>
    <mergeCell ref="T201:T204"/>
    <mergeCell ref="T207:T208"/>
    <mergeCell ref="T209:T210"/>
    <mergeCell ref="T211:T212"/>
    <mergeCell ref="T213:T214"/>
    <mergeCell ref="T215:T216"/>
    <mergeCell ref="T217:T218"/>
    <mergeCell ref="T219:T224"/>
    <mergeCell ref="T225:T230"/>
    <mergeCell ref="T231:T232"/>
    <mergeCell ref="T233:T234"/>
    <mergeCell ref="T235:T236"/>
    <mergeCell ref="T237:T238"/>
    <mergeCell ref="T239:T240"/>
    <mergeCell ref="T241:T242"/>
    <mergeCell ref="T243:T248"/>
    <mergeCell ref="T249:T254"/>
    <mergeCell ref="T255:T256"/>
    <mergeCell ref="T257:T258"/>
    <mergeCell ref="T263:T264"/>
    <mergeCell ref="T265:T266"/>
    <mergeCell ref="U5:U8"/>
    <mergeCell ref="U11:U12"/>
    <mergeCell ref="U14:U16"/>
    <mergeCell ref="U22:U23"/>
    <mergeCell ref="U24:U27"/>
    <mergeCell ref="U32:U38"/>
    <mergeCell ref="U41:U49"/>
    <mergeCell ref="U55:U56"/>
    <mergeCell ref="U57:U59"/>
    <mergeCell ref="U60:U62"/>
    <mergeCell ref="U63:U65"/>
    <mergeCell ref="U66:U68"/>
    <mergeCell ref="U71:U73"/>
    <mergeCell ref="U74:U76"/>
    <mergeCell ref="U77:U80"/>
    <mergeCell ref="U81:U84"/>
    <mergeCell ref="U85:U86"/>
    <mergeCell ref="U87:U88"/>
    <mergeCell ref="U89:U98"/>
    <mergeCell ref="U99:U108"/>
    <mergeCell ref="U109:U112"/>
    <mergeCell ref="U113:U116"/>
    <mergeCell ref="U117:U120"/>
    <mergeCell ref="U121:U124"/>
    <mergeCell ref="U125:U128"/>
    <mergeCell ref="U129:U132"/>
    <mergeCell ref="U133:U136"/>
    <mergeCell ref="U137:U140"/>
    <mergeCell ref="U141:U144"/>
    <mergeCell ref="U145:U148"/>
    <mergeCell ref="U149:U154"/>
    <mergeCell ref="U155:U160"/>
    <mergeCell ref="U161:U162"/>
    <mergeCell ref="U163:U164"/>
    <mergeCell ref="U165:U166"/>
    <mergeCell ref="U167:U168"/>
    <mergeCell ref="U169:U172"/>
    <mergeCell ref="U173:U176"/>
    <mergeCell ref="U177:U180"/>
    <mergeCell ref="U181:U184"/>
    <mergeCell ref="U185:U188"/>
    <mergeCell ref="U189:U192"/>
    <mergeCell ref="U193:U194"/>
    <mergeCell ref="U195:U196"/>
    <mergeCell ref="U197:U200"/>
    <mergeCell ref="U201:U204"/>
    <mergeCell ref="U207:U208"/>
    <mergeCell ref="U209:U210"/>
    <mergeCell ref="U211:U212"/>
    <mergeCell ref="U213:U214"/>
    <mergeCell ref="U215:U216"/>
    <mergeCell ref="U217:U218"/>
    <mergeCell ref="U219:U224"/>
    <mergeCell ref="U225:U230"/>
    <mergeCell ref="U231:U232"/>
    <mergeCell ref="U233:U234"/>
    <mergeCell ref="U235:U236"/>
    <mergeCell ref="U237:U238"/>
    <mergeCell ref="U239:U240"/>
    <mergeCell ref="U241:U242"/>
    <mergeCell ref="U243:U248"/>
    <mergeCell ref="U249:U254"/>
    <mergeCell ref="U255:U256"/>
    <mergeCell ref="U257:U258"/>
    <mergeCell ref="U263:U264"/>
    <mergeCell ref="U265:U266"/>
  </mergeCells>
  <conditionalFormatting sqref="X3">
    <cfRule type="duplicateValues" dxfId="0" priority="1"/>
  </conditionalFormatting>
  <pageMargins left="0.75" right="0.75" top="1" bottom="1" header="0.5" footer="0.5"/>
  <pageSetup paperSize="9" scale="26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D17" sqref="D17"/>
    </sheetView>
  </sheetViews>
  <sheetFormatPr defaultColWidth="9" defaultRowHeight="14.25"/>
  <cols>
    <col min="1" max="1" width="17.25" customWidth="1"/>
    <col min="2" max="2" width="14.375" customWidth="1"/>
    <col min="3" max="3" width="23.875" customWidth="1"/>
    <col min="8" max="9" width="11.125" customWidth="1"/>
    <col min="10" max="12" width="13.25" customWidth="1"/>
  </cols>
  <sheetData>
    <row r="1" ht="25.5" spans="1:13">
      <c r="A1" s="9" t="s">
        <v>24</v>
      </c>
      <c r="B1" s="9" t="s">
        <v>25</v>
      </c>
      <c r="C1" s="10" t="s">
        <v>5</v>
      </c>
      <c r="D1" s="9" t="s">
        <v>26</v>
      </c>
      <c r="E1" s="9" t="s">
        <v>27</v>
      </c>
      <c r="F1" s="9" t="s">
        <v>9</v>
      </c>
      <c r="G1" s="9" t="s">
        <v>28</v>
      </c>
      <c r="H1" s="13" t="s">
        <v>978</v>
      </c>
      <c r="I1" s="13" t="s">
        <v>979</v>
      </c>
      <c r="J1" s="17" t="s">
        <v>29</v>
      </c>
      <c r="K1" s="17" t="s">
        <v>30</v>
      </c>
      <c r="L1" s="17" t="s">
        <v>31</v>
      </c>
      <c r="M1" s="19" t="s">
        <v>32</v>
      </c>
    </row>
    <row r="2" ht="25.5" spans="1:13">
      <c r="A2" s="11" t="s">
        <v>980</v>
      </c>
      <c r="B2" s="11">
        <v>33070200501</v>
      </c>
      <c r="C2" s="11" t="s">
        <v>981</v>
      </c>
      <c r="D2" s="12" t="s">
        <v>39</v>
      </c>
      <c r="E2" s="12" t="s">
        <v>39</v>
      </c>
      <c r="F2" s="14" t="s">
        <v>38</v>
      </c>
      <c r="G2" s="12" t="s">
        <v>803</v>
      </c>
      <c r="H2" s="15">
        <v>3450</v>
      </c>
      <c r="I2" s="15">
        <v>3120</v>
      </c>
      <c r="J2" s="18">
        <v>3275</v>
      </c>
      <c r="K2" s="18">
        <v>2945</v>
      </c>
      <c r="L2" s="18">
        <v>2355</v>
      </c>
      <c r="M2" s="14" t="s">
        <v>40</v>
      </c>
    </row>
    <row r="3" ht="25.5" spans="1:13">
      <c r="A3" s="11" t="s">
        <v>982</v>
      </c>
      <c r="B3" s="11">
        <v>33070200401</v>
      </c>
      <c r="C3" s="11" t="s">
        <v>983</v>
      </c>
      <c r="D3" s="12" t="s">
        <v>39</v>
      </c>
      <c r="E3" s="12" t="s">
        <v>39</v>
      </c>
      <c r="F3" s="14" t="s">
        <v>38</v>
      </c>
      <c r="G3" s="12" t="s">
        <v>803</v>
      </c>
      <c r="H3" s="15">
        <v>5760</v>
      </c>
      <c r="I3" s="15">
        <v>5190</v>
      </c>
      <c r="J3" s="18">
        <v>4320</v>
      </c>
      <c r="K3" s="18">
        <v>3890</v>
      </c>
      <c r="L3" s="18">
        <v>3310</v>
      </c>
      <c r="M3" s="14" t="s">
        <v>40</v>
      </c>
    </row>
    <row r="4" ht="25.5" spans="1:13">
      <c r="A4" s="11" t="s">
        <v>984</v>
      </c>
      <c r="B4" s="11">
        <v>33070200901</v>
      </c>
      <c r="C4" s="11" t="s">
        <v>985</v>
      </c>
      <c r="D4" s="12" t="s">
        <v>39</v>
      </c>
      <c r="E4" s="12" t="s">
        <v>39</v>
      </c>
      <c r="F4" s="14" t="s">
        <v>38</v>
      </c>
      <c r="G4" s="12" t="s">
        <v>803</v>
      </c>
      <c r="H4" s="15">
        <v>3050</v>
      </c>
      <c r="I4" s="15">
        <v>2745</v>
      </c>
      <c r="J4" s="18">
        <v>2812.5</v>
      </c>
      <c r="K4" s="18">
        <v>2700</v>
      </c>
      <c r="L4" s="18">
        <v>2295</v>
      </c>
      <c r="M4" s="14" t="s">
        <v>40</v>
      </c>
    </row>
    <row r="5" ht="25.5" spans="1:13">
      <c r="A5" s="11" t="s">
        <v>986</v>
      </c>
      <c r="B5" s="11">
        <v>33070201501</v>
      </c>
      <c r="C5" s="11" t="s">
        <v>987</v>
      </c>
      <c r="D5" s="12" t="s">
        <v>39</v>
      </c>
      <c r="E5" s="12" t="s">
        <v>39</v>
      </c>
      <c r="F5" s="14" t="s">
        <v>38</v>
      </c>
      <c r="G5" s="12" t="s">
        <v>803</v>
      </c>
      <c r="H5" s="15">
        <v>5190</v>
      </c>
      <c r="I5" s="15">
        <v>4665</v>
      </c>
      <c r="J5" s="18">
        <v>3890</v>
      </c>
      <c r="K5" s="18">
        <v>3500</v>
      </c>
      <c r="L5" s="18">
        <v>2980</v>
      </c>
      <c r="M5" s="14" t="s">
        <v>40</v>
      </c>
    </row>
    <row r="6" ht="25.5" spans="1:13">
      <c r="A6" s="11" t="s">
        <v>988</v>
      </c>
      <c r="B6" s="11">
        <v>33070200405</v>
      </c>
      <c r="C6" s="11" t="s">
        <v>989</v>
      </c>
      <c r="D6" s="12" t="s">
        <v>39</v>
      </c>
      <c r="E6" s="12" t="s">
        <v>39</v>
      </c>
      <c r="F6" s="14" t="s">
        <v>38</v>
      </c>
      <c r="G6" s="12" t="s">
        <v>803</v>
      </c>
      <c r="H6" s="15">
        <v>6560</v>
      </c>
      <c r="I6" s="15">
        <v>5910</v>
      </c>
      <c r="J6" s="18">
        <v>4945</v>
      </c>
      <c r="K6" s="18">
        <v>4490</v>
      </c>
      <c r="L6" s="18">
        <v>3820</v>
      </c>
      <c r="M6" s="14" t="s">
        <v>40</v>
      </c>
    </row>
    <row r="7" ht="25.5" spans="1:13">
      <c r="A7" s="11" t="s">
        <v>990</v>
      </c>
      <c r="B7" s="11">
        <v>33070200505</v>
      </c>
      <c r="C7" s="11" t="s">
        <v>991</v>
      </c>
      <c r="D7" s="12" t="s">
        <v>39</v>
      </c>
      <c r="E7" s="12" t="s">
        <v>39</v>
      </c>
      <c r="F7" s="14" t="s">
        <v>38</v>
      </c>
      <c r="G7" s="12" t="s">
        <v>803</v>
      </c>
      <c r="H7" s="15">
        <v>4250</v>
      </c>
      <c r="I7" s="15">
        <v>3840</v>
      </c>
      <c r="J7" s="18">
        <v>3900</v>
      </c>
      <c r="K7" s="18">
        <v>3545</v>
      </c>
      <c r="L7" s="18">
        <v>2865</v>
      </c>
      <c r="M7" s="14" t="s">
        <v>40</v>
      </c>
    </row>
    <row r="8" ht="25.5" spans="1:13">
      <c r="A8" s="11" t="s">
        <v>992</v>
      </c>
      <c r="B8" s="11">
        <v>33070200905</v>
      </c>
      <c r="C8" s="11" t="s">
        <v>993</v>
      </c>
      <c r="D8" s="12" t="s">
        <v>39</v>
      </c>
      <c r="E8" s="12" t="s">
        <v>39</v>
      </c>
      <c r="F8" s="14" t="s">
        <v>38</v>
      </c>
      <c r="G8" s="12" t="s">
        <v>803</v>
      </c>
      <c r="H8" s="15">
        <v>3850</v>
      </c>
      <c r="I8" s="15">
        <v>3465</v>
      </c>
      <c r="J8" s="18">
        <v>3437.5</v>
      </c>
      <c r="K8" s="18">
        <v>3300</v>
      </c>
      <c r="L8" s="18">
        <v>2805</v>
      </c>
      <c r="M8" s="14" t="s">
        <v>40</v>
      </c>
    </row>
    <row r="9" ht="25.5" spans="1:13">
      <c r="A9" s="11" t="s">
        <v>994</v>
      </c>
      <c r="B9" s="11">
        <v>33070201506</v>
      </c>
      <c r="C9" s="11" t="s">
        <v>995</v>
      </c>
      <c r="D9" s="12" t="s">
        <v>39</v>
      </c>
      <c r="E9" s="12" t="s">
        <v>39</v>
      </c>
      <c r="F9" s="14" t="s">
        <v>38</v>
      </c>
      <c r="G9" s="12" t="s">
        <v>803</v>
      </c>
      <c r="H9" s="15">
        <v>5990</v>
      </c>
      <c r="I9" s="15">
        <v>5385</v>
      </c>
      <c r="J9" s="18">
        <v>4515</v>
      </c>
      <c r="K9" s="18">
        <v>4100</v>
      </c>
      <c r="L9" s="18">
        <v>3490</v>
      </c>
      <c r="M9" s="14" t="s">
        <v>40</v>
      </c>
    </row>
    <row r="10" ht="25.5" spans="1:13">
      <c r="A10" s="11" t="s">
        <v>996</v>
      </c>
      <c r="B10" s="11">
        <v>33070200201</v>
      </c>
      <c r="C10" s="11" t="s">
        <v>997</v>
      </c>
      <c r="D10" s="12" t="s">
        <v>39</v>
      </c>
      <c r="E10" s="12" t="s">
        <v>39</v>
      </c>
      <c r="F10" s="14" t="s">
        <v>38</v>
      </c>
      <c r="G10" s="12" t="s">
        <v>803</v>
      </c>
      <c r="H10" s="15">
        <v>12600</v>
      </c>
      <c r="I10" s="15">
        <v>10590</v>
      </c>
      <c r="J10" s="18">
        <v>11970</v>
      </c>
      <c r="K10" s="18">
        <v>10770</v>
      </c>
      <c r="L10" s="18">
        <v>9155</v>
      </c>
      <c r="M10" s="14" t="s">
        <v>40</v>
      </c>
    </row>
    <row r="11" ht="25.5" spans="1:13">
      <c r="A11" s="11" t="s">
        <v>998</v>
      </c>
      <c r="B11" s="11">
        <v>33070200205</v>
      </c>
      <c r="C11" s="11" t="s">
        <v>999</v>
      </c>
      <c r="D11" s="12" t="s">
        <v>39</v>
      </c>
      <c r="E11" s="12" t="s">
        <v>39</v>
      </c>
      <c r="F11" s="14" t="s">
        <v>38</v>
      </c>
      <c r="G11" s="12" t="s">
        <v>803</v>
      </c>
      <c r="H11" s="15">
        <v>13400</v>
      </c>
      <c r="I11" s="15">
        <v>11310</v>
      </c>
      <c r="J11" s="18">
        <v>12595</v>
      </c>
      <c r="K11" s="18">
        <v>11370</v>
      </c>
      <c r="L11" s="18">
        <v>9665</v>
      </c>
      <c r="M11" s="14" t="s">
        <v>40</v>
      </c>
    </row>
    <row r="12" ht="25.5" spans="1:13">
      <c r="A12" s="11" t="s">
        <v>1000</v>
      </c>
      <c r="B12" s="11">
        <v>33070200503</v>
      </c>
      <c r="C12" s="11" t="s">
        <v>1001</v>
      </c>
      <c r="D12" s="12" t="s">
        <v>39</v>
      </c>
      <c r="E12" s="12" t="s">
        <v>39</v>
      </c>
      <c r="F12" s="14" t="s">
        <v>38</v>
      </c>
      <c r="G12" s="12" t="s">
        <v>803</v>
      </c>
      <c r="H12" s="15">
        <v>4485</v>
      </c>
      <c r="I12" s="15">
        <v>4055</v>
      </c>
      <c r="J12" s="18">
        <v>4260</v>
      </c>
      <c r="K12" s="18">
        <v>3830</v>
      </c>
      <c r="L12" s="18">
        <v>3060</v>
      </c>
      <c r="M12" s="14" t="s">
        <v>40</v>
      </c>
    </row>
    <row r="13" ht="25.5" spans="1:13">
      <c r="A13" s="11" t="s">
        <v>1002</v>
      </c>
      <c r="B13" s="11">
        <v>33070200403</v>
      </c>
      <c r="C13" s="11" t="s">
        <v>1003</v>
      </c>
      <c r="D13" s="12" t="s">
        <v>39</v>
      </c>
      <c r="E13" s="12" t="s">
        <v>39</v>
      </c>
      <c r="F13" s="14" t="s">
        <v>38</v>
      </c>
      <c r="G13" s="12" t="s">
        <v>803</v>
      </c>
      <c r="H13" s="15">
        <v>7490</v>
      </c>
      <c r="I13" s="15">
        <v>6745</v>
      </c>
      <c r="J13" s="18">
        <v>5615</v>
      </c>
      <c r="K13" s="18">
        <v>5055</v>
      </c>
      <c r="L13" s="18">
        <v>4295</v>
      </c>
      <c r="M13" s="14" t="s">
        <v>40</v>
      </c>
    </row>
    <row r="14" ht="25.5" spans="1:13">
      <c r="A14" s="11" t="s">
        <v>1004</v>
      </c>
      <c r="B14" s="11">
        <v>33070200903</v>
      </c>
      <c r="C14" s="11" t="s">
        <v>1005</v>
      </c>
      <c r="D14" s="12" t="s">
        <v>39</v>
      </c>
      <c r="E14" s="12" t="s">
        <v>39</v>
      </c>
      <c r="F14" s="14" t="s">
        <v>38</v>
      </c>
      <c r="G14" s="12" t="s">
        <v>803</v>
      </c>
      <c r="H14" s="15">
        <v>3965</v>
      </c>
      <c r="I14" s="15">
        <v>3570</v>
      </c>
      <c r="J14" s="18">
        <v>3655</v>
      </c>
      <c r="K14" s="18">
        <v>3510</v>
      </c>
      <c r="L14" s="18">
        <v>2985</v>
      </c>
      <c r="M14" s="14" t="s">
        <v>40</v>
      </c>
    </row>
    <row r="15" ht="25.5" spans="1:13">
      <c r="A15" s="11" t="s">
        <v>1006</v>
      </c>
      <c r="B15" s="11">
        <v>33070201503</v>
      </c>
      <c r="C15" s="11" t="s">
        <v>1007</v>
      </c>
      <c r="D15" s="12" t="s">
        <v>39</v>
      </c>
      <c r="E15" s="12" t="s">
        <v>39</v>
      </c>
      <c r="F15" s="14" t="s">
        <v>38</v>
      </c>
      <c r="G15" s="12" t="s">
        <v>803</v>
      </c>
      <c r="H15" s="15">
        <v>6745</v>
      </c>
      <c r="I15" s="15">
        <v>6065</v>
      </c>
      <c r="J15" s="18">
        <v>5055</v>
      </c>
      <c r="K15" s="18">
        <v>4550</v>
      </c>
      <c r="L15" s="18">
        <v>3870</v>
      </c>
      <c r="M15" s="14" t="s">
        <v>40</v>
      </c>
    </row>
    <row r="16" ht="25.5" spans="1:13">
      <c r="A16" s="11" t="s">
        <v>1008</v>
      </c>
      <c r="B16" s="11">
        <v>33070200407</v>
      </c>
      <c r="C16" s="11" t="s">
        <v>1009</v>
      </c>
      <c r="D16" s="12" t="s">
        <v>39</v>
      </c>
      <c r="E16" s="12" t="s">
        <v>39</v>
      </c>
      <c r="F16" s="14" t="s">
        <v>38</v>
      </c>
      <c r="G16" s="12" t="s">
        <v>803</v>
      </c>
      <c r="H16" s="15">
        <v>8290</v>
      </c>
      <c r="I16" s="15">
        <v>7465</v>
      </c>
      <c r="J16" s="18">
        <v>6240</v>
      </c>
      <c r="K16" s="18">
        <v>5655</v>
      </c>
      <c r="L16" s="18">
        <v>4805</v>
      </c>
      <c r="M16" s="14" t="s">
        <v>40</v>
      </c>
    </row>
    <row r="17" ht="25.5" spans="1:13">
      <c r="A17" s="11" t="s">
        <v>1010</v>
      </c>
      <c r="B17" s="11">
        <v>33070200507</v>
      </c>
      <c r="C17" s="11" t="s">
        <v>1011</v>
      </c>
      <c r="D17" s="12" t="s">
        <v>39</v>
      </c>
      <c r="E17" s="12" t="s">
        <v>39</v>
      </c>
      <c r="F17" s="14" t="s">
        <v>38</v>
      </c>
      <c r="G17" s="12" t="s">
        <v>803</v>
      </c>
      <c r="H17" s="15">
        <v>5285</v>
      </c>
      <c r="I17" s="15">
        <v>4775</v>
      </c>
      <c r="J17" s="18">
        <v>4885</v>
      </c>
      <c r="K17" s="18">
        <v>4430</v>
      </c>
      <c r="L17" s="18">
        <v>3570</v>
      </c>
      <c r="M17" s="14" t="s">
        <v>40</v>
      </c>
    </row>
    <row r="18" ht="25.5" spans="1:13">
      <c r="A18" s="11" t="s">
        <v>1012</v>
      </c>
      <c r="B18" s="11">
        <v>33070200907</v>
      </c>
      <c r="C18" s="11" t="s">
        <v>1013</v>
      </c>
      <c r="D18" s="12" t="s">
        <v>39</v>
      </c>
      <c r="E18" s="12" t="s">
        <v>39</v>
      </c>
      <c r="F18" s="14" t="s">
        <v>38</v>
      </c>
      <c r="G18" s="12" t="s">
        <v>803</v>
      </c>
      <c r="H18" s="15">
        <v>4765</v>
      </c>
      <c r="I18" s="15">
        <v>4290</v>
      </c>
      <c r="J18" s="18">
        <v>4280</v>
      </c>
      <c r="K18" s="18">
        <v>4110</v>
      </c>
      <c r="L18" s="18">
        <v>3445</v>
      </c>
      <c r="M18" s="14" t="s">
        <v>40</v>
      </c>
    </row>
    <row r="19" ht="25.5" spans="1:13">
      <c r="A19" s="11" t="s">
        <v>1014</v>
      </c>
      <c r="B19" s="11">
        <v>33070201507</v>
      </c>
      <c r="C19" s="11" t="s">
        <v>1015</v>
      </c>
      <c r="D19" s="12" t="s">
        <v>39</v>
      </c>
      <c r="E19" s="12" t="s">
        <v>39</v>
      </c>
      <c r="F19" s="14" t="s">
        <v>38</v>
      </c>
      <c r="G19" s="12" t="s">
        <v>803</v>
      </c>
      <c r="H19" s="15">
        <v>7545</v>
      </c>
      <c r="I19" s="15">
        <v>6785</v>
      </c>
      <c r="J19" s="18">
        <v>5680</v>
      </c>
      <c r="K19" s="18">
        <v>5150</v>
      </c>
      <c r="L19" s="18">
        <v>4380</v>
      </c>
      <c r="M19" s="14" t="s">
        <v>40</v>
      </c>
    </row>
    <row r="20" ht="25.5" spans="1:13">
      <c r="A20" s="11" t="s">
        <v>1016</v>
      </c>
      <c r="B20" s="11">
        <v>33070200203</v>
      </c>
      <c r="C20" s="11" t="s">
        <v>1017</v>
      </c>
      <c r="D20" s="12" t="s">
        <v>39</v>
      </c>
      <c r="E20" s="12" t="s">
        <v>39</v>
      </c>
      <c r="F20" s="14" t="s">
        <v>38</v>
      </c>
      <c r="G20" s="12" t="s">
        <v>803</v>
      </c>
      <c r="H20" s="15">
        <v>16380</v>
      </c>
      <c r="I20" s="15">
        <v>13765</v>
      </c>
      <c r="J20" s="18">
        <v>15560</v>
      </c>
      <c r="K20" s="18">
        <v>14000</v>
      </c>
      <c r="L20" s="18">
        <v>11900</v>
      </c>
      <c r="M20" s="14" t="s">
        <v>40</v>
      </c>
    </row>
    <row r="21" ht="25.5" spans="1:13">
      <c r="A21" s="11" t="s">
        <v>1018</v>
      </c>
      <c r="B21" s="11">
        <v>33070200207</v>
      </c>
      <c r="C21" s="11" t="s">
        <v>1019</v>
      </c>
      <c r="D21" s="12" t="s">
        <v>39</v>
      </c>
      <c r="E21" s="12" t="s">
        <v>39</v>
      </c>
      <c r="F21" s="14" t="s">
        <v>38</v>
      </c>
      <c r="G21" s="12" t="s">
        <v>803</v>
      </c>
      <c r="H21" s="15">
        <v>17180</v>
      </c>
      <c r="I21" s="15">
        <v>14485</v>
      </c>
      <c r="J21" s="18">
        <v>16185</v>
      </c>
      <c r="K21" s="18">
        <v>14600</v>
      </c>
      <c r="L21" s="18">
        <v>12410</v>
      </c>
      <c r="M21" s="14" t="s">
        <v>40</v>
      </c>
    </row>
    <row r="22" ht="25.5" spans="1:13">
      <c r="A22" s="11" t="s">
        <v>1020</v>
      </c>
      <c r="B22" s="11">
        <v>33070200601</v>
      </c>
      <c r="C22" s="11" t="s">
        <v>1021</v>
      </c>
      <c r="D22" s="12" t="s">
        <v>39</v>
      </c>
      <c r="E22" s="12" t="s">
        <v>39</v>
      </c>
      <c r="F22" s="14" t="s">
        <v>38</v>
      </c>
      <c r="G22" s="12" t="s">
        <v>803</v>
      </c>
      <c r="H22" s="16">
        <v>5180</v>
      </c>
      <c r="I22" s="16">
        <v>4660</v>
      </c>
      <c r="J22" s="18">
        <v>4665</v>
      </c>
      <c r="K22" s="18">
        <v>4200</v>
      </c>
      <c r="L22" s="18">
        <v>3570</v>
      </c>
      <c r="M22" s="14" t="s">
        <v>40</v>
      </c>
    </row>
    <row r="23" ht="25.5" spans="1:13">
      <c r="A23" s="11" t="s">
        <v>1022</v>
      </c>
      <c r="B23" s="11">
        <v>33070200605</v>
      </c>
      <c r="C23" s="11" t="s">
        <v>1023</v>
      </c>
      <c r="D23" s="12" t="s">
        <v>39</v>
      </c>
      <c r="E23" s="12" t="s">
        <v>39</v>
      </c>
      <c r="F23" s="14" t="s">
        <v>38</v>
      </c>
      <c r="G23" s="12" t="s">
        <v>803</v>
      </c>
      <c r="H23" s="15">
        <v>5120</v>
      </c>
      <c r="I23" s="15">
        <v>4605</v>
      </c>
      <c r="J23" s="18">
        <v>5290</v>
      </c>
      <c r="K23" s="18">
        <v>4800</v>
      </c>
      <c r="L23" s="18">
        <v>4080</v>
      </c>
      <c r="M23" s="14" t="s">
        <v>40</v>
      </c>
    </row>
    <row r="24" ht="25.5" spans="1:13">
      <c r="A24" s="11" t="s">
        <v>996</v>
      </c>
      <c r="B24" s="11">
        <v>33070200201</v>
      </c>
      <c r="C24" s="11" t="s">
        <v>997</v>
      </c>
      <c r="D24" s="12" t="s">
        <v>39</v>
      </c>
      <c r="E24" s="12" t="s">
        <v>39</v>
      </c>
      <c r="F24" s="14" t="s">
        <v>38</v>
      </c>
      <c r="G24" s="12" t="s">
        <v>803</v>
      </c>
      <c r="H24" s="15">
        <v>12600</v>
      </c>
      <c r="I24" s="15">
        <v>10590</v>
      </c>
      <c r="J24" s="18">
        <v>11970</v>
      </c>
      <c r="K24" s="18">
        <v>10770</v>
      </c>
      <c r="L24" s="18">
        <v>9155</v>
      </c>
      <c r="M24" s="14" t="s">
        <v>40</v>
      </c>
    </row>
    <row r="25" ht="25.5" spans="1:13">
      <c r="A25" s="11" t="s">
        <v>998</v>
      </c>
      <c r="B25" s="11">
        <v>33070200205</v>
      </c>
      <c r="C25" s="11" t="s">
        <v>999</v>
      </c>
      <c r="D25" s="12" t="s">
        <v>39</v>
      </c>
      <c r="E25" s="12" t="s">
        <v>39</v>
      </c>
      <c r="F25" s="14" t="s">
        <v>38</v>
      </c>
      <c r="G25" s="12" t="s">
        <v>803</v>
      </c>
      <c r="H25" s="15">
        <v>13400</v>
      </c>
      <c r="I25" s="15">
        <v>11310</v>
      </c>
      <c r="J25" s="18">
        <v>12595</v>
      </c>
      <c r="K25" s="18">
        <v>11370</v>
      </c>
      <c r="L25" s="18">
        <v>9665</v>
      </c>
      <c r="M25" s="14" t="s">
        <v>40</v>
      </c>
    </row>
    <row r="26" ht="25.5" spans="1:13">
      <c r="A26" s="11" t="s">
        <v>1024</v>
      </c>
      <c r="B26" s="11">
        <v>33070200603</v>
      </c>
      <c r="C26" s="11" t="s">
        <v>1025</v>
      </c>
      <c r="D26" s="12" t="s">
        <v>39</v>
      </c>
      <c r="E26" s="12" t="s">
        <v>39</v>
      </c>
      <c r="F26" s="14" t="s">
        <v>38</v>
      </c>
      <c r="G26" s="12" t="s">
        <v>803</v>
      </c>
      <c r="H26" s="16">
        <v>6740</v>
      </c>
      <c r="I26" s="16">
        <v>6060</v>
      </c>
      <c r="J26" s="18">
        <v>6065</v>
      </c>
      <c r="K26" s="18">
        <v>5460</v>
      </c>
      <c r="L26" s="18">
        <v>4640</v>
      </c>
      <c r="M26" s="14" t="s">
        <v>40</v>
      </c>
    </row>
    <row r="27" ht="25.5" spans="1:13">
      <c r="A27" s="11" t="s">
        <v>1026</v>
      </c>
      <c r="B27" s="11">
        <v>33070200607</v>
      </c>
      <c r="C27" s="11" t="s">
        <v>1027</v>
      </c>
      <c r="D27" s="12" t="s">
        <v>39</v>
      </c>
      <c r="E27" s="12" t="s">
        <v>39</v>
      </c>
      <c r="F27" s="14" t="s">
        <v>38</v>
      </c>
      <c r="G27" s="12" t="s">
        <v>803</v>
      </c>
      <c r="H27" s="15">
        <v>6415</v>
      </c>
      <c r="I27" s="15">
        <v>5770</v>
      </c>
      <c r="J27" s="18">
        <v>6690</v>
      </c>
      <c r="K27" s="18">
        <v>6060</v>
      </c>
      <c r="L27" s="18">
        <v>5150</v>
      </c>
      <c r="M27" s="14" t="s">
        <v>40</v>
      </c>
    </row>
    <row r="28" ht="25.5" spans="1:13">
      <c r="A28" s="11" t="s">
        <v>1016</v>
      </c>
      <c r="B28" s="11">
        <v>33070200203</v>
      </c>
      <c r="C28" s="11" t="s">
        <v>1017</v>
      </c>
      <c r="D28" s="12" t="s">
        <v>39</v>
      </c>
      <c r="E28" s="12" t="s">
        <v>39</v>
      </c>
      <c r="F28" s="14" t="s">
        <v>38</v>
      </c>
      <c r="G28" s="12" t="s">
        <v>803</v>
      </c>
      <c r="H28" s="15">
        <v>16380</v>
      </c>
      <c r="I28" s="15">
        <v>13765</v>
      </c>
      <c r="J28" s="18">
        <v>15560</v>
      </c>
      <c r="K28" s="18">
        <v>14000</v>
      </c>
      <c r="L28" s="18">
        <v>11900</v>
      </c>
      <c r="M28" s="14" t="s">
        <v>40</v>
      </c>
    </row>
    <row r="29" ht="25.5" spans="1:13">
      <c r="A29" s="11" t="s">
        <v>1018</v>
      </c>
      <c r="B29" s="11">
        <v>33070200207</v>
      </c>
      <c r="C29" s="11" t="s">
        <v>1019</v>
      </c>
      <c r="D29" s="12" t="s">
        <v>39</v>
      </c>
      <c r="E29" s="12" t="s">
        <v>39</v>
      </c>
      <c r="F29" s="14" t="s">
        <v>38</v>
      </c>
      <c r="G29" s="12" t="s">
        <v>803</v>
      </c>
      <c r="H29" s="15">
        <v>17180</v>
      </c>
      <c r="I29" s="15">
        <v>14485</v>
      </c>
      <c r="J29" s="18">
        <v>16185</v>
      </c>
      <c r="K29" s="18">
        <v>14600</v>
      </c>
      <c r="L29" s="18">
        <v>12410</v>
      </c>
      <c r="M29" s="14" t="s">
        <v>40</v>
      </c>
    </row>
    <row r="30" ht="25.5" spans="1:13">
      <c r="A30" s="11" t="s">
        <v>1028</v>
      </c>
      <c r="B30" s="11">
        <v>33070200701</v>
      </c>
      <c r="C30" s="11" t="s">
        <v>1029</v>
      </c>
      <c r="D30" s="12" t="s">
        <v>39</v>
      </c>
      <c r="E30" s="12" t="s">
        <v>39</v>
      </c>
      <c r="F30" s="14" t="s">
        <v>38</v>
      </c>
      <c r="G30" s="12" t="s">
        <v>803</v>
      </c>
      <c r="H30" s="15">
        <v>9000</v>
      </c>
      <c r="I30" s="15">
        <v>7560</v>
      </c>
      <c r="J30" s="18">
        <v>8700</v>
      </c>
      <c r="K30" s="18">
        <v>7800</v>
      </c>
      <c r="L30" s="18">
        <v>7050</v>
      </c>
      <c r="M30" s="14" t="s">
        <v>40</v>
      </c>
    </row>
    <row r="31" ht="25.5" spans="1:13">
      <c r="A31" s="11" t="s">
        <v>1030</v>
      </c>
      <c r="B31" s="11">
        <v>33070200705</v>
      </c>
      <c r="C31" s="11" t="s">
        <v>1031</v>
      </c>
      <c r="D31" s="12" t="s">
        <v>39</v>
      </c>
      <c r="E31" s="12" t="s">
        <v>39</v>
      </c>
      <c r="F31" s="14" t="s">
        <v>38</v>
      </c>
      <c r="G31" s="12" t="s">
        <v>803</v>
      </c>
      <c r="H31" s="15">
        <v>9800</v>
      </c>
      <c r="I31" s="15">
        <v>8280</v>
      </c>
      <c r="J31" s="18">
        <v>9325</v>
      </c>
      <c r="K31" s="18">
        <v>8400</v>
      </c>
      <c r="L31" s="18">
        <v>7560</v>
      </c>
      <c r="M31" s="14" t="s">
        <v>40</v>
      </c>
    </row>
    <row r="32" ht="25.5" spans="1:13">
      <c r="A32" s="11" t="s">
        <v>1032</v>
      </c>
      <c r="B32" s="11">
        <v>33070200703</v>
      </c>
      <c r="C32" s="11" t="s">
        <v>1033</v>
      </c>
      <c r="D32" s="12" t="s">
        <v>39</v>
      </c>
      <c r="E32" s="12" t="s">
        <v>39</v>
      </c>
      <c r="F32" s="14" t="s">
        <v>38</v>
      </c>
      <c r="G32" s="12" t="s">
        <v>803</v>
      </c>
      <c r="H32" s="15">
        <v>11700</v>
      </c>
      <c r="I32" s="15">
        <v>9830</v>
      </c>
      <c r="J32" s="18">
        <v>11310</v>
      </c>
      <c r="K32" s="18">
        <v>10140</v>
      </c>
      <c r="L32" s="18">
        <v>9165</v>
      </c>
      <c r="M32" s="14" t="s">
        <v>40</v>
      </c>
    </row>
    <row r="33" ht="25.5" spans="1:13">
      <c r="A33" s="11" t="s">
        <v>1034</v>
      </c>
      <c r="B33" s="11">
        <v>33070200707</v>
      </c>
      <c r="C33" s="11" t="s">
        <v>1035</v>
      </c>
      <c r="D33" s="12" t="s">
        <v>39</v>
      </c>
      <c r="E33" s="12" t="s">
        <v>39</v>
      </c>
      <c r="F33" s="14" t="s">
        <v>38</v>
      </c>
      <c r="G33" s="12" t="s">
        <v>803</v>
      </c>
      <c r="H33" s="15">
        <v>12500</v>
      </c>
      <c r="I33" s="15">
        <v>10550</v>
      </c>
      <c r="J33" s="18">
        <v>11935</v>
      </c>
      <c r="K33" s="18">
        <v>10740</v>
      </c>
      <c r="L33" s="18">
        <v>9675</v>
      </c>
      <c r="M33" s="14" t="s">
        <v>40</v>
      </c>
    </row>
    <row r="34" ht="25.5" spans="1:13">
      <c r="A34" s="11" t="s">
        <v>1036</v>
      </c>
      <c r="B34" s="11">
        <v>33070200301</v>
      </c>
      <c r="C34" s="11" t="s">
        <v>1037</v>
      </c>
      <c r="D34" s="12" t="s">
        <v>39</v>
      </c>
      <c r="E34" s="12" t="s">
        <v>39</v>
      </c>
      <c r="F34" s="14" t="s">
        <v>38</v>
      </c>
      <c r="G34" s="12" t="s">
        <v>803</v>
      </c>
      <c r="H34" s="15">
        <v>6480</v>
      </c>
      <c r="I34" s="15">
        <v>5835</v>
      </c>
      <c r="J34" s="18">
        <v>4860</v>
      </c>
      <c r="K34" s="18">
        <v>4370</v>
      </c>
      <c r="L34" s="18">
        <v>3710</v>
      </c>
      <c r="M34" s="14" t="s">
        <v>40</v>
      </c>
    </row>
    <row r="35" ht="25.5" spans="1:13">
      <c r="A35" s="11" t="s">
        <v>1038</v>
      </c>
      <c r="B35" s="11">
        <v>33070200305</v>
      </c>
      <c r="C35" s="11" t="s">
        <v>1039</v>
      </c>
      <c r="D35" s="12" t="s">
        <v>39</v>
      </c>
      <c r="E35" s="12" t="s">
        <v>39</v>
      </c>
      <c r="F35" s="14" t="s">
        <v>38</v>
      </c>
      <c r="G35" s="12" t="s">
        <v>803</v>
      </c>
      <c r="H35" s="15">
        <v>7280</v>
      </c>
      <c r="I35" s="15">
        <v>6555</v>
      </c>
      <c r="J35" s="18">
        <v>5485</v>
      </c>
      <c r="K35" s="18">
        <v>4970</v>
      </c>
      <c r="L35" s="18">
        <v>4220</v>
      </c>
      <c r="M35" s="14" t="s">
        <v>40</v>
      </c>
    </row>
    <row r="36" ht="25.5" spans="1:13">
      <c r="A36" s="11" t="s">
        <v>1040</v>
      </c>
      <c r="B36" s="11">
        <v>33070200303</v>
      </c>
      <c r="C36" s="11" t="s">
        <v>1041</v>
      </c>
      <c r="D36" s="12" t="s">
        <v>39</v>
      </c>
      <c r="E36" s="12" t="s">
        <v>39</v>
      </c>
      <c r="F36" s="14" t="s">
        <v>38</v>
      </c>
      <c r="G36" s="12" t="s">
        <v>803</v>
      </c>
      <c r="H36" s="15">
        <v>8425</v>
      </c>
      <c r="I36" s="15">
        <v>7585</v>
      </c>
      <c r="J36" s="18">
        <v>6320</v>
      </c>
      <c r="K36" s="18">
        <v>5680</v>
      </c>
      <c r="L36" s="18">
        <v>4830</v>
      </c>
      <c r="M36" s="14" t="s">
        <v>40</v>
      </c>
    </row>
    <row r="37" ht="25.5" spans="1:13">
      <c r="A37" s="11" t="s">
        <v>1042</v>
      </c>
      <c r="B37" s="11">
        <v>33070200307</v>
      </c>
      <c r="C37" s="11" t="s">
        <v>1043</v>
      </c>
      <c r="D37" s="12" t="s">
        <v>39</v>
      </c>
      <c r="E37" s="12" t="s">
        <v>39</v>
      </c>
      <c r="F37" s="14" t="s">
        <v>38</v>
      </c>
      <c r="G37" s="12" t="s">
        <v>803</v>
      </c>
      <c r="H37" s="15">
        <v>9225</v>
      </c>
      <c r="I37" s="15">
        <v>8305</v>
      </c>
      <c r="J37" s="18">
        <v>6945</v>
      </c>
      <c r="K37" s="18">
        <v>6280</v>
      </c>
      <c r="L37" s="18">
        <v>5340</v>
      </c>
      <c r="M37" s="14" t="s">
        <v>40</v>
      </c>
    </row>
    <row r="38" ht="25.5" spans="1:13">
      <c r="A38" s="11" t="s">
        <v>1044</v>
      </c>
      <c r="B38" s="11">
        <v>33070200801</v>
      </c>
      <c r="C38" s="11" t="s">
        <v>1045</v>
      </c>
      <c r="D38" s="12" t="s">
        <v>39</v>
      </c>
      <c r="E38" s="12" t="s">
        <v>39</v>
      </c>
      <c r="F38" s="14" t="s">
        <v>38</v>
      </c>
      <c r="G38" s="12" t="s">
        <v>803</v>
      </c>
      <c r="H38" s="15">
        <v>7560</v>
      </c>
      <c r="I38" s="15">
        <v>6810</v>
      </c>
      <c r="J38" s="18">
        <v>5670</v>
      </c>
      <c r="K38" s="18">
        <v>5100</v>
      </c>
      <c r="L38" s="18">
        <v>4340</v>
      </c>
      <c r="M38" s="14" t="s">
        <v>40</v>
      </c>
    </row>
    <row r="39" ht="25.5" spans="1:13">
      <c r="A39" s="11" t="s">
        <v>1046</v>
      </c>
      <c r="B39" s="11">
        <v>33070200807</v>
      </c>
      <c r="C39" s="11" t="s">
        <v>1047</v>
      </c>
      <c r="D39" s="12" t="s">
        <v>39</v>
      </c>
      <c r="E39" s="12" t="s">
        <v>39</v>
      </c>
      <c r="F39" s="14" t="s">
        <v>38</v>
      </c>
      <c r="G39" s="12" t="s">
        <v>803</v>
      </c>
      <c r="H39" s="15">
        <v>8360</v>
      </c>
      <c r="I39" s="15">
        <v>7530</v>
      </c>
      <c r="J39" s="18">
        <v>6295</v>
      </c>
      <c r="K39" s="18">
        <v>5700</v>
      </c>
      <c r="L39" s="18">
        <v>4850</v>
      </c>
      <c r="M39" s="14" t="s">
        <v>40</v>
      </c>
    </row>
    <row r="40" ht="25.5" spans="1:13">
      <c r="A40" s="11" t="s">
        <v>1048</v>
      </c>
      <c r="B40" s="11">
        <v>33070200804</v>
      </c>
      <c r="C40" s="11" t="s">
        <v>1049</v>
      </c>
      <c r="D40" s="12" t="s">
        <v>39</v>
      </c>
      <c r="E40" s="12" t="s">
        <v>39</v>
      </c>
      <c r="F40" s="14" t="s">
        <v>38</v>
      </c>
      <c r="G40" s="12" t="s">
        <v>803</v>
      </c>
      <c r="H40" s="15">
        <v>9830</v>
      </c>
      <c r="I40" s="15">
        <v>8855</v>
      </c>
      <c r="J40" s="18">
        <v>7370</v>
      </c>
      <c r="K40" s="18">
        <v>6630</v>
      </c>
      <c r="L40" s="18">
        <v>5635</v>
      </c>
      <c r="M40" s="14" t="s">
        <v>40</v>
      </c>
    </row>
    <row r="41" ht="25.5" spans="1:13">
      <c r="A41" s="11" t="s">
        <v>1050</v>
      </c>
      <c r="B41" s="11">
        <v>33070200810</v>
      </c>
      <c r="C41" s="11" t="s">
        <v>1051</v>
      </c>
      <c r="D41" s="12" t="s">
        <v>39</v>
      </c>
      <c r="E41" s="12" t="s">
        <v>39</v>
      </c>
      <c r="F41" s="14" t="s">
        <v>38</v>
      </c>
      <c r="G41" s="12" t="s">
        <v>803</v>
      </c>
      <c r="H41" s="15">
        <v>10630</v>
      </c>
      <c r="I41" s="15">
        <v>9575</v>
      </c>
      <c r="J41" s="18">
        <v>7995</v>
      </c>
      <c r="K41" s="18">
        <v>7230</v>
      </c>
      <c r="L41" s="18">
        <v>5875</v>
      </c>
      <c r="M41" s="14" t="s">
        <v>40</v>
      </c>
    </row>
    <row r="42" ht="25.5" spans="1:13">
      <c r="A42" s="11" t="s">
        <v>1052</v>
      </c>
      <c r="B42" s="11">
        <v>33070201001</v>
      </c>
      <c r="C42" s="11" t="s">
        <v>1053</v>
      </c>
      <c r="D42" s="12" t="s">
        <v>39</v>
      </c>
      <c r="E42" s="12" t="s">
        <v>39</v>
      </c>
      <c r="F42" s="14" t="s">
        <v>38</v>
      </c>
      <c r="G42" s="12" t="s">
        <v>803</v>
      </c>
      <c r="H42" s="15">
        <v>6000</v>
      </c>
      <c r="I42" s="15">
        <v>5400</v>
      </c>
      <c r="J42" s="18">
        <v>5400</v>
      </c>
      <c r="K42" s="18">
        <v>4860</v>
      </c>
      <c r="L42" s="18">
        <v>4130</v>
      </c>
      <c r="M42" s="14" t="s">
        <v>40</v>
      </c>
    </row>
    <row r="43" ht="25.5" spans="1:13">
      <c r="A43" s="11" t="s">
        <v>1054</v>
      </c>
      <c r="B43" s="11">
        <v>33070201005</v>
      </c>
      <c r="C43" s="11" t="s">
        <v>1055</v>
      </c>
      <c r="D43" s="12" t="s">
        <v>39</v>
      </c>
      <c r="E43" s="12" t="s">
        <v>39</v>
      </c>
      <c r="F43" s="14" t="s">
        <v>38</v>
      </c>
      <c r="G43" s="12" t="s">
        <v>803</v>
      </c>
      <c r="H43" s="15">
        <v>6800</v>
      </c>
      <c r="I43" s="15">
        <v>6120</v>
      </c>
      <c r="J43" s="18">
        <v>6025</v>
      </c>
      <c r="K43" s="18">
        <v>5460</v>
      </c>
      <c r="L43" s="18">
        <v>4640</v>
      </c>
      <c r="M43" s="14" t="s">
        <v>40</v>
      </c>
    </row>
    <row r="44" ht="25.5" spans="1:13">
      <c r="A44" s="11" t="s">
        <v>1056</v>
      </c>
      <c r="B44" s="11">
        <v>33070201003</v>
      </c>
      <c r="C44" s="11" t="s">
        <v>1057</v>
      </c>
      <c r="D44" s="12" t="s">
        <v>39</v>
      </c>
      <c r="E44" s="12" t="s">
        <v>39</v>
      </c>
      <c r="F44" s="14" t="s">
        <v>38</v>
      </c>
      <c r="G44" s="12" t="s">
        <v>803</v>
      </c>
      <c r="H44" s="15">
        <v>7800</v>
      </c>
      <c r="I44" s="15">
        <v>7020</v>
      </c>
      <c r="J44" s="18">
        <v>7020</v>
      </c>
      <c r="K44" s="18">
        <v>6320</v>
      </c>
      <c r="L44" s="18">
        <v>5370</v>
      </c>
      <c r="M44" s="14" t="s">
        <v>40</v>
      </c>
    </row>
    <row r="45" ht="25.5" spans="1:13">
      <c r="A45" s="11" t="s">
        <v>1058</v>
      </c>
      <c r="B45" s="11">
        <v>33070201007</v>
      </c>
      <c r="C45" s="11" t="s">
        <v>1059</v>
      </c>
      <c r="D45" s="12" t="s">
        <v>39</v>
      </c>
      <c r="E45" s="12" t="s">
        <v>39</v>
      </c>
      <c r="F45" s="14" t="s">
        <v>38</v>
      </c>
      <c r="G45" s="12" t="s">
        <v>803</v>
      </c>
      <c r="H45" s="15">
        <v>8600</v>
      </c>
      <c r="I45" s="15">
        <v>7740</v>
      </c>
      <c r="J45" s="18">
        <v>7645</v>
      </c>
      <c r="K45" s="18">
        <v>6920</v>
      </c>
      <c r="L45" s="18">
        <v>5880</v>
      </c>
      <c r="M45" s="14" t="s">
        <v>40</v>
      </c>
    </row>
    <row r="46" ht="25.5" spans="1:13">
      <c r="A46" s="11" t="s">
        <v>1060</v>
      </c>
      <c r="B46" s="11">
        <v>33070201101</v>
      </c>
      <c r="C46" s="11" t="s">
        <v>1061</v>
      </c>
      <c r="D46" s="12" t="s">
        <v>39</v>
      </c>
      <c r="E46" s="12" t="s">
        <v>39</v>
      </c>
      <c r="F46" s="14" t="s">
        <v>38</v>
      </c>
      <c r="G46" s="12" t="s">
        <v>803</v>
      </c>
      <c r="H46" s="15">
        <v>2430</v>
      </c>
      <c r="I46" s="15">
        <v>2190</v>
      </c>
      <c r="J46" s="18">
        <v>2250</v>
      </c>
      <c r="K46" s="18">
        <v>2160</v>
      </c>
      <c r="L46" s="18">
        <v>1836</v>
      </c>
      <c r="M46" s="14" t="s">
        <v>40</v>
      </c>
    </row>
    <row r="47" ht="25.5" spans="1:13">
      <c r="A47" s="11" t="s">
        <v>1062</v>
      </c>
      <c r="B47" s="11">
        <v>33070201105</v>
      </c>
      <c r="C47" s="11" t="s">
        <v>1063</v>
      </c>
      <c r="D47" s="12" t="s">
        <v>39</v>
      </c>
      <c r="E47" s="12" t="s">
        <v>39</v>
      </c>
      <c r="F47" s="14" t="s">
        <v>38</v>
      </c>
      <c r="G47" s="12" t="s">
        <v>803</v>
      </c>
      <c r="H47" s="15">
        <v>3230</v>
      </c>
      <c r="I47" s="15">
        <v>2910</v>
      </c>
      <c r="J47" s="18">
        <v>2875</v>
      </c>
      <c r="K47" s="18">
        <v>2760</v>
      </c>
      <c r="L47" s="18">
        <v>2346</v>
      </c>
      <c r="M47" s="14" t="s">
        <v>40</v>
      </c>
    </row>
    <row r="48" ht="25.5" spans="1:13">
      <c r="A48" s="11" t="s">
        <v>1064</v>
      </c>
      <c r="B48" s="11">
        <v>33070201103</v>
      </c>
      <c r="C48" s="11" t="s">
        <v>1065</v>
      </c>
      <c r="D48" s="12" t="s">
        <v>39</v>
      </c>
      <c r="E48" s="12" t="s">
        <v>39</v>
      </c>
      <c r="F48" s="14" t="s">
        <v>38</v>
      </c>
      <c r="G48" s="12" t="s">
        <v>803</v>
      </c>
      <c r="H48" s="15">
        <v>3160</v>
      </c>
      <c r="I48" s="15">
        <v>2845</v>
      </c>
      <c r="J48" s="18">
        <v>2925</v>
      </c>
      <c r="K48" s="18">
        <v>2810</v>
      </c>
      <c r="L48" s="18">
        <v>2390</v>
      </c>
      <c r="M48" s="14" t="s">
        <v>40</v>
      </c>
    </row>
    <row r="49" ht="25.5" spans="1:13">
      <c r="A49" s="11" t="s">
        <v>1066</v>
      </c>
      <c r="B49" s="11">
        <v>33070201107</v>
      </c>
      <c r="C49" s="11" t="s">
        <v>1067</v>
      </c>
      <c r="D49" s="12" t="s">
        <v>39</v>
      </c>
      <c r="E49" s="12" t="s">
        <v>39</v>
      </c>
      <c r="F49" s="14" t="s">
        <v>38</v>
      </c>
      <c r="G49" s="12" t="s">
        <v>803</v>
      </c>
      <c r="H49" s="15">
        <v>3960</v>
      </c>
      <c r="I49" s="15">
        <v>3565</v>
      </c>
      <c r="J49" s="18">
        <v>3550</v>
      </c>
      <c r="K49" s="18">
        <v>3410</v>
      </c>
      <c r="L49" s="18">
        <v>2900</v>
      </c>
      <c r="M49" s="14" t="s">
        <v>40</v>
      </c>
    </row>
  </sheetData>
  <conditionalFormatting sqref="C1">
    <cfRule type="duplicateValues" dxfId="0" priority="1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46"/>
  <sheetViews>
    <sheetView topLeftCell="E1" workbookViewId="0">
      <selection activeCell="G1" sqref="G$1:G$1048576"/>
    </sheetView>
  </sheetViews>
  <sheetFormatPr defaultColWidth="9" defaultRowHeight="14.25"/>
  <cols>
    <col min="4" max="4" width="19.875" customWidth="1"/>
    <col min="5" max="5" width="30.375" customWidth="1"/>
    <col min="6" max="6" width="28.25" customWidth="1"/>
    <col min="7" max="7" width="34.625" customWidth="1"/>
    <col min="14" max="16" width="12.625"/>
    <col min="23" max="23" width="13" customWidth="1"/>
  </cols>
  <sheetData>
    <row r="1" ht="38.25" spans="1:23">
      <c r="A1" s="4" t="s">
        <v>1068</v>
      </c>
      <c r="B1" s="4" t="s">
        <v>1069</v>
      </c>
      <c r="C1" s="4" t="s">
        <v>1070</v>
      </c>
      <c r="D1" s="5" t="s">
        <v>1071</v>
      </c>
      <c r="E1" s="4" t="s">
        <v>1072</v>
      </c>
      <c r="F1" s="5" t="s">
        <v>1073</v>
      </c>
      <c r="G1" s="4" t="s">
        <v>1074</v>
      </c>
      <c r="H1" s="4" t="s">
        <v>1075</v>
      </c>
      <c r="I1" s="4" t="s">
        <v>1076</v>
      </c>
      <c r="J1" s="4" t="s">
        <v>1077</v>
      </c>
      <c r="K1" s="4" t="s">
        <v>1078</v>
      </c>
      <c r="L1" s="4" t="s">
        <v>1079</v>
      </c>
      <c r="M1" s="4" t="s">
        <v>1080</v>
      </c>
      <c r="N1" s="4" t="s">
        <v>1081</v>
      </c>
      <c r="O1" s="4" t="s">
        <v>1082</v>
      </c>
      <c r="P1" s="4" t="s">
        <v>1083</v>
      </c>
      <c r="Q1" s="4" t="s">
        <v>1084</v>
      </c>
      <c r="R1" s="4" t="s">
        <v>1085</v>
      </c>
      <c r="S1" s="4" t="s">
        <v>1086</v>
      </c>
      <c r="T1" s="4" t="s">
        <v>1087</v>
      </c>
      <c r="U1" s="4" t="s">
        <v>1088</v>
      </c>
      <c r="V1" s="4" t="s">
        <v>1089</v>
      </c>
      <c r="W1" s="7" t="str">
        <f>"insert into server_list_change_all_20250525 ("&amp;_xlfn.TEXTJOIN(",",TRUE,A1:V1)&amp;") values"</f>
        <v>insert into server_list_change_all_20250525 (id,code,sever_type,change_time,old_hilist_code,new_hilist_code,hilist_name,selfpay_prop,old_price,old_price_city,old_price_town,old_price_village,new_price,new_price_city,new_price_town,new_price_village,unit,batch,is_use_old,merge_type,cnt_change_model,cnt_change_value) values</v>
      </c>
    </row>
    <row r="2" spans="1:23">
      <c r="A2">
        <v>2469</v>
      </c>
      <c r="B2" t="s">
        <v>1090</v>
      </c>
      <c r="C2">
        <v>1</v>
      </c>
      <c r="D2" s="6" t="s">
        <v>1091</v>
      </c>
      <c r="E2" t="s">
        <v>43</v>
      </c>
      <c r="F2" t="s">
        <v>43</v>
      </c>
      <c r="G2" t="s">
        <v>44</v>
      </c>
      <c r="H2" t="s">
        <v>1090</v>
      </c>
      <c r="I2" t="s">
        <v>1090</v>
      </c>
      <c r="J2">
        <v>57.5</v>
      </c>
      <c r="K2">
        <v>50</v>
      </c>
      <c r="L2">
        <v>42.5</v>
      </c>
      <c r="M2" t="s">
        <v>1090</v>
      </c>
      <c r="N2">
        <v>50</v>
      </c>
      <c r="O2">
        <v>45</v>
      </c>
      <c r="P2">
        <v>39</v>
      </c>
      <c r="Q2" t="s">
        <v>46</v>
      </c>
      <c r="R2">
        <v>25</v>
      </c>
      <c r="S2">
        <v>1</v>
      </c>
      <c r="T2" t="s">
        <v>1092</v>
      </c>
      <c r="U2" t="s">
        <v>1093</v>
      </c>
      <c r="V2">
        <v>0</v>
      </c>
      <c r="W2" s="8" t="str">
        <f>"("&amp;A2&amp;","&amp;B2&amp;","&amp;C2&amp;",'"&amp;D2&amp;"','"&amp;E2&amp;"','"&amp;F2&amp;"','"&amp;G2&amp;"',"&amp;H2&amp;","&amp;I2&amp;","&amp;J2&amp;","&amp;K2&amp;","&amp;L2&amp;","&amp;M2&amp;","&amp;N2&amp;","&amp;O2&amp;","&amp;P2&amp;",'"&amp;Q2&amp;"',"&amp;R2&amp;","&amp;S2&amp;",'"&amp;T2&amp;"','"&amp;U2&amp;"',"&amp;V2&amp;"),"</f>
        <v>(2469,null,1,'2026-03-24 00:00:00','003106010050000-310601005','003106010050000-310601005','残气容积测定',null,null,57.5,50,42.5,null,50,45,39,'项',25,1,'normal','main',0),</v>
      </c>
    </row>
    <row r="3" spans="1:23">
      <c r="A3">
        <v>2470</v>
      </c>
      <c r="B3" t="s">
        <v>1090</v>
      </c>
      <c r="C3">
        <v>1</v>
      </c>
      <c r="D3" s="6" t="s">
        <v>1091</v>
      </c>
      <c r="E3" t="s">
        <v>51</v>
      </c>
      <c r="F3" t="s">
        <v>51</v>
      </c>
      <c r="G3" t="s">
        <v>52</v>
      </c>
      <c r="H3" t="s">
        <v>1090</v>
      </c>
      <c r="I3" t="s">
        <v>1090</v>
      </c>
      <c r="J3">
        <v>74.8</v>
      </c>
      <c r="K3">
        <v>65</v>
      </c>
      <c r="L3">
        <v>55.3</v>
      </c>
      <c r="M3" t="s">
        <v>1090</v>
      </c>
      <c r="N3">
        <v>105</v>
      </c>
      <c r="O3">
        <v>95</v>
      </c>
      <c r="P3">
        <v>85</v>
      </c>
      <c r="Q3" t="s">
        <v>38</v>
      </c>
      <c r="R3">
        <v>25</v>
      </c>
      <c r="S3">
        <v>1</v>
      </c>
      <c r="T3" t="s">
        <v>1092</v>
      </c>
      <c r="U3" t="s">
        <v>1093</v>
      </c>
      <c r="V3">
        <v>0</v>
      </c>
      <c r="W3" s="8" t="str">
        <f t="shared" ref="W3:W66" si="0">"("&amp;A3&amp;","&amp;B3&amp;","&amp;C3&amp;",'"&amp;D3&amp;"','"&amp;E3&amp;"','"&amp;F3&amp;"','"&amp;G3&amp;"',"&amp;H3&amp;","&amp;I3&amp;","&amp;J3&amp;","&amp;K3&amp;","&amp;L3&amp;","&amp;M3&amp;","&amp;N3&amp;","&amp;O3&amp;","&amp;P3&amp;",'"&amp;Q3&amp;"',"&amp;R3&amp;","&amp;S3&amp;",'"&amp;T3&amp;"','"&amp;U3&amp;"',"&amp;V3&amp;"),"</f>
        <v>(2470,null,1,'2026-03-24 00:00:00','003106010010000-310601001','003106010010000-310601001','肺通气功能检查',null,null,74.8,65,55.3,null,105,95,85,'次',25,1,'normal','main',0),</v>
      </c>
    </row>
    <row r="4" spans="1:23">
      <c r="A4">
        <v>2471</v>
      </c>
      <c r="B4" t="s">
        <v>1090</v>
      </c>
      <c r="C4">
        <v>1</v>
      </c>
      <c r="D4" s="6" t="s">
        <v>1091</v>
      </c>
      <c r="E4" t="s">
        <v>55</v>
      </c>
      <c r="F4" t="s">
        <v>55</v>
      </c>
      <c r="G4" t="s">
        <v>56</v>
      </c>
      <c r="H4" t="s">
        <v>1090</v>
      </c>
      <c r="I4" t="s">
        <v>1090</v>
      </c>
      <c r="J4">
        <v>40.3</v>
      </c>
      <c r="K4">
        <v>35</v>
      </c>
      <c r="L4">
        <v>29.8</v>
      </c>
      <c r="M4" t="s">
        <v>1090</v>
      </c>
      <c r="N4">
        <v>0</v>
      </c>
      <c r="O4">
        <v>0</v>
      </c>
      <c r="P4">
        <v>0</v>
      </c>
      <c r="Q4" t="s">
        <v>38</v>
      </c>
      <c r="R4">
        <v>25</v>
      </c>
      <c r="S4">
        <v>1</v>
      </c>
      <c r="T4" t="s">
        <v>1092</v>
      </c>
      <c r="U4" t="s">
        <v>1093</v>
      </c>
      <c r="V4">
        <v>0</v>
      </c>
      <c r="W4" s="8" t="str">
        <f t="shared" si="0"/>
        <v>(2471,null,1,'2026-03-24 00:00:00','003106010010000-31060100101','003106010010000-31060100101','肺通气功能检查（最大通气量加收）',null,null,40.3,35,29.8,null,0,0,0,'次',25,1,'normal','main',0),</v>
      </c>
    </row>
    <row r="5" spans="1:23">
      <c r="A5">
        <v>2472</v>
      </c>
      <c r="B5" t="s">
        <v>1090</v>
      </c>
      <c r="C5">
        <v>1</v>
      </c>
      <c r="D5" s="6" t="s">
        <v>1091</v>
      </c>
      <c r="E5" t="s">
        <v>59</v>
      </c>
      <c r="F5" t="s">
        <v>59</v>
      </c>
      <c r="G5" t="s">
        <v>60</v>
      </c>
      <c r="H5" t="s">
        <v>1090</v>
      </c>
      <c r="I5" t="s">
        <v>1090</v>
      </c>
      <c r="J5">
        <v>34.5</v>
      </c>
      <c r="K5">
        <v>30</v>
      </c>
      <c r="L5">
        <v>25.5</v>
      </c>
      <c r="M5" t="s">
        <v>1090</v>
      </c>
      <c r="N5">
        <v>0</v>
      </c>
      <c r="O5">
        <v>0</v>
      </c>
      <c r="P5">
        <v>0</v>
      </c>
      <c r="Q5" t="s">
        <v>46</v>
      </c>
      <c r="R5">
        <v>25</v>
      </c>
      <c r="S5">
        <v>1</v>
      </c>
      <c r="T5" t="s">
        <v>1092</v>
      </c>
      <c r="U5" t="s">
        <v>1093</v>
      </c>
      <c r="V5">
        <v>0</v>
      </c>
      <c r="W5" s="8" t="str">
        <f t="shared" si="0"/>
        <v>(2472,null,1,'2026-03-24 00:00:00','003106010080000-310601008','003106010080000-310601008','流速容量曲线（V—V曲线）',null,null,34.5,30,25.5,null,0,0,0,'项',25,1,'normal','main',0),</v>
      </c>
    </row>
    <row r="6" spans="1:23">
      <c r="A6">
        <v>2473</v>
      </c>
      <c r="B6" t="s">
        <v>1090</v>
      </c>
      <c r="C6">
        <v>1</v>
      </c>
      <c r="D6" s="6" t="s">
        <v>1091</v>
      </c>
      <c r="E6" t="s">
        <v>62</v>
      </c>
      <c r="F6" t="s">
        <v>62</v>
      </c>
      <c r="G6" t="s">
        <v>63</v>
      </c>
      <c r="H6" t="s">
        <v>1090</v>
      </c>
      <c r="I6" t="s">
        <v>1090</v>
      </c>
      <c r="J6">
        <v>34.5</v>
      </c>
      <c r="K6">
        <v>30</v>
      </c>
      <c r="L6">
        <v>25.5</v>
      </c>
      <c r="M6" t="s">
        <v>1090</v>
      </c>
      <c r="N6">
        <v>0</v>
      </c>
      <c r="O6">
        <v>0</v>
      </c>
      <c r="P6">
        <v>0</v>
      </c>
      <c r="Q6" t="s">
        <v>46</v>
      </c>
      <c r="R6">
        <v>25</v>
      </c>
      <c r="S6">
        <v>1</v>
      </c>
      <c r="T6" t="s">
        <v>1092</v>
      </c>
      <c r="U6" t="s">
        <v>1093</v>
      </c>
      <c r="V6">
        <v>0</v>
      </c>
      <c r="W6" s="8" t="str">
        <f t="shared" si="0"/>
        <v>(2473,null,1,'2026-03-24 00:00:00','003106010090000-310601009','003106010090000-310601009','二氧化碳反应曲线',null,null,34.5,30,25.5,null,0,0,0,'项',25,1,'normal','main',0),</v>
      </c>
    </row>
    <row r="7" spans="1:23">
      <c r="A7">
        <v>2474</v>
      </c>
      <c r="B7" t="s">
        <v>1090</v>
      </c>
      <c r="C7">
        <v>1</v>
      </c>
      <c r="D7" s="6" t="s">
        <v>1091</v>
      </c>
      <c r="E7" t="s">
        <v>65</v>
      </c>
      <c r="F7" t="s">
        <v>65</v>
      </c>
      <c r="G7" t="s">
        <v>66</v>
      </c>
      <c r="H7" t="s">
        <v>1090</v>
      </c>
      <c r="I7" t="s">
        <v>1090</v>
      </c>
      <c r="J7">
        <v>115</v>
      </c>
      <c r="K7">
        <v>100</v>
      </c>
      <c r="L7">
        <v>85</v>
      </c>
      <c r="M7" t="s">
        <v>1090</v>
      </c>
      <c r="N7">
        <v>210</v>
      </c>
      <c r="O7">
        <v>190</v>
      </c>
      <c r="P7">
        <v>170</v>
      </c>
      <c r="Q7" t="s">
        <v>46</v>
      </c>
      <c r="R7">
        <v>25</v>
      </c>
      <c r="S7">
        <v>1</v>
      </c>
      <c r="T7" t="s">
        <v>1092</v>
      </c>
      <c r="U7" t="s">
        <v>1093</v>
      </c>
      <c r="V7">
        <v>0</v>
      </c>
      <c r="W7" s="8" t="str">
        <f t="shared" si="0"/>
        <v>(2474,null,1,'2026-03-24 00:00:00','003106010120000-310601012','003106010120000-310601012','支气管舒张试验',null,null,115,100,85,null,210,190,170,'项',25,1,'normal','main',0),</v>
      </c>
    </row>
    <row r="8" spans="1:23">
      <c r="A8">
        <v>2475</v>
      </c>
      <c r="B8" t="s">
        <v>1090</v>
      </c>
      <c r="C8">
        <v>1</v>
      </c>
      <c r="D8" s="6" t="s">
        <v>1091</v>
      </c>
      <c r="E8" t="s">
        <v>75</v>
      </c>
      <c r="F8" t="s">
        <v>75</v>
      </c>
      <c r="G8" t="s">
        <v>76</v>
      </c>
      <c r="H8" t="s">
        <v>1090</v>
      </c>
      <c r="I8" t="s">
        <v>1090</v>
      </c>
      <c r="J8">
        <v>46</v>
      </c>
      <c r="K8">
        <v>40</v>
      </c>
      <c r="L8">
        <v>34</v>
      </c>
      <c r="M8" t="s">
        <v>1090</v>
      </c>
      <c r="N8">
        <v>40</v>
      </c>
      <c r="O8">
        <v>36</v>
      </c>
      <c r="P8">
        <v>34</v>
      </c>
      <c r="Q8" t="s">
        <v>38</v>
      </c>
      <c r="R8">
        <v>25</v>
      </c>
      <c r="S8">
        <v>1</v>
      </c>
      <c r="T8" t="s">
        <v>1092</v>
      </c>
      <c r="U8" t="s">
        <v>1093</v>
      </c>
      <c r="V8">
        <v>0</v>
      </c>
      <c r="W8" s="8" t="str">
        <f t="shared" si="0"/>
        <v>(2475,null,1,'2026-03-24 00:00:00','003106020010000-310602001','003106020010000-310602001','床边简易肺功能测定（肺通气功能测定）',null,null,46,40,34,null,40,36,34,'次',25,1,'normal','main',0),</v>
      </c>
    </row>
    <row r="9" spans="1:23">
      <c r="A9">
        <v>2476</v>
      </c>
      <c r="B9" t="s">
        <v>1090</v>
      </c>
      <c r="C9">
        <v>1</v>
      </c>
      <c r="D9" s="6" t="s">
        <v>1091</v>
      </c>
      <c r="E9" t="s">
        <v>81</v>
      </c>
      <c r="F9" t="s">
        <v>81</v>
      </c>
      <c r="G9" t="s">
        <v>82</v>
      </c>
      <c r="H9" t="s">
        <v>1090</v>
      </c>
      <c r="I9" t="s">
        <v>1090</v>
      </c>
      <c r="J9">
        <v>115</v>
      </c>
      <c r="K9">
        <v>100</v>
      </c>
      <c r="L9">
        <v>85</v>
      </c>
      <c r="M9" t="s">
        <v>1090</v>
      </c>
      <c r="N9">
        <v>100</v>
      </c>
      <c r="O9">
        <v>90</v>
      </c>
      <c r="P9">
        <v>77</v>
      </c>
      <c r="Q9" t="s">
        <v>46</v>
      </c>
      <c r="R9">
        <v>25</v>
      </c>
      <c r="S9">
        <v>1</v>
      </c>
      <c r="T9" t="s">
        <v>1092</v>
      </c>
      <c r="U9" t="s">
        <v>1093</v>
      </c>
      <c r="V9">
        <v>0</v>
      </c>
      <c r="W9" s="8" t="str">
        <f t="shared" si="0"/>
        <v>(2476,null,1,'2026-03-24 00:00:00','003106010100000-310601010','003106010100000-310601010','支气管激发试验',null,null,115,100,85,null,100,90,77,'项',25,1,'normal','main',0),</v>
      </c>
    </row>
    <row r="10" spans="1:23">
      <c r="A10">
        <v>2477</v>
      </c>
      <c r="B10" t="s">
        <v>1090</v>
      </c>
      <c r="C10">
        <v>1</v>
      </c>
      <c r="D10" s="6" t="s">
        <v>1091</v>
      </c>
      <c r="E10" t="s">
        <v>83</v>
      </c>
      <c r="F10" t="s">
        <v>83</v>
      </c>
      <c r="G10" t="s">
        <v>84</v>
      </c>
      <c r="H10" t="s">
        <v>1090</v>
      </c>
      <c r="I10" t="s">
        <v>1090</v>
      </c>
      <c r="J10">
        <v>115</v>
      </c>
      <c r="K10">
        <v>100</v>
      </c>
      <c r="L10">
        <v>85</v>
      </c>
      <c r="M10" t="s">
        <v>1090</v>
      </c>
      <c r="N10">
        <v>100</v>
      </c>
      <c r="O10">
        <v>90</v>
      </c>
      <c r="P10">
        <v>77</v>
      </c>
      <c r="Q10" t="s">
        <v>46</v>
      </c>
      <c r="R10">
        <v>25</v>
      </c>
      <c r="S10">
        <v>1</v>
      </c>
      <c r="T10" t="s">
        <v>1092</v>
      </c>
      <c r="U10" t="s">
        <v>1093</v>
      </c>
      <c r="V10">
        <v>0</v>
      </c>
      <c r="W10" s="8" t="str">
        <f t="shared" si="0"/>
        <v>(2477,null,1,'2026-03-24 00:00:00','003106010110000-310601011','003106010110000-310601011','运动激发试验',null,null,115,100,85,null,100,90,77,'项',25,1,'normal','main',0),</v>
      </c>
    </row>
    <row r="11" spans="1:23">
      <c r="A11">
        <v>2478</v>
      </c>
      <c r="B11" t="s">
        <v>1090</v>
      </c>
      <c r="C11">
        <v>1</v>
      </c>
      <c r="D11" s="6" t="s">
        <v>1091</v>
      </c>
      <c r="E11" t="s">
        <v>89</v>
      </c>
      <c r="F11" t="s">
        <v>89</v>
      </c>
      <c r="G11" t="s">
        <v>90</v>
      </c>
      <c r="H11" t="s">
        <v>1090</v>
      </c>
      <c r="I11" t="s">
        <v>1090</v>
      </c>
      <c r="J11">
        <v>69</v>
      </c>
      <c r="K11">
        <v>60</v>
      </c>
      <c r="L11">
        <v>51</v>
      </c>
      <c r="M11" t="s">
        <v>1090</v>
      </c>
      <c r="N11">
        <v>60</v>
      </c>
      <c r="O11">
        <v>54</v>
      </c>
      <c r="P11">
        <v>46</v>
      </c>
      <c r="Q11" t="s">
        <v>46</v>
      </c>
      <c r="R11">
        <v>25</v>
      </c>
      <c r="S11">
        <v>1</v>
      </c>
      <c r="T11" t="s">
        <v>1092</v>
      </c>
      <c r="U11" t="s">
        <v>1093</v>
      </c>
      <c r="V11">
        <v>0</v>
      </c>
      <c r="W11" s="8" t="str">
        <f t="shared" si="0"/>
        <v>(2478,null,1,'2026-03-24 00:00:00','003106010020000-310601002','003106010020000-310601002','肺弥散功能检查',null,null,69,60,51,null,60,54,46,'项',25,1,'normal','main',0),</v>
      </c>
    </row>
    <row r="12" spans="1:23">
      <c r="A12">
        <v>2479</v>
      </c>
      <c r="B12" t="s">
        <v>1090</v>
      </c>
      <c r="C12">
        <v>1</v>
      </c>
      <c r="D12" s="6" t="s">
        <v>1091</v>
      </c>
      <c r="E12" t="s">
        <v>96</v>
      </c>
      <c r="F12" t="s">
        <v>96</v>
      </c>
      <c r="G12" t="s">
        <v>97</v>
      </c>
      <c r="H12" t="s">
        <v>1090</v>
      </c>
      <c r="I12" t="s">
        <v>1090</v>
      </c>
      <c r="J12">
        <v>57.5</v>
      </c>
      <c r="K12">
        <v>50</v>
      </c>
      <c r="L12">
        <v>42.5</v>
      </c>
      <c r="M12" t="s">
        <v>1090</v>
      </c>
      <c r="N12">
        <v>100</v>
      </c>
      <c r="O12">
        <v>90</v>
      </c>
      <c r="P12">
        <v>77</v>
      </c>
      <c r="Q12" t="s">
        <v>46</v>
      </c>
      <c r="R12">
        <v>25</v>
      </c>
      <c r="S12">
        <v>1</v>
      </c>
      <c r="T12" t="s">
        <v>1092</v>
      </c>
      <c r="U12" t="s">
        <v>1093</v>
      </c>
      <c r="V12">
        <v>0</v>
      </c>
      <c r="W12" s="8" t="str">
        <f t="shared" si="0"/>
        <v>(2479,null,1,'2026-03-24 00:00:00','003106010040000-310601004','003106010040000-310601004','气道阻力测定',null,null,57.5,50,42.5,null,100,90,77,'项',25,1,'normal','main',0),</v>
      </c>
    </row>
    <row r="13" spans="1:23">
      <c r="A13">
        <v>2480</v>
      </c>
      <c r="B13" t="s">
        <v>1090</v>
      </c>
      <c r="C13">
        <v>1</v>
      </c>
      <c r="D13" s="6" t="s">
        <v>1091</v>
      </c>
      <c r="E13" t="s">
        <v>99</v>
      </c>
      <c r="F13" t="s">
        <v>99</v>
      </c>
      <c r="G13" t="s">
        <v>100</v>
      </c>
      <c r="H13" t="s">
        <v>1090</v>
      </c>
      <c r="I13" t="s">
        <v>1090</v>
      </c>
      <c r="J13">
        <v>115</v>
      </c>
      <c r="K13">
        <v>100</v>
      </c>
      <c r="L13">
        <v>85</v>
      </c>
      <c r="M13" t="s">
        <v>1090</v>
      </c>
      <c r="N13">
        <v>100</v>
      </c>
      <c r="O13">
        <v>90</v>
      </c>
      <c r="P13">
        <v>77</v>
      </c>
      <c r="Q13" t="s">
        <v>46</v>
      </c>
      <c r="R13">
        <v>25</v>
      </c>
      <c r="S13">
        <v>1</v>
      </c>
      <c r="T13" t="s">
        <v>1092</v>
      </c>
      <c r="U13" t="s">
        <v>1093</v>
      </c>
      <c r="V13">
        <v>0</v>
      </c>
      <c r="W13" s="8" t="str">
        <f t="shared" si="0"/>
        <v>(2480,null,1,'2026-03-24 00:00:00','003106010060000-310601006','003106010060000-310601006','强迫振荡肺功能检查',null,null,115,100,85,null,100,90,77,'项',25,1,'normal','main',0),</v>
      </c>
    </row>
    <row r="14" spans="1:23">
      <c r="A14">
        <v>2481</v>
      </c>
      <c r="B14" t="s">
        <v>1090</v>
      </c>
      <c r="C14">
        <v>1</v>
      </c>
      <c r="D14" s="6" t="s">
        <v>1091</v>
      </c>
      <c r="E14" t="s">
        <v>101</v>
      </c>
      <c r="F14" t="s">
        <v>101</v>
      </c>
      <c r="G14" t="s">
        <v>102</v>
      </c>
      <c r="H14" t="s">
        <v>1090</v>
      </c>
      <c r="I14" t="s">
        <v>1090</v>
      </c>
      <c r="J14">
        <v>0</v>
      </c>
      <c r="K14">
        <v>0</v>
      </c>
      <c r="L14">
        <v>0</v>
      </c>
      <c r="M14" t="s">
        <v>1090</v>
      </c>
      <c r="N14">
        <v>0</v>
      </c>
      <c r="O14">
        <v>0</v>
      </c>
      <c r="P14">
        <v>0</v>
      </c>
      <c r="Q14" t="s">
        <v>46</v>
      </c>
      <c r="R14">
        <v>25</v>
      </c>
      <c r="S14">
        <v>1</v>
      </c>
      <c r="T14" t="s">
        <v>1092</v>
      </c>
      <c r="U14" t="s">
        <v>1093</v>
      </c>
      <c r="V14">
        <v>0</v>
      </c>
      <c r="W14" s="8" t="str">
        <f t="shared" si="0"/>
        <v>(2481,null,1,'2026-03-24 00:00:00','003106010070000-310601007','003106010070000-310601007','第一秒平静吸气口腔闭合压测定',null,null,0,0,0,null,0,0,0,'项',25,1,'normal','main',0),</v>
      </c>
    </row>
    <row r="15" spans="1:23">
      <c r="A15">
        <v>2482</v>
      </c>
      <c r="B15" t="s">
        <v>1090</v>
      </c>
      <c r="C15">
        <v>1</v>
      </c>
      <c r="D15" s="6" t="s">
        <v>1091</v>
      </c>
      <c r="E15" t="s">
        <v>106</v>
      </c>
      <c r="F15" t="s">
        <v>106</v>
      </c>
      <c r="G15" t="s">
        <v>107</v>
      </c>
      <c r="H15" t="s">
        <v>1090</v>
      </c>
      <c r="I15" t="s">
        <v>1090</v>
      </c>
      <c r="J15">
        <v>184</v>
      </c>
      <c r="K15">
        <v>160</v>
      </c>
      <c r="L15">
        <v>136</v>
      </c>
      <c r="M15" t="s">
        <v>1090</v>
      </c>
      <c r="N15">
        <v>160</v>
      </c>
      <c r="O15">
        <v>144</v>
      </c>
      <c r="P15">
        <v>123</v>
      </c>
      <c r="Q15" t="s">
        <v>46</v>
      </c>
      <c r="R15">
        <v>25</v>
      </c>
      <c r="S15">
        <v>1</v>
      </c>
      <c r="T15" t="s">
        <v>1092</v>
      </c>
      <c r="U15" t="s">
        <v>1093</v>
      </c>
      <c r="V15">
        <v>0</v>
      </c>
      <c r="W15" s="8" t="str">
        <f t="shared" si="0"/>
        <v>(2482,null,1,'2026-03-24 00:00:00','003106010030000-310601003','003106010030000-310601003','运动心肺功能检查',null,null,184,160,136,null,160,144,123,'项',25,1,'normal','main',0),</v>
      </c>
    </row>
    <row r="16" spans="1:23">
      <c r="A16">
        <v>2483</v>
      </c>
      <c r="B16" t="s">
        <v>1090</v>
      </c>
      <c r="C16">
        <v>1</v>
      </c>
      <c r="D16" s="6" t="s">
        <v>1091</v>
      </c>
      <c r="E16" t="s">
        <v>114</v>
      </c>
      <c r="F16" t="s">
        <v>114</v>
      </c>
      <c r="G16" t="s">
        <v>115</v>
      </c>
      <c r="H16" t="s">
        <v>1090</v>
      </c>
      <c r="I16" t="s">
        <v>1090</v>
      </c>
      <c r="J16">
        <v>11.5</v>
      </c>
      <c r="K16">
        <v>10</v>
      </c>
      <c r="L16">
        <v>8.5</v>
      </c>
      <c r="M16" t="s">
        <v>1090</v>
      </c>
      <c r="N16">
        <v>11.5</v>
      </c>
      <c r="O16">
        <v>10</v>
      </c>
      <c r="P16">
        <v>8.5</v>
      </c>
      <c r="R16">
        <v>25</v>
      </c>
      <c r="S16">
        <v>1</v>
      </c>
      <c r="T16" t="s">
        <v>1092</v>
      </c>
      <c r="U16" t="s">
        <v>1093</v>
      </c>
      <c r="V16">
        <v>0</v>
      </c>
      <c r="W16" s="8" t="str">
        <f t="shared" si="0"/>
        <v>(2483,null,1,'2026-03-24 00:00:00','003106020020000-310602002','003106020020000-310602002','肺阻抗血流图',null,null,11.5,10,8.5,null,11.5,10,8.5,'',25,1,'normal','main',0),</v>
      </c>
    </row>
    <row r="17" spans="1:23">
      <c r="A17">
        <v>2484</v>
      </c>
      <c r="B17" t="s">
        <v>1090</v>
      </c>
      <c r="C17">
        <v>1</v>
      </c>
      <c r="D17" s="6" t="s">
        <v>1091</v>
      </c>
      <c r="E17" t="s">
        <v>125</v>
      </c>
      <c r="F17" t="s">
        <v>125</v>
      </c>
      <c r="G17" t="s">
        <v>126</v>
      </c>
      <c r="H17" t="s">
        <v>1090</v>
      </c>
      <c r="I17" t="s">
        <v>1090</v>
      </c>
      <c r="J17">
        <v>69</v>
      </c>
      <c r="K17">
        <v>60</v>
      </c>
      <c r="L17">
        <v>51</v>
      </c>
      <c r="M17" t="s">
        <v>1090</v>
      </c>
      <c r="N17">
        <v>60</v>
      </c>
      <c r="O17">
        <v>54</v>
      </c>
      <c r="P17">
        <v>46</v>
      </c>
      <c r="Q17" t="s">
        <v>38</v>
      </c>
      <c r="R17">
        <v>25</v>
      </c>
      <c r="S17">
        <v>1</v>
      </c>
      <c r="T17" t="s">
        <v>1092</v>
      </c>
      <c r="U17" t="s">
        <v>1093</v>
      </c>
      <c r="V17">
        <v>0</v>
      </c>
      <c r="W17" s="8" t="str">
        <f t="shared" si="0"/>
        <v>(2484,null,1,'2026-03-24 00:00:00','003106020030000-310602003','003106020030000-310602003','呼吸肌功能测定',null,null,69,60,51,null,60,54,46,'次',25,1,'normal','main',0),</v>
      </c>
    </row>
    <row r="18" spans="1:23">
      <c r="A18">
        <v>2485</v>
      </c>
      <c r="B18" t="s">
        <v>1090</v>
      </c>
      <c r="C18">
        <v>1</v>
      </c>
      <c r="D18" s="6" t="s">
        <v>1091</v>
      </c>
      <c r="E18" t="s">
        <v>125</v>
      </c>
      <c r="F18" t="s">
        <v>125</v>
      </c>
      <c r="G18" t="s">
        <v>126</v>
      </c>
      <c r="H18" t="s">
        <v>1090</v>
      </c>
      <c r="I18" t="s">
        <v>1090</v>
      </c>
      <c r="J18">
        <v>69</v>
      </c>
      <c r="K18">
        <v>60</v>
      </c>
      <c r="L18">
        <v>51</v>
      </c>
      <c r="M18" t="s">
        <v>1090</v>
      </c>
      <c r="N18">
        <v>60</v>
      </c>
      <c r="O18">
        <v>54</v>
      </c>
      <c r="P18">
        <v>46</v>
      </c>
      <c r="Q18" t="s">
        <v>38</v>
      </c>
      <c r="R18">
        <v>25</v>
      </c>
      <c r="S18">
        <v>1</v>
      </c>
      <c r="T18" t="s">
        <v>1092</v>
      </c>
      <c r="U18" t="s">
        <v>1093</v>
      </c>
      <c r="V18">
        <v>0</v>
      </c>
      <c r="W18" s="8" t="str">
        <f t="shared" si="0"/>
        <v>(2485,null,1,'2026-03-24 00:00:00','003106020030000-310602003','003106020030000-310602003','呼吸肌功能测定',null,null,69,60,51,null,60,54,46,'次',25,1,'normal','main',0),</v>
      </c>
    </row>
    <row r="19" spans="1:23">
      <c r="A19">
        <v>2486</v>
      </c>
      <c r="B19" t="s">
        <v>1090</v>
      </c>
      <c r="C19">
        <v>1</v>
      </c>
      <c r="D19" s="6" t="s">
        <v>1091</v>
      </c>
      <c r="E19" t="s">
        <v>136</v>
      </c>
      <c r="F19" t="s">
        <v>136</v>
      </c>
      <c r="G19" t="s">
        <v>137</v>
      </c>
      <c r="H19" t="s">
        <v>1090</v>
      </c>
      <c r="I19" t="s">
        <v>1090</v>
      </c>
      <c r="J19">
        <v>33</v>
      </c>
      <c r="K19">
        <v>31</v>
      </c>
      <c r="L19">
        <v>29</v>
      </c>
      <c r="M19" t="s">
        <v>1090</v>
      </c>
      <c r="N19">
        <f>ROUND(380/11.5,2)</f>
        <v>33.04</v>
      </c>
      <c r="O19">
        <f>ROUND(357/11.5,2)</f>
        <v>31.04</v>
      </c>
      <c r="P19">
        <f>ROUND(335/11.5,2)</f>
        <v>29.13</v>
      </c>
      <c r="Q19" t="s">
        <v>139</v>
      </c>
      <c r="R19">
        <v>25</v>
      </c>
      <c r="S19">
        <v>1</v>
      </c>
      <c r="T19" t="s">
        <v>1092</v>
      </c>
      <c r="U19" t="s">
        <v>1093</v>
      </c>
      <c r="V19">
        <v>0</v>
      </c>
      <c r="W19" s="8" t="str">
        <f t="shared" si="0"/>
        <v>(2486,null,1,'2026-03-24 00:00:00','003106040010000-310604001','003106040010000-310604001','睡眠呼吸监测',null,null,33,31,29,null,33.04,31.04,29.13,'小时',25,1,'normal','main',0),</v>
      </c>
    </row>
    <row r="20" spans="1:23">
      <c r="A20">
        <v>2487</v>
      </c>
      <c r="B20" t="s">
        <v>1090</v>
      </c>
      <c r="C20">
        <v>1</v>
      </c>
      <c r="D20" s="6" t="s">
        <v>1091</v>
      </c>
      <c r="E20" t="s">
        <v>143</v>
      </c>
      <c r="F20" t="s">
        <v>143</v>
      </c>
      <c r="G20" t="s">
        <v>144</v>
      </c>
      <c r="H20" t="s">
        <v>1090</v>
      </c>
      <c r="I20" t="s">
        <v>1090</v>
      </c>
      <c r="J20">
        <v>115</v>
      </c>
      <c r="K20">
        <v>100</v>
      </c>
      <c r="L20">
        <v>85</v>
      </c>
      <c r="M20" t="s">
        <v>1090</v>
      </c>
      <c r="N20">
        <v>130</v>
      </c>
      <c r="O20">
        <v>115</v>
      </c>
      <c r="P20">
        <v>149</v>
      </c>
      <c r="Q20" t="s">
        <v>38</v>
      </c>
      <c r="R20">
        <v>25</v>
      </c>
      <c r="S20">
        <v>1</v>
      </c>
      <c r="T20" t="s">
        <v>1092</v>
      </c>
      <c r="U20" t="s">
        <v>1093</v>
      </c>
      <c r="V20">
        <v>0</v>
      </c>
      <c r="W20" s="8" t="str">
        <f t="shared" si="0"/>
        <v>(2487,null,1,'2026-03-24 00:00:00','003106020040000-310602004','003106020040000-310602004','动态呼吸监测（呼吸Holter）',null,null,115,100,85,null,130,115,149,'次',25,1,'normal','main',0),</v>
      </c>
    </row>
    <row r="21" spans="1:23">
      <c r="A21">
        <v>2488</v>
      </c>
      <c r="B21" t="s">
        <v>1090</v>
      </c>
      <c r="C21">
        <v>1</v>
      </c>
      <c r="D21" s="6" t="s">
        <v>1091</v>
      </c>
      <c r="E21" t="s">
        <v>145</v>
      </c>
      <c r="F21" t="s">
        <v>145</v>
      </c>
      <c r="G21" t="s">
        <v>146</v>
      </c>
      <c r="H21" t="s">
        <v>1090</v>
      </c>
      <c r="I21" t="s">
        <v>1090</v>
      </c>
      <c r="J21">
        <v>149.5</v>
      </c>
      <c r="K21">
        <v>130</v>
      </c>
      <c r="L21">
        <v>110.5</v>
      </c>
      <c r="M21" t="s">
        <v>1090</v>
      </c>
      <c r="N21">
        <v>130</v>
      </c>
      <c r="O21">
        <v>115</v>
      </c>
      <c r="P21">
        <v>149</v>
      </c>
      <c r="Q21" t="s">
        <v>38</v>
      </c>
      <c r="R21">
        <v>25</v>
      </c>
      <c r="S21">
        <v>1</v>
      </c>
      <c r="T21" t="s">
        <v>1092</v>
      </c>
      <c r="U21" t="s">
        <v>1093</v>
      </c>
      <c r="V21">
        <v>0</v>
      </c>
      <c r="W21" s="8" t="str">
        <f t="shared" si="0"/>
        <v>(2488,null,1,'2026-03-24 00:00:00','003106040020000-310604002','003106040020000-310604002','睡眠呼吸监测过筛试验',null,null,149.5,130,110.5,null,130,115,149,'次',25,1,'normal','main',0),</v>
      </c>
    </row>
    <row r="22" spans="1:23">
      <c r="A22">
        <v>2489</v>
      </c>
      <c r="B22" t="s">
        <v>1090</v>
      </c>
      <c r="C22">
        <v>1</v>
      </c>
      <c r="D22" s="6" t="s">
        <v>1091</v>
      </c>
      <c r="E22" t="s">
        <v>160</v>
      </c>
      <c r="F22" t="s">
        <v>160</v>
      </c>
      <c r="G22" t="s">
        <v>161</v>
      </c>
      <c r="H22" t="s">
        <v>1090</v>
      </c>
      <c r="I22" t="s">
        <v>1090</v>
      </c>
      <c r="J22">
        <v>138</v>
      </c>
      <c r="K22">
        <v>120</v>
      </c>
      <c r="L22">
        <v>102</v>
      </c>
      <c r="M22" t="s">
        <v>1090</v>
      </c>
      <c r="N22">
        <v>240</v>
      </c>
      <c r="O22">
        <v>216</v>
      </c>
      <c r="P22">
        <v>190</v>
      </c>
      <c r="Q22" t="s">
        <v>38</v>
      </c>
      <c r="R22">
        <v>25</v>
      </c>
      <c r="S22">
        <v>1</v>
      </c>
      <c r="T22" t="s">
        <v>1092</v>
      </c>
      <c r="U22" t="s">
        <v>1093</v>
      </c>
      <c r="V22">
        <v>0</v>
      </c>
      <c r="W22" s="8" t="str">
        <f t="shared" si="0"/>
        <v>(2489,null,1,'2026-03-24 00:00:00','003106050020000-310605002','003106050020000-310605002','纤维支气管镜检查',null,null,138,120,102,null,240,216,190,'次',25,1,'normal','main',0),</v>
      </c>
    </row>
    <row r="23" spans="1:23">
      <c r="A23">
        <v>2490</v>
      </c>
      <c r="B23" t="s">
        <v>1090</v>
      </c>
      <c r="C23">
        <v>1</v>
      </c>
      <c r="D23" s="6" t="s">
        <v>1091</v>
      </c>
      <c r="E23" t="s">
        <v>164</v>
      </c>
      <c r="F23" t="s">
        <v>164</v>
      </c>
      <c r="G23" t="s">
        <v>165</v>
      </c>
      <c r="H23" t="s">
        <v>1090</v>
      </c>
      <c r="I23" t="s">
        <v>1090</v>
      </c>
      <c r="J23">
        <v>115</v>
      </c>
      <c r="K23">
        <v>100</v>
      </c>
      <c r="L23">
        <v>85</v>
      </c>
      <c r="M23" t="s">
        <v>1090</v>
      </c>
      <c r="N23">
        <v>240</v>
      </c>
      <c r="O23">
        <v>216</v>
      </c>
      <c r="P23">
        <v>190</v>
      </c>
      <c r="Q23" t="s">
        <v>38</v>
      </c>
      <c r="R23">
        <v>25</v>
      </c>
      <c r="S23">
        <v>1</v>
      </c>
      <c r="T23" t="s">
        <v>1092</v>
      </c>
      <c r="U23" t="s">
        <v>1093</v>
      </c>
      <c r="V23">
        <v>0</v>
      </c>
      <c r="W23" s="8" t="str">
        <f t="shared" si="0"/>
        <v>(2490,null,1,'2026-03-24 00:00:00','003106050010000-310605001','003106050010000-310605001','硬质气管镜检查',null,null,115,100,85,null,240,216,190,'次',25,1,'normal','main',0),</v>
      </c>
    </row>
    <row r="24" spans="1:23">
      <c r="A24">
        <v>2491</v>
      </c>
      <c r="B24" t="s">
        <v>1090</v>
      </c>
      <c r="C24">
        <v>1</v>
      </c>
      <c r="D24" s="6" t="s">
        <v>1091</v>
      </c>
      <c r="E24" t="s">
        <v>166</v>
      </c>
      <c r="F24" t="s">
        <v>166</v>
      </c>
      <c r="G24" t="s">
        <v>167</v>
      </c>
      <c r="H24" t="s">
        <v>1090</v>
      </c>
      <c r="I24" t="s">
        <v>1090</v>
      </c>
      <c r="J24">
        <v>138</v>
      </c>
      <c r="K24">
        <v>120</v>
      </c>
      <c r="L24">
        <v>102</v>
      </c>
      <c r="M24" t="s">
        <v>1090</v>
      </c>
      <c r="N24">
        <v>0</v>
      </c>
      <c r="O24">
        <v>0</v>
      </c>
      <c r="P24">
        <v>0</v>
      </c>
      <c r="Q24" t="s">
        <v>38</v>
      </c>
      <c r="R24">
        <v>25</v>
      </c>
      <c r="S24">
        <v>1</v>
      </c>
      <c r="T24" t="s">
        <v>1092</v>
      </c>
      <c r="U24" t="s">
        <v>1093</v>
      </c>
      <c r="V24">
        <v>0</v>
      </c>
      <c r="W24" s="8" t="str">
        <f t="shared" si="0"/>
        <v>(2491,null,1,'2026-03-24 00:00:00','003106050000001-31060500002','003106050000001-31060500002','呼吸系统窥镜诊疗（使用电子支气管镜加收）',null,null,138,120,102,null,0,0,0,'次',25,1,'normal','main',0),</v>
      </c>
    </row>
    <row r="25" spans="1:23">
      <c r="A25">
        <v>2492</v>
      </c>
      <c r="B25" t="s">
        <v>1090</v>
      </c>
      <c r="C25">
        <v>1</v>
      </c>
      <c r="D25" s="6" t="s">
        <v>1091</v>
      </c>
      <c r="E25" t="s">
        <v>169</v>
      </c>
      <c r="F25" t="s">
        <v>169</v>
      </c>
      <c r="G25" t="s">
        <v>170</v>
      </c>
      <c r="H25" t="s">
        <v>1090</v>
      </c>
      <c r="I25" t="s">
        <v>1090</v>
      </c>
      <c r="J25">
        <v>115</v>
      </c>
      <c r="K25">
        <v>100</v>
      </c>
      <c r="L25">
        <v>85</v>
      </c>
      <c r="M25" t="s">
        <v>1090</v>
      </c>
      <c r="N25">
        <v>0</v>
      </c>
      <c r="O25">
        <v>0</v>
      </c>
      <c r="P25">
        <v>0</v>
      </c>
      <c r="Q25" t="s">
        <v>38</v>
      </c>
      <c r="R25">
        <v>25</v>
      </c>
      <c r="S25">
        <v>1</v>
      </c>
      <c r="T25" t="s">
        <v>1092</v>
      </c>
      <c r="U25" t="s">
        <v>1093</v>
      </c>
      <c r="V25">
        <v>0</v>
      </c>
      <c r="W25" s="8" t="str">
        <f t="shared" si="0"/>
        <v>(2492,null,1,'2026-03-24 00:00:00','003106050000001-31060500001','003106050000001-31060500001','呼吸系统窥镜诊疗（使用电子纤维内镜加收）',null,null,115,100,85,null,0,0,0,'次',25,1,'normal','main',0),</v>
      </c>
    </row>
    <row r="26" spans="1:23">
      <c r="A26">
        <v>2493</v>
      </c>
      <c r="B26" t="s">
        <v>1090</v>
      </c>
      <c r="C26">
        <v>1</v>
      </c>
      <c r="D26" s="6" t="s">
        <v>1091</v>
      </c>
      <c r="E26" t="s">
        <v>178</v>
      </c>
      <c r="F26" t="s">
        <v>178</v>
      </c>
      <c r="G26" t="s">
        <v>179</v>
      </c>
      <c r="H26" t="s">
        <v>1090</v>
      </c>
      <c r="I26" t="s">
        <v>1090</v>
      </c>
      <c r="J26">
        <v>585</v>
      </c>
      <c r="K26">
        <v>527</v>
      </c>
      <c r="L26">
        <v>448</v>
      </c>
      <c r="M26" t="s">
        <v>1090</v>
      </c>
      <c r="N26">
        <v>585</v>
      </c>
      <c r="O26">
        <v>527</v>
      </c>
      <c r="P26">
        <v>448</v>
      </c>
      <c r="Q26" t="s">
        <v>38</v>
      </c>
      <c r="R26">
        <v>25</v>
      </c>
      <c r="S26">
        <v>1</v>
      </c>
      <c r="T26" t="s">
        <v>1092</v>
      </c>
      <c r="U26" t="s">
        <v>1093</v>
      </c>
      <c r="V26">
        <v>0</v>
      </c>
      <c r="W26" s="8" t="str">
        <f t="shared" si="0"/>
        <v>(2493,null,1,'2026-03-24 00:00:00','003106050020000-310605015','003106050020000-310605015','超声支气管镜检查',null,null,585,527,448,null,585,527,448,'次',25,1,'normal','main',0),</v>
      </c>
    </row>
    <row r="27" spans="1:23">
      <c r="A27">
        <v>2494</v>
      </c>
      <c r="B27" t="s">
        <v>1090</v>
      </c>
      <c r="C27">
        <v>1</v>
      </c>
      <c r="D27" s="6" t="s">
        <v>1091</v>
      </c>
      <c r="E27" t="s">
        <v>195</v>
      </c>
      <c r="F27" t="s">
        <v>195</v>
      </c>
      <c r="G27" t="s">
        <v>196</v>
      </c>
      <c r="H27" t="s">
        <v>1090</v>
      </c>
      <c r="I27" t="s">
        <v>1090</v>
      </c>
      <c r="J27">
        <v>575</v>
      </c>
      <c r="K27">
        <v>500</v>
      </c>
      <c r="L27">
        <v>425</v>
      </c>
      <c r="M27" t="s">
        <v>1090</v>
      </c>
      <c r="N27">
        <v>540</v>
      </c>
      <c r="O27">
        <v>490</v>
      </c>
      <c r="P27">
        <v>415</v>
      </c>
      <c r="Q27" t="s">
        <v>38</v>
      </c>
      <c r="R27">
        <v>25</v>
      </c>
      <c r="S27">
        <v>1</v>
      </c>
      <c r="T27" t="s">
        <v>1092</v>
      </c>
      <c r="U27" t="s">
        <v>1093</v>
      </c>
      <c r="V27">
        <v>0</v>
      </c>
      <c r="W27" s="8" t="str">
        <f t="shared" si="0"/>
        <v>(2494,null,1,'2026-03-24 00:00:00','003106050140000-310605014','003106050140000-310605014','纵隔镜检查',null,null,575,500,425,null,540,490,415,'次',25,1,'normal','main',0),</v>
      </c>
    </row>
    <row r="28" spans="1:23">
      <c r="A28">
        <v>2495</v>
      </c>
      <c r="B28" t="s">
        <v>1090</v>
      </c>
      <c r="C28">
        <v>1</v>
      </c>
      <c r="D28" s="6" t="s">
        <v>1091</v>
      </c>
      <c r="E28" t="s">
        <v>203</v>
      </c>
      <c r="F28" t="s">
        <v>203</v>
      </c>
      <c r="G28" t="s">
        <v>204</v>
      </c>
      <c r="H28" t="s">
        <v>1090</v>
      </c>
      <c r="I28" t="s">
        <v>1090</v>
      </c>
      <c r="J28">
        <v>17.3</v>
      </c>
      <c r="K28">
        <v>15</v>
      </c>
      <c r="L28">
        <v>12.8</v>
      </c>
      <c r="M28" t="s">
        <v>1090</v>
      </c>
      <c r="N28">
        <v>15</v>
      </c>
      <c r="O28">
        <v>14</v>
      </c>
      <c r="P28">
        <v>13</v>
      </c>
      <c r="Q28" t="s">
        <v>38</v>
      </c>
      <c r="R28">
        <v>25</v>
      </c>
      <c r="S28">
        <v>1</v>
      </c>
      <c r="T28" t="s">
        <v>1092</v>
      </c>
      <c r="U28" t="s">
        <v>1093</v>
      </c>
      <c r="V28">
        <v>0</v>
      </c>
      <c r="W28" s="8" t="str">
        <f t="shared" si="0"/>
        <v>(2495,null,1,'2026-03-24 00:00:00','003106030030000-310603003','003106030030000-310603003','体外膈肌起搏治疗',null,null,17.3,15,12.8,null,15,14,13,'次',25,1,'normal','main',0),</v>
      </c>
    </row>
    <row r="29" spans="1:23">
      <c r="A29">
        <v>2496</v>
      </c>
      <c r="B29" t="s">
        <v>1090</v>
      </c>
      <c r="C29">
        <v>1</v>
      </c>
      <c r="D29" s="6" t="s">
        <v>1091</v>
      </c>
      <c r="E29" t="s">
        <v>211</v>
      </c>
      <c r="F29" t="s">
        <v>211</v>
      </c>
      <c r="G29" t="s">
        <v>212</v>
      </c>
      <c r="H29" t="s">
        <v>1090</v>
      </c>
      <c r="I29" t="s">
        <v>1090</v>
      </c>
      <c r="J29">
        <v>9</v>
      </c>
      <c r="K29">
        <v>9</v>
      </c>
      <c r="L29">
        <v>9</v>
      </c>
      <c r="M29" t="s">
        <v>1090</v>
      </c>
      <c r="N29">
        <v>45</v>
      </c>
      <c r="O29">
        <v>45</v>
      </c>
      <c r="P29">
        <v>41</v>
      </c>
      <c r="Q29" t="s">
        <v>139</v>
      </c>
      <c r="R29">
        <v>25</v>
      </c>
      <c r="S29">
        <v>1</v>
      </c>
      <c r="T29" t="s">
        <v>1092</v>
      </c>
      <c r="U29" t="s">
        <v>1093</v>
      </c>
      <c r="V29">
        <v>0</v>
      </c>
      <c r="W29" s="8" t="str">
        <f t="shared" si="0"/>
        <v>(2496,null,1,'2026-03-24 00:00:00','353106040090000-12030000140','353106040090000-12030000140','一氧化氮吸入',null,null,9,9,9,null,45,45,41,'小时',25,1,'normal','main',0),</v>
      </c>
    </row>
    <row r="30" spans="1:23">
      <c r="A30">
        <v>2497</v>
      </c>
      <c r="B30" t="s">
        <v>1090</v>
      </c>
      <c r="C30">
        <v>1</v>
      </c>
      <c r="D30" s="6" t="s">
        <v>1091</v>
      </c>
      <c r="E30" t="s">
        <v>221</v>
      </c>
      <c r="F30" t="s">
        <v>221</v>
      </c>
      <c r="G30" t="s">
        <v>222</v>
      </c>
      <c r="H30" t="s">
        <v>1090</v>
      </c>
      <c r="I30" t="s">
        <v>1090</v>
      </c>
      <c r="J30">
        <v>0</v>
      </c>
      <c r="K30">
        <v>0</v>
      </c>
      <c r="L30">
        <v>0</v>
      </c>
      <c r="M30" t="s">
        <v>1090</v>
      </c>
      <c r="N30">
        <v>13</v>
      </c>
      <c r="O30">
        <v>12</v>
      </c>
      <c r="P30">
        <v>11</v>
      </c>
      <c r="Q30" t="s">
        <v>38</v>
      </c>
      <c r="R30">
        <v>25</v>
      </c>
      <c r="S30">
        <v>1</v>
      </c>
      <c r="T30" t="s">
        <v>1092</v>
      </c>
      <c r="U30" t="s">
        <v>1093</v>
      </c>
      <c r="V30">
        <v>0</v>
      </c>
      <c r="W30" s="8" t="str">
        <f t="shared" si="0"/>
        <v>(2497,null,1,'2026-03-24 00:00:00','001207000010000-120700001','001207000010000-120700001','雾化吸入',null,null,0,0,0,null,13,12,11,'次',25,1,'normal','main',0),</v>
      </c>
    </row>
    <row r="31" spans="1:23">
      <c r="A31">
        <v>2498</v>
      </c>
      <c r="B31" t="s">
        <v>1090</v>
      </c>
      <c r="C31">
        <v>1</v>
      </c>
      <c r="D31" s="6" t="s">
        <v>1091</v>
      </c>
      <c r="E31" t="s">
        <v>225</v>
      </c>
      <c r="F31" t="s">
        <v>225</v>
      </c>
      <c r="G31" t="s">
        <v>226</v>
      </c>
      <c r="H31" t="s">
        <v>1090</v>
      </c>
      <c r="I31" t="s">
        <v>1090</v>
      </c>
      <c r="J31">
        <v>5</v>
      </c>
      <c r="K31">
        <v>5</v>
      </c>
      <c r="L31">
        <v>4.3</v>
      </c>
      <c r="M31" t="s">
        <v>1090</v>
      </c>
      <c r="N31">
        <v>13</v>
      </c>
      <c r="O31">
        <v>12</v>
      </c>
      <c r="P31">
        <v>11</v>
      </c>
      <c r="Q31" t="s">
        <v>38</v>
      </c>
      <c r="R31">
        <v>25</v>
      </c>
      <c r="S31">
        <v>1</v>
      </c>
      <c r="T31" t="s">
        <v>1092</v>
      </c>
      <c r="U31" t="s">
        <v>1093</v>
      </c>
      <c r="V31">
        <v>0</v>
      </c>
      <c r="W31" s="8" t="str">
        <f t="shared" si="0"/>
        <v>(2498,null,1,'2026-03-24 00:00:00','001207000010100-12070000101','001207000010100-12070000101','超声雾化吸入',null,null,5,5,4.3,null,13,12,11,'次',25,1,'normal','main',0),</v>
      </c>
    </row>
    <row r="32" spans="1:23">
      <c r="A32">
        <v>2499</v>
      </c>
      <c r="B32" t="s">
        <v>1090</v>
      </c>
      <c r="C32">
        <v>1</v>
      </c>
      <c r="D32" s="6" t="s">
        <v>1091</v>
      </c>
      <c r="E32" t="s">
        <v>227</v>
      </c>
      <c r="F32" t="s">
        <v>227</v>
      </c>
      <c r="G32" t="s">
        <v>228</v>
      </c>
      <c r="H32" t="s">
        <v>1090</v>
      </c>
      <c r="I32" t="s">
        <v>1090</v>
      </c>
      <c r="J32">
        <v>5</v>
      </c>
      <c r="K32">
        <v>5</v>
      </c>
      <c r="L32">
        <v>4.3</v>
      </c>
      <c r="M32" t="s">
        <v>1090</v>
      </c>
      <c r="N32">
        <v>13</v>
      </c>
      <c r="O32">
        <v>12</v>
      </c>
      <c r="P32">
        <v>11</v>
      </c>
      <c r="Q32" t="s">
        <v>38</v>
      </c>
      <c r="R32">
        <v>25</v>
      </c>
      <c r="S32">
        <v>1</v>
      </c>
      <c r="T32" t="s">
        <v>1092</v>
      </c>
      <c r="U32" t="s">
        <v>1093</v>
      </c>
      <c r="V32">
        <v>0</v>
      </c>
      <c r="W32" s="8" t="str">
        <f t="shared" si="0"/>
        <v>(2499,null,1,'2026-03-24 00:00:00','001207000010200-12070000102','001207000010200-12070000102','高压泵雾化吸入',null,null,5,5,4.3,null,13,12,11,'次',25,1,'normal','main',0),</v>
      </c>
    </row>
    <row r="33" spans="1:23">
      <c r="A33">
        <v>2500</v>
      </c>
      <c r="B33" t="s">
        <v>1090</v>
      </c>
      <c r="C33">
        <v>1</v>
      </c>
      <c r="D33" s="6" t="s">
        <v>1091</v>
      </c>
      <c r="E33" t="s">
        <v>229</v>
      </c>
      <c r="F33" t="s">
        <v>229</v>
      </c>
      <c r="G33" t="s">
        <v>230</v>
      </c>
      <c r="H33" t="s">
        <v>1090</v>
      </c>
      <c r="I33" t="s">
        <v>1090</v>
      </c>
      <c r="J33">
        <v>5</v>
      </c>
      <c r="K33">
        <v>5</v>
      </c>
      <c r="L33">
        <v>4.3</v>
      </c>
      <c r="M33" t="s">
        <v>1090</v>
      </c>
      <c r="N33">
        <v>13</v>
      </c>
      <c r="O33">
        <v>12</v>
      </c>
      <c r="P33">
        <v>11</v>
      </c>
      <c r="Q33" t="s">
        <v>38</v>
      </c>
      <c r="R33">
        <v>25</v>
      </c>
      <c r="S33">
        <v>1</v>
      </c>
      <c r="T33" t="s">
        <v>1092</v>
      </c>
      <c r="U33" t="s">
        <v>1093</v>
      </c>
      <c r="V33">
        <v>0</v>
      </c>
      <c r="W33" s="8" t="str">
        <f t="shared" si="0"/>
        <v>(2500,null,1,'2026-03-24 00:00:00','001207000010300-12070000103','001207000010300-12070000103','氧化雾化',null,null,5,5,4.3,null,13,12,11,'次',25,1,'normal','main',0),</v>
      </c>
    </row>
    <row r="34" spans="1:23">
      <c r="A34">
        <v>2501</v>
      </c>
      <c r="B34" t="s">
        <v>1090</v>
      </c>
      <c r="C34">
        <v>1</v>
      </c>
      <c r="D34" s="6" t="s">
        <v>1091</v>
      </c>
      <c r="E34" t="s">
        <v>231</v>
      </c>
      <c r="F34" t="s">
        <v>231</v>
      </c>
      <c r="G34" t="s">
        <v>232</v>
      </c>
      <c r="H34" t="s">
        <v>1090</v>
      </c>
      <c r="I34" t="s">
        <v>1090</v>
      </c>
      <c r="J34">
        <v>5</v>
      </c>
      <c r="K34">
        <v>5</v>
      </c>
      <c r="L34">
        <v>4.3</v>
      </c>
      <c r="M34" t="s">
        <v>1090</v>
      </c>
      <c r="N34">
        <v>13</v>
      </c>
      <c r="O34">
        <v>12</v>
      </c>
      <c r="P34">
        <v>11</v>
      </c>
      <c r="Q34" t="s">
        <v>38</v>
      </c>
      <c r="R34">
        <v>25</v>
      </c>
      <c r="S34">
        <v>1</v>
      </c>
      <c r="T34" t="s">
        <v>1092</v>
      </c>
      <c r="U34" t="s">
        <v>1093</v>
      </c>
      <c r="V34">
        <v>0</v>
      </c>
      <c r="W34" s="8" t="str">
        <f t="shared" si="0"/>
        <v>(2501,null,1,'2026-03-24 00:00:00','001207000010400-12070000104','001207000010400-12070000104','蒸气雾化吸入',null,null,5,5,4.3,null,13,12,11,'次',25,1,'normal','main',0),</v>
      </c>
    </row>
    <row r="35" spans="1:23">
      <c r="A35">
        <v>2502</v>
      </c>
      <c r="B35" t="s">
        <v>1090</v>
      </c>
      <c r="C35">
        <v>1</v>
      </c>
      <c r="D35" s="6" t="s">
        <v>1091</v>
      </c>
      <c r="E35" t="s">
        <v>233</v>
      </c>
      <c r="F35" t="s">
        <v>233</v>
      </c>
      <c r="G35" t="s">
        <v>234</v>
      </c>
      <c r="H35" t="s">
        <v>1090</v>
      </c>
      <c r="I35" t="s">
        <v>1090</v>
      </c>
      <c r="J35">
        <v>5</v>
      </c>
      <c r="K35">
        <v>5</v>
      </c>
      <c r="L35">
        <v>4.3</v>
      </c>
      <c r="M35" t="s">
        <v>1090</v>
      </c>
      <c r="N35">
        <v>13</v>
      </c>
      <c r="O35">
        <v>12</v>
      </c>
      <c r="P35">
        <v>11</v>
      </c>
      <c r="Q35" t="s">
        <v>38</v>
      </c>
      <c r="R35">
        <v>25</v>
      </c>
      <c r="S35">
        <v>1</v>
      </c>
      <c r="T35" t="s">
        <v>1092</v>
      </c>
      <c r="U35" t="s">
        <v>1093</v>
      </c>
      <c r="V35">
        <v>0</v>
      </c>
      <c r="W35" s="8" t="str">
        <f t="shared" si="0"/>
        <v>(2502,null,1,'2026-03-24 00:00:00','001207000010500-12070000105','001207000010500-12070000105','机械通气经呼吸机管道雾化给药',null,null,5,5,4.3,null,13,12,11,'次',25,1,'normal','main',0),</v>
      </c>
    </row>
    <row r="36" spans="1:23">
      <c r="A36">
        <v>2503</v>
      </c>
      <c r="B36" t="s">
        <v>1090</v>
      </c>
      <c r="C36">
        <v>1</v>
      </c>
      <c r="D36" s="6" t="s">
        <v>1091</v>
      </c>
      <c r="E36" t="s">
        <v>235</v>
      </c>
      <c r="F36" t="s">
        <v>235</v>
      </c>
      <c r="G36" t="s">
        <v>236</v>
      </c>
      <c r="H36" t="s">
        <v>1090</v>
      </c>
      <c r="I36" t="s">
        <v>1090</v>
      </c>
      <c r="J36">
        <v>6.5</v>
      </c>
      <c r="K36">
        <v>6.5</v>
      </c>
      <c r="L36">
        <v>5.6</v>
      </c>
      <c r="M36" t="s">
        <v>1090</v>
      </c>
      <c r="N36">
        <v>13</v>
      </c>
      <c r="O36">
        <v>12</v>
      </c>
      <c r="P36">
        <v>11</v>
      </c>
      <c r="Q36" t="s">
        <v>38</v>
      </c>
      <c r="R36">
        <v>25</v>
      </c>
      <c r="S36">
        <v>1</v>
      </c>
      <c r="T36" t="s">
        <v>1092</v>
      </c>
      <c r="U36" t="s">
        <v>1093</v>
      </c>
      <c r="V36">
        <v>0</v>
      </c>
      <c r="W36" s="8" t="str">
        <f t="shared" si="0"/>
        <v>(2503,null,1,'2026-03-24 00:00:00','001207000010000-12070000106','001207000010000-12070000106','新生儿雾化吸入',null,null,6.5,6.5,5.6,null,13,12,11,'次',25,1,'normal','main',0),</v>
      </c>
    </row>
    <row r="37" spans="1:23">
      <c r="A37">
        <v>2504</v>
      </c>
      <c r="B37" t="s">
        <v>1090</v>
      </c>
      <c r="C37">
        <v>1</v>
      </c>
      <c r="D37" s="6" t="s">
        <v>1091</v>
      </c>
      <c r="E37" t="s">
        <v>248</v>
      </c>
      <c r="F37" t="s">
        <v>248</v>
      </c>
      <c r="G37" t="s">
        <v>249</v>
      </c>
      <c r="H37" t="s">
        <v>1090</v>
      </c>
      <c r="I37" t="s">
        <v>1090</v>
      </c>
      <c r="J37">
        <v>115</v>
      </c>
      <c r="K37">
        <v>100</v>
      </c>
      <c r="L37">
        <v>85</v>
      </c>
      <c r="M37" t="s">
        <v>1090</v>
      </c>
      <c r="N37">
        <v>105</v>
      </c>
      <c r="O37">
        <v>95</v>
      </c>
      <c r="P37">
        <v>81</v>
      </c>
      <c r="Q37" t="s">
        <v>251</v>
      </c>
      <c r="R37">
        <v>25</v>
      </c>
      <c r="S37">
        <v>1</v>
      </c>
      <c r="T37" t="s">
        <v>1092</v>
      </c>
      <c r="U37" t="s">
        <v>1093</v>
      </c>
      <c r="V37">
        <v>0</v>
      </c>
      <c r="W37" s="8" t="str">
        <f t="shared" si="0"/>
        <v>(2504,null,1,'2026-03-24 00:00:00','003106050060000-310605006','003106050060000-310605006','经纤支镜肺泡灌洗诊疗术',null,null,115,100,85,null,105,95,81,'每个肺段',25,1,'normal','main',0),</v>
      </c>
    </row>
    <row r="38" spans="1:23">
      <c r="A38">
        <v>2505</v>
      </c>
      <c r="B38" t="s">
        <v>1090</v>
      </c>
      <c r="C38">
        <v>1</v>
      </c>
      <c r="D38" s="6" t="s">
        <v>1091</v>
      </c>
      <c r="E38" t="s">
        <v>256</v>
      </c>
      <c r="F38" t="s">
        <v>256</v>
      </c>
      <c r="G38" t="s">
        <v>257</v>
      </c>
      <c r="H38" t="s">
        <v>1090</v>
      </c>
      <c r="I38" t="s">
        <v>1090</v>
      </c>
      <c r="J38">
        <v>149.5</v>
      </c>
      <c r="K38">
        <v>130</v>
      </c>
      <c r="L38">
        <v>110.5</v>
      </c>
      <c r="M38" t="s">
        <v>1090</v>
      </c>
      <c r="N38">
        <v>165</v>
      </c>
      <c r="O38">
        <v>150</v>
      </c>
      <c r="P38">
        <v>130</v>
      </c>
      <c r="Q38" t="s">
        <v>38</v>
      </c>
      <c r="R38">
        <v>25</v>
      </c>
      <c r="S38">
        <v>1</v>
      </c>
      <c r="T38" t="s">
        <v>1092</v>
      </c>
      <c r="U38" t="s">
        <v>1093</v>
      </c>
      <c r="V38">
        <v>0</v>
      </c>
      <c r="W38" s="8" t="str">
        <f t="shared" si="0"/>
        <v>(2505,null,1,'2026-03-24 00:00:00','003106050030000-310605003','003106050030000-310605003','经纤支镜治疗',null,null,149.5,130,110.5,null,165,150,130,'次',25,1,'normal','main',0),</v>
      </c>
    </row>
    <row r="39" spans="1:23">
      <c r="A39">
        <v>2506</v>
      </c>
      <c r="B39" t="s">
        <v>1090</v>
      </c>
      <c r="C39">
        <v>1</v>
      </c>
      <c r="D39" s="6" t="s">
        <v>1091</v>
      </c>
      <c r="E39" t="s">
        <v>266</v>
      </c>
      <c r="F39" t="s">
        <v>266</v>
      </c>
      <c r="G39" t="s">
        <v>267</v>
      </c>
      <c r="H39" t="s">
        <v>1090</v>
      </c>
      <c r="I39" t="s">
        <v>1090</v>
      </c>
      <c r="J39">
        <v>325</v>
      </c>
      <c r="K39">
        <v>290</v>
      </c>
      <c r="L39">
        <v>250</v>
      </c>
      <c r="M39" t="s">
        <v>1090</v>
      </c>
      <c r="N39">
        <v>435</v>
      </c>
      <c r="O39">
        <v>410</v>
      </c>
      <c r="P39">
        <v>350</v>
      </c>
      <c r="Q39" t="s">
        <v>38</v>
      </c>
      <c r="R39">
        <v>25</v>
      </c>
      <c r="S39">
        <v>1</v>
      </c>
      <c r="T39" t="s">
        <v>1092</v>
      </c>
      <c r="U39" t="s">
        <v>1093</v>
      </c>
      <c r="V39">
        <v>0</v>
      </c>
      <c r="W39" s="8" t="str">
        <f t="shared" si="0"/>
        <v>(2506,null,1,'2026-03-24 00:00:00','003106050080000-310605008','003106050080000-310605008','经纤支镜特殊治疗',null,null,325,290,250,null,435,410,350,'次',25,1,'normal','main',0),</v>
      </c>
    </row>
    <row r="40" spans="1:23">
      <c r="A40">
        <v>2507</v>
      </c>
      <c r="B40" t="s">
        <v>1090</v>
      </c>
      <c r="C40">
        <v>1</v>
      </c>
      <c r="D40" s="6" t="s">
        <v>1091</v>
      </c>
      <c r="E40" t="s">
        <v>270</v>
      </c>
      <c r="F40" t="s">
        <v>270</v>
      </c>
      <c r="G40" t="s">
        <v>271</v>
      </c>
      <c r="H40" t="s">
        <v>1090</v>
      </c>
      <c r="I40" t="s">
        <v>1090</v>
      </c>
      <c r="J40">
        <v>488</v>
      </c>
      <c r="K40">
        <v>435</v>
      </c>
      <c r="L40">
        <v>375</v>
      </c>
      <c r="M40" t="s">
        <v>1090</v>
      </c>
      <c r="N40">
        <v>435</v>
      </c>
      <c r="O40">
        <v>410</v>
      </c>
      <c r="P40">
        <v>350</v>
      </c>
      <c r="Q40" t="s">
        <v>38</v>
      </c>
      <c r="R40">
        <v>25</v>
      </c>
      <c r="S40">
        <v>1</v>
      </c>
      <c r="T40" t="s">
        <v>1092</v>
      </c>
      <c r="U40" t="s">
        <v>1093</v>
      </c>
      <c r="V40">
        <v>0</v>
      </c>
      <c r="W40" s="8" t="str">
        <f t="shared" si="0"/>
        <v>(2507,null,1,'2026-03-24 00:00:00','003106050080000-31060500801','003106050080000-31060500801','经纤支镜特殊治疗（激光法）',null,null,488,435,375,null,435,410,350,'次',25,1,'normal','main',0),</v>
      </c>
    </row>
    <row r="41" spans="1:23">
      <c r="A41">
        <v>2508</v>
      </c>
      <c r="B41" t="s">
        <v>1090</v>
      </c>
      <c r="C41">
        <v>1</v>
      </c>
      <c r="D41" s="6" t="s">
        <v>1091</v>
      </c>
      <c r="E41" t="s">
        <v>273</v>
      </c>
      <c r="F41" t="s">
        <v>273</v>
      </c>
      <c r="G41" t="s">
        <v>274</v>
      </c>
      <c r="H41" t="s">
        <v>1090</v>
      </c>
      <c r="I41" t="s">
        <v>1090</v>
      </c>
      <c r="J41">
        <v>488</v>
      </c>
      <c r="K41">
        <v>435</v>
      </c>
      <c r="L41">
        <v>375</v>
      </c>
      <c r="M41" t="s">
        <v>1090</v>
      </c>
      <c r="N41">
        <v>435</v>
      </c>
      <c r="O41">
        <v>410</v>
      </c>
      <c r="P41">
        <v>350</v>
      </c>
      <c r="Q41" t="s">
        <v>38</v>
      </c>
      <c r="R41">
        <v>25</v>
      </c>
      <c r="S41">
        <v>1</v>
      </c>
      <c r="T41" t="s">
        <v>1092</v>
      </c>
      <c r="U41" t="s">
        <v>1093</v>
      </c>
      <c r="V41">
        <v>0</v>
      </c>
      <c r="W41" s="8" t="str">
        <f t="shared" si="0"/>
        <v>(2508,null,1,'2026-03-24 00:00:00','003106050080000-31060500802','003106050080000-31060500802','经纤支镜特殊治疗（高频电法）',null,null,488,435,375,null,435,410,350,'次',25,1,'normal','main',0),</v>
      </c>
    </row>
    <row r="42" spans="1:23">
      <c r="A42">
        <v>2509</v>
      </c>
      <c r="B42" t="s">
        <v>1090</v>
      </c>
      <c r="C42">
        <v>1</v>
      </c>
      <c r="D42" s="6" t="s">
        <v>1091</v>
      </c>
      <c r="E42" t="s">
        <v>276</v>
      </c>
      <c r="F42" t="s">
        <v>276</v>
      </c>
      <c r="G42" t="s">
        <v>277</v>
      </c>
      <c r="H42" t="s">
        <v>1090</v>
      </c>
      <c r="I42" t="s">
        <v>1090</v>
      </c>
      <c r="J42">
        <v>488</v>
      </c>
      <c r="K42">
        <v>435</v>
      </c>
      <c r="L42">
        <v>375</v>
      </c>
      <c r="M42" t="s">
        <v>1090</v>
      </c>
      <c r="N42">
        <v>435</v>
      </c>
      <c r="O42">
        <v>410</v>
      </c>
      <c r="P42">
        <v>350</v>
      </c>
      <c r="Q42" t="s">
        <v>38</v>
      </c>
      <c r="R42">
        <v>25</v>
      </c>
      <c r="S42">
        <v>1</v>
      </c>
      <c r="T42" t="s">
        <v>1092</v>
      </c>
      <c r="U42" t="s">
        <v>1093</v>
      </c>
      <c r="V42">
        <v>0</v>
      </c>
      <c r="W42" s="8" t="str">
        <f t="shared" si="0"/>
        <v>(2509,null,1,'2026-03-24 00:00:00','003106050080000-31060500803','003106050080000-31060500803','经纤支镜特殊治疗（冷冻法）',null,null,488,435,375,null,435,410,350,'次',25,1,'normal','main',0),</v>
      </c>
    </row>
    <row r="43" spans="1:23">
      <c r="A43">
        <v>2510</v>
      </c>
      <c r="B43" t="s">
        <v>1090</v>
      </c>
      <c r="C43">
        <v>1</v>
      </c>
      <c r="D43" s="6" t="s">
        <v>1091</v>
      </c>
      <c r="E43" t="s">
        <v>279</v>
      </c>
      <c r="F43" t="s">
        <v>279</v>
      </c>
      <c r="G43" t="s">
        <v>280</v>
      </c>
      <c r="H43" t="s">
        <v>1090</v>
      </c>
      <c r="I43" t="s">
        <v>1090</v>
      </c>
      <c r="J43">
        <v>488</v>
      </c>
      <c r="K43">
        <v>435</v>
      </c>
      <c r="L43">
        <v>375</v>
      </c>
      <c r="M43" t="s">
        <v>1090</v>
      </c>
      <c r="N43">
        <v>435</v>
      </c>
      <c r="O43">
        <v>410</v>
      </c>
      <c r="P43">
        <v>350</v>
      </c>
      <c r="Q43" t="s">
        <v>38</v>
      </c>
      <c r="R43">
        <v>25</v>
      </c>
      <c r="S43">
        <v>1</v>
      </c>
      <c r="T43" t="s">
        <v>1092</v>
      </c>
      <c r="U43" t="s">
        <v>1093</v>
      </c>
      <c r="V43">
        <v>0</v>
      </c>
      <c r="W43" s="8" t="str">
        <f t="shared" si="0"/>
        <v>(2510,null,1,'2026-03-24 00:00:00','003106050080000-31060500804','003106050080000-31060500804','经纤支镜特殊治疗（氩离子凝固法）',null,null,488,435,375,null,435,410,350,'次',25,1,'normal','main',0),</v>
      </c>
    </row>
    <row r="44" spans="1:23">
      <c r="A44">
        <v>2511</v>
      </c>
      <c r="B44" t="s">
        <v>1090</v>
      </c>
      <c r="C44">
        <v>1</v>
      </c>
      <c r="D44" s="6" t="s">
        <v>1091</v>
      </c>
      <c r="E44" t="s">
        <v>282</v>
      </c>
      <c r="F44" t="s">
        <v>282</v>
      </c>
      <c r="G44" t="s">
        <v>283</v>
      </c>
      <c r="H44" t="s">
        <v>1090</v>
      </c>
      <c r="I44" t="s">
        <v>1090</v>
      </c>
      <c r="J44">
        <v>517.5</v>
      </c>
      <c r="K44">
        <v>450</v>
      </c>
      <c r="L44">
        <v>382.5</v>
      </c>
      <c r="M44" t="s">
        <v>1090</v>
      </c>
      <c r="N44">
        <v>435</v>
      </c>
      <c r="O44">
        <v>410</v>
      </c>
      <c r="P44">
        <v>350</v>
      </c>
      <c r="Q44" t="s">
        <v>38</v>
      </c>
      <c r="R44">
        <v>25</v>
      </c>
      <c r="S44">
        <v>1</v>
      </c>
      <c r="T44" t="s">
        <v>1092</v>
      </c>
      <c r="U44" t="s">
        <v>1093</v>
      </c>
      <c r="V44">
        <v>0</v>
      </c>
      <c r="W44" s="8" t="str">
        <f t="shared" si="0"/>
        <v>(2511,null,1,'2026-03-24 00:00:00','003106060010100-31060600101','003106060010100-31060600101','经内镜胸部肿瘤特殊治疗（激光法）',null,null,517.5,450,382.5,null,435,410,350,'次',25,1,'normal','main',0),</v>
      </c>
    </row>
    <row r="45" spans="1:23">
      <c r="A45">
        <v>2512</v>
      </c>
      <c r="B45" t="s">
        <v>1090</v>
      </c>
      <c r="C45">
        <v>1</v>
      </c>
      <c r="D45" s="6" t="s">
        <v>1091</v>
      </c>
      <c r="E45" t="s">
        <v>284</v>
      </c>
      <c r="F45" t="s">
        <v>284</v>
      </c>
      <c r="G45" t="s">
        <v>285</v>
      </c>
      <c r="H45" t="s">
        <v>1090</v>
      </c>
      <c r="I45" t="s">
        <v>1090</v>
      </c>
      <c r="J45">
        <v>517.5</v>
      </c>
      <c r="K45">
        <v>450</v>
      </c>
      <c r="L45">
        <v>382.5</v>
      </c>
      <c r="M45" t="s">
        <v>1090</v>
      </c>
      <c r="N45">
        <v>435</v>
      </c>
      <c r="O45">
        <v>410</v>
      </c>
      <c r="P45">
        <v>350</v>
      </c>
      <c r="Q45" t="s">
        <v>38</v>
      </c>
      <c r="R45">
        <v>25</v>
      </c>
      <c r="S45">
        <v>1</v>
      </c>
      <c r="T45" t="s">
        <v>1092</v>
      </c>
      <c r="U45" t="s">
        <v>1093</v>
      </c>
      <c r="V45">
        <v>0</v>
      </c>
      <c r="W45" s="8" t="str">
        <f t="shared" si="0"/>
        <v>(2512,null,1,'2026-03-24 00:00:00','003106060010200-31060600102','003106060010200-31060600102','经内镜胸部肿瘤特殊治疗（电凝法）',null,null,517.5,450,382.5,null,435,410,350,'次',25,1,'normal','main',0),</v>
      </c>
    </row>
    <row r="46" spans="1:23">
      <c r="A46">
        <v>2513</v>
      </c>
      <c r="B46" t="s">
        <v>1090</v>
      </c>
      <c r="C46">
        <v>1</v>
      </c>
      <c r="D46" s="6" t="s">
        <v>1091</v>
      </c>
      <c r="E46" t="s">
        <v>287</v>
      </c>
      <c r="F46" t="s">
        <v>287</v>
      </c>
      <c r="G46" t="s">
        <v>288</v>
      </c>
      <c r="H46" t="s">
        <v>1090</v>
      </c>
      <c r="I46" t="s">
        <v>1090</v>
      </c>
      <c r="J46">
        <v>345</v>
      </c>
      <c r="K46">
        <v>300</v>
      </c>
      <c r="L46">
        <v>255</v>
      </c>
      <c r="M46" t="s">
        <v>1090</v>
      </c>
      <c r="N46">
        <v>435</v>
      </c>
      <c r="O46">
        <v>410</v>
      </c>
      <c r="P46">
        <v>350</v>
      </c>
      <c r="Q46" t="s">
        <v>38</v>
      </c>
      <c r="R46">
        <v>25</v>
      </c>
      <c r="S46">
        <v>1</v>
      </c>
      <c r="T46" t="s">
        <v>1092</v>
      </c>
      <c r="U46" t="s">
        <v>1093</v>
      </c>
      <c r="V46">
        <v>0</v>
      </c>
      <c r="W46" s="8" t="str">
        <f t="shared" si="0"/>
        <v>(2513,null,1,'2026-03-24 00:00:00','003106060010000-310606001','003106060010000-310606001','经内镜胸部肿瘤特殊治疗',null,null,345,300,255,null,435,410,350,'次',25,1,'normal','main',0),</v>
      </c>
    </row>
    <row r="47" spans="1:23">
      <c r="A47">
        <v>2514</v>
      </c>
      <c r="B47" t="s">
        <v>1090</v>
      </c>
      <c r="C47">
        <v>1</v>
      </c>
      <c r="D47" s="6" t="s">
        <v>1091</v>
      </c>
      <c r="E47" t="s">
        <v>292</v>
      </c>
      <c r="F47" t="s">
        <v>292</v>
      </c>
      <c r="G47" t="s">
        <v>293</v>
      </c>
      <c r="H47" t="s">
        <v>1090</v>
      </c>
      <c r="I47" t="s">
        <v>1090</v>
      </c>
      <c r="J47">
        <v>230</v>
      </c>
      <c r="K47">
        <v>200</v>
      </c>
      <c r="L47">
        <v>170</v>
      </c>
      <c r="M47" t="s">
        <v>1090</v>
      </c>
      <c r="N47">
        <v>435</v>
      </c>
      <c r="O47">
        <v>410</v>
      </c>
      <c r="P47">
        <v>350</v>
      </c>
      <c r="Q47" t="s">
        <v>38</v>
      </c>
      <c r="R47">
        <v>25</v>
      </c>
      <c r="S47">
        <v>1</v>
      </c>
      <c r="T47" t="s">
        <v>1092</v>
      </c>
      <c r="U47" t="s">
        <v>1093</v>
      </c>
      <c r="V47">
        <v>0</v>
      </c>
      <c r="W47" s="8" t="str">
        <f t="shared" si="0"/>
        <v>(2514,null,1,'2026-03-24 00:00:00','003106050090000-310605009','003106050090000-310605009','经内镜气管扩张术',null,null,230,200,170,null,435,410,350,'次',25,1,'normal','main',0),</v>
      </c>
    </row>
    <row r="48" spans="1:23">
      <c r="A48">
        <v>2515</v>
      </c>
      <c r="B48" t="s">
        <v>1090</v>
      </c>
      <c r="C48">
        <v>1</v>
      </c>
      <c r="D48" s="6" t="s">
        <v>1091</v>
      </c>
      <c r="E48" t="s">
        <v>301</v>
      </c>
      <c r="F48" t="s">
        <v>301</v>
      </c>
      <c r="G48" t="s">
        <v>302</v>
      </c>
      <c r="H48" t="s">
        <v>1090</v>
      </c>
      <c r="I48" t="s">
        <v>1090</v>
      </c>
      <c r="J48">
        <v>545</v>
      </c>
      <c r="K48">
        <v>490</v>
      </c>
      <c r="L48">
        <v>420</v>
      </c>
      <c r="M48" t="s">
        <v>1090</v>
      </c>
      <c r="N48">
        <v>710</v>
      </c>
      <c r="O48">
        <v>640</v>
      </c>
      <c r="P48">
        <v>545</v>
      </c>
      <c r="Q48" t="s">
        <v>38</v>
      </c>
      <c r="R48">
        <v>25</v>
      </c>
      <c r="S48">
        <v>1</v>
      </c>
      <c r="T48" t="s">
        <v>1092</v>
      </c>
      <c r="U48" t="s">
        <v>1093</v>
      </c>
      <c r="V48">
        <v>0</v>
      </c>
      <c r="W48" s="8" t="str">
        <f t="shared" si="0"/>
        <v>(2515,null,1,'2026-03-24 00:00:00','003106050100000-310605010','003106050100000-310605010','经纤支镜支架置入术',null,null,545,490,420,null,710,640,545,'次',25,1,'normal','main',0),</v>
      </c>
    </row>
    <row r="49" spans="1:23">
      <c r="A49">
        <v>2516</v>
      </c>
      <c r="B49" t="s">
        <v>1090</v>
      </c>
      <c r="C49">
        <v>1</v>
      </c>
      <c r="D49" s="6" t="s">
        <v>1091</v>
      </c>
      <c r="E49" t="s">
        <v>311</v>
      </c>
      <c r="F49" t="s">
        <v>311</v>
      </c>
      <c r="G49" t="s">
        <v>312</v>
      </c>
      <c r="H49" t="s">
        <v>1090</v>
      </c>
      <c r="I49" t="s">
        <v>1090</v>
      </c>
      <c r="J49">
        <v>545</v>
      </c>
      <c r="K49">
        <v>490</v>
      </c>
      <c r="L49">
        <v>420</v>
      </c>
      <c r="M49" t="s">
        <v>1090</v>
      </c>
      <c r="N49">
        <v>710</v>
      </c>
      <c r="O49">
        <v>640</v>
      </c>
      <c r="P49">
        <v>545</v>
      </c>
      <c r="Q49" t="s">
        <v>38</v>
      </c>
      <c r="R49">
        <v>25</v>
      </c>
      <c r="S49">
        <v>1</v>
      </c>
      <c r="T49" t="s">
        <v>1092</v>
      </c>
      <c r="U49" t="s">
        <v>1093</v>
      </c>
      <c r="V49">
        <v>0</v>
      </c>
      <c r="W49" s="8" t="str">
        <f t="shared" si="0"/>
        <v>(2516,null,1,'2026-03-24 00:00:00','003106050100000-31060501001','003106050100000-31060501001','经纤支镜支架取出术',null,null,545,490,420,null,710,640,545,'次',25,1,'normal','main',0),</v>
      </c>
    </row>
    <row r="50" spans="1:23">
      <c r="A50">
        <v>2517</v>
      </c>
      <c r="B50" t="s">
        <v>1090</v>
      </c>
      <c r="C50">
        <v>1</v>
      </c>
      <c r="D50" s="6" t="s">
        <v>1091</v>
      </c>
      <c r="E50" t="s">
        <v>320</v>
      </c>
      <c r="F50" t="s">
        <v>320</v>
      </c>
      <c r="G50" t="s">
        <v>321</v>
      </c>
      <c r="H50" t="s">
        <v>1090</v>
      </c>
      <c r="I50" t="s">
        <v>1090</v>
      </c>
      <c r="J50">
        <v>625</v>
      </c>
      <c r="K50">
        <v>600</v>
      </c>
      <c r="L50">
        <v>510</v>
      </c>
      <c r="M50" t="s">
        <v>1090</v>
      </c>
      <c r="N50">
        <v>950</v>
      </c>
      <c r="O50">
        <v>855</v>
      </c>
      <c r="P50">
        <v>725</v>
      </c>
      <c r="Q50" t="s">
        <v>38</v>
      </c>
      <c r="R50">
        <v>25</v>
      </c>
      <c r="S50">
        <v>1</v>
      </c>
      <c r="T50" t="s">
        <v>1092</v>
      </c>
      <c r="U50" t="s">
        <v>1093</v>
      </c>
      <c r="V50">
        <v>0</v>
      </c>
      <c r="W50" s="8" t="str">
        <f t="shared" si="0"/>
        <v>(2517,null,1,'2026-03-24 00:00:00','003307030240000-330703024','003307030240000-330703024','经纤支镜支气管胸膜瘘堵塞术',null,null,625,600,510,null,950,855,725,'次',25,1,'normal','main',0),</v>
      </c>
    </row>
    <row r="51" spans="1:23">
      <c r="A51">
        <v>2518</v>
      </c>
      <c r="B51" t="s">
        <v>1090</v>
      </c>
      <c r="C51">
        <v>1</v>
      </c>
      <c r="D51" s="6" t="s">
        <v>1091</v>
      </c>
      <c r="E51" t="s">
        <v>324</v>
      </c>
      <c r="F51" t="s">
        <v>324</v>
      </c>
      <c r="G51" t="s">
        <v>325</v>
      </c>
      <c r="H51" t="s">
        <v>1090</v>
      </c>
      <c r="I51" t="s">
        <v>1090</v>
      </c>
      <c r="J51">
        <v>815</v>
      </c>
      <c r="K51">
        <v>780</v>
      </c>
      <c r="L51">
        <v>665</v>
      </c>
      <c r="M51" t="s">
        <v>1090</v>
      </c>
      <c r="N51">
        <v>1235</v>
      </c>
      <c r="O51">
        <v>1110</v>
      </c>
      <c r="P51">
        <v>940</v>
      </c>
      <c r="Q51" t="s">
        <v>38</v>
      </c>
      <c r="R51">
        <v>25</v>
      </c>
      <c r="S51">
        <v>1</v>
      </c>
      <c r="T51" t="s">
        <v>1092</v>
      </c>
      <c r="U51" t="s">
        <v>1093</v>
      </c>
      <c r="V51">
        <v>0</v>
      </c>
      <c r="W51" s="8" t="str">
        <f t="shared" si="0"/>
        <v>(2518,null,1,'2026-03-24 00:00:00','003307030240000-33070302401','003307030240000-33070302401','小儿经纤支镜支气管胸膜瘘堵塞术',null,null,815,780,665,null,1235,1110,940,'次',25,1,'normal','main',0),</v>
      </c>
    </row>
    <row r="52" spans="1:23">
      <c r="A52">
        <v>2519</v>
      </c>
      <c r="B52" t="s">
        <v>1090</v>
      </c>
      <c r="C52">
        <v>1</v>
      </c>
      <c r="D52" s="6" t="s">
        <v>1091</v>
      </c>
      <c r="E52" t="s">
        <v>330</v>
      </c>
      <c r="F52" t="s">
        <v>330</v>
      </c>
      <c r="G52" t="s">
        <v>331</v>
      </c>
      <c r="H52" t="s">
        <v>1090</v>
      </c>
      <c r="I52" t="s">
        <v>1090</v>
      </c>
      <c r="J52">
        <v>575</v>
      </c>
      <c r="K52">
        <v>500</v>
      </c>
      <c r="L52">
        <v>425</v>
      </c>
      <c r="M52" t="s">
        <v>1090</v>
      </c>
      <c r="N52">
        <v>1000</v>
      </c>
      <c r="O52">
        <v>900</v>
      </c>
      <c r="P52">
        <v>765</v>
      </c>
      <c r="Q52" t="s">
        <v>38</v>
      </c>
      <c r="R52">
        <v>25</v>
      </c>
      <c r="S52">
        <v>1</v>
      </c>
      <c r="T52" t="s">
        <v>1092</v>
      </c>
      <c r="U52" t="s">
        <v>1093</v>
      </c>
      <c r="V52">
        <v>0</v>
      </c>
      <c r="W52" s="8" t="str">
        <f t="shared" si="0"/>
        <v>(2519,null,1,'2026-03-24 00:00:00','003106050120000-310605012','003106050120000-310605012','经内镜气管内肿瘤切除术',null,null,575,500,425,null,1000,900,765,'次',25,1,'normal','main',0),</v>
      </c>
    </row>
    <row r="53" spans="1:23">
      <c r="A53">
        <v>2520</v>
      </c>
      <c r="B53" t="s">
        <v>1090</v>
      </c>
      <c r="C53">
        <v>1</v>
      </c>
      <c r="D53" s="6" t="s">
        <v>1091</v>
      </c>
      <c r="E53" t="s">
        <v>356</v>
      </c>
      <c r="F53" t="s">
        <v>356</v>
      </c>
      <c r="G53" t="s">
        <v>357</v>
      </c>
      <c r="H53" t="s">
        <v>1090</v>
      </c>
      <c r="I53" t="s">
        <v>1090</v>
      </c>
      <c r="J53">
        <v>3930</v>
      </c>
      <c r="K53">
        <v>3540</v>
      </c>
      <c r="L53">
        <v>3010</v>
      </c>
      <c r="M53" t="s">
        <v>1090</v>
      </c>
      <c r="N53">
        <v>4750</v>
      </c>
      <c r="O53">
        <v>4300</v>
      </c>
      <c r="P53">
        <v>3650</v>
      </c>
      <c r="Q53" t="s">
        <v>38</v>
      </c>
      <c r="R53">
        <v>25</v>
      </c>
      <c r="S53">
        <v>1</v>
      </c>
      <c r="T53" t="s">
        <v>1092</v>
      </c>
      <c r="U53" t="s">
        <v>1093</v>
      </c>
      <c r="V53">
        <v>0</v>
      </c>
      <c r="W53" s="8" t="str">
        <f t="shared" si="0"/>
        <v>(2520,null,1,'2026-03-24 00:00:00','003307010420000-330701042','003307010420000-330701042','气管成形术',null,null,3930,3540,3010,null,4750,4300,3650,'次',25,1,'normal','main',0),</v>
      </c>
    </row>
    <row r="54" spans="1:23">
      <c r="A54">
        <v>2521</v>
      </c>
      <c r="B54" t="s">
        <v>1090</v>
      </c>
      <c r="C54">
        <v>1</v>
      </c>
      <c r="D54" s="6" t="s">
        <v>1091</v>
      </c>
      <c r="E54" t="s">
        <v>360</v>
      </c>
      <c r="F54" t="s">
        <v>360</v>
      </c>
      <c r="G54" t="s">
        <v>361</v>
      </c>
      <c r="H54" t="s">
        <v>1090</v>
      </c>
      <c r="I54" t="s">
        <v>1090</v>
      </c>
      <c r="J54">
        <v>1150</v>
      </c>
      <c r="K54">
        <v>1040</v>
      </c>
      <c r="L54">
        <v>885</v>
      </c>
      <c r="M54" t="s">
        <v>1090</v>
      </c>
      <c r="N54">
        <v>0</v>
      </c>
      <c r="O54">
        <v>0</v>
      </c>
      <c r="P54">
        <v>0</v>
      </c>
      <c r="Q54" t="s">
        <v>38</v>
      </c>
      <c r="R54">
        <v>25</v>
      </c>
      <c r="S54">
        <v>1</v>
      </c>
      <c r="T54" t="s">
        <v>1092</v>
      </c>
      <c r="U54" t="s">
        <v>1093</v>
      </c>
      <c r="V54">
        <v>0</v>
      </c>
      <c r="W54" s="8" t="str">
        <f t="shared" si="0"/>
        <v>(2521,null,1,'2026-03-24 00:00:00','003307010390000-33070104202','003307010390000-33070104202','单纯人工气管移植术',null,null,1150,1040,885,null,0,0,0,'次',25,1,'normal','main',0),</v>
      </c>
    </row>
    <row r="55" spans="1:23">
      <c r="A55">
        <v>2522</v>
      </c>
      <c r="B55" t="s">
        <v>1090</v>
      </c>
      <c r="C55">
        <v>1</v>
      </c>
      <c r="D55" s="6" t="s">
        <v>1091</v>
      </c>
      <c r="E55" t="s">
        <v>362</v>
      </c>
      <c r="F55" t="s">
        <v>362</v>
      </c>
      <c r="G55" t="s">
        <v>363</v>
      </c>
      <c r="H55" t="s">
        <v>1090</v>
      </c>
      <c r="I55" t="s">
        <v>1090</v>
      </c>
      <c r="J55">
        <v>1625</v>
      </c>
      <c r="K55">
        <v>1560</v>
      </c>
      <c r="L55">
        <v>1326</v>
      </c>
      <c r="M55" t="s">
        <v>1090</v>
      </c>
      <c r="N55">
        <v>0</v>
      </c>
      <c r="O55">
        <v>0</v>
      </c>
      <c r="P55">
        <v>0</v>
      </c>
      <c r="Q55" t="s">
        <v>38</v>
      </c>
      <c r="R55">
        <v>25</v>
      </c>
      <c r="S55">
        <v>1</v>
      </c>
      <c r="T55" t="s">
        <v>1092</v>
      </c>
      <c r="U55" t="s">
        <v>1093</v>
      </c>
      <c r="V55">
        <v>0</v>
      </c>
      <c r="W55" s="8" t="str">
        <f t="shared" si="0"/>
        <v>(2522,null,1,'2026-03-24 00:00:00','003307010390000-330701039','003307010390000-330701039','气管支气管损伤修补术',null,null,1625,1560,1326,null,0,0,0,'次',25,1,'normal','main',0),</v>
      </c>
    </row>
    <row r="56" spans="1:23">
      <c r="A56">
        <v>2523</v>
      </c>
      <c r="B56" t="s">
        <v>1090</v>
      </c>
      <c r="C56">
        <v>1</v>
      </c>
      <c r="D56" s="6" t="s">
        <v>1091</v>
      </c>
      <c r="E56" t="s">
        <v>366</v>
      </c>
      <c r="F56" t="s">
        <v>366</v>
      </c>
      <c r="G56" t="s">
        <v>367</v>
      </c>
      <c r="H56" t="s">
        <v>1090</v>
      </c>
      <c r="I56" t="s">
        <v>1090</v>
      </c>
      <c r="J56">
        <v>5110</v>
      </c>
      <c r="K56">
        <v>4600</v>
      </c>
      <c r="L56">
        <v>3910</v>
      </c>
      <c r="M56" t="s">
        <v>1090</v>
      </c>
      <c r="N56">
        <v>6175</v>
      </c>
      <c r="O56">
        <v>5590</v>
      </c>
      <c r="P56">
        <v>4745</v>
      </c>
      <c r="Q56" t="s">
        <v>38</v>
      </c>
      <c r="R56">
        <v>25</v>
      </c>
      <c r="S56">
        <v>1</v>
      </c>
      <c r="T56" t="s">
        <v>1092</v>
      </c>
      <c r="U56" t="s">
        <v>1093</v>
      </c>
      <c r="V56">
        <v>0</v>
      </c>
      <c r="W56" s="8" t="str">
        <f t="shared" si="0"/>
        <v>(2523,null,1,'2026-03-24 00:00:00','003307010420000-33070104201','003307010420000-33070104201','小儿气管成形术',null,null,5110,4600,3910,null,6175,5590,4745,'次',25,1,'normal','main',0),</v>
      </c>
    </row>
    <row r="57" spans="1:23">
      <c r="A57">
        <v>2524</v>
      </c>
      <c r="B57" t="s">
        <v>1090</v>
      </c>
      <c r="C57">
        <v>1</v>
      </c>
      <c r="D57" s="6" t="s">
        <v>1091</v>
      </c>
      <c r="E57" t="s">
        <v>368</v>
      </c>
      <c r="F57" t="s">
        <v>368</v>
      </c>
      <c r="G57" t="s">
        <v>369</v>
      </c>
      <c r="H57" t="s">
        <v>1090</v>
      </c>
      <c r="I57" t="s">
        <v>1090</v>
      </c>
      <c r="J57">
        <v>1495</v>
      </c>
      <c r="K57">
        <v>1350</v>
      </c>
      <c r="L57">
        <v>1150</v>
      </c>
      <c r="M57" t="s">
        <v>1090</v>
      </c>
      <c r="N57">
        <v>6175</v>
      </c>
      <c r="O57">
        <v>5590</v>
      </c>
      <c r="P57">
        <v>4745</v>
      </c>
      <c r="Q57" t="s">
        <v>38</v>
      </c>
      <c r="R57">
        <v>25</v>
      </c>
      <c r="S57">
        <v>1</v>
      </c>
      <c r="T57" t="s">
        <v>1092</v>
      </c>
      <c r="U57" t="s">
        <v>1093</v>
      </c>
      <c r="V57">
        <v>0</v>
      </c>
      <c r="W57" s="8" t="str">
        <f t="shared" si="0"/>
        <v>(2524,null,1,'2026-03-24 00:00:00','003307010390000-33070104203','003307010390000-33070104203','小儿单纯人工气管移植术',null,null,1495,1350,1150,null,6175,5590,4745,'次',25,1,'normal','main',0),</v>
      </c>
    </row>
    <row r="58" spans="1:23">
      <c r="A58">
        <v>2525</v>
      </c>
      <c r="B58" t="s">
        <v>1090</v>
      </c>
      <c r="C58">
        <v>1</v>
      </c>
      <c r="D58" s="6" t="s">
        <v>1091</v>
      </c>
      <c r="E58" t="s">
        <v>370</v>
      </c>
      <c r="F58" t="s">
        <v>370</v>
      </c>
      <c r="G58" t="s">
        <v>371</v>
      </c>
      <c r="H58" t="s">
        <v>1090</v>
      </c>
      <c r="I58" t="s">
        <v>1090</v>
      </c>
      <c r="J58">
        <v>2115</v>
      </c>
      <c r="K58">
        <v>2030</v>
      </c>
      <c r="L58">
        <v>1725</v>
      </c>
      <c r="M58" t="s">
        <v>1090</v>
      </c>
      <c r="N58">
        <v>6175</v>
      </c>
      <c r="O58">
        <v>5590</v>
      </c>
      <c r="P58">
        <v>4745</v>
      </c>
      <c r="Q58" t="s">
        <v>38</v>
      </c>
      <c r="R58">
        <v>25</v>
      </c>
      <c r="S58">
        <v>1</v>
      </c>
      <c r="T58" t="s">
        <v>1092</v>
      </c>
      <c r="U58" t="s">
        <v>1093</v>
      </c>
      <c r="V58">
        <v>0</v>
      </c>
      <c r="W58" s="8" t="str">
        <f t="shared" si="0"/>
        <v>(2525,null,1,'2026-03-24 00:00:00','003307010390000-33070103901','003307010390000-33070103901','小儿气管支气管损伤修补术',null,null,2115,2030,1725,null,6175,5590,4745,'次',25,1,'normal','main',0),</v>
      </c>
    </row>
    <row r="59" spans="1:23">
      <c r="A59">
        <v>2526</v>
      </c>
      <c r="B59" t="s">
        <v>1090</v>
      </c>
      <c r="C59">
        <v>1</v>
      </c>
      <c r="D59" s="6" t="s">
        <v>1091</v>
      </c>
      <c r="E59" t="s">
        <v>366</v>
      </c>
      <c r="F59" t="s">
        <v>366</v>
      </c>
      <c r="G59" t="s">
        <v>367</v>
      </c>
      <c r="H59" t="s">
        <v>1090</v>
      </c>
      <c r="I59" t="s">
        <v>1090</v>
      </c>
      <c r="J59">
        <v>5110</v>
      </c>
      <c r="K59">
        <v>4600</v>
      </c>
      <c r="L59">
        <v>3910</v>
      </c>
      <c r="M59" t="s">
        <v>1090</v>
      </c>
      <c r="N59">
        <v>6175</v>
      </c>
      <c r="O59">
        <v>5590</v>
      </c>
      <c r="P59">
        <v>4745</v>
      </c>
      <c r="Q59" t="s">
        <v>38</v>
      </c>
      <c r="R59">
        <v>25</v>
      </c>
      <c r="S59">
        <v>1</v>
      </c>
      <c r="T59" t="s">
        <v>1092</v>
      </c>
      <c r="U59" t="s">
        <v>1093</v>
      </c>
      <c r="V59">
        <v>0</v>
      </c>
      <c r="W59" s="8" t="str">
        <f t="shared" si="0"/>
        <v>(2526,null,1,'2026-03-24 00:00:00','003307010420000-33070104201','003307010420000-33070104201','小儿气管成形术',null,null,5110,4600,3910,null,6175,5590,4745,'次',25,1,'normal','main',0),</v>
      </c>
    </row>
    <row r="60" spans="1:23">
      <c r="A60">
        <v>2527</v>
      </c>
      <c r="B60" t="s">
        <v>1090</v>
      </c>
      <c r="C60">
        <v>1</v>
      </c>
      <c r="D60" s="6" t="s">
        <v>1091</v>
      </c>
      <c r="E60" t="s">
        <v>368</v>
      </c>
      <c r="F60" t="s">
        <v>368</v>
      </c>
      <c r="G60" t="s">
        <v>369</v>
      </c>
      <c r="H60" t="s">
        <v>1090</v>
      </c>
      <c r="I60" t="s">
        <v>1090</v>
      </c>
      <c r="J60">
        <v>1495</v>
      </c>
      <c r="K60">
        <v>1350</v>
      </c>
      <c r="L60">
        <v>1150</v>
      </c>
      <c r="M60" t="s">
        <v>1090</v>
      </c>
      <c r="N60">
        <v>6175</v>
      </c>
      <c r="O60">
        <v>5590</v>
      </c>
      <c r="P60">
        <v>4745</v>
      </c>
      <c r="Q60" t="s">
        <v>38</v>
      </c>
      <c r="R60">
        <v>25</v>
      </c>
      <c r="S60">
        <v>1</v>
      </c>
      <c r="T60" t="s">
        <v>1092</v>
      </c>
      <c r="U60" t="s">
        <v>1093</v>
      </c>
      <c r="V60">
        <v>0</v>
      </c>
      <c r="W60" s="8" t="str">
        <f t="shared" si="0"/>
        <v>(2527,null,1,'2026-03-24 00:00:00','003307010390000-33070104203','003307010390000-33070104203','小儿单纯人工气管移植术',null,null,1495,1350,1150,null,6175,5590,4745,'次',25,1,'normal','main',0),</v>
      </c>
    </row>
    <row r="61" spans="1:23">
      <c r="A61">
        <v>2528</v>
      </c>
      <c r="B61" t="s">
        <v>1090</v>
      </c>
      <c r="C61">
        <v>1</v>
      </c>
      <c r="D61" s="6" t="s">
        <v>1091</v>
      </c>
      <c r="E61" t="s">
        <v>370</v>
      </c>
      <c r="F61" t="s">
        <v>370</v>
      </c>
      <c r="G61" t="s">
        <v>371</v>
      </c>
      <c r="H61" t="s">
        <v>1090</v>
      </c>
      <c r="I61" t="s">
        <v>1090</v>
      </c>
      <c r="J61">
        <v>2115</v>
      </c>
      <c r="K61">
        <v>2030</v>
      </c>
      <c r="L61">
        <v>1725</v>
      </c>
      <c r="M61" t="s">
        <v>1090</v>
      </c>
      <c r="N61">
        <v>6175</v>
      </c>
      <c r="O61">
        <v>5590</v>
      </c>
      <c r="P61">
        <v>4745</v>
      </c>
      <c r="Q61" t="s">
        <v>38</v>
      </c>
      <c r="R61">
        <v>25</v>
      </c>
      <c r="S61">
        <v>1</v>
      </c>
      <c r="T61" t="s">
        <v>1092</v>
      </c>
      <c r="U61" t="s">
        <v>1093</v>
      </c>
      <c r="V61">
        <v>0</v>
      </c>
      <c r="W61" s="8" t="str">
        <f t="shared" si="0"/>
        <v>(2528,null,1,'2026-03-24 00:00:00','003307010390000-33070103901','003307010390000-33070103901','小儿气管支气管损伤修补术',null,null,2115,2030,1725,null,6175,5590,4745,'次',25,1,'normal','main',0),</v>
      </c>
    </row>
    <row r="62" spans="1:23">
      <c r="A62">
        <v>2529</v>
      </c>
      <c r="B62" t="s">
        <v>1090</v>
      </c>
      <c r="C62">
        <v>1</v>
      </c>
      <c r="D62" s="6" t="s">
        <v>1091</v>
      </c>
      <c r="E62" t="s">
        <v>389</v>
      </c>
      <c r="F62" t="s">
        <v>389</v>
      </c>
      <c r="G62" t="s">
        <v>390</v>
      </c>
      <c r="H62" t="s">
        <v>1090</v>
      </c>
      <c r="I62" t="s">
        <v>1090</v>
      </c>
      <c r="J62">
        <v>3880</v>
      </c>
      <c r="K62">
        <v>3490</v>
      </c>
      <c r="L62">
        <v>2970</v>
      </c>
      <c r="M62" t="s">
        <v>1090</v>
      </c>
      <c r="N62">
        <v>3880</v>
      </c>
      <c r="O62">
        <v>3490</v>
      </c>
      <c r="P62">
        <v>2970</v>
      </c>
      <c r="Q62" t="s">
        <v>38</v>
      </c>
      <c r="R62">
        <v>25</v>
      </c>
      <c r="S62">
        <v>1</v>
      </c>
      <c r="T62" t="s">
        <v>1092</v>
      </c>
      <c r="U62" t="s">
        <v>1093</v>
      </c>
      <c r="V62">
        <v>0</v>
      </c>
      <c r="W62" s="8" t="str">
        <f t="shared" si="0"/>
        <v>(2529,null,1,'2026-03-24 00:00:00','003307010430000-330701043','003307010430000-330701043','颈段气管食管瘘修补术',null,null,3880,3490,2970,null,3880,3490,2970,'次',25,1,'normal','main',0),</v>
      </c>
    </row>
    <row r="63" spans="1:23">
      <c r="A63">
        <v>2530</v>
      </c>
      <c r="B63" t="s">
        <v>1090</v>
      </c>
      <c r="C63">
        <v>1</v>
      </c>
      <c r="D63" s="6" t="s">
        <v>1091</v>
      </c>
      <c r="E63" t="s">
        <v>393</v>
      </c>
      <c r="F63" t="s">
        <v>393</v>
      </c>
      <c r="G63" t="s">
        <v>394</v>
      </c>
      <c r="H63" t="s">
        <v>1090</v>
      </c>
      <c r="I63" t="s">
        <v>1090</v>
      </c>
      <c r="J63">
        <v>5045</v>
      </c>
      <c r="K63">
        <v>4535</v>
      </c>
      <c r="L63">
        <v>3855</v>
      </c>
      <c r="M63" t="s">
        <v>1090</v>
      </c>
      <c r="N63">
        <v>5045</v>
      </c>
      <c r="O63">
        <v>4537</v>
      </c>
      <c r="P63">
        <v>3860</v>
      </c>
      <c r="Q63" t="s">
        <v>38</v>
      </c>
      <c r="R63">
        <v>25</v>
      </c>
      <c r="S63">
        <v>1</v>
      </c>
      <c r="T63" t="s">
        <v>1092</v>
      </c>
      <c r="U63" t="s">
        <v>1093</v>
      </c>
      <c r="V63">
        <v>0</v>
      </c>
      <c r="W63" s="8" t="str">
        <f t="shared" si="0"/>
        <v>(2530,null,1,'2026-03-24 00:00:00','003307010430000-33070104301','003307010430000-33070104301','小儿颈段气管食管瘘修补术',null,null,5045,4535,3855,null,5045,4537,3860,'次',25,1,'normal','main',0),</v>
      </c>
    </row>
    <row r="64" spans="1:23">
      <c r="A64">
        <v>2531</v>
      </c>
      <c r="B64" t="s">
        <v>1090</v>
      </c>
      <c r="C64">
        <v>1</v>
      </c>
      <c r="D64" s="6" t="s">
        <v>1091</v>
      </c>
      <c r="E64" t="s">
        <v>400</v>
      </c>
      <c r="F64" t="s">
        <v>400</v>
      </c>
      <c r="G64" t="s">
        <v>401</v>
      </c>
      <c r="H64" t="s">
        <v>1090</v>
      </c>
      <c r="I64" t="s">
        <v>1090</v>
      </c>
      <c r="J64">
        <v>4220</v>
      </c>
      <c r="K64">
        <v>3800</v>
      </c>
      <c r="L64">
        <v>3230</v>
      </c>
      <c r="M64" t="s">
        <v>1090</v>
      </c>
      <c r="N64">
        <v>1900</v>
      </c>
      <c r="O64">
        <v>1750</v>
      </c>
      <c r="P64">
        <v>1500</v>
      </c>
      <c r="Q64" t="s">
        <v>38</v>
      </c>
      <c r="R64">
        <v>25</v>
      </c>
      <c r="S64">
        <v>1</v>
      </c>
      <c r="T64" t="s">
        <v>1092</v>
      </c>
      <c r="U64" t="s">
        <v>1093</v>
      </c>
      <c r="V64">
        <v>0</v>
      </c>
      <c r="W64" s="8" t="str">
        <f t="shared" si="0"/>
        <v>(2531,null,1,'2026-03-24 00:00:00','003307010410000-330701041','003307010410000-330701041','气管内肿瘤切除术',null,null,4220,3800,3230,null,1900,1750,1500,'次',25,1,'normal','main',0),</v>
      </c>
    </row>
    <row r="65" spans="1:23">
      <c r="A65">
        <v>2532</v>
      </c>
      <c r="B65" t="s">
        <v>1090</v>
      </c>
      <c r="C65">
        <v>1</v>
      </c>
      <c r="D65" s="6" t="s">
        <v>1091</v>
      </c>
      <c r="E65" t="s">
        <v>404</v>
      </c>
      <c r="F65" t="s">
        <v>404</v>
      </c>
      <c r="G65" t="s">
        <v>405</v>
      </c>
      <c r="H65" t="s">
        <v>1090</v>
      </c>
      <c r="I65" t="s">
        <v>1090</v>
      </c>
      <c r="J65">
        <v>4510</v>
      </c>
      <c r="K65">
        <v>4060</v>
      </c>
      <c r="L65">
        <v>3450</v>
      </c>
      <c r="M65" t="s">
        <v>1090</v>
      </c>
      <c r="N65">
        <v>1900</v>
      </c>
      <c r="O65">
        <v>1750</v>
      </c>
      <c r="P65">
        <v>1500</v>
      </c>
      <c r="Q65" t="s">
        <v>38</v>
      </c>
      <c r="R65">
        <v>25</v>
      </c>
      <c r="S65">
        <v>1</v>
      </c>
      <c r="T65" t="s">
        <v>1092</v>
      </c>
      <c r="U65" t="s">
        <v>1093</v>
      </c>
      <c r="V65">
        <v>0</v>
      </c>
      <c r="W65" s="8" t="str">
        <f t="shared" si="0"/>
        <v>(2532,null,1,'2026-03-24 00:00:00','003307010410002-33070104101','003307010410002-33070104101','气管内肿瘤切除术（激光）',null,null,4510,4060,3450,null,1900,1750,1500,'次',25,1,'normal','main',0),</v>
      </c>
    </row>
    <row r="66" spans="1:23">
      <c r="A66">
        <v>2533</v>
      </c>
      <c r="B66" t="s">
        <v>1090</v>
      </c>
      <c r="C66">
        <v>1</v>
      </c>
      <c r="D66" s="6" t="s">
        <v>1091</v>
      </c>
      <c r="E66" t="s">
        <v>407</v>
      </c>
      <c r="F66" t="s">
        <v>407</v>
      </c>
      <c r="G66" t="s">
        <v>408</v>
      </c>
      <c r="H66" t="s">
        <v>1090</v>
      </c>
      <c r="I66" t="s">
        <v>1090</v>
      </c>
      <c r="J66">
        <v>1000</v>
      </c>
      <c r="K66">
        <v>960</v>
      </c>
      <c r="L66">
        <v>816</v>
      </c>
      <c r="M66" t="s">
        <v>1090</v>
      </c>
      <c r="N66">
        <v>1900</v>
      </c>
      <c r="O66">
        <v>1750</v>
      </c>
      <c r="P66">
        <v>1500</v>
      </c>
      <c r="Q66" t="s">
        <v>38</v>
      </c>
      <c r="R66">
        <v>25</v>
      </c>
      <c r="S66">
        <v>1</v>
      </c>
      <c r="T66" t="s">
        <v>1092</v>
      </c>
      <c r="U66" t="s">
        <v>1093</v>
      </c>
      <c r="V66">
        <v>0</v>
      </c>
      <c r="W66" s="8" t="str">
        <f t="shared" si="0"/>
        <v>(2533,null,1,'2026-03-24 00:00:00','003307010440000-330701044','003307010440000-330701044','颈部囊状水瘤切除术',null,null,1000,960,816,null,1900,1750,1500,'次',25,1,'normal','main',0),</v>
      </c>
    </row>
    <row r="67" spans="1:23">
      <c r="A67">
        <v>2534</v>
      </c>
      <c r="B67" t="s">
        <v>1090</v>
      </c>
      <c r="C67">
        <v>1</v>
      </c>
      <c r="D67" s="6" t="s">
        <v>1091</v>
      </c>
      <c r="E67" t="s">
        <v>411</v>
      </c>
      <c r="F67" t="s">
        <v>411</v>
      </c>
      <c r="G67" t="s">
        <v>412</v>
      </c>
      <c r="H67" t="s">
        <v>1090</v>
      </c>
      <c r="I67" t="s">
        <v>1090</v>
      </c>
      <c r="J67">
        <v>5485</v>
      </c>
      <c r="K67">
        <v>4940</v>
      </c>
      <c r="L67">
        <v>4200</v>
      </c>
      <c r="M67" t="s">
        <v>1090</v>
      </c>
      <c r="N67">
        <v>2470</v>
      </c>
      <c r="O67">
        <v>2275</v>
      </c>
      <c r="P67">
        <v>1950</v>
      </c>
      <c r="Q67" t="s">
        <v>38</v>
      </c>
      <c r="R67">
        <v>25</v>
      </c>
      <c r="S67">
        <v>1</v>
      </c>
      <c r="T67" t="s">
        <v>1092</v>
      </c>
      <c r="U67" t="s">
        <v>1093</v>
      </c>
      <c r="V67">
        <v>0</v>
      </c>
      <c r="W67" s="8" t="str">
        <f t="shared" ref="W67:W130" si="1">"("&amp;A67&amp;","&amp;B67&amp;","&amp;C67&amp;",'"&amp;D67&amp;"','"&amp;E67&amp;"','"&amp;F67&amp;"','"&amp;G67&amp;"',"&amp;H67&amp;","&amp;I67&amp;","&amp;J67&amp;","&amp;K67&amp;","&amp;L67&amp;","&amp;M67&amp;","&amp;N67&amp;","&amp;O67&amp;","&amp;P67&amp;",'"&amp;Q67&amp;"',"&amp;R67&amp;","&amp;S67&amp;",'"&amp;T67&amp;"','"&amp;U67&amp;"',"&amp;V67&amp;"),"</f>
        <v>(2534,null,1,'2026-03-24 00:00:00','003307010410000-33070104102','003307010410000-33070104102','小儿气管内肿瘤切除术',null,null,5485,4940,4200,null,2470,2275,1950,'次',25,1,'normal','main',0),</v>
      </c>
    </row>
    <row r="68" spans="1:23">
      <c r="A68">
        <v>2535</v>
      </c>
      <c r="B68" t="s">
        <v>1090</v>
      </c>
      <c r="C68">
        <v>1</v>
      </c>
      <c r="D68" s="6" t="s">
        <v>1091</v>
      </c>
      <c r="E68" t="s">
        <v>413</v>
      </c>
      <c r="F68" t="s">
        <v>413</v>
      </c>
      <c r="G68" t="s">
        <v>414</v>
      </c>
      <c r="H68" t="s">
        <v>1090</v>
      </c>
      <c r="I68" t="s">
        <v>1090</v>
      </c>
      <c r="J68">
        <v>5865</v>
      </c>
      <c r="K68">
        <v>5280</v>
      </c>
      <c r="L68">
        <v>4490</v>
      </c>
      <c r="M68" t="s">
        <v>1090</v>
      </c>
      <c r="N68">
        <v>2470</v>
      </c>
      <c r="O68">
        <v>2275</v>
      </c>
      <c r="P68">
        <v>1950</v>
      </c>
      <c r="Q68" t="s">
        <v>38</v>
      </c>
      <c r="R68">
        <v>25</v>
      </c>
      <c r="S68">
        <v>1</v>
      </c>
      <c r="T68" t="s">
        <v>1092</v>
      </c>
      <c r="U68" t="s">
        <v>1093</v>
      </c>
      <c r="V68">
        <v>0</v>
      </c>
      <c r="W68" s="8" t="str">
        <f t="shared" si="1"/>
        <v>(2535,null,1,'2026-03-24 00:00:00','003307010410002-33070104103','003307010410002-33070104103','小儿气管内肿瘤切除术（激光）',null,null,5865,5280,4490,null,2470,2275,1950,'次',25,1,'normal','main',0),</v>
      </c>
    </row>
    <row r="69" spans="1:23">
      <c r="A69">
        <v>2536</v>
      </c>
      <c r="B69" t="s">
        <v>1090</v>
      </c>
      <c r="C69">
        <v>1</v>
      </c>
      <c r="D69" s="6" t="s">
        <v>1091</v>
      </c>
      <c r="E69" t="s">
        <v>415</v>
      </c>
      <c r="F69" t="s">
        <v>415</v>
      </c>
      <c r="G69" t="s">
        <v>416</v>
      </c>
      <c r="H69" t="s">
        <v>1090</v>
      </c>
      <c r="I69" t="s">
        <v>1090</v>
      </c>
      <c r="J69">
        <v>1300</v>
      </c>
      <c r="K69">
        <v>1250</v>
      </c>
      <c r="L69">
        <v>1065</v>
      </c>
      <c r="M69" t="s">
        <v>1090</v>
      </c>
      <c r="N69">
        <v>2470</v>
      </c>
      <c r="O69">
        <v>2275</v>
      </c>
      <c r="P69">
        <v>1950</v>
      </c>
      <c r="Q69" t="s">
        <v>38</v>
      </c>
      <c r="R69">
        <v>25</v>
      </c>
      <c r="S69">
        <v>1</v>
      </c>
      <c r="T69" t="s">
        <v>1092</v>
      </c>
      <c r="U69" t="s">
        <v>1093</v>
      </c>
      <c r="V69">
        <v>0</v>
      </c>
      <c r="W69" s="8" t="str">
        <f t="shared" si="1"/>
        <v>(2536,null,1,'2026-03-24 00:00:00','003307010440000-33070104401','003307010440000-33070104401','小儿颈部囊状水瘤切除术',null,null,1300,1250,1065,null,2470,2275,1950,'次',25,1,'normal','main',0),</v>
      </c>
    </row>
    <row r="70" spans="1:23">
      <c r="A70">
        <v>2537</v>
      </c>
      <c r="B70" t="s">
        <v>1090</v>
      </c>
      <c r="C70">
        <v>1</v>
      </c>
      <c r="D70" s="6" t="s">
        <v>1091</v>
      </c>
      <c r="E70" t="s">
        <v>427</v>
      </c>
      <c r="F70" t="s">
        <v>427</v>
      </c>
      <c r="G70" t="s">
        <v>428</v>
      </c>
      <c r="H70" t="s">
        <v>1090</v>
      </c>
      <c r="I70" t="s">
        <v>1090</v>
      </c>
      <c r="J70">
        <v>1520</v>
      </c>
      <c r="K70">
        <v>1370</v>
      </c>
      <c r="L70">
        <v>1160</v>
      </c>
      <c r="M70" t="s">
        <v>1090</v>
      </c>
      <c r="N70">
        <v>1750</v>
      </c>
      <c r="O70">
        <v>1620</v>
      </c>
      <c r="P70">
        <v>1450</v>
      </c>
      <c r="Q70" t="s">
        <v>38</v>
      </c>
      <c r="R70">
        <v>25</v>
      </c>
      <c r="S70">
        <v>1</v>
      </c>
      <c r="T70" t="s">
        <v>1092</v>
      </c>
      <c r="U70" t="s">
        <v>1093</v>
      </c>
      <c r="V70">
        <v>0</v>
      </c>
      <c r="W70" s="8" t="str">
        <f t="shared" si="1"/>
        <v>(2537,null,1,'2026-03-24 00:00:00','003307030030000-330703003','003307030030000-330703003','开胸探查术',null,null,1520,1370,1160,null,1750,1620,1450,'次',25,1,'normal','main',0),</v>
      </c>
    </row>
    <row r="71" spans="1:23">
      <c r="A71">
        <v>2538</v>
      </c>
      <c r="B71" t="s">
        <v>1090</v>
      </c>
      <c r="C71">
        <v>1</v>
      </c>
      <c r="D71" s="6" t="s">
        <v>1091</v>
      </c>
      <c r="E71" t="s">
        <v>429</v>
      </c>
      <c r="F71" t="s">
        <v>429</v>
      </c>
      <c r="G71" t="s">
        <v>430</v>
      </c>
      <c r="H71" t="s">
        <v>1090</v>
      </c>
      <c r="I71" t="s">
        <v>1090</v>
      </c>
      <c r="J71">
        <v>2145</v>
      </c>
      <c r="K71">
        <v>1970</v>
      </c>
      <c r="L71">
        <v>1670</v>
      </c>
      <c r="M71" t="s">
        <v>1090</v>
      </c>
      <c r="N71">
        <v>1750</v>
      </c>
      <c r="O71">
        <v>1620</v>
      </c>
      <c r="P71">
        <v>1450</v>
      </c>
      <c r="Q71" t="s">
        <v>38</v>
      </c>
      <c r="R71">
        <v>25</v>
      </c>
      <c r="S71">
        <v>1</v>
      </c>
      <c r="T71" t="s">
        <v>1092</v>
      </c>
      <c r="U71" t="s">
        <v>1093</v>
      </c>
      <c r="V71">
        <v>0</v>
      </c>
      <c r="W71" s="8" t="str">
        <f t="shared" si="1"/>
        <v>(2538,null,1,'2026-03-24 00:00:00','003307030030001-33070300302','003307030030001-33070300302','经胸腔镜开胸探查术',null,null,2145,1970,1670,null,1750,1620,1450,'次',25,1,'normal','main',0),</v>
      </c>
    </row>
    <row r="72" spans="1:23">
      <c r="A72">
        <v>2539</v>
      </c>
      <c r="B72" t="s">
        <v>1090</v>
      </c>
      <c r="C72">
        <v>1</v>
      </c>
      <c r="D72" s="6" t="s">
        <v>1091</v>
      </c>
      <c r="E72" t="s">
        <v>431</v>
      </c>
      <c r="F72" t="s">
        <v>431</v>
      </c>
      <c r="G72" t="s">
        <v>432</v>
      </c>
      <c r="H72" t="s">
        <v>1090</v>
      </c>
      <c r="I72" t="s">
        <v>1090</v>
      </c>
      <c r="J72">
        <v>1625</v>
      </c>
      <c r="K72">
        <v>1560</v>
      </c>
      <c r="L72">
        <v>1326</v>
      </c>
      <c r="M72" t="s">
        <v>1090</v>
      </c>
      <c r="N72">
        <v>1750</v>
      </c>
      <c r="O72">
        <v>1620</v>
      </c>
      <c r="P72">
        <v>1450</v>
      </c>
      <c r="Q72" t="s">
        <v>38</v>
      </c>
      <c r="R72">
        <v>25</v>
      </c>
      <c r="S72">
        <v>1</v>
      </c>
      <c r="T72" t="s">
        <v>1092</v>
      </c>
      <c r="U72" t="s">
        <v>1093</v>
      </c>
      <c r="V72">
        <v>0</v>
      </c>
      <c r="W72" s="8" t="str">
        <f t="shared" si="1"/>
        <v>(2539,null,1,'2026-03-24 00:00:00','003307030040000-330703004','003307030040000-330703004','开胸止血术',null,null,1625,1560,1326,null,1750,1620,1450,'次',25,1,'normal','main',0),</v>
      </c>
    </row>
    <row r="73" spans="1:23">
      <c r="A73">
        <v>2540</v>
      </c>
      <c r="B73" t="s">
        <v>1090</v>
      </c>
      <c r="C73">
        <v>1</v>
      </c>
      <c r="D73" s="6" t="s">
        <v>1091</v>
      </c>
      <c r="E73" t="s">
        <v>433</v>
      </c>
      <c r="F73" t="s">
        <v>433</v>
      </c>
      <c r="G73" t="s">
        <v>434</v>
      </c>
      <c r="H73" t="s">
        <v>1090</v>
      </c>
      <c r="I73" t="s">
        <v>1090</v>
      </c>
      <c r="J73">
        <v>2250</v>
      </c>
      <c r="K73">
        <v>2160</v>
      </c>
      <c r="L73">
        <v>1836</v>
      </c>
      <c r="M73" t="s">
        <v>1090</v>
      </c>
      <c r="N73">
        <v>1750</v>
      </c>
      <c r="O73">
        <v>1620</v>
      </c>
      <c r="P73">
        <v>1450</v>
      </c>
      <c r="Q73" t="s">
        <v>38</v>
      </c>
      <c r="R73">
        <v>25</v>
      </c>
      <c r="S73">
        <v>1</v>
      </c>
      <c r="T73" t="s">
        <v>1092</v>
      </c>
      <c r="U73" t="s">
        <v>1093</v>
      </c>
      <c r="V73">
        <v>0</v>
      </c>
      <c r="W73" s="8" t="str">
        <f t="shared" si="1"/>
        <v>(2540,null,1,'2026-03-24 00:00:00','003307030040001-33070300402','003307030040001-33070300402','经胸腔镜开胸止血术',null,null,2250,2160,1836,null,1750,1620,1450,'次',25,1,'normal','main',0),</v>
      </c>
    </row>
    <row r="74" spans="1:23">
      <c r="A74">
        <v>2541</v>
      </c>
      <c r="B74" t="s">
        <v>1090</v>
      </c>
      <c r="C74">
        <v>1</v>
      </c>
      <c r="D74" s="6" t="s">
        <v>1091</v>
      </c>
      <c r="E74" t="s">
        <v>437</v>
      </c>
      <c r="F74" t="s">
        <v>437</v>
      </c>
      <c r="G74" t="s">
        <v>438</v>
      </c>
      <c r="H74" t="s">
        <v>1090</v>
      </c>
      <c r="I74" t="s">
        <v>1090</v>
      </c>
      <c r="J74">
        <v>1975</v>
      </c>
      <c r="K74">
        <v>1780</v>
      </c>
      <c r="L74">
        <v>1515</v>
      </c>
      <c r="M74" t="s">
        <v>1090</v>
      </c>
      <c r="N74">
        <v>2275</v>
      </c>
      <c r="O74">
        <v>2105</v>
      </c>
      <c r="P74">
        <v>1885</v>
      </c>
      <c r="Q74" t="s">
        <v>38</v>
      </c>
      <c r="R74">
        <v>25</v>
      </c>
      <c r="S74">
        <v>1</v>
      </c>
      <c r="T74" t="s">
        <v>1092</v>
      </c>
      <c r="U74" t="s">
        <v>1093</v>
      </c>
      <c r="V74">
        <v>0</v>
      </c>
      <c r="W74" s="8" t="str">
        <f t="shared" si="1"/>
        <v>(2541,null,1,'2026-03-24 00:00:00','003307030030000-33070300301','003307030030000-33070300301','小儿开胸探查术',null,null,1975,1780,1515,null,2275,2105,1885,'次',25,1,'normal','main',0),</v>
      </c>
    </row>
    <row r="75" spans="1:23">
      <c r="A75">
        <v>2542</v>
      </c>
      <c r="B75" t="s">
        <v>1090</v>
      </c>
      <c r="C75">
        <v>1</v>
      </c>
      <c r="D75" s="6" t="s">
        <v>1091</v>
      </c>
      <c r="E75" t="s">
        <v>439</v>
      </c>
      <c r="F75" t="s">
        <v>439</v>
      </c>
      <c r="G75" t="s">
        <v>440</v>
      </c>
      <c r="H75" t="s">
        <v>1090</v>
      </c>
      <c r="I75" t="s">
        <v>1090</v>
      </c>
      <c r="J75">
        <v>2600</v>
      </c>
      <c r="K75">
        <v>2380</v>
      </c>
      <c r="L75">
        <v>2025</v>
      </c>
      <c r="M75" t="s">
        <v>1090</v>
      </c>
      <c r="N75">
        <v>2275</v>
      </c>
      <c r="O75">
        <v>2105</v>
      </c>
      <c r="P75">
        <v>1885</v>
      </c>
      <c r="Q75" t="s">
        <v>38</v>
      </c>
      <c r="R75">
        <v>25</v>
      </c>
      <c r="S75">
        <v>1</v>
      </c>
      <c r="T75" t="s">
        <v>1092</v>
      </c>
      <c r="U75" t="s">
        <v>1093</v>
      </c>
      <c r="V75">
        <v>0</v>
      </c>
      <c r="W75" s="8" t="str">
        <f t="shared" si="1"/>
        <v>(2542,null,1,'2026-03-24 00:00:00','003307030030001-33070300303','003307030030001-33070300303','小儿经胸腔镜开胸探查术',null,null,2600,2380,2025,null,2275,2105,1885,'次',25,1,'normal','main',0),</v>
      </c>
    </row>
    <row r="76" spans="1:23">
      <c r="A76">
        <v>2543</v>
      </c>
      <c r="B76" t="s">
        <v>1090</v>
      </c>
      <c r="C76">
        <v>1</v>
      </c>
      <c r="D76" s="6" t="s">
        <v>1091</v>
      </c>
      <c r="E76" t="s">
        <v>441</v>
      </c>
      <c r="F76" t="s">
        <v>441</v>
      </c>
      <c r="G76" t="s">
        <v>442</v>
      </c>
      <c r="H76" t="s">
        <v>1090</v>
      </c>
      <c r="I76" t="s">
        <v>1090</v>
      </c>
      <c r="J76">
        <v>2115</v>
      </c>
      <c r="K76">
        <v>2030</v>
      </c>
      <c r="L76">
        <v>1725</v>
      </c>
      <c r="M76" t="s">
        <v>1090</v>
      </c>
      <c r="N76">
        <v>2275</v>
      </c>
      <c r="O76">
        <v>2105</v>
      </c>
      <c r="P76">
        <v>1885</v>
      </c>
      <c r="Q76" t="s">
        <v>38</v>
      </c>
      <c r="R76">
        <v>25</v>
      </c>
      <c r="S76">
        <v>1</v>
      </c>
      <c r="T76" t="s">
        <v>1092</v>
      </c>
      <c r="U76" t="s">
        <v>1093</v>
      </c>
      <c r="V76">
        <v>0</v>
      </c>
      <c r="W76" s="8" t="str">
        <f t="shared" si="1"/>
        <v>(2543,null,1,'2026-03-24 00:00:00','003307030040000-33070300401','003307030040000-33070300401','小儿开胸止血术',null,null,2115,2030,1725,null,2275,2105,1885,'次',25,1,'normal','main',0),</v>
      </c>
    </row>
    <row r="77" spans="1:23">
      <c r="A77">
        <v>2544</v>
      </c>
      <c r="B77" t="s">
        <v>1090</v>
      </c>
      <c r="C77">
        <v>1</v>
      </c>
      <c r="D77" s="6" t="s">
        <v>1091</v>
      </c>
      <c r="E77" t="s">
        <v>443</v>
      </c>
      <c r="F77" t="s">
        <v>443</v>
      </c>
      <c r="G77" t="s">
        <v>444</v>
      </c>
      <c r="H77" t="s">
        <v>1090</v>
      </c>
      <c r="I77" t="s">
        <v>1090</v>
      </c>
      <c r="J77">
        <v>2740</v>
      </c>
      <c r="K77">
        <v>2630</v>
      </c>
      <c r="L77">
        <v>2235</v>
      </c>
      <c r="M77" t="s">
        <v>1090</v>
      </c>
      <c r="N77">
        <v>2275</v>
      </c>
      <c r="O77">
        <v>2105</v>
      </c>
      <c r="P77">
        <v>1885</v>
      </c>
      <c r="Q77" t="s">
        <v>38</v>
      </c>
      <c r="R77">
        <v>25</v>
      </c>
      <c r="S77">
        <v>1</v>
      </c>
      <c r="T77" t="s">
        <v>1092</v>
      </c>
      <c r="U77" t="s">
        <v>1093</v>
      </c>
      <c r="V77">
        <v>0</v>
      </c>
      <c r="W77" s="8" t="str">
        <f t="shared" si="1"/>
        <v>(2544,null,1,'2026-03-24 00:00:00','003307030040001-33070300403','003307030040001-33070300403','小儿经胸腔镜开胸止血术',null,null,2740,2630,2235,null,2275,2105,1885,'次',25,1,'normal','main',0),</v>
      </c>
    </row>
    <row r="78" spans="1:23">
      <c r="A78">
        <v>2545</v>
      </c>
      <c r="B78" t="s">
        <v>1090</v>
      </c>
      <c r="C78">
        <v>1</v>
      </c>
      <c r="D78" s="6" t="s">
        <v>1091</v>
      </c>
      <c r="E78" t="s">
        <v>451</v>
      </c>
      <c r="F78" t="s">
        <v>451</v>
      </c>
      <c r="G78" t="s">
        <v>452</v>
      </c>
      <c r="H78" t="s">
        <v>1090</v>
      </c>
      <c r="I78" t="s">
        <v>1090</v>
      </c>
      <c r="J78">
        <v>3040</v>
      </c>
      <c r="K78">
        <v>2740</v>
      </c>
      <c r="L78">
        <v>2330</v>
      </c>
      <c r="M78" t="s">
        <v>1090</v>
      </c>
      <c r="N78">
        <v>3700</v>
      </c>
      <c r="O78">
        <v>3350</v>
      </c>
      <c r="P78">
        <v>2850</v>
      </c>
      <c r="Q78" t="s">
        <v>38</v>
      </c>
      <c r="R78">
        <v>25</v>
      </c>
      <c r="S78">
        <v>1</v>
      </c>
      <c r="T78" t="s">
        <v>1092</v>
      </c>
      <c r="U78" t="s">
        <v>1093</v>
      </c>
      <c r="V78">
        <v>0</v>
      </c>
      <c r="W78" s="8" t="str">
        <f t="shared" si="1"/>
        <v>(2545,null,1,'2026-03-24 00:00:00','003307030300000-330703030','003307030300000-330703030','膈肌肿瘤切除术',null,null,3040,2740,2330,null,3700,3350,2850,'次',25,1,'normal','main',0),</v>
      </c>
    </row>
    <row r="79" spans="1:23">
      <c r="A79">
        <v>2546</v>
      </c>
      <c r="B79" t="s">
        <v>1090</v>
      </c>
      <c r="C79">
        <v>1</v>
      </c>
      <c r="D79" s="6" t="s">
        <v>1091</v>
      </c>
      <c r="E79" t="s">
        <v>454</v>
      </c>
      <c r="F79" t="s">
        <v>454</v>
      </c>
      <c r="G79" t="s">
        <v>455</v>
      </c>
      <c r="H79" t="s">
        <v>1090</v>
      </c>
      <c r="I79" t="s">
        <v>1090</v>
      </c>
      <c r="J79">
        <v>3665</v>
      </c>
      <c r="K79">
        <v>3340</v>
      </c>
      <c r="L79">
        <v>2840</v>
      </c>
      <c r="M79" t="s">
        <v>1090</v>
      </c>
      <c r="N79">
        <v>3700</v>
      </c>
      <c r="O79">
        <v>3350</v>
      </c>
      <c r="P79">
        <v>2850</v>
      </c>
      <c r="Q79" t="s">
        <v>38</v>
      </c>
      <c r="R79">
        <v>25</v>
      </c>
      <c r="S79">
        <v>1</v>
      </c>
      <c r="T79" t="s">
        <v>1092</v>
      </c>
      <c r="U79" t="s">
        <v>1093</v>
      </c>
      <c r="V79">
        <v>0</v>
      </c>
      <c r="W79" s="8" t="str">
        <f t="shared" si="1"/>
        <v>(2546,null,1,'2026-03-24 00:00:00','003307030300000-33070303002','003307030300000-33070303002','经胸腔镜膈肌肿瘤切除术',null,null,3665,3340,2840,null,3700,3350,2850,'次',25,1,'normal','main',0),</v>
      </c>
    </row>
    <row r="80" spans="1:23">
      <c r="A80">
        <v>2547</v>
      </c>
      <c r="B80" t="s">
        <v>1090</v>
      </c>
      <c r="C80">
        <v>1</v>
      </c>
      <c r="D80" s="6" t="s">
        <v>1091</v>
      </c>
      <c r="E80" t="s">
        <v>458</v>
      </c>
      <c r="F80" t="s">
        <v>458</v>
      </c>
      <c r="G80" t="s">
        <v>459</v>
      </c>
      <c r="H80" t="s">
        <v>1090</v>
      </c>
      <c r="I80" t="s">
        <v>1090</v>
      </c>
      <c r="J80">
        <v>3950</v>
      </c>
      <c r="K80">
        <v>3560</v>
      </c>
      <c r="L80">
        <v>3025</v>
      </c>
      <c r="M80" t="s">
        <v>1090</v>
      </c>
      <c r="N80">
        <v>4810</v>
      </c>
      <c r="O80">
        <v>4355</v>
      </c>
      <c r="P80">
        <v>3705</v>
      </c>
      <c r="Q80" t="s">
        <v>38</v>
      </c>
      <c r="R80">
        <v>25</v>
      </c>
      <c r="S80">
        <v>1</v>
      </c>
      <c r="T80" t="s">
        <v>1092</v>
      </c>
      <c r="U80" t="s">
        <v>1093</v>
      </c>
      <c r="V80">
        <v>0</v>
      </c>
      <c r="W80" s="8" t="str">
        <f t="shared" si="1"/>
        <v>(2547,null,1,'2026-03-24 00:00:00','003307030300000-33070303001','003307030300000-33070303001','小儿膈肌肿瘤切除术',null,null,3950,3560,3025,null,4810,4355,3705,'次',25,1,'normal','main',0),</v>
      </c>
    </row>
    <row r="81" spans="1:23">
      <c r="A81">
        <v>2548</v>
      </c>
      <c r="B81" t="s">
        <v>1090</v>
      </c>
      <c r="C81">
        <v>1</v>
      </c>
      <c r="D81" s="6" t="s">
        <v>1091</v>
      </c>
      <c r="E81" t="s">
        <v>460</v>
      </c>
      <c r="F81" t="s">
        <v>460</v>
      </c>
      <c r="G81" t="s">
        <v>461</v>
      </c>
      <c r="H81" t="s">
        <v>1090</v>
      </c>
      <c r="I81" t="s">
        <v>1090</v>
      </c>
      <c r="J81">
        <v>4575</v>
      </c>
      <c r="K81">
        <v>4160</v>
      </c>
      <c r="L81">
        <v>3535</v>
      </c>
      <c r="M81" t="s">
        <v>1090</v>
      </c>
      <c r="N81">
        <v>4810</v>
      </c>
      <c r="O81">
        <v>4355</v>
      </c>
      <c r="P81">
        <v>3705</v>
      </c>
      <c r="Q81" t="s">
        <v>38</v>
      </c>
      <c r="R81">
        <v>25</v>
      </c>
      <c r="S81">
        <v>1</v>
      </c>
      <c r="T81" t="s">
        <v>1092</v>
      </c>
      <c r="U81" t="s">
        <v>1093</v>
      </c>
      <c r="V81">
        <v>0</v>
      </c>
      <c r="W81" s="8" t="str">
        <f t="shared" si="1"/>
        <v>(2548,null,1,'2026-03-24 00:00:00','003307030300000-33070303003','003307030300000-33070303003','小儿经胸腔镜膈肌肿瘤切除术',null,null,4575,4160,3535,null,4810,4355,3705,'次',25,1,'normal','main',0),</v>
      </c>
    </row>
    <row r="82" spans="1:23">
      <c r="A82">
        <v>2549</v>
      </c>
      <c r="B82" t="s">
        <v>1090</v>
      </c>
      <c r="C82">
        <v>1</v>
      </c>
      <c r="D82" s="6" t="s">
        <v>1091</v>
      </c>
      <c r="E82" t="s">
        <v>466</v>
      </c>
      <c r="F82" t="s">
        <v>466</v>
      </c>
      <c r="G82" t="s">
        <v>467</v>
      </c>
      <c r="H82" t="s">
        <v>1090</v>
      </c>
      <c r="I82" t="s">
        <v>1090</v>
      </c>
      <c r="J82">
        <v>2185</v>
      </c>
      <c r="K82">
        <v>1965</v>
      </c>
      <c r="L82">
        <v>1570</v>
      </c>
      <c r="M82" t="s">
        <v>1090</v>
      </c>
      <c r="N82">
        <v>4700</v>
      </c>
      <c r="O82">
        <v>4300</v>
      </c>
      <c r="P82">
        <v>3800</v>
      </c>
      <c r="Q82" t="s">
        <v>38</v>
      </c>
      <c r="R82">
        <v>25</v>
      </c>
      <c r="S82">
        <v>1</v>
      </c>
      <c r="T82" t="s">
        <v>1092</v>
      </c>
      <c r="U82" t="s">
        <v>1093</v>
      </c>
      <c r="V82">
        <v>0</v>
      </c>
      <c r="W82" s="8" t="str">
        <f t="shared" si="1"/>
        <v>(2549,null,1,'2026-03-24 00:00:00','003307020050000-330702005','003307020050000-330702005','肺楔形切除术',null,null,2185,1965,1570,null,4700,4300,3800,'次',25,1,'normal','main',0),</v>
      </c>
    </row>
    <row r="83" spans="1:23">
      <c r="A83">
        <v>2550</v>
      </c>
      <c r="B83" t="s">
        <v>1090</v>
      </c>
      <c r="C83">
        <v>1</v>
      </c>
      <c r="D83" s="6" t="s">
        <v>1091</v>
      </c>
      <c r="E83" t="s">
        <v>469</v>
      </c>
      <c r="F83" t="s">
        <v>469</v>
      </c>
      <c r="G83" t="s">
        <v>470</v>
      </c>
      <c r="H83" t="s">
        <v>1090</v>
      </c>
      <c r="I83" t="s">
        <v>1090</v>
      </c>
      <c r="J83">
        <v>2810</v>
      </c>
      <c r="K83">
        <v>2565</v>
      </c>
      <c r="L83">
        <v>2080</v>
      </c>
      <c r="M83" t="s">
        <v>1090</v>
      </c>
      <c r="N83">
        <v>4700</v>
      </c>
      <c r="O83">
        <v>4300</v>
      </c>
      <c r="P83">
        <v>3800</v>
      </c>
      <c r="Q83" t="s">
        <v>38</v>
      </c>
      <c r="R83">
        <v>25</v>
      </c>
      <c r="S83">
        <v>1</v>
      </c>
      <c r="T83" t="s">
        <v>1092</v>
      </c>
      <c r="U83" t="s">
        <v>1093</v>
      </c>
      <c r="V83">
        <v>0</v>
      </c>
      <c r="W83" s="8" t="str">
        <f t="shared" si="1"/>
        <v>(2550,null,1,'2026-03-24 00:00:00','003307020050001-33070200504','003307020050001-33070200504','经胸腔镜肺楔形切除术',null,null,2810,2565,2080,null,4700,4300,3800,'次',25,1,'normal','main',0),</v>
      </c>
    </row>
    <row r="84" spans="1:23">
      <c r="A84">
        <v>2551</v>
      </c>
      <c r="B84" t="s">
        <v>1090</v>
      </c>
      <c r="C84">
        <v>1</v>
      </c>
      <c r="D84" s="6" t="s">
        <v>1091</v>
      </c>
      <c r="E84" t="s">
        <v>471</v>
      </c>
      <c r="F84" t="s">
        <v>471</v>
      </c>
      <c r="G84" t="s">
        <v>472</v>
      </c>
      <c r="H84" t="s">
        <v>1090</v>
      </c>
      <c r="I84" t="s">
        <v>1090</v>
      </c>
      <c r="J84">
        <v>3380</v>
      </c>
      <c r="K84">
        <v>3040</v>
      </c>
      <c r="L84">
        <v>2580</v>
      </c>
      <c r="M84" t="s">
        <v>1090</v>
      </c>
      <c r="N84">
        <v>4700</v>
      </c>
      <c r="O84">
        <v>4300</v>
      </c>
      <c r="P84">
        <v>3800</v>
      </c>
      <c r="Q84" t="s">
        <v>38</v>
      </c>
      <c r="R84">
        <v>25</v>
      </c>
      <c r="S84">
        <v>1</v>
      </c>
      <c r="T84" t="s">
        <v>1092</v>
      </c>
      <c r="U84" t="s">
        <v>1093</v>
      </c>
      <c r="V84">
        <v>0</v>
      </c>
      <c r="W84" s="8" t="str">
        <f t="shared" si="1"/>
        <v>(2551,null,1,'2026-03-24 00:00:00','003307020040000-330702004','003307020040000-330702004','肺减容手术',null,null,3380,3040,2580,null,4700,4300,3800,'次',25,1,'normal','main',0),</v>
      </c>
    </row>
    <row r="85" spans="1:23">
      <c r="A85">
        <v>2552</v>
      </c>
      <c r="B85" t="s">
        <v>1090</v>
      </c>
      <c r="C85">
        <v>1</v>
      </c>
      <c r="D85" s="6" t="s">
        <v>1091</v>
      </c>
      <c r="E85" t="s">
        <v>475</v>
      </c>
      <c r="F85" t="s">
        <v>475</v>
      </c>
      <c r="G85" t="s">
        <v>476</v>
      </c>
      <c r="H85" t="s">
        <v>1090</v>
      </c>
      <c r="I85" t="s">
        <v>1090</v>
      </c>
      <c r="J85">
        <v>4005</v>
      </c>
      <c r="K85">
        <v>3640</v>
      </c>
      <c r="L85">
        <v>3090</v>
      </c>
      <c r="M85" t="s">
        <v>1090</v>
      </c>
      <c r="N85">
        <v>4700</v>
      </c>
      <c r="O85">
        <v>4300</v>
      </c>
      <c r="P85">
        <v>3800</v>
      </c>
      <c r="Q85" t="s">
        <v>38</v>
      </c>
      <c r="R85">
        <v>25</v>
      </c>
      <c r="S85">
        <v>1</v>
      </c>
      <c r="T85" t="s">
        <v>1092</v>
      </c>
      <c r="U85" t="s">
        <v>1093</v>
      </c>
      <c r="V85">
        <v>0</v>
      </c>
      <c r="W85" s="8" t="str">
        <f t="shared" si="1"/>
        <v>(2552,null,1,'2026-03-24 00:00:00','003307020040001-33070200404','003307020040001-33070200404','经胸腔镜肺减容手术',null,null,4005,3640,3090,null,4700,4300,3800,'次',25,1,'normal','main',0),</v>
      </c>
    </row>
    <row r="86" spans="1:23">
      <c r="A86">
        <v>2553</v>
      </c>
      <c r="B86" t="s">
        <v>1090</v>
      </c>
      <c r="C86">
        <v>1</v>
      </c>
      <c r="D86" s="6" t="s">
        <v>1091</v>
      </c>
      <c r="E86" t="s">
        <v>477</v>
      </c>
      <c r="F86" t="s">
        <v>477</v>
      </c>
      <c r="G86" t="s">
        <v>478</v>
      </c>
      <c r="H86" t="s">
        <v>1090</v>
      </c>
      <c r="I86" t="s">
        <v>1090</v>
      </c>
      <c r="J86">
        <v>1875</v>
      </c>
      <c r="K86">
        <v>1800</v>
      </c>
      <c r="L86">
        <v>1530</v>
      </c>
      <c r="M86" t="s">
        <v>1090</v>
      </c>
      <c r="N86">
        <f>2.11*4700</f>
        <v>9917</v>
      </c>
      <c r="O86">
        <f>1.4*4300</f>
        <v>6020</v>
      </c>
      <c r="P86">
        <f>1*3800</f>
        <v>3800</v>
      </c>
      <c r="Q86" t="s">
        <v>38</v>
      </c>
      <c r="R86">
        <v>25</v>
      </c>
      <c r="S86">
        <v>1</v>
      </c>
      <c r="T86" t="s">
        <v>1092</v>
      </c>
      <c r="U86" t="s">
        <v>1093</v>
      </c>
      <c r="V86">
        <v>0</v>
      </c>
      <c r="W86" s="8" t="str">
        <f t="shared" si="1"/>
        <v>(2553,null,1,'2026-03-24 00:00:00','003307020090000-330702009','003307020090000-330702009','肺大泡切除修补术',null,null,1875,1800,1530,null,9917,6020,3800,'次',25,1,'normal','main',0),</v>
      </c>
    </row>
    <row r="87" spans="1:23">
      <c r="A87">
        <v>2554</v>
      </c>
      <c r="B87" t="s">
        <v>1090</v>
      </c>
      <c r="C87">
        <v>1</v>
      </c>
      <c r="D87" s="6" t="s">
        <v>1091</v>
      </c>
      <c r="E87" t="s">
        <v>481</v>
      </c>
      <c r="F87" t="s">
        <v>481</v>
      </c>
      <c r="G87" t="s">
        <v>482</v>
      </c>
      <c r="H87" t="s">
        <v>1090</v>
      </c>
      <c r="I87" t="s">
        <v>1090</v>
      </c>
      <c r="J87">
        <v>2500</v>
      </c>
      <c r="K87">
        <v>2400</v>
      </c>
      <c r="L87">
        <v>2040</v>
      </c>
      <c r="M87" t="s">
        <v>1090</v>
      </c>
      <c r="N87">
        <f>2.48*4700</f>
        <v>11656</v>
      </c>
      <c r="O87">
        <f>3.19*4300</f>
        <v>13717</v>
      </c>
      <c r="P87">
        <f>3*3800</f>
        <v>11400</v>
      </c>
      <c r="Q87" t="s">
        <v>38</v>
      </c>
      <c r="R87">
        <v>25</v>
      </c>
      <c r="S87">
        <v>1</v>
      </c>
      <c r="T87" t="s">
        <v>1092</v>
      </c>
      <c r="U87" t="s">
        <v>1093</v>
      </c>
      <c r="V87">
        <v>0</v>
      </c>
      <c r="W87" s="8" t="str">
        <f t="shared" si="1"/>
        <v>(2554,null,1,'2026-03-24 00:00:00','003307020090001-33070200904','003307020090001-33070200904','经胸腔镜肺大泡切除修补术',null,null,2500,2400,2040,null,11656,13717,11400,'次',25,1,'normal','main',0),</v>
      </c>
    </row>
    <row r="88" spans="1:23">
      <c r="A88">
        <v>2555</v>
      </c>
      <c r="B88" t="s">
        <v>1090</v>
      </c>
      <c r="C88">
        <v>1</v>
      </c>
      <c r="D88" s="6" t="s">
        <v>1091</v>
      </c>
      <c r="E88" t="s">
        <v>483</v>
      </c>
      <c r="F88" t="s">
        <v>483</v>
      </c>
      <c r="G88" t="s">
        <v>484</v>
      </c>
      <c r="H88" t="s">
        <v>1090</v>
      </c>
      <c r="I88" t="s">
        <v>1090</v>
      </c>
      <c r="J88">
        <v>3040</v>
      </c>
      <c r="K88">
        <v>2740</v>
      </c>
      <c r="L88">
        <v>2330</v>
      </c>
      <c r="M88" t="s">
        <v>1090</v>
      </c>
      <c r="N88">
        <f>2.11*4700</f>
        <v>9917</v>
      </c>
      <c r="O88">
        <f>1.4*4300</f>
        <v>6020</v>
      </c>
      <c r="P88">
        <f>1*3800</f>
        <v>3800</v>
      </c>
      <c r="Q88" t="s">
        <v>38</v>
      </c>
      <c r="R88">
        <v>25</v>
      </c>
      <c r="S88">
        <v>1</v>
      </c>
      <c r="T88" t="s">
        <v>1092</v>
      </c>
      <c r="U88" t="s">
        <v>1093</v>
      </c>
      <c r="V88">
        <v>0</v>
      </c>
      <c r="W88" s="8" t="str">
        <f t="shared" si="1"/>
        <v>(2555,null,1,'2026-03-24 00:00:00','003307020150000-330702015','003307020150000-330702015','肺包虫病内囊摘除术',null,null,3040,2740,2330,null,9917,6020,3800,'次',25,1,'normal','main',0),</v>
      </c>
    </row>
    <row r="89" spans="1:23">
      <c r="A89">
        <v>2556</v>
      </c>
      <c r="B89" t="s">
        <v>1090</v>
      </c>
      <c r="C89">
        <v>1</v>
      </c>
      <c r="D89" s="6" t="s">
        <v>1091</v>
      </c>
      <c r="E89" t="s">
        <v>487</v>
      </c>
      <c r="F89" t="s">
        <v>487</v>
      </c>
      <c r="G89" t="s">
        <v>488</v>
      </c>
      <c r="H89" t="s">
        <v>1090</v>
      </c>
      <c r="I89" t="s">
        <v>1090</v>
      </c>
      <c r="J89">
        <v>3665</v>
      </c>
      <c r="K89">
        <v>3340</v>
      </c>
      <c r="L89">
        <v>2840</v>
      </c>
      <c r="M89" t="s">
        <v>1090</v>
      </c>
      <c r="N89">
        <f>2.48*4700</f>
        <v>11656</v>
      </c>
      <c r="O89">
        <f>3.19*4300</f>
        <v>13717</v>
      </c>
      <c r="P89">
        <f>3*3800</f>
        <v>11400</v>
      </c>
      <c r="Q89" t="s">
        <v>38</v>
      </c>
      <c r="R89">
        <v>25</v>
      </c>
      <c r="S89">
        <v>1</v>
      </c>
      <c r="T89" t="s">
        <v>1092</v>
      </c>
      <c r="U89" t="s">
        <v>1093</v>
      </c>
      <c r="V89">
        <v>0</v>
      </c>
      <c r="W89" s="8" t="str">
        <f t="shared" si="1"/>
        <v>(2556,null,1,'2026-03-24 00:00:00','003307020150001-33070201504','003307020150001-33070201504','经胸腔镜肺包虫病内囊摘除术',null,null,3665,3340,2840,null,11656,13717,11400,'次',25,1,'normal','main',0),</v>
      </c>
    </row>
    <row r="90" spans="1:23">
      <c r="A90">
        <v>2557</v>
      </c>
      <c r="B90" t="s">
        <v>1090</v>
      </c>
      <c r="C90">
        <v>1</v>
      </c>
      <c r="D90" s="6" t="s">
        <v>1091</v>
      </c>
      <c r="E90" t="s">
        <v>489</v>
      </c>
      <c r="F90" t="s">
        <v>489</v>
      </c>
      <c r="G90" t="s">
        <v>490</v>
      </c>
      <c r="H90" t="s">
        <v>1090</v>
      </c>
      <c r="I90" t="s">
        <v>1090</v>
      </c>
      <c r="J90">
        <v>7980</v>
      </c>
      <c r="K90">
        <v>7180</v>
      </c>
      <c r="L90">
        <v>5745</v>
      </c>
      <c r="M90" t="s">
        <v>1090</v>
      </c>
      <c r="N90">
        <v>0</v>
      </c>
      <c r="O90">
        <v>0</v>
      </c>
      <c r="P90">
        <v>0</v>
      </c>
      <c r="Q90" t="s">
        <v>38</v>
      </c>
      <c r="R90">
        <v>25</v>
      </c>
      <c r="S90">
        <v>1</v>
      </c>
      <c r="T90" t="s">
        <v>1092</v>
      </c>
      <c r="U90" t="s">
        <v>1093</v>
      </c>
      <c r="V90">
        <v>0</v>
      </c>
      <c r="W90" s="8" t="str">
        <f t="shared" si="1"/>
        <v>(2557,null,1,'2026-03-24 00:00:00','003307020020000-330702002','003307020020000-330702002','肺癌根治术',null,null,7980,7180,5745,null,0,0,0,'次',25,1,'normal','main',0),</v>
      </c>
    </row>
    <row r="91" spans="1:23">
      <c r="A91">
        <v>2558</v>
      </c>
      <c r="B91" t="s">
        <v>1090</v>
      </c>
      <c r="C91">
        <v>1</v>
      </c>
      <c r="D91" s="6" t="s">
        <v>1091</v>
      </c>
      <c r="E91" t="s">
        <v>493</v>
      </c>
      <c r="F91" t="s">
        <v>493</v>
      </c>
      <c r="G91" t="s">
        <v>494</v>
      </c>
      <c r="H91" t="s">
        <v>1090</v>
      </c>
      <c r="I91" t="s">
        <v>1090</v>
      </c>
      <c r="J91">
        <v>8605</v>
      </c>
      <c r="K91">
        <v>7780</v>
      </c>
      <c r="L91">
        <v>6255</v>
      </c>
      <c r="M91" t="s">
        <v>1090</v>
      </c>
      <c r="N91">
        <v>0</v>
      </c>
      <c r="O91">
        <v>0</v>
      </c>
      <c r="P91">
        <v>0</v>
      </c>
      <c r="Q91" t="s">
        <v>38</v>
      </c>
      <c r="R91">
        <v>25</v>
      </c>
      <c r="S91">
        <v>1</v>
      </c>
      <c r="T91" t="s">
        <v>1092</v>
      </c>
      <c r="U91" t="s">
        <v>1093</v>
      </c>
      <c r="V91">
        <v>0</v>
      </c>
      <c r="W91" s="8" t="str">
        <f t="shared" si="1"/>
        <v>(2558,null,1,'2026-03-24 00:00:00','003307020020001-33070200204','003307020020001-33070200204','经胸腔镜肺癌根治术',null,null,8605,7780,6255,null,0,0,0,'次',25,1,'normal','main',0),</v>
      </c>
    </row>
    <row r="92" spans="1:23">
      <c r="A92">
        <v>2559</v>
      </c>
      <c r="B92" t="s">
        <v>1090</v>
      </c>
      <c r="C92">
        <v>1</v>
      </c>
      <c r="D92" s="6" t="s">
        <v>1091</v>
      </c>
      <c r="E92" t="s">
        <v>497</v>
      </c>
      <c r="F92" t="s">
        <v>497</v>
      </c>
      <c r="G92" t="s">
        <v>498</v>
      </c>
      <c r="H92" t="s">
        <v>1090</v>
      </c>
      <c r="I92" t="s">
        <v>1090</v>
      </c>
      <c r="J92">
        <v>2840</v>
      </c>
      <c r="K92">
        <v>2555</v>
      </c>
      <c r="L92">
        <v>2040</v>
      </c>
      <c r="M92" t="s">
        <v>1090</v>
      </c>
      <c r="N92">
        <v>6110</v>
      </c>
      <c r="O92">
        <v>5590</v>
      </c>
      <c r="P92">
        <v>4940</v>
      </c>
      <c r="Q92" t="s">
        <v>38</v>
      </c>
      <c r="R92">
        <v>25</v>
      </c>
      <c r="S92">
        <v>1</v>
      </c>
      <c r="T92" t="s">
        <v>1092</v>
      </c>
      <c r="U92" t="s">
        <v>1093</v>
      </c>
      <c r="V92">
        <v>0</v>
      </c>
      <c r="W92" s="8" t="str">
        <f t="shared" si="1"/>
        <v>(2559,null,1,'2026-03-24 00:00:00','003307020050000-33070200502','003307020050000-33070200502','小儿肺楔形切除术',null,null,2840,2555,2040,null,6110,5590,4940,'次',25,1,'normal','main',0),</v>
      </c>
    </row>
    <row r="93" spans="1:23">
      <c r="A93">
        <v>2560</v>
      </c>
      <c r="B93" t="s">
        <v>1090</v>
      </c>
      <c r="C93">
        <v>1</v>
      </c>
      <c r="D93" s="6" t="s">
        <v>1091</v>
      </c>
      <c r="E93" t="s">
        <v>499</v>
      </c>
      <c r="F93" t="s">
        <v>499</v>
      </c>
      <c r="G93" t="s">
        <v>500</v>
      </c>
      <c r="H93" t="s">
        <v>1090</v>
      </c>
      <c r="I93" t="s">
        <v>1090</v>
      </c>
      <c r="J93">
        <v>4395</v>
      </c>
      <c r="K93">
        <v>3950</v>
      </c>
      <c r="L93">
        <v>3360</v>
      </c>
      <c r="M93" t="s">
        <v>1090</v>
      </c>
      <c r="N93">
        <v>6110</v>
      </c>
      <c r="O93">
        <v>5590</v>
      </c>
      <c r="P93">
        <v>4940</v>
      </c>
      <c r="Q93" t="s">
        <v>38</v>
      </c>
      <c r="R93">
        <v>25</v>
      </c>
      <c r="S93">
        <v>1</v>
      </c>
      <c r="T93" t="s">
        <v>1092</v>
      </c>
      <c r="U93" t="s">
        <v>1093</v>
      </c>
      <c r="V93">
        <v>0</v>
      </c>
      <c r="W93" s="8" t="str">
        <f t="shared" si="1"/>
        <v>(2560,null,1,'2026-03-24 00:00:00','003307020040000-33070200402','003307020040000-33070200402','小儿肺减容手术',null,null,4395,3950,3360,null,6110,5590,4940,'次',25,1,'normal','main',0),</v>
      </c>
    </row>
    <row r="94" spans="1:23">
      <c r="A94">
        <v>2561</v>
      </c>
      <c r="B94" t="s">
        <v>1090</v>
      </c>
      <c r="C94">
        <v>1</v>
      </c>
      <c r="D94" s="6" t="s">
        <v>1091</v>
      </c>
      <c r="E94" t="s">
        <v>501</v>
      </c>
      <c r="F94" t="s">
        <v>501</v>
      </c>
      <c r="G94" t="s">
        <v>502</v>
      </c>
      <c r="H94" t="s">
        <v>1090</v>
      </c>
      <c r="I94" t="s">
        <v>1090</v>
      </c>
      <c r="J94">
        <v>2440</v>
      </c>
      <c r="K94">
        <v>2340</v>
      </c>
      <c r="L94">
        <v>1990</v>
      </c>
      <c r="M94" t="s">
        <v>1090</v>
      </c>
      <c r="N94">
        <v>6110</v>
      </c>
      <c r="O94">
        <v>5590</v>
      </c>
      <c r="P94">
        <v>4940</v>
      </c>
      <c r="Q94" t="s">
        <v>38</v>
      </c>
      <c r="R94">
        <v>25</v>
      </c>
      <c r="S94">
        <v>1</v>
      </c>
      <c r="T94" t="s">
        <v>1092</v>
      </c>
      <c r="U94" t="s">
        <v>1093</v>
      </c>
      <c r="V94">
        <v>0</v>
      </c>
      <c r="W94" s="8" t="str">
        <f t="shared" si="1"/>
        <v>(2561,null,1,'2026-03-24 00:00:00','003307020090000-33070200902','003307020090000-33070200902','小儿肺大泡切除修补术',null,null,2440,2340,1990,null,6110,5590,4940,'次',25,1,'normal','main',0),</v>
      </c>
    </row>
    <row r="95" spans="1:23">
      <c r="A95">
        <v>2562</v>
      </c>
      <c r="B95" t="s">
        <v>1090</v>
      </c>
      <c r="C95">
        <v>1</v>
      </c>
      <c r="D95" s="6" t="s">
        <v>1091</v>
      </c>
      <c r="E95" t="s">
        <v>503</v>
      </c>
      <c r="F95" t="s">
        <v>503</v>
      </c>
      <c r="G95" t="s">
        <v>504</v>
      </c>
      <c r="H95" t="s">
        <v>1090</v>
      </c>
      <c r="I95" t="s">
        <v>1090</v>
      </c>
      <c r="J95">
        <v>3950</v>
      </c>
      <c r="K95">
        <v>3560</v>
      </c>
      <c r="L95">
        <v>3025</v>
      </c>
      <c r="M95" t="s">
        <v>1090</v>
      </c>
      <c r="N95">
        <v>6110</v>
      </c>
      <c r="O95">
        <v>5590</v>
      </c>
      <c r="P95">
        <v>4940</v>
      </c>
      <c r="Q95" t="s">
        <v>38</v>
      </c>
      <c r="R95">
        <v>25</v>
      </c>
      <c r="S95">
        <v>1</v>
      </c>
      <c r="T95" t="s">
        <v>1092</v>
      </c>
      <c r="U95" t="s">
        <v>1093</v>
      </c>
      <c r="V95">
        <v>0</v>
      </c>
      <c r="W95" s="8" t="str">
        <f t="shared" si="1"/>
        <v>(2562,null,1,'2026-03-24 00:00:00','003307020150000-33070201502','003307020150000-33070201502','小儿肺包虫病内囊摘除术',null,null,3950,3560,3025,null,6110,5590,4940,'次',25,1,'normal','main',0),</v>
      </c>
    </row>
    <row r="96" spans="1:23">
      <c r="A96">
        <v>2563</v>
      </c>
      <c r="B96" t="s">
        <v>1090</v>
      </c>
      <c r="C96">
        <v>1</v>
      </c>
      <c r="D96" s="6" t="s">
        <v>1091</v>
      </c>
      <c r="E96" t="s">
        <v>505</v>
      </c>
      <c r="F96" t="s">
        <v>505</v>
      </c>
      <c r="G96" t="s">
        <v>506</v>
      </c>
      <c r="H96" t="s">
        <v>1090</v>
      </c>
      <c r="I96" t="s">
        <v>1090</v>
      </c>
      <c r="J96">
        <v>5020</v>
      </c>
      <c r="K96">
        <v>4550</v>
      </c>
      <c r="L96">
        <v>3870</v>
      </c>
      <c r="M96" t="s">
        <v>1090</v>
      </c>
      <c r="N96">
        <v>6110</v>
      </c>
      <c r="O96">
        <v>5590</v>
      </c>
      <c r="P96">
        <v>4940</v>
      </c>
      <c r="Q96" t="s">
        <v>38</v>
      </c>
      <c r="R96">
        <v>25</v>
      </c>
      <c r="S96">
        <v>1</v>
      </c>
      <c r="T96" t="s">
        <v>1092</v>
      </c>
      <c r="U96" t="s">
        <v>1093</v>
      </c>
      <c r="V96">
        <v>0</v>
      </c>
      <c r="W96" s="8" t="str">
        <f t="shared" si="1"/>
        <v>(2563,null,1,'2026-03-24 00:00:00','003307020040001-33070200406','003307020040001-33070200406','小儿经胸腔镜肺减容手术',null,null,5020,4550,3870,null,6110,5590,4940,'次',25,1,'normal','main',0),</v>
      </c>
    </row>
    <row r="97" spans="1:23">
      <c r="A97">
        <v>2564</v>
      </c>
      <c r="B97" t="s">
        <v>1090</v>
      </c>
      <c r="C97">
        <v>1</v>
      </c>
      <c r="D97" s="6" t="s">
        <v>1091</v>
      </c>
      <c r="E97" t="s">
        <v>507</v>
      </c>
      <c r="F97" t="s">
        <v>507</v>
      </c>
      <c r="G97" t="s">
        <v>508</v>
      </c>
      <c r="H97" t="s">
        <v>1090</v>
      </c>
      <c r="I97" t="s">
        <v>1090</v>
      </c>
      <c r="J97">
        <v>3465</v>
      </c>
      <c r="K97">
        <v>3155</v>
      </c>
      <c r="L97">
        <v>2550</v>
      </c>
      <c r="M97" t="s">
        <v>1090</v>
      </c>
      <c r="N97">
        <v>6110</v>
      </c>
      <c r="O97">
        <v>5590</v>
      </c>
      <c r="P97">
        <v>4940</v>
      </c>
      <c r="Q97" t="s">
        <v>38</v>
      </c>
      <c r="R97">
        <v>25</v>
      </c>
      <c r="S97">
        <v>1</v>
      </c>
      <c r="T97" t="s">
        <v>1092</v>
      </c>
      <c r="U97" t="s">
        <v>1093</v>
      </c>
      <c r="V97">
        <v>0</v>
      </c>
      <c r="W97" s="8" t="str">
        <f t="shared" si="1"/>
        <v>(2564,null,1,'2026-03-24 00:00:00','003307020050001-33070200506','003307020050001-33070200506','小儿经胸腔镜肺楔形切除术',null,null,3465,3155,2550,null,6110,5590,4940,'次',25,1,'normal','main',0),</v>
      </c>
    </row>
    <row r="98" spans="1:23">
      <c r="A98">
        <v>2565</v>
      </c>
      <c r="B98" t="s">
        <v>1090</v>
      </c>
      <c r="C98">
        <v>1</v>
      </c>
      <c r="D98" s="6" t="s">
        <v>1091</v>
      </c>
      <c r="E98" t="s">
        <v>509</v>
      </c>
      <c r="F98" t="s">
        <v>509</v>
      </c>
      <c r="G98" t="s">
        <v>510</v>
      </c>
      <c r="H98" t="s">
        <v>1090</v>
      </c>
      <c r="I98" t="s">
        <v>1090</v>
      </c>
      <c r="J98">
        <v>3065</v>
      </c>
      <c r="K98">
        <v>2940</v>
      </c>
      <c r="L98">
        <v>2500</v>
      </c>
      <c r="M98" t="s">
        <v>1090</v>
      </c>
      <c r="N98">
        <v>6110</v>
      </c>
      <c r="O98">
        <v>5590</v>
      </c>
      <c r="P98">
        <v>4940</v>
      </c>
      <c r="Q98" t="s">
        <v>38</v>
      </c>
      <c r="R98">
        <v>25</v>
      </c>
      <c r="S98">
        <v>1</v>
      </c>
      <c r="T98" t="s">
        <v>1092</v>
      </c>
      <c r="U98" t="s">
        <v>1093</v>
      </c>
      <c r="V98">
        <v>0</v>
      </c>
      <c r="W98" s="8" t="str">
        <f t="shared" si="1"/>
        <v>(2565,null,1,'2026-03-24 00:00:00','003307020090001-33070200906','003307020090001-33070200906','小儿经胸腔镜肺大泡切除修补术',null,null,3065,2940,2500,null,6110,5590,4940,'次',25,1,'normal','main',0),</v>
      </c>
    </row>
    <row r="99" spans="1:23">
      <c r="A99">
        <v>2566</v>
      </c>
      <c r="B99" t="s">
        <v>1090</v>
      </c>
      <c r="C99">
        <v>1</v>
      </c>
      <c r="D99" s="6" t="s">
        <v>1091</v>
      </c>
      <c r="E99" t="s">
        <v>511</v>
      </c>
      <c r="F99" t="s">
        <v>511</v>
      </c>
      <c r="G99" t="s">
        <v>512</v>
      </c>
      <c r="H99" t="s">
        <v>1090</v>
      </c>
      <c r="I99" t="s">
        <v>1090</v>
      </c>
      <c r="J99">
        <v>4575</v>
      </c>
      <c r="K99">
        <v>4160</v>
      </c>
      <c r="L99">
        <v>3535</v>
      </c>
      <c r="M99" t="s">
        <v>1090</v>
      </c>
      <c r="N99">
        <v>6110</v>
      </c>
      <c r="O99">
        <v>5590</v>
      </c>
      <c r="P99">
        <v>4940</v>
      </c>
      <c r="Q99" t="s">
        <v>38</v>
      </c>
      <c r="R99">
        <v>25</v>
      </c>
      <c r="S99">
        <v>1</v>
      </c>
      <c r="T99" t="s">
        <v>1092</v>
      </c>
      <c r="U99" t="s">
        <v>1093</v>
      </c>
      <c r="V99">
        <v>0</v>
      </c>
      <c r="W99" s="8" t="str">
        <f t="shared" si="1"/>
        <v>(2566,null,1,'2026-03-24 00:00:00','003307020150001-33070201505','003307020150001-33070201505','小儿经胸腔镜肺包虫病内囊摘除术',null,null,4575,4160,3535,null,6110,5590,4940,'次',25,1,'normal','main',0),</v>
      </c>
    </row>
    <row r="100" spans="1:23">
      <c r="A100">
        <v>2567</v>
      </c>
      <c r="B100" t="s">
        <v>1090</v>
      </c>
      <c r="C100">
        <v>1</v>
      </c>
      <c r="D100" s="6" t="s">
        <v>1091</v>
      </c>
      <c r="E100" t="s">
        <v>513</v>
      </c>
      <c r="F100" t="s">
        <v>513</v>
      </c>
      <c r="G100" t="s">
        <v>514</v>
      </c>
      <c r="H100" t="s">
        <v>1090</v>
      </c>
      <c r="I100" t="s">
        <v>1090</v>
      </c>
      <c r="J100">
        <v>10375</v>
      </c>
      <c r="K100">
        <v>9335</v>
      </c>
      <c r="L100">
        <v>7470</v>
      </c>
      <c r="M100" t="s">
        <v>1090</v>
      </c>
      <c r="N100">
        <v>6110</v>
      </c>
      <c r="O100">
        <v>5590</v>
      </c>
      <c r="P100">
        <v>4940</v>
      </c>
      <c r="Q100" t="s">
        <v>38</v>
      </c>
      <c r="R100">
        <v>25</v>
      </c>
      <c r="S100">
        <v>1</v>
      </c>
      <c r="T100" t="s">
        <v>1092</v>
      </c>
      <c r="U100" t="s">
        <v>1093</v>
      </c>
      <c r="V100">
        <v>0</v>
      </c>
      <c r="W100" s="8" t="str">
        <f t="shared" si="1"/>
        <v>(2567,null,1,'2026-03-24 00:00:00','003307020020000-33070200202','003307020020000-33070200202','小儿肺癌根治术',null,null,10375,9335,7470,null,6110,5590,4940,'次',25,1,'normal','main',0),</v>
      </c>
    </row>
    <row r="101" spans="1:23">
      <c r="A101">
        <v>2568</v>
      </c>
      <c r="B101" t="s">
        <v>1090</v>
      </c>
      <c r="C101">
        <v>1</v>
      </c>
      <c r="D101" s="6" t="s">
        <v>1091</v>
      </c>
      <c r="E101" t="s">
        <v>515</v>
      </c>
      <c r="F101" t="s">
        <v>515</v>
      </c>
      <c r="G101" t="s">
        <v>516</v>
      </c>
      <c r="H101" t="s">
        <v>1090</v>
      </c>
      <c r="I101" t="s">
        <v>1090</v>
      </c>
      <c r="J101">
        <v>11000</v>
      </c>
      <c r="K101">
        <v>9935</v>
      </c>
      <c r="L101">
        <v>7980</v>
      </c>
      <c r="M101" t="s">
        <v>1090</v>
      </c>
      <c r="N101">
        <v>6110</v>
      </c>
      <c r="O101">
        <v>5590</v>
      </c>
      <c r="P101">
        <v>4940</v>
      </c>
      <c r="Q101" t="s">
        <v>38</v>
      </c>
      <c r="R101">
        <v>25</v>
      </c>
      <c r="S101">
        <v>1</v>
      </c>
      <c r="T101" t="s">
        <v>1092</v>
      </c>
      <c r="U101" t="s">
        <v>1093</v>
      </c>
      <c r="V101">
        <v>0</v>
      </c>
      <c r="W101" s="8" t="str">
        <f t="shared" si="1"/>
        <v>(2568,null,1,'2026-03-24 00:00:00','003307020020001-33070200206','003307020020001-33070200206','小儿经胸腔镜肺癌根治术',null,null,11000,9935,7980,null,6110,5590,4940,'次',25,1,'normal','main',0),</v>
      </c>
    </row>
    <row r="102" spans="1:23">
      <c r="A102">
        <v>2569</v>
      </c>
      <c r="B102" t="s">
        <v>1090</v>
      </c>
      <c r="C102">
        <v>1</v>
      </c>
      <c r="D102" s="6" t="s">
        <v>1091</v>
      </c>
      <c r="E102" t="s">
        <v>520</v>
      </c>
      <c r="F102" t="s">
        <v>520</v>
      </c>
      <c r="G102" t="s">
        <v>521</v>
      </c>
      <c r="H102" t="s">
        <v>1090</v>
      </c>
      <c r="I102" t="s">
        <v>1090</v>
      </c>
      <c r="J102">
        <v>3110</v>
      </c>
      <c r="K102">
        <v>2800</v>
      </c>
      <c r="L102">
        <v>2380</v>
      </c>
      <c r="M102" t="s">
        <v>1090</v>
      </c>
      <c r="N102">
        <f>2.11*6100</f>
        <v>12871</v>
      </c>
      <c r="O102">
        <f>1.4*5650</f>
        <v>7910</v>
      </c>
      <c r="P102">
        <f>1*4800</f>
        <v>4800</v>
      </c>
      <c r="Q102" t="s">
        <v>38</v>
      </c>
      <c r="R102">
        <v>25</v>
      </c>
      <c r="S102">
        <v>1</v>
      </c>
      <c r="T102" t="s">
        <v>1092</v>
      </c>
      <c r="U102" t="s">
        <v>1093</v>
      </c>
      <c r="V102">
        <v>0</v>
      </c>
      <c r="W102" s="8" t="str">
        <f t="shared" si="1"/>
        <v>(2569,null,1,'2026-03-24 00:00:00','003307020060000-330702006','003307020060000-330702006','肺叶切除术',null,null,3110,2800,2380,null,12871,7910,4800,'次',25,1,'normal','main',0),</v>
      </c>
    </row>
    <row r="103" spans="1:23">
      <c r="A103">
        <v>2570</v>
      </c>
      <c r="B103" t="s">
        <v>1090</v>
      </c>
      <c r="C103">
        <v>1</v>
      </c>
      <c r="D103" s="6" t="s">
        <v>1091</v>
      </c>
      <c r="E103" t="s">
        <v>524</v>
      </c>
      <c r="F103" t="s">
        <v>524</v>
      </c>
      <c r="G103" t="s">
        <v>525</v>
      </c>
      <c r="H103" t="s">
        <v>1090</v>
      </c>
      <c r="I103" t="s">
        <v>1090</v>
      </c>
      <c r="J103">
        <v>3735</v>
      </c>
      <c r="K103">
        <v>3400</v>
      </c>
      <c r="L103">
        <v>2890</v>
      </c>
      <c r="M103" t="s">
        <v>1090</v>
      </c>
      <c r="N103">
        <f>2.48*6100</f>
        <v>15128</v>
      </c>
      <c r="O103">
        <f>3.19*5650</f>
        <v>18023.5</v>
      </c>
      <c r="P103">
        <f>3*4800</f>
        <v>14400</v>
      </c>
      <c r="Q103" t="s">
        <v>38</v>
      </c>
      <c r="R103">
        <v>25</v>
      </c>
      <c r="S103">
        <v>1</v>
      </c>
      <c r="T103" t="s">
        <v>1092</v>
      </c>
      <c r="U103" t="s">
        <v>1093</v>
      </c>
      <c r="V103">
        <v>0</v>
      </c>
      <c r="W103" s="8" t="str">
        <f t="shared" si="1"/>
        <v>(2570,null,1,'2026-03-24 00:00:00','003307020060001-33070200604','003307020060001-33070200604','经胸腔镜肺叶切除术',null,null,3735,3400,2890,null,15128,18023.5,14400,'次',25,1,'normal','main',0),</v>
      </c>
    </row>
    <row r="104" spans="1:23">
      <c r="A104">
        <v>2571</v>
      </c>
      <c r="B104" t="s">
        <v>1090</v>
      </c>
      <c r="C104">
        <v>1</v>
      </c>
      <c r="D104" s="6" t="s">
        <v>1091</v>
      </c>
      <c r="E104" t="s">
        <v>528</v>
      </c>
      <c r="F104" t="s">
        <v>528</v>
      </c>
      <c r="G104" t="s">
        <v>529</v>
      </c>
      <c r="H104" t="s">
        <v>1090</v>
      </c>
      <c r="I104" t="s">
        <v>1090</v>
      </c>
      <c r="J104">
        <v>4045</v>
      </c>
      <c r="K104">
        <v>3640</v>
      </c>
      <c r="L104">
        <v>3095</v>
      </c>
      <c r="M104" t="s">
        <v>1090</v>
      </c>
      <c r="N104">
        <v>7930</v>
      </c>
      <c r="O104">
        <v>7345</v>
      </c>
      <c r="P104">
        <v>6240</v>
      </c>
      <c r="Q104" t="s">
        <v>38</v>
      </c>
      <c r="R104">
        <v>25</v>
      </c>
      <c r="S104">
        <v>1</v>
      </c>
      <c r="T104" t="s">
        <v>1092</v>
      </c>
      <c r="U104" t="s">
        <v>1093</v>
      </c>
      <c r="V104">
        <v>0</v>
      </c>
      <c r="W104" s="8" t="str">
        <f t="shared" si="1"/>
        <v>(2571,null,1,'2026-03-24 00:00:00','003307020060000-33070200602','003307020060000-33070200602','小儿肺叶切除术',null,null,4045,3640,3095,null,7930,7345,6240,'次',25,1,'normal','main',0),</v>
      </c>
    </row>
    <row r="105" spans="1:23">
      <c r="A105">
        <v>2572</v>
      </c>
      <c r="B105" t="s">
        <v>1090</v>
      </c>
      <c r="C105">
        <v>1</v>
      </c>
      <c r="D105" s="6" t="s">
        <v>1091</v>
      </c>
      <c r="E105" t="s">
        <v>530</v>
      </c>
      <c r="F105" t="s">
        <v>530</v>
      </c>
      <c r="G105" t="s">
        <v>531</v>
      </c>
      <c r="H105" t="s">
        <v>1090</v>
      </c>
      <c r="I105" t="s">
        <v>1090</v>
      </c>
      <c r="J105">
        <v>4670</v>
      </c>
      <c r="K105">
        <v>4240</v>
      </c>
      <c r="L105">
        <v>3605</v>
      </c>
      <c r="M105" t="s">
        <v>1090</v>
      </c>
      <c r="N105">
        <v>7930</v>
      </c>
      <c r="O105">
        <v>7345</v>
      </c>
      <c r="P105">
        <v>6240</v>
      </c>
      <c r="Q105" t="s">
        <v>38</v>
      </c>
      <c r="R105">
        <v>25</v>
      </c>
      <c r="S105">
        <v>1</v>
      </c>
      <c r="T105" t="s">
        <v>1092</v>
      </c>
      <c r="U105" t="s">
        <v>1093</v>
      </c>
      <c r="V105">
        <v>0</v>
      </c>
      <c r="W105" s="8" t="str">
        <f t="shared" si="1"/>
        <v>(2572,null,1,'2026-03-24 00:00:00','003307020060001-33070200606','003307020060001-33070200606','小儿经胸腔镜肺叶切除术',null,null,4670,4240,3605,null,7930,7345,6240,'次',25,1,'normal','main',0),</v>
      </c>
    </row>
    <row r="106" spans="1:23">
      <c r="A106">
        <v>2573</v>
      </c>
      <c r="B106" t="s">
        <v>1090</v>
      </c>
      <c r="C106">
        <v>1</v>
      </c>
      <c r="D106" s="6" t="s">
        <v>1091</v>
      </c>
      <c r="E106" t="s">
        <v>513</v>
      </c>
      <c r="F106" t="s">
        <v>513</v>
      </c>
      <c r="G106" t="s">
        <v>514</v>
      </c>
      <c r="H106" t="s">
        <v>1090</v>
      </c>
      <c r="I106" t="s">
        <v>1090</v>
      </c>
      <c r="J106">
        <v>10375</v>
      </c>
      <c r="K106">
        <v>9335</v>
      </c>
      <c r="L106">
        <v>7470</v>
      </c>
      <c r="M106" t="s">
        <v>1090</v>
      </c>
      <c r="N106">
        <v>7930</v>
      </c>
      <c r="O106">
        <v>7345</v>
      </c>
      <c r="P106">
        <v>6240</v>
      </c>
      <c r="Q106" t="s">
        <v>38</v>
      </c>
      <c r="R106">
        <v>25</v>
      </c>
      <c r="S106">
        <v>1</v>
      </c>
      <c r="T106" t="s">
        <v>1092</v>
      </c>
      <c r="U106" t="s">
        <v>1093</v>
      </c>
      <c r="V106">
        <v>0</v>
      </c>
      <c r="W106" s="8" t="str">
        <f t="shared" si="1"/>
        <v>(2573,null,1,'2026-03-24 00:00:00','003307020020000-33070200202','003307020020000-33070200202','小儿肺癌根治术',null,null,10375,9335,7470,null,7930,7345,6240,'次',25,1,'normal','main',0),</v>
      </c>
    </row>
    <row r="107" spans="1:23">
      <c r="A107">
        <v>2574</v>
      </c>
      <c r="B107" t="s">
        <v>1090</v>
      </c>
      <c r="C107">
        <v>1</v>
      </c>
      <c r="D107" s="6" t="s">
        <v>1091</v>
      </c>
      <c r="E107" t="s">
        <v>515</v>
      </c>
      <c r="F107" t="s">
        <v>515</v>
      </c>
      <c r="G107" t="s">
        <v>516</v>
      </c>
      <c r="H107" t="s">
        <v>1090</v>
      </c>
      <c r="I107" t="s">
        <v>1090</v>
      </c>
      <c r="J107">
        <v>11000</v>
      </c>
      <c r="K107">
        <v>9935</v>
      </c>
      <c r="L107">
        <v>7980</v>
      </c>
      <c r="M107" t="s">
        <v>1090</v>
      </c>
      <c r="N107">
        <v>7930</v>
      </c>
      <c r="O107">
        <v>7345</v>
      </c>
      <c r="P107">
        <v>6240</v>
      </c>
      <c r="Q107" t="s">
        <v>38</v>
      </c>
      <c r="R107">
        <v>25</v>
      </c>
      <c r="S107">
        <v>1</v>
      </c>
      <c r="T107" t="s">
        <v>1092</v>
      </c>
      <c r="U107" t="s">
        <v>1093</v>
      </c>
      <c r="V107">
        <v>0</v>
      </c>
      <c r="W107" s="8" t="str">
        <f t="shared" si="1"/>
        <v>(2574,null,1,'2026-03-24 00:00:00','003307020020001-33070200206','003307020020001-33070200206','小儿经胸腔镜肺癌根治术',null,null,11000,9935,7980,null,7930,7345,6240,'次',25,1,'normal','main',0),</v>
      </c>
    </row>
    <row r="108" spans="1:23">
      <c r="A108">
        <v>2575</v>
      </c>
      <c r="B108" t="s">
        <v>1090</v>
      </c>
      <c r="C108">
        <v>1</v>
      </c>
      <c r="D108" s="6" t="s">
        <v>1091</v>
      </c>
      <c r="E108" t="s">
        <v>537</v>
      </c>
      <c r="F108" t="s">
        <v>537</v>
      </c>
      <c r="G108" t="s">
        <v>538</v>
      </c>
      <c r="H108" t="s">
        <v>1090</v>
      </c>
      <c r="I108" t="s">
        <v>1090</v>
      </c>
      <c r="J108">
        <v>5800</v>
      </c>
      <c r="K108">
        <v>5200</v>
      </c>
      <c r="L108">
        <v>4700</v>
      </c>
      <c r="M108" t="s">
        <v>1090</v>
      </c>
      <c r="N108">
        <f>2.11*7400</f>
        <v>15614</v>
      </c>
      <c r="O108">
        <f>1.4*6750</f>
        <v>9450</v>
      </c>
      <c r="P108">
        <f>1*6000</f>
        <v>6000</v>
      </c>
      <c r="Q108" t="s">
        <v>38</v>
      </c>
      <c r="R108">
        <v>25</v>
      </c>
      <c r="S108">
        <v>1</v>
      </c>
      <c r="T108" t="s">
        <v>1092</v>
      </c>
      <c r="U108" t="s">
        <v>1093</v>
      </c>
      <c r="V108">
        <v>0</v>
      </c>
      <c r="W108" s="8" t="str">
        <f t="shared" si="1"/>
        <v>(2575,null,1,'2026-03-24 00:00:00','003307020070000-330702007','003307020070000-330702007','袖状肺叶切除术',null,null,5800,5200,4700,null,15614,9450,6000,'次',25,1,'normal','main',0),</v>
      </c>
    </row>
    <row r="109" spans="1:23">
      <c r="A109">
        <v>2576</v>
      </c>
      <c r="B109" t="s">
        <v>1090</v>
      </c>
      <c r="C109">
        <v>1</v>
      </c>
      <c r="D109" s="6" t="s">
        <v>1091</v>
      </c>
      <c r="E109" t="s">
        <v>541</v>
      </c>
      <c r="F109" t="s">
        <v>541</v>
      </c>
      <c r="G109" t="s">
        <v>542</v>
      </c>
      <c r="H109" t="s">
        <v>1090</v>
      </c>
      <c r="I109" t="s">
        <v>1090</v>
      </c>
      <c r="J109">
        <v>6425</v>
      </c>
      <c r="K109">
        <v>5800</v>
      </c>
      <c r="L109">
        <v>5210</v>
      </c>
      <c r="M109" t="s">
        <v>1090</v>
      </c>
      <c r="N109">
        <f>2.48*7400</f>
        <v>18352</v>
      </c>
      <c r="O109">
        <f>3.19*6750</f>
        <v>21532.5</v>
      </c>
      <c r="P109">
        <f>3*6000</f>
        <v>18000</v>
      </c>
      <c r="Q109" t="s">
        <v>38</v>
      </c>
      <c r="R109">
        <v>25</v>
      </c>
      <c r="S109">
        <v>1</v>
      </c>
      <c r="T109" t="s">
        <v>1092</v>
      </c>
      <c r="U109" t="s">
        <v>1093</v>
      </c>
      <c r="V109">
        <v>0</v>
      </c>
      <c r="W109" s="8" t="str">
        <f t="shared" si="1"/>
        <v>(2576,null,1,'2026-03-24 00:00:00','003307020070000-33070200704','003307020070000-33070200704','经胸腔镜袖状肺叶切除术',null,null,6425,5800,5210,null,18352,21532.5,18000,'次',25,1,'normal','main',0),</v>
      </c>
    </row>
    <row r="110" spans="1:23">
      <c r="A110">
        <v>2577</v>
      </c>
      <c r="B110" t="s">
        <v>1090</v>
      </c>
      <c r="C110">
        <v>1</v>
      </c>
      <c r="D110" s="6" t="s">
        <v>1091</v>
      </c>
      <c r="E110" t="s">
        <v>545</v>
      </c>
      <c r="F110" t="s">
        <v>545</v>
      </c>
      <c r="G110" t="s">
        <v>546</v>
      </c>
      <c r="H110" t="s">
        <v>1090</v>
      </c>
      <c r="I110" t="s">
        <v>1090</v>
      </c>
      <c r="J110">
        <v>7540</v>
      </c>
      <c r="K110">
        <v>6760</v>
      </c>
      <c r="L110">
        <v>6110</v>
      </c>
      <c r="M110" t="s">
        <v>1090</v>
      </c>
      <c r="N110">
        <v>9620</v>
      </c>
      <c r="O110">
        <v>8775</v>
      </c>
      <c r="P110">
        <v>7800</v>
      </c>
      <c r="Q110" t="s">
        <v>38</v>
      </c>
      <c r="R110">
        <v>25</v>
      </c>
      <c r="S110">
        <v>1</v>
      </c>
      <c r="T110" t="s">
        <v>1092</v>
      </c>
      <c r="U110" t="s">
        <v>1093</v>
      </c>
      <c r="V110">
        <v>0</v>
      </c>
      <c r="W110" s="8" t="str">
        <f t="shared" si="1"/>
        <v>(2577,null,1,'2026-03-24 00:00:00','003307020070000-33070200702','003307020070000-33070200702','小儿袖状肺叶切除术',null,null,7540,6760,6110,null,9620,8775,7800,'次',25,1,'normal','main',0),</v>
      </c>
    </row>
    <row r="111" spans="1:23">
      <c r="A111">
        <v>2578</v>
      </c>
      <c r="B111" t="s">
        <v>1090</v>
      </c>
      <c r="C111">
        <v>1</v>
      </c>
      <c r="D111" s="6" t="s">
        <v>1091</v>
      </c>
      <c r="E111" t="s">
        <v>547</v>
      </c>
      <c r="F111" t="s">
        <v>547</v>
      </c>
      <c r="G111" t="s">
        <v>548</v>
      </c>
      <c r="H111" t="s">
        <v>1090</v>
      </c>
      <c r="I111" t="s">
        <v>1090</v>
      </c>
      <c r="J111">
        <v>8165</v>
      </c>
      <c r="K111">
        <v>7360</v>
      </c>
      <c r="L111">
        <v>6620</v>
      </c>
      <c r="M111" t="s">
        <v>1090</v>
      </c>
      <c r="N111">
        <v>9620</v>
      </c>
      <c r="O111">
        <v>8775</v>
      </c>
      <c r="P111">
        <v>7800</v>
      </c>
      <c r="Q111" t="s">
        <v>38</v>
      </c>
      <c r="R111">
        <v>25</v>
      </c>
      <c r="S111">
        <v>1</v>
      </c>
      <c r="T111" t="s">
        <v>1092</v>
      </c>
      <c r="U111" t="s">
        <v>1093</v>
      </c>
      <c r="V111">
        <v>0</v>
      </c>
      <c r="W111" s="8" t="str">
        <f t="shared" si="1"/>
        <v>(2578,null,1,'2026-03-24 00:00:00','003307020070000-33070200706','003307020070000-33070200706','小儿经胸腔镜袖状肺叶切除术',null,null,8165,7360,6620,null,9620,8775,7800,'次',25,1,'normal','main',0),</v>
      </c>
    </row>
    <row r="112" spans="1:23">
      <c r="A112">
        <v>2579</v>
      </c>
      <c r="B112" t="s">
        <v>1090</v>
      </c>
      <c r="C112">
        <v>1</v>
      </c>
      <c r="D112" s="6" t="s">
        <v>1091</v>
      </c>
      <c r="E112" t="s">
        <v>513</v>
      </c>
      <c r="F112" t="s">
        <v>513</v>
      </c>
      <c r="G112" t="s">
        <v>514</v>
      </c>
      <c r="H112" t="s">
        <v>1090</v>
      </c>
      <c r="I112" t="s">
        <v>1090</v>
      </c>
      <c r="J112">
        <v>10375</v>
      </c>
      <c r="K112">
        <v>9335</v>
      </c>
      <c r="L112">
        <v>7470</v>
      </c>
      <c r="M112" t="s">
        <v>1090</v>
      </c>
      <c r="N112">
        <v>9620</v>
      </c>
      <c r="O112">
        <v>8775</v>
      </c>
      <c r="P112">
        <v>7800</v>
      </c>
      <c r="Q112" t="s">
        <v>38</v>
      </c>
      <c r="R112">
        <v>25</v>
      </c>
      <c r="S112">
        <v>1</v>
      </c>
      <c r="T112" t="s">
        <v>1092</v>
      </c>
      <c r="U112" t="s">
        <v>1093</v>
      </c>
      <c r="V112">
        <v>0</v>
      </c>
      <c r="W112" s="8" t="str">
        <f t="shared" si="1"/>
        <v>(2579,null,1,'2026-03-24 00:00:00','003307020020000-33070200202','003307020020000-33070200202','小儿肺癌根治术',null,null,10375,9335,7470,null,9620,8775,7800,'次',25,1,'normal','main',0),</v>
      </c>
    </row>
    <row r="113" spans="1:23">
      <c r="A113">
        <v>2580</v>
      </c>
      <c r="B113" t="s">
        <v>1090</v>
      </c>
      <c r="C113">
        <v>1</v>
      </c>
      <c r="D113" s="6" t="s">
        <v>1091</v>
      </c>
      <c r="E113" t="s">
        <v>515</v>
      </c>
      <c r="F113" t="s">
        <v>515</v>
      </c>
      <c r="G113" t="s">
        <v>516</v>
      </c>
      <c r="H113" t="s">
        <v>1090</v>
      </c>
      <c r="I113" t="s">
        <v>1090</v>
      </c>
      <c r="J113">
        <v>11000</v>
      </c>
      <c r="K113">
        <v>9935</v>
      </c>
      <c r="L113">
        <v>7980</v>
      </c>
      <c r="M113" t="s">
        <v>1090</v>
      </c>
      <c r="N113">
        <v>9620</v>
      </c>
      <c r="O113">
        <v>8775</v>
      </c>
      <c r="P113">
        <v>7800</v>
      </c>
      <c r="Q113" t="s">
        <v>38</v>
      </c>
      <c r="R113">
        <v>25</v>
      </c>
      <c r="S113">
        <v>1</v>
      </c>
      <c r="T113" t="s">
        <v>1092</v>
      </c>
      <c r="U113" t="s">
        <v>1093</v>
      </c>
      <c r="V113">
        <v>0</v>
      </c>
      <c r="W113" s="8" t="str">
        <f t="shared" si="1"/>
        <v>(2580,null,1,'2026-03-24 00:00:00','003307020020001-33070200206','003307020020001-33070200206','小儿经胸腔镜肺癌根治术',null,null,11000,9935,7980,null,9620,8775,7800,'次',25,1,'normal','main',0),</v>
      </c>
    </row>
    <row r="114" spans="1:23">
      <c r="A114">
        <v>2581</v>
      </c>
      <c r="B114" t="s">
        <v>1090</v>
      </c>
      <c r="C114">
        <v>1</v>
      </c>
      <c r="D114" s="6" t="s">
        <v>1091</v>
      </c>
      <c r="E114" t="s">
        <v>553</v>
      </c>
      <c r="F114" t="s">
        <v>553</v>
      </c>
      <c r="G114" t="s">
        <v>554</v>
      </c>
      <c r="H114" t="s">
        <v>1090</v>
      </c>
      <c r="I114" t="s">
        <v>1090</v>
      </c>
      <c r="J114">
        <v>3710</v>
      </c>
      <c r="K114">
        <v>3340</v>
      </c>
      <c r="L114">
        <v>2840</v>
      </c>
      <c r="M114" t="s">
        <v>1090</v>
      </c>
      <c r="N114">
        <f>2.11*6500</f>
        <v>13715</v>
      </c>
      <c r="O114">
        <f>1.4*5900</f>
        <v>8260</v>
      </c>
      <c r="P114">
        <v>5200</v>
      </c>
      <c r="Q114" t="s">
        <v>38</v>
      </c>
      <c r="R114">
        <v>25</v>
      </c>
      <c r="S114">
        <v>1</v>
      </c>
      <c r="T114" t="s">
        <v>1092</v>
      </c>
      <c r="U114" t="s">
        <v>1093</v>
      </c>
      <c r="V114">
        <v>0</v>
      </c>
      <c r="W114" s="8" t="str">
        <f t="shared" si="1"/>
        <v>(2581,null,1,'2026-03-24 00:00:00','003307020030000-330702003','003307020030000-330702003','肺段切除术',null,null,3710,3340,2840,null,13715,8260,5200,'次',25,1,'normal','main',0),</v>
      </c>
    </row>
    <row r="115" spans="1:23">
      <c r="A115">
        <v>2582</v>
      </c>
      <c r="B115" t="s">
        <v>1090</v>
      </c>
      <c r="C115">
        <v>1</v>
      </c>
      <c r="D115" s="6" t="s">
        <v>1091</v>
      </c>
      <c r="E115" t="s">
        <v>556</v>
      </c>
      <c r="F115" t="s">
        <v>556</v>
      </c>
      <c r="G115" t="s">
        <v>557</v>
      </c>
      <c r="H115" t="s">
        <v>1090</v>
      </c>
      <c r="I115" t="s">
        <v>1090</v>
      </c>
      <c r="J115">
        <v>4335</v>
      </c>
      <c r="K115">
        <v>3940</v>
      </c>
      <c r="L115">
        <v>3350</v>
      </c>
      <c r="M115" t="s">
        <v>1090</v>
      </c>
      <c r="N115">
        <f>2.48*6500</f>
        <v>16120</v>
      </c>
      <c r="O115">
        <f>3.19*5900</f>
        <v>18821</v>
      </c>
      <c r="P115">
        <f>3*5200</f>
        <v>15600</v>
      </c>
      <c r="Q115" t="s">
        <v>38</v>
      </c>
      <c r="R115">
        <v>25</v>
      </c>
      <c r="S115">
        <v>1</v>
      </c>
      <c r="T115" t="s">
        <v>1092</v>
      </c>
      <c r="U115" t="s">
        <v>1093</v>
      </c>
      <c r="V115">
        <v>0</v>
      </c>
      <c r="W115" s="8" t="str">
        <f t="shared" si="1"/>
        <v>(2582,null,1,'2026-03-24 00:00:00','003307020030001-33070200304','003307020030001-33070200304','经胸腔镜肺段切除术',null,null,4335,3940,3350,null,16120,18821,15600,'次',25,1,'normal','main',0),</v>
      </c>
    </row>
    <row r="116" spans="1:23">
      <c r="A116">
        <v>2583</v>
      </c>
      <c r="B116" t="s">
        <v>1090</v>
      </c>
      <c r="C116">
        <v>1</v>
      </c>
      <c r="D116" s="6" t="s">
        <v>1091</v>
      </c>
      <c r="E116" t="s">
        <v>560</v>
      </c>
      <c r="F116" t="s">
        <v>560</v>
      </c>
      <c r="G116" t="s">
        <v>561</v>
      </c>
      <c r="H116" t="s">
        <v>1090</v>
      </c>
      <c r="I116" t="s">
        <v>1090</v>
      </c>
      <c r="J116">
        <v>4825</v>
      </c>
      <c r="K116">
        <v>4340</v>
      </c>
      <c r="L116">
        <v>3690</v>
      </c>
      <c r="M116" t="s">
        <v>1090</v>
      </c>
      <c r="N116">
        <v>8450</v>
      </c>
      <c r="O116">
        <v>7670</v>
      </c>
      <c r="P116">
        <v>6760</v>
      </c>
      <c r="Q116" t="s">
        <v>38</v>
      </c>
      <c r="R116">
        <v>25</v>
      </c>
      <c r="S116">
        <v>1</v>
      </c>
      <c r="T116" t="s">
        <v>1092</v>
      </c>
      <c r="U116" t="s">
        <v>1093</v>
      </c>
      <c r="V116">
        <v>0</v>
      </c>
      <c r="W116" s="8" t="str">
        <f t="shared" si="1"/>
        <v>(2583,null,1,'2026-03-24 00:00:00','003307020030000-33070200302','003307020030000-33070200302','小儿肺段切除术',null,null,4825,4340,3690,null,8450,7670,6760,'次',25,1,'normal','main',0),</v>
      </c>
    </row>
    <row r="117" spans="1:23">
      <c r="A117">
        <v>2584</v>
      </c>
      <c r="B117" t="s">
        <v>1090</v>
      </c>
      <c r="C117">
        <v>1</v>
      </c>
      <c r="D117" s="6" t="s">
        <v>1091</v>
      </c>
      <c r="E117" t="s">
        <v>562</v>
      </c>
      <c r="F117" t="s">
        <v>562</v>
      </c>
      <c r="G117" t="s">
        <v>563</v>
      </c>
      <c r="H117" t="s">
        <v>1090</v>
      </c>
      <c r="I117" t="s">
        <v>1090</v>
      </c>
      <c r="J117">
        <v>5450</v>
      </c>
      <c r="K117">
        <v>4940</v>
      </c>
      <c r="L117">
        <v>4200</v>
      </c>
      <c r="M117" t="s">
        <v>1090</v>
      </c>
      <c r="N117">
        <v>8450</v>
      </c>
      <c r="O117">
        <v>7670</v>
      </c>
      <c r="P117">
        <v>6760</v>
      </c>
      <c r="Q117" t="s">
        <v>38</v>
      </c>
      <c r="R117">
        <v>25</v>
      </c>
      <c r="S117">
        <v>1</v>
      </c>
      <c r="T117" t="s">
        <v>1092</v>
      </c>
      <c r="U117" t="s">
        <v>1093</v>
      </c>
      <c r="V117">
        <v>0</v>
      </c>
      <c r="W117" s="8" t="str">
        <f t="shared" si="1"/>
        <v>(2584,null,1,'2026-03-24 00:00:00','003307020030001-33070200306','003307020030001-33070200306','小儿经胸腔镜肺段切除术',null,null,5450,4940,4200,null,8450,7670,6760,'次',25,1,'normal','main',0),</v>
      </c>
    </row>
    <row r="118" spans="1:23">
      <c r="A118">
        <v>2585</v>
      </c>
      <c r="B118" t="s">
        <v>1090</v>
      </c>
      <c r="C118">
        <v>1</v>
      </c>
      <c r="D118" s="6" t="s">
        <v>1091</v>
      </c>
      <c r="E118" t="s">
        <v>513</v>
      </c>
      <c r="F118" t="s">
        <v>513</v>
      </c>
      <c r="G118" t="s">
        <v>514</v>
      </c>
      <c r="H118" t="s">
        <v>1090</v>
      </c>
      <c r="I118" t="s">
        <v>1090</v>
      </c>
      <c r="J118">
        <v>10375</v>
      </c>
      <c r="K118">
        <v>9335</v>
      </c>
      <c r="L118">
        <v>7470</v>
      </c>
      <c r="M118" t="s">
        <v>1090</v>
      </c>
      <c r="N118">
        <v>8450</v>
      </c>
      <c r="O118">
        <v>7670</v>
      </c>
      <c r="P118">
        <v>6760</v>
      </c>
      <c r="Q118" t="s">
        <v>38</v>
      </c>
      <c r="R118">
        <v>25</v>
      </c>
      <c r="S118">
        <v>1</v>
      </c>
      <c r="T118" t="s">
        <v>1092</v>
      </c>
      <c r="U118" t="s">
        <v>1093</v>
      </c>
      <c r="V118">
        <v>0</v>
      </c>
      <c r="W118" s="8" t="str">
        <f t="shared" si="1"/>
        <v>(2585,null,1,'2026-03-24 00:00:00','003307020020000-33070200202','003307020020000-33070200202','小儿肺癌根治术',null,null,10375,9335,7470,null,8450,7670,6760,'次',25,1,'normal','main',0),</v>
      </c>
    </row>
    <row r="119" spans="1:23">
      <c r="A119">
        <v>2586</v>
      </c>
      <c r="B119" t="s">
        <v>1090</v>
      </c>
      <c r="C119">
        <v>1</v>
      </c>
      <c r="D119" s="6" t="s">
        <v>1091</v>
      </c>
      <c r="E119" t="s">
        <v>515</v>
      </c>
      <c r="F119" t="s">
        <v>515</v>
      </c>
      <c r="G119" t="s">
        <v>516</v>
      </c>
      <c r="H119" t="s">
        <v>1090</v>
      </c>
      <c r="I119" t="s">
        <v>1090</v>
      </c>
      <c r="J119">
        <v>11000</v>
      </c>
      <c r="K119">
        <v>9935</v>
      </c>
      <c r="L119">
        <v>7980</v>
      </c>
      <c r="M119" t="s">
        <v>1090</v>
      </c>
      <c r="N119">
        <v>8450</v>
      </c>
      <c r="O119">
        <v>7670</v>
      </c>
      <c r="P119">
        <v>6760</v>
      </c>
      <c r="Q119" t="s">
        <v>38</v>
      </c>
      <c r="R119">
        <v>25</v>
      </c>
      <c r="S119">
        <v>1</v>
      </c>
      <c r="T119" t="s">
        <v>1092</v>
      </c>
      <c r="U119" t="s">
        <v>1093</v>
      </c>
      <c r="V119">
        <v>0</v>
      </c>
      <c r="W119" s="8" t="str">
        <f t="shared" si="1"/>
        <v>(2586,null,1,'2026-03-24 00:00:00','003307020020001-33070200206','003307020020001-33070200206','小儿经胸腔镜肺癌根治术',null,null,11000,9935,7980,null,8450,7670,6760,'次',25,1,'normal','main',0),</v>
      </c>
    </row>
    <row r="120" spans="1:23">
      <c r="A120">
        <v>2587</v>
      </c>
      <c r="B120" t="s">
        <v>1090</v>
      </c>
      <c r="C120">
        <v>1</v>
      </c>
      <c r="D120" s="6" t="s">
        <v>1091</v>
      </c>
      <c r="E120" t="s">
        <v>553</v>
      </c>
      <c r="F120" t="s">
        <v>553</v>
      </c>
      <c r="G120" t="s">
        <v>554</v>
      </c>
      <c r="H120" t="s">
        <v>1090</v>
      </c>
      <c r="I120" t="s">
        <v>1090</v>
      </c>
      <c r="J120">
        <v>3710</v>
      </c>
      <c r="K120">
        <v>3340</v>
      </c>
      <c r="L120">
        <v>2840</v>
      </c>
      <c r="M120" t="s">
        <v>1090</v>
      </c>
      <c r="N120">
        <f>2.11*7400</f>
        <v>15614</v>
      </c>
      <c r="O120">
        <f>1.4*6750</f>
        <v>9450</v>
      </c>
      <c r="P120">
        <f>1*6000</f>
        <v>6000</v>
      </c>
      <c r="Q120" t="s">
        <v>38</v>
      </c>
      <c r="R120">
        <v>25</v>
      </c>
      <c r="S120">
        <v>1</v>
      </c>
      <c r="T120" t="s">
        <v>1092</v>
      </c>
      <c r="U120" t="s">
        <v>1093</v>
      </c>
      <c r="V120">
        <v>0</v>
      </c>
      <c r="W120" s="8" t="str">
        <f t="shared" si="1"/>
        <v>(2587,null,1,'2026-03-24 00:00:00','003307020030000-330702003','003307020030000-330702003','肺段切除术',null,null,3710,3340,2840,null,15614,9450,6000,'次',25,1,'normal','main',0),</v>
      </c>
    </row>
    <row r="121" spans="1:23">
      <c r="A121">
        <v>2588</v>
      </c>
      <c r="B121" t="s">
        <v>1090</v>
      </c>
      <c r="C121">
        <v>1</v>
      </c>
      <c r="D121" s="6" t="s">
        <v>1091</v>
      </c>
      <c r="E121" t="s">
        <v>556</v>
      </c>
      <c r="F121" t="s">
        <v>556</v>
      </c>
      <c r="G121" t="s">
        <v>557</v>
      </c>
      <c r="H121" t="s">
        <v>1090</v>
      </c>
      <c r="I121" t="s">
        <v>1090</v>
      </c>
      <c r="J121">
        <v>4335</v>
      </c>
      <c r="K121">
        <v>3940</v>
      </c>
      <c r="L121">
        <v>3350</v>
      </c>
      <c r="M121" t="s">
        <v>1090</v>
      </c>
      <c r="N121">
        <f>2.48*7400</f>
        <v>18352</v>
      </c>
      <c r="O121">
        <f>3.19*6750</f>
        <v>21532.5</v>
      </c>
      <c r="P121">
        <f>3*6000</f>
        <v>18000</v>
      </c>
      <c r="Q121" t="s">
        <v>38</v>
      </c>
      <c r="R121">
        <v>25</v>
      </c>
      <c r="S121">
        <v>1</v>
      </c>
      <c r="T121" t="s">
        <v>1092</v>
      </c>
      <c r="U121" t="s">
        <v>1093</v>
      </c>
      <c r="V121">
        <v>0</v>
      </c>
      <c r="W121" s="8" t="str">
        <f t="shared" si="1"/>
        <v>(2588,null,1,'2026-03-24 00:00:00','003307020030001-33070200304','003307020030001-33070200304','经胸腔镜肺段切除术',null,null,4335,3940,3350,null,18352,21532.5,18000,'次',25,1,'normal','main',0),</v>
      </c>
    </row>
    <row r="122" spans="1:23">
      <c r="A122">
        <v>2589</v>
      </c>
      <c r="B122" t="s">
        <v>1090</v>
      </c>
      <c r="C122">
        <v>1</v>
      </c>
      <c r="D122" s="6" t="s">
        <v>1091</v>
      </c>
      <c r="E122" t="s">
        <v>560</v>
      </c>
      <c r="F122" t="s">
        <v>560</v>
      </c>
      <c r="G122" t="s">
        <v>561</v>
      </c>
      <c r="H122" t="s">
        <v>1090</v>
      </c>
      <c r="I122" t="s">
        <v>1090</v>
      </c>
      <c r="J122">
        <v>4825</v>
      </c>
      <c r="K122">
        <v>4340</v>
      </c>
      <c r="L122">
        <v>3690</v>
      </c>
      <c r="M122" t="s">
        <v>1090</v>
      </c>
      <c r="N122">
        <v>9620</v>
      </c>
      <c r="O122">
        <v>8775</v>
      </c>
      <c r="P122">
        <v>7800</v>
      </c>
      <c r="Q122" t="s">
        <v>38</v>
      </c>
      <c r="R122">
        <v>25</v>
      </c>
      <c r="S122">
        <v>1</v>
      </c>
      <c r="T122" t="s">
        <v>1092</v>
      </c>
      <c r="U122" t="s">
        <v>1093</v>
      </c>
      <c r="V122">
        <v>0</v>
      </c>
      <c r="W122" s="8" t="str">
        <f t="shared" si="1"/>
        <v>(2589,null,1,'2026-03-24 00:00:00','003307020030000-33070200302','003307020030000-33070200302','小儿肺段切除术',null,null,4825,4340,3690,null,9620,8775,7800,'次',25,1,'normal','main',0),</v>
      </c>
    </row>
    <row r="123" spans="1:23">
      <c r="A123">
        <v>2590</v>
      </c>
      <c r="B123" t="s">
        <v>1090</v>
      </c>
      <c r="C123">
        <v>1</v>
      </c>
      <c r="D123" s="6" t="s">
        <v>1091</v>
      </c>
      <c r="E123" t="s">
        <v>562</v>
      </c>
      <c r="F123" t="s">
        <v>562</v>
      </c>
      <c r="G123" t="s">
        <v>563</v>
      </c>
      <c r="H123" t="s">
        <v>1090</v>
      </c>
      <c r="I123" t="s">
        <v>1090</v>
      </c>
      <c r="J123">
        <v>5450</v>
      </c>
      <c r="K123">
        <v>4940</v>
      </c>
      <c r="L123">
        <v>4200</v>
      </c>
      <c r="M123" t="s">
        <v>1090</v>
      </c>
      <c r="N123">
        <v>9620</v>
      </c>
      <c r="O123">
        <v>8775</v>
      </c>
      <c r="P123">
        <v>7800</v>
      </c>
      <c r="Q123" t="s">
        <v>38</v>
      </c>
      <c r="R123">
        <v>25</v>
      </c>
      <c r="S123">
        <v>1</v>
      </c>
      <c r="T123" t="s">
        <v>1092</v>
      </c>
      <c r="U123" t="s">
        <v>1093</v>
      </c>
      <c r="V123">
        <v>0</v>
      </c>
      <c r="W123" s="8" t="str">
        <f t="shared" si="1"/>
        <v>(2590,null,1,'2026-03-24 00:00:00','003307020030001-33070200306','003307020030001-33070200306','小儿经胸腔镜肺段切除术',null,null,5450,4940,4200,null,9620,8775,7800,'次',25,1,'normal','main',0),</v>
      </c>
    </row>
    <row r="124" spans="1:23">
      <c r="A124">
        <v>2591</v>
      </c>
      <c r="B124" t="s">
        <v>1090</v>
      </c>
      <c r="C124">
        <v>1</v>
      </c>
      <c r="D124" s="6" t="s">
        <v>1091</v>
      </c>
      <c r="E124" t="s">
        <v>513</v>
      </c>
      <c r="F124" t="s">
        <v>513</v>
      </c>
      <c r="G124" t="s">
        <v>514</v>
      </c>
      <c r="H124" t="s">
        <v>1090</v>
      </c>
      <c r="I124" t="s">
        <v>1090</v>
      </c>
      <c r="J124">
        <v>10375</v>
      </c>
      <c r="K124">
        <v>9335</v>
      </c>
      <c r="L124">
        <v>7470</v>
      </c>
      <c r="M124" t="s">
        <v>1090</v>
      </c>
      <c r="N124">
        <v>9620</v>
      </c>
      <c r="O124">
        <v>8775</v>
      </c>
      <c r="P124">
        <v>7800</v>
      </c>
      <c r="Q124" t="s">
        <v>38</v>
      </c>
      <c r="R124">
        <v>25</v>
      </c>
      <c r="S124">
        <v>1</v>
      </c>
      <c r="T124" t="s">
        <v>1092</v>
      </c>
      <c r="U124" t="s">
        <v>1093</v>
      </c>
      <c r="V124">
        <v>0</v>
      </c>
      <c r="W124" s="8" t="str">
        <f t="shared" si="1"/>
        <v>(2591,null,1,'2026-03-24 00:00:00','003307020020000-33070200202','003307020020000-33070200202','小儿肺癌根治术',null,null,10375,9335,7470,null,9620,8775,7800,'次',25,1,'normal','main',0),</v>
      </c>
    </row>
    <row r="125" spans="1:23">
      <c r="A125">
        <v>2592</v>
      </c>
      <c r="B125" t="s">
        <v>1090</v>
      </c>
      <c r="C125">
        <v>1</v>
      </c>
      <c r="D125" s="6" t="s">
        <v>1091</v>
      </c>
      <c r="E125" t="s">
        <v>515</v>
      </c>
      <c r="F125" t="s">
        <v>515</v>
      </c>
      <c r="G125" t="s">
        <v>516</v>
      </c>
      <c r="H125" t="s">
        <v>1090</v>
      </c>
      <c r="I125" t="s">
        <v>1090</v>
      </c>
      <c r="J125">
        <v>11000</v>
      </c>
      <c r="K125">
        <v>9935</v>
      </c>
      <c r="L125">
        <v>7980</v>
      </c>
      <c r="M125" t="s">
        <v>1090</v>
      </c>
      <c r="N125">
        <v>9620</v>
      </c>
      <c r="O125">
        <v>8775</v>
      </c>
      <c r="P125">
        <v>7800</v>
      </c>
      <c r="Q125" t="s">
        <v>38</v>
      </c>
      <c r="R125">
        <v>25</v>
      </c>
      <c r="S125">
        <v>1</v>
      </c>
      <c r="T125" t="s">
        <v>1092</v>
      </c>
      <c r="U125" t="s">
        <v>1093</v>
      </c>
      <c r="V125">
        <v>0</v>
      </c>
      <c r="W125" s="8" t="str">
        <f t="shared" si="1"/>
        <v>(2592,null,1,'2026-03-24 00:00:00','003307020020001-33070200206','003307020020001-33070200206','小儿经胸腔镜肺癌根治术',null,null,11000,9935,7980,null,9620,8775,7800,'次',25,1,'normal','main',0),</v>
      </c>
    </row>
    <row r="126" spans="1:23">
      <c r="A126">
        <v>2593</v>
      </c>
      <c r="B126" t="s">
        <v>1090</v>
      </c>
      <c r="C126">
        <v>1</v>
      </c>
      <c r="D126" s="6" t="s">
        <v>1091</v>
      </c>
      <c r="E126" t="s">
        <v>574</v>
      </c>
      <c r="F126" t="s">
        <v>574</v>
      </c>
      <c r="G126" t="s">
        <v>575</v>
      </c>
      <c r="H126" t="s">
        <v>1090</v>
      </c>
      <c r="I126" t="s">
        <v>1090</v>
      </c>
      <c r="J126">
        <v>4330</v>
      </c>
      <c r="K126">
        <v>3900</v>
      </c>
      <c r="L126">
        <v>3320</v>
      </c>
      <c r="M126" t="s">
        <v>1090</v>
      </c>
      <c r="N126">
        <v>6300</v>
      </c>
      <c r="O126">
        <v>5800</v>
      </c>
      <c r="P126">
        <v>5000</v>
      </c>
      <c r="Q126" t="s">
        <v>38</v>
      </c>
      <c r="R126">
        <v>25</v>
      </c>
      <c r="S126">
        <v>1</v>
      </c>
      <c r="T126" t="s">
        <v>1092</v>
      </c>
      <c r="U126" t="s">
        <v>1093</v>
      </c>
      <c r="V126">
        <v>0</v>
      </c>
      <c r="W126" s="8" t="str">
        <f t="shared" si="1"/>
        <v>(2593,null,1,'2026-03-24 00:00:00','003307020080000-330702008','003307020080000-330702008','全肺切除术',null,null,4330,3900,3320,null,6300,5800,5000,'次',25,1,'normal','main',0),</v>
      </c>
    </row>
    <row r="127" spans="1:23">
      <c r="A127">
        <v>2594</v>
      </c>
      <c r="B127" t="s">
        <v>1090</v>
      </c>
      <c r="C127">
        <v>1</v>
      </c>
      <c r="D127" s="6" t="s">
        <v>1091</v>
      </c>
      <c r="E127" t="s">
        <v>577</v>
      </c>
      <c r="F127" t="s">
        <v>577</v>
      </c>
      <c r="G127" t="s">
        <v>578</v>
      </c>
      <c r="H127" t="s">
        <v>1090</v>
      </c>
      <c r="I127" t="s">
        <v>1090</v>
      </c>
      <c r="J127">
        <v>4955</v>
      </c>
      <c r="K127">
        <v>4500</v>
      </c>
      <c r="L127">
        <v>3830</v>
      </c>
      <c r="M127" t="s">
        <v>1090</v>
      </c>
      <c r="N127">
        <v>6300</v>
      </c>
      <c r="O127">
        <v>5800</v>
      </c>
      <c r="P127">
        <v>5000</v>
      </c>
      <c r="Q127" t="s">
        <v>38</v>
      </c>
      <c r="R127">
        <v>25</v>
      </c>
      <c r="S127">
        <v>1</v>
      </c>
      <c r="T127" t="s">
        <v>1092</v>
      </c>
      <c r="U127" t="s">
        <v>1093</v>
      </c>
      <c r="V127">
        <v>0</v>
      </c>
      <c r="W127" s="8" t="str">
        <f t="shared" si="1"/>
        <v>(2594,null,1,'2026-03-24 00:00:00','003307020080002-33070200806','003307020080002-33070200806','经胸腔镜全肺切除术',null,null,4955,4500,3830,null,6300,5800,5000,'次',25,1,'normal','main',0),</v>
      </c>
    </row>
    <row r="128" spans="1:23">
      <c r="A128">
        <v>2595</v>
      </c>
      <c r="B128" t="s">
        <v>1090</v>
      </c>
      <c r="C128">
        <v>1</v>
      </c>
      <c r="D128" s="6" t="s">
        <v>1091</v>
      </c>
      <c r="E128" t="s">
        <v>581</v>
      </c>
      <c r="F128" t="s">
        <v>581</v>
      </c>
      <c r="G128" t="s">
        <v>582</v>
      </c>
      <c r="H128" t="s">
        <v>1090</v>
      </c>
      <c r="I128" t="s">
        <v>1090</v>
      </c>
      <c r="J128">
        <v>5630</v>
      </c>
      <c r="K128">
        <v>5070</v>
      </c>
      <c r="L128">
        <v>4310</v>
      </c>
      <c r="M128" t="s">
        <v>1090</v>
      </c>
      <c r="N128">
        <v>8190</v>
      </c>
      <c r="O128">
        <v>7540</v>
      </c>
      <c r="P128">
        <v>6500</v>
      </c>
      <c r="Q128" t="s">
        <v>38</v>
      </c>
      <c r="R128">
        <v>25</v>
      </c>
      <c r="S128">
        <v>1</v>
      </c>
      <c r="T128" t="s">
        <v>1092</v>
      </c>
      <c r="U128" t="s">
        <v>1093</v>
      </c>
      <c r="V128">
        <v>0</v>
      </c>
      <c r="W128" s="8" t="str">
        <f t="shared" si="1"/>
        <v>(2595,null,1,'2026-03-24 00:00:00','003307020080000-33070200803','003307020080000-33070200803','小儿全肺切除术',null,null,5630,5070,4310,null,8190,7540,6500,'次',25,1,'normal','main',0),</v>
      </c>
    </row>
    <row r="129" spans="1:23">
      <c r="A129">
        <v>2596</v>
      </c>
      <c r="B129" t="s">
        <v>1090</v>
      </c>
      <c r="C129">
        <v>1</v>
      </c>
      <c r="D129" s="6" t="s">
        <v>1091</v>
      </c>
      <c r="E129" t="s">
        <v>583</v>
      </c>
      <c r="F129" t="s">
        <v>583</v>
      </c>
      <c r="G129" t="s">
        <v>584</v>
      </c>
      <c r="H129" t="s">
        <v>1090</v>
      </c>
      <c r="I129" t="s">
        <v>1090</v>
      </c>
      <c r="J129">
        <v>6255</v>
      </c>
      <c r="K129">
        <v>5670</v>
      </c>
      <c r="L129">
        <v>4820</v>
      </c>
      <c r="M129" t="s">
        <v>1090</v>
      </c>
      <c r="N129">
        <v>8190</v>
      </c>
      <c r="O129">
        <v>7540</v>
      </c>
      <c r="P129">
        <v>6500</v>
      </c>
      <c r="Q129" t="s">
        <v>38</v>
      </c>
      <c r="R129">
        <v>25</v>
      </c>
      <c r="S129">
        <v>1</v>
      </c>
      <c r="T129" t="s">
        <v>1092</v>
      </c>
      <c r="U129" t="s">
        <v>1093</v>
      </c>
      <c r="V129">
        <v>0</v>
      </c>
      <c r="W129" s="8" t="str">
        <f t="shared" si="1"/>
        <v>(2596,null,1,'2026-03-24 00:00:00','003307020080002-33070200809','003307020080002-33070200809','小儿经胸腔镜全肺切除术',null,null,6255,5670,4820,null,8190,7540,6500,'次',25,1,'normal','main',0),</v>
      </c>
    </row>
    <row r="130" spans="1:23">
      <c r="A130">
        <v>2597</v>
      </c>
      <c r="B130" t="s">
        <v>1090</v>
      </c>
      <c r="C130">
        <v>1</v>
      </c>
      <c r="D130" s="6" t="s">
        <v>1091</v>
      </c>
      <c r="E130" t="s">
        <v>513</v>
      </c>
      <c r="F130" t="s">
        <v>513</v>
      </c>
      <c r="G130" t="s">
        <v>514</v>
      </c>
      <c r="H130" t="s">
        <v>1090</v>
      </c>
      <c r="I130" t="s">
        <v>1090</v>
      </c>
      <c r="J130">
        <v>10375</v>
      </c>
      <c r="K130">
        <v>9335</v>
      </c>
      <c r="L130">
        <v>7470</v>
      </c>
      <c r="M130" t="s">
        <v>1090</v>
      </c>
      <c r="N130">
        <v>8190</v>
      </c>
      <c r="O130">
        <v>7540</v>
      </c>
      <c r="P130">
        <v>6500</v>
      </c>
      <c r="Q130" t="s">
        <v>38</v>
      </c>
      <c r="R130">
        <v>25</v>
      </c>
      <c r="S130">
        <v>1</v>
      </c>
      <c r="T130" t="s">
        <v>1092</v>
      </c>
      <c r="U130" t="s">
        <v>1093</v>
      </c>
      <c r="V130">
        <v>0</v>
      </c>
      <c r="W130" s="8" t="str">
        <f t="shared" si="1"/>
        <v>(2597,null,1,'2026-03-24 00:00:00','003307020020000-33070200202','003307020020000-33070200202','小儿肺癌根治术',null,null,10375,9335,7470,null,8190,7540,6500,'次',25,1,'normal','main',0),</v>
      </c>
    </row>
    <row r="131" spans="1:23">
      <c r="A131">
        <v>2598</v>
      </c>
      <c r="B131" t="s">
        <v>1090</v>
      </c>
      <c r="C131">
        <v>1</v>
      </c>
      <c r="D131" s="6" t="s">
        <v>1091</v>
      </c>
      <c r="E131" t="s">
        <v>515</v>
      </c>
      <c r="F131" t="s">
        <v>515</v>
      </c>
      <c r="G131" t="s">
        <v>516</v>
      </c>
      <c r="H131" t="s">
        <v>1090</v>
      </c>
      <c r="I131" t="s">
        <v>1090</v>
      </c>
      <c r="J131">
        <v>11000</v>
      </c>
      <c r="K131">
        <v>9935</v>
      </c>
      <c r="L131">
        <v>7980</v>
      </c>
      <c r="M131" t="s">
        <v>1090</v>
      </c>
      <c r="N131">
        <v>8190</v>
      </c>
      <c r="O131">
        <v>7540</v>
      </c>
      <c r="P131">
        <v>6500</v>
      </c>
      <c r="Q131" t="s">
        <v>38</v>
      </c>
      <c r="R131">
        <v>25</v>
      </c>
      <c r="S131">
        <v>1</v>
      </c>
      <c r="T131" t="s">
        <v>1092</v>
      </c>
      <c r="U131" t="s">
        <v>1093</v>
      </c>
      <c r="V131">
        <v>0</v>
      </c>
      <c r="W131" s="8" t="str">
        <f t="shared" ref="W131:W194" si="2">"("&amp;A131&amp;","&amp;B131&amp;","&amp;C131&amp;",'"&amp;D131&amp;"','"&amp;E131&amp;"','"&amp;F131&amp;"','"&amp;G131&amp;"',"&amp;H131&amp;","&amp;I131&amp;","&amp;J131&amp;","&amp;K131&amp;","&amp;L131&amp;","&amp;M131&amp;","&amp;N131&amp;","&amp;O131&amp;","&amp;P131&amp;",'"&amp;Q131&amp;"',"&amp;R131&amp;","&amp;S131&amp;",'"&amp;T131&amp;"','"&amp;U131&amp;"',"&amp;V131&amp;"),"</f>
        <v>(2598,null,1,'2026-03-24 00:00:00','003307020020001-33070200206','003307020020001-33070200206','小儿经胸腔镜肺癌根治术',null,null,11000,9935,7980,null,8190,7540,6500,'次',25,1,'normal','main',0),</v>
      </c>
    </row>
    <row r="132" spans="1:23">
      <c r="A132">
        <v>2599</v>
      </c>
      <c r="B132" t="s">
        <v>1090</v>
      </c>
      <c r="C132">
        <v>1</v>
      </c>
      <c r="D132" s="6" t="s">
        <v>1091</v>
      </c>
      <c r="E132" t="s">
        <v>589</v>
      </c>
      <c r="F132" t="s">
        <v>589</v>
      </c>
      <c r="G132" t="s">
        <v>590</v>
      </c>
      <c r="H132" t="s">
        <v>1090</v>
      </c>
      <c r="I132" t="s">
        <v>1090</v>
      </c>
      <c r="J132">
        <v>4870</v>
      </c>
      <c r="K132">
        <v>4385</v>
      </c>
      <c r="L132">
        <v>3735</v>
      </c>
      <c r="M132" t="s">
        <v>1090</v>
      </c>
      <c r="N132">
        <v>6800</v>
      </c>
      <c r="O132">
        <v>6300</v>
      </c>
      <c r="P132">
        <v>5400</v>
      </c>
      <c r="Q132" t="s">
        <v>38</v>
      </c>
      <c r="R132">
        <v>25</v>
      </c>
      <c r="S132">
        <v>1</v>
      </c>
      <c r="T132" t="s">
        <v>1092</v>
      </c>
      <c r="U132" t="s">
        <v>1093</v>
      </c>
      <c r="V132">
        <v>0</v>
      </c>
      <c r="W132" s="8" t="str">
        <f t="shared" si="2"/>
        <v>(2599,null,1,'2026-03-24 00:00:00','003307020080001-33070200802','003307020080001-33070200802','全肺切除术--经心包内全肺切除及部分心房切除术',null,null,4870,4385,3735,null,6800,6300,5400,'次',25,1,'normal','main',0),</v>
      </c>
    </row>
    <row r="133" spans="1:23">
      <c r="A133">
        <v>2600</v>
      </c>
      <c r="B133" t="s">
        <v>1090</v>
      </c>
      <c r="C133">
        <v>1</v>
      </c>
      <c r="D133" s="6" t="s">
        <v>1091</v>
      </c>
      <c r="E133" t="s">
        <v>592</v>
      </c>
      <c r="F133" t="s">
        <v>592</v>
      </c>
      <c r="G133" t="s">
        <v>593</v>
      </c>
      <c r="H133" t="s">
        <v>1090</v>
      </c>
      <c r="I133" t="s">
        <v>1090</v>
      </c>
      <c r="J133">
        <v>5495</v>
      </c>
      <c r="K133">
        <v>4985</v>
      </c>
      <c r="L133">
        <v>4245</v>
      </c>
      <c r="M133" t="s">
        <v>1090</v>
      </c>
      <c r="N133">
        <v>6800</v>
      </c>
      <c r="O133">
        <v>6300</v>
      </c>
      <c r="P133">
        <v>5400</v>
      </c>
      <c r="Q133" t="s">
        <v>38</v>
      </c>
      <c r="R133">
        <v>25</v>
      </c>
      <c r="S133">
        <v>1</v>
      </c>
      <c r="T133" t="s">
        <v>1092</v>
      </c>
      <c r="U133" t="s">
        <v>1093</v>
      </c>
      <c r="V133">
        <v>0</v>
      </c>
      <c r="W133" s="8" t="str">
        <f t="shared" si="2"/>
        <v>(2600,null,1,'2026-03-24 00:00:00','003307020080002-33070200808','003307020080002-33070200808','经胸腔镜全肺切除术-经心包内全肺切除及部分心房切除',null,null,5495,4985,4245,null,6800,6300,5400,'次',25,1,'normal','main',0),</v>
      </c>
    </row>
    <row r="134" spans="1:23">
      <c r="A134">
        <v>2601</v>
      </c>
      <c r="B134" t="s">
        <v>1090</v>
      </c>
      <c r="C134">
        <v>1</v>
      </c>
      <c r="D134" s="6" t="s">
        <v>1091</v>
      </c>
      <c r="E134" t="s">
        <v>594</v>
      </c>
      <c r="F134" t="s">
        <v>594</v>
      </c>
      <c r="G134" t="s">
        <v>595</v>
      </c>
      <c r="H134" t="s">
        <v>1090</v>
      </c>
      <c r="I134" t="s">
        <v>1090</v>
      </c>
      <c r="J134">
        <v>4220</v>
      </c>
      <c r="K134">
        <v>3800</v>
      </c>
      <c r="L134">
        <v>3230</v>
      </c>
      <c r="M134" t="s">
        <v>1090</v>
      </c>
      <c r="N134">
        <v>6800</v>
      </c>
      <c r="O134">
        <v>6300</v>
      </c>
      <c r="P134">
        <v>5400</v>
      </c>
      <c r="Q134" t="s">
        <v>38</v>
      </c>
      <c r="R134">
        <v>25</v>
      </c>
      <c r="S134">
        <v>1</v>
      </c>
      <c r="T134" t="s">
        <v>1092</v>
      </c>
      <c r="U134" t="s">
        <v>1093</v>
      </c>
      <c r="V134">
        <v>0</v>
      </c>
      <c r="W134" s="8" t="str">
        <f t="shared" si="2"/>
        <v>(2601,null,1,'2026-03-24 00:00:00','003307020100000-330702010','003307020100000-330702010','胸膜肺全切除术',null,null,4220,3800,3230,null,6800,6300,5400,'次',25,1,'normal','main',0),</v>
      </c>
    </row>
    <row r="135" spans="1:23">
      <c r="A135">
        <v>2602</v>
      </c>
      <c r="B135" t="s">
        <v>1090</v>
      </c>
      <c r="C135">
        <v>1</v>
      </c>
      <c r="D135" s="6" t="s">
        <v>1091</v>
      </c>
      <c r="E135" t="s">
        <v>597</v>
      </c>
      <c r="F135" t="s">
        <v>597</v>
      </c>
      <c r="G135" t="s">
        <v>598</v>
      </c>
      <c r="H135" t="s">
        <v>1090</v>
      </c>
      <c r="I135" t="s">
        <v>1090</v>
      </c>
      <c r="J135">
        <v>4845</v>
      </c>
      <c r="K135">
        <v>4400</v>
      </c>
      <c r="L135">
        <v>3740</v>
      </c>
      <c r="M135" t="s">
        <v>1090</v>
      </c>
      <c r="N135">
        <v>6800</v>
      </c>
      <c r="O135">
        <v>6300</v>
      </c>
      <c r="P135">
        <v>5400</v>
      </c>
      <c r="Q135" t="s">
        <v>38</v>
      </c>
      <c r="R135">
        <v>25</v>
      </c>
      <c r="S135">
        <v>1</v>
      </c>
      <c r="T135" t="s">
        <v>1092</v>
      </c>
      <c r="U135" t="s">
        <v>1093</v>
      </c>
      <c r="V135">
        <v>0</v>
      </c>
      <c r="W135" s="8" t="str">
        <f t="shared" si="2"/>
        <v>(2602,null,1,'2026-03-24 00:00:00','003307020100000-33070201004','003307020100000-33070201004','经胸腔镜胸膜肺全切除术',null,null,4845,4400,3740,null,6800,6300,5400,'次',25,1,'normal','main',0),</v>
      </c>
    </row>
    <row r="136" spans="1:23">
      <c r="A136">
        <v>2603</v>
      </c>
      <c r="B136" t="s">
        <v>1090</v>
      </c>
      <c r="C136">
        <v>1</v>
      </c>
      <c r="D136" s="6" t="s">
        <v>1091</v>
      </c>
      <c r="E136" t="s">
        <v>601</v>
      </c>
      <c r="F136" t="s">
        <v>601</v>
      </c>
      <c r="G136" t="s">
        <v>602</v>
      </c>
      <c r="H136" t="s">
        <v>1090</v>
      </c>
      <c r="I136" t="s">
        <v>1090</v>
      </c>
      <c r="J136">
        <v>6330</v>
      </c>
      <c r="K136">
        <v>5700</v>
      </c>
      <c r="L136">
        <v>4845</v>
      </c>
      <c r="M136" t="s">
        <v>1090</v>
      </c>
      <c r="N136">
        <v>8840</v>
      </c>
      <c r="O136">
        <v>8190</v>
      </c>
      <c r="P136">
        <v>7020</v>
      </c>
      <c r="Q136" t="s">
        <v>38</v>
      </c>
      <c r="R136">
        <v>25</v>
      </c>
      <c r="S136">
        <v>1</v>
      </c>
      <c r="T136" t="s">
        <v>1092</v>
      </c>
      <c r="U136" t="s">
        <v>1093</v>
      </c>
      <c r="V136">
        <v>0</v>
      </c>
      <c r="W136" s="8" t="str">
        <f t="shared" si="2"/>
        <v>(2603,null,1,'2026-03-24 00:00:00','003307020080001-33070200805','003307020080001-33070200805','小儿全肺切除术-经心包内全肺切除及部分心房切除术',null,null,6330,5700,4845,null,8840,8190,7020,'次',25,1,'normal','main',0),</v>
      </c>
    </row>
    <row r="137" spans="1:23">
      <c r="A137">
        <v>2604</v>
      </c>
      <c r="B137" t="s">
        <v>1090</v>
      </c>
      <c r="C137">
        <v>1</v>
      </c>
      <c r="D137" s="6" t="s">
        <v>1091</v>
      </c>
      <c r="E137" t="s">
        <v>603</v>
      </c>
      <c r="F137" t="s">
        <v>603</v>
      </c>
      <c r="G137" t="s">
        <v>604</v>
      </c>
      <c r="H137" t="s">
        <v>1090</v>
      </c>
      <c r="I137" t="s">
        <v>1090</v>
      </c>
      <c r="J137">
        <v>6955</v>
      </c>
      <c r="K137">
        <v>6300</v>
      </c>
      <c r="L137">
        <v>5355</v>
      </c>
      <c r="M137" t="s">
        <v>1090</v>
      </c>
      <c r="N137">
        <v>8840</v>
      </c>
      <c r="O137">
        <v>8190</v>
      </c>
      <c r="P137">
        <v>7020</v>
      </c>
      <c r="Q137" t="s">
        <v>38</v>
      </c>
      <c r="R137">
        <v>25</v>
      </c>
      <c r="S137">
        <v>1</v>
      </c>
      <c r="T137" t="s">
        <v>1092</v>
      </c>
      <c r="U137" t="s">
        <v>1093</v>
      </c>
      <c r="V137">
        <v>0</v>
      </c>
      <c r="W137" s="8" t="str">
        <f t="shared" si="2"/>
        <v>(2604,null,1,'2026-03-24 00:00:00','003307020080002-33070200811','003307020080002-33070200811','小儿经胸腔镜全肺切除术-经心包内全肺切除及部分心房切除',null,null,6955,6300,5355,null,8840,8190,7020,'次',25,1,'normal','main',0),</v>
      </c>
    </row>
    <row r="138" spans="1:23">
      <c r="A138">
        <v>2605</v>
      </c>
      <c r="B138" t="s">
        <v>1090</v>
      </c>
      <c r="C138">
        <v>1</v>
      </c>
      <c r="D138" s="6" t="s">
        <v>1091</v>
      </c>
      <c r="E138" t="s">
        <v>605</v>
      </c>
      <c r="F138" t="s">
        <v>605</v>
      </c>
      <c r="G138" t="s">
        <v>606</v>
      </c>
      <c r="H138" t="s">
        <v>1090</v>
      </c>
      <c r="I138" t="s">
        <v>1090</v>
      </c>
      <c r="J138">
        <v>5485</v>
      </c>
      <c r="K138">
        <v>4940</v>
      </c>
      <c r="L138">
        <v>4200</v>
      </c>
      <c r="M138" t="s">
        <v>1090</v>
      </c>
      <c r="N138">
        <v>8840</v>
      </c>
      <c r="O138">
        <v>8190</v>
      </c>
      <c r="P138">
        <v>7020</v>
      </c>
      <c r="Q138" t="s">
        <v>38</v>
      </c>
      <c r="R138">
        <v>25</v>
      </c>
      <c r="S138">
        <v>1</v>
      </c>
      <c r="T138" t="s">
        <v>1092</v>
      </c>
      <c r="U138" t="s">
        <v>1093</v>
      </c>
      <c r="V138">
        <v>0</v>
      </c>
      <c r="W138" s="8" t="str">
        <f t="shared" si="2"/>
        <v>(2605,null,1,'2026-03-24 00:00:00','003307020100000-33070201002','003307020100000-33070201002','小儿胸膜肺全切除术',null,null,5485,4940,4200,null,8840,8190,7020,'次',25,1,'normal','main',0),</v>
      </c>
    </row>
    <row r="139" spans="1:23">
      <c r="A139">
        <v>2606</v>
      </c>
      <c r="B139" t="s">
        <v>1090</v>
      </c>
      <c r="C139">
        <v>1</v>
      </c>
      <c r="D139" s="6" t="s">
        <v>1091</v>
      </c>
      <c r="E139" t="s">
        <v>607</v>
      </c>
      <c r="F139" t="s">
        <v>607</v>
      </c>
      <c r="G139" t="s">
        <v>608</v>
      </c>
      <c r="H139" t="s">
        <v>1090</v>
      </c>
      <c r="I139" t="s">
        <v>1090</v>
      </c>
      <c r="J139">
        <v>6110</v>
      </c>
      <c r="K139">
        <v>5540</v>
      </c>
      <c r="L139">
        <v>4710</v>
      </c>
      <c r="M139" t="s">
        <v>1090</v>
      </c>
      <c r="N139">
        <v>8840</v>
      </c>
      <c r="O139">
        <v>8190</v>
      </c>
      <c r="P139">
        <v>7020</v>
      </c>
      <c r="Q139" t="s">
        <v>38</v>
      </c>
      <c r="R139">
        <v>25</v>
      </c>
      <c r="S139">
        <v>1</v>
      </c>
      <c r="T139" t="s">
        <v>1092</v>
      </c>
      <c r="U139" t="s">
        <v>1093</v>
      </c>
      <c r="V139">
        <v>0</v>
      </c>
      <c r="W139" s="8" t="str">
        <f t="shared" si="2"/>
        <v>(2606,null,1,'2026-03-24 00:00:00','003307020100000-33070201006','003307020100000-33070201006','小儿经胸腔镜胸膜肺全切除术',null,null,6110,5540,4710,null,8840,8190,7020,'次',25,1,'normal','main',0),</v>
      </c>
    </row>
    <row r="140" spans="1:23">
      <c r="A140">
        <v>2607</v>
      </c>
      <c r="B140" t="s">
        <v>1090</v>
      </c>
      <c r="C140">
        <v>1</v>
      </c>
      <c r="D140" s="6" t="s">
        <v>1091</v>
      </c>
      <c r="E140" t="s">
        <v>513</v>
      </c>
      <c r="F140" t="s">
        <v>513</v>
      </c>
      <c r="G140" t="s">
        <v>514</v>
      </c>
      <c r="H140" t="s">
        <v>1090</v>
      </c>
      <c r="I140" t="s">
        <v>1090</v>
      </c>
      <c r="J140">
        <v>10375</v>
      </c>
      <c r="K140">
        <v>9335</v>
      </c>
      <c r="L140">
        <v>7470</v>
      </c>
      <c r="M140" t="s">
        <v>1090</v>
      </c>
      <c r="N140">
        <v>8840</v>
      </c>
      <c r="O140">
        <v>8190</v>
      </c>
      <c r="P140">
        <v>7020</v>
      </c>
      <c r="Q140" t="s">
        <v>38</v>
      </c>
      <c r="R140">
        <v>25</v>
      </c>
      <c r="S140">
        <v>1</v>
      </c>
      <c r="T140" t="s">
        <v>1092</v>
      </c>
      <c r="U140" t="s">
        <v>1093</v>
      </c>
      <c r="V140">
        <v>0</v>
      </c>
      <c r="W140" s="8" t="str">
        <f t="shared" si="2"/>
        <v>(2607,null,1,'2026-03-24 00:00:00','003307020020000-33070200202','003307020020000-33070200202','小儿肺癌根治术',null,null,10375,9335,7470,null,8840,8190,7020,'次',25,1,'normal','main',0),</v>
      </c>
    </row>
    <row r="141" spans="1:23">
      <c r="A141">
        <v>2608</v>
      </c>
      <c r="B141" t="s">
        <v>1090</v>
      </c>
      <c r="C141">
        <v>1</v>
      </c>
      <c r="D141" s="6" t="s">
        <v>1091</v>
      </c>
      <c r="E141" t="s">
        <v>515</v>
      </c>
      <c r="F141" t="s">
        <v>515</v>
      </c>
      <c r="G141" t="s">
        <v>516</v>
      </c>
      <c r="H141" t="s">
        <v>1090</v>
      </c>
      <c r="I141" t="s">
        <v>1090</v>
      </c>
      <c r="J141">
        <v>11000</v>
      </c>
      <c r="K141">
        <v>9935</v>
      </c>
      <c r="L141">
        <v>7980</v>
      </c>
      <c r="M141" t="s">
        <v>1090</v>
      </c>
      <c r="N141">
        <v>8840</v>
      </c>
      <c r="O141">
        <v>8190</v>
      </c>
      <c r="P141">
        <v>7020</v>
      </c>
      <c r="Q141" t="s">
        <v>38</v>
      </c>
      <c r="R141">
        <v>25</v>
      </c>
      <c r="S141">
        <v>1</v>
      </c>
      <c r="T141" t="s">
        <v>1092</v>
      </c>
      <c r="U141" t="s">
        <v>1093</v>
      </c>
      <c r="V141">
        <v>0</v>
      </c>
      <c r="W141" s="8" t="str">
        <f t="shared" si="2"/>
        <v>(2608,null,1,'2026-03-24 00:00:00','003307020020001-33070200206','003307020020001-33070200206','小儿经胸腔镜肺癌根治术',null,null,11000,9935,7980,null,8840,8190,7020,'次',25,1,'normal','main',0),</v>
      </c>
    </row>
    <row r="142" spans="1:23">
      <c r="A142">
        <v>2609</v>
      </c>
      <c r="B142" t="s">
        <v>1090</v>
      </c>
      <c r="C142">
        <v>1</v>
      </c>
      <c r="D142" s="6" t="s">
        <v>1091</v>
      </c>
      <c r="E142" t="s">
        <v>614</v>
      </c>
      <c r="F142" t="s">
        <v>614</v>
      </c>
      <c r="G142" t="s">
        <v>615</v>
      </c>
      <c r="H142" t="s">
        <v>1090</v>
      </c>
      <c r="I142" t="s">
        <v>1090</v>
      </c>
      <c r="J142">
        <v>1500</v>
      </c>
      <c r="K142">
        <v>1440</v>
      </c>
      <c r="L142">
        <v>1224</v>
      </c>
      <c r="M142" t="s">
        <v>1090</v>
      </c>
      <c r="N142">
        <v>2700</v>
      </c>
      <c r="O142">
        <v>2450</v>
      </c>
      <c r="P142">
        <v>2100</v>
      </c>
      <c r="Q142" t="s">
        <v>38</v>
      </c>
      <c r="R142">
        <v>25</v>
      </c>
      <c r="S142">
        <v>1</v>
      </c>
      <c r="T142" t="s">
        <v>1092</v>
      </c>
      <c r="U142" t="s">
        <v>1093</v>
      </c>
      <c r="V142">
        <v>0</v>
      </c>
      <c r="W142" s="8" t="str">
        <f t="shared" si="2"/>
        <v>(2609,null,1,'2026-03-24 00:00:00','003307020110000-330702011','003307020110000-330702011','肺修补术',null,null,1500,1440,1224,null,2700,2450,2100,'次',25,1,'normal','main',0),</v>
      </c>
    </row>
    <row r="143" spans="1:23">
      <c r="A143">
        <v>2610</v>
      </c>
      <c r="B143" t="s">
        <v>1090</v>
      </c>
      <c r="C143">
        <v>1</v>
      </c>
      <c r="D143" s="6" t="s">
        <v>1091</v>
      </c>
      <c r="E143" t="s">
        <v>616</v>
      </c>
      <c r="F143" t="s">
        <v>616</v>
      </c>
      <c r="G143" t="s">
        <v>617</v>
      </c>
      <c r="H143" t="s">
        <v>1090</v>
      </c>
      <c r="I143" t="s">
        <v>1090</v>
      </c>
      <c r="J143">
        <v>2125</v>
      </c>
      <c r="K143">
        <v>2040</v>
      </c>
      <c r="L143">
        <v>1734</v>
      </c>
      <c r="M143" t="s">
        <v>1090</v>
      </c>
      <c r="N143">
        <v>2700</v>
      </c>
      <c r="O143">
        <v>2450</v>
      </c>
      <c r="P143">
        <v>2100</v>
      </c>
      <c r="Q143" t="s">
        <v>38</v>
      </c>
      <c r="R143">
        <v>25</v>
      </c>
      <c r="S143">
        <v>1</v>
      </c>
      <c r="T143" t="s">
        <v>1092</v>
      </c>
      <c r="U143" t="s">
        <v>1093</v>
      </c>
      <c r="V143">
        <v>0</v>
      </c>
      <c r="W143" s="8" t="str">
        <f t="shared" si="2"/>
        <v>(2610,null,1,'2026-03-24 00:00:00','003307020110100-33070201104','003307020110100-33070201104','经胸腔镜肺修补术',null,null,2125,2040,1734,null,2700,2450,2100,'次',25,1,'normal','main',0),</v>
      </c>
    </row>
    <row r="144" spans="1:23">
      <c r="A144">
        <v>2611</v>
      </c>
      <c r="B144" t="s">
        <v>1090</v>
      </c>
      <c r="C144">
        <v>1</v>
      </c>
      <c r="D144" s="6" t="s">
        <v>1091</v>
      </c>
      <c r="E144" t="s">
        <v>620</v>
      </c>
      <c r="F144" t="s">
        <v>620</v>
      </c>
      <c r="G144" t="s">
        <v>621</v>
      </c>
      <c r="H144" t="s">
        <v>1090</v>
      </c>
      <c r="I144" t="s">
        <v>1090</v>
      </c>
      <c r="J144">
        <v>1950</v>
      </c>
      <c r="K144">
        <v>1870</v>
      </c>
      <c r="L144">
        <v>1590</v>
      </c>
      <c r="M144" t="s">
        <v>1090</v>
      </c>
      <c r="N144">
        <v>3510</v>
      </c>
      <c r="O144">
        <v>3185</v>
      </c>
      <c r="P144">
        <v>2730</v>
      </c>
      <c r="Q144" t="s">
        <v>38</v>
      </c>
      <c r="R144">
        <v>25</v>
      </c>
      <c r="S144">
        <v>1</v>
      </c>
      <c r="T144" t="s">
        <v>1092</v>
      </c>
      <c r="U144" t="s">
        <v>1093</v>
      </c>
      <c r="V144">
        <v>0</v>
      </c>
      <c r="W144" s="8" t="str">
        <f t="shared" si="2"/>
        <v>(2611,null,1,'2026-03-24 00:00:00','003307020110000-33070201102','003307020110000-33070201102','小儿肺修补术',null,null,1950,1870,1590,null,3510,3185,2730,'次',25,1,'normal','main',0),</v>
      </c>
    </row>
    <row r="145" spans="1:23">
      <c r="A145">
        <v>2612</v>
      </c>
      <c r="B145" t="s">
        <v>1090</v>
      </c>
      <c r="C145">
        <v>1</v>
      </c>
      <c r="D145" s="6" t="s">
        <v>1091</v>
      </c>
      <c r="E145" t="s">
        <v>622</v>
      </c>
      <c r="F145" t="s">
        <v>622</v>
      </c>
      <c r="G145" t="s">
        <v>623</v>
      </c>
      <c r="H145" t="s">
        <v>1090</v>
      </c>
      <c r="I145" t="s">
        <v>1090</v>
      </c>
      <c r="J145">
        <v>2575</v>
      </c>
      <c r="K145">
        <v>2470</v>
      </c>
      <c r="L145">
        <v>2100</v>
      </c>
      <c r="M145" t="s">
        <v>1090</v>
      </c>
      <c r="N145">
        <v>3510</v>
      </c>
      <c r="O145">
        <v>3185</v>
      </c>
      <c r="P145">
        <v>2730</v>
      </c>
      <c r="Q145" t="s">
        <v>38</v>
      </c>
      <c r="R145">
        <v>25</v>
      </c>
      <c r="S145">
        <v>1</v>
      </c>
      <c r="T145" t="s">
        <v>1092</v>
      </c>
      <c r="U145" t="s">
        <v>1093</v>
      </c>
      <c r="V145">
        <v>0</v>
      </c>
      <c r="W145" s="8" t="str">
        <f t="shared" si="2"/>
        <v>(2612,null,1,'2026-03-24 00:00:00','003307020110100-33070201106','003307020110100-33070201106','小儿经胸腔镜肺修补术',null,null,2575,2470,2100,null,3510,3185,2730,'次',25,1,'normal','main',0),</v>
      </c>
    </row>
    <row r="146" spans="1:23">
      <c r="A146">
        <v>2613</v>
      </c>
      <c r="B146" t="s">
        <v>1090</v>
      </c>
      <c r="C146">
        <v>1</v>
      </c>
      <c r="D146" s="6" t="s">
        <v>1091</v>
      </c>
      <c r="E146" t="s">
        <v>628</v>
      </c>
      <c r="F146" t="s">
        <v>628</v>
      </c>
      <c r="G146" t="s">
        <v>629</v>
      </c>
      <c r="H146" t="s">
        <v>1090</v>
      </c>
      <c r="I146" t="s">
        <v>1090</v>
      </c>
      <c r="J146">
        <v>3380</v>
      </c>
      <c r="K146">
        <v>3040</v>
      </c>
      <c r="L146">
        <v>2580</v>
      </c>
      <c r="M146" t="s">
        <v>1090</v>
      </c>
      <c r="N146">
        <v>4000</v>
      </c>
      <c r="O146">
        <v>3600</v>
      </c>
      <c r="P146">
        <v>3100</v>
      </c>
      <c r="Q146" t="s">
        <v>38</v>
      </c>
      <c r="R146">
        <v>25</v>
      </c>
      <c r="S146">
        <v>1</v>
      </c>
      <c r="T146" t="s">
        <v>1092</v>
      </c>
      <c r="U146" t="s">
        <v>1093</v>
      </c>
      <c r="V146">
        <v>0</v>
      </c>
      <c r="W146" s="8" t="str">
        <f t="shared" si="2"/>
        <v>(2613,null,1,'2026-03-24 00:00:00','003303000180000-330300018','003303000180000-330300018','胸腺切除术',null,null,3380,3040,2580,null,4000,3600,3100,'次',25,1,'normal','main',0),</v>
      </c>
    </row>
    <row r="147" spans="1:23">
      <c r="A147">
        <v>2614</v>
      </c>
      <c r="B147" t="s">
        <v>1090</v>
      </c>
      <c r="C147">
        <v>1</v>
      </c>
      <c r="D147" s="6" t="s">
        <v>1091</v>
      </c>
      <c r="E147" t="s">
        <v>631</v>
      </c>
      <c r="F147" t="s">
        <v>631</v>
      </c>
      <c r="G147" t="s">
        <v>632</v>
      </c>
      <c r="H147" t="s">
        <v>1090</v>
      </c>
      <c r="I147" t="s">
        <v>1090</v>
      </c>
      <c r="J147">
        <v>4005</v>
      </c>
      <c r="K147">
        <v>3640</v>
      </c>
      <c r="L147">
        <v>3090</v>
      </c>
      <c r="M147" t="s">
        <v>1090</v>
      </c>
      <c r="N147">
        <v>4000</v>
      </c>
      <c r="O147">
        <v>3600</v>
      </c>
      <c r="P147">
        <v>3100</v>
      </c>
      <c r="Q147" t="s">
        <v>38</v>
      </c>
      <c r="R147">
        <v>25</v>
      </c>
      <c r="S147">
        <v>1</v>
      </c>
      <c r="T147" t="s">
        <v>1092</v>
      </c>
      <c r="U147" t="s">
        <v>1093</v>
      </c>
      <c r="V147">
        <v>0</v>
      </c>
      <c r="W147" s="8" t="str">
        <f t="shared" si="2"/>
        <v>(2614,null,1,'2026-03-24 00:00:00','003303000180001-33030001802','003303000180001-33030001802','经胸腔镜胸腺切除术',null,null,4005,3640,3090,null,4000,3600,3100,'次',25,1,'normal','main',0),</v>
      </c>
    </row>
    <row r="148" spans="1:23">
      <c r="A148">
        <v>2615</v>
      </c>
      <c r="B148" t="s">
        <v>1090</v>
      </c>
      <c r="C148">
        <v>1</v>
      </c>
      <c r="D148" s="6" t="s">
        <v>1091</v>
      </c>
      <c r="E148" t="s">
        <v>635</v>
      </c>
      <c r="F148" t="s">
        <v>635</v>
      </c>
      <c r="G148" t="s">
        <v>636</v>
      </c>
      <c r="H148" t="s">
        <v>1090</v>
      </c>
      <c r="I148" t="s">
        <v>1090</v>
      </c>
      <c r="J148">
        <v>4395</v>
      </c>
      <c r="K148">
        <v>3950</v>
      </c>
      <c r="L148">
        <v>3360</v>
      </c>
      <c r="M148" t="s">
        <v>1090</v>
      </c>
      <c r="N148">
        <v>5200</v>
      </c>
      <c r="O148">
        <v>4680</v>
      </c>
      <c r="P148">
        <v>4030</v>
      </c>
      <c r="Q148" t="s">
        <v>38</v>
      </c>
      <c r="R148">
        <v>25</v>
      </c>
      <c r="S148">
        <v>1</v>
      </c>
      <c r="T148" t="s">
        <v>1092</v>
      </c>
      <c r="U148" t="s">
        <v>1093</v>
      </c>
      <c r="V148">
        <v>0</v>
      </c>
      <c r="W148" s="8" t="str">
        <f t="shared" si="2"/>
        <v>(2615,null,1,'2026-03-24 00:00:00','003303000180000-33030001801','003303000180000-33030001801','小儿胸腺切除术',null,null,4395,3950,3360,null,5200,4680,4030,'次',25,1,'normal','main',0),</v>
      </c>
    </row>
    <row r="149" spans="1:23">
      <c r="A149">
        <v>2616</v>
      </c>
      <c r="B149" t="s">
        <v>1090</v>
      </c>
      <c r="C149">
        <v>1</v>
      </c>
      <c r="D149" s="6" t="s">
        <v>1091</v>
      </c>
      <c r="E149" t="s">
        <v>637</v>
      </c>
      <c r="F149" t="s">
        <v>637</v>
      </c>
      <c r="G149" t="s">
        <v>638</v>
      </c>
      <c r="H149" t="s">
        <v>1090</v>
      </c>
      <c r="I149" t="s">
        <v>1090</v>
      </c>
      <c r="J149">
        <v>5020</v>
      </c>
      <c r="K149">
        <v>4550</v>
      </c>
      <c r="L149">
        <v>3870</v>
      </c>
      <c r="M149" t="s">
        <v>1090</v>
      </c>
      <c r="N149">
        <v>5200</v>
      </c>
      <c r="O149">
        <v>4680</v>
      </c>
      <c r="P149">
        <v>4030</v>
      </c>
      <c r="Q149" t="s">
        <v>38</v>
      </c>
      <c r="R149">
        <v>25</v>
      </c>
      <c r="S149">
        <v>1</v>
      </c>
      <c r="T149" t="s">
        <v>1092</v>
      </c>
      <c r="U149" t="s">
        <v>1093</v>
      </c>
      <c r="V149">
        <v>0</v>
      </c>
      <c r="W149" s="8" t="str">
        <f t="shared" si="2"/>
        <v>(2616,null,1,'2026-03-24 00:00:00','003303000180001-33030001803','003303000180001-33030001803','小儿经胸腔镜胸腺切除术',null,null,5020,4550,3870,null,5200,4680,4030,'次',25,1,'normal','main',0),</v>
      </c>
    </row>
    <row r="150" spans="1:23">
      <c r="A150">
        <v>2617</v>
      </c>
      <c r="B150" t="s">
        <v>1090</v>
      </c>
      <c r="C150">
        <v>1</v>
      </c>
      <c r="D150" s="6" t="s">
        <v>1091</v>
      </c>
      <c r="E150" t="s">
        <v>644</v>
      </c>
      <c r="F150" t="s">
        <v>644</v>
      </c>
      <c r="G150" t="s">
        <v>645</v>
      </c>
      <c r="H150" t="s">
        <v>1090</v>
      </c>
      <c r="I150" t="s">
        <v>1090</v>
      </c>
      <c r="J150">
        <v>1625</v>
      </c>
      <c r="K150">
        <v>1560</v>
      </c>
      <c r="L150">
        <v>1326</v>
      </c>
      <c r="M150" t="s">
        <v>1090</v>
      </c>
      <c r="N150">
        <v>2250</v>
      </c>
      <c r="O150">
        <v>2050</v>
      </c>
      <c r="P150">
        <v>1750</v>
      </c>
      <c r="Q150" t="s">
        <v>38</v>
      </c>
      <c r="R150">
        <v>25</v>
      </c>
      <c r="S150">
        <v>1</v>
      </c>
      <c r="T150" t="s">
        <v>1092</v>
      </c>
      <c r="U150" t="s">
        <v>1093</v>
      </c>
      <c r="V150">
        <v>0</v>
      </c>
      <c r="W150" s="8" t="str">
        <f t="shared" si="2"/>
        <v>(2617,null,1,'2026-03-24 00:00:00','003307030120000-330703012','003307030120000-330703012','胸壁肿瘤切除术',null,null,1625,1560,1326,null,2250,2050,1750,'次',25,1,'normal','main',0),</v>
      </c>
    </row>
    <row r="151" spans="1:23">
      <c r="A151">
        <v>2618</v>
      </c>
      <c r="B151" t="s">
        <v>1090</v>
      </c>
      <c r="C151">
        <v>1</v>
      </c>
      <c r="D151" s="6" t="s">
        <v>1091</v>
      </c>
      <c r="E151" t="s">
        <v>647</v>
      </c>
      <c r="F151" t="s">
        <v>647</v>
      </c>
      <c r="G151" t="s">
        <v>648</v>
      </c>
      <c r="H151" t="s">
        <v>1090</v>
      </c>
      <c r="I151" t="s">
        <v>1090</v>
      </c>
      <c r="J151">
        <v>2250</v>
      </c>
      <c r="K151">
        <v>2160</v>
      </c>
      <c r="L151">
        <v>1836</v>
      </c>
      <c r="M151" t="s">
        <v>1090</v>
      </c>
      <c r="N151">
        <v>2250</v>
      </c>
      <c r="O151">
        <v>2050</v>
      </c>
      <c r="P151">
        <v>1750</v>
      </c>
      <c r="Q151" t="s">
        <v>38</v>
      </c>
      <c r="R151">
        <v>25</v>
      </c>
      <c r="S151">
        <v>1</v>
      </c>
      <c r="T151" t="s">
        <v>1092</v>
      </c>
      <c r="U151" t="s">
        <v>1093</v>
      </c>
      <c r="V151">
        <v>0</v>
      </c>
      <c r="W151" s="8" t="str">
        <f t="shared" si="2"/>
        <v>(2618,null,1,'2026-03-24 00:00:00','003307030120000-33070301202','003307030120000-33070301202','经胸腔镜胸壁肿瘤切除术',null,null,2250,2160,1836,null,2250,2050,1750,'次',25,1,'normal','main',0),</v>
      </c>
    </row>
    <row r="152" spans="1:23">
      <c r="A152">
        <v>2619</v>
      </c>
      <c r="B152" t="s">
        <v>1090</v>
      </c>
      <c r="C152">
        <v>1</v>
      </c>
      <c r="D152" s="6" t="s">
        <v>1091</v>
      </c>
      <c r="E152" t="s">
        <v>649</v>
      </c>
      <c r="F152" t="s">
        <v>649</v>
      </c>
      <c r="G152" t="s">
        <v>650</v>
      </c>
      <c r="H152" t="s">
        <v>1090</v>
      </c>
      <c r="I152" t="s">
        <v>1090</v>
      </c>
      <c r="J152">
        <v>1625</v>
      </c>
      <c r="K152">
        <v>1560</v>
      </c>
      <c r="L152">
        <v>1326</v>
      </c>
      <c r="M152" t="s">
        <v>1090</v>
      </c>
      <c r="N152">
        <v>2250</v>
      </c>
      <c r="O152">
        <v>2050</v>
      </c>
      <c r="P152">
        <v>1750</v>
      </c>
      <c r="Q152" t="s">
        <v>38</v>
      </c>
      <c r="R152">
        <v>25</v>
      </c>
      <c r="S152">
        <v>1</v>
      </c>
      <c r="T152" t="s">
        <v>1092</v>
      </c>
      <c r="U152" t="s">
        <v>1093</v>
      </c>
      <c r="V152">
        <v>0</v>
      </c>
      <c r="W152" s="8" t="str">
        <f t="shared" si="2"/>
        <v>(2619,null,1,'2026-03-24 00:00:00','003307030080000-330703008','003307030080000-330703008','胸壁结核病灶清除术',null,null,1625,1560,1326,null,2250,2050,1750,'次',25,1,'normal','main',0),</v>
      </c>
    </row>
    <row r="153" spans="1:23">
      <c r="A153">
        <v>2620</v>
      </c>
      <c r="B153" t="s">
        <v>1090</v>
      </c>
      <c r="C153">
        <v>1</v>
      </c>
      <c r="D153" s="6" t="s">
        <v>1091</v>
      </c>
      <c r="E153" t="s">
        <v>652</v>
      </c>
      <c r="F153" t="s">
        <v>652</v>
      </c>
      <c r="G153" t="s">
        <v>653</v>
      </c>
      <c r="H153" t="s">
        <v>1090</v>
      </c>
      <c r="I153" t="s">
        <v>1090</v>
      </c>
      <c r="J153">
        <v>2250</v>
      </c>
      <c r="K153">
        <v>2160</v>
      </c>
      <c r="L153">
        <v>1836</v>
      </c>
      <c r="M153" t="s">
        <v>1090</v>
      </c>
      <c r="N153">
        <v>2250</v>
      </c>
      <c r="O153">
        <v>2050</v>
      </c>
      <c r="P153">
        <v>1750</v>
      </c>
      <c r="Q153" t="s">
        <v>38</v>
      </c>
      <c r="R153">
        <v>25</v>
      </c>
      <c r="S153">
        <v>1</v>
      </c>
      <c r="T153" t="s">
        <v>1092</v>
      </c>
      <c r="U153" t="s">
        <v>1093</v>
      </c>
      <c r="V153">
        <v>0</v>
      </c>
      <c r="W153" s="8" t="str">
        <f t="shared" si="2"/>
        <v>(2620,null,1,'2026-03-24 00:00:00','003307030080000-33070300802','003307030080000-33070300802','经胸腔镜胸壁结核病灶清除术',null,null,2250,2160,1836,null,2250,2050,1750,'次',25,1,'normal','main',0),</v>
      </c>
    </row>
    <row r="154" spans="1:23">
      <c r="A154">
        <v>2621</v>
      </c>
      <c r="B154" t="s">
        <v>1090</v>
      </c>
      <c r="C154">
        <v>1</v>
      </c>
      <c r="D154" s="6" t="s">
        <v>1091</v>
      </c>
      <c r="E154" t="s">
        <v>656</v>
      </c>
      <c r="F154" t="s">
        <v>656</v>
      </c>
      <c r="G154" t="s">
        <v>657</v>
      </c>
      <c r="H154" t="s">
        <v>1090</v>
      </c>
      <c r="I154" t="s">
        <v>1090</v>
      </c>
      <c r="J154">
        <v>2115</v>
      </c>
      <c r="K154">
        <v>2030</v>
      </c>
      <c r="L154">
        <v>1725</v>
      </c>
      <c r="M154" t="s">
        <v>1090</v>
      </c>
      <c r="N154">
        <v>2925</v>
      </c>
      <c r="O154">
        <v>2665</v>
      </c>
      <c r="P154">
        <v>2275</v>
      </c>
      <c r="Q154" t="s">
        <v>38</v>
      </c>
      <c r="R154">
        <v>25</v>
      </c>
      <c r="S154">
        <v>1</v>
      </c>
      <c r="T154" t="s">
        <v>1092</v>
      </c>
      <c r="U154" t="s">
        <v>1093</v>
      </c>
      <c r="V154">
        <v>0</v>
      </c>
      <c r="W154" s="8" t="str">
        <f t="shared" si="2"/>
        <v>(2621,null,1,'2026-03-24 00:00:00','003307030120000-33070301201','003307030120000-33070301201','小儿胸壁肿瘤切除术',null,null,2115,2030,1725,null,2925,2665,2275,'次',25,1,'normal','main',0),</v>
      </c>
    </row>
    <row r="155" spans="1:23">
      <c r="A155">
        <v>2622</v>
      </c>
      <c r="B155" t="s">
        <v>1090</v>
      </c>
      <c r="C155">
        <v>1</v>
      </c>
      <c r="D155" s="6" t="s">
        <v>1091</v>
      </c>
      <c r="E155" t="s">
        <v>658</v>
      </c>
      <c r="F155" t="s">
        <v>658</v>
      </c>
      <c r="G155" t="s">
        <v>659</v>
      </c>
      <c r="H155" t="s">
        <v>1090</v>
      </c>
      <c r="I155" t="s">
        <v>1090</v>
      </c>
      <c r="J155">
        <v>2740</v>
      </c>
      <c r="K155">
        <v>2630</v>
      </c>
      <c r="L155">
        <v>2235</v>
      </c>
      <c r="M155" t="s">
        <v>1090</v>
      </c>
      <c r="N155">
        <v>2925</v>
      </c>
      <c r="O155">
        <v>2665</v>
      </c>
      <c r="P155">
        <v>2275</v>
      </c>
      <c r="Q155" t="s">
        <v>38</v>
      </c>
      <c r="R155">
        <v>25</v>
      </c>
      <c r="S155">
        <v>1</v>
      </c>
      <c r="T155" t="s">
        <v>1092</v>
      </c>
      <c r="U155" t="s">
        <v>1093</v>
      </c>
      <c r="V155">
        <v>0</v>
      </c>
      <c r="W155" s="8" t="str">
        <f t="shared" si="2"/>
        <v>(2622,null,1,'2026-03-24 00:00:00','003307030120000-33070301203','003307030120000-33070301203','小儿经胸腔镜胸壁肿瘤切除术',null,null,2740,2630,2235,null,2925,2665,2275,'次',25,1,'normal','main',0),</v>
      </c>
    </row>
    <row r="156" spans="1:23">
      <c r="A156">
        <v>2623</v>
      </c>
      <c r="B156" t="s">
        <v>1090</v>
      </c>
      <c r="C156">
        <v>1</v>
      </c>
      <c r="D156" s="6" t="s">
        <v>1091</v>
      </c>
      <c r="E156" t="s">
        <v>660</v>
      </c>
      <c r="F156" t="s">
        <v>660</v>
      </c>
      <c r="G156" t="s">
        <v>661</v>
      </c>
      <c r="H156" t="s">
        <v>1090</v>
      </c>
      <c r="I156" t="s">
        <v>1090</v>
      </c>
      <c r="J156">
        <v>2115</v>
      </c>
      <c r="K156">
        <v>2030</v>
      </c>
      <c r="L156">
        <v>1725</v>
      </c>
      <c r="M156" t="s">
        <v>1090</v>
      </c>
      <c r="N156">
        <v>2925</v>
      </c>
      <c r="O156">
        <v>2665</v>
      </c>
      <c r="P156">
        <v>2275</v>
      </c>
      <c r="Q156" t="s">
        <v>38</v>
      </c>
      <c r="R156">
        <v>25</v>
      </c>
      <c r="S156">
        <v>1</v>
      </c>
      <c r="T156" t="s">
        <v>1092</v>
      </c>
      <c r="U156" t="s">
        <v>1093</v>
      </c>
      <c r="V156">
        <v>0</v>
      </c>
      <c r="W156" s="8" t="str">
        <f t="shared" si="2"/>
        <v>(2623,null,1,'2026-03-24 00:00:00','003307030080000-33070300801','003307030080000-33070300801','小儿胸壁结核病灶清除术',null,null,2115,2030,1725,null,2925,2665,2275,'次',25,1,'normal','main',0),</v>
      </c>
    </row>
    <row r="157" spans="1:23">
      <c r="A157">
        <v>2624</v>
      </c>
      <c r="B157" t="s">
        <v>1090</v>
      </c>
      <c r="C157">
        <v>1</v>
      </c>
      <c r="D157" s="6" t="s">
        <v>1091</v>
      </c>
      <c r="E157" t="s">
        <v>662</v>
      </c>
      <c r="F157" t="s">
        <v>662</v>
      </c>
      <c r="G157" t="s">
        <v>663</v>
      </c>
      <c r="H157" t="s">
        <v>1090</v>
      </c>
      <c r="I157" t="s">
        <v>1090</v>
      </c>
      <c r="J157">
        <v>2740</v>
      </c>
      <c r="K157">
        <v>2630</v>
      </c>
      <c r="L157">
        <v>2235</v>
      </c>
      <c r="M157" t="s">
        <v>1090</v>
      </c>
      <c r="N157">
        <v>2925</v>
      </c>
      <c r="O157">
        <v>2665</v>
      </c>
      <c r="P157">
        <v>2275</v>
      </c>
      <c r="Q157" t="s">
        <v>38</v>
      </c>
      <c r="R157">
        <v>25</v>
      </c>
      <c r="S157">
        <v>1</v>
      </c>
      <c r="T157" t="s">
        <v>1092</v>
      </c>
      <c r="U157" t="s">
        <v>1093</v>
      </c>
      <c r="V157">
        <v>0</v>
      </c>
      <c r="W157" s="8" t="str">
        <f t="shared" si="2"/>
        <v>(2624,null,1,'2026-03-24 00:00:00','003307030080000-33070300803','003307030080000-33070300803','小儿经胸腔镜胸壁结核病灶清除术',null,null,2740,2630,2235,null,2925,2665,2275,'次',25,1,'normal','main',0),</v>
      </c>
    </row>
    <row r="158" spans="1:23">
      <c r="A158">
        <v>2625</v>
      </c>
      <c r="B158" t="s">
        <v>1090</v>
      </c>
      <c r="C158">
        <v>1</v>
      </c>
      <c r="D158" s="6" t="s">
        <v>1091</v>
      </c>
      <c r="E158" t="s">
        <v>668</v>
      </c>
      <c r="F158" t="s">
        <v>668</v>
      </c>
      <c r="G158" t="s">
        <v>669</v>
      </c>
      <c r="H158" t="s">
        <v>1090</v>
      </c>
      <c r="I158" t="s">
        <v>1090</v>
      </c>
      <c r="J158">
        <v>1875</v>
      </c>
      <c r="K158">
        <v>1800</v>
      </c>
      <c r="L158">
        <v>1530</v>
      </c>
      <c r="M158" t="s">
        <v>1090</v>
      </c>
      <c r="N158">
        <v>1150</v>
      </c>
      <c r="O158">
        <v>1030</v>
      </c>
      <c r="P158">
        <v>880</v>
      </c>
      <c r="Q158" t="s">
        <v>241</v>
      </c>
      <c r="R158">
        <v>25</v>
      </c>
      <c r="S158">
        <v>1</v>
      </c>
      <c r="T158" t="s">
        <v>1092</v>
      </c>
      <c r="U158" t="s">
        <v>1093</v>
      </c>
      <c r="V158">
        <v>0</v>
      </c>
      <c r="W158" s="8" t="str">
        <f t="shared" si="2"/>
        <v>(2625,null,1,'2026-03-24 00:00:00','003307030130000-330703013','003307030130000-330703013','胸壁缺损修复术',null,null,1875,1800,1530,null,1150,1030,880,'单侧',25,1,'normal','main',0),</v>
      </c>
    </row>
    <row r="159" spans="1:23">
      <c r="A159">
        <v>2626</v>
      </c>
      <c r="B159" t="s">
        <v>1090</v>
      </c>
      <c r="C159">
        <v>1</v>
      </c>
      <c r="D159" s="6" t="s">
        <v>1091</v>
      </c>
      <c r="E159" t="s">
        <v>672</v>
      </c>
      <c r="F159" t="s">
        <v>672</v>
      </c>
      <c r="G159" t="s">
        <v>673</v>
      </c>
      <c r="H159" t="s">
        <v>1090</v>
      </c>
      <c r="I159" t="s">
        <v>1090</v>
      </c>
      <c r="J159">
        <v>2500</v>
      </c>
      <c r="K159">
        <v>2400</v>
      </c>
      <c r="L159">
        <v>2040</v>
      </c>
      <c r="M159" t="s">
        <v>1090</v>
      </c>
      <c r="N159">
        <v>1150</v>
      </c>
      <c r="O159">
        <v>1030</v>
      </c>
      <c r="P159">
        <v>880</v>
      </c>
      <c r="Q159" t="s">
        <v>38</v>
      </c>
      <c r="R159">
        <v>25</v>
      </c>
      <c r="S159">
        <v>1</v>
      </c>
      <c r="T159" t="s">
        <v>1092</v>
      </c>
      <c r="U159" t="s">
        <v>1093</v>
      </c>
      <c r="V159">
        <v>0</v>
      </c>
      <c r="W159" s="8" t="str">
        <f t="shared" si="2"/>
        <v>(2626,null,1,'2026-03-24 00:00:00','003307030130000-33070301302','003307030130000-33070301302','经胸腔镜胸壁缺损修复术',null,null,2500,2400,2040,null,1150,1030,880,'次',25,1,'normal','main',0),</v>
      </c>
    </row>
    <row r="160" spans="1:23">
      <c r="A160">
        <v>2627</v>
      </c>
      <c r="B160" t="s">
        <v>1090</v>
      </c>
      <c r="C160">
        <v>1</v>
      </c>
      <c r="D160" s="6" t="s">
        <v>1091</v>
      </c>
      <c r="E160" t="s">
        <v>674</v>
      </c>
      <c r="F160" t="s">
        <v>674</v>
      </c>
      <c r="G160" t="s">
        <v>675</v>
      </c>
      <c r="H160" t="s">
        <v>1090</v>
      </c>
      <c r="I160" t="s">
        <v>1090</v>
      </c>
      <c r="J160">
        <v>625</v>
      </c>
      <c r="K160">
        <v>600</v>
      </c>
      <c r="L160">
        <v>510</v>
      </c>
      <c r="M160" t="s">
        <v>1090</v>
      </c>
      <c r="N160">
        <v>1150</v>
      </c>
      <c r="O160">
        <v>1030</v>
      </c>
      <c r="P160">
        <v>880</v>
      </c>
      <c r="Q160" t="s">
        <v>38</v>
      </c>
      <c r="R160">
        <v>25</v>
      </c>
      <c r="S160">
        <v>1</v>
      </c>
      <c r="T160" t="s">
        <v>1092</v>
      </c>
      <c r="U160" t="s">
        <v>1093</v>
      </c>
      <c r="V160">
        <v>0</v>
      </c>
      <c r="W160" s="8" t="str">
        <f t="shared" si="2"/>
        <v>(2627,null,1,'2026-03-24 00:00:00','003307030110000-330703011','003307030110000-330703011','胸壁外伤扩创术',null,null,625,600,510,null,1150,1030,880,'次',25,1,'normal','main',0),</v>
      </c>
    </row>
    <row r="161" spans="1:23">
      <c r="A161">
        <v>2628</v>
      </c>
      <c r="B161" t="s">
        <v>1090</v>
      </c>
      <c r="C161">
        <v>1</v>
      </c>
      <c r="D161" s="6" t="s">
        <v>1091</v>
      </c>
      <c r="E161" t="s">
        <v>677</v>
      </c>
      <c r="F161" t="s">
        <v>677</v>
      </c>
      <c r="G161" t="s">
        <v>678</v>
      </c>
      <c r="H161" t="s">
        <v>1090</v>
      </c>
      <c r="I161" t="s">
        <v>1090</v>
      </c>
      <c r="J161">
        <v>1250</v>
      </c>
      <c r="K161">
        <v>1200</v>
      </c>
      <c r="L161">
        <v>1020</v>
      </c>
      <c r="M161" t="s">
        <v>1090</v>
      </c>
      <c r="N161">
        <v>1150</v>
      </c>
      <c r="O161">
        <v>1030</v>
      </c>
      <c r="P161">
        <v>880</v>
      </c>
      <c r="Q161" t="s">
        <v>38</v>
      </c>
      <c r="R161">
        <v>25</v>
      </c>
      <c r="S161">
        <v>1</v>
      </c>
      <c r="T161" t="s">
        <v>1092</v>
      </c>
      <c r="U161" t="s">
        <v>1093</v>
      </c>
      <c r="V161">
        <v>0</v>
      </c>
      <c r="W161" s="8" t="str">
        <f t="shared" si="2"/>
        <v>(2628,null,1,'2026-03-24 00:00:00','003307030110000-33070301102','003307030110000-33070301102','经胸腔镜胸壁外伤扩创术',null,null,1250,1200,1020,null,1150,1030,880,'次',25,1,'normal','main',0),</v>
      </c>
    </row>
    <row r="162" spans="1:23">
      <c r="A162">
        <v>2629</v>
      </c>
      <c r="B162" t="s">
        <v>1090</v>
      </c>
      <c r="C162">
        <v>1</v>
      </c>
      <c r="D162" s="6" t="s">
        <v>1091</v>
      </c>
      <c r="E162" t="s">
        <v>681</v>
      </c>
      <c r="F162" t="s">
        <v>681</v>
      </c>
      <c r="G162" t="s">
        <v>682</v>
      </c>
      <c r="H162" t="s">
        <v>1090</v>
      </c>
      <c r="I162" t="s">
        <v>1090</v>
      </c>
      <c r="J162">
        <v>2440</v>
      </c>
      <c r="K162">
        <v>2340</v>
      </c>
      <c r="L162">
        <v>1990</v>
      </c>
      <c r="M162" t="s">
        <v>1090</v>
      </c>
      <c r="N162">
        <v>1495</v>
      </c>
      <c r="O162">
        <v>1340</v>
      </c>
      <c r="P162">
        <v>1145</v>
      </c>
      <c r="Q162" t="s">
        <v>241</v>
      </c>
      <c r="R162">
        <v>25</v>
      </c>
      <c r="S162">
        <v>1</v>
      </c>
      <c r="T162" t="s">
        <v>1092</v>
      </c>
      <c r="U162" t="s">
        <v>1093</v>
      </c>
      <c r="V162">
        <v>0</v>
      </c>
      <c r="W162" s="8" t="str">
        <f t="shared" si="2"/>
        <v>(2629,null,1,'2026-03-24 00:00:00','003307030130000-33070301301','003307030130000-33070301301','小儿胸壁缺损修复术',null,null,2440,2340,1990,null,1495,1340,1145,'单侧',25,1,'normal','main',0),</v>
      </c>
    </row>
    <row r="163" spans="1:23">
      <c r="A163">
        <v>2630</v>
      </c>
      <c r="B163" t="s">
        <v>1090</v>
      </c>
      <c r="C163">
        <v>1</v>
      </c>
      <c r="D163" s="6" t="s">
        <v>1091</v>
      </c>
      <c r="E163" t="s">
        <v>683</v>
      </c>
      <c r="F163" t="s">
        <v>683</v>
      </c>
      <c r="G163" t="s">
        <v>684</v>
      </c>
      <c r="H163" t="s">
        <v>1090</v>
      </c>
      <c r="I163" t="s">
        <v>1090</v>
      </c>
      <c r="J163">
        <v>3065</v>
      </c>
      <c r="K163">
        <v>2940</v>
      </c>
      <c r="L163">
        <v>2500</v>
      </c>
      <c r="M163" t="s">
        <v>1090</v>
      </c>
      <c r="N163">
        <v>1495</v>
      </c>
      <c r="O163">
        <v>1340</v>
      </c>
      <c r="P163">
        <v>1145</v>
      </c>
      <c r="Q163" t="s">
        <v>38</v>
      </c>
      <c r="R163">
        <v>25</v>
      </c>
      <c r="S163">
        <v>1</v>
      </c>
      <c r="T163" t="s">
        <v>1092</v>
      </c>
      <c r="U163" t="s">
        <v>1093</v>
      </c>
      <c r="V163">
        <v>0</v>
      </c>
      <c r="W163" s="8" t="str">
        <f t="shared" si="2"/>
        <v>(2630,null,1,'2026-03-24 00:00:00','003307030130000-33070301303','003307030130000-33070301303','小儿经胸腔镜胸壁缺损修复术',null,null,3065,2940,2500,null,1495,1340,1145,'次',25,1,'normal','main',0),</v>
      </c>
    </row>
    <row r="164" spans="1:23">
      <c r="A164">
        <v>2631</v>
      </c>
      <c r="B164" t="s">
        <v>1090</v>
      </c>
      <c r="C164">
        <v>1</v>
      </c>
      <c r="D164" s="6" t="s">
        <v>1091</v>
      </c>
      <c r="E164" t="s">
        <v>685</v>
      </c>
      <c r="F164" t="s">
        <v>685</v>
      </c>
      <c r="G164" t="s">
        <v>686</v>
      </c>
      <c r="H164" t="s">
        <v>1090</v>
      </c>
      <c r="I164" t="s">
        <v>1090</v>
      </c>
      <c r="J164">
        <v>815</v>
      </c>
      <c r="K164">
        <v>780</v>
      </c>
      <c r="L164">
        <v>665</v>
      </c>
      <c r="M164" t="s">
        <v>1090</v>
      </c>
      <c r="N164">
        <v>1495</v>
      </c>
      <c r="O164">
        <v>1340</v>
      </c>
      <c r="P164">
        <v>1145</v>
      </c>
      <c r="Q164" t="s">
        <v>38</v>
      </c>
      <c r="R164">
        <v>25</v>
      </c>
      <c r="S164">
        <v>1</v>
      </c>
      <c r="T164" t="s">
        <v>1092</v>
      </c>
      <c r="U164" t="s">
        <v>1093</v>
      </c>
      <c r="V164">
        <v>0</v>
      </c>
      <c r="W164" s="8" t="str">
        <f t="shared" si="2"/>
        <v>(2631,null,1,'2026-03-24 00:00:00','003307030110000-33070301101','003307030110000-33070301101','小儿胸壁外伤扩创术',null,null,815,780,665,null,1495,1340,1145,'次',25,1,'normal','main',0),</v>
      </c>
    </row>
    <row r="165" spans="1:23">
      <c r="A165">
        <v>2632</v>
      </c>
      <c r="B165" t="s">
        <v>1090</v>
      </c>
      <c r="C165">
        <v>1</v>
      </c>
      <c r="D165" s="6" t="s">
        <v>1091</v>
      </c>
      <c r="E165" t="s">
        <v>687</v>
      </c>
      <c r="F165" t="s">
        <v>687</v>
      </c>
      <c r="G165" t="s">
        <v>688</v>
      </c>
      <c r="H165" t="s">
        <v>1090</v>
      </c>
      <c r="I165" t="s">
        <v>1090</v>
      </c>
      <c r="J165">
        <v>1440</v>
      </c>
      <c r="K165">
        <v>1380</v>
      </c>
      <c r="L165">
        <v>1175</v>
      </c>
      <c r="M165" t="s">
        <v>1090</v>
      </c>
      <c r="N165">
        <v>1495</v>
      </c>
      <c r="O165">
        <v>1340</v>
      </c>
      <c r="P165">
        <v>1145</v>
      </c>
      <c r="Q165" t="s">
        <v>38</v>
      </c>
      <c r="R165">
        <v>25</v>
      </c>
      <c r="S165">
        <v>1</v>
      </c>
      <c r="T165" t="s">
        <v>1092</v>
      </c>
      <c r="U165" t="s">
        <v>1093</v>
      </c>
      <c r="V165">
        <v>0</v>
      </c>
      <c r="W165" s="8" t="str">
        <f t="shared" si="2"/>
        <v>(2632,null,1,'2026-03-24 00:00:00','003307030110000-33070301103','003307030110000-33070301103','小儿经胸腔镜胸壁外伤扩创术',null,null,1440,1380,1175,null,1495,1340,1145,'次',25,1,'normal','main',0),</v>
      </c>
    </row>
    <row r="166" spans="1:23">
      <c r="A166">
        <v>2633</v>
      </c>
      <c r="B166" t="s">
        <v>1090</v>
      </c>
      <c r="C166">
        <v>1</v>
      </c>
      <c r="D166" s="6" t="s">
        <v>1091</v>
      </c>
      <c r="E166" t="s">
        <v>668</v>
      </c>
      <c r="F166" t="s">
        <v>668</v>
      </c>
      <c r="G166" t="s">
        <v>669</v>
      </c>
      <c r="H166" t="s">
        <v>1090</v>
      </c>
      <c r="I166" t="s">
        <v>1090</v>
      </c>
      <c r="J166">
        <v>1875</v>
      </c>
      <c r="K166">
        <v>1800</v>
      </c>
      <c r="L166">
        <v>1530</v>
      </c>
      <c r="M166" t="s">
        <v>1090</v>
      </c>
      <c r="N166">
        <v>1610</v>
      </c>
      <c r="O166">
        <v>1450</v>
      </c>
      <c r="P166">
        <v>1250</v>
      </c>
      <c r="Q166" t="s">
        <v>241</v>
      </c>
      <c r="R166">
        <v>25</v>
      </c>
      <c r="S166">
        <v>1</v>
      </c>
      <c r="T166" t="s">
        <v>1092</v>
      </c>
      <c r="U166" t="s">
        <v>1093</v>
      </c>
      <c r="V166">
        <v>0</v>
      </c>
      <c r="W166" s="8" t="str">
        <f t="shared" si="2"/>
        <v>(2633,null,1,'2026-03-24 00:00:00','003307030130000-330703013','003307030130000-330703013','胸壁缺损修复术',null,null,1875,1800,1530,null,1610,1450,1250,'单侧',25,1,'normal','main',0),</v>
      </c>
    </row>
    <row r="167" spans="1:23">
      <c r="A167">
        <v>2634</v>
      </c>
      <c r="B167" t="s">
        <v>1090</v>
      </c>
      <c r="C167">
        <v>1</v>
      </c>
      <c r="D167" s="6" t="s">
        <v>1091</v>
      </c>
      <c r="E167" t="s">
        <v>672</v>
      </c>
      <c r="F167" t="s">
        <v>672</v>
      </c>
      <c r="G167" t="s">
        <v>673</v>
      </c>
      <c r="H167" t="s">
        <v>1090</v>
      </c>
      <c r="I167" t="s">
        <v>1090</v>
      </c>
      <c r="J167">
        <v>2500</v>
      </c>
      <c r="K167">
        <v>2400</v>
      </c>
      <c r="L167">
        <v>2040</v>
      </c>
      <c r="M167" t="s">
        <v>1090</v>
      </c>
      <c r="N167">
        <v>1610</v>
      </c>
      <c r="O167">
        <v>1450</v>
      </c>
      <c r="P167">
        <v>1250</v>
      </c>
      <c r="Q167" t="s">
        <v>38</v>
      </c>
      <c r="R167">
        <v>25</v>
      </c>
      <c r="S167">
        <v>1</v>
      </c>
      <c r="T167" t="s">
        <v>1092</v>
      </c>
      <c r="U167" t="s">
        <v>1093</v>
      </c>
      <c r="V167">
        <v>0</v>
      </c>
      <c r="W167" s="8" t="str">
        <f t="shared" si="2"/>
        <v>(2634,null,1,'2026-03-24 00:00:00','003307030130000-33070301302','003307030130000-33070301302','经胸腔镜胸壁缺损修复术',null,null,2500,2400,2040,null,1610,1450,1250,'次',25,1,'normal','main',0),</v>
      </c>
    </row>
    <row r="168" spans="1:23">
      <c r="A168">
        <v>2635</v>
      </c>
      <c r="B168" t="s">
        <v>1090</v>
      </c>
      <c r="C168">
        <v>1</v>
      </c>
      <c r="D168" s="6" t="s">
        <v>1091</v>
      </c>
      <c r="E168" t="s">
        <v>674</v>
      </c>
      <c r="F168" t="s">
        <v>674</v>
      </c>
      <c r="G168" t="s">
        <v>675</v>
      </c>
      <c r="H168" t="s">
        <v>1090</v>
      </c>
      <c r="I168" t="s">
        <v>1090</v>
      </c>
      <c r="J168">
        <v>625</v>
      </c>
      <c r="K168">
        <v>600</v>
      </c>
      <c r="L168">
        <v>510</v>
      </c>
      <c r="M168" t="s">
        <v>1090</v>
      </c>
      <c r="N168">
        <v>1610</v>
      </c>
      <c r="O168">
        <v>1450</v>
      </c>
      <c r="P168">
        <v>1250</v>
      </c>
      <c r="Q168" t="s">
        <v>38</v>
      </c>
      <c r="R168">
        <v>25</v>
      </c>
      <c r="S168">
        <v>1</v>
      </c>
      <c r="T168" t="s">
        <v>1092</v>
      </c>
      <c r="U168" t="s">
        <v>1093</v>
      </c>
      <c r="V168">
        <v>0</v>
      </c>
      <c r="W168" s="8" t="str">
        <f t="shared" si="2"/>
        <v>(2635,null,1,'2026-03-24 00:00:00','003307030110000-330703011','003307030110000-330703011','胸壁外伤扩创术',null,null,625,600,510,null,1610,1450,1250,'次',25,1,'normal','main',0),</v>
      </c>
    </row>
    <row r="169" spans="1:23">
      <c r="A169">
        <v>2636</v>
      </c>
      <c r="B169" t="s">
        <v>1090</v>
      </c>
      <c r="C169">
        <v>1</v>
      </c>
      <c r="D169" s="6" t="s">
        <v>1091</v>
      </c>
      <c r="E169" t="s">
        <v>677</v>
      </c>
      <c r="F169" t="s">
        <v>677</v>
      </c>
      <c r="G169" t="s">
        <v>678</v>
      </c>
      <c r="H169" t="s">
        <v>1090</v>
      </c>
      <c r="I169" t="s">
        <v>1090</v>
      </c>
      <c r="J169">
        <v>1250</v>
      </c>
      <c r="K169">
        <v>1200</v>
      </c>
      <c r="L169">
        <v>1020</v>
      </c>
      <c r="M169" t="s">
        <v>1090</v>
      </c>
      <c r="N169">
        <v>1610</v>
      </c>
      <c r="O169">
        <v>1450</v>
      </c>
      <c r="P169">
        <v>1250</v>
      </c>
      <c r="Q169" t="s">
        <v>38</v>
      </c>
      <c r="R169">
        <v>25</v>
      </c>
      <c r="S169">
        <v>1</v>
      </c>
      <c r="T169" t="s">
        <v>1092</v>
      </c>
      <c r="U169" t="s">
        <v>1093</v>
      </c>
      <c r="V169">
        <v>0</v>
      </c>
      <c r="W169" s="8" t="str">
        <f t="shared" si="2"/>
        <v>(2636,null,1,'2026-03-24 00:00:00','003307030110000-33070301102','003307030110000-33070301102','经胸腔镜胸壁外伤扩创术',null,null,1250,1200,1020,null,1610,1450,1250,'次',25,1,'normal','main',0),</v>
      </c>
    </row>
    <row r="170" spans="1:23">
      <c r="A170">
        <v>2637</v>
      </c>
      <c r="B170" t="s">
        <v>1090</v>
      </c>
      <c r="C170">
        <v>1</v>
      </c>
      <c r="D170" s="6" t="s">
        <v>1091</v>
      </c>
      <c r="E170" t="s">
        <v>681</v>
      </c>
      <c r="F170" t="s">
        <v>681</v>
      </c>
      <c r="G170" t="s">
        <v>682</v>
      </c>
      <c r="H170" t="s">
        <v>1090</v>
      </c>
      <c r="I170" t="s">
        <v>1090</v>
      </c>
      <c r="J170">
        <v>2440</v>
      </c>
      <c r="K170">
        <v>2340</v>
      </c>
      <c r="L170">
        <v>1990</v>
      </c>
      <c r="M170" t="s">
        <v>1090</v>
      </c>
      <c r="N170">
        <v>2095</v>
      </c>
      <c r="O170">
        <v>1885</v>
      </c>
      <c r="P170">
        <v>1625</v>
      </c>
      <c r="Q170" t="s">
        <v>241</v>
      </c>
      <c r="R170">
        <v>25</v>
      </c>
      <c r="S170">
        <v>1</v>
      </c>
      <c r="T170" t="s">
        <v>1092</v>
      </c>
      <c r="U170" t="s">
        <v>1093</v>
      </c>
      <c r="V170">
        <v>0</v>
      </c>
      <c r="W170" s="8" t="str">
        <f t="shared" si="2"/>
        <v>(2637,null,1,'2026-03-24 00:00:00','003307030130000-33070301301','003307030130000-33070301301','小儿胸壁缺损修复术',null,null,2440,2340,1990,null,2095,1885,1625,'单侧',25,1,'normal','main',0),</v>
      </c>
    </row>
    <row r="171" spans="1:23">
      <c r="A171">
        <v>2638</v>
      </c>
      <c r="B171" t="s">
        <v>1090</v>
      </c>
      <c r="C171">
        <v>1</v>
      </c>
      <c r="D171" s="6" t="s">
        <v>1091</v>
      </c>
      <c r="E171" t="s">
        <v>683</v>
      </c>
      <c r="F171" t="s">
        <v>683</v>
      </c>
      <c r="G171" t="s">
        <v>684</v>
      </c>
      <c r="H171" t="s">
        <v>1090</v>
      </c>
      <c r="I171" t="s">
        <v>1090</v>
      </c>
      <c r="J171">
        <v>3065</v>
      </c>
      <c r="K171">
        <v>2940</v>
      </c>
      <c r="L171">
        <v>2500</v>
      </c>
      <c r="M171" t="s">
        <v>1090</v>
      </c>
      <c r="N171">
        <v>2095</v>
      </c>
      <c r="O171">
        <v>1885</v>
      </c>
      <c r="P171">
        <v>1625</v>
      </c>
      <c r="Q171" t="s">
        <v>38</v>
      </c>
      <c r="R171">
        <v>25</v>
      </c>
      <c r="S171">
        <v>1</v>
      </c>
      <c r="T171" t="s">
        <v>1092</v>
      </c>
      <c r="U171" t="s">
        <v>1093</v>
      </c>
      <c r="V171">
        <v>0</v>
      </c>
      <c r="W171" s="8" t="str">
        <f t="shared" si="2"/>
        <v>(2638,null,1,'2026-03-24 00:00:00','003307030130000-33070301303','003307030130000-33070301303','小儿经胸腔镜胸壁缺损修复术',null,null,3065,2940,2500,null,2095,1885,1625,'次',25,1,'normal','main',0),</v>
      </c>
    </row>
    <row r="172" spans="1:23">
      <c r="A172">
        <v>2639</v>
      </c>
      <c r="B172" t="s">
        <v>1090</v>
      </c>
      <c r="C172">
        <v>1</v>
      </c>
      <c r="D172" s="6" t="s">
        <v>1091</v>
      </c>
      <c r="E172" t="s">
        <v>685</v>
      </c>
      <c r="F172" t="s">
        <v>685</v>
      </c>
      <c r="G172" t="s">
        <v>686</v>
      </c>
      <c r="H172" t="s">
        <v>1090</v>
      </c>
      <c r="I172" t="s">
        <v>1090</v>
      </c>
      <c r="J172">
        <v>815</v>
      </c>
      <c r="K172">
        <v>780</v>
      </c>
      <c r="L172">
        <v>665</v>
      </c>
      <c r="M172" t="s">
        <v>1090</v>
      </c>
      <c r="N172">
        <v>2095</v>
      </c>
      <c r="O172">
        <v>1885</v>
      </c>
      <c r="P172">
        <v>1625</v>
      </c>
      <c r="Q172" t="s">
        <v>38</v>
      </c>
      <c r="R172">
        <v>25</v>
      </c>
      <c r="S172">
        <v>1</v>
      </c>
      <c r="T172" t="s">
        <v>1092</v>
      </c>
      <c r="U172" t="s">
        <v>1093</v>
      </c>
      <c r="V172">
        <v>0</v>
      </c>
      <c r="W172" s="8" t="str">
        <f t="shared" si="2"/>
        <v>(2639,null,1,'2026-03-24 00:00:00','003307030110000-33070301101','003307030110000-33070301101','小儿胸壁外伤扩创术',null,null,815,780,665,null,2095,1885,1625,'次',25,1,'normal','main',0),</v>
      </c>
    </row>
    <row r="173" spans="1:23">
      <c r="A173">
        <v>2640</v>
      </c>
      <c r="B173" t="s">
        <v>1090</v>
      </c>
      <c r="C173">
        <v>1</v>
      </c>
      <c r="D173" s="6" t="s">
        <v>1091</v>
      </c>
      <c r="E173" t="s">
        <v>687</v>
      </c>
      <c r="F173" t="s">
        <v>687</v>
      </c>
      <c r="G173" t="s">
        <v>688</v>
      </c>
      <c r="H173" t="s">
        <v>1090</v>
      </c>
      <c r="I173" t="s">
        <v>1090</v>
      </c>
      <c r="J173">
        <v>1440</v>
      </c>
      <c r="K173">
        <v>1380</v>
      </c>
      <c r="L173">
        <v>1175</v>
      </c>
      <c r="M173" t="s">
        <v>1090</v>
      </c>
      <c r="N173">
        <v>2095</v>
      </c>
      <c r="O173">
        <v>1885</v>
      </c>
      <c r="P173">
        <v>1625</v>
      </c>
      <c r="Q173" t="s">
        <v>38</v>
      </c>
      <c r="R173">
        <v>25</v>
      </c>
      <c r="S173">
        <v>1</v>
      </c>
      <c r="T173" t="s">
        <v>1092</v>
      </c>
      <c r="U173" t="s">
        <v>1093</v>
      </c>
      <c r="V173">
        <v>0</v>
      </c>
      <c r="W173" s="8" t="str">
        <f t="shared" si="2"/>
        <v>(2640,null,1,'2026-03-24 00:00:00','003307030110000-33070301103','003307030110000-33070301103','小儿经胸腔镜胸壁外伤扩创术',null,null,1440,1380,1175,null,2095,1885,1625,'次',25,1,'normal','main',0),</v>
      </c>
    </row>
    <row r="174" spans="1:23">
      <c r="A174">
        <v>2641</v>
      </c>
      <c r="B174" t="s">
        <v>1090</v>
      </c>
      <c r="C174">
        <v>1</v>
      </c>
      <c r="D174" s="6" t="s">
        <v>1091</v>
      </c>
      <c r="E174" t="s">
        <v>702</v>
      </c>
      <c r="F174" t="s">
        <v>702</v>
      </c>
      <c r="G174" t="s">
        <v>703</v>
      </c>
      <c r="H174" t="s">
        <v>1090</v>
      </c>
      <c r="I174" t="s">
        <v>1090</v>
      </c>
      <c r="J174">
        <v>1875</v>
      </c>
      <c r="K174">
        <v>1800</v>
      </c>
      <c r="L174">
        <v>1530</v>
      </c>
      <c r="M174" t="s">
        <v>1090</v>
      </c>
      <c r="N174">
        <v>2500</v>
      </c>
      <c r="O174">
        <v>2300</v>
      </c>
      <c r="P174">
        <v>1950</v>
      </c>
      <c r="Q174" t="s">
        <v>38</v>
      </c>
      <c r="R174">
        <v>25</v>
      </c>
      <c r="S174">
        <v>1</v>
      </c>
      <c r="T174" t="s">
        <v>1092</v>
      </c>
      <c r="U174" t="s">
        <v>1093</v>
      </c>
      <c r="V174">
        <v>0</v>
      </c>
      <c r="W174" s="8" t="str">
        <f t="shared" si="2"/>
        <v>(2641,null,1,'2026-03-24 00:00:00','003307030090000-330703009','003307030090000-330703009','胸廓成形术',null,null,1875,1800,1530,null,2500,2300,1950,'次',25,1,'normal','main',0),</v>
      </c>
    </row>
    <row r="175" spans="1:23">
      <c r="A175">
        <v>2642</v>
      </c>
      <c r="B175" t="s">
        <v>1090</v>
      </c>
      <c r="C175">
        <v>1</v>
      </c>
      <c r="D175" s="6" t="s">
        <v>1091</v>
      </c>
      <c r="E175" t="s">
        <v>705</v>
      </c>
      <c r="F175" t="s">
        <v>705</v>
      </c>
      <c r="G175" t="s">
        <v>706</v>
      </c>
      <c r="H175" t="s">
        <v>1090</v>
      </c>
      <c r="I175" t="s">
        <v>1090</v>
      </c>
      <c r="J175">
        <v>2500</v>
      </c>
      <c r="K175">
        <v>2400</v>
      </c>
      <c r="L175">
        <v>2040</v>
      </c>
      <c r="M175" t="s">
        <v>1090</v>
      </c>
      <c r="N175">
        <v>2500</v>
      </c>
      <c r="O175">
        <v>2300</v>
      </c>
      <c r="P175">
        <v>1950</v>
      </c>
      <c r="Q175" t="s">
        <v>38</v>
      </c>
      <c r="R175">
        <v>25</v>
      </c>
      <c r="S175">
        <v>1</v>
      </c>
      <c r="T175" t="s">
        <v>1092</v>
      </c>
      <c r="U175" t="s">
        <v>1093</v>
      </c>
      <c r="V175">
        <v>0</v>
      </c>
      <c r="W175" s="8" t="str">
        <f t="shared" si="2"/>
        <v>(2642,null,1,'2026-03-24 00:00:00','003307030090000-33070300902','003307030090000-33070300902','经胸腔镜胸廓成形术',null,null,2500,2400,2040,null,2500,2300,1950,'次',25,1,'normal','main',0),</v>
      </c>
    </row>
    <row r="176" spans="1:23">
      <c r="A176">
        <v>2643</v>
      </c>
      <c r="B176" t="s">
        <v>1090</v>
      </c>
      <c r="C176">
        <v>1</v>
      </c>
      <c r="D176" s="6" t="s">
        <v>1091</v>
      </c>
      <c r="E176" t="s">
        <v>709</v>
      </c>
      <c r="F176" t="s">
        <v>709</v>
      </c>
      <c r="G176" t="s">
        <v>710</v>
      </c>
      <c r="H176" t="s">
        <v>1090</v>
      </c>
      <c r="I176" t="s">
        <v>1090</v>
      </c>
      <c r="J176">
        <v>2440</v>
      </c>
      <c r="K176">
        <v>2340</v>
      </c>
      <c r="L176">
        <v>1990</v>
      </c>
      <c r="M176" t="s">
        <v>1090</v>
      </c>
      <c r="N176">
        <v>3250</v>
      </c>
      <c r="O176">
        <v>2990</v>
      </c>
      <c r="P176">
        <v>2535</v>
      </c>
      <c r="Q176" t="s">
        <v>38</v>
      </c>
      <c r="R176">
        <v>25</v>
      </c>
      <c r="S176">
        <v>1</v>
      </c>
      <c r="T176" t="s">
        <v>1092</v>
      </c>
      <c r="U176" t="s">
        <v>1093</v>
      </c>
      <c r="V176">
        <v>0</v>
      </c>
      <c r="W176" s="8" t="str">
        <f t="shared" si="2"/>
        <v>(2643,null,1,'2026-03-24 00:00:00','003307030090000-33070300901','003307030090000-33070300901','小儿胸廓成形术',null,null,2440,2340,1990,null,3250,2990,2535,'次',25,1,'normal','main',0),</v>
      </c>
    </row>
    <row r="177" spans="1:23">
      <c r="A177">
        <v>2644</v>
      </c>
      <c r="B177" t="s">
        <v>1090</v>
      </c>
      <c r="C177">
        <v>1</v>
      </c>
      <c r="D177" s="6" t="s">
        <v>1091</v>
      </c>
      <c r="E177" t="s">
        <v>711</v>
      </c>
      <c r="F177" t="s">
        <v>711</v>
      </c>
      <c r="G177" t="s">
        <v>712</v>
      </c>
      <c r="H177" t="s">
        <v>1090</v>
      </c>
      <c r="I177" t="s">
        <v>1090</v>
      </c>
      <c r="J177">
        <v>3065</v>
      </c>
      <c r="K177">
        <v>2940</v>
      </c>
      <c r="L177">
        <v>2500</v>
      </c>
      <c r="M177" t="s">
        <v>1090</v>
      </c>
      <c r="N177">
        <v>3250</v>
      </c>
      <c r="O177">
        <v>2990</v>
      </c>
      <c r="P177">
        <v>2535</v>
      </c>
      <c r="Q177" t="s">
        <v>38</v>
      </c>
      <c r="R177">
        <v>25</v>
      </c>
      <c r="S177">
        <v>1</v>
      </c>
      <c r="T177" t="s">
        <v>1092</v>
      </c>
      <c r="U177" t="s">
        <v>1093</v>
      </c>
      <c r="V177">
        <v>0</v>
      </c>
      <c r="W177" s="8" t="str">
        <f t="shared" si="2"/>
        <v>(2644,null,1,'2026-03-24 00:00:00','003307030090000-33070300903','003307030090000-33070300903','小儿经胸腔镜胸廓成形术',null,null,3065,2940,2500,null,3250,2990,2535,'次',25,1,'normal','main',0),</v>
      </c>
    </row>
    <row r="178" spans="1:23">
      <c r="A178">
        <v>2645</v>
      </c>
      <c r="B178" t="s">
        <v>1090</v>
      </c>
      <c r="C178">
        <v>1</v>
      </c>
      <c r="D178" s="6" t="s">
        <v>1091</v>
      </c>
      <c r="E178" t="s">
        <v>718</v>
      </c>
      <c r="F178" t="s">
        <v>718</v>
      </c>
      <c r="G178" t="s">
        <v>719</v>
      </c>
      <c r="H178" t="s">
        <v>1090</v>
      </c>
      <c r="I178" t="s">
        <v>1090</v>
      </c>
      <c r="J178">
        <v>1750</v>
      </c>
      <c r="K178">
        <v>1680</v>
      </c>
      <c r="L178">
        <v>1428</v>
      </c>
      <c r="M178" t="s">
        <v>1090</v>
      </c>
      <c r="N178">
        <v>3200</v>
      </c>
      <c r="O178">
        <v>2900</v>
      </c>
      <c r="P178">
        <v>2470</v>
      </c>
      <c r="Q178" t="s">
        <v>38</v>
      </c>
      <c r="R178">
        <v>25</v>
      </c>
      <c r="S178">
        <v>1</v>
      </c>
      <c r="T178" t="s">
        <v>1092</v>
      </c>
      <c r="U178" t="s">
        <v>1093</v>
      </c>
      <c r="V178">
        <v>0</v>
      </c>
      <c r="W178" s="8" t="str">
        <f t="shared" si="2"/>
        <v>(2645,null,1,'2026-03-24 00:00:00','003307030140000-330703014','003307030140000-330703014','胸廓畸形矫正术',null,null,1750,1680,1428,null,3200,2900,2470,'次',25,1,'normal','main',0),</v>
      </c>
    </row>
    <row r="179" spans="1:23">
      <c r="A179">
        <v>2646</v>
      </c>
      <c r="B179" t="s">
        <v>1090</v>
      </c>
      <c r="C179">
        <v>1</v>
      </c>
      <c r="D179" s="6" t="s">
        <v>1091</v>
      </c>
      <c r="E179" t="s">
        <v>721</v>
      </c>
      <c r="F179" t="s">
        <v>721</v>
      </c>
      <c r="G179" t="s">
        <v>722</v>
      </c>
      <c r="H179" t="s">
        <v>1090</v>
      </c>
      <c r="I179" t="s">
        <v>1090</v>
      </c>
      <c r="J179">
        <v>2375</v>
      </c>
      <c r="K179">
        <v>2280</v>
      </c>
      <c r="L179">
        <v>1836</v>
      </c>
      <c r="M179" t="s">
        <v>1090</v>
      </c>
      <c r="N179">
        <v>3200</v>
      </c>
      <c r="O179">
        <v>2900</v>
      </c>
      <c r="P179">
        <v>2470</v>
      </c>
      <c r="Q179" t="s">
        <v>38</v>
      </c>
      <c r="R179">
        <v>25</v>
      </c>
      <c r="S179">
        <v>1</v>
      </c>
      <c r="T179" t="s">
        <v>1092</v>
      </c>
      <c r="U179" t="s">
        <v>1093</v>
      </c>
      <c r="V179">
        <v>0</v>
      </c>
      <c r="W179" s="8" t="str">
        <f t="shared" si="2"/>
        <v>(2646,null,1,'2026-03-24 00:00:00','003307030140000-33070301402','003307030140000-33070301402','经胸腔镜胸廓畸形矫正术',null,null,2375,2280,1836,null,3200,2900,2470,'次',25,1,'normal','main',0),</v>
      </c>
    </row>
    <row r="180" spans="1:23">
      <c r="A180">
        <v>2647</v>
      </c>
      <c r="B180" t="s">
        <v>1090</v>
      </c>
      <c r="C180">
        <v>1</v>
      </c>
      <c r="D180" s="6" t="s">
        <v>1091</v>
      </c>
      <c r="E180" t="s">
        <v>723</v>
      </c>
      <c r="F180" t="s">
        <v>723</v>
      </c>
      <c r="G180" t="s">
        <v>724</v>
      </c>
      <c r="H180" t="s">
        <v>1090</v>
      </c>
      <c r="I180" t="s">
        <v>1090</v>
      </c>
      <c r="J180">
        <v>1875</v>
      </c>
      <c r="K180">
        <v>1800</v>
      </c>
      <c r="L180">
        <v>1530</v>
      </c>
      <c r="M180" t="s">
        <v>1090</v>
      </c>
      <c r="N180">
        <v>0</v>
      </c>
      <c r="O180">
        <v>0</v>
      </c>
      <c r="P180">
        <v>0</v>
      </c>
      <c r="Q180" t="s">
        <v>38</v>
      </c>
      <c r="R180">
        <v>25</v>
      </c>
      <c r="S180">
        <v>1</v>
      </c>
      <c r="T180" t="s">
        <v>1092</v>
      </c>
      <c r="U180" t="s">
        <v>1093</v>
      </c>
      <c r="V180">
        <v>0</v>
      </c>
      <c r="W180" s="8" t="str">
        <f t="shared" si="2"/>
        <v>(2647,null,1,'2026-03-24 00:00:00','003307030150000-330703015','003307030150000-330703015','小儿鸡胸矫正术',null,null,1875,1800,1530,null,0,0,0,'次',25,1,'normal','main',0),</v>
      </c>
    </row>
    <row r="181" spans="1:23">
      <c r="A181">
        <v>2648</v>
      </c>
      <c r="B181" t="s">
        <v>1090</v>
      </c>
      <c r="C181">
        <v>1</v>
      </c>
      <c r="D181" s="6" t="s">
        <v>1091</v>
      </c>
      <c r="E181" t="s">
        <v>728</v>
      </c>
      <c r="F181" t="s">
        <v>728</v>
      </c>
      <c r="G181" t="s">
        <v>729</v>
      </c>
      <c r="H181" t="s">
        <v>1090</v>
      </c>
      <c r="I181" t="s">
        <v>1090</v>
      </c>
      <c r="J181">
        <v>2500</v>
      </c>
      <c r="K181">
        <v>2400</v>
      </c>
      <c r="L181">
        <v>2040</v>
      </c>
      <c r="M181" t="s">
        <v>1090</v>
      </c>
      <c r="N181">
        <v>0</v>
      </c>
      <c r="O181">
        <v>0</v>
      </c>
      <c r="P181">
        <v>0</v>
      </c>
      <c r="Q181" t="s">
        <v>38</v>
      </c>
      <c r="R181">
        <v>25</v>
      </c>
      <c r="S181">
        <v>1</v>
      </c>
      <c r="T181" t="s">
        <v>1092</v>
      </c>
      <c r="U181" t="s">
        <v>1093</v>
      </c>
      <c r="V181">
        <v>0</v>
      </c>
      <c r="W181" s="8" t="str">
        <f t="shared" si="2"/>
        <v>(2648,null,1,'2026-03-24 00:00:00','003307030150000-33070301501','003307030150000-33070301501','经胸腔镜小儿鸡胸矫正术',null,null,2500,2400,2040,null,0,0,0,'次',25,1,'normal','main',0),</v>
      </c>
    </row>
    <row r="182" spans="1:23">
      <c r="A182">
        <v>2649</v>
      </c>
      <c r="B182" t="s">
        <v>1090</v>
      </c>
      <c r="C182">
        <v>1</v>
      </c>
      <c r="D182" s="6" t="s">
        <v>1091</v>
      </c>
      <c r="E182" t="s">
        <v>732</v>
      </c>
      <c r="F182" t="s">
        <v>732</v>
      </c>
      <c r="G182" t="s">
        <v>733</v>
      </c>
      <c r="H182" t="s">
        <v>1090</v>
      </c>
      <c r="I182" t="s">
        <v>1090</v>
      </c>
      <c r="J182">
        <v>2275</v>
      </c>
      <c r="K182">
        <v>2185</v>
      </c>
      <c r="L182">
        <v>1855</v>
      </c>
      <c r="M182" t="s">
        <v>1090</v>
      </c>
      <c r="N182">
        <v>4160</v>
      </c>
      <c r="O182">
        <v>3770</v>
      </c>
      <c r="P182">
        <v>3210</v>
      </c>
      <c r="Q182" t="s">
        <v>38</v>
      </c>
      <c r="R182">
        <v>25</v>
      </c>
      <c r="S182">
        <v>1</v>
      </c>
      <c r="T182" t="s">
        <v>1092</v>
      </c>
      <c r="U182" t="s">
        <v>1093</v>
      </c>
      <c r="V182">
        <v>0</v>
      </c>
      <c r="W182" s="8" t="str">
        <f t="shared" si="2"/>
        <v>(2649,null,1,'2026-03-24 00:00:00','003307030140000-33070301401','003307030140000-33070301401','小儿胸廓畸形矫正术',null,null,2275,2185,1855,null,4160,3770,3210,'次',25,1,'normal','main',0),</v>
      </c>
    </row>
    <row r="183" spans="1:23">
      <c r="A183">
        <v>2650</v>
      </c>
      <c r="B183" t="s">
        <v>1090</v>
      </c>
      <c r="C183">
        <v>1</v>
      </c>
      <c r="D183" s="6" t="s">
        <v>1091</v>
      </c>
      <c r="E183" t="s">
        <v>734</v>
      </c>
      <c r="F183" t="s">
        <v>734</v>
      </c>
      <c r="G183" t="s">
        <v>735</v>
      </c>
      <c r="H183" t="s">
        <v>1090</v>
      </c>
      <c r="I183" t="s">
        <v>1090</v>
      </c>
      <c r="J183">
        <v>2900</v>
      </c>
      <c r="K183">
        <v>2785</v>
      </c>
      <c r="L183">
        <v>2365</v>
      </c>
      <c r="M183" t="s">
        <v>1090</v>
      </c>
      <c r="N183">
        <v>4160</v>
      </c>
      <c r="O183">
        <v>3770</v>
      </c>
      <c r="P183">
        <v>3210</v>
      </c>
      <c r="Q183" t="s">
        <v>38</v>
      </c>
      <c r="R183">
        <v>25</v>
      </c>
      <c r="S183">
        <v>1</v>
      </c>
      <c r="T183" t="s">
        <v>1092</v>
      </c>
      <c r="U183" t="s">
        <v>1093</v>
      </c>
      <c r="V183">
        <v>0</v>
      </c>
      <c r="W183" s="8" t="str">
        <f t="shared" si="2"/>
        <v>(2650,null,1,'2026-03-24 00:00:00','003307030140000-33070301403','003307030140000-33070301403','小儿经胸腔镜胸廓畸形矫正术',null,null,2900,2785,2365,null,4160,3770,3210,'次',25,1,'normal','main',0),</v>
      </c>
    </row>
    <row r="184" spans="1:23">
      <c r="A184">
        <v>2651</v>
      </c>
      <c r="B184" t="s">
        <v>1090</v>
      </c>
      <c r="C184">
        <v>1</v>
      </c>
      <c r="D184" s="6" t="s">
        <v>1091</v>
      </c>
      <c r="E184" t="s">
        <v>723</v>
      </c>
      <c r="F184" t="s">
        <v>723</v>
      </c>
      <c r="G184" t="s">
        <v>724</v>
      </c>
      <c r="H184" t="s">
        <v>1090</v>
      </c>
      <c r="I184" t="s">
        <v>1090</v>
      </c>
      <c r="J184">
        <v>1875</v>
      </c>
      <c r="K184">
        <v>1800</v>
      </c>
      <c r="L184">
        <v>1530</v>
      </c>
      <c r="M184" t="s">
        <v>1090</v>
      </c>
      <c r="N184">
        <v>0</v>
      </c>
      <c r="O184">
        <v>0</v>
      </c>
      <c r="P184">
        <v>0</v>
      </c>
      <c r="Q184" t="s">
        <v>38</v>
      </c>
      <c r="R184">
        <v>25</v>
      </c>
      <c r="S184">
        <v>1</v>
      </c>
      <c r="T184" t="s">
        <v>1092</v>
      </c>
      <c r="U184" t="s">
        <v>1093</v>
      </c>
      <c r="V184">
        <v>0</v>
      </c>
      <c r="W184" s="8" t="str">
        <f t="shared" si="2"/>
        <v>(2651,null,1,'2026-03-24 00:00:00','003307030150000-330703015','003307030150000-330703015','小儿鸡胸矫正术',null,null,1875,1800,1530,null,0,0,0,'次',25,1,'normal','main',0),</v>
      </c>
    </row>
    <row r="185" spans="1:23">
      <c r="A185">
        <v>2652</v>
      </c>
      <c r="B185" t="s">
        <v>1090</v>
      </c>
      <c r="C185">
        <v>1</v>
      </c>
      <c r="D185" s="6" t="s">
        <v>1091</v>
      </c>
      <c r="E185" t="s">
        <v>728</v>
      </c>
      <c r="F185" t="s">
        <v>728</v>
      </c>
      <c r="G185" t="s">
        <v>729</v>
      </c>
      <c r="H185" t="s">
        <v>1090</v>
      </c>
      <c r="I185" t="s">
        <v>1090</v>
      </c>
      <c r="J185">
        <v>2500</v>
      </c>
      <c r="K185">
        <v>2400</v>
      </c>
      <c r="L185">
        <v>2040</v>
      </c>
      <c r="M185" t="s">
        <v>1090</v>
      </c>
      <c r="N185">
        <v>0</v>
      </c>
      <c r="O185">
        <v>0</v>
      </c>
      <c r="P185">
        <v>0</v>
      </c>
      <c r="Q185" t="s">
        <v>38</v>
      </c>
      <c r="R185">
        <v>25</v>
      </c>
      <c r="S185">
        <v>1</v>
      </c>
      <c r="T185" t="s">
        <v>1092</v>
      </c>
      <c r="U185" t="s">
        <v>1093</v>
      </c>
      <c r="V185">
        <v>0</v>
      </c>
      <c r="W185" s="8" t="str">
        <f t="shared" si="2"/>
        <v>(2652,null,1,'2026-03-24 00:00:00','003307030150000-33070301501','003307030150000-33070301501','经胸腔镜小儿鸡胸矫正术',null,null,2500,2400,2040,null,0,0,0,'次',25,1,'normal','main',0),</v>
      </c>
    </row>
    <row r="186" spans="1:23">
      <c r="A186">
        <v>2653</v>
      </c>
      <c r="B186" t="s">
        <v>1090</v>
      </c>
      <c r="C186">
        <v>1</v>
      </c>
      <c r="D186" s="6" t="s">
        <v>1091</v>
      </c>
      <c r="E186" t="s">
        <v>740</v>
      </c>
      <c r="F186" t="s">
        <v>740</v>
      </c>
      <c r="G186" t="s">
        <v>741</v>
      </c>
      <c r="H186" t="s">
        <v>1090</v>
      </c>
      <c r="I186" t="s">
        <v>1090</v>
      </c>
      <c r="J186">
        <v>875</v>
      </c>
      <c r="K186">
        <v>840</v>
      </c>
      <c r="L186">
        <v>714</v>
      </c>
      <c r="M186" t="s">
        <v>1090</v>
      </c>
      <c r="N186">
        <v>1600</v>
      </c>
      <c r="O186">
        <v>1440</v>
      </c>
      <c r="P186">
        <v>1225</v>
      </c>
      <c r="Q186" t="s">
        <v>38</v>
      </c>
      <c r="R186">
        <v>25</v>
      </c>
      <c r="S186">
        <v>1</v>
      </c>
      <c r="T186" t="s">
        <v>1092</v>
      </c>
      <c r="U186" t="s">
        <v>1093</v>
      </c>
      <c r="V186">
        <v>0</v>
      </c>
      <c r="W186" s="8" t="str">
        <f t="shared" si="2"/>
        <v>(2653,null,1,'2026-03-24 00:00:00','003307030200000-330703020','003307030200000-330703020','脓胸引流清除术',null,null,875,840,714,null,1600,1440,1225,'次',25,1,'normal','main',0),</v>
      </c>
    </row>
    <row r="187" spans="1:23">
      <c r="A187">
        <v>2654</v>
      </c>
      <c r="B187" t="s">
        <v>1090</v>
      </c>
      <c r="C187">
        <v>1</v>
      </c>
      <c r="D187" s="6" t="s">
        <v>1091</v>
      </c>
      <c r="E187" t="s">
        <v>745</v>
      </c>
      <c r="F187" t="s">
        <v>745</v>
      </c>
      <c r="G187" t="s">
        <v>746</v>
      </c>
      <c r="H187" t="s">
        <v>1090</v>
      </c>
      <c r="I187" t="s">
        <v>1090</v>
      </c>
      <c r="J187">
        <v>1140</v>
      </c>
      <c r="K187">
        <v>1090</v>
      </c>
      <c r="L187">
        <v>925</v>
      </c>
      <c r="M187" t="s">
        <v>1090</v>
      </c>
      <c r="N187">
        <v>2080</v>
      </c>
      <c r="O187">
        <v>1870</v>
      </c>
      <c r="P187">
        <v>1590</v>
      </c>
      <c r="Q187" t="s">
        <v>38</v>
      </c>
      <c r="R187">
        <v>25</v>
      </c>
      <c r="S187">
        <v>1</v>
      </c>
      <c r="T187" t="s">
        <v>1092</v>
      </c>
      <c r="U187" t="s">
        <v>1093</v>
      </c>
      <c r="V187">
        <v>0</v>
      </c>
      <c r="W187" s="8" t="str">
        <f t="shared" si="2"/>
        <v>(2654,null,1,'2026-03-24 00:00:00','003307030200000-33070302001','003307030200000-33070302001','小儿脓胸引流清除术',null,null,1140,1090,925,null,2080,1870,1590,'次',25,1,'normal','main',0),</v>
      </c>
    </row>
    <row r="188" spans="1:23">
      <c r="A188">
        <v>2655</v>
      </c>
      <c r="B188" t="s">
        <v>1090</v>
      </c>
      <c r="C188">
        <v>1</v>
      </c>
      <c r="D188" s="6" t="s">
        <v>1091</v>
      </c>
      <c r="E188" t="s">
        <v>758</v>
      </c>
      <c r="F188" t="s">
        <v>758</v>
      </c>
      <c r="G188" t="s">
        <v>759</v>
      </c>
      <c r="H188" t="s">
        <v>1090</v>
      </c>
      <c r="I188" t="s">
        <v>1090</v>
      </c>
      <c r="J188">
        <v>2115</v>
      </c>
      <c r="K188">
        <v>2030</v>
      </c>
      <c r="L188">
        <v>1725</v>
      </c>
      <c r="M188" t="s">
        <v>1090</v>
      </c>
      <c r="N188">
        <v>3250</v>
      </c>
      <c r="O188">
        <v>2990</v>
      </c>
      <c r="P188">
        <v>2535</v>
      </c>
      <c r="Q188" t="s">
        <v>38</v>
      </c>
      <c r="R188">
        <v>25</v>
      </c>
      <c r="S188">
        <v>1</v>
      </c>
      <c r="T188" t="s">
        <v>1092</v>
      </c>
      <c r="U188" t="s">
        <v>1093</v>
      </c>
      <c r="V188">
        <v>0</v>
      </c>
      <c r="W188" s="8" t="str">
        <f t="shared" si="2"/>
        <v>(2655,null,1,'2026-03-24 00:00:00','003307030180000-33070301801','003307030180000-33070301801','小儿脓胸大网膜填充术',null,null,2115,2030,1725,null,3250,2990,2535,'次',25,1,'normal','main',0),</v>
      </c>
    </row>
    <row r="189" spans="1:23">
      <c r="A189">
        <v>2656</v>
      </c>
      <c r="B189" t="s">
        <v>1090</v>
      </c>
      <c r="C189">
        <v>1</v>
      </c>
      <c r="D189" s="6" t="s">
        <v>1091</v>
      </c>
      <c r="E189" t="s">
        <v>760</v>
      </c>
      <c r="F189" t="s">
        <v>760</v>
      </c>
      <c r="G189" t="s">
        <v>761</v>
      </c>
      <c r="H189" t="s">
        <v>1090</v>
      </c>
      <c r="I189" t="s">
        <v>1090</v>
      </c>
      <c r="J189">
        <v>2740</v>
      </c>
      <c r="K189">
        <v>2630</v>
      </c>
      <c r="L189">
        <v>2235</v>
      </c>
      <c r="M189" t="s">
        <v>1090</v>
      </c>
      <c r="N189">
        <v>3250</v>
      </c>
      <c r="O189">
        <v>2990</v>
      </c>
      <c r="P189">
        <v>2535</v>
      </c>
      <c r="Q189" t="s">
        <v>38</v>
      </c>
      <c r="R189">
        <v>25</v>
      </c>
      <c r="S189">
        <v>1</v>
      </c>
      <c r="T189" t="s">
        <v>1092</v>
      </c>
      <c r="U189" t="s">
        <v>1093</v>
      </c>
      <c r="V189">
        <v>0</v>
      </c>
      <c r="W189" s="8" t="str">
        <f t="shared" si="2"/>
        <v>(2656,null,1,'2026-03-24 00:00:00','003307030180001-33070301803','003307030180001-33070301803','小儿经胸腔镜脓胸大网膜填充术',null,null,2740,2630,2235,null,3250,2990,2535,'次',25,1,'normal','main',0),</v>
      </c>
    </row>
    <row r="190" spans="1:23">
      <c r="A190">
        <v>2657</v>
      </c>
      <c r="B190" t="s">
        <v>1090</v>
      </c>
      <c r="C190">
        <v>1</v>
      </c>
      <c r="D190" s="6" t="s">
        <v>1091</v>
      </c>
      <c r="E190" t="s">
        <v>766</v>
      </c>
      <c r="F190" t="s">
        <v>766</v>
      </c>
      <c r="G190" t="s">
        <v>767</v>
      </c>
      <c r="H190" t="s">
        <v>1090</v>
      </c>
      <c r="I190" t="s">
        <v>1090</v>
      </c>
      <c r="J190">
        <v>1875</v>
      </c>
      <c r="K190">
        <v>1800</v>
      </c>
      <c r="L190">
        <v>1530</v>
      </c>
      <c r="M190" t="s">
        <v>1090</v>
      </c>
      <c r="N190">
        <v>2450</v>
      </c>
      <c r="O190">
        <v>2200</v>
      </c>
      <c r="P190">
        <v>1900</v>
      </c>
      <c r="Q190" t="s">
        <v>38</v>
      </c>
      <c r="R190">
        <v>25</v>
      </c>
      <c r="S190">
        <v>1</v>
      </c>
      <c r="T190" t="s">
        <v>1092</v>
      </c>
      <c r="U190" t="s">
        <v>1093</v>
      </c>
      <c r="V190">
        <v>0</v>
      </c>
      <c r="W190" s="8" t="str">
        <f t="shared" si="2"/>
        <v>(2657,null,1,'2026-03-24 00:00:00','003307030190000-330703019','003307030190000-330703019','胸膜剥脱术',null,null,1875,1800,1530,null,2450,2200,1900,'次',25,1,'normal','main',0),</v>
      </c>
    </row>
    <row r="191" spans="1:23">
      <c r="A191">
        <v>2658</v>
      </c>
      <c r="B191" t="s">
        <v>1090</v>
      </c>
      <c r="C191">
        <v>1</v>
      </c>
      <c r="D191" s="6" t="s">
        <v>1091</v>
      </c>
      <c r="E191" t="s">
        <v>769</v>
      </c>
      <c r="F191" t="s">
        <v>769</v>
      </c>
      <c r="G191" t="s">
        <v>770</v>
      </c>
      <c r="H191" t="s">
        <v>1090</v>
      </c>
      <c r="I191" t="s">
        <v>1090</v>
      </c>
      <c r="J191">
        <v>2500</v>
      </c>
      <c r="K191">
        <v>2400</v>
      </c>
      <c r="L191">
        <v>2040</v>
      </c>
      <c r="M191" t="s">
        <v>1090</v>
      </c>
      <c r="N191">
        <v>2450</v>
      </c>
      <c r="O191">
        <v>2200</v>
      </c>
      <c r="P191">
        <v>1900</v>
      </c>
      <c r="Q191" t="s">
        <v>38</v>
      </c>
      <c r="R191">
        <v>25</v>
      </c>
      <c r="S191">
        <v>1</v>
      </c>
      <c r="T191" t="s">
        <v>1092</v>
      </c>
      <c r="U191" t="s">
        <v>1093</v>
      </c>
      <c r="V191">
        <v>0</v>
      </c>
      <c r="W191" s="8" t="str">
        <f t="shared" si="2"/>
        <v>(2658,null,1,'2026-03-24 00:00:00','003307030190001-33070301902','003307030190001-33070301902','经胸腔镜胸膜剥脱术',null,null,2500,2400,2040,null,2450,2200,1900,'次',25,1,'normal','main',0),</v>
      </c>
    </row>
    <row r="192" spans="1:23">
      <c r="A192">
        <v>2659</v>
      </c>
      <c r="B192" t="s">
        <v>1090</v>
      </c>
      <c r="C192">
        <v>1</v>
      </c>
      <c r="D192" s="6" t="s">
        <v>1091</v>
      </c>
      <c r="E192" t="s">
        <v>773</v>
      </c>
      <c r="F192" t="s">
        <v>773</v>
      </c>
      <c r="G192" t="s">
        <v>774</v>
      </c>
      <c r="H192" t="s">
        <v>1090</v>
      </c>
      <c r="I192" t="s">
        <v>1090</v>
      </c>
      <c r="J192">
        <v>2440</v>
      </c>
      <c r="K192">
        <v>2340</v>
      </c>
      <c r="L192">
        <v>1990</v>
      </c>
      <c r="M192" t="s">
        <v>1090</v>
      </c>
      <c r="N192">
        <v>3185</v>
      </c>
      <c r="O192">
        <v>2860</v>
      </c>
      <c r="P192">
        <v>2470</v>
      </c>
      <c r="Q192" t="s">
        <v>38</v>
      </c>
      <c r="R192">
        <v>25</v>
      </c>
      <c r="S192">
        <v>1</v>
      </c>
      <c r="T192" t="s">
        <v>1092</v>
      </c>
      <c r="U192" t="s">
        <v>1093</v>
      </c>
      <c r="V192">
        <v>0</v>
      </c>
      <c r="W192" s="8" t="str">
        <f t="shared" si="2"/>
        <v>(2659,null,1,'2026-03-24 00:00:00','003307030190000-33070301901','003307030190000-33070301901','小儿胸膜剥脱术',null,null,2440,2340,1990,null,3185,2860,2470,'次',25,1,'normal','main',0),</v>
      </c>
    </row>
    <row r="193" spans="1:23">
      <c r="A193">
        <v>2660</v>
      </c>
      <c r="B193" t="s">
        <v>1090</v>
      </c>
      <c r="C193">
        <v>1</v>
      </c>
      <c r="D193" s="6" t="s">
        <v>1091</v>
      </c>
      <c r="E193" t="s">
        <v>775</v>
      </c>
      <c r="F193" t="s">
        <v>775</v>
      </c>
      <c r="G193" t="s">
        <v>776</v>
      </c>
      <c r="H193" t="s">
        <v>1090</v>
      </c>
      <c r="I193" t="s">
        <v>1090</v>
      </c>
      <c r="J193">
        <v>3065</v>
      </c>
      <c r="K193">
        <v>2940</v>
      </c>
      <c r="L193">
        <v>2500</v>
      </c>
      <c r="M193" t="s">
        <v>1090</v>
      </c>
      <c r="N193">
        <v>3185</v>
      </c>
      <c r="O193">
        <v>2860</v>
      </c>
      <c r="P193">
        <v>2470</v>
      </c>
      <c r="Q193" t="s">
        <v>38</v>
      </c>
      <c r="R193">
        <v>25</v>
      </c>
      <c r="S193">
        <v>1</v>
      </c>
      <c r="T193" t="s">
        <v>1092</v>
      </c>
      <c r="U193" t="s">
        <v>1093</v>
      </c>
      <c r="V193">
        <v>0</v>
      </c>
      <c r="W193" s="8" t="str">
        <f t="shared" si="2"/>
        <v>(2660,null,1,'2026-03-24 00:00:00','003307030190001-33070301903','003307030190001-33070301903','小儿经胸腔镜胸膜剥脱术',null,null,3065,2940,2500,null,3185,2860,2470,'次',25,1,'normal','main',0),</v>
      </c>
    </row>
    <row r="194" spans="1:23">
      <c r="A194">
        <v>2661</v>
      </c>
      <c r="B194" t="s">
        <v>1090</v>
      </c>
      <c r="C194">
        <v>1</v>
      </c>
      <c r="D194" s="6" t="s">
        <v>1091</v>
      </c>
      <c r="E194" t="s">
        <v>781</v>
      </c>
      <c r="F194" t="s">
        <v>781</v>
      </c>
      <c r="G194" t="s">
        <v>782</v>
      </c>
      <c r="H194" t="s">
        <v>1090</v>
      </c>
      <c r="I194" t="s">
        <v>1090</v>
      </c>
      <c r="J194">
        <v>750</v>
      </c>
      <c r="K194">
        <v>720</v>
      </c>
      <c r="L194">
        <v>612</v>
      </c>
      <c r="M194" t="s">
        <v>1090</v>
      </c>
      <c r="N194">
        <v>1800</v>
      </c>
      <c r="O194">
        <v>1620</v>
      </c>
      <c r="P194">
        <v>1380</v>
      </c>
      <c r="Q194" t="s">
        <v>38</v>
      </c>
      <c r="R194">
        <v>25</v>
      </c>
      <c r="S194">
        <v>1</v>
      </c>
      <c r="T194" t="s">
        <v>1092</v>
      </c>
      <c r="U194" t="s">
        <v>1093</v>
      </c>
      <c r="V194">
        <v>0</v>
      </c>
      <c r="W194" s="8" t="str">
        <f t="shared" si="2"/>
        <v>(2661,null,1,'2026-03-24 00:00:00','003307030230000-330703023','003307030230000-330703023','胸膜固定术',null,null,750,720,612,null,1800,1620,1380,'次',25,1,'normal','main',0),</v>
      </c>
    </row>
    <row r="195" spans="1:23">
      <c r="A195">
        <v>2662</v>
      </c>
      <c r="B195" t="s">
        <v>1090</v>
      </c>
      <c r="C195">
        <v>1</v>
      </c>
      <c r="D195" s="6" t="s">
        <v>1091</v>
      </c>
      <c r="E195" t="s">
        <v>784</v>
      </c>
      <c r="F195" t="s">
        <v>784</v>
      </c>
      <c r="G195" t="s">
        <v>785</v>
      </c>
      <c r="H195" t="s">
        <v>1090</v>
      </c>
      <c r="I195" t="s">
        <v>1090</v>
      </c>
      <c r="J195">
        <v>1375</v>
      </c>
      <c r="K195">
        <v>1320</v>
      </c>
      <c r="L195">
        <v>1122</v>
      </c>
      <c r="M195" t="s">
        <v>1090</v>
      </c>
      <c r="N195">
        <v>1800</v>
      </c>
      <c r="O195">
        <v>1620</v>
      </c>
      <c r="P195">
        <v>1380</v>
      </c>
      <c r="Q195" t="s">
        <v>38</v>
      </c>
      <c r="R195">
        <v>25</v>
      </c>
      <c r="S195">
        <v>1</v>
      </c>
      <c r="T195" t="s">
        <v>1092</v>
      </c>
      <c r="U195" t="s">
        <v>1093</v>
      </c>
      <c r="V195">
        <v>0</v>
      </c>
      <c r="W195" s="8" t="str">
        <f t="shared" ref="W195:W245" si="3">"("&amp;A195&amp;","&amp;B195&amp;","&amp;C195&amp;",'"&amp;D195&amp;"','"&amp;E195&amp;"','"&amp;F195&amp;"','"&amp;G195&amp;"',"&amp;H195&amp;","&amp;I195&amp;","&amp;J195&amp;","&amp;K195&amp;","&amp;L195&amp;","&amp;M195&amp;","&amp;N195&amp;","&amp;O195&amp;","&amp;P195&amp;",'"&amp;Q195&amp;"',"&amp;R195&amp;","&amp;S195&amp;",'"&amp;T195&amp;"','"&amp;U195&amp;"',"&amp;V195&amp;"),"</f>
        <v>(2662,null,1,'2026-03-24 00:00:00','003307030230001-33070302302','003307030230001-33070302302','经胸腔镜胸膜固定术',null,null,1375,1320,1122,null,1800,1620,1380,'次',25,1,'normal','main',0),</v>
      </c>
    </row>
    <row r="196" spans="1:23">
      <c r="A196">
        <v>2663</v>
      </c>
      <c r="B196" t="s">
        <v>1090</v>
      </c>
      <c r="C196">
        <v>1</v>
      </c>
      <c r="D196" s="6" t="s">
        <v>1091</v>
      </c>
      <c r="E196" t="s">
        <v>788</v>
      </c>
      <c r="F196" t="s">
        <v>788</v>
      </c>
      <c r="G196" t="s">
        <v>789</v>
      </c>
      <c r="H196" t="s">
        <v>1090</v>
      </c>
      <c r="I196" t="s">
        <v>1090</v>
      </c>
      <c r="J196">
        <v>975</v>
      </c>
      <c r="K196">
        <v>935</v>
      </c>
      <c r="L196">
        <v>795</v>
      </c>
      <c r="M196" t="s">
        <v>1090</v>
      </c>
      <c r="N196">
        <v>2340</v>
      </c>
      <c r="O196">
        <v>2105</v>
      </c>
      <c r="P196">
        <v>1795</v>
      </c>
      <c r="Q196" t="s">
        <v>38</v>
      </c>
      <c r="R196">
        <v>25</v>
      </c>
      <c r="S196">
        <v>1</v>
      </c>
      <c r="T196" t="s">
        <v>1092</v>
      </c>
      <c r="U196" t="s">
        <v>1093</v>
      </c>
      <c r="V196">
        <v>0</v>
      </c>
      <c r="W196" s="8" t="str">
        <f t="shared" si="3"/>
        <v>(2663,null,1,'2026-03-24 00:00:00','003307030230000-33070302301','003307030230000-33070302301','小儿胸膜固定术',null,null,975,935,795,null,2340,2105,1795,'次',25,1,'normal','main',0),</v>
      </c>
    </row>
    <row r="197" spans="1:23">
      <c r="A197">
        <v>2664</v>
      </c>
      <c r="B197" t="s">
        <v>1090</v>
      </c>
      <c r="C197">
        <v>1</v>
      </c>
      <c r="D197" s="6" t="s">
        <v>1091</v>
      </c>
      <c r="E197" t="s">
        <v>790</v>
      </c>
      <c r="F197" t="s">
        <v>790</v>
      </c>
      <c r="G197" t="s">
        <v>791</v>
      </c>
      <c r="H197" t="s">
        <v>1090</v>
      </c>
      <c r="I197" t="s">
        <v>1090</v>
      </c>
      <c r="J197">
        <v>1600</v>
      </c>
      <c r="K197">
        <v>1535</v>
      </c>
      <c r="L197">
        <v>1305</v>
      </c>
      <c r="M197" t="s">
        <v>1090</v>
      </c>
      <c r="N197">
        <v>2340</v>
      </c>
      <c r="O197">
        <v>2105</v>
      </c>
      <c r="P197">
        <v>1795</v>
      </c>
      <c r="Q197" t="s">
        <v>38</v>
      </c>
      <c r="R197">
        <v>25</v>
      </c>
      <c r="S197">
        <v>1</v>
      </c>
      <c r="T197" t="s">
        <v>1092</v>
      </c>
      <c r="U197" t="s">
        <v>1093</v>
      </c>
      <c r="V197">
        <v>0</v>
      </c>
      <c r="W197" s="8" t="str">
        <f t="shared" si="3"/>
        <v>(2664,null,1,'2026-03-24 00:00:00','003307030230001-33070302303','003307030230001-33070302303','小儿经胸腔镜胸膜固定术',null,null,1600,1535,1305,null,2340,2105,1795,'次',25,1,'normal','main',0),</v>
      </c>
    </row>
    <row r="198" spans="1:23">
      <c r="A198">
        <v>2665</v>
      </c>
      <c r="B198" t="s">
        <v>1090</v>
      </c>
      <c r="C198">
        <v>1</v>
      </c>
      <c r="D198" s="6" t="s">
        <v>1091</v>
      </c>
      <c r="E198" t="s">
        <v>796</v>
      </c>
      <c r="F198" t="s">
        <v>796</v>
      </c>
      <c r="G198" t="s">
        <v>797</v>
      </c>
      <c r="H198" t="s">
        <v>1090</v>
      </c>
      <c r="I198" t="s">
        <v>1090</v>
      </c>
      <c r="J198">
        <v>1625</v>
      </c>
      <c r="K198">
        <v>1560</v>
      </c>
      <c r="L198">
        <v>1326</v>
      </c>
      <c r="M198" t="s">
        <v>1090</v>
      </c>
      <c r="N198">
        <v>2000</v>
      </c>
      <c r="O198">
        <v>1800</v>
      </c>
      <c r="P198">
        <v>1550</v>
      </c>
      <c r="Q198" t="s">
        <v>38</v>
      </c>
      <c r="R198">
        <v>25</v>
      </c>
      <c r="S198">
        <v>1</v>
      </c>
      <c r="T198" t="s">
        <v>1092</v>
      </c>
      <c r="U198" t="s">
        <v>1093</v>
      </c>
      <c r="V198">
        <v>0</v>
      </c>
      <c r="W198" s="8" t="str">
        <f t="shared" si="3"/>
        <v>(2665,null,1,'2026-03-24 00:00:00','003307030160000-330703016','003307030160000-330703016','胸内异物清除术',null,null,1625,1560,1326,null,2000,1800,1550,'次',25,1,'normal','main',0),</v>
      </c>
    </row>
    <row r="199" spans="1:23">
      <c r="A199">
        <v>2666</v>
      </c>
      <c r="B199" t="s">
        <v>1090</v>
      </c>
      <c r="C199">
        <v>1</v>
      </c>
      <c r="D199" s="6" t="s">
        <v>1091</v>
      </c>
      <c r="E199" t="s">
        <v>798</v>
      </c>
      <c r="F199" t="s">
        <v>798</v>
      </c>
      <c r="G199" t="s">
        <v>799</v>
      </c>
      <c r="H199" t="s">
        <v>1090</v>
      </c>
      <c r="I199" t="s">
        <v>1090</v>
      </c>
      <c r="J199">
        <v>2700</v>
      </c>
      <c r="K199">
        <v>2430</v>
      </c>
      <c r="L199">
        <v>2070</v>
      </c>
      <c r="M199" t="s">
        <v>1090</v>
      </c>
      <c r="N199">
        <v>2000</v>
      </c>
      <c r="O199">
        <v>1800</v>
      </c>
      <c r="P199">
        <v>1550</v>
      </c>
      <c r="Q199" t="s">
        <v>38</v>
      </c>
      <c r="R199">
        <v>25</v>
      </c>
      <c r="S199">
        <v>1</v>
      </c>
      <c r="T199" t="s">
        <v>1092</v>
      </c>
      <c r="U199" t="s">
        <v>1093</v>
      </c>
      <c r="V199">
        <v>0</v>
      </c>
      <c r="W199" s="8" t="str">
        <f t="shared" si="3"/>
        <v>(2666,null,1,'2026-03-24 00:00:00','003307020010000-330702001','003307020010000-330702001','肺内异物摘除术',null,null,2700,2430,2070,null,2000,1800,1550,'次',25,1,'normal','main',0),</v>
      </c>
    </row>
    <row r="200" spans="1:23">
      <c r="A200">
        <v>2667</v>
      </c>
      <c r="B200" t="s">
        <v>1090</v>
      </c>
      <c r="C200">
        <v>1</v>
      </c>
      <c r="D200" s="6" t="s">
        <v>1091</v>
      </c>
      <c r="E200" t="s">
        <v>801</v>
      </c>
      <c r="F200" t="s">
        <v>801</v>
      </c>
      <c r="G200" t="s">
        <v>802</v>
      </c>
      <c r="H200" t="s">
        <v>1090</v>
      </c>
      <c r="I200" t="s">
        <v>1090</v>
      </c>
      <c r="J200">
        <v>3460</v>
      </c>
      <c r="K200">
        <v>3110</v>
      </c>
      <c r="L200">
        <v>2640</v>
      </c>
      <c r="M200" t="s">
        <v>1090</v>
      </c>
      <c r="N200">
        <v>2000</v>
      </c>
      <c r="O200">
        <v>1800</v>
      </c>
      <c r="P200">
        <v>1550</v>
      </c>
      <c r="Q200" t="s">
        <v>38</v>
      </c>
      <c r="R200">
        <v>25</v>
      </c>
      <c r="S200">
        <v>1</v>
      </c>
      <c r="T200" t="s">
        <v>1092</v>
      </c>
      <c r="U200" t="s">
        <v>1093</v>
      </c>
      <c r="V200">
        <v>0</v>
      </c>
      <c r="W200" s="8" t="str">
        <f t="shared" si="3"/>
        <v>(2667,null,1,'2026-03-24 00:00:00','003307020010000-33070200101','003307020010000-33070200101','肺内异物摘除术（双侧）',null,null,3460,3110,2640,null,2000,1800,1550,'次',25,1,'normal','main',0),</v>
      </c>
    </row>
    <row r="201" spans="1:23">
      <c r="A201">
        <v>2668</v>
      </c>
      <c r="B201" t="s">
        <v>1090</v>
      </c>
      <c r="C201">
        <v>1</v>
      </c>
      <c r="D201" s="6" t="s">
        <v>1091</v>
      </c>
      <c r="E201" t="s">
        <v>804</v>
      </c>
      <c r="F201" t="s">
        <v>804</v>
      </c>
      <c r="G201" t="s">
        <v>805</v>
      </c>
      <c r="H201" t="s">
        <v>1090</v>
      </c>
      <c r="I201" t="s">
        <v>1090</v>
      </c>
      <c r="J201">
        <v>2250</v>
      </c>
      <c r="K201">
        <v>2160</v>
      </c>
      <c r="L201">
        <v>1836</v>
      </c>
      <c r="M201" t="s">
        <v>1090</v>
      </c>
      <c r="N201">
        <v>2000</v>
      </c>
      <c r="O201">
        <v>1800</v>
      </c>
      <c r="P201">
        <v>1550</v>
      </c>
      <c r="Q201" t="s">
        <v>38</v>
      </c>
      <c r="R201">
        <v>25</v>
      </c>
      <c r="S201">
        <v>1</v>
      </c>
      <c r="T201" t="s">
        <v>1092</v>
      </c>
      <c r="U201" t="s">
        <v>1093</v>
      </c>
      <c r="V201">
        <v>0</v>
      </c>
      <c r="W201" s="8" t="str">
        <f t="shared" si="3"/>
        <v>(2668,null,1,'2026-03-24 00:00:00','003307030160001-33070301602','003307030160001-33070301602','经胸腔镜胸内异物清除术',null,null,2250,2160,1836,null,2000,1800,1550,'次',25,1,'normal','main',0),</v>
      </c>
    </row>
    <row r="202" spans="1:23">
      <c r="A202">
        <v>2669</v>
      </c>
      <c r="B202" t="s">
        <v>1090</v>
      </c>
      <c r="C202">
        <v>1</v>
      </c>
      <c r="D202" s="6" t="s">
        <v>1091</v>
      </c>
      <c r="E202" t="s">
        <v>806</v>
      </c>
      <c r="F202" t="s">
        <v>806</v>
      </c>
      <c r="G202" t="s">
        <v>807</v>
      </c>
      <c r="H202" t="s">
        <v>1090</v>
      </c>
      <c r="I202" t="s">
        <v>1090</v>
      </c>
      <c r="J202">
        <v>3325</v>
      </c>
      <c r="K202">
        <v>3030</v>
      </c>
      <c r="L202">
        <v>2580</v>
      </c>
      <c r="M202" t="s">
        <v>1090</v>
      </c>
      <c r="N202">
        <v>2000</v>
      </c>
      <c r="O202">
        <v>1800</v>
      </c>
      <c r="P202">
        <v>1550</v>
      </c>
      <c r="Q202" t="s">
        <v>38</v>
      </c>
      <c r="R202">
        <v>25</v>
      </c>
      <c r="S202">
        <v>1</v>
      </c>
      <c r="T202" t="s">
        <v>1092</v>
      </c>
      <c r="U202" t="s">
        <v>1093</v>
      </c>
      <c r="V202">
        <v>0</v>
      </c>
      <c r="W202" s="8" t="str">
        <f t="shared" si="3"/>
        <v>(2669,null,1,'2026-03-24 00:00:00','003307020010001-33070200104','003307020010001-33070200104','经胸腔镜肺内异物摘除术',null,null,3325,3030,2580,null,2000,1800,1550,'次',25,1,'normal','main',0),</v>
      </c>
    </row>
    <row r="203" spans="1:23">
      <c r="A203">
        <v>2670</v>
      </c>
      <c r="B203" t="s">
        <v>1090</v>
      </c>
      <c r="C203">
        <v>1</v>
      </c>
      <c r="D203" s="6" t="s">
        <v>1091</v>
      </c>
      <c r="E203" t="s">
        <v>808</v>
      </c>
      <c r="F203" t="s">
        <v>808</v>
      </c>
      <c r="G203" t="s">
        <v>809</v>
      </c>
      <c r="H203" t="s">
        <v>1090</v>
      </c>
      <c r="I203" t="s">
        <v>1090</v>
      </c>
      <c r="J203">
        <v>4085</v>
      </c>
      <c r="K203">
        <v>3710</v>
      </c>
      <c r="L203">
        <v>3150</v>
      </c>
      <c r="M203" t="s">
        <v>1090</v>
      </c>
      <c r="N203">
        <v>2000</v>
      </c>
      <c r="O203">
        <v>1800</v>
      </c>
      <c r="P203">
        <v>1550</v>
      </c>
      <c r="Q203" t="s">
        <v>38</v>
      </c>
      <c r="R203">
        <v>25</v>
      </c>
      <c r="S203">
        <v>1</v>
      </c>
      <c r="T203" t="s">
        <v>1092</v>
      </c>
      <c r="U203" t="s">
        <v>1093</v>
      </c>
      <c r="V203">
        <v>0</v>
      </c>
      <c r="W203" s="8" t="str">
        <f t="shared" si="3"/>
        <v>(2670,null,1,'2026-03-24 00:00:00','003307020010001-33070200105','003307020010001-33070200105','经胸腔镜肺内异物摘除术（双侧）',null,null,4085,3710,3150,null,2000,1800,1550,'次',25,1,'normal','main',0),</v>
      </c>
    </row>
    <row r="204" spans="1:23">
      <c r="A204">
        <v>2671</v>
      </c>
      <c r="B204" t="s">
        <v>1090</v>
      </c>
      <c r="C204">
        <v>1</v>
      </c>
      <c r="D204" s="6" t="s">
        <v>1091</v>
      </c>
      <c r="E204" t="s">
        <v>812</v>
      </c>
      <c r="F204" t="s">
        <v>812</v>
      </c>
      <c r="G204" t="s">
        <v>813</v>
      </c>
      <c r="H204" t="s">
        <v>1090</v>
      </c>
      <c r="I204" t="s">
        <v>1090</v>
      </c>
      <c r="J204">
        <v>2115</v>
      </c>
      <c r="K204">
        <v>2030</v>
      </c>
      <c r="L204">
        <v>1725</v>
      </c>
      <c r="M204" t="s">
        <v>1090</v>
      </c>
      <c r="N204">
        <v>2600</v>
      </c>
      <c r="O204">
        <v>2340</v>
      </c>
      <c r="P204">
        <v>2015</v>
      </c>
      <c r="Q204" t="s">
        <v>38</v>
      </c>
      <c r="R204">
        <v>25</v>
      </c>
      <c r="S204">
        <v>1</v>
      </c>
      <c r="T204" t="s">
        <v>1092</v>
      </c>
      <c r="U204" t="s">
        <v>1093</v>
      </c>
      <c r="V204">
        <v>0</v>
      </c>
      <c r="W204" s="8" t="str">
        <f t="shared" si="3"/>
        <v>(2671,null,1,'2026-03-24 00:00:00','003307030160000-33070301601','003307030160000-33070301601','小儿胸内异物清除术',null,null,2115,2030,1725,null,2600,2340,2015,'次',25,1,'normal','main',0),</v>
      </c>
    </row>
    <row r="205" spans="1:23">
      <c r="A205">
        <v>2672</v>
      </c>
      <c r="B205" t="s">
        <v>1090</v>
      </c>
      <c r="C205">
        <v>1</v>
      </c>
      <c r="D205" s="6" t="s">
        <v>1091</v>
      </c>
      <c r="E205" t="s">
        <v>814</v>
      </c>
      <c r="F205" t="s">
        <v>814</v>
      </c>
      <c r="G205" t="s">
        <v>815</v>
      </c>
      <c r="H205" t="s">
        <v>1090</v>
      </c>
      <c r="I205" t="s">
        <v>1090</v>
      </c>
      <c r="J205">
        <v>3510</v>
      </c>
      <c r="K205">
        <v>3160</v>
      </c>
      <c r="L205">
        <v>2685</v>
      </c>
      <c r="M205" t="s">
        <v>1090</v>
      </c>
      <c r="N205">
        <v>2600</v>
      </c>
      <c r="O205">
        <v>2340</v>
      </c>
      <c r="P205">
        <v>2015</v>
      </c>
      <c r="Q205" t="s">
        <v>38</v>
      </c>
      <c r="R205">
        <v>25</v>
      </c>
      <c r="S205">
        <v>1</v>
      </c>
      <c r="T205" t="s">
        <v>1092</v>
      </c>
      <c r="U205" t="s">
        <v>1093</v>
      </c>
      <c r="V205">
        <v>0</v>
      </c>
      <c r="W205" s="8" t="str">
        <f t="shared" si="3"/>
        <v>(2672,null,1,'2026-03-24 00:00:00','003307020010000-33070200102','003307020010000-33070200102','小儿肺内异物摘除术',null,null,3510,3160,2685,null,2600,2340,2015,'次',25,1,'normal','main',0),</v>
      </c>
    </row>
    <row r="206" spans="1:23">
      <c r="A206">
        <v>2673</v>
      </c>
      <c r="B206" t="s">
        <v>1090</v>
      </c>
      <c r="C206">
        <v>1</v>
      </c>
      <c r="D206" s="6" t="s">
        <v>1091</v>
      </c>
      <c r="E206" t="s">
        <v>816</v>
      </c>
      <c r="F206" t="s">
        <v>816</v>
      </c>
      <c r="G206" t="s">
        <v>817</v>
      </c>
      <c r="H206" t="s">
        <v>1090</v>
      </c>
      <c r="I206" t="s">
        <v>1090</v>
      </c>
      <c r="J206">
        <v>4500</v>
      </c>
      <c r="K206">
        <v>4045</v>
      </c>
      <c r="L206">
        <v>3440</v>
      </c>
      <c r="M206" t="s">
        <v>1090</v>
      </c>
      <c r="N206">
        <v>2600</v>
      </c>
      <c r="O206">
        <v>2340</v>
      </c>
      <c r="P206">
        <v>2015</v>
      </c>
      <c r="Q206" t="s">
        <v>38</v>
      </c>
      <c r="R206">
        <v>25</v>
      </c>
      <c r="S206">
        <v>1</v>
      </c>
      <c r="T206" t="s">
        <v>1092</v>
      </c>
      <c r="U206" t="s">
        <v>1093</v>
      </c>
      <c r="V206">
        <v>0</v>
      </c>
      <c r="W206" s="8" t="str">
        <f t="shared" si="3"/>
        <v>(2673,null,1,'2026-03-24 00:00:00','003307020010000-33070200103','003307020010000-33070200103','小儿肺内异物摘除术（双侧）',null,null,4500,4045,3440,null,2600,2340,2015,'次',25,1,'normal','main',0),</v>
      </c>
    </row>
    <row r="207" spans="1:23">
      <c r="A207">
        <v>2674</v>
      </c>
      <c r="B207" t="s">
        <v>1090</v>
      </c>
      <c r="C207">
        <v>1</v>
      </c>
      <c r="D207" s="6" t="s">
        <v>1091</v>
      </c>
      <c r="E207" t="s">
        <v>818</v>
      </c>
      <c r="F207" t="s">
        <v>818</v>
      </c>
      <c r="G207" t="s">
        <v>819</v>
      </c>
      <c r="H207" t="s">
        <v>1090</v>
      </c>
      <c r="I207" t="s">
        <v>1090</v>
      </c>
      <c r="J207">
        <v>2740</v>
      </c>
      <c r="K207">
        <v>2630</v>
      </c>
      <c r="L207">
        <v>2235</v>
      </c>
      <c r="M207" t="s">
        <v>1090</v>
      </c>
      <c r="N207">
        <v>2600</v>
      </c>
      <c r="O207">
        <v>2340</v>
      </c>
      <c r="P207">
        <v>2015</v>
      </c>
      <c r="Q207" t="s">
        <v>38</v>
      </c>
      <c r="R207">
        <v>25</v>
      </c>
      <c r="S207">
        <v>1</v>
      </c>
      <c r="T207" t="s">
        <v>1092</v>
      </c>
      <c r="U207" t="s">
        <v>1093</v>
      </c>
      <c r="V207">
        <v>0</v>
      </c>
      <c r="W207" s="8" t="str">
        <f t="shared" si="3"/>
        <v>(2674,null,1,'2026-03-24 00:00:00','003307030160001-33070301603','003307030160001-33070301603','小儿经胸腔镜胸内异物清除术',null,null,2740,2630,2235,null,2600,2340,2015,'次',25,1,'normal','main',0),</v>
      </c>
    </row>
    <row r="208" spans="1:23">
      <c r="A208">
        <v>2675</v>
      </c>
      <c r="B208" t="s">
        <v>1090</v>
      </c>
      <c r="C208">
        <v>1</v>
      </c>
      <c r="D208" s="6" t="s">
        <v>1091</v>
      </c>
      <c r="E208" t="s">
        <v>820</v>
      </c>
      <c r="F208" t="s">
        <v>820</v>
      </c>
      <c r="G208" t="s">
        <v>821</v>
      </c>
      <c r="H208" t="s">
        <v>1090</v>
      </c>
      <c r="I208" t="s">
        <v>1090</v>
      </c>
      <c r="J208">
        <v>4135</v>
      </c>
      <c r="K208">
        <v>3760</v>
      </c>
      <c r="L208">
        <v>3195</v>
      </c>
      <c r="M208" t="s">
        <v>1090</v>
      </c>
      <c r="N208">
        <v>2600</v>
      </c>
      <c r="O208">
        <v>2340</v>
      </c>
      <c r="P208">
        <v>2015</v>
      </c>
      <c r="Q208" t="s">
        <v>38</v>
      </c>
      <c r="R208">
        <v>25</v>
      </c>
      <c r="S208">
        <v>1</v>
      </c>
      <c r="T208" t="s">
        <v>1092</v>
      </c>
      <c r="U208" t="s">
        <v>1093</v>
      </c>
      <c r="V208">
        <v>0</v>
      </c>
      <c r="W208" s="8" t="str">
        <f t="shared" si="3"/>
        <v>(2675,null,1,'2026-03-24 00:00:00','003307020010001-33070200106','003307020010001-33070200106','小儿经胸腔镜肺内异物摘除术',null,null,4135,3760,3195,null,2600,2340,2015,'次',25,1,'normal','main',0),</v>
      </c>
    </row>
    <row r="209" spans="1:23">
      <c r="A209">
        <v>2676</v>
      </c>
      <c r="B209" t="s">
        <v>1090</v>
      </c>
      <c r="C209">
        <v>1</v>
      </c>
      <c r="D209" s="6" t="s">
        <v>1091</v>
      </c>
      <c r="E209" t="s">
        <v>822</v>
      </c>
      <c r="F209" t="s">
        <v>822</v>
      </c>
      <c r="G209" t="s">
        <v>823</v>
      </c>
      <c r="H209" t="s">
        <v>1090</v>
      </c>
      <c r="I209" t="s">
        <v>1090</v>
      </c>
      <c r="J209">
        <v>5125</v>
      </c>
      <c r="K209">
        <v>4645</v>
      </c>
      <c r="L209">
        <v>3950</v>
      </c>
      <c r="M209" t="s">
        <v>1090</v>
      </c>
      <c r="N209">
        <v>2600</v>
      </c>
      <c r="O209">
        <v>2340</v>
      </c>
      <c r="P209">
        <v>2015</v>
      </c>
      <c r="Q209" t="s">
        <v>38</v>
      </c>
      <c r="R209">
        <v>25</v>
      </c>
      <c r="S209">
        <v>1</v>
      </c>
      <c r="T209" t="s">
        <v>1092</v>
      </c>
      <c r="U209" t="s">
        <v>1093</v>
      </c>
      <c r="V209">
        <v>0</v>
      </c>
      <c r="W209" s="8" t="str">
        <f t="shared" si="3"/>
        <v>(2676,null,1,'2026-03-24 00:00:00','003307020010001-33070200107','003307020010001-33070200107','小儿经胸腔镜肺内异物摘除术（双侧）',null,null,5125,4645,3950,null,2600,2340,2015,'次',25,1,'normal','main',0),</v>
      </c>
    </row>
    <row r="210" spans="1:23">
      <c r="A210">
        <v>2677</v>
      </c>
      <c r="B210" t="s">
        <v>1090</v>
      </c>
      <c r="C210">
        <v>1</v>
      </c>
      <c r="D210" s="6" t="s">
        <v>1091</v>
      </c>
      <c r="E210" t="s">
        <v>827</v>
      </c>
      <c r="F210" t="s">
        <v>827</v>
      </c>
      <c r="G210" t="s">
        <v>828</v>
      </c>
      <c r="H210" t="s">
        <v>1090</v>
      </c>
      <c r="I210" t="s">
        <v>1090</v>
      </c>
      <c r="J210">
        <v>2700</v>
      </c>
      <c r="K210">
        <v>2430</v>
      </c>
      <c r="L210">
        <v>2070</v>
      </c>
      <c r="M210" t="s">
        <v>1090</v>
      </c>
      <c r="N210">
        <v>3600</v>
      </c>
      <c r="O210">
        <v>3250</v>
      </c>
      <c r="P210">
        <v>2760</v>
      </c>
      <c r="Q210" t="s">
        <v>38</v>
      </c>
      <c r="R210">
        <v>25</v>
      </c>
      <c r="S210">
        <v>1</v>
      </c>
      <c r="T210" t="s">
        <v>1092</v>
      </c>
      <c r="U210" t="s">
        <v>1093</v>
      </c>
      <c r="V210">
        <v>0</v>
      </c>
      <c r="W210" s="8" t="str">
        <f t="shared" si="3"/>
        <v>(2677,null,1,'2026-03-24 00:00:00','003307030260000-330703026','003307030260000-330703026','纵隔肿物切除术',null,null,2700,2430,2070,null,3600,3250,2760,'次',25,1,'normal','main',0),</v>
      </c>
    </row>
    <row r="211" spans="1:23">
      <c r="A211">
        <v>2678</v>
      </c>
      <c r="B211" t="s">
        <v>1090</v>
      </c>
      <c r="C211">
        <v>1</v>
      </c>
      <c r="D211" s="6" t="s">
        <v>1091</v>
      </c>
      <c r="E211" t="s">
        <v>831</v>
      </c>
      <c r="F211" t="s">
        <v>831</v>
      </c>
      <c r="G211" t="s">
        <v>832</v>
      </c>
      <c r="H211" t="s">
        <v>1090</v>
      </c>
      <c r="I211" t="s">
        <v>1090</v>
      </c>
      <c r="J211">
        <v>3325</v>
      </c>
      <c r="K211">
        <v>3030</v>
      </c>
      <c r="L211">
        <v>2580</v>
      </c>
      <c r="M211" t="s">
        <v>1090</v>
      </c>
      <c r="N211">
        <v>3600</v>
      </c>
      <c r="O211">
        <v>3250</v>
      </c>
      <c r="P211">
        <v>2760</v>
      </c>
      <c r="Q211" t="s">
        <v>38</v>
      </c>
      <c r="R211">
        <v>25</v>
      </c>
      <c r="S211">
        <v>1</v>
      </c>
      <c r="T211" t="s">
        <v>1092</v>
      </c>
      <c r="U211" t="s">
        <v>1093</v>
      </c>
      <c r="V211">
        <v>0</v>
      </c>
      <c r="W211" s="8" t="str">
        <f t="shared" si="3"/>
        <v>(2678,null,1,'2026-03-24 00:00:00','003307030260001-33070302602','003307030260001-33070302602','经胸腔镜纵隔肿物切除术',null,null,3325,3030,2580,null,3600,3250,2760,'次',25,1,'normal','main',0),</v>
      </c>
    </row>
    <row r="212" spans="1:23">
      <c r="A212">
        <v>2679</v>
      </c>
      <c r="B212" t="s">
        <v>1090</v>
      </c>
      <c r="C212">
        <v>1</v>
      </c>
      <c r="D212" s="6" t="s">
        <v>1091</v>
      </c>
      <c r="E212" t="s">
        <v>835</v>
      </c>
      <c r="F212" t="s">
        <v>835</v>
      </c>
      <c r="G212" t="s">
        <v>836</v>
      </c>
      <c r="H212" t="s">
        <v>1090</v>
      </c>
      <c r="I212" t="s">
        <v>1090</v>
      </c>
      <c r="J212">
        <v>3510</v>
      </c>
      <c r="K212">
        <v>3160</v>
      </c>
      <c r="L212">
        <v>2685</v>
      </c>
      <c r="M212" t="s">
        <v>1090</v>
      </c>
      <c r="N212">
        <v>4680</v>
      </c>
      <c r="O212">
        <v>4225</v>
      </c>
      <c r="P212">
        <v>3590</v>
      </c>
      <c r="Q212" t="s">
        <v>38</v>
      </c>
      <c r="R212">
        <v>25</v>
      </c>
      <c r="S212">
        <v>1</v>
      </c>
      <c r="T212" t="s">
        <v>1092</v>
      </c>
      <c r="U212" t="s">
        <v>1093</v>
      </c>
      <c r="V212">
        <v>0</v>
      </c>
      <c r="W212" s="8" t="str">
        <f t="shared" si="3"/>
        <v>(2679,null,1,'2026-03-24 00:00:00','003307030260000-33070302601','003307030260000-33070302601','小儿纵隔肿物切除术',null,null,3510,3160,2685,null,4680,4225,3590,'次',25,1,'normal','main',0),</v>
      </c>
    </row>
    <row r="213" spans="1:23">
      <c r="A213">
        <v>2680</v>
      </c>
      <c r="B213" t="s">
        <v>1090</v>
      </c>
      <c r="C213">
        <v>1</v>
      </c>
      <c r="D213" s="6" t="s">
        <v>1091</v>
      </c>
      <c r="E213" t="s">
        <v>837</v>
      </c>
      <c r="F213" t="s">
        <v>837</v>
      </c>
      <c r="G213" t="s">
        <v>838</v>
      </c>
      <c r="H213" t="s">
        <v>1090</v>
      </c>
      <c r="I213" t="s">
        <v>1090</v>
      </c>
      <c r="J213">
        <v>4135</v>
      </c>
      <c r="K213">
        <v>3760</v>
      </c>
      <c r="L213">
        <v>3195</v>
      </c>
      <c r="M213" t="s">
        <v>1090</v>
      </c>
      <c r="N213">
        <v>4680</v>
      </c>
      <c r="O213">
        <v>4225</v>
      </c>
      <c r="P213">
        <v>3590</v>
      </c>
      <c r="Q213" t="s">
        <v>38</v>
      </c>
      <c r="R213">
        <v>25</v>
      </c>
      <c r="S213">
        <v>1</v>
      </c>
      <c r="T213" t="s">
        <v>1092</v>
      </c>
      <c r="U213" t="s">
        <v>1093</v>
      </c>
      <c r="V213">
        <v>0</v>
      </c>
      <c r="W213" s="8" t="str">
        <f t="shared" si="3"/>
        <v>(2680,null,1,'2026-03-24 00:00:00','003307030260001-33070302603','003307030260001-33070302603','小儿经胸腔镜纵隔肿物切除术',null,null,4135,3760,3195,null,4680,4225,3590,'次',25,1,'normal','main',0),</v>
      </c>
    </row>
    <row r="214" spans="1:23">
      <c r="A214">
        <v>2681</v>
      </c>
      <c r="B214" t="s">
        <v>1090</v>
      </c>
      <c r="C214">
        <v>1</v>
      </c>
      <c r="D214" s="6" t="s">
        <v>1091</v>
      </c>
      <c r="E214" t="s">
        <v>850</v>
      </c>
      <c r="F214" t="s">
        <v>850</v>
      </c>
      <c r="G214" t="s">
        <v>851</v>
      </c>
      <c r="H214" t="s">
        <v>1090</v>
      </c>
      <c r="I214" t="s">
        <v>1090</v>
      </c>
      <c r="J214">
        <v>625</v>
      </c>
      <c r="K214">
        <v>600</v>
      </c>
      <c r="L214">
        <v>510</v>
      </c>
      <c r="M214" t="s">
        <v>1090</v>
      </c>
      <c r="N214">
        <v>1000</v>
      </c>
      <c r="O214">
        <v>900</v>
      </c>
      <c r="P214">
        <v>765</v>
      </c>
      <c r="Q214" t="s">
        <v>38</v>
      </c>
      <c r="R214">
        <v>25</v>
      </c>
      <c r="S214">
        <v>1</v>
      </c>
      <c r="T214" t="s">
        <v>1092</v>
      </c>
      <c r="U214" t="s">
        <v>1093</v>
      </c>
      <c r="V214">
        <v>0</v>
      </c>
      <c r="W214" s="8" t="str">
        <f t="shared" si="3"/>
        <v>(2681,null,1,'2026-03-24 00:00:00','003307030270000-330703027','003307030270000-330703027','纵隔气肿切开减压术',null,null,625,600,510,null,1000,900,765,'次',25,1,'normal','main',0),</v>
      </c>
    </row>
    <row r="215" spans="1:23">
      <c r="A215">
        <v>2682</v>
      </c>
      <c r="B215" t="s">
        <v>1090</v>
      </c>
      <c r="C215">
        <v>1</v>
      </c>
      <c r="D215" s="6" t="s">
        <v>1091</v>
      </c>
      <c r="E215" t="s">
        <v>853</v>
      </c>
      <c r="F215" t="s">
        <v>853</v>
      </c>
      <c r="G215" t="s">
        <v>854</v>
      </c>
      <c r="H215" t="s">
        <v>1090</v>
      </c>
      <c r="I215" t="s">
        <v>1090</v>
      </c>
      <c r="J215">
        <v>1250</v>
      </c>
      <c r="K215">
        <v>1200</v>
      </c>
      <c r="L215">
        <v>1020</v>
      </c>
      <c r="M215" t="s">
        <v>1090</v>
      </c>
      <c r="N215">
        <v>1000</v>
      </c>
      <c r="O215">
        <v>900</v>
      </c>
      <c r="P215">
        <v>765</v>
      </c>
      <c r="Q215" t="s">
        <v>38</v>
      </c>
      <c r="R215">
        <v>25</v>
      </c>
      <c r="S215">
        <v>1</v>
      </c>
      <c r="T215" t="s">
        <v>1092</v>
      </c>
      <c r="U215" t="s">
        <v>1093</v>
      </c>
      <c r="V215">
        <v>0</v>
      </c>
      <c r="W215" s="8" t="str">
        <f t="shared" si="3"/>
        <v>(2682,null,1,'2026-03-24 00:00:00','003307030270000-33070302702','003307030270000-33070302702','经胸腔镜纵隔气肿切开减压术',null,null,1250,1200,1020,null,1000,900,765,'次',25,1,'normal','main',0),</v>
      </c>
    </row>
    <row r="216" spans="1:23">
      <c r="A216">
        <v>2683</v>
      </c>
      <c r="B216" t="s">
        <v>1090</v>
      </c>
      <c r="C216">
        <v>1</v>
      </c>
      <c r="D216" s="6" t="s">
        <v>1091</v>
      </c>
      <c r="E216" t="s">
        <v>857</v>
      </c>
      <c r="F216" t="s">
        <v>857</v>
      </c>
      <c r="G216" t="s">
        <v>858</v>
      </c>
      <c r="H216" t="s">
        <v>1090</v>
      </c>
      <c r="I216" t="s">
        <v>1090</v>
      </c>
      <c r="J216">
        <v>815</v>
      </c>
      <c r="K216">
        <v>780</v>
      </c>
      <c r="L216">
        <v>665</v>
      </c>
      <c r="M216" t="s">
        <v>1090</v>
      </c>
      <c r="N216">
        <v>1300</v>
      </c>
      <c r="O216">
        <v>1170</v>
      </c>
      <c r="P216">
        <v>995</v>
      </c>
      <c r="Q216" t="s">
        <v>38</v>
      </c>
      <c r="R216">
        <v>25</v>
      </c>
      <c r="S216">
        <v>1</v>
      </c>
      <c r="T216" t="s">
        <v>1092</v>
      </c>
      <c r="U216" t="s">
        <v>1093</v>
      </c>
      <c r="V216">
        <v>0</v>
      </c>
      <c r="W216" s="8" t="str">
        <f t="shared" si="3"/>
        <v>(2683,null,1,'2026-03-24 00:00:00','003307030270000-33070302701','003307030270000-33070302701','小儿纵隔气肿切开减压术',null,null,815,780,665,null,1300,1170,995,'次',25,1,'normal','main',0),</v>
      </c>
    </row>
    <row r="217" spans="1:23">
      <c r="A217">
        <v>2684</v>
      </c>
      <c r="B217" t="s">
        <v>1090</v>
      </c>
      <c r="C217">
        <v>1</v>
      </c>
      <c r="D217" s="6" t="s">
        <v>1091</v>
      </c>
      <c r="E217" t="s">
        <v>859</v>
      </c>
      <c r="F217" t="s">
        <v>859</v>
      </c>
      <c r="G217" t="s">
        <v>860</v>
      </c>
      <c r="H217" t="s">
        <v>1090</v>
      </c>
      <c r="I217" t="s">
        <v>1090</v>
      </c>
      <c r="J217">
        <v>1440</v>
      </c>
      <c r="K217">
        <v>1380</v>
      </c>
      <c r="L217">
        <v>1175</v>
      </c>
      <c r="M217" t="s">
        <v>1090</v>
      </c>
      <c r="N217">
        <v>1300</v>
      </c>
      <c r="O217">
        <v>1170</v>
      </c>
      <c r="P217">
        <v>995</v>
      </c>
      <c r="Q217" t="s">
        <v>38</v>
      </c>
      <c r="R217">
        <v>25</v>
      </c>
      <c r="S217">
        <v>1</v>
      </c>
      <c r="T217" t="s">
        <v>1092</v>
      </c>
      <c r="U217" t="s">
        <v>1093</v>
      </c>
      <c r="V217">
        <v>0</v>
      </c>
      <c r="W217" s="8" t="str">
        <f t="shared" si="3"/>
        <v>(2684,null,1,'2026-03-24 00:00:00','003307030270000-33070302703','003307030270000-33070302703','小儿经胸腔镜纵隔气肿切开减压术',null,null,1440,1380,1175,null,1300,1170,995,'次',25,1,'normal','main',0),</v>
      </c>
    </row>
    <row r="218" spans="1:23">
      <c r="A218">
        <v>2685</v>
      </c>
      <c r="B218" t="s">
        <v>1090</v>
      </c>
      <c r="C218">
        <v>1</v>
      </c>
      <c r="D218" s="6" t="s">
        <v>1091</v>
      </c>
      <c r="E218" t="s">
        <v>867</v>
      </c>
      <c r="F218" t="s">
        <v>867</v>
      </c>
      <c r="G218" t="s">
        <v>868</v>
      </c>
      <c r="H218" t="s">
        <v>1090</v>
      </c>
      <c r="I218" t="s">
        <v>1090</v>
      </c>
      <c r="J218">
        <v>1500</v>
      </c>
      <c r="K218">
        <v>1440</v>
      </c>
      <c r="L218">
        <v>1224</v>
      </c>
      <c r="M218" t="s">
        <v>1090</v>
      </c>
      <c r="N218">
        <v>1750</v>
      </c>
      <c r="O218">
        <v>1580</v>
      </c>
      <c r="P218">
        <v>1340</v>
      </c>
      <c r="Q218" t="s">
        <v>38</v>
      </c>
      <c r="R218">
        <v>25</v>
      </c>
      <c r="S218">
        <v>1</v>
      </c>
      <c r="T218" t="s">
        <v>1092</v>
      </c>
      <c r="U218" t="s">
        <v>1093</v>
      </c>
      <c r="V218">
        <v>0</v>
      </c>
      <c r="W218" s="8" t="str">
        <f t="shared" si="3"/>
        <v>(2685,null,1,'2026-03-24 00:00:00','003307030250000-330703025','003307030250000-330703025','纵隔感染清创引流术',null,null,1500,1440,1224,null,1750,1580,1340,'次',25,1,'normal','main',0),</v>
      </c>
    </row>
    <row r="219" spans="1:23">
      <c r="A219">
        <v>2686</v>
      </c>
      <c r="B219" t="s">
        <v>1090</v>
      </c>
      <c r="C219">
        <v>1</v>
      </c>
      <c r="D219" s="6" t="s">
        <v>1091</v>
      </c>
      <c r="E219" t="s">
        <v>870</v>
      </c>
      <c r="F219" t="s">
        <v>870</v>
      </c>
      <c r="G219" t="s">
        <v>871</v>
      </c>
      <c r="H219" t="s">
        <v>1090</v>
      </c>
      <c r="I219" t="s">
        <v>1090</v>
      </c>
      <c r="J219">
        <v>2125</v>
      </c>
      <c r="K219">
        <v>2040</v>
      </c>
      <c r="L219">
        <v>1734</v>
      </c>
      <c r="M219" t="s">
        <v>1090</v>
      </c>
      <c r="N219">
        <v>1750</v>
      </c>
      <c r="O219">
        <v>1580</v>
      </c>
      <c r="P219">
        <v>1340</v>
      </c>
      <c r="Q219" t="s">
        <v>38</v>
      </c>
      <c r="R219">
        <v>25</v>
      </c>
      <c r="S219">
        <v>1</v>
      </c>
      <c r="T219" t="s">
        <v>1092</v>
      </c>
      <c r="U219" t="s">
        <v>1093</v>
      </c>
      <c r="V219">
        <v>0</v>
      </c>
      <c r="W219" s="8" t="str">
        <f t="shared" si="3"/>
        <v>(2686,null,1,'2026-03-24 00:00:00','003307030250000-33070302502','003307030250000-33070302502','经胸腔镜纵隔感染清创引流术',null,null,2125,2040,1734,null,1750,1580,1340,'次',25,1,'normal','main',0),</v>
      </c>
    </row>
    <row r="220" spans="1:23">
      <c r="A220">
        <v>2687</v>
      </c>
      <c r="B220" t="s">
        <v>1090</v>
      </c>
      <c r="C220">
        <v>1</v>
      </c>
      <c r="D220" s="6" t="s">
        <v>1091</v>
      </c>
      <c r="E220" t="s">
        <v>874</v>
      </c>
      <c r="F220" t="s">
        <v>874</v>
      </c>
      <c r="G220" t="s">
        <v>875</v>
      </c>
      <c r="H220" t="s">
        <v>1090</v>
      </c>
      <c r="I220" t="s">
        <v>1090</v>
      </c>
      <c r="J220">
        <v>1950</v>
      </c>
      <c r="K220">
        <v>1870</v>
      </c>
      <c r="L220">
        <v>1590</v>
      </c>
      <c r="M220" t="s">
        <v>1090</v>
      </c>
      <c r="N220">
        <v>2275</v>
      </c>
      <c r="O220">
        <v>2055</v>
      </c>
      <c r="P220">
        <v>1740</v>
      </c>
      <c r="Q220" t="s">
        <v>38</v>
      </c>
      <c r="R220">
        <v>25</v>
      </c>
      <c r="S220">
        <v>1</v>
      </c>
      <c r="T220" t="s">
        <v>1092</v>
      </c>
      <c r="U220" t="s">
        <v>1093</v>
      </c>
      <c r="V220">
        <v>0</v>
      </c>
      <c r="W220" s="8" t="str">
        <f t="shared" si="3"/>
        <v>(2687,null,1,'2026-03-24 00:00:00','003307030250000-33070302501','003307030250000-33070302501','小儿纵隔感染清创引流术',null,null,1950,1870,1590,null,2275,2055,1740,'次',25,1,'normal','main',0),</v>
      </c>
    </row>
    <row r="221" spans="1:23">
      <c r="A221">
        <v>2688</v>
      </c>
      <c r="B221" t="s">
        <v>1090</v>
      </c>
      <c r="C221">
        <v>1</v>
      </c>
      <c r="D221" s="6" t="s">
        <v>1091</v>
      </c>
      <c r="E221" t="s">
        <v>876</v>
      </c>
      <c r="F221" t="s">
        <v>876</v>
      </c>
      <c r="G221" t="s">
        <v>877</v>
      </c>
      <c r="H221" t="s">
        <v>1090</v>
      </c>
      <c r="I221" t="s">
        <v>1090</v>
      </c>
      <c r="J221">
        <v>2575</v>
      </c>
      <c r="K221">
        <v>2470</v>
      </c>
      <c r="L221">
        <v>2100</v>
      </c>
      <c r="M221" t="s">
        <v>1090</v>
      </c>
      <c r="N221">
        <v>2275</v>
      </c>
      <c r="O221">
        <v>2055</v>
      </c>
      <c r="P221">
        <v>1740</v>
      </c>
      <c r="Q221" t="s">
        <v>38</v>
      </c>
      <c r="R221">
        <v>25</v>
      </c>
      <c r="S221">
        <v>1</v>
      </c>
      <c r="T221" t="s">
        <v>1092</v>
      </c>
      <c r="U221" t="s">
        <v>1093</v>
      </c>
      <c r="V221">
        <v>0</v>
      </c>
      <c r="W221" s="8" t="str">
        <f t="shared" si="3"/>
        <v>(2688,null,1,'2026-03-24 00:00:00','003307030250000-33070302503','003307030250000-33070302503','小儿经胸腔镜纵隔感染清创引流术',null,null,2575,2470,2100,null,2275,2055,1740,'次',25,1,'normal','main',0),</v>
      </c>
    </row>
    <row r="222" spans="1:23">
      <c r="A222">
        <v>2689</v>
      </c>
      <c r="B222" t="s">
        <v>1090</v>
      </c>
      <c r="C222">
        <v>1</v>
      </c>
      <c r="D222" s="6" t="s">
        <v>1091</v>
      </c>
      <c r="E222" t="s">
        <v>882</v>
      </c>
      <c r="F222" t="s">
        <v>882</v>
      </c>
      <c r="G222" t="s">
        <v>883</v>
      </c>
      <c r="H222" t="s">
        <v>1090</v>
      </c>
      <c r="I222" t="s">
        <v>1090</v>
      </c>
      <c r="J222">
        <v>2125</v>
      </c>
      <c r="K222">
        <v>2040</v>
      </c>
      <c r="L222">
        <v>1734</v>
      </c>
      <c r="M222" t="s">
        <v>1090</v>
      </c>
      <c r="N222">
        <v>2650</v>
      </c>
      <c r="O222">
        <v>2350</v>
      </c>
      <c r="P222">
        <v>2000</v>
      </c>
      <c r="Q222" t="s">
        <v>38</v>
      </c>
      <c r="R222">
        <v>25</v>
      </c>
      <c r="S222">
        <v>1</v>
      </c>
      <c r="T222" t="s">
        <v>1092</v>
      </c>
      <c r="U222" t="s">
        <v>1093</v>
      </c>
      <c r="V222">
        <v>0</v>
      </c>
      <c r="W222" s="8" t="str">
        <f t="shared" si="3"/>
        <v>(2689,null,1,'2026-03-24 00:00:00','003307030280000-330703028','003307030280000-330703028','膈肌修补术',null,null,2125,2040,1734,null,2650,2350,2000,'次',25,1,'normal','main',0),</v>
      </c>
    </row>
    <row r="223" spans="1:23">
      <c r="A223">
        <v>2690</v>
      </c>
      <c r="B223" t="s">
        <v>1090</v>
      </c>
      <c r="C223">
        <v>1</v>
      </c>
      <c r="D223" s="6" t="s">
        <v>1091</v>
      </c>
      <c r="E223" t="s">
        <v>886</v>
      </c>
      <c r="F223" t="s">
        <v>886</v>
      </c>
      <c r="G223" t="s">
        <v>887</v>
      </c>
      <c r="H223" t="s">
        <v>1090</v>
      </c>
      <c r="I223" t="s">
        <v>1090</v>
      </c>
      <c r="J223">
        <v>2750</v>
      </c>
      <c r="K223">
        <v>2640</v>
      </c>
      <c r="L223">
        <v>2244</v>
      </c>
      <c r="M223" t="s">
        <v>1090</v>
      </c>
      <c r="N223">
        <v>2650</v>
      </c>
      <c r="O223">
        <v>2350</v>
      </c>
      <c r="P223">
        <v>2000</v>
      </c>
      <c r="Q223" t="s">
        <v>38</v>
      </c>
      <c r="R223">
        <v>25</v>
      </c>
      <c r="S223">
        <v>1</v>
      </c>
      <c r="T223" t="s">
        <v>1092</v>
      </c>
      <c r="U223" t="s">
        <v>1093</v>
      </c>
      <c r="V223">
        <v>0</v>
      </c>
      <c r="W223" s="8" t="str">
        <f t="shared" si="3"/>
        <v>(2690,null,1,'2026-03-24 00:00:00','003307030280001-33070302802','003307030280001-33070302802','经胸腔镜膈肌修补术',null,null,2750,2640,2244,null,2650,2350,2000,'次',25,1,'normal','main',0),</v>
      </c>
    </row>
    <row r="224" spans="1:23">
      <c r="A224">
        <v>2691</v>
      </c>
      <c r="B224" t="s">
        <v>1090</v>
      </c>
      <c r="C224">
        <v>1</v>
      </c>
      <c r="D224" s="6" t="s">
        <v>1091</v>
      </c>
      <c r="E224" t="s">
        <v>888</v>
      </c>
      <c r="F224" t="s">
        <v>888</v>
      </c>
      <c r="G224" t="s">
        <v>889</v>
      </c>
      <c r="H224" t="s">
        <v>1090</v>
      </c>
      <c r="I224" t="s">
        <v>1090</v>
      </c>
      <c r="J224">
        <v>1625</v>
      </c>
      <c r="K224">
        <v>1560</v>
      </c>
      <c r="L224">
        <v>1326</v>
      </c>
      <c r="M224" t="s">
        <v>1090</v>
      </c>
      <c r="N224">
        <v>2650</v>
      </c>
      <c r="O224">
        <v>2350</v>
      </c>
      <c r="P224">
        <v>2000</v>
      </c>
      <c r="Q224" t="s">
        <v>38</v>
      </c>
      <c r="R224">
        <v>25</v>
      </c>
      <c r="S224">
        <v>1</v>
      </c>
      <c r="T224" t="s">
        <v>1092</v>
      </c>
      <c r="U224" t="s">
        <v>1093</v>
      </c>
      <c r="V224">
        <v>0</v>
      </c>
      <c r="W224" s="8" t="str">
        <f t="shared" si="3"/>
        <v>(2691,null,1,'2026-03-24 00:00:00','003307030320000-330703032','003307030320000-330703032','先天性膈疝修补术',null,null,1625,1560,1326,null,2650,2350,2000,'次',25,1,'normal','main',0),</v>
      </c>
    </row>
    <row r="225" spans="1:23">
      <c r="A225">
        <v>2692</v>
      </c>
      <c r="B225" t="s">
        <v>1090</v>
      </c>
      <c r="C225">
        <v>1</v>
      </c>
      <c r="D225" s="6" t="s">
        <v>1091</v>
      </c>
      <c r="E225" t="s">
        <v>892</v>
      </c>
      <c r="F225" t="s">
        <v>892</v>
      </c>
      <c r="G225" t="s">
        <v>893</v>
      </c>
      <c r="H225" t="s">
        <v>1090</v>
      </c>
      <c r="I225" t="s">
        <v>1090</v>
      </c>
      <c r="J225">
        <v>1950</v>
      </c>
      <c r="K225">
        <v>1870</v>
      </c>
      <c r="L225">
        <v>1590</v>
      </c>
      <c r="M225" t="s">
        <v>1090</v>
      </c>
      <c r="N225">
        <v>2650</v>
      </c>
      <c r="O225">
        <v>2350</v>
      </c>
      <c r="P225">
        <v>2000</v>
      </c>
      <c r="Q225" t="s">
        <v>38</v>
      </c>
      <c r="R225">
        <v>25</v>
      </c>
      <c r="S225">
        <v>1</v>
      </c>
      <c r="T225" t="s">
        <v>1092</v>
      </c>
      <c r="U225" t="s">
        <v>1093</v>
      </c>
      <c r="V225">
        <v>0</v>
      </c>
      <c r="W225" s="8" t="str">
        <f t="shared" si="3"/>
        <v>(2692,null,1,'2026-03-24 00:00:00','003307030320001-33070303201','003307030320001-33070303201','先天性膈疝修补术（嵌顿或巨大疝）',null,null,1950,1870,1590,null,2650,2350,2000,'次',25,1,'normal','main',0),</v>
      </c>
    </row>
    <row r="226" spans="1:23">
      <c r="A226">
        <v>2693</v>
      </c>
      <c r="B226" t="s">
        <v>1090</v>
      </c>
      <c r="C226">
        <v>1</v>
      </c>
      <c r="D226" s="6" t="s">
        <v>1091</v>
      </c>
      <c r="E226" t="s">
        <v>895</v>
      </c>
      <c r="F226" t="s">
        <v>895</v>
      </c>
      <c r="G226" t="s">
        <v>896</v>
      </c>
      <c r="H226" t="s">
        <v>1090</v>
      </c>
      <c r="I226" t="s">
        <v>1090</v>
      </c>
      <c r="J226">
        <v>2250</v>
      </c>
      <c r="K226">
        <v>2160</v>
      </c>
      <c r="L226">
        <v>1836</v>
      </c>
      <c r="M226" t="s">
        <v>1090</v>
      </c>
      <c r="N226">
        <v>2650</v>
      </c>
      <c r="O226">
        <v>2350</v>
      </c>
      <c r="P226">
        <v>2000</v>
      </c>
      <c r="Q226" t="s">
        <v>38</v>
      </c>
      <c r="R226">
        <v>25</v>
      </c>
      <c r="S226">
        <v>1</v>
      </c>
      <c r="T226" t="s">
        <v>1092</v>
      </c>
      <c r="U226" t="s">
        <v>1093</v>
      </c>
      <c r="V226">
        <v>0</v>
      </c>
      <c r="W226" s="8" t="str">
        <f t="shared" si="3"/>
        <v>(2693,null,1,'2026-03-24 00:00:00','003307030320000-33070303204','003307030320000-33070303204','经胸腔镜先天性膈疝修补术',null,null,2250,2160,1836,null,2650,2350,2000,'次',25,1,'normal','main',0),</v>
      </c>
    </row>
    <row r="227" spans="1:23">
      <c r="A227">
        <v>2694</v>
      </c>
      <c r="B227" t="s">
        <v>1090</v>
      </c>
      <c r="C227">
        <v>1</v>
      </c>
      <c r="D227" s="6" t="s">
        <v>1091</v>
      </c>
      <c r="E227" t="s">
        <v>897</v>
      </c>
      <c r="F227" t="s">
        <v>897</v>
      </c>
      <c r="G227" t="s">
        <v>898</v>
      </c>
      <c r="H227" t="s">
        <v>1090</v>
      </c>
      <c r="I227" t="s">
        <v>1090</v>
      </c>
      <c r="J227">
        <v>2575</v>
      </c>
      <c r="K227">
        <v>2470</v>
      </c>
      <c r="L227">
        <v>2100</v>
      </c>
      <c r="M227" t="s">
        <v>1090</v>
      </c>
      <c r="N227">
        <v>2650</v>
      </c>
      <c r="O227">
        <v>2350</v>
      </c>
      <c r="P227">
        <v>2000</v>
      </c>
      <c r="Q227" t="s">
        <v>38</v>
      </c>
      <c r="R227">
        <v>25</v>
      </c>
      <c r="S227">
        <v>1</v>
      </c>
      <c r="T227" t="s">
        <v>1092</v>
      </c>
      <c r="U227" t="s">
        <v>1093</v>
      </c>
      <c r="V227">
        <v>0</v>
      </c>
      <c r="W227" s="8" t="str">
        <f t="shared" si="3"/>
        <v>(2694,null,1,'2026-03-24 00:00:00','003307030320001-33070303205','003307030320001-33070303205','经胸腔镜先天性膈疝修补术（嵌顿或巨大疝）',null,null,2575,2470,2100,null,2650,2350,2000,'次',25,1,'normal','main',0),</v>
      </c>
    </row>
    <row r="228" spans="1:23">
      <c r="A228">
        <v>2695</v>
      </c>
      <c r="B228" t="s">
        <v>1090</v>
      </c>
      <c r="C228">
        <v>1</v>
      </c>
      <c r="D228" s="6" t="s">
        <v>1091</v>
      </c>
      <c r="E228" t="s">
        <v>901</v>
      </c>
      <c r="F228" t="s">
        <v>901</v>
      </c>
      <c r="G228" t="s">
        <v>902</v>
      </c>
      <c r="H228" t="s">
        <v>1090</v>
      </c>
      <c r="I228" t="s">
        <v>1090</v>
      </c>
      <c r="J228">
        <v>2765</v>
      </c>
      <c r="K228">
        <v>2650</v>
      </c>
      <c r="L228">
        <v>2255</v>
      </c>
      <c r="M228" t="s">
        <v>1090</v>
      </c>
      <c r="N228">
        <v>3445</v>
      </c>
      <c r="O228">
        <v>3055</v>
      </c>
      <c r="P228">
        <v>2600</v>
      </c>
      <c r="Q228" t="s">
        <v>38</v>
      </c>
      <c r="R228">
        <v>25</v>
      </c>
      <c r="S228">
        <v>1</v>
      </c>
      <c r="T228" t="s">
        <v>1092</v>
      </c>
      <c r="U228" t="s">
        <v>1093</v>
      </c>
      <c r="V228">
        <v>0</v>
      </c>
      <c r="W228" s="8" t="str">
        <f t="shared" si="3"/>
        <v>(2695,null,1,'2026-03-24 00:00:00','003307030280000-33070302801','003307030280000-33070302801','小儿膈肌修补术',null,null,2765,2650,2255,null,3445,3055,2600,'次',25,1,'normal','main',0),</v>
      </c>
    </row>
    <row r="229" spans="1:23">
      <c r="A229">
        <v>2696</v>
      </c>
      <c r="B229" t="s">
        <v>1090</v>
      </c>
      <c r="C229">
        <v>1</v>
      </c>
      <c r="D229" s="6" t="s">
        <v>1091</v>
      </c>
      <c r="E229" t="s">
        <v>903</v>
      </c>
      <c r="F229" t="s">
        <v>903</v>
      </c>
      <c r="G229" t="s">
        <v>904</v>
      </c>
      <c r="H229" t="s">
        <v>1090</v>
      </c>
      <c r="I229" t="s">
        <v>1090</v>
      </c>
      <c r="J229">
        <v>3390</v>
      </c>
      <c r="K229">
        <v>3250</v>
      </c>
      <c r="L229">
        <v>2765</v>
      </c>
      <c r="M229" t="s">
        <v>1090</v>
      </c>
      <c r="N229">
        <v>3445</v>
      </c>
      <c r="O229">
        <v>3055</v>
      </c>
      <c r="P229">
        <v>2600</v>
      </c>
      <c r="Q229" t="s">
        <v>38</v>
      </c>
      <c r="R229">
        <v>25</v>
      </c>
      <c r="S229">
        <v>1</v>
      </c>
      <c r="T229" t="s">
        <v>1092</v>
      </c>
      <c r="U229" t="s">
        <v>1093</v>
      </c>
      <c r="V229">
        <v>0</v>
      </c>
      <c r="W229" s="8" t="str">
        <f t="shared" si="3"/>
        <v>(2696,null,1,'2026-03-24 00:00:00','003307030280001-33070302803','003307030280001-33070302803','小儿经胸腔镜膈肌修补术',null,null,3390,3250,2765,null,3445,3055,2600,'次',25,1,'normal','main',0),</v>
      </c>
    </row>
    <row r="230" spans="1:23">
      <c r="A230">
        <v>2697</v>
      </c>
      <c r="B230" t="s">
        <v>1090</v>
      </c>
      <c r="C230">
        <v>1</v>
      </c>
      <c r="D230" s="6" t="s">
        <v>1091</v>
      </c>
      <c r="E230" t="s">
        <v>905</v>
      </c>
      <c r="F230" t="s">
        <v>905</v>
      </c>
      <c r="G230" t="s">
        <v>906</v>
      </c>
      <c r="H230" t="s">
        <v>1090</v>
      </c>
      <c r="I230" t="s">
        <v>1090</v>
      </c>
      <c r="J230">
        <v>2115</v>
      </c>
      <c r="K230">
        <v>2030</v>
      </c>
      <c r="L230">
        <v>1725</v>
      </c>
      <c r="M230" t="s">
        <v>1090</v>
      </c>
      <c r="N230">
        <v>3445</v>
      </c>
      <c r="O230">
        <v>3055</v>
      </c>
      <c r="P230">
        <v>2600</v>
      </c>
      <c r="Q230" t="s">
        <v>38</v>
      </c>
      <c r="R230">
        <v>25</v>
      </c>
      <c r="S230">
        <v>1</v>
      </c>
      <c r="T230" t="s">
        <v>1092</v>
      </c>
      <c r="U230" t="s">
        <v>1093</v>
      </c>
      <c r="V230">
        <v>0</v>
      </c>
      <c r="W230" s="8" t="str">
        <f t="shared" si="3"/>
        <v>(2697,null,1,'2026-03-24 00:00:00','003307030320000-33070303202','003307030320000-33070303202','小儿先天性膈疝修补术',null,null,2115,2030,1725,null,3445,3055,2600,'次',25,1,'normal','main',0),</v>
      </c>
    </row>
    <row r="231" spans="1:23">
      <c r="A231">
        <v>2698</v>
      </c>
      <c r="B231" t="s">
        <v>1090</v>
      </c>
      <c r="C231">
        <v>1</v>
      </c>
      <c r="D231" s="6" t="s">
        <v>1091</v>
      </c>
      <c r="E231" t="s">
        <v>907</v>
      </c>
      <c r="F231" t="s">
        <v>907</v>
      </c>
      <c r="G231" t="s">
        <v>908</v>
      </c>
      <c r="H231" t="s">
        <v>1090</v>
      </c>
      <c r="I231" t="s">
        <v>1090</v>
      </c>
      <c r="J231">
        <v>2535</v>
      </c>
      <c r="K231">
        <v>2430</v>
      </c>
      <c r="L231">
        <v>2065</v>
      </c>
      <c r="M231" t="s">
        <v>1090</v>
      </c>
      <c r="N231">
        <v>3445</v>
      </c>
      <c r="O231">
        <v>3055</v>
      </c>
      <c r="P231">
        <v>2600</v>
      </c>
      <c r="Q231" t="s">
        <v>38</v>
      </c>
      <c r="R231">
        <v>25</v>
      </c>
      <c r="S231">
        <v>1</v>
      </c>
      <c r="T231" t="s">
        <v>1092</v>
      </c>
      <c r="U231" t="s">
        <v>1093</v>
      </c>
      <c r="V231">
        <v>0</v>
      </c>
      <c r="W231" s="8" t="str">
        <f t="shared" si="3"/>
        <v>(2698,null,1,'2026-03-24 00:00:00','003307030320001-33070303203','003307030320001-33070303203','小儿先天性膈疝修补术（嵌顿或巨大疝）',null,null,2535,2430,2065,null,3445,3055,2600,'次',25,1,'normal','main',0),</v>
      </c>
    </row>
    <row r="232" spans="1:23">
      <c r="A232">
        <v>2699</v>
      </c>
      <c r="B232" t="s">
        <v>1090</v>
      </c>
      <c r="C232">
        <v>1</v>
      </c>
      <c r="D232" s="6" t="s">
        <v>1091</v>
      </c>
      <c r="E232" t="s">
        <v>909</v>
      </c>
      <c r="F232" t="s">
        <v>909</v>
      </c>
      <c r="G232" t="s">
        <v>910</v>
      </c>
      <c r="H232" t="s">
        <v>1090</v>
      </c>
      <c r="I232" t="s">
        <v>1090</v>
      </c>
      <c r="J232">
        <v>2740</v>
      </c>
      <c r="K232">
        <v>2630</v>
      </c>
      <c r="L232">
        <v>2235</v>
      </c>
      <c r="M232" t="s">
        <v>1090</v>
      </c>
      <c r="N232">
        <v>3445</v>
      </c>
      <c r="O232">
        <v>3055</v>
      </c>
      <c r="P232">
        <v>2600</v>
      </c>
      <c r="Q232" t="s">
        <v>38</v>
      </c>
      <c r="R232">
        <v>25</v>
      </c>
      <c r="S232">
        <v>1</v>
      </c>
      <c r="T232" t="s">
        <v>1092</v>
      </c>
      <c r="U232" t="s">
        <v>1093</v>
      </c>
      <c r="V232">
        <v>0</v>
      </c>
      <c r="W232" s="8" t="str">
        <f t="shared" si="3"/>
        <v>(2699,null,1,'2026-03-24 00:00:00','003307030320000-33070303206','003307030320000-33070303206','小儿经胸腔镜先天性膈疝修补术',null,null,2740,2630,2235,null,3445,3055,2600,'次',25,1,'normal','main',0),</v>
      </c>
    </row>
    <row r="233" spans="1:23">
      <c r="A233">
        <v>2700</v>
      </c>
      <c r="B233" t="s">
        <v>1090</v>
      </c>
      <c r="C233">
        <v>1</v>
      </c>
      <c r="D233" s="6" t="s">
        <v>1091</v>
      </c>
      <c r="E233" t="s">
        <v>911</v>
      </c>
      <c r="F233" t="s">
        <v>911</v>
      </c>
      <c r="G233" t="s">
        <v>912</v>
      </c>
      <c r="H233" t="s">
        <v>1090</v>
      </c>
      <c r="I233" t="s">
        <v>1090</v>
      </c>
      <c r="J233">
        <v>3160</v>
      </c>
      <c r="K233">
        <v>3030</v>
      </c>
      <c r="L233">
        <v>2575</v>
      </c>
      <c r="M233" t="s">
        <v>1090</v>
      </c>
      <c r="N233">
        <v>3445</v>
      </c>
      <c r="O233">
        <v>3055</v>
      </c>
      <c r="P233">
        <v>2600</v>
      </c>
      <c r="Q233" t="s">
        <v>38</v>
      </c>
      <c r="R233">
        <v>25</v>
      </c>
      <c r="S233">
        <v>1</v>
      </c>
      <c r="T233" t="s">
        <v>1092</v>
      </c>
      <c r="U233" t="s">
        <v>1093</v>
      </c>
      <c r="V233">
        <v>0</v>
      </c>
      <c r="W233" s="8" t="str">
        <f t="shared" si="3"/>
        <v>(2700,null,1,'2026-03-24 00:00:00','003307030320001-33070303207','003307030320001-33070303207','小儿经胸腔镜先天性膈疝修补术（嵌顿或巨大疝）',null,null,3160,3030,2575,null,3445,3055,2600,'次',25,1,'normal','main',0),</v>
      </c>
    </row>
    <row r="234" spans="1:23">
      <c r="A234">
        <v>2701</v>
      </c>
      <c r="B234" t="s">
        <v>1090</v>
      </c>
      <c r="C234">
        <v>1</v>
      </c>
      <c r="D234" s="6" t="s">
        <v>1091</v>
      </c>
      <c r="E234" t="s">
        <v>917</v>
      </c>
      <c r="F234" t="s">
        <v>917</v>
      </c>
      <c r="G234" t="s">
        <v>918</v>
      </c>
      <c r="H234" t="s">
        <v>1090</v>
      </c>
      <c r="I234" t="s">
        <v>1090</v>
      </c>
      <c r="J234">
        <v>1875</v>
      </c>
      <c r="K234">
        <v>1800</v>
      </c>
      <c r="L234">
        <v>1530</v>
      </c>
      <c r="M234" t="s">
        <v>1090</v>
      </c>
      <c r="N234">
        <v>2450</v>
      </c>
      <c r="O234">
        <v>2200</v>
      </c>
      <c r="P234">
        <v>1900</v>
      </c>
      <c r="Q234" t="s">
        <v>38</v>
      </c>
      <c r="R234">
        <v>25</v>
      </c>
      <c r="S234">
        <v>1</v>
      </c>
      <c r="T234" t="s">
        <v>1092</v>
      </c>
      <c r="U234" t="s">
        <v>1093</v>
      </c>
      <c r="V234">
        <v>0</v>
      </c>
      <c r="W234" s="8" t="str">
        <f t="shared" si="3"/>
        <v>(2701,null,1,'2026-03-24 00:00:00','003307030290000-330703029','003307030290000-330703029','膈肌折叠术',null,null,1875,1800,1530,null,2450,2200,1900,'次',25,1,'normal','main',0),</v>
      </c>
    </row>
    <row r="235" spans="1:23">
      <c r="A235">
        <v>2702</v>
      </c>
      <c r="B235" t="s">
        <v>1090</v>
      </c>
      <c r="C235">
        <v>1</v>
      </c>
      <c r="D235" s="6" t="s">
        <v>1091</v>
      </c>
      <c r="E235" t="s">
        <v>920</v>
      </c>
      <c r="F235" t="s">
        <v>920</v>
      </c>
      <c r="G235" t="s">
        <v>921</v>
      </c>
      <c r="H235" t="s">
        <v>1090</v>
      </c>
      <c r="I235" t="s">
        <v>1090</v>
      </c>
      <c r="J235">
        <v>2500</v>
      </c>
      <c r="K235">
        <v>2400</v>
      </c>
      <c r="L235">
        <v>2040</v>
      </c>
      <c r="M235" t="s">
        <v>1090</v>
      </c>
      <c r="N235">
        <v>2450</v>
      </c>
      <c r="O235">
        <v>2200</v>
      </c>
      <c r="P235">
        <v>1900</v>
      </c>
      <c r="Q235" t="s">
        <v>38</v>
      </c>
      <c r="R235">
        <v>25</v>
      </c>
      <c r="S235">
        <v>1</v>
      </c>
      <c r="T235" t="s">
        <v>1092</v>
      </c>
      <c r="U235" t="s">
        <v>1093</v>
      </c>
      <c r="V235">
        <v>0</v>
      </c>
      <c r="W235" s="8" t="str">
        <f t="shared" si="3"/>
        <v>(2702,null,1,'2026-03-24 00:00:00','003307030290000-33070302902','003307030290000-33070302902','经胸腔镜膈肌折叠术',null,null,2500,2400,2040,null,2450,2200,1900,'次',25,1,'normal','main',0),</v>
      </c>
    </row>
    <row r="236" spans="1:23">
      <c r="A236">
        <v>2703</v>
      </c>
      <c r="B236" t="s">
        <v>1090</v>
      </c>
      <c r="C236">
        <v>1</v>
      </c>
      <c r="D236" s="6" t="s">
        <v>1091</v>
      </c>
      <c r="E236" t="s">
        <v>924</v>
      </c>
      <c r="F236" t="s">
        <v>924</v>
      </c>
      <c r="G236" t="s">
        <v>925</v>
      </c>
      <c r="H236" t="s">
        <v>1090</v>
      </c>
      <c r="I236" t="s">
        <v>1090</v>
      </c>
      <c r="J236">
        <v>2440</v>
      </c>
      <c r="K236">
        <v>2340</v>
      </c>
      <c r="L236">
        <v>1990</v>
      </c>
      <c r="M236" t="s">
        <v>1090</v>
      </c>
      <c r="N236">
        <v>3185</v>
      </c>
      <c r="O236">
        <v>2860</v>
      </c>
      <c r="P236">
        <v>2470</v>
      </c>
      <c r="Q236" t="s">
        <v>38</v>
      </c>
      <c r="R236">
        <v>25</v>
      </c>
      <c r="S236">
        <v>1</v>
      </c>
      <c r="T236" t="s">
        <v>1092</v>
      </c>
      <c r="U236" t="s">
        <v>1093</v>
      </c>
      <c r="V236">
        <v>0</v>
      </c>
      <c r="W236" s="8" t="str">
        <f t="shared" si="3"/>
        <v>(2703,null,1,'2026-03-24 00:00:00','003307030290000-33070302901','003307030290000-33070302901','小儿膈肌折叠术',null,null,2440,2340,1990,null,3185,2860,2470,'次',25,1,'normal','main',0),</v>
      </c>
    </row>
    <row r="237" spans="1:23">
      <c r="A237">
        <v>2704</v>
      </c>
      <c r="B237" t="s">
        <v>1090</v>
      </c>
      <c r="C237">
        <v>1</v>
      </c>
      <c r="D237" s="6" t="s">
        <v>1091</v>
      </c>
      <c r="E237" t="s">
        <v>926</v>
      </c>
      <c r="F237" t="s">
        <v>926</v>
      </c>
      <c r="G237" t="s">
        <v>927</v>
      </c>
      <c r="H237" t="s">
        <v>1090</v>
      </c>
      <c r="I237" t="s">
        <v>1090</v>
      </c>
      <c r="J237">
        <v>3065</v>
      </c>
      <c r="K237">
        <v>2940</v>
      </c>
      <c r="L237">
        <v>2500</v>
      </c>
      <c r="M237" t="s">
        <v>1090</v>
      </c>
      <c r="N237">
        <v>3185</v>
      </c>
      <c r="O237">
        <v>2860</v>
      </c>
      <c r="P237">
        <v>2470</v>
      </c>
      <c r="Q237" t="s">
        <v>38</v>
      </c>
      <c r="R237">
        <v>25</v>
      </c>
      <c r="S237">
        <v>1</v>
      </c>
      <c r="T237" t="s">
        <v>1092</v>
      </c>
      <c r="U237" t="s">
        <v>1093</v>
      </c>
      <c r="V237">
        <v>0</v>
      </c>
      <c r="W237" s="8" t="str">
        <f t="shared" si="3"/>
        <v>(2704,null,1,'2026-03-24 00:00:00','003307030290000-33070302903','003307030290000-33070302903','小儿经胸腔镜膈肌折叠术',null,null,3065,2940,2500,null,3185,2860,2470,'次',25,1,'normal','main',0),</v>
      </c>
    </row>
    <row r="238" spans="1:23">
      <c r="A238">
        <v>2705</v>
      </c>
      <c r="B238" t="s">
        <v>1090</v>
      </c>
      <c r="C238">
        <v>1</v>
      </c>
      <c r="D238" s="6" t="s">
        <v>1091</v>
      </c>
      <c r="E238" t="s">
        <v>946</v>
      </c>
      <c r="F238" t="s">
        <v>946</v>
      </c>
      <c r="G238" t="s">
        <v>947</v>
      </c>
      <c r="H238" t="s">
        <v>1090</v>
      </c>
      <c r="I238" t="s">
        <v>1090</v>
      </c>
      <c r="J238">
        <v>2530</v>
      </c>
      <c r="K238">
        <v>2280</v>
      </c>
      <c r="L238">
        <v>1940</v>
      </c>
      <c r="M238" t="s">
        <v>1090</v>
      </c>
      <c r="N238">
        <v>2000</v>
      </c>
      <c r="O238">
        <v>1800</v>
      </c>
      <c r="P238">
        <v>1550</v>
      </c>
      <c r="Q238" t="s">
        <v>38</v>
      </c>
      <c r="R238">
        <v>25</v>
      </c>
      <c r="S238">
        <v>1</v>
      </c>
      <c r="T238" t="s">
        <v>1092</v>
      </c>
      <c r="U238" t="s">
        <v>1093</v>
      </c>
      <c r="V238">
        <v>0</v>
      </c>
      <c r="W238" s="8" t="str">
        <f t="shared" si="3"/>
        <v>(2705,null,1,'2026-03-24 00:00:00','003309000100000-330900010','003309000100000-330900010','经胸腔镜内乳淋巴链清除术',null,null,2530,2280,1940,null,2000,1800,1550,'次',25,1,'normal','main',0),</v>
      </c>
    </row>
    <row r="239" spans="1:23">
      <c r="A239">
        <v>2706</v>
      </c>
      <c r="B239" t="s">
        <v>1090</v>
      </c>
      <c r="C239">
        <v>1</v>
      </c>
      <c r="D239" s="6" t="s">
        <v>1091</v>
      </c>
      <c r="E239" t="s">
        <v>950</v>
      </c>
      <c r="F239" t="s">
        <v>950</v>
      </c>
      <c r="G239" t="s">
        <v>951</v>
      </c>
      <c r="H239" t="s">
        <v>1090</v>
      </c>
      <c r="I239" t="s">
        <v>1090</v>
      </c>
      <c r="J239">
        <v>3290</v>
      </c>
      <c r="K239">
        <v>2965</v>
      </c>
      <c r="L239">
        <v>2520</v>
      </c>
      <c r="M239" t="s">
        <v>1090</v>
      </c>
      <c r="N239">
        <v>2600</v>
      </c>
      <c r="O239">
        <v>2340</v>
      </c>
      <c r="P239">
        <v>2010</v>
      </c>
      <c r="Q239" t="s">
        <v>38</v>
      </c>
      <c r="R239">
        <v>25</v>
      </c>
      <c r="S239">
        <v>1</v>
      </c>
      <c r="T239" t="s">
        <v>1092</v>
      </c>
      <c r="U239" t="s">
        <v>1093</v>
      </c>
      <c r="V239">
        <v>0</v>
      </c>
      <c r="W239" s="8" t="str">
        <f t="shared" si="3"/>
        <v>(2706,null,1,'2026-03-24 00:00:00','003309000100000-33090001001','003309000100000-33090001001','小儿经胸腔镜内乳淋巴链清除术',null,null,3290,2965,2520,null,2600,2340,2010,'次',25,1,'normal','main',0),</v>
      </c>
    </row>
    <row r="240" spans="1:23">
      <c r="A240">
        <v>2707</v>
      </c>
      <c r="B240" t="s">
        <v>1090</v>
      </c>
      <c r="C240">
        <v>1</v>
      </c>
      <c r="D240" s="6" t="s">
        <v>1091</v>
      </c>
      <c r="E240" t="s">
        <v>959</v>
      </c>
      <c r="F240" t="s">
        <v>959</v>
      </c>
      <c r="G240" t="s">
        <v>960</v>
      </c>
      <c r="H240" t="s">
        <v>1090</v>
      </c>
      <c r="I240" t="s">
        <v>1090</v>
      </c>
      <c r="J240">
        <v>1500</v>
      </c>
      <c r="K240">
        <v>1440</v>
      </c>
      <c r="L240">
        <v>1224</v>
      </c>
      <c r="M240" t="s">
        <v>1090</v>
      </c>
      <c r="N240">
        <v>1500</v>
      </c>
      <c r="O240">
        <v>1440</v>
      </c>
      <c r="P240">
        <v>1224</v>
      </c>
      <c r="Q240" t="s">
        <v>38</v>
      </c>
      <c r="R240">
        <v>25</v>
      </c>
      <c r="S240">
        <v>1</v>
      </c>
      <c r="T240" t="s">
        <v>1092</v>
      </c>
      <c r="U240" t="s">
        <v>1093</v>
      </c>
      <c r="V240">
        <v>0</v>
      </c>
      <c r="W240" s="8" t="str">
        <f t="shared" si="3"/>
        <v>(2707,null,1,'2026-03-24 00:00:00','003307030220000-330703022','003307030220000-330703022','胸膜粘连烙断术',null,null,1500,1440,1224,null,1500,1440,1224,'次',25,1,'normal','main',0),</v>
      </c>
    </row>
    <row r="241" spans="1:23">
      <c r="A241">
        <v>2708</v>
      </c>
      <c r="B241" t="s">
        <v>1090</v>
      </c>
      <c r="C241">
        <v>1</v>
      </c>
      <c r="D241" s="6" t="s">
        <v>1091</v>
      </c>
      <c r="E241" t="s">
        <v>963</v>
      </c>
      <c r="F241" t="s">
        <v>963</v>
      </c>
      <c r="G241" t="s">
        <v>964</v>
      </c>
      <c r="H241" t="s">
        <v>1090</v>
      </c>
      <c r="I241" t="s">
        <v>1090</v>
      </c>
      <c r="J241">
        <v>1950</v>
      </c>
      <c r="K241">
        <v>1870</v>
      </c>
      <c r="L241">
        <v>1590</v>
      </c>
      <c r="M241" t="s">
        <v>1090</v>
      </c>
      <c r="N241">
        <v>1950</v>
      </c>
      <c r="O241">
        <v>1870</v>
      </c>
      <c r="P241">
        <v>1589</v>
      </c>
      <c r="Q241" t="s">
        <v>38</v>
      </c>
      <c r="R241">
        <v>25</v>
      </c>
      <c r="S241">
        <v>1</v>
      </c>
      <c r="T241" t="s">
        <v>1092</v>
      </c>
      <c r="U241" t="s">
        <v>1093</v>
      </c>
      <c r="V241">
        <v>0</v>
      </c>
      <c r="W241" s="8" t="str">
        <f t="shared" si="3"/>
        <v>(2708,null,1,'2026-03-24 00:00:00','003307030220000-33070302201','003307030220000-33070302201','小儿胸膜粘连烙断术',null,null,1950,1870,1590,null,1950,1870,1589,'次',25,1,'normal','main',0),</v>
      </c>
    </row>
    <row r="242" spans="1:23">
      <c r="A242">
        <v>2709</v>
      </c>
      <c r="B242" t="s">
        <v>1090</v>
      </c>
      <c r="C242">
        <v>1</v>
      </c>
      <c r="D242" s="6" t="s">
        <v>1091</v>
      </c>
      <c r="E242" t="s">
        <v>969</v>
      </c>
      <c r="F242" t="s">
        <v>969</v>
      </c>
      <c r="G242" t="s">
        <v>970</v>
      </c>
      <c r="H242" t="s">
        <v>1090</v>
      </c>
      <c r="I242" t="s">
        <v>1090</v>
      </c>
      <c r="J242">
        <v>3040</v>
      </c>
      <c r="K242">
        <v>2740</v>
      </c>
      <c r="L242">
        <v>2330</v>
      </c>
      <c r="M242" t="s">
        <v>1090</v>
      </c>
      <c r="N242">
        <v>5200</v>
      </c>
      <c r="O242">
        <v>4700</v>
      </c>
      <c r="P242">
        <v>4000</v>
      </c>
      <c r="Q242" t="s">
        <v>241</v>
      </c>
      <c r="R242">
        <v>25</v>
      </c>
      <c r="S242">
        <v>1</v>
      </c>
      <c r="T242" t="s">
        <v>1092</v>
      </c>
      <c r="U242" t="s">
        <v>1093</v>
      </c>
      <c r="V242">
        <v>0</v>
      </c>
      <c r="W242" s="8" t="str">
        <f t="shared" si="3"/>
        <v>(2709,null,1,'2026-03-24 00:00:00','003302040160000-330204016','003302040160000-330204016','经胸腔镜交感神经链切除术',null,null,3040,2740,2330,null,5200,4700,4000,'单侧',25,1,'normal','main',0),</v>
      </c>
    </row>
    <row r="243" spans="1:23">
      <c r="A243">
        <v>2710</v>
      </c>
      <c r="B243" t="s">
        <v>1090</v>
      </c>
      <c r="C243">
        <v>1</v>
      </c>
      <c r="D243" s="6" t="s">
        <v>1091</v>
      </c>
      <c r="E243" t="s">
        <v>972</v>
      </c>
      <c r="F243" t="s">
        <v>972</v>
      </c>
      <c r="G243" t="s">
        <v>970</v>
      </c>
      <c r="H243" t="s">
        <v>1090</v>
      </c>
      <c r="I243" t="s">
        <v>1090</v>
      </c>
      <c r="J243">
        <v>4560</v>
      </c>
      <c r="K243">
        <v>4110</v>
      </c>
      <c r="L243">
        <v>3495</v>
      </c>
      <c r="M243" t="s">
        <v>1090</v>
      </c>
      <c r="N243">
        <v>5200</v>
      </c>
      <c r="O243">
        <v>4700</v>
      </c>
      <c r="P243">
        <v>4000</v>
      </c>
      <c r="Q243" t="s">
        <v>803</v>
      </c>
      <c r="R243">
        <v>25</v>
      </c>
      <c r="S243">
        <v>1</v>
      </c>
      <c r="T243" t="s">
        <v>1092</v>
      </c>
      <c r="U243" t="s">
        <v>1093</v>
      </c>
      <c r="V243">
        <v>0</v>
      </c>
      <c r="W243" s="8" t="str">
        <f t="shared" si="3"/>
        <v>(2710,null,1,'2026-03-24 00:00:00','003302040160000-33020401602','003302040160000-33020401602','经胸腔镜交感神经链切除术',null,null,4560,4110,3495,null,5200,4700,4000,'双侧',25,1,'normal','main',0),</v>
      </c>
    </row>
    <row r="244" spans="1:23">
      <c r="A244">
        <v>2711</v>
      </c>
      <c r="B244" t="s">
        <v>1090</v>
      </c>
      <c r="C244">
        <v>1</v>
      </c>
      <c r="D244" s="6" t="s">
        <v>1091</v>
      </c>
      <c r="E244" t="s">
        <v>975</v>
      </c>
      <c r="F244" t="s">
        <v>975</v>
      </c>
      <c r="G244" t="s">
        <v>976</v>
      </c>
      <c r="H244" t="s">
        <v>1090</v>
      </c>
      <c r="I244" t="s">
        <v>1090</v>
      </c>
      <c r="J244">
        <v>3950</v>
      </c>
      <c r="K244">
        <v>3560</v>
      </c>
      <c r="L244">
        <v>3025</v>
      </c>
      <c r="M244" t="s">
        <v>1090</v>
      </c>
      <c r="N244">
        <v>6760</v>
      </c>
      <c r="O244">
        <v>6110</v>
      </c>
      <c r="P244">
        <v>5200</v>
      </c>
      <c r="Q244" t="s">
        <v>241</v>
      </c>
      <c r="R244">
        <v>25</v>
      </c>
      <c r="S244">
        <v>1</v>
      </c>
      <c r="T244" t="s">
        <v>1092</v>
      </c>
      <c r="U244" t="s">
        <v>1093</v>
      </c>
      <c r="V244">
        <v>0</v>
      </c>
      <c r="W244" s="8" t="str">
        <f t="shared" si="3"/>
        <v>(2711,null,1,'2026-03-24 00:00:00','003302040160000-33020401601','003302040160000-33020401601','小儿经胸腔镜交感神经链切除术',null,null,3950,3560,3025,null,6760,6110,5200,'单侧',25,1,'normal','main',0),</v>
      </c>
    </row>
    <row r="245" spans="1:23">
      <c r="A245">
        <v>2712</v>
      </c>
      <c r="B245" t="s">
        <v>1090</v>
      </c>
      <c r="C245">
        <v>1</v>
      </c>
      <c r="D245" s="6" t="s">
        <v>1091</v>
      </c>
      <c r="E245" t="s">
        <v>977</v>
      </c>
      <c r="F245" t="s">
        <v>977</v>
      </c>
      <c r="G245" t="s">
        <v>976</v>
      </c>
      <c r="H245" t="s">
        <v>1090</v>
      </c>
      <c r="I245" t="s">
        <v>1090</v>
      </c>
      <c r="J245">
        <v>5930</v>
      </c>
      <c r="K245">
        <v>5345</v>
      </c>
      <c r="L245">
        <v>4545</v>
      </c>
      <c r="M245" t="s">
        <v>1090</v>
      </c>
      <c r="N245">
        <v>6760</v>
      </c>
      <c r="O245">
        <v>6110</v>
      </c>
      <c r="P245">
        <v>5200</v>
      </c>
      <c r="Q245" t="s">
        <v>803</v>
      </c>
      <c r="R245">
        <v>25</v>
      </c>
      <c r="S245">
        <v>1</v>
      </c>
      <c r="T245" t="s">
        <v>1092</v>
      </c>
      <c r="U245" t="s">
        <v>1093</v>
      </c>
      <c r="V245">
        <v>0</v>
      </c>
      <c r="W245" s="8" t="str">
        <f t="shared" si="3"/>
        <v>(2712,null,1,'2026-03-24 00:00:00','003302040160000-33020401603','003302040160000-33020401603','小儿经胸腔镜交感神经链切除术',null,null,5930,5345,4545,null,6760,6110,5200,'双侧',25,1,'normal','main',0),</v>
      </c>
    </row>
    <row r="246" spans="1:23">
      <c r="A246">
        <v>2713</v>
      </c>
      <c r="B246" t="s">
        <v>1090</v>
      </c>
      <c r="C246">
        <v>3</v>
      </c>
      <c r="D246" s="6" t="s">
        <v>1091</v>
      </c>
      <c r="E246" t="s">
        <v>1094</v>
      </c>
      <c r="F246" t="s">
        <v>1094</v>
      </c>
      <c r="G246" t="s">
        <v>1095</v>
      </c>
      <c r="H246" t="s">
        <v>1090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1096</v>
      </c>
      <c r="R246">
        <v>25</v>
      </c>
      <c r="S246">
        <v>1</v>
      </c>
      <c r="T246" t="s">
        <v>1092</v>
      </c>
      <c r="U246" t="s">
        <v>1093</v>
      </c>
      <c r="V246">
        <v>0</v>
      </c>
      <c r="W246" s="8" t="str">
        <f>"("&amp;A246&amp;","&amp;B246&amp;","&amp;C246&amp;",'"&amp;D246&amp;"','"&amp;E246&amp;"','"&amp;F246&amp;"','"&amp;G246&amp;"',"&amp;H246&amp;","&amp;I246&amp;","&amp;J246&amp;","&amp;K246&amp;","&amp;L246&amp;","&amp;M246&amp;","&amp;N246&amp;","&amp;O246&amp;","&amp;P246&amp;",'"&amp;Q246&amp;"',"&amp;R246&amp;","&amp;S246&amp;",'"&amp;T246&amp;"','"&amp;U246&amp;"',"&amp;V246&amp;"),"</f>
        <v>(2713,null,3,'2026-03-24 00:00:00','C140201182000000','C140201182000000','雾化器',null,0,0,0,0,0,0,0,0,'个',25,1,'normal','main',0),</v>
      </c>
    </row>
  </sheetData>
  <autoFilter ref="A1:W245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3"/>
  <sheetViews>
    <sheetView tabSelected="1" zoomScale="130" zoomScaleNormal="130" workbookViewId="0">
      <selection activeCell="Y12" sqref="Y12"/>
    </sheetView>
  </sheetViews>
  <sheetFormatPr defaultColWidth="9" defaultRowHeight="14.25"/>
  <cols>
    <col min="2" max="4" width="9" hidden="1" customWidth="1"/>
    <col min="5" max="6" width="22.5" customWidth="1"/>
    <col min="7" max="11" width="9" hidden="1" customWidth="1"/>
    <col min="15" max="18" width="9" hidden="1" customWidth="1"/>
    <col min="22" max="24" width="9" hidden="1" customWidth="1"/>
  </cols>
  <sheetData>
    <row r="1" spans="1:27">
      <c r="A1" s="1"/>
      <c r="B1" s="1" t="s">
        <v>1097</v>
      </c>
      <c r="C1" s="1" t="s">
        <v>1098</v>
      </c>
      <c r="D1" s="1" t="s">
        <v>1099</v>
      </c>
      <c r="E1" s="1" t="s">
        <v>1100</v>
      </c>
      <c r="F1" s="1"/>
      <c r="G1" s="1" t="s">
        <v>1101</v>
      </c>
      <c r="H1" s="1" t="s">
        <v>1102</v>
      </c>
      <c r="I1" s="1" t="s">
        <v>1103</v>
      </c>
      <c r="J1" s="1" t="s">
        <v>1104</v>
      </c>
      <c r="K1" s="1" t="s">
        <v>1105</v>
      </c>
      <c r="L1" s="1" t="s">
        <v>1106</v>
      </c>
      <c r="M1" s="1" t="s">
        <v>1107</v>
      </c>
      <c r="N1" s="1" t="s">
        <v>1108</v>
      </c>
      <c r="O1" s="1" t="s">
        <v>1109</v>
      </c>
      <c r="P1" s="1" t="s">
        <v>1110</v>
      </c>
      <c r="Q1" s="1" t="s">
        <v>1111</v>
      </c>
      <c r="R1" s="1" t="s">
        <v>1112</v>
      </c>
      <c r="S1" s="1" t="s">
        <v>1113</v>
      </c>
      <c r="T1" s="1" t="s">
        <v>1114</v>
      </c>
      <c r="U1" s="1" t="s">
        <v>1115</v>
      </c>
      <c r="V1" s="1" t="s">
        <v>1116</v>
      </c>
      <c r="W1" s="1" t="s">
        <v>1117</v>
      </c>
      <c r="X1" s="1" t="s">
        <v>1118</v>
      </c>
      <c r="Y1" s="1" t="s">
        <v>1119</v>
      </c>
      <c r="Z1" s="1" t="s">
        <v>1120</v>
      </c>
      <c r="AA1" s="1" t="s">
        <v>1121</v>
      </c>
    </row>
    <row r="2" ht="38.25" spans="1:27">
      <c r="A2" s="1"/>
      <c r="B2" s="1" t="s">
        <v>1068</v>
      </c>
      <c r="C2" s="1" t="s">
        <v>1122</v>
      </c>
      <c r="D2" s="1" t="s">
        <v>1123</v>
      </c>
      <c r="E2" s="1" t="s">
        <v>1072</v>
      </c>
      <c r="F2" s="1"/>
      <c r="G2" s="1" t="s">
        <v>1076</v>
      </c>
      <c r="H2" s="1" t="s">
        <v>1077</v>
      </c>
      <c r="I2" s="1" t="s">
        <v>1078</v>
      </c>
      <c r="J2" s="1" t="s">
        <v>1079</v>
      </c>
      <c r="K2" s="1" t="s">
        <v>1080</v>
      </c>
      <c r="L2" s="1" t="s">
        <v>1081</v>
      </c>
      <c r="M2" s="1" t="s">
        <v>1082</v>
      </c>
      <c r="N2" s="1" t="s">
        <v>1083</v>
      </c>
      <c r="O2" s="1" t="s">
        <v>1086</v>
      </c>
      <c r="P2" s="1" t="s">
        <v>1124</v>
      </c>
      <c r="Q2" s="1" t="s">
        <v>1088</v>
      </c>
      <c r="R2" s="1" t="s">
        <v>1089</v>
      </c>
      <c r="S2" s="1" t="s">
        <v>1125</v>
      </c>
      <c r="T2" s="1" t="s">
        <v>1126</v>
      </c>
      <c r="U2" s="1" t="s">
        <v>1127</v>
      </c>
      <c r="V2" s="1" t="s">
        <v>1128</v>
      </c>
      <c r="W2" s="1" t="s">
        <v>1129</v>
      </c>
      <c r="X2" s="1" t="s">
        <v>1130</v>
      </c>
      <c r="Y2" s="1" t="s">
        <v>1131</v>
      </c>
      <c r="Z2" s="1" t="s">
        <v>1132</v>
      </c>
      <c r="AA2" s="1" t="s">
        <v>1133</v>
      </c>
    </row>
    <row r="3" spans="1:27">
      <c r="A3" s="1">
        <v>1</v>
      </c>
      <c r="B3" s="2">
        <v>0</v>
      </c>
      <c r="C3" s="2">
        <v>201</v>
      </c>
      <c r="D3" s="2" t="s">
        <v>1134</v>
      </c>
      <c r="E3" s="2" t="s">
        <v>614</v>
      </c>
      <c r="F3" s="2" t="str">
        <f>VLOOKUP(E3,Sheet2!E:G,3,0)</f>
        <v>肺修补术</v>
      </c>
      <c r="G3" s="3"/>
      <c r="H3" s="2">
        <v>1500</v>
      </c>
      <c r="I3" s="2">
        <v>1440</v>
      </c>
      <c r="J3" s="2">
        <v>1224</v>
      </c>
      <c r="K3" s="3"/>
      <c r="L3" s="2">
        <v>2700</v>
      </c>
      <c r="M3" s="2">
        <v>2450</v>
      </c>
      <c r="N3" s="2">
        <v>2100</v>
      </c>
      <c r="O3" s="2">
        <v>1</v>
      </c>
      <c r="P3" s="2">
        <v>1</v>
      </c>
      <c r="Q3" s="2" t="s">
        <v>1093</v>
      </c>
      <c r="R3" s="2">
        <v>0</v>
      </c>
      <c r="S3" s="2">
        <v>1</v>
      </c>
      <c r="T3" s="2">
        <v>2</v>
      </c>
      <c r="U3" s="2">
        <v>1</v>
      </c>
      <c r="V3" s="2">
        <v>1200</v>
      </c>
      <c r="W3" s="2">
        <v>2020</v>
      </c>
      <c r="X3" s="2">
        <v>876</v>
      </c>
      <c r="Y3" s="2">
        <v>1200</v>
      </c>
      <c r="Z3" s="2">
        <v>2020</v>
      </c>
      <c r="AA3" s="2">
        <v>876</v>
      </c>
    </row>
    <row r="4" spans="1:27">
      <c r="A4" s="1">
        <v>2</v>
      </c>
      <c r="B4" s="2">
        <v>0</v>
      </c>
      <c r="C4" s="2">
        <v>201</v>
      </c>
      <c r="D4" s="2" t="s">
        <v>1134</v>
      </c>
      <c r="E4" s="2" t="s">
        <v>477</v>
      </c>
      <c r="F4" s="2" t="str">
        <f>VLOOKUP(E4,Sheet2!E:G,3,0)</f>
        <v>肺大泡切除修补术</v>
      </c>
      <c r="G4" s="3"/>
      <c r="H4" s="2">
        <v>1875</v>
      </c>
      <c r="I4" s="2">
        <v>1800</v>
      </c>
      <c r="J4" s="2">
        <v>1530</v>
      </c>
      <c r="K4" s="3"/>
      <c r="L4" s="2">
        <v>9917</v>
      </c>
      <c r="M4" s="2">
        <v>6020</v>
      </c>
      <c r="N4" s="2">
        <v>3800</v>
      </c>
      <c r="O4" s="2">
        <v>1</v>
      </c>
      <c r="P4" s="2">
        <v>1</v>
      </c>
      <c r="Q4" s="2" t="s">
        <v>1093</v>
      </c>
      <c r="R4" s="2">
        <v>0</v>
      </c>
      <c r="S4" s="2">
        <v>4.5</v>
      </c>
      <c r="T4" s="2">
        <v>3.5</v>
      </c>
      <c r="U4" s="2">
        <v>0</v>
      </c>
      <c r="V4" s="2">
        <v>36189</v>
      </c>
      <c r="W4" s="2">
        <v>14770</v>
      </c>
      <c r="X4" s="2">
        <v>0</v>
      </c>
      <c r="Y4" s="2">
        <v>36189</v>
      </c>
      <c r="Z4" s="2">
        <v>14770</v>
      </c>
      <c r="AA4" s="2">
        <v>0</v>
      </c>
    </row>
    <row r="5" spans="1:27">
      <c r="A5" s="1">
        <v>3</v>
      </c>
      <c r="B5" s="2">
        <v>0</v>
      </c>
      <c r="C5" s="2">
        <v>201</v>
      </c>
      <c r="D5" s="2" t="s">
        <v>1134</v>
      </c>
      <c r="E5" s="2" t="s">
        <v>647</v>
      </c>
      <c r="F5" s="2" t="str">
        <f>VLOOKUP(E5,Sheet2!E:G,3,0)</f>
        <v>经胸腔镜胸壁肿瘤切除术</v>
      </c>
      <c r="G5" s="3"/>
      <c r="H5" s="2">
        <v>2250</v>
      </c>
      <c r="I5" s="2">
        <v>2160</v>
      </c>
      <c r="J5" s="2">
        <v>1836</v>
      </c>
      <c r="K5" s="3"/>
      <c r="L5" s="2">
        <v>2250</v>
      </c>
      <c r="M5" s="2">
        <v>2050</v>
      </c>
      <c r="N5" s="2">
        <v>1750</v>
      </c>
      <c r="O5" s="2">
        <v>1</v>
      </c>
      <c r="P5" s="2">
        <v>1</v>
      </c>
      <c r="Q5" s="2" t="s">
        <v>1093</v>
      </c>
      <c r="R5" s="2">
        <v>0</v>
      </c>
      <c r="S5" s="2">
        <v>3</v>
      </c>
      <c r="T5" s="2">
        <v>1</v>
      </c>
      <c r="U5" s="2">
        <v>0</v>
      </c>
      <c r="V5" s="2">
        <v>0</v>
      </c>
      <c r="W5" s="2">
        <v>-110</v>
      </c>
      <c r="X5" s="2">
        <v>0</v>
      </c>
      <c r="Y5" s="2">
        <v>0</v>
      </c>
      <c r="Z5" s="2">
        <v>-110</v>
      </c>
      <c r="AA5" s="2">
        <v>0</v>
      </c>
    </row>
    <row r="6" spans="1:27">
      <c r="A6" s="1">
        <v>4</v>
      </c>
      <c r="B6" s="2">
        <v>0</v>
      </c>
      <c r="C6" s="2">
        <v>201</v>
      </c>
      <c r="D6" s="2" t="s">
        <v>1134</v>
      </c>
      <c r="E6" s="2" t="s">
        <v>867</v>
      </c>
      <c r="F6" s="2" t="str">
        <f>VLOOKUP(E6,Sheet2!E:G,3,0)</f>
        <v>纵隔感染清创引流术</v>
      </c>
      <c r="G6" s="3"/>
      <c r="H6" s="2">
        <v>1500</v>
      </c>
      <c r="I6" s="2">
        <v>1440</v>
      </c>
      <c r="J6" s="2">
        <v>1224</v>
      </c>
      <c r="K6" s="3"/>
      <c r="L6" s="2">
        <v>1750</v>
      </c>
      <c r="M6" s="2">
        <v>1580</v>
      </c>
      <c r="N6" s="2">
        <v>1340</v>
      </c>
      <c r="O6" s="2">
        <v>1</v>
      </c>
      <c r="P6" s="2">
        <v>1</v>
      </c>
      <c r="Q6" s="2" t="s">
        <v>1093</v>
      </c>
      <c r="R6" s="2">
        <v>0</v>
      </c>
      <c r="S6" s="2">
        <v>3.2</v>
      </c>
      <c r="T6" s="2">
        <v>0</v>
      </c>
      <c r="U6" s="2">
        <v>0</v>
      </c>
      <c r="V6" s="2">
        <v>800</v>
      </c>
      <c r="W6" s="2">
        <v>0</v>
      </c>
      <c r="X6" s="2">
        <v>0</v>
      </c>
      <c r="Y6" s="2">
        <v>800</v>
      </c>
      <c r="Z6" s="2">
        <v>0</v>
      </c>
      <c r="AA6" s="2">
        <v>0</v>
      </c>
    </row>
    <row r="7" spans="1:27">
      <c r="A7" s="1">
        <v>5</v>
      </c>
      <c r="B7" s="2">
        <v>0</v>
      </c>
      <c r="C7" s="2">
        <v>201</v>
      </c>
      <c r="D7" s="2" t="s">
        <v>1134</v>
      </c>
      <c r="E7" s="2" t="s">
        <v>225</v>
      </c>
      <c r="F7" s="2" t="str">
        <f>VLOOKUP(E7,Sheet2!E:G,3,0)</f>
        <v>超声雾化吸入</v>
      </c>
      <c r="G7" s="3"/>
      <c r="H7" s="2">
        <v>5</v>
      </c>
      <c r="I7" s="2">
        <v>5</v>
      </c>
      <c r="J7" s="2">
        <v>4.3</v>
      </c>
      <c r="K7" s="3"/>
      <c r="L7" s="2">
        <v>13</v>
      </c>
      <c r="M7" s="2">
        <v>12</v>
      </c>
      <c r="N7" s="2">
        <v>11</v>
      </c>
      <c r="O7" s="2">
        <v>1</v>
      </c>
      <c r="P7" s="2">
        <v>1</v>
      </c>
      <c r="Q7" s="2" t="s">
        <v>1093</v>
      </c>
      <c r="R7" s="2">
        <v>0</v>
      </c>
      <c r="S7" s="2">
        <v>51736.035</v>
      </c>
      <c r="T7" s="2">
        <v>114979.6</v>
      </c>
      <c r="U7" s="2">
        <v>215460</v>
      </c>
      <c r="V7" s="2">
        <v>413888.28</v>
      </c>
      <c r="W7" s="2">
        <v>804857.2</v>
      </c>
      <c r="X7" s="2">
        <v>1443582</v>
      </c>
      <c r="Y7" s="2">
        <v>413888.28</v>
      </c>
      <c r="Z7" s="2">
        <v>818511.501</v>
      </c>
      <c r="AA7" s="2">
        <v>1443781.9</v>
      </c>
    </row>
    <row r="8" spans="1:27">
      <c r="A8" s="1">
        <v>6</v>
      </c>
      <c r="B8" s="2">
        <v>0</v>
      </c>
      <c r="C8" s="2">
        <v>201</v>
      </c>
      <c r="D8" s="2" t="s">
        <v>1134</v>
      </c>
      <c r="E8" s="2" t="s">
        <v>520</v>
      </c>
      <c r="F8" s="2" t="str">
        <f>VLOOKUP(E8,Sheet2!E:G,3,0)</f>
        <v>肺叶切除术</v>
      </c>
      <c r="G8" s="3"/>
      <c r="H8" s="2">
        <v>3110</v>
      </c>
      <c r="I8" s="2">
        <v>2800</v>
      </c>
      <c r="J8" s="2">
        <v>2380</v>
      </c>
      <c r="K8" s="3"/>
      <c r="L8" s="2">
        <v>12871</v>
      </c>
      <c r="M8" s="2">
        <v>7910</v>
      </c>
      <c r="N8" s="2">
        <v>4800</v>
      </c>
      <c r="O8" s="2">
        <v>1</v>
      </c>
      <c r="P8" s="2">
        <v>1</v>
      </c>
      <c r="Q8" s="2" t="s">
        <v>1093</v>
      </c>
      <c r="R8" s="2">
        <v>0</v>
      </c>
      <c r="S8" s="2">
        <v>3.5</v>
      </c>
      <c r="T8" s="2">
        <v>0.5</v>
      </c>
      <c r="U8" s="2">
        <v>0</v>
      </c>
      <c r="V8" s="2">
        <v>34163.5</v>
      </c>
      <c r="W8" s="2">
        <v>2555</v>
      </c>
      <c r="X8" s="2">
        <v>0</v>
      </c>
      <c r="Y8" s="2">
        <v>36193.5</v>
      </c>
      <c r="Z8" s="2">
        <v>2815</v>
      </c>
      <c r="AA8" s="2">
        <v>0</v>
      </c>
    </row>
    <row r="9" spans="1:27">
      <c r="A9" s="1">
        <v>7</v>
      </c>
      <c r="B9" s="2">
        <v>0</v>
      </c>
      <c r="C9" s="2">
        <v>201</v>
      </c>
      <c r="D9" s="2" t="s">
        <v>1134</v>
      </c>
      <c r="E9" s="2" t="s">
        <v>235</v>
      </c>
      <c r="F9" s="2" t="str">
        <f>VLOOKUP(E9,Sheet2!E:G,3,0)</f>
        <v>新生儿雾化吸入</v>
      </c>
      <c r="G9" s="3"/>
      <c r="H9" s="2">
        <v>6.5</v>
      </c>
      <c r="I9" s="2">
        <v>6.5</v>
      </c>
      <c r="J9" s="2">
        <v>5.6</v>
      </c>
      <c r="K9" s="3"/>
      <c r="L9" s="2">
        <v>13</v>
      </c>
      <c r="M9" s="2">
        <v>12</v>
      </c>
      <c r="N9" s="2">
        <v>11</v>
      </c>
      <c r="O9" s="2">
        <v>1</v>
      </c>
      <c r="P9" s="2">
        <v>1</v>
      </c>
      <c r="Q9" s="2" t="s">
        <v>1093</v>
      </c>
      <c r="R9" s="2">
        <v>0</v>
      </c>
      <c r="S9" s="2">
        <v>3160</v>
      </c>
      <c r="T9" s="2">
        <v>1980</v>
      </c>
      <c r="U9" s="2">
        <v>0</v>
      </c>
      <c r="V9" s="2">
        <v>20540</v>
      </c>
      <c r="W9" s="2">
        <v>10890</v>
      </c>
      <c r="X9" s="2">
        <v>0</v>
      </c>
      <c r="Y9" s="2">
        <v>20540</v>
      </c>
      <c r="Z9" s="2">
        <v>10890</v>
      </c>
      <c r="AA9" s="2">
        <v>0</v>
      </c>
    </row>
    <row r="10" spans="1:27">
      <c r="A10" s="1">
        <v>8</v>
      </c>
      <c r="B10" s="2">
        <v>0</v>
      </c>
      <c r="C10" s="2">
        <v>201</v>
      </c>
      <c r="D10" s="2" t="s">
        <v>1134</v>
      </c>
      <c r="E10" s="2" t="s">
        <v>407</v>
      </c>
      <c r="F10" s="2" t="str">
        <f>VLOOKUP(E10,Sheet2!E:G,3,0)</f>
        <v>颈部囊状水瘤切除术</v>
      </c>
      <c r="G10" s="3"/>
      <c r="H10" s="2">
        <v>1000</v>
      </c>
      <c r="I10" s="2">
        <v>960</v>
      </c>
      <c r="J10" s="2">
        <v>816</v>
      </c>
      <c r="K10" s="3"/>
      <c r="L10" s="2">
        <v>1900</v>
      </c>
      <c r="M10" s="2">
        <v>1750</v>
      </c>
      <c r="N10" s="2">
        <v>1500</v>
      </c>
      <c r="O10" s="2">
        <v>1</v>
      </c>
      <c r="P10" s="2">
        <v>1</v>
      </c>
      <c r="Q10" s="2" t="s">
        <v>1093</v>
      </c>
      <c r="R10" s="2">
        <v>0</v>
      </c>
      <c r="S10" s="2">
        <v>0</v>
      </c>
      <c r="T10" s="2">
        <v>0</v>
      </c>
      <c r="U10" s="2">
        <v>2</v>
      </c>
      <c r="V10" s="2">
        <v>0</v>
      </c>
      <c r="W10" s="2">
        <v>0</v>
      </c>
      <c r="X10" s="2">
        <v>1368</v>
      </c>
      <c r="Y10" s="2">
        <v>0</v>
      </c>
      <c r="Z10" s="2">
        <v>0</v>
      </c>
      <c r="AA10" s="2">
        <v>1368</v>
      </c>
    </row>
    <row r="11" spans="1:27">
      <c r="A11" s="1">
        <v>9</v>
      </c>
      <c r="B11" s="2">
        <v>0</v>
      </c>
      <c r="C11" s="2">
        <v>201</v>
      </c>
      <c r="D11" s="2" t="s">
        <v>1134</v>
      </c>
      <c r="E11" s="2" t="s">
        <v>292</v>
      </c>
      <c r="F11" s="2" t="str">
        <f>VLOOKUP(E11,Sheet2!E:G,3,0)</f>
        <v>经内镜气管扩张术</v>
      </c>
      <c r="G11" s="3"/>
      <c r="H11" s="2">
        <v>230</v>
      </c>
      <c r="I11" s="2">
        <v>200</v>
      </c>
      <c r="J11" s="2">
        <v>170</v>
      </c>
      <c r="K11" s="3"/>
      <c r="L11" s="2">
        <v>435</v>
      </c>
      <c r="M11" s="2">
        <v>410</v>
      </c>
      <c r="N11" s="2">
        <v>350</v>
      </c>
      <c r="O11" s="2">
        <v>1</v>
      </c>
      <c r="P11" s="2">
        <v>1</v>
      </c>
      <c r="Q11" s="2" t="s">
        <v>1093</v>
      </c>
      <c r="R11" s="2">
        <v>0</v>
      </c>
      <c r="S11" s="2">
        <v>60</v>
      </c>
      <c r="T11" s="2">
        <v>8</v>
      </c>
      <c r="U11" s="2">
        <v>1</v>
      </c>
      <c r="V11" s="2">
        <v>12300</v>
      </c>
      <c r="W11" s="2">
        <v>1680</v>
      </c>
      <c r="X11" s="2">
        <v>180</v>
      </c>
      <c r="Y11" s="2">
        <v>12300</v>
      </c>
      <c r="Z11" s="2">
        <v>1680</v>
      </c>
      <c r="AA11" s="2">
        <v>180</v>
      </c>
    </row>
    <row r="12" spans="1:27">
      <c r="A12" s="1">
        <v>10</v>
      </c>
      <c r="B12" s="2">
        <v>0</v>
      </c>
      <c r="C12" s="2">
        <v>201</v>
      </c>
      <c r="D12" s="2" t="s">
        <v>1134</v>
      </c>
      <c r="E12" s="2" t="s">
        <v>229</v>
      </c>
      <c r="F12" s="2" t="str">
        <f>VLOOKUP(E12,Sheet2!E:G,3,0)</f>
        <v>氧化雾化</v>
      </c>
      <c r="G12" s="3"/>
      <c r="H12" s="2">
        <v>5</v>
      </c>
      <c r="I12" s="2">
        <v>5</v>
      </c>
      <c r="J12" s="2">
        <v>4.3</v>
      </c>
      <c r="K12" s="3"/>
      <c r="L12" s="2">
        <v>13</v>
      </c>
      <c r="M12" s="2">
        <v>12</v>
      </c>
      <c r="N12" s="2">
        <v>11</v>
      </c>
      <c r="O12" s="2">
        <v>1</v>
      </c>
      <c r="P12" s="2">
        <v>1</v>
      </c>
      <c r="Q12" s="2" t="s">
        <v>1093</v>
      </c>
      <c r="R12" s="2">
        <v>0</v>
      </c>
      <c r="S12" s="2">
        <v>812858.74</v>
      </c>
      <c r="T12" s="2">
        <v>593484.791</v>
      </c>
      <c r="U12" s="2">
        <v>67895.7</v>
      </c>
      <c r="V12" s="2">
        <v>6502869.92</v>
      </c>
      <c r="W12" s="2">
        <v>4154393.537</v>
      </c>
      <c r="X12" s="2">
        <v>454901.19</v>
      </c>
      <c r="Y12" s="2">
        <v>6502874.92</v>
      </c>
      <c r="Z12" s="2">
        <v>4155141.837</v>
      </c>
      <c r="AA12" s="2">
        <v>454901.19</v>
      </c>
    </row>
    <row r="13" spans="1:27">
      <c r="A13" s="1">
        <v>11</v>
      </c>
      <c r="B13" s="2">
        <v>0</v>
      </c>
      <c r="C13" s="2">
        <v>201</v>
      </c>
      <c r="D13" s="2" t="s">
        <v>1134</v>
      </c>
      <c r="E13" s="2" t="s">
        <v>481</v>
      </c>
      <c r="F13" s="2" t="str">
        <f>VLOOKUP(E13,Sheet2!E:G,3,0)</f>
        <v>经胸腔镜肺大泡切除修补术</v>
      </c>
      <c r="G13" s="3"/>
      <c r="H13" s="2">
        <v>2500</v>
      </c>
      <c r="I13" s="2">
        <v>2400</v>
      </c>
      <c r="J13" s="2">
        <v>2040</v>
      </c>
      <c r="K13" s="3"/>
      <c r="L13" s="2">
        <v>11656</v>
      </c>
      <c r="M13" s="2">
        <v>13717</v>
      </c>
      <c r="N13" s="2">
        <v>11400</v>
      </c>
      <c r="O13" s="2">
        <v>1</v>
      </c>
      <c r="P13" s="2">
        <v>1</v>
      </c>
      <c r="Q13" s="2" t="s">
        <v>1093</v>
      </c>
      <c r="R13" s="2">
        <v>0</v>
      </c>
      <c r="S13" s="2">
        <v>83</v>
      </c>
      <c r="T13" s="2">
        <v>55</v>
      </c>
      <c r="U13" s="2">
        <v>2</v>
      </c>
      <c r="V13" s="2">
        <v>759948</v>
      </c>
      <c r="W13" s="2">
        <v>622435</v>
      </c>
      <c r="X13" s="2">
        <v>18720</v>
      </c>
      <c r="Y13" s="2">
        <v>759948</v>
      </c>
      <c r="Z13" s="2">
        <v>622435</v>
      </c>
      <c r="AA13" s="2">
        <v>18720</v>
      </c>
    </row>
    <row r="14" spans="1:27">
      <c r="A14" s="1">
        <v>12</v>
      </c>
      <c r="B14" s="2">
        <v>0</v>
      </c>
      <c r="C14" s="2">
        <v>201</v>
      </c>
      <c r="D14" s="2" t="s">
        <v>1134</v>
      </c>
      <c r="E14" s="2" t="s">
        <v>65</v>
      </c>
      <c r="F14" s="2" t="str">
        <f>VLOOKUP(E14,Sheet2!E:G,3,0)</f>
        <v>支气管舒张试验</v>
      </c>
      <c r="G14" s="3"/>
      <c r="H14" s="2">
        <v>115</v>
      </c>
      <c r="I14" s="2">
        <v>100</v>
      </c>
      <c r="J14" s="2">
        <v>85</v>
      </c>
      <c r="K14" s="3"/>
      <c r="L14" s="2">
        <v>210</v>
      </c>
      <c r="M14" s="2">
        <v>190</v>
      </c>
      <c r="N14" s="2">
        <v>170</v>
      </c>
      <c r="O14" s="2">
        <v>1</v>
      </c>
      <c r="P14" s="2">
        <v>1</v>
      </c>
      <c r="Q14" s="2" t="s">
        <v>1093</v>
      </c>
      <c r="R14" s="2">
        <v>0</v>
      </c>
      <c r="S14" s="2">
        <v>3117.5</v>
      </c>
      <c r="T14" s="2">
        <v>3554</v>
      </c>
      <c r="U14" s="2">
        <v>651</v>
      </c>
      <c r="V14" s="2">
        <v>296162.5</v>
      </c>
      <c r="W14" s="2">
        <v>319860</v>
      </c>
      <c r="X14" s="2">
        <v>55335</v>
      </c>
      <c r="Y14" s="2">
        <v>296162.5</v>
      </c>
      <c r="Z14" s="2">
        <v>322095</v>
      </c>
      <c r="AA14" s="2">
        <v>55335</v>
      </c>
    </row>
    <row r="15" spans="1:27">
      <c r="A15" s="1">
        <v>13</v>
      </c>
      <c r="B15" s="2">
        <v>0</v>
      </c>
      <c r="C15" s="2">
        <v>201</v>
      </c>
      <c r="D15" s="2" t="s">
        <v>1134</v>
      </c>
      <c r="E15" s="2" t="s">
        <v>882</v>
      </c>
      <c r="F15" s="2" t="str">
        <f>VLOOKUP(E15,Sheet2!E:G,3,0)</f>
        <v>膈肌修补术</v>
      </c>
      <c r="G15" s="3"/>
      <c r="H15" s="2">
        <v>2125</v>
      </c>
      <c r="I15" s="2">
        <v>2040</v>
      </c>
      <c r="J15" s="2">
        <v>1734</v>
      </c>
      <c r="K15" s="3"/>
      <c r="L15" s="2">
        <v>2650</v>
      </c>
      <c r="M15" s="2">
        <v>2350</v>
      </c>
      <c r="N15" s="2">
        <v>2000</v>
      </c>
      <c r="O15" s="2">
        <v>1</v>
      </c>
      <c r="P15" s="2">
        <v>1</v>
      </c>
      <c r="Q15" s="2" t="s">
        <v>1093</v>
      </c>
      <c r="R15" s="2">
        <v>0</v>
      </c>
      <c r="S15" s="2">
        <v>6.5</v>
      </c>
      <c r="T15" s="2">
        <v>2</v>
      </c>
      <c r="U15" s="2">
        <v>0</v>
      </c>
      <c r="V15" s="2">
        <v>3412.5</v>
      </c>
      <c r="W15" s="2">
        <v>620</v>
      </c>
      <c r="X15" s="2">
        <v>0</v>
      </c>
      <c r="Y15" s="2">
        <v>3412.5</v>
      </c>
      <c r="Z15" s="2">
        <v>620</v>
      </c>
      <c r="AA15" s="2">
        <v>0</v>
      </c>
    </row>
    <row r="16" spans="1:27">
      <c r="A16" s="1">
        <v>14</v>
      </c>
      <c r="B16" s="2">
        <v>0</v>
      </c>
      <c r="C16" s="2">
        <v>201</v>
      </c>
      <c r="D16" s="2" t="s">
        <v>1134</v>
      </c>
      <c r="E16" s="2" t="s">
        <v>740</v>
      </c>
      <c r="F16" s="2" t="str">
        <f>VLOOKUP(E16,Sheet2!E:G,3,0)</f>
        <v>脓胸引流清除术</v>
      </c>
      <c r="G16" s="3"/>
      <c r="H16" s="2">
        <v>875</v>
      </c>
      <c r="I16" s="2">
        <v>840</v>
      </c>
      <c r="J16" s="2">
        <v>714</v>
      </c>
      <c r="K16" s="3"/>
      <c r="L16" s="2">
        <v>1600</v>
      </c>
      <c r="M16" s="2">
        <v>1440</v>
      </c>
      <c r="N16" s="2">
        <v>1225</v>
      </c>
      <c r="O16" s="2">
        <v>1</v>
      </c>
      <c r="P16" s="2">
        <v>1</v>
      </c>
      <c r="Q16" s="2" t="s">
        <v>1093</v>
      </c>
      <c r="R16" s="2">
        <v>0</v>
      </c>
      <c r="S16" s="2">
        <v>7</v>
      </c>
      <c r="T16" s="2">
        <v>5.5</v>
      </c>
      <c r="U16" s="2">
        <v>1</v>
      </c>
      <c r="V16" s="2">
        <v>5075</v>
      </c>
      <c r="W16" s="2">
        <v>3300</v>
      </c>
      <c r="X16" s="2">
        <v>511</v>
      </c>
      <c r="Y16" s="2">
        <v>5075</v>
      </c>
      <c r="Z16" s="2">
        <v>3300</v>
      </c>
      <c r="AA16" s="2">
        <v>511</v>
      </c>
    </row>
    <row r="17" spans="1:27">
      <c r="A17" s="1">
        <v>15</v>
      </c>
      <c r="B17" s="2">
        <v>0</v>
      </c>
      <c r="C17" s="2">
        <v>201</v>
      </c>
      <c r="D17" s="2" t="s">
        <v>1134</v>
      </c>
      <c r="E17" s="2" t="s">
        <v>55</v>
      </c>
      <c r="F17" s="2" t="str">
        <f>VLOOKUP(E17,Sheet2!E:G,3,0)</f>
        <v>肺通气功能检查（最大通气量加收）</v>
      </c>
      <c r="G17" s="3"/>
      <c r="H17" s="2">
        <v>40.3</v>
      </c>
      <c r="I17" s="2">
        <v>35</v>
      </c>
      <c r="J17" s="2">
        <v>29.8</v>
      </c>
      <c r="K17" s="3"/>
      <c r="L17" s="2">
        <v>0</v>
      </c>
      <c r="M17" s="2">
        <v>0</v>
      </c>
      <c r="N17" s="2">
        <v>0</v>
      </c>
      <c r="O17" s="2">
        <v>1</v>
      </c>
      <c r="P17" s="2">
        <v>1</v>
      </c>
      <c r="Q17" s="2" t="s">
        <v>1093</v>
      </c>
      <c r="R17" s="2">
        <v>0</v>
      </c>
      <c r="S17" s="2">
        <v>9185</v>
      </c>
      <c r="T17" s="2">
        <v>6321</v>
      </c>
      <c r="U17" s="2">
        <v>856</v>
      </c>
      <c r="V17" s="2">
        <v>-370155.5</v>
      </c>
      <c r="W17" s="2">
        <v>-221235</v>
      </c>
      <c r="X17" s="2">
        <v>-25508.8</v>
      </c>
      <c r="Y17" s="2">
        <v>-370155.5</v>
      </c>
      <c r="Z17" s="2">
        <v>-221032.3</v>
      </c>
      <c r="AA17" s="2">
        <v>-25508.8</v>
      </c>
    </row>
    <row r="18" spans="1:27">
      <c r="A18" s="1">
        <v>16</v>
      </c>
      <c r="B18" s="2">
        <v>0</v>
      </c>
      <c r="C18" s="2">
        <v>201</v>
      </c>
      <c r="D18" s="2" t="s">
        <v>1134</v>
      </c>
      <c r="E18" s="2" t="s">
        <v>145</v>
      </c>
      <c r="F18" s="2" t="str">
        <f>VLOOKUP(E18,Sheet2!E:G,3,0)</f>
        <v>睡眠呼吸监测过筛试验</v>
      </c>
      <c r="G18" s="3"/>
      <c r="H18" s="2">
        <v>149.5</v>
      </c>
      <c r="I18" s="2">
        <v>130</v>
      </c>
      <c r="J18" s="2">
        <v>110.5</v>
      </c>
      <c r="K18" s="3"/>
      <c r="L18" s="2">
        <v>130</v>
      </c>
      <c r="M18" s="2">
        <v>115</v>
      </c>
      <c r="N18" s="2">
        <v>149</v>
      </c>
      <c r="O18" s="2">
        <v>1</v>
      </c>
      <c r="P18" s="2">
        <v>1</v>
      </c>
      <c r="Q18" s="2" t="s">
        <v>1093</v>
      </c>
      <c r="R18" s="2">
        <v>0</v>
      </c>
      <c r="S18" s="2">
        <v>2228</v>
      </c>
      <c r="T18" s="2">
        <v>398</v>
      </c>
      <c r="U18" s="2">
        <v>21</v>
      </c>
      <c r="V18" s="2">
        <v>-43446</v>
      </c>
      <c r="W18" s="2">
        <v>-5970</v>
      </c>
      <c r="X18" s="2">
        <v>808.5</v>
      </c>
      <c r="Y18" s="2">
        <v>-43446</v>
      </c>
      <c r="Z18" s="2">
        <v>-5970</v>
      </c>
      <c r="AA18" s="2">
        <v>808.5</v>
      </c>
    </row>
    <row r="19" spans="1:27">
      <c r="A19" s="1">
        <v>17</v>
      </c>
      <c r="B19" s="2">
        <v>0</v>
      </c>
      <c r="C19" s="2">
        <v>201</v>
      </c>
      <c r="D19" s="2" t="s">
        <v>1134</v>
      </c>
      <c r="E19" s="2" t="s">
        <v>886</v>
      </c>
      <c r="F19" s="2" t="str">
        <f>VLOOKUP(E19,Sheet2!E:G,3,0)</f>
        <v>经胸腔镜膈肌修补术</v>
      </c>
      <c r="G19" s="3"/>
      <c r="H19" s="2">
        <v>2750</v>
      </c>
      <c r="I19" s="2">
        <v>2640</v>
      </c>
      <c r="J19" s="2">
        <v>2244</v>
      </c>
      <c r="K19" s="3"/>
      <c r="L19" s="2">
        <v>2650</v>
      </c>
      <c r="M19" s="2">
        <v>2350</v>
      </c>
      <c r="N19" s="2">
        <v>2000</v>
      </c>
      <c r="O19" s="2">
        <v>1</v>
      </c>
      <c r="P19" s="2">
        <v>1</v>
      </c>
      <c r="Q19" s="2" t="s">
        <v>1093</v>
      </c>
      <c r="R19" s="2">
        <v>0</v>
      </c>
      <c r="S19" s="2">
        <v>1</v>
      </c>
      <c r="T19" s="2">
        <v>1</v>
      </c>
      <c r="U19" s="2">
        <v>0</v>
      </c>
      <c r="V19" s="2">
        <v>-100</v>
      </c>
      <c r="W19" s="2">
        <v>-290</v>
      </c>
      <c r="X19" s="2">
        <v>0</v>
      </c>
      <c r="Y19" s="2">
        <v>-100</v>
      </c>
      <c r="Z19" s="2">
        <v>-290</v>
      </c>
      <c r="AA19" s="2">
        <v>0</v>
      </c>
    </row>
    <row r="20" spans="1:27">
      <c r="A20" s="1">
        <v>18</v>
      </c>
      <c r="B20" s="2">
        <v>0</v>
      </c>
      <c r="C20" s="2">
        <v>201</v>
      </c>
      <c r="D20" s="2" t="s">
        <v>1134</v>
      </c>
      <c r="E20" s="2" t="s">
        <v>203</v>
      </c>
      <c r="F20" s="2" t="str">
        <f>VLOOKUP(E20,Sheet2!E:G,3,0)</f>
        <v>体外膈肌起搏治疗</v>
      </c>
      <c r="G20" s="3"/>
      <c r="H20" s="2">
        <v>17.3</v>
      </c>
      <c r="I20" s="2">
        <v>15</v>
      </c>
      <c r="J20" s="2">
        <v>12.8</v>
      </c>
      <c r="K20" s="3"/>
      <c r="L20" s="2">
        <v>15</v>
      </c>
      <c r="M20" s="2">
        <v>14</v>
      </c>
      <c r="N20" s="2">
        <v>13</v>
      </c>
      <c r="O20" s="2">
        <v>1</v>
      </c>
      <c r="P20" s="2">
        <v>1</v>
      </c>
      <c r="Q20" s="2" t="s">
        <v>1093</v>
      </c>
      <c r="R20" s="2">
        <v>0</v>
      </c>
      <c r="S20" s="2">
        <v>14195.1</v>
      </c>
      <c r="T20" s="2">
        <v>1854.8</v>
      </c>
      <c r="U20" s="2">
        <v>0</v>
      </c>
      <c r="V20" s="2">
        <v>-32648.73</v>
      </c>
      <c r="W20" s="2">
        <v>-1854.8</v>
      </c>
      <c r="X20" s="2">
        <v>0</v>
      </c>
      <c r="Y20" s="2">
        <v>-32648.73</v>
      </c>
      <c r="Z20" s="2">
        <v>-1854.8</v>
      </c>
      <c r="AA20" s="2">
        <v>0</v>
      </c>
    </row>
    <row r="21" spans="1:27">
      <c r="A21" s="1">
        <v>19</v>
      </c>
      <c r="B21" s="2">
        <v>0</v>
      </c>
      <c r="C21" s="2">
        <v>201</v>
      </c>
      <c r="D21" s="2" t="s">
        <v>1134</v>
      </c>
      <c r="E21" s="2" t="s">
        <v>702</v>
      </c>
      <c r="F21" s="2" t="str">
        <f>VLOOKUP(E21,Sheet2!E:G,3,0)</f>
        <v>胸廓成形术</v>
      </c>
      <c r="G21" s="3"/>
      <c r="H21" s="2">
        <v>1875</v>
      </c>
      <c r="I21" s="2">
        <v>1800</v>
      </c>
      <c r="J21" s="2">
        <v>1530</v>
      </c>
      <c r="K21" s="3"/>
      <c r="L21" s="2">
        <v>2500</v>
      </c>
      <c r="M21" s="2">
        <v>2300</v>
      </c>
      <c r="N21" s="2">
        <v>1950</v>
      </c>
      <c r="O21" s="2">
        <v>1</v>
      </c>
      <c r="P21" s="2">
        <v>1</v>
      </c>
      <c r="Q21" s="2" t="s">
        <v>1093</v>
      </c>
      <c r="R21" s="2">
        <v>0</v>
      </c>
      <c r="S21" s="2">
        <v>4.5</v>
      </c>
      <c r="T21" s="2">
        <v>0</v>
      </c>
      <c r="U21" s="2">
        <v>0</v>
      </c>
      <c r="V21" s="2">
        <v>2812.5</v>
      </c>
      <c r="W21" s="2">
        <v>0</v>
      </c>
      <c r="X21" s="2">
        <v>0</v>
      </c>
      <c r="Y21" s="2">
        <v>2812.5</v>
      </c>
      <c r="Z21" s="2">
        <v>0</v>
      </c>
      <c r="AA21" s="2">
        <v>0</v>
      </c>
    </row>
    <row r="22" spans="1:27">
      <c r="A22" s="1">
        <v>20</v>
      </c>
      <c r="B22" s="2">
        <v>0</v>
      </c>
      <c r="C22" s="2">
        <v>201</v>
      </c>
      <c r="D22" s="2" t="s">
        <v>1134</v>
      </c>
      <c r="E22" s="2" t="s">
        <v>287</v>
      </c>
      <c r="F22" s="2" t="str">
        <f>VLOOKUP(E22,Sheet2!E:G,3,0)</f>
        <v>经内镜胸部肿瘤特殊治疗</v>
      </c>
      <c r="G22" s="3"/>
      <c r="H22" s="2">
        <v>345</v>
      </c>
      <c r="I22" s="2">
        <v>300</v>
      </c>
      <c r="J22" s="2">
        <v>255</v>
      </c>
      <c r="K22" s="3"/>
      <c r="L22" s="2">
        <v>435</v>
      </c>
      <c r="M22" s="2">
        <v>410</v>
      </c>
      <c r="N22" s="2">
        <v>350</v>
      </c>
      <c r="O22" s="2">
        <v>1</v>
      </c>
      <c r="P22" s="2">
        <v>1</v>
      </c>
      <c r="Q22" s="2" t="s">
        <v>1093</v>
      </c>
      <c r="R22" s="2">
        <v>0</v>
      </c>
      <c r="S22" s="2">
        <v>0</v>
      </c>
      <c r="T22" s="2">
        <v>1</v>
      </c>
      <c r="U22" s="2">
        <v>0</v>
      </c>
      <c r="V22" s="2">
        <v>0</v>
      </c>
      <c r="W22" s="2">
        <v>110</v>
      </c>
      <c r="X22" s="2">
        <v>0</v>
      </c>
      <c r="Y22" s="2">
        <v>0</v>
      </c>
      <c r="Z22" s="2">
        <v>110</v>
      </c>
      <c r="AA22" s="2">
        <v>0</v>
      </c>
    </row>
    <row r="23" spans="1:27">
      <c r="A23" s="1">
        <v>21</v>
      </c>
      <c r="B23" s="2">
        <v>0</v>
      </c>
      <c r="C23" s="2">
        <v>301</v>
      </c>
      <c r="D23" s="2" t="s">
        <v>1135</v>
      </c>
      <c r="E23" s="2" t="s">
        <v>1136</v>
      </c>
      <c r="F23" s="2" t="e">
        <f>VLOOKUP(E23,Sheet2!E:G,3,0)</f>
        <v>#N/A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1</v>
      </c>
      <c r="P23" s="2">
        <v>1</v>
      </c>
      <c r="Q23" s="2" t="s">
        <v>1093</v>
      </c>
      <c r="R23" s="2">
        <v>0</v>
      </c>
      <c r="S23" s="2">
        <v>52108.485</v>
      </c>
      <c r="T23" s="2">
        <v>59969.8132</v>
      </c>
      <c r="U23" s="2">
        <v>32681.7</v>
      </c>
      <c r="V23" s="2">
        <v>0</v>
      </c>
      <c r="W23" s="2">
        <v>0</v>
      </c>
      <c r="X23" s="2">
        <v>0</v>
      </c>
      <c r="Y23" s="2">
        <v>-465449.285</v>
      </c>
      <c r="Z23" s="2">
        <v>-545653.2982</v>
      </c>
      <c r="AA23" s="2">
        <v>-305846.36</v>
      </c>
    </row>
    <row r="24" spans="1:27">
      <c r="A24" s="1">
        <v>22</v>
      </c>
      <c r="B24" s="2">
        <v>0</v>
      </c>
      <c r="C24" s="2">
        <v>201</v>
      </c>
      <c r="D24" s="2" t="s">
        <v>1134</v>
      </c>
      <c r="E24" s="2" t="s">
        <v>227</v>
      </c>
      <c r="F24" s="2" t="str">
        <f>VLOOKUP(E24,Sheet2!E:G,3,0)</f>
        <v>高压泵雾化吸入</v>
      </c>
      <c r="G24" s="3"/>
      <c r="H24" s="2">
        <v>5</v>
      </c>
      <c r="I24" s="2">
        <v>5</v>
      </c>
      <c r="J24" s="2">
        <v>4.3</v>
      </c>
      <c r="K24" s="3"/>
      <c r="L24" s="2">
        <v>13</v>
      </c>
      <c r="M24" s="2">
        <v>12</v>
      </c>
      <c r="N24" s="2">
        <v>11</v>
      </c>
      <c r="O24" s="2">
        <v>1</v>
      </c>
      <c r="P24" s="2">
        <v>1</v>
      </c>
      <c r="Q24" s="2" t="s">
        <v>1093</v>
      </c>
      <c r="R24" s="2">
        <v>0</v>
      </c>
      <c r="S24" s="2">
        <v>92</v>
      </c>
      <c r="T24" s="2">
        <v>189558.9</v>
      </c>
      <c r="U24" s="2">
        <v>34130</v>
      </c>
      <c r="V24" s="2">
        <v>736</v>
      </c>
      <c r="W24" s="2">
        <v>1326912.3</v>
      </c>
      <c r="X24" s="2">
        <v>228671</v>
      </c>
      <c r="Y24" s="2">
        <v>736</v>
      </c>
      <c r="Z24" s="2">
        <v>1326912.3</v>
      </c>
      <c r="AA24" s="2">
        <v>228671</v>
      </c>
    </row>
    <row r="25" spans="1:27">
      <c r="A25" s="1">
        <v>23</v>
      </c>
      <c r="B25" s="2">
        <v>0</v>
      </c>
      <c r="C25" s="2">
        <v>201</v>
      </c>
      <c r="D25" s="2" t="s">
        <v>1134</v>
      </c>
      <c r="E25" s="2" t="s">
        <v>451</v>
      </c>
      <c r="F25" s="2" t="str">
        <f>VLOOKUP(E25,Sheet2!E:G,3,0)</f>
        <v>膈肌肿瘤切除术</v>
      </c>
      <c r="G25" s="3"/>
      <c r="H25" s="2">
        <v>3040</v>
      </c>
      <c r="I25" s="2">
        <v>2740</v>
      </c>
      <c r="J25" s="2">
        <v>2330</v>
      </c>
      <c r="K25" s="3"/>
      <c r="L25" s="2">
        <v>3700</v>
      </c>
      <c r="M25" s="2">
        <v>3350</v>
      </c>
      <c r="N25" s="2">
        <v>2850</v>
      </c>
      <c r="O25" s="2">
        <v>1</v>
      </c>
      <c r="P25" s="2">
        <v>1</v>
      </c>
      <c r="Q25" s="2" t="s">
        <v>1093</v>
      </c>
      <c r="R25" s="2">
        <v>0</v>
      </c>
      <c r="S25" s="2">
        <v>1</v>
      </c>
      <c r="T25" s="2">
        <v>0</v>
      </c>
      <c r="U25" s="2">
        <v>0</v>
      </c>
      <c r="V25" s="2">
        <v>660</v>
      </c>
      <c r="W25" s="2">
        <v>0</v>
      </c>
      <c r="X25" s="2">
        <v>0</v>
      </c>
      <c r="Y25" s="2">
        <v>660</v>
      </c>
      <c r="Z25" s="2">
        <v>0</v>
      </c>
      <c r="AA25" s="2">
        <v>0</v>
      </c>
    </row>
    <row r="26" spans="1:27">
      <c r="A26" s="1">
        <v>24</v>
      </c>
      <c r="B26" s="2">
        <v>0</v>
      </c>
      <c r="C26" s="2">
        <v>201</v>
      </c>
      <c r="D26" s="2" t="s">
        <v>1134</v>
      </c>
      <c r="E26" s="2" t="s">
        <v>827</v>
      </c>
      <c r="F26" s="2" t="str">
        <f>VLOOKUP(E26,Sheet2!E:G,3,0)</f>
        <v>纵隔肿物切除术</v>
      </c>
      <c r="G26" s="3"/>
      <c r="H26" s="2">
        <v>2700</v>
      </c>
      <c r="I26" s="2">
        <v>2430</v>
      </c>
      <c r="J26" s="2">
        <v>2070</v>
      </c>
      <c r="K26" s="3"/>
      <c r="L26" s="2">
        <v>3600</v>
      </c>
      <c r="M26" s="2">
        <v>3250</v>
      </c>
      <c r="N26" s="2">
        <v>2760</v>
      </c>
      <c r="O26" s="2">
        <v>1</v>
      </c>
      <c r="P26" s="2">
        <v>1</v>
      </c>
      <c r="Q26" s="2" t="s">
        <v>1093</v>
      </c>
      <c r="R26" s="2">
        <v>0</v>
      </c>
      <c r="S26" s="2">
        <v>39.8</v>
      </c>
      <c r="T26" s="2">
        <v>5</v>
      </c>
      <c r="U26" s="2">
        <v>0</v>
      </c>
      <c r="V26" s="2">
        <v>35820</v>
      </c>
      <c r="W26" s="2">
        <v>4100</v>
      </c>
      <c r="X26" s="2">
        <v>0</v>
      </c>
      <c r="Y26" s="2">
        <v>35820</v>
      </c>
      <c r="Z26" s="2">
        <v>4100</v>
      </c>
      <c r="AA26" s="2">
        <v>0</v>
      </c>
    </row>
    <row r="27" spans="1:27">
      <c r="A27" s="1">
        <v>25</v>
      </c>
      <c r="B27" s="2">
        <v>0</v>
      </c>
      <c r="C27" s="2">
        <v>201</v>
      </c>
      <c r="D27" s="2" t="s">
        <v>1134</v>
      </c>
      <c r="E27" s="2" t="s">
        <v>431</v>
      </c>
      <c r="F27" s="2" t="str">
        <f>VLOOKUP(E27,Sheet2!E:G,3,0)</f>
        <v>开胸止血术</v>
      </c>
      <c r="G27" s="3"/>
      <c r="H27" s="2">
        <v>1625</v>
      </c>
      <c r="I27" s="2">
        <v>1560</v>
      </c>
      <c r="J27" s="2">
        <v>1326</v>
      </c>
      <c r="K27" s="3"/>
      <c r="L27" s="2">
        <v>1750</v>
      </c>
      <c r="M27" s="2">
        <v>1620</v>
      </c>
      <c r="N27" s="2">
        <v>1450</v>
      </c>
      <c r="O27" s="2">
        <v>1</v>
      </c>
      <c r="P27" s="2">
        <v>1</v>
      </c>
      <c r="Q27" s="2" t="s">
        <v>1093</v>
      </c>
      <c r="R27" s="2">
        <v>0</v>
      </c>
      <c r="S27" s="2">
        <v>2</v>
      </c>
      <c r="T27" s="2">
        <v>1</v>
      </c>
      <c r="U27" s="2">
        <v>0</v>
      </c>
      <c r="V27" s="2">
        <v>250</v>
      </c>
      <c r="W27" s="2">
        <v>60</v>
      </c>
      <c r="X27" s="2">
        <v>0</v>
      </c>
      <c r="Y27" s="2">
        <v>250</v>
      </c>
      <c r="Z27" s="2">
        <v>60</v>
      </c>
      <c r="AA27" s="2">
        <v>0</v>
      </c>
    </row>
    <row r="28" spans="1:27">
      <c r="A28" s="1">
        <v>26</v>
      </c>
      <c r="B28" s="2">
        <v>0</v>
      </c>
      <c r="C28" s="2">
        <v>201</v>
      </c>
      <c r="D28" s="2" t="s">
        <v>1134</v>
      </c>
      <c r="E28" s="2" t="s">
        <v>507</v>
      </c>
      <c r="F28" s="2" t="str">
        <f>VLOOKUP(E28,Sheet2!E:G,3,0)</f>
        <v>小儿经胸腔镜肺楔形切除术</v>
      </c>
      <c r="G28" s="3"/>
      <c r="H28" s="2">
        <v>3465</v>
      </c>
      <c r="I28" s="2">
        <v>3155</v>
      </c>
      <c r="J28" s="2">
        <v>2550</v>
      </c>
      <c r="K28" s="3"/>
      <c r="L28" s="2">
        <v>6110</v>
      </c>
      <c r="M28" s="2">
        <v>5590</v>
      </c>
      <c r="N28" s="2">
        <v>4940</v>
      </c>
      <c r="O28" s="2">
        <v>1</v>
      </c>
      <c r="P28" s="2">
        <v>1</v>
      </c>
      <c r="Q28" s="2" t="s">
        <v>1093</v>
      </c>
      <c r="R28" s="2">
        <v>0</v>
      </c>
      <c r="S28" s="2">
        <v>2</v>
      </c>
      <c r="T28" s="2">
        <v>0</v>
      </c>
      <c r="U28" s="2">
        <v>0</v>
      </c>
      <c r="V28" s="2">
        <v>5290</v>
      </c>
      <c r="W28" s="2">
        <v>0</v>
      </c>
      <c r="X28" s="2">
        <v>0</v>
      </c>
      <c r="Y28" s="2">
        <v>5290</v>
      </c>
      <c r="Z28" s="2">
        <v>0</v>
      </c>
      <c r="AA28" s="2">
        <v>0</v>
      </c>
    </row>
    <row r="29" spans="1:27">
      <c r="A29" s="1">
        <v>27</v>
      </c>
      <c r="B29" s="2">
        <v>0</v>
      </c>
      <c r="C29" s="2">
        <v>201</v>
      </c>
      <c r="D29" s="2" t="s">
        <v>1134</v>
      </c>
      <c r="E29" s="2" t="s">
        <v>62</v>
      </c>
      <c r="F29" s="2" t="str">
        <f>VLOOKUP(E29,Sheet2!E:G,3,0)</f>
        <v>二氧化碳反应曲线</v>
      </c>
      <c r="G29" s="3"/>
      <c r="H29" s="2">
        <v>34.5</v>
      </c>
      <c r="I29" s="2">
        <v>30</v>
      </c>
      <c r="J29" s="2">
        <v>25.5</v>
      </c>
      <c r="K29" s="3"/>
      <c r="L29" s="2">
        <v>0</v>
      </c>
      <c r="M29" s="2">
        <v>0</v>
      </c>
      <c r="N29" s="2">
        <v>0</v>
      </c>
      <c r="O29" s="2">
        <v>1</v>
      </c>
      <c r="P29" s="2">
        <v>1</v>
      </c>
      <c r="Q29" s="2" t="s">
        <v>1093</v>
      </c>
      <c r="R29" s="2">
        <v>0</v>
      </c>
      <c r="S29" s="2">
        <v>6434</v>
      </c>
      <c r="T29" s="2">
        <v>9625</v>
      </c>
      <c r="U29" s="2">
        <v>0</v>
      </c>
      <c r="V29" s="2">
        <v>-221973</v>
      </c>
      <c r="W29" s="2">
        <v>-288750</v>
      </c>
      <c r="X29" s="2">
        <v>0</v>
      </c>
      <c r="Y29" s="2">
        <v>-221973</v>
      </c>
      <c r="Z29" s="2">
        <v>-288880.5</v>
      </c>
      <c r="AA29" s="2">
        <v>0</v>
      </c>
    </row>
    <row r="30" spans="1:27">
      <c r="A30" s="1">
        <v>28</v>
      </c>
      <c r="B30" s="2">
        <v>0</v>
      </c>
      <c r="C30" s="2">
        <v>201</v>
      </c>
      <c r="D30" s="2" t="s">
        <v>1134</v>
      </c>
      <c r="E30" s="2" t="s">
        <v>106</v>
      </c>
      <c r="F30" s="2" t="str">
        <f>VLOOKUP(E30,Sheet2!E:G,3,0)</f>
        <v>运动心肺功能检查</v>
      </c>
      <c r="G30" s="3"/>
      <c r="H30" s="2">
        <v>184</v>
      </c>
      <c r="I30" s="2">
        <v>160</v>
      </c>
      <c r="J30" s="2">
        <v>136</v>
      </c>
      <c r="K30" s="3"/>
      <c r="L30" s="2">
        <v>160</v>
      </c>
      <c r="M30" s="2">
        <v>144</v>
      </c>
      <c r="N30" s="2">
        <v>123</v>
      </c>
      <c r="O30" s="2">
        <v>1</v>
      </c>
      <c r="P30" s="2">
        <v>1</v>
      </c>
      <c r="Q30" s="2" t="s">
        <v>1093</v>
      </c>
      <c r="R30" s="2">
        <v>0</v>
      </c>
      <c r="S30" s="2">
        <v>1273</v>
      </c>
      <c r="T30" s="2">
        <v>187</v>
      </c>
      <c r="U30" s="2">
        <v>1</v>
      </c>
      <c r="V30" s="2">
        <v>-30552</v>
      </c>
      <c r="W30" s="2">
        <v>-2992</v>
      </c>
      <c r="X30" s="2">
        <v>-13</v>
      </c>
      <c r="Y30" s="2">
        <v>-30552</v>
      </c>
      <c r="Z30" s="2">
        <v>-2992</v>
      </c>
      <c r="AA30" s="2">
        <v>-13</v>
      </c>
    </row>
    <row r="31" spans="1:27">
      <c r="A31" s="1">
        <v>29</v>
      </c>
      <c r="B31" s="2">
        <v>0</v>
      </c>
      <c r="C31" s="2">
        <v>201</v>
      </c>
      <c r="D31" s="2" t="s">
        <v>1134</v>
      </c>
      <c r="E31" s="2" t="s">
        <v>530</v>
      </c>
      <c r="F31" s="2" t="str">
        <f>VLOOKUP(E31,Sheet2!E:G,3,0)</f>
        <v>小儿经胸腔镜肺叶切除术</v>
      </c>
      <c r="G31" s="3"/>
      <c r="H31" s="2">
        <v>4670</v>
      </c>
      <c r="I31" s="2">
        <v>4240</v>
      </c>
      <c r="J31" s="2">
        <v>3605</v>
      </c>
      <c r="K31" s="3"/>
      <c r="L31" s="2">
        <v>7930</v>
      </c>
      <c r="M31" s="2">
        <v>7345</v>
      </c>
      <c r="N31" s="2">
        <v>6240</v>
      </c>
      <c r="O31" s="2">
        <v>1</v>
      </c>
      <c r="P31" s="2">
        <v>1</v>
      </c>
      <c r="Q31" s="2" t="s">
        <v>1093</v>
      </c>
      <c r="R31" s="2">
        <v>0</v>
      </c>
      <c r="S31" s="2">
        <v>2</v>
      </c>
      <c r="T31" s="2">
        <v>0</v>
      </c>
      <c r="U31" s="2">
        <v>0</v>
      </c>
      <c r="V31" s="2">
        <v>6520</v>
      </c>
      <c r="W31" s="2">
        <v>0</v>
      </c>
      <c r="X31" s="2">
        <v>0</v>
      </c>
      <c r="Y31" s="2">
        <v>8030</v>
      </c>
      <c r="Z31" s="2">
        <v>0</v>
      </c>
      <c r="AA31" s="2">
        <v>0</v>
      </c>
    </row>
    <row r="32" spans="1:27">
      <c r="A32" s="1">
        <v>30</v>
      </c>
      <c r="B32" s="2">
        <v>0</v>
      </c>
      <c r="C32" s="2">
        <v>201</v>
      </c>
      <c r="D32" s="2" t="s">
        <v>1134</v>
      </c>
      <c r="E32" s="2" t="s">
        <v>59</v>
      </c>
      <c r="F32" s="2" t="str">
        <f>VLOOKUP(E32,Sheet2!E:G,3,0)</f>
        <v>流速容量曲线（V—V曲线）</v>
      </c>
      <c r="G32" s="3"/>
      <c r="H32" s="2">
        <v>34.5</v>
      </c>
      <c r="I32" s="2">
        <v>30</v>
      </c>
      <c r="J32" s="2">
        <v>25.5</v>
      </c>
      <c r="K32" s="3"/>
      <c r="L32" s="2">
        <v>0</v>
      </c>
      <c r="M32" s="2">
        <v>0</v>
      </c>
      <c r="N32" s="2">
        <v>0</v>
      </c>
      <c r="O32" s="2">
        <v>1</v>
      </c>
      <c r="P32" s="2">
        <v>1</v>
      </c>
      <c r="Q32" s="2" t="s">
        <v>1093</v>
      </c>
      <c r="R32" s="2">
        <v>0</v>
      </c>
      <c r="S32" s="2">
        <v>10236.5</v>
      </c>
      <c r="T32" s="2">
        <v>9122.1</v>
      </c>
      <c r="U32" s="2">
        <v>1583</v>
      </c>
      <c r="V32" s="2">
        <v>-353159.25</v>
      </c>
      <c r="W32" s="2">
        <v>-273663</v>
      </c>
      <c r="X32" s="2">
        <v>-40366.5</v>
      </c>
      <c r="Y32" s="2">
        <v>-353159.25</v>
      </c>
      <c r="Z32" s="2">
        <v>-272988</v>
      </c>
      <c r="AA32" s="2">
        <v>-40366.5</v>
      </c>
    </row>
    <row r="33" spans="1:27">
      <c r="A33" s="1">
        <v>31</v>
      </c>
      <c r="B33" s="2">
        <v>0</v>
      </c>
      <c r="C33" s="2">
        <v>201</v>
      </c>
      <c r="D33" s="2" t="s">
        <v>1134</v>
      </c>
      <c r="E33" s="2" t="s">
        <v>169</v>
      </c>
      <c r="F33" s="2" t="str">
        <f>VLOOKUP(E33,Sheet2!E:G,3,0)</f>
        <v>呼吸系统窥镜诊疗（使用电子纤维内镜加收）</v>
      </c>
      <c r="G33" s="3"/>
      <c r="H33" s="2">
        <v>115</v>
      </c>
      <c r="I33" s="2">
        <v>100</v>
      </c>
      <c r="J33" s="2">
        <v>85</v>
      </c>
      <c r="K33" s="3"/>
      <c r="L33" s="2">
        <v>0</v>
      </c>
      <c r="M33" s="2">
        <v>0</v>
      </c>
      <c r="N33" s="2">
        <v>0</v>
      </c>
      <c r="O33" s="2">
        <v>1</v>
      </c>
      <c r="P33" s="2">
        <v>1</v>
      </c>
      <c r="Q33" s="2" t="s">
        <v>1093</v>
      </c>
      <c r="R33" s="2">
        <v>0</v>
      </c>
      <c r="S33" s="2">
        <v>436.4</v>
      </c>
      <c r="T33" s="2">
        <v>254.4</v>
      </c>
      <c r="U33" s="2">
        <v>0</v>
      </c>
      <c r="V33" s="2">
        <v>-50186</v>
      </c>
      <c r="W33" s="2">
        <v>-25440</v>
      </c>
      <c r="X33" s="2">
        <v>0</v>
      </c>
      <c r="Y33" s="2">
        <v>-50186</v>
      </c>
      <c r="Z33" s="2">
        <v>-25440</v>
      </c>
      <c r="AA33" s="2">
        <v>0</v>
      </c>
    </row>
    <row r="34" spans="1:27">
      <c r="A34" s="1">
        <v>32</v>
      </c>
      <c r="B34" s="2">
        <v>0</v>
      </c>
      <c r="C34" s="2">
        <v>201</v>
      </c>
      <c r="D34" s="2" t="s">
        <v>1134</v>
      </c>
      <c r="E34" s="2" t="s">
        <v>870</v>
      </c>
      <c r="F34" s="2" t="str">
        <f>VLOOKUP(E34,Sheet2!E:G,3,0)</f>
        <v>经胸腔镜纵隔感染清创引流术</v>
      </c>
      <c r="G34" s="3"/>
      <c r="H34" s="2">
        <v>2125</v>
      </c>
      <c r="I34" s="2">
        <v>2040</v>
      </c>
      <c r="J34" s="2">
        <v>1734</v>
      </c>
      <c r="K34" s="3"/>
      <c r="L34" s="2">
        <v>1750</v>
      </c>
      <c r="M34" s="2">
        <v>1580</v>
      </c>
      <c r="N34" s="2">
        <v>1340</v>
      </c>
      <c r="O34" s="2">
        <v>1</v>
      </c>
      <c r="P34" s="2">
        <v>1</v>
      </c>
      <c r="Q34" s="2" t="s">
        <v>1093</v>
      </c>
      <c r="R34" s="2">
        <v>0</v>
      </c>
      <c r="S34" s="2">
        <v>2</v>
      </c>
      <c r="T34" s="2">
        <v>0</v>
      </c>
      <c r="U34" s="2">
        <v>0</v>
      </c>
      <c r="V34" s="2">
        <v>-750</v>
      </c>
      <c r="W34" s="2">
        <v>0</v>
      </c>
      <c r="X34" s="2">
        <v>0</v>
      </c>
      <c r="Y34" s="2">
        <v>-750</v>
      </c>
      <c r="Z34" s="2">
        <v>0</v>
      </c>
      <c r="AA34" s="2">
        <v>0</v>
      </c>
    </row>
    <row r="35" spans="1:27">
      <c r="A35" s="1">
        <v>33</v>
      </c>
      <c r="B35" s="2">
        <v>0</v>
      </c>
      <c r="C35" s="2">
        <v>201</v>
      </c>
      <c r="D35" s="2" t="s">
        <v>1134</v>
      </c>
      <c r="E35" s="2" t="s">
        <v>248</v>
      </c>
      <c r="F35" s="2" t="str">
        <f>VLOOKUP(E35,Sheet2!E:G,3,0)</f>
        <v>经纤支镜肺泡灌洗诊疗术</v>
      </c>
      <c r="G35" s="3"/>
      <c r="H35" s="2">
        <v>115</v>
      </c>
      <c r="I35" s="2">
        <v>100</v>
      </c>
      <c r="J35" s="2">
        <v>85</v>
      </c>
      <c r="K35" s="3"/>
      <c r="L35" s="2">
        <v>105</v>
      </c>
      <c r="M35" s="2">
        <v>95</v>
      </c>
      <c r="N35" s="2">
        <v>81</v>
      </c>
      <c r="O35" s="2">
        <v>1</v>
      </c>
      <c r="P35" s="2">
        <v>1</v>
      </c>
      <c r="Q35" s="2" t="s">
        <v>1093</v>
      </c>
      <c r="R35" s="2">
        <v>0</v>
      </c>
      <c r="S35" s="2">
        <v>37371.55</v>
      </c>
      <c r="T35" s="2">
        <v>23558.0748</v>
      </c>
      <c r="U35" s="2">
        <v>686.1</v>
      </c>
      <c r="V35" s="2">
        <v>-373715.5</v>
      </c>
      <c r="W35" s="2">
        <v>-117790.374</v>
      </c>
      <c r="X35" s="2">
        <v>-2744.4</v>
      </c>
      <c r="Y35" s="2">
        <v>-373715.5</v>
      </c>
      <c r="Z35" s="2">
        <v>-118547.874</v>
      </c>
      <c r="AA35" s="2">
        <v>-2744.4</v>
      </c>
    </row>
    <row r="36" spans="1:27">
      <c r="A36" s="1">
        <v>34</v>
      </c>
      <c r="B36" s="2">
        <v>0</v>
      </c>
      <c r="C36" s="2">
        <v>201</v>
      </c>
      <c r="D36" s="2" t="s">
        <v>1134</v>
      </c>
      <c r="E36" s="2" t="s">
        <v>166</v>
      </c>
      <c r="F36" s="2" t="str">
        <f>VLOOKUP(E36,Sheet2!E:G,3,0)</f>
        <v>呼吸系统窥镜诊疗（使用电子支气管镜加收）</v>
      </c>
      <c r="G36" s="3"/>
      <c r="H36" s="2">
        <v>138</v>
      </c>
      <c r="I36" s="2">
        <v>120</v>
      </c>
      <c r="J36" s="2">
        <v>102</v>
      </c>
      <c r="K36" s="3"/>
      <c r="L36" s="2">
        <v>0</v>
      </c>
      <c r="M36" s="2">
        <v>0</v>
      </c>
      <c r="N36" s="2">
        <v>0</v>
      </c>
      <c r="O36" s="2">
        <v>1</v>
      </c>
      <c r="P36" s="2">
        <v>1</v>
      </c>
      <c r="Q36" s="2" t="s">
        <v>1093</v>
      </c>
      <c r="R36" s="2">
        <v>0</v>
      </c>
      <c r="S36" s="2">
        <v>5967.8</v>
      </c>
      <c r="T36" s="2">
        <v>9222.45</v>
      </c>
      <c r="U36" s="2">
        <v>109</v>
      </c>
      <c r="V36" s="2">
        <v>-823556.4</v>
      </c>
      <c r="W36" s="2">
        <v>-1106694</v>
      </c>
      <c r="X36" s="2">
        <v>-11118</v>
      </c>
      <c r="Y36" s="2">
        <v>-823556.4</v>
      </c>
      <c r="Z36" s="2">
        <v>-1106604</v>
      </c>
      <c r="AA36" s="2">
        <v>-11118</v>
      </c>
    </row>
    <row r="37" spans="1:27">
      <c r="A37" s="1">
        <v>35</v>
      </c>
      <c r="B37" s="2">
        <v>0</v>
      </c>
      <c r="C37" s="2">
        <v>201</v>
      </c>
      <c r="D37" s="2" t="s">
        <v>1134</v>
      </c>
      <c r="E37" s="2" t="s">
        <v>276</v>
      </c>
      <c r="F37" s="2" t="str">
        <f>VLOOKUP(E37,Sheet2!E:G,3,0)</f>
        <v>经纤支镜特殊治疗（冷冻法）</v>
      </c>
      <c r="G37" s="3"/>
      <c r="H37" s="2">
        <v>488</v>
      </c>
      <c r="I37" s="2">
        <v>435</v>
      </c>
      <c r="J37" s="2">
        <v>375</v>
      </c>
      <c r="K37" s="3"/>
      <c r="L37" s="2">
        <v>435</v>
      </c>
      <c r="M37" s="2">
        <v>410</v>
      </c>
      <c r="N37" s="2">
        <v>350</v>
      </c>
      <c r="O37" s="2">
        <v>1</v>
      </c>
      <c r="P37" s="2">
        <v>1</v>
      </c>
      <c r="Q37" s="2" t="s">
        <v>1093</v>
      </c>
      <c r="R37" s="2">
        <v>0</v>
      </c>
      <c r="S37" s="2">
        <v>82</v>
      </c>
      <c r="T37" s="2">
        <v>121</v>
      </c>
      <c r="U37" s="2">
        <v>0</v>
      </c>
      <c r="V37" s="2">
        <v>-4346</v>
      </c>
      <c r="W37" s="2">
        <v>-3025</v>
      </c>
      <c r="X37" s="2">
        <v>0</v>
      </c>
      <c r="Y37" s="2">
        <v>-4346</v>
      </c>
      <c r="Z37" s="2">
        <v>-3025</v>
      </c>
      <c r="AA37" s="2">
        <v>0</v>
      </c>
    </row>
    <row r="38" spans="1:27">
      <c r="A38" s="1">
        <v>36</v>
      </c>
      <c r="B38" s="2">
        <v>0</v>
      </c>
      <c r="C38" s="2">
        <v>201</v>
      </c>
      <c r="D38" s="2" t="s">
        <v>1134</v>
      </c>
      <c r="E38" s="2" t="s">
        <v>969</v>
      </c>
      <c r="F38" s="2" t="str">
        <f>VLOOKUP(E38,Sheet2!E:G,3,0)</f>
        <v>经胸腔镜交感神经链切除术</v>
      </c>
      <c r="G38" s="3"/>
      <c r="H38" s="2">
        <v>3040</v>
      </c>
      <c r="I38" s="2">
        <v>2740</v>
      </c>
      <c r="J38" s="2">
        <v>2330</v>
      </c>
      <c r="K38" s="3"/>
      <c r="L38" s="2">
        <v>5200</v>
      </c>
      <c r="M38" s="2">
        <v>4700</v>
      </c>
      <c r="N38" s="2">
        <v>4000</v>
      </c>
      <c r="O38" s="2">
        <v>1</v>
      </c>
      <c r="P38" s="2">
        <v>1</v>
      </c>
      <c r="Q38" s="2" t="s">
        <v>1093</v>
      </c>
      <c r="R38" s="2">
        <v>0</v>
      </c>
      <c r="S38" s="2">
        <v>5</v>
      </c>
      <c r="T38" s="2">
        <v>7.5</v>
      </c>
      <c r="U38" s="2">
        <v>0</v>
      </c>
      <c r="V38" s="2">
        <v>10800</v>
      </c>
      <c r="W38" s="2">
        <v>14700</v>
      </c>
      <c r="X38" s="2">
        <v>0</v>
      </c>
      <c r="Y38" s="2">
        <v>10800</v>
      </c>
      <c r="Z38" s="2">
        <v>14700</v>
      </c>
      <c r="AA38" s="2">
        <v>0</v>
      </c>
    </row>
    <row r="39" spans="1:27">
      <c r="A39" s="1">
        <v>37</v>
      </c>
      <c r="B39" s="2">
        <v>0</v>
      </c>
      <c r="C39" s="2">
        <v>201</v>
      </c>
      <c r="D39" s="2" t="s">
        <v>1134</v>
      </c>
      <c r="E39" s="2" t="s">
        <v>668</v>
      </c>
      <c r="F39" s="2" t="str">
        <f>VLOOKUP(E39,Sheet2!E:G,3,0)</f>
        <v>胸壁缺损修复术</v>
      </c>
      <c r="G39" s="3"/>
      <c r="H39" s="2">
        <v>1875</v>
      </c>
      <c r="I39" s="2">
        <v>1800</v>
      </c>
      <c r="J39" s="2">
        <v>1530</v>
      </c>
      <c r="K39" s="3"/>
      <c r="L39" s="2">
        <v>1150</v>
      </c>
      <c r="M39" s="2">
        <v>1030</v>
      </c>
      <c r="N39" s="2">
        <v>880</v>
      </c>
      <c r="O39" s="2">
        <v>1</v>
      </c>
      <c r="P39" s="2">
        <v>1</v>
      </c>
      <c r="Q39" s="2" t="s">
        <v>1093</v>
      </c>
      <c r="R39" s="2">
        <v>0</v>
      </c>
      <c r="S39" s="2">
        <v>10</v>
      </c>
      <c r="T39" s="2">
        <v>3</v>
      </c>
      <c r="U39" s="2">
        <v>0</v>
      </c>
      <c r="V39" s="2">
        <v>-7250</v>
      </c>
      <c r="W39" s="2">
        <v>-2310</v>
      </c>
      <c r="X39" s="2">
        <v>0</v>
      </c>
      <c r="Y39" s="2">
        <v>-7250</v>
      </c>
      <c r="Z39" s="2">
        <v>-2310</v>
      </c>
      <c r="AA39" s="2">
        <v>0</v>
      </c>
    </row>
    <row r="40" spans="1:27">
      <c r="A40" s="1">
        <v>38</v>
      </c>
      <c r="B40" s="2">
        <v>0</v>
      </c>
      <c r="C40" s="2">
        <v>201</v>
      </c>
      <c r="D40" s="2" t="s">
        <v>1134</v>
      </c>
      <c r="E40" s="2" t="s">
        <v>972</v>
      </c>
      <c r="F40" s="2" t="str">
        <f>VLOOKUP(E40,Sheet2!E:G,3,0)</f>
        <v>经胸腔镜交感神经链切除术</v>
      </c>
      <c r="G40" s="3"/>
      <c r="H40" s="2">
        <v>4560</v>
      </c>
      <c r="I40" s="2">
        <v>4110</v>
      </c>
      <c r="J40" s="2">
        <v>3495</v>
      </c>
      <c r="K40" s="3"/>
      <c r="L40" s="2">
        <v>5200</v>
      </c>
      <c r="M40" s="2">
        <v>4700</v>
      </c>
      <c r="N40" s="2">
        <v>4000</v>
      </c>
      <c r="O40" s="2">
        <v>1</v>
      </c>
      <c r="P40" s="2">
        <v>1</v>
      </c>
      <c r="Q40" s="2" t="s">
        <v>1093</v>
      </c>
      <c r="R40" s="2">
        <v>0</v>
      </c>
      <c r="S40" s="2">
        <v>108</v>
      </c>
      <c r="T40" s="2">
        <v>68</v>
      </c>
      <c r="U40" s="2">
        <v>1</v>
      </c>
      <c r="V40" s="2">
        <v>69120</v>
      </c>
      <c r="W40" s="2">
        <v>40120</v>
      </c>
      <c r="X40" s="2">
        <v>505</v>
      </c>
      <c r="Y40" s="2">
        <v>69120</v>
      </c>
      <c r="Z40" s="2">
        <v>40120</v>
      </c>
      <c r="AA40" s="2">
        <v>505</v>
      </c>
    </row>
    <row r="41" spans="1:27">
      <c r="A41" s="1">
        <v>39</v>
      </c>
      <c r="B41" s="2">
        <v>0</v>
      </c>
      <c r="C41" s="2">
        <v>201</v>
      </c>
      <c r="D41" s="2" t="s">
        <v>1134</v>
      </c>
      <c r="E41" s="2" t="s">
        <v>556</v>
      </c>
      <c r="F41" s="2" t="str">
        <f>VLOOKUP(E41,Sheet2!E:G,3,0)</f>
        <v>经胸腔镜肺段切除术</v>
      </c>
      <c r="G41" s="3"/>
      <c r="H41" s="2">
        <v>4335</v>
      </c>
      <c r="I41" s="2">
        <v>3940</v>
      </c>
      <c r="J41" s="2">
        <v>3350</v>
      </c>
      <c r="K41" s="3"/>
      <c r="L41" s="2">
        <v>16120</v>
      </c>
      <c r="M41" s="2">
        <v>18821</v>
      </c>
      <c r="N41" s="2">
        <v>15600</v>
      </c>
      <c r="O41" s="2">
        <v>1</v>
      </c>
      <c r="P41" s="2">
        <v>1</v>
      </c>
      <c r="Q41" s="2" t="s">
        <v>1093</v>
      </c>
      <c r="R41" s="2">
        <v>0</v>
      </c>
      <c r="S41" s="2">
        <v>72</v>
      </c>
      <c r="T41" s="2">
        <v>32</v>
      </c>
      <c r="U41" s="2">
        <v>0</v>
      </c>
      <c r="V41" s="2">
        <v>848520</v>
      </c>
      <c r="W41" s="2">
        <v>476192</v>
      </c>
      <c r="X41" s="2">
        <v>0</v>
      </c>
      <c r="Y41" s="2">
        <v>848520</v>
      </c>
      <c r="Z41" s="2">
        <v>476192</v>
      </c>
      <c r="AA41" s="2">
        <v>0</v>
      </c>
    </row>
    <row r="42" spans="1:27">
      <c r="A42" s="1">
        <v>40</v>
      </c>
      <c r="B42" s="2">
        <v>0</v>
      </c>
      <c r="C42" s="2">
        <v>201</v>
      </c>
      <c r="D42" s="2" t="s">
        <v>1134</v>
      </c>
      <c r="E42" s="2" t="s">
        <v>231</v>
      </c>
      <c r="F42" s="2" t="str">
        <f>VLOOKUP(E42,Sheet2!E:G,3,0)</f>
        <v>蒸气雾化吸入</v>
      </c>
      <c r="G42" s="3"/>
      <c r="H42" s="2">
        <v>5</v>
      </c>
      <c r="I42" s="2">
        <v>5</v>
      </c>
      <c r="J42" s="2">
        <v>4.3</v>
      </c>
      <c r="K42" s="3"/>
      <c r="L42" s="2">
        <v>13</v>
      </c>
      <c r="M42" s="2">
        <v>12</v>
      </c>
      <c r="N42" s="2">
        <v>11</v>
      </c>
      <c r="O42" s="2">
        <v>1</v>
      </c>
      <c r="P42" s="2">
        <v>1</v>
      </c>
      <c r="Q42" s="2" t="s">
        <v>1093</v>
      </c>
      <c r="R42" s="2">
        <v>0</v>
      </c>
      <c r="S42" s="2">
        <v>125</v>
      </c>
      <c r="T42" s="2">
        <v>13749</v>
      </c>
      <c r="U42" s="2">
        <v>2975</v>
      </c>
      <c r="V42" s="2">
        <v>1000</v>
      </c>
      <c r="W42" s="2">
        <v>96243</v>
      </c>
      <c r="X42" s="2">
        <v>19932.5</v>
      </c>
      <c r="Y42" s="2">
        <v>1000</v>
      </c>
      <c r="Z42" s="2">
        <v>96243</v>
      </c>
      <c r="AA42" s="2">
        <v>19932.5</v>
      </c>
    </row>
    <row r="43" spans="1:27">
      <c r="A43" s="1">
        <v>41</v>
      </c>
      <c r="B43" s="2">
        <v>0</v>
      </c>
      <c r="C43" s="2">
        <v>201</v>
      </c>
      <c r="D43" s="2" t="s">
        <v>1134</v>
      </c>
      <c r="E43" s="2" t="s">
        <v>672</v>
      </c>
      <c r="F43" s="2" t="str">
        <f>VLOOKUP(E43,Sheet2!E:G,3,0)</f>
        <v>经胸腔镜胸壁缺损修复术</v>
      </c>
      <c r="G43" s="3"/>
      <c r="H43" s="2">
        <v>2500</v>
      </c>
      <c r="I43" s="2">
        <v>2400</v>
      </c>
      <c r="J43" s="2">
        <v>2040</v>
      </c>
      <c r="K43" s="3"/>
      <c r="L43" s="2">
        <v>1150</v>
      </c>
      <c r="M43" s="2">
        <v>1030</v>
      </c>
      <c r="N43" s="2">
        <v>880</v>
      </c>
      <c r="O43" s="2">
        <v>1</v>
      </c>
      <c r="P43" s="2">
        <v>1</v>
      </c>
      <c r="Q43" s="2" t="s">
        <v>1093</v>
      </c>
      <c r="R43" s="2">
        <v>0</v>
      </c>
      <c r="S43" s="2">
        <v>1</v>
      </c>
      <c r="T43" s="2">
        <v>0</v>
      </c>
      <c r="U43" s="2">
        <v>0</v>
      </c>
      <c r="V43" s="2">
        <v>-1350</v>
      </c>
      <c r="W43" s="2">
        <v>0</v>
      </c>
      <c r="X43" s="2">
        <v>0</v>
      </c>
      <c r="Y43" s="2">
        <v>-1350</v>
      </c>
      <c r="Z43" s="2">
        <v>0</v>
      </c>
      <c r="AA43" s="2">
        <v>0</v>
      </c>
    </row>
    <row r="44" spans="1:27">
      <c r="A44" s="1">
        <v>42</v>
      </c>
      <c r="B44" s="2">
        <v>0</v>
      </c>
      <c r="C44" s="2">
        <v>201</v>
      </c>
      <c r="D44" s="2" t="s">
        <v>1134</v>
      </c>
      <c r="E44" s="2" t="s">
        <v>437</v>
      </c>
      <c r="F44" s="2" t="str">
        <f>VLOOKUP(E44,Sheet2!E:G,3,0)</f>
        <v>小儿开胸探查术</v>
      </c>
      <c r="G44" s="3"/>
      <c r="H44" s="2">
        <v>1975</v>
      </c>
      <c r="I44" s="2">
        <v>1780</v>
      </c>
      <c r="J44" s="2">
        <v>1515</v>
      </c>
      <c r="K44" s="3"/>
      <c r="L44" s="2">
        <v>2275</v>
      </c>
      <c r="M44" s="2">
        <v>2105</v>
      </c>
      <c r="N44" s="2">
        <v>1885</v>
      </c>
      <c r="O44" s="2">
        <v>1</v>
      </c>
      <c r="P44" s="2">
        <v>1</v>
      </c>
      <c r="Q44" s="2" t="s">
        <v>1093</v>
      </c>
      <c r="R44" s="2">
        <v>0</v>
      </c>
      <c r="S44" s="2">
        <v>1</v>
      </c>
      <c r="T44" s="2">
        <v>0</v>
      </c>
      <c r="U44" s="2">
        <v>0</v>
      </c>
      <c r="V44" s="2">
        <v>300</v>
      </c>
      <c r="W44" s="2">
        <v>0</v>
      </c>
      <c r="X44" s="2">
        <v>0</v>
      </c>
      <c r="Y44" s="2">
        <v>300</v>
      </c>
      <c r="Z44" s="2">
        <v>0</v>
      </c>
      <c r="AA44" s="2">
        <v>0</v>
      </c>
    </row>
    <row r="45" spans="1:27">
      <c r="A45" s="1">
        <v>43</v>
      </c>
      <c r="B45" s="2">
        <v>0</v>
      </c>
      <c r="C45" s="2">
        <v>201</v>
      </c>
      <c r="D45" s="2" t="s">
        <v>1134</v>
      </c>
      <c r="E45" s="2" t="s">
        <v>89</v>
      </c>
      <c r="F45" s="2" t="str">
        <f>VLOOKUP(E45,Sheet2!E:G,3,0)</f>
        <v>肺弥散功能检查</v>
      </c>
      <c r="G45" s="3"/>
      <c r="H45" s="2">
        <v>69</v>
      </c>
      <c r="I45" s="2">
        <v>60</v>
      </c>
      <c r="J45" s="2">
        <v>51</v>
      </c>
      <c r="K45" s="3"/>
      <c r="L45" s="2">
        <v>60</v>
      </c>
      <c r="M45" s="2">
        <v>54</v>
      </c>
      <c r="N45" s="2">
        <v>46</v>
      </c>
      <c r="O45" s="2">
        <v>1</v>
      </c>
      <c r="P45" s="2">
        <v>1</v>
      </c>
      <c r="Q45" s="2" t="s">
        <v>1093</v>
      </c>
      <c r="R45" s="2">
        <v>0</v>
      </c>
      <c r="S45" s="2">
        <v>3777</v>
      </c>
      <c r="T45" s="2">
        <v>3283</v>
      </c>
      <c r="U45" s="2">
        <v>284</v>
      </c>
      <c r="V45" s="2">
        <v>-33993</v>
      </c>
      <c r="W45" s="2">
        <v>-19698</v>
      </c>
      <c r="X45" s="2">
        <v>-1420</v>
      </c>
      <c r="Y45" s="2">
        <v>-33993</v>
      </c>
      <c r="Z45" s="2">
        <v>-19698</v>
      </c>
      <c r="AA45" s="2">
        <v>-1420</v>
      </c>
    </row>
    <row r="46" spans="1:27">
      <c r="A46" s="1">
        <v>44</v>
      </c>
      <c r="B46" s="2">
        <v>0</v>
      </c>
      <c r="C46" s="2">
        <v>201</v>
      </c>
      <c r="D46" s="2" t="s">
        <v>1134</v>
      </c>
      <c r="E46" s="2" t="s">
        <v>427</v>
      </c>
      <c r="F46" s="2" t="str">
        <f>VLOOKUP(E46,Sheet2!E:G,3,0)</f>
        <v>开胸探查术</v>
      </c>
      <c r="G46" s="3"/>
      <c r="H46" s="2">
        <v>1520</v>
      </c>
      <c r="I46" s="2">
        <v>1370</v>
      </c>
      <c r="J46" s="2">
        <v>1160</v>
      </c>
      <c r="K46" s="3"/>
      <c r="L46" s="2">
        <v>1750</v>
      </c>
      <c r="M46" s="2">
        <v>1620</v>
      </c>
      <c r="N46" s="2">
        <v>1450</v>
      </c>
      <c r="O46" s="2">
        <v>1</v>
      </c>
      <c r="P46" s="2">
        <v>1</v>
      </c>
      <c r="Q46" s="2" t="s">
        <v>1093</v>
      </c>
      <c r="R46" s="2">
        <v>0</v>
      </c>
      <c r="S46" s="2">
        <v>2</v>
      </c>
      <c r="T46" s="2">
        <v>0</v>
      </c>
      <c r="U46" s="2">
        <v>0</v>
      </c>
      <c r="V46" s="2">
        <v>460</v>
      </c>
      <c r="W46" s="2">
        <v>0</v>
      </c>
      <c r="X46" s="2">
        <v>0</v>
      </c>
      <c r="Y46" s="2">
        <v>460</v>
      </c>
      <c r="Z46" s="2">
        <v>0</v>
      </c>
      <c r="AA46" s="2">
        <v>0</v>
      </c>
    </row>
    <row r="47" spans="1:27">
      <c r="A47" s="1">
        <v>45</v>
      </c>
      <c r="B47" s="2">
        <v>0</v>
      </c>
      <c r="C47" s="2">
        <v>201</v>
      </c>
      <c r="D47" s="2" t="s">
        <v>1134</v>
      </c>
      <c r="E47" s="2" t="s">
        <v>75</v>
      </c>
      <c r="F47" s="2" t="str">
        <f>VLOOKUP(E47,Sheet2!E:G,3,0)</f>
        <v>床边简易肺功能测定（肺通气功能测定）</v>
      </c>
      <c r="G47" s="3"/>
      <c r="H47" s="2">
        <v>46</v>
      </c>
      <c r="I47" s="2">
        <v>40</v>
      </c>
      <c r="J47" s="2">
        <v>34</v>
      </c>
      <c r="K47" s="3"/>
      <c r="L47" s="2">
        <v>40</v>
      </c>
      <c r="M47" s="2">
        <v>36</v>
      </c>
      <c r="N47" s="2">
        <v>34</v>
      </c>
      <c r="O47" s="2">
        <v>1</v>
      </c>
      <c r="P47" s="2">
        <v>1</v>
      </c>
      <c r="Q47" s="2" t="s">
        <v>1093</v>
      </c>
      <c r="R47" s="2">
        <v>0</v>
      </c>
      <c r="S47" s="2">
        <v>0</v>
      </c>
      <c r="T47" s="2">
        <v>2</v>
      </c>
      <c r="U47" s="2">
        <v>29</v>
      </c>
      <c r="V47" s="2">
        <v>0</v>
      </c>
      <c r="W47" s="2">
        <v>-8</v>
      </c>
      <c r="X47" s="2">
        <v>0</v>
      </c>
      <c r="Y47" s="2">
        <v>0</v>
      </c>
      <c r="Z47" s="2">
        <v>-14</v>
      </c>
      <c r="AA47" s="2">
        <v>0</v>
      </c>
    </row>
    <row r="48" spans="1:27">
      <c r="A48" s="1">
        <v>46</v>
      </c>
      <c r="B48" s="2">
        <v>0</v>
      </c>
      <c r="C48" s="2">
        <v>201</v>
      </c>
      <c r="D48" s="2" t="s">
        <v>1134</v>
      </c>
      <c r="E48" s="2" t="s">
        <v>469</v>
      </c>
      <c r="F48" s="2" t="str">
        <f>VLOOKUP(E48,Sheet2!E:G,3,0)</f>
        <v>经胸腔镜肺楔形切除术</v>
      </c>
      <c r="G48" s="3"/>
      <c r="H48" s="2">
        <v>2810</v>
      </c>
      <c r="I48" s="2">
        <v>2565</v>
      </c>
      <c r="J48" s="2">
        <v>2080</v>
      </c>
      <c r="K48" s="3"/>
      <c r="L48" s="2">
        <v>4700</v>
      </c>
      <c r="M48" s="2">
        <v>4300</v>
      </c>
      <c r="N48" s="2">
        <v>3800</v>
      </c>
      <c r="O48" s="2">
        <v>1</v>
      </c>
      <c r="P48" s="2">
        <v>1</v>
      </c>
      <c r="Q48" s="2" t="s">
        <v>1093</v>
      </c>
      <c r="R48" s="2">
        <v>0</v>
      </c>
      <c r="S48" s="2">
        <v>293.5</v>
      </c>
      <c r="T48" s="2">
        <v>78</v>
      </c>
      <c r="U48" s="2">
        <v>0</v>
      </c>
      <c r="V48" s="2">
        <v>554715</v>
      </c>
      <c r="W48" s="2">
        <v>135330</v>
      </c>
      <c r="X48" s="2">
        <v>0</v>
      </c>
      <c r="Y48" s="2">
        <v>554715</v>
      </c>
      <c r="Z48" s="2">
        <v>135330</v>
      </c>
      <c r="AA48" s="2">
        <v>0</v>
      </c>
    </row>
    <row r="49" spans="1:27">
      <c r="A49" s="1">
        <v>47</v>
      </c>
      <c r="B49" s="2">
        <v>0</v>
      </c>
      <c r="C49" s="2">
        <v>201</v>
      </c>
      <c r="D49" s="2" t="s">
        <v>1134</v>
      </c>
      <c r="E49" s="2" t="s">
        <v>888</v>
      </c>
      <c r="F49" s="2" t="str">
        <f>VLOOKUP(E49,Sheet2!E:G,3,0)</f>
        <v>先天性膈疝修补术</v>
      </c>
      <c r="G49" s="3"/>
      <c r="H49" s="2">
        <v>1625</v>
      </c>
      <c r="I49" s="2">
        <v>1560</v>
      </c>
      <c r="J49" s="2">
        <v>1326</v>
      </c>
      <c r="K49" s="3"/>
      <c r="L49" s="2">
        <v>2650</v>
      </c>
      <c r="M49" s="2">
        <v>2350</v>
      </c>
      <c r="N49" s="2">
        <v>2000</v>
      </c>
      <c r="O49" s="2">
        <v>1</v>
      </c>
      <c r="P49" s="2">
        <v>1</v>
      </c>
      <c r="Q49" s="2" t="s">
        <v>1093</v>
      </c>
      <c r="R49" s="2">
        <v>0</v>
      </c>
      <c r="S49" s="2">
        <v>1</v>
      </c>
      <c r="T49" s="2">
        <v>0</v>
      </c>
      <c r="U49" s="2">
        <v>0</v>
      </c>
      <c r="V49" s="2">
        <v>1025</v>
      </c>
      <c r="W49" s="2">
        <v>0</v>
      </c>
      <c r="X49" s="2">
        <v>0</v>
      </c>
      <c r="Y49" s="2">
        <v>1025</v>
      </c>
      <c r="Z49" s="2">
        <v>0</v>
      </c>
      <c r="AA49" s="2">
        <v>0</v>
      </c>
    </row>
    <row r="50" spans="1:27">
      <c r="A50" s="1">
        <v>48</v>
      </c>
      <c r="B50" s="2">
        <v>0</v>
      </c>
      <c r="C50" s="2">
        <v>201</v>
      </c>
      <c r="D50" s="2" t="s">
        <v>1134</v>
      </c>
      <c r="E50" s="2" t="s">
        <v>178</v>
      </c>
      <c r="F50" s="2" t="str">
        <f>VLOOKUP(E50,Sheet2!E:G,3,0)</f>
        <v>超声支气管镜检查</v>
      </c>
      <c r="G50" s="3"/>
      <c r="H50" s="2">
        <v>585</v>
      </c>
      <c r="I50" s="2">
        <v>527</v>
      </c>
      <c r="J50" s="2">
        <v>448</v>
      </c>
      <c r="K50" s="3"/>
      <c r="L50" s="2">
        <v>585</v>
      </c>
      <c r="M50" s="2">
        <v>527</v>
      </c>
      <c r="N50" s="2">
        <v>448</v>
      </c>
      <c r="O50" s="2">
        <v>1</v>
      </c>
      <c r="P50" s="2">
        <v>1</v>
      </c>
      <c r="Q50" s="2" t="s">
        <v>1093</v>
      </c>
      <c r="R50" s="2">
        <v>0</v>
      </c>
      <c r="S50" s="2">
        <v>661</v>
      </c>
      <c r="T50" s="2">
        <v>90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</row>
    <row r="51" spans="1:27">
      <c r="A51" s="1">
        <v>49</v>
      </c>
      <c r="B51" s="2">
        <v>0</v>
      </c>
      <c r="C51" s="2">
        <v>201</v>
      </c>
      <c r="D51" s="2" t="s">
        <v>1134</v>
      </c>
      <c r="E51" s="2" t="s">
        <v>125</v>
      </c>
      <c r="F51" s="2" t="str">
        <f>VLOOKUP(E51,Sheet2!E:G,3,0)</f>
        <v>呼吸肌功能测定</v>
      </c>
      <c r="G51" s="3"/>
      <c r="H51" s="2">
        <v>69</v>
      </c>
      <c r="I51" s="2">
        <v>60</v>
      </c>
      <c r="J51" s="2">
        <v>51</v>
      </c>
      <c r="K51" s="3"/>
      <c r="L51" s="2">
        <v>60</v>
      </c>
      <c r="M51" s="2">
        <v>54</v>
      </c>
      <c r="N51" s="2">
        <v>46</v>
      </c>
      <c r="O51" s="2">
        <v>1</v>
      </c>
      <c r="P51" s="2">
        <v>1</v>
      </c>
      <c r="Q51" s="2" t="s">
        <v>1093</v>
      </c>
      <c r="R51" s="2">
        <v>0</v>
      </c>
      <c r="S51" s="2">
        <v>1678.5</v>
      </c>
      <c r="T51" s="2">
        <v>1022.9</v>
      </c>
      <c r="U51" s="2">
        <v>204</v>
      </c>
      <c r="V51" s="2">
        <v>-15106.5</v>
      </c>
      <c r="W51" s="2">
        <v>-6137.4</v>
      </c>
      <c r="X51" s="2">
        <v>-1020</v>
      </c>
      <c r="Y51" s="2">
        <v>-15106.5</v>
      </c>
      <c r="Z51" s="2">
        <v>-6101.4</v>
      </c>
      <c r="AA51" s="2">
        <v>-1020</v>
      </c>
    </row>
    <row r="52" spans="1:27">
      <c r="A52" s="1">
        <v>50</v>
      </c>
      <c r="B52" s="2">
        <v>0</v>
      </c>
      <c r="C52" s="2">
        <v>201</v>
      </c>
      <c r="D52" s="2" t="s">
        <v>1134</v>
      </c>
      <c r="E52" s="2" t="s">
        <v>466</v>
      </c>
      <c r="F52" s="2" t="str">
        <f>VLOOKUP(E52,Sheet2!E:G,3,0)</f>
        <v>肺楔形切除术</v>
      </c>
      <c r="G52" s="3"/>
      <c r="H52" s="2">
        <v>2185</v>
      </c>
      <c r="I52" s="2">
        <v>1965</v>
      </c>
      <c r="J52" s="2">
        <v>1570</v>
      </c>
      <c r="K52" s="3"/>
      <c r="L52" s="2">
        <v>4700</v>
      </c>
      <c r="M52" s="2">
        <v>4300</v>
      </c>
      <c r="N52" s="2">
        <v>3800</v>
      </c>
      <c r="O52" s="2">
        <v>1</v>
      </c>
      <c r="P52" s="2">
        <v>1</v>
      </c>
      <c r="Q52" s="2" t="s">
        <v>1093</v>
      </c>
      <c r="R52" s="2">
        <v>0</v>
      </c>
      <c r="S52" s="2">
        <v>10</v>
      </c>
      <c r="T52" s="2">
        <v>6</v>
      </c>
      <c r="U52" s="2">
        <v>0.5</v>
      </c>
      <c r="V52" s="2">
        <v>25150</v>
      </c>
      <c r="W52" s="2">
        <v>14010</v>
      </c>
      <c r="X52" s="2">
        <v>1115</v>
      </c>
      <c r="Y52" s="2">
        <v>25150</v>
      </c>
      <c r="Z52" s="2">
        <v>14010</v>
      </c>
      <c r="AA52" s="2">
        <v>1115</v>
      </c>
    </row>
    <row r="53" spans="1:27">
      <c r="A53" s="1">
        <v>51</v>
      </c>
      <c r="B53" s="2">
        <v>0</v>
      </c>
      <c r="C53" s="2">
        <v>201</v>
      </c>
      <c r="D53" s="2" t="s">
        <v>1134</v>
      </c>
      <c r="E53" s="2" t="s">
        <v>256</v>
      </c>
      <c r="F53" s="2" t="str">
        <f>VLOOKUP(E53,Sheet2!E:G,3,0)</f>
        <v>经纤支镜治疗</v>
      </c>
      <c r="G53" s="3"/>
      <c r="H53" s="2">
        <v>149.5</v>
      </c>
      <c r="I53" s="2">
        <v>130</v>
      </c>
      <c r="J53" s="2">
        <v>110.5</v>
      </c>
      <c r="K53" s="3"/>
      <c r="L53" s="2">
        <v>165</v>
      </c>
      <c r="M53" s="2">
        <v>150</v>
      </c>
      <c r="N53" s="2">
        <v>130</v>
      </c>
      <c r="O53" s="2">
        <v>1</v>
      </c>
      <c r="P53" s="2">
        <v>1</v>
      </c>
      <c r="Q53" s="2" t="s">
        <v>1093</v>
      </c>
      <c r="R53" s="2">
        <v>0</v>
      </c>
      <c r="S53" s="2">
        <v>3037.6</v>
      </c>
      <c r="T53" s="2">
        <v>7417.75</v>
      </c>
      <c r="U53" s="2">
        <v>136.6</v>
      </c>
      <c r="V53" s="2">
        <v>47082.8</v>
      </c>
      <c r="W53" s="2">
        <v>148355</v>
      </c>
      <c r="X53" s="2">
        <v>2663.7</v>
      </c>
      <c r="Y53" s="2">
        <v>47082.8</v>
      </c>
      <c r="Z53" s="2">
        <v>148355</v>
      </c>
      <c r="AA53" s="2">
        <v>2663.7</v>
      </c>
    </row>
    <row r="54" spans="1:27">
      <c r="A54" s="1">
        <v>52</v>
      </c>
      <c r="B54" s="2">
        <v>0</v>
      </c>
      <c r="C54" s="2">
        <v>201</v>
      </c>
      <c r="D54" s="2" t="s">
        <v>1134</v>
      </c>
      <c r="E54" s="2" t="s">
        <v>831</v>
      </c>
      <c r="F54" s="2" t="str">
        <f>VLOOKUP(E54,Sheet2!E:G,3,0)</f>
        <v>经胸腔镜纵隔肿物切除术</v>
      </c>
      <c r="G54" s="3"/>
      <c r="H54" s="2">
        <v>3325</v>
      </c>
      <c r="I54" s="2">
        <v>3030</v>
      </c>
      <c r="J54" s="2">
        <v>2580</v>
      </c>
      <c r="K54" s="3"/>
      <c r="L54" s="2">
        <v>3600</v>
      </c>
      <c r="M54" s="2">
        <v>3250</v>
      </c>
      <c r="N54" s="2">
        <v>2760</v>
      </c>
      <c r="O54" s="2">
        <v>1</v>
      </c>
      <c r="P54" s="2">
        <v>1</v>
      </c>
      <c r="Q54" s="2" t="s">
        <v>1093</v>
      </c>
      <c r="R54" s="2">
        <v>0</v>
      </c>
      <c r="S54" s="2">
        <v>50.5</v>
      </c>
      <c r="T54" s="2">
        <v>34</v>
      </c>
      <c r="U54" s="2">
        <v>1</v>
      </c>
      <c r="V54" s="2">
        <v>13887.5</v>
      </c>
      <c r="W54" s="2">
        <v>7480</v>
      </c>
      <c r="X54" s="2">
        <v>180</v>
      </c>
      <c r="Y54" s="2">
        <v>13887.5</v>
      </c>
      <c r="Z54" s="2">
        <v>7480</v>
      </c>
      <c r="AA54" s="2">
        <v>180</v>
      </c>
    </row>
    <row r="55" spans="1:27">
      <c r="A55" s="1">
        <v>53</v>
      </c>
      <c r="B55" s="2">
        <v>0</v>
      </c>
      <c r="C55" s="2">
        <v>201</v>
      </c>
      <c r="D55" s="2" t="s">
        <v>1134</v>
      </c>
      <c r="E55" s="2" t="s">
        <v>524</v>
      </c>
      <c r="F55" s="2" t="str">
        <f>VLOOKUP(E55,Sheet2!E:G,3,0)</f>
        <v>经胸腔镜肺叶切除术</v>
      </c>
      <c r="G55" s="3"/>
      <c r="H55" s="2">
        <v>3735</v>
      </c>
      <c r="I55" s="2">
        <v>3400</v>
      </c>
      <c r="J55" s="2">
        <v>2890</v>
      </c>
      <c r="K55" s="3"/>
      <c r="L55" s="2">
        <v>15128</v>
      </c>
      <c r="M55" s="2">
        <v>18023.5</v>
      </c>
      <c r="N55" s="2">
        <v>14400</v>
      </c>
      <c r="O55" s="2">
        <v>1</v>
      </c>
      <c r="P55" s="2">
        <v>1</v>
      </c>
      <c r="Q55" s="2" t="s">
        <v>1093</v>
      </c>
      <c r="R55" s="2">
        <v>0</v>
      </c>
      <c r="S55" s="2">
        <v>36</v>
      </c>
      <c r="T55" s="2">
        <v>9</v>
      </c>
      <c r="U55" s="2">
        <v>0</v>
      </c>
      <c r="V55" s="2">
        <v>410148</v>
      </c>
      <c r="W55" s="2">
        <v>131611.5</v>
      </c>
      <c r="X55" s="2">
        <v>0</v>
      </c>
      <c r="Y55" s="2">
        <v>431028</v>
      </c>
      <c r="Z55" s="2">
        <v>136291.5</v>
      </c>
      <c r="AA55" s="2">
        <v>0</v>
      </c>
    </row>
    <row r="56" spans="1:27">
      <c r="A56" s="1">
        <v>54</v>
      </c>
      <c r="B56" s="2">
        <v>0</v>
      </c>
      <c r="C56" s="2">
        <v>201</v>
      </c>
      <c r="D56" s="2" t="s">
        <v>1134</v>
      </c>
      <c r="E56" s="2" t="s">
        <v>781</v>
      </c>
      <c r="F56" s="2" t="str">
        <f>VLOOKUP(E56,Sheet2!E:G,3,0)</f>
        <v>胸膜固定术</v>
      </c>
      <c r="G56" s="3"/>
      <c r="H56" s="2">
        <v>750</v>
      </c>
      <c r="I56" s="2">
        <v>720</v>
      </c>
      <c r="J56" s="2">
        <v>612</v>
      </c>
      <c r="K56" s="3"/>
      <c r="L56" s="2">
        <v>1800</v>
      </c>
      <c r="M56" s="2">
        <v>1620</v>
      </c>
      <c r="N56" s="2">
        <v>1380</v>
      </c>
      <c r="O56" s="2">
        <v>1</v>
      </c>
      <c r="P56" s="2">
        <v>1</v>
      </c>
      <c r="Q56" s="2" t="s">
        <v>1093</v>
      </c>
      <c r="R56" s="2">
        <v>0</v>
      </c>
      <c r="S56" s="2">
        <v>14.5</v>
      </c>
      <c r="T56" s="2">
        <v>3.5</v>
      </c>
      <c r="U56" s="2">
        <v>0</v>
      </c>
      <c r="V56" s="2">
        <v>15225</v>
      </c>
      <c r="W56" s="2">
        <v>3150</v>
      </c>
      <c r="X56" s="2">
        <v>0</v>
      </c>
      <c r="Y56" s="2">
        <v>15225</v>
      </c>
      <c r="Z56" s="2">
        <v>3150</v>
      </c>
      <c r="AA56" s="2">
        <v>0</v>
      </c>
    </row>
    <row r="57" spans="1:27">
      <c r="A57" s="1">
        <v>55</v>
      </c>
      <c r="B57" s="2">
        <v>0</v>
      </c>
      <c r="C57" s="2">
        <v>201</v>
      </c>
      <c r="D57" s="2" t="s">
        <v>1134</v>
      </c>
      <c r="E57" s="2" t="s">
        <v>677</v>
      </c>
      <c r="F57" s="2" t="str">
        <f>VLOOKUP(E57,Sheet2!E:G,3,0)</f>
        <v>经胸腔镜胸壁外伤扩创术</v>
      </c>
      <c r="G57" s="3"/>
      <c r="H57" s="2">
        <v>1250</v>
      </c>
      <c r="I57" s="2">
        <v>1200</v>
      </c>
      <c r="J57" s="2">
        <v>1020</v>
      </c>
      <c r="K57" s="3"/>
      <c r="L57" s="2">
        <v>1150</v>
      </c>
      <c r="M57" s="2">
        <v>1030</v>
      </c>
      <c r="N57" s="2">
        <v>880</v>
      </c>
      <c r="O57" s="2">
        <v>1</v>
      </c>
      <c r="P57" s="2">
        <v>1</v>
      </c>
      <c r="Q57" s="2" t="s">
        <v>1093</v>
      </c>
      <c r="R57" s="2">
        <v>0</v>
      </c>
      <c r="S57" s="2">
        <v>7.9</v>
      </c>
      <c r="T57" s="2">
        <v>4</v>
      </c>
      <c r="U57" s="2">
        <v>0</v>
      </c>
      <c r="V57" s="2">
        <v>-790</v>
      </c>
      <c r="W57" s="2">
        <v>-680</v>
      </c>
      <c r="X57" s="2">
        <v>0</v>
      </c>
      <c r="Y57" s="2">
        <v>-790</v>
      </c>
      <c r="Z57" s="2">
        <v>-680</v>
      </c>
      <c r="AA57" s="2">
        <v>0</v>
      </c>
    </row>
    <row r="58" spans="1:27">
      <c r="A58" s="1">
        <v>56</v>
      </c>
      <c r="B58" s="2">
        <v>0</v>
      </c>
      <c r="C58" s="2">
        <v>201</v>
      </c>
      <c r="D58" s="2" t="s">
        <v>1134</v>
      </c>
      <c r="E58" s="2" t="s">
        <v>43</v>
      </c>
      <c r="F58" s="2" t="str">
        <f>VLOOKUP(E58,Sheet2!E:G,3,0)</f>
        <v>残气容积测定</v>
      </c>
      <c r="G58" s="3"/>
      <c r="H58" s="2">
        <v>57.5</v>
      </c>
      <c r="I58" s="2">
        <v>50</v>
      </c>
      <c r="J58" s="2">
        <v>42.5</v>
      </c>
      <c r="K58" s="3"/>
      <c r="L58" s="2">
        <v>50</v>
      </c>
      <c r="M58" s="2">
        <v>45</v>
      </c>
      <c r="N58" s="2">
        <v>39</v>
      </c>
      <c r="O58" s="2">
        <v>1</v>
      </c>
      <c r="P58" s="2">
        <v>1</v>
      </c>
      <c r="Q58" s="2" t="s">
        <v>1093</v>
      </c>
      <c r="R58" s="2">
        <v>0</v>
      </c>
      <c r="S58" s="2">
        <v>3017</v>
      </c>
      <c r="T58" s="2">
        <v>3253</v>
      </c>
      <c r="U58" s="2">
        <v>214</v>
      </c>
      <c r="V58" s="2">
        <v>-22627.5</v>
      </c>
      <c r="W58" s="2">
        <v>-16265</v>
      </c>
      <c r="X58" s="2">
        <v>-749</v>
      </c>
      <c r="Y58" s="2">
        <v>-22627.5</v>
      </c>
      <c r="Z58" s="2">
        <v>-16265</v>
      </c>
      <c r="AA58" s="2">
        <v>-749</v>
      </c>
    </row>
    <row r="59" spans="1:27">
      <c r="A59" s="1">
        <v>57</v>
      </c>
      <c r="B59" s="2">
        <v>0</v>
      </c>
      <c r="C59" s="2">
        <v>201</v>
      </c>
      <c r="D59" s="2" t="s">
        <v>1134</v>
      </c>
      <c r="E59" s="2" t="s">
        <v>279</v>
      </c>
      <c r="F59" s="2" t="str">
        <f>VLOOKUP(E59,Sheet2!E:G,3,0)</f>
        <v>经纤支镜特殊治疗（氩离子凝固法）</v>
      </c>
      <c r="G59" s="3"/>
      <c r="H59" s="2">
        <v>488</v>
      </c>
      <c r="I59" s="2">
        <v>435</v>
      </c>
      <c r="J59" s="2">
        <v>375</v>
      </c>
      <c r="K59" s="3"/>
      <c r="L59" s="2">
        <v>435</v>
      </c>
      <c r="M59" s="2">
        <v>410</v>
      </c>
      <c r="N59" s="2">
        <v>350</v>
      </c>
      <c r="O59" s="2">
        <v>1</v>
      </c>
      <c r="P59" s="2">
        <v>1</v>
      </c>
      <c r="Q59" s="2" t="s">
        <v>1093</v>
      </c>
      <c r="R59" s="2">
        <v>0</v>
      </c>
      <c r="S59" s="2">
        <v>110</v>
      </c>
      <c r="T59" s="2">
        <v>72</v>
      </c>
      <c r="U59" s="2">
        <v>0</v>
      </c>
      <c r="V59" s="2">
        <v>-5830</v>
      </c>
      <c r="W59" s="2">
        <v>-1800</v>
      </c>
      <c r="X59" s="2">
        <v>0</v>
      </c>
      <c r="Y59" s="2">
        <v>-5830</v>
      </c>
      <c r="Z59" s="2">
        <v>-1800</v>
      </c>
      <c r="AA59" s="2">
        <v>0</v>
      </c>
    </row>
    <row r="60" spans="1:27">
      <c r="A60" s="1">
        <v>58</v>
      </c>
      <c r="B60" s="2">
        <v>0</v>
      </c>
      <c r="C60" s="2">
        <v>201</v>
      </c>
      <c r="D60" s="2" t="s">
        <v>1134</v>
      </c>
      <c r="E60" s="2" t="s">
        <v>628</v>
      </c>
      <c r="F60" s="2" t="str">
        <f>VLOOKUP(E60,Sheet2!E:G,3,0)</f>
        <v>胸腺切除术</v>
      </c>
      <c r="G60" s="3"/>
      <c r="H60" s="2">
        <v>3380</v>
      </c>
      <c r="I60" s="2">
        <v>3040</v>
      </c>
      <c r="J60" s="2">
        <v>2580</v>
      </c>
      <c r="K60" s="3"/>
      <c r="L60" s="2">
        <v>4000</v>
      </c>
      <c r="M60" s="2">
        <v>3600</v>
      </c>
      <c r="N60" s="2">
        <v>3100</v>
      </c>
      <c r="O60" s="2">
        <v>1</v>
      </c>
      <c r="P60" s="2">
        <v>1</v>
      </c>
      <c r="Q60" s="2" t="s">
        <v>1093</v>
      </c>
      <c r="R60" s="2">
        <v>0</v>
      </c>
      <c r="S60" s="2">
        <v>3</v>
      </c>
      <c r="T60" s="2">
        <v>1.5</v>
      </c>
      <c r="U60" s="2">
        <v>0</v>
      </c>
      <c r="V60" s="2">
        <v>1860</v>
      </c>
      <c r="W60" s="2">
        <v>840</v>
      </c>
      <c r="X60" s="2">
        <v>0</v>
      </c>
      <c r="Y60" s="2">
        <v>1860</v>
      </c>
      <c r="Z60" s="2">
        <v>840</v>
      </c>
      <c r="AA60" s="2">
        <v>0</v>
      </c>
    </row>
    <row r="61" spans="1:27">
      <c r="A61" s="1">
        <v>59</v>
      </c>
      <c r="B61" s="2">
        <v>0</v>
      </c>
      <c r="C61" s="2">
        <v>201</v>
      </c>
      <c r="D61" s="2" t="s">
        <v>1134</v>
      </c>
      <c r="E61" s="2" t="s">
        <v>266</v>
      </c>
      <c r="F61" s="2" t="str">
        <f>VLOOKUP(E61,Sheet2!E:G,3,0)</f>
        <v>经纤支镜特殊治疗</v>
      </c>
      <c r="G61" s="3"/>
      <c r="H61" s="2">
        <v>325</v>
      </c>
      <c r="I61" s="2">
        <v>290</v>
      </c>
      <c r="J61" s="2">
        <v>250</v>
      </c>
      <c r="K61" s="3"/>
      <c r="L61" s="2">
        <v>435</v>
      </c>
      <c r="M61" s="2">
        <v>410</v>
      </c>
      <c r="N61" s="2">
        <v>350</v>
      </c>
      <c r="O61" s="2">
        <v>1</v>
      </c>
      <c r="P61" s="2">
        <v>1</v>
      </c>
      <c r="Q61" s="2" t="s">
        <v>1093</v>
      </c>
      <c r="R61" s="2">
        <v>0</v>
      </c>
      <c r="S61" s="2">
        <v>35</v>
      </c>
      <c r="T61" s="2">
        <v>1</v>
      </c>
      <c r="U61" s="2">
        <v>0</v>
      </c>
      <c r="V61" s="2">
        <v>3850</v>
      </c>
      <c r="W61" s="2">
        <v>120</v>
      </c>
      <c r="X61" s="2">
        <v>0</v>
      </c>
      <c r="Y61" s="2">
        <v>3850</v>
      </c>
      <c r="Z61" s="2">
        <v>120</v>
      </c>
      <c r="AA61" s="2">
        <v>0</v>
      </c>
    </row>
    <row r="62" spans="1:27">
      <c r="A62" s="1">
        <v>60</v>
      </c>
      <c r="B62" s="2">
        <v>0</v>
      </c>
      <c r="C62" s="2">
        <v>201</v>
      </c>
      <c r="D62" s="2" t="s">
        <v>1134</v>
      </c>
      <c r="E62" s="2" t="s">
        <v>96</v>
      </c>
      <c r="F62" s="2" t="str">
        <f>VLOOKUP(E62,Sheet2!E:G,3,0)</f>
        <v>气道阻力测定</v>
      </c>
      <c r="G62" s="3"/>
      <c r="H62" s="2">
        <v>57.5</v>
      </c>
      <c r="I62" s="2">
        <v>50</v>
      </c>
      <c r="J62" s="2">
        <v>42.5</v>
      </c>
      <c r="K62" s="3"/>
      <c r="L62" s="2">
        <v>100</v>
      </c>
      <c r="M62" s="2">
        <v>90</v>
      </c>
      <c r="N62" s="2">
        <v>77</v>
      </c>
      <c r="O62" s="2">
        <v>1</v>
      </c>
      <c r="P62" s="2">
        <v>1</v>
      </c>
      <c r="Q62" s="2" t="s">
        <v>1093</v>
      </c>
      <c r="R62" s="2">
        <v>0</v>
      </c>
      <c r="S62" s="2">
        <v>2459</v>
      </c>
      <c r="T62" s="2">
        <v>728</v>
      </c>
      <c r="U62" s="2">
        <v>11</v>
      </c>
      <c r="V62" s="2">
        <v>104507.5</v>
      </c>
      <c r="W62" s="2">
        <v>29120</v>
      </c>
      <c r="X62" s="2">
        <v>379.5</v>
      </c>
      <c r="Y62" s="2">
        <v>104507.5</v>
      </c>
      <c r="Z62" s="2">
        <v>29120</v>
      </c>
      <c r="AA62" s="2">
        <v>379.5</v>
      </c>
    </row>
    <row r="63" spans="1:27">
      <c r="A63" s="1">
        <v>61</v>
      </c>
      <c r="B63" s="2">
        <v>0</v>
      </c>
      <c r="C63" s="2">
        <v>201</v>
      </c>
      <c r="D63" s="2" t="s">
        <v>1134</v>
      </c>
      <c r="E63" s="2" t="s">
        <v>83</v>
      </c>
      <c r="F63" s="2" t="str">
        <f>VLOOKUP(E63,Sheet2!E:G,3,0)</f>
        <v>运动激发试验</v>
      </c>
      <c r="G63" s="3"/>
      <c r="H63" s="2">
        <v>115</v>
      </c>
      <c r="I63" s="2">
        <v>100</v>
      </c>
      <c r="J63" s="2">
        <v>85</v>
      </c>
      <c r="K63" s="3"/>
      <c r="L63" s="2">
        <v>100</v>
      </c>
      <c r="M63" s="2">
        <v>90</v>
      </c>
      <c r="N63" s="2">
        <v>77</v>
      </c>
      <c r="O63" s="2">
        <v>1</v>
      </c>
      <c r="P63" s="2">
        <v>1</v>
      </c>
      <c r="Q63" s="2" t="s">
        <v>1093</v>
      </c>
      <c r="R63" s="2">
        <v>0</v>
      </c>
      <c r="S63" s="2">
        <v>0</v>
      </c>
      <c r="T63" s="2">
        <v>0</v>
      </c>
      <c r="U63" s="2">
        <v>1</v>
      </c>
      <c r="V63" s="2">
        <v>0</v>
      </c>
      <c r="W63" s="2">
        <v>0</v>
      </c>
      <c r="X63" s="2">
        <v>-8</v>
      </c>
      <c r="Y63" s="2">
        <v>0</v>
      </c>
      <c r="Z63" s="2">
        <v>0</v>
      </c>
      <c r="AA63" s="2">
        <v>-8</v>
      </c>
    </row>
    <row r="64" spans="1:27">
      <c r="A64" s="1">
        <v>62</v>
      </c>
      <c r="B64" s="2">
        <v>0</v>
      </c>
      <c r="C64" s="2">
        <v>201</v>
      </c>
      <c r="D64" s="2" t="s">
        <v>1134</v>
      </c>
      <c r="E64" s="2" t="s">
        <v>160</v>
      </c>
      <c r="F64" s="2" t="str">
        <f>VLOOKUP(E64,Sheet2!E:G,3,0)</f>
        <v>纤维支气管镜检查</v>
      </c>
      <c r="G64" s="3"/>
      <c r="H64" s="2">
        <v>138</v>
      </c>
      <c r="I64" s="2">
        <v>120</v>
      </c>
      <c r="J64" s="2">
        <v>102</v>
      </c>
      <c r="K64" s="3"/>
      <c r="L64" s="2">
        <v>240</v>
      </c>
      <c r="M64" s="2">
        <v>216</v>
      </c>
      <c r="N64" s="2">
        <v>190</v>
      </c>
      <c r="O64" s="2">
        <v>1</v>
      </c>
      <c r="P64" s="2">
        <v>1</v>
      </c>
      <c r="Q64" s="2" t="s">
        <v>1093</v>
      </c>
      <c r="R64" s="2">
        <v>0</v>
      </c>
      <c r="S64" s="2">
        <v>8131.035</v>
      </c>
      <c r="T64" s="2">
        <v>2634.15</v>
      </c>
      <c r="U64" s="2">
        <v>34</v>
      </c>
      <c r="V64" s="2">
        <v>829365.57</v>
      </c>
      <c r="W64" s="2">
        <v>252878.4</v>
      </c>
      <c r="X64" s="2">
        <v>2992</v>
      </c>
      <c r="Y64" s="2">
        <v>829365.57</v>
      </c>
      <c r="Z64" s="2">
        <v>252617.4</v>
      </c>
      <c r="AA64" s="2">
        <v>2992</v>
      </c>
    </row>
    <row r="65" spans="1:27">
      <c r="A65" s="1">
        <v>63</v>
      </c>
      <c r="B65" s="2">
        <v>0</v>
      </c>
      <c r="C65" s="2">
        <v>201</v>
      </c>
      <c r="D65" s="2" t="s">
        <v>1134</v>
      </c>
      <c r="E65" s="2" t="s">
        <v>356</v>
      </c>
      <c r="F65" s="2" t="str">
        <f>VLOOKUP(E65,Sheet2!E:G,3,0)</f>
        <v>气管成形术</v>
      </c>
      <c r="G65" s="3"/>
      <c r="H65" s="2">
        <v>3930</v>
      </c>
      <c r="I65" s="2">
        <v>3540</v>
      </c>
      <c r="J65" s="2">
        <v>3010</v>
      </c>
      <c r="K65" s="3"/>
      <c r="L65" s="2">
        <v>4750</v>
      </c>
      <c r="M65" s="2">
        <v>4300</v>
      </c>
      <c r="N65" s="2">
        <v>3650</v>
      </c>
      <c r="O65" s="2">
        <v>1</v>
      </c>
      <c r="P65" s="2">
        <v>1</v>
      </c>
      <c r="Q65" s="2" t="s">
        <v>1093</v>
      </c>
      <c r="R65" s="2">
        <v>0</v>
      </c>
      <c r="S65" s="2">
        <v>11.5</v>
      </c>
      <c r="T65" s="2">
        <v>0.5</v>
      </c>
      <c r="U65" s="2">
        <v>0</v>
      </c>
      <c r="V65" s="2">
        <v>9430</v>
      </c>
      <c r="W65" s="2">
        <v>380</v>
      </c>
      <c r="X65" s="2">
        <v>0</v>
      </c>
      <c r="Y65" s="2">
        <v>9430</v>
      </c>
      <c r="Z65" s="2">
        <v>380</v>
      </c>
      <c r="AA65" s="2">
        <v>0</v>
      </c>
    </row>
    <row r="66" spans="1:27">
      <c r="A66" s="1">
        <v>64</v>
      </c>
      <c r="B66" s="2">
        <v>0</v>
      </c>
      <c r="C66" s="2">
        <v>201</v>
      </c>
      <c r="D66" s="2" t="s">
        <v>1134</v>
      </c>
      <c r="E66" s="2" t="s">
        <v>433</v>
      </c>
      <c r="F66" s="2" t="str">
        <f>VLOOKUP(E66,Sheet2!E:G,3,0)</f>
        <v>经胸腔镜开胸止血术</v>
      </c>
      <c r="G66" s="3"/>
      <c r="H66" s="2">
        <v>2250</v>
      </c>
      <c r="I66" s="2">
        <v>2160</v>
      </c>
      <c r="J66" s="2">
        <v>1836</v>
      </c>
      <c r="K66" s="3"/>
      <c r="L66" s="2">
        <v>1750</v>
      </c>
      <c r="M66" s="2">
        <v>1620</v>
      </c>
      <c r="N66" s="2">
        <v>1450</v>
      </c>
      <c r="O66" s="2">
        <v>1</v>
      </c>
      <c r="P66" s="2">
        <v>1</v>
      </c>
      <c r="Q66" s="2" t="s">
        <v>1093</v>
      </c>
      <c r="R66" s="2">
        <v>0</v>
      </c>
      <c r="S66" s="2">
        <v>8.8</v>
      </c>
      <c r="T66" s="2">
        <v>14.4</v>
      </c>
      <c r="U66" s="2">
        <v>1</v>
      </c>
      <c r="V66" s="2">
        <v>-4400</v>
      </c>
      <c r="W66" s="2">
        <v>-7776</v>
      </c>
      <c r="X66" s="2">
        <v>-386</v>
      </c>
      <c r="Y66" s="2">
        <v>-4400</v>
      </c>
      <c r="Z66" s="2">
        <v>-7776</v>
      </c>
      <c r="AA66" s="2">
        <v>-386</v>
      </c>
    </row>
    <row r="67" spans="1:27">
      <c r="A67" s="1">
        <v>65</v>
      </c>
      <c r="B67" s="2">
        <v>0</v>
      </c>
      <c r="C67" s="2">
        <v>201</v>
      </c>
      <c r="D67" s="2" t="s">
        <v>1134</v>
      </c>
      <c r="E67" s="2" t="s">
        <v>270</v>
      </c>
      <c r="F67" s="2" t="str">
        <f>VLOOKUP(E67,Sheet2!E:G,3,0)</f>
        <v>经纤支镜特殊治疗（激光法）</v>
      </c>
      <c r="G67" s="3"/>
      <c r="H67" s="2">
        <v>488</v>
      </c>
      <c r="I67" s="2">
        <v>435</v>
      </c>
      <c r="J67" s="2">
        <v>375</v>
      </c>
      <c r="K67" s="3"/>
      <c r="L67" s="2">
        <v>435</v>
      </c>
      <c r="M67" s="2">
        <v>410</v>
      </c>
      <c r="N67" s="2">
        <v>350</v>
      </c>
      <c r="O67" s="2">
        <v>1</v>
      </c>
      <c r="P67" s="2">
        <v>1</v>
      </c>
      <c r="Q67" s="2" t="s">
        <v>1093</v>
      </c>
      <c r="R67" s="2">
        <v>0</v>
      </c>
      <c r="S67" s="2">
        <v>14</v>
      </c>
      <c r="T67" s="2">
        <v>0</v>
      </c>
      <c r="U67" s="2">
        <v>0</v>
      </c>
      <c r="V67" s="2">
        <v>-742</v>
      </c>
      <c r="W67" s="2">
        <v>0</v>
      </c>
      <c r="X67" s="2">
        <v>0</v>
      </c>
      <c r="Y67" s="2">
        <v>-742</v>
      </c>
      <c r="Z67" s="2">
        <v>0</v>
      </c>
      <c r="AA67" s="2">
        <v>0</v>
      </c>
    </row>
    <row r="68" spans="1:27">
      <c r="A68" s="1">
        <v>66</v>
      </c>
      <c r="B68" s="2">
        <v>0</v>
      </c>
      <c r="C68" s="2">
        <v>201</v>
      </c>
      <c r="D68" s="2" t="s">
        <v>1134</v>
      </c>
      <c r="E68" s="2" t="s">
        <v>835</v>
      </c>
      <c r="F68" s="2" t="str">
        <f>VLOOKUP(E68,Sheet2!E:G,3,0)</f>
        <v>小儿纵隔肿物切除术</v>
      </c>
      <c r="G68" s="3"/>
      <c r="H68" s="2">
        <v>3510</v>
      </c>
      <c r="I68" s="2">
        <v>3160</v>
      </c>
      <c r="J68" s="2">
        <v>2685</v>
      </c>
      <c r="K68" s="3"/>
      <c r="L68" s="2">
        <v>4680</v>
      </c>
      <c r="M68" s="2">
        <v>4225</v>
      </c>
      <c r="N68" s="2">
        <v>3590</v>
      </c>
      <c r="O68" s="2">
        <v>1</v>
      </c>
      <c r="P68" s="2">
        <v>1</v>
      </c>
      <c r="Q68" s="2" t="s">
        <v>1093</v>
      </c>
      <c r="R68" s="2">
        <v>0</v>
      </c>
      <c r="S68" s="2">
        <v>0.5</v>
      </c>
      <c r="T68" s="2">
        <v>0</v>
      </c>
      <c r="U68" s="2">
        <v>0</v>
      </c>
      <c r="V68" s="2">
        <v>585</v>
      </c>
      <c r="W68" s="2">
        <v>0</v>
      </c>
      <c r="X68" s="2">
        <v>0</v>
      </c>
      <c r="Y68" s="2">
        <v>585</v>
      </c>
      <c r="Z68" s="2">
        <v>0</v>
      </c>
      <c r="AA68" s="2">
        <v>0</v>
      </c>
    </row>
    <row r="69" spans="1:27">
      <c r="A69" s="1">
        <v>67</v>
      </c>
      <c r="B69" s="2">
        <v>0</v>
      </c>
      <c r="C69" s="2">
        <v>201</v>
      </c>
      <c r="D69" s="2" t="s">
        <v>1134</v>
      </c>
      <c r="E69" s="2" t="s">
        <v>475</v>
      </c>
      <c r="F69" s="2" t="str">
        <f>VLOOKUP(E69,Sheet2!E:G,3,0)</f>
        <v>经胸腔镜肺减容手术</v>
      </c>
      <c r="G69" s="3"/>
      <c r="H69" s="2">
        <v>4005</v>
      </c>
      <c r="I69" s="2">
        <v>3640</v>
      </c>
      <c r="J69" s="2">
        <v>3090</v>
      </c>
      <c r="K69" s="3"/>
      <c r="L69" s="2">
        <v>4700</v>
      </c>
      <c r="M69" s="2">
        <v>4300</v>
      </c>
      <c r="N69" s="2">
        <v>3800</v>
      </c>
      <c r="O69" s="2">
        <v>1</v>
      </c>
      <c r="P69" s="2">
        <v>1</v>
      </c>
      <c r="Q69" s="2" t="s">
        <v>1093</v>
      </c>
      <c r="R69" s="2">
        <v>0</v>
      </c>
      <c r="S69" s="2">
        <v>2</v>
      </c>
      <c r="T69" s="2">
        <v>0</v>
      </c>
      <c r="U69" s="2">
        <v>0</v>
      </c>
      <c r="V69" s="2">
        <v>1390</v>
      </c>
      <c r="W69" s="2">
        <v>0</v>
      </c>
      <c r="X69" s="2">
        <v>0</v>
      </c>
      <c r="Y69" s="2">
        <v>1390</v>
      </c>
      <c r="Z69" s="2">
        <v>0</v>
      </c>
      <c r="AA69" s="2">
        <v>0</v>
      </c>
    </row>
    <row r="70" spans="1:27">
      <c r="A70" s="1">
        <v>68</v>
      </c>
      <c r="B70" s="2">
        <v>0</v>
      </c>
      <c r="C70" s="2">
        <v>201</v>
      </c>
      <c r="D70" s="2" t="s">
        <v>1134</v>
      </c>
      <c r="E70" s="2" t="s">
        <v>99</v>
      </c>
      <c r="F70" s="2" t="str">
        <f>VLOOKUP(E70,Sheet2!E:G,3,0)</f>
        <v>强迫振荡肺功能检查</v>
      </c>
      <c r="G70" s="3"/>
      <c r="H70" s="2">
        <v>115</v>
      </c>
      <c r="I70" s="2">
        <v>100</v>
      </c>
      <c r="J70" s="2">
        <v>85</v>
      </c>
      <c r="K70" s="3"/>
      <c r="L70" s="2">
        <v>100</v>
      </c>
      <c r="M70" s="2">
        <v>90</v>
      </c>
      <c r="N70" s="2">
        <v>77</v>
      </c>
      <c r="O70" s="2">
        <v>1</v>
      </c>
      <c r="P70" s="2">
        <v>1</v>
      </c>
      <c r="Q70" s="2" t="s">
        <v>1093</v>
      </c>
      <c r="R70" s="2">
        <v>0</v>
      </c>
      <c r="S70" s="2">
        <v>221</v>
      </c>
      <c r="T70" s="2">
        <v>2366</v>
      </c>
      <c r="U70" s="2">
        <v>13</v>
      </c>
      <c r="V70" s="2">
        <v>-3315</v>
      </c>
      <c r="W70" s="2">
        <v>-23660</v>
      </c>
      <c r="X70" s="2">
        <v>-104</v>
      </c>
      <c r="Y70" s="2">
        <v>-3315</v>
      </c>
      <c r="Z70" s="2">
        <v>-23660</v>
      </c>
      <c r="AA70" s="2">
        <v>-104</v>
      </c>
    </row>
    <row r="71" spans="1:27">
      <c r="A71" s="1">
        <v>69</v>
      </c>
      <c r="B71" s="2">
        <v>0</v>
      </c>
      <c r="C71" s="2">
        <v>201</v>
      </c>
      <c r="D71" s="2" t="s">
        <v>1134</v>
      </c>
      <c r="E71" s="2" t="s">
        <v>320</v>
      </c>
      <c r="F71" s="2" t="str">
        <f>VLOOKUP(E71,Sheet2!E:G,3,0)</f>
        <v>经纤支镜支气管胸膜瘘堵塞术</v>
      </c>
      <c r="G71" s="3"/>
      <c r="H71" s="2">
        <v>625</v>
      </c>
      <c r="I71" s="2">
        <v>600</v>
      </c>
      <c r="J71" s="2">
        <v>510</v>
      </c>
      <c r="K71" s="3"/>
      <c r="L71" s="2">
        <v>950</v>
      </c>
      <c r="M71" s="2">
        <v>855</v>
      </c>
      <c r="N71" s="2">
        <v>725</v>
      </c>
      <c r="O71" s="2">
        <v>1</v>
      </c>
      <c r="P71" s="2">
        <v>1</v>
      </c>
      <c r="Q71" s="2" t="s">
        <v>1093</v>
      </c>
      <c r="R71" s="2">
        <v>0</v>
      </c>
      <c r="S71" s="2">
        <v>22</v>
      </c>
      <c r="T71" s="2">
        <v>22</v>
      </c>
      <c r="U71" s="2">
        <v>2</v>
      </c>
      <c r="V71" s="2">
        <v>7150</v>
      </c>
      <c r="W71" s="2">
        <v>5610</v>
      </c>
      <c r="X71" s="2">
        <v>430</v>
      </c>
      <c r="Y71" s="2">
        <v>7150</v>
      </c>
      <c r="Z71" s="2">
        <v>5610</v>
      </c>
      <c r="AA71" s="2">
        <v>430</v>
      </c>
    </row>
    <row r="72" spans="1:27">
      <c r="A72" s="1">
        <v>70</v>
      </c>
      <c r="B72" s="2">
        <v>0</v>
      </c>
      <c r="C72" s="2">
        <v>201</v>
      </c>
      <c r="D72" s="2" t="s">
        <v>1134</v>
      </c>
      <c r="E72" s="2" t="s">
        <v>656</v>
      </c>
      <c r="F72" s="2" t="str">
        <f>VLOOKUP(E72,Sheet2!E:G,3,0)</f>
        <v>小儿胸壁肿瘤切除术</v>
      </c>
      <c r="G72" s="3"/>
      <c r="H72" s="2">
        <v>2115</v>
      </c>
      <c r="I72" s="2">
        <v>2030</v>
      </c>
      <c r="J72" s="2">
        <v>1725</v>
      </c>
      <c r="K72" s="3"/>
      <c r="L72" s="2">
        <v>2925</v>
      </c>
      <c r="M72" s="2">
        <v>2665</v>
      </c>
      <c r="N72" s="2">
        <v>2275</v>
      </c>
      <c r="O72" s="2">
        <v>1</v>
      </c>
      <c r="P72" s="2">
        <v>1</v>
      </c>
      <c r="Q72" s="2" t="s">
        <v>1093</v>
      </c>
      <c r="R72" s="2">
        <v>0</v>
      </c>
      <c r="S72" s="2">
        <v>3</v>
      </c>
      <c r="T72" s="2">
        <v>0</v>
      </c>
      <c r="U72" s="2">
        <v>0</v>
      </c>
      <c r="V72" s="2">
        <v>2430</v>
      </c>
      <c r="W72" s="2">
        <v>0</v>
      </c>
      <c r="X72" s="2">
        <v>0</v>
      </c>
      <c r="Y72" s="2">
        <v>2430</v>
      </c>
      <c r="Z72" s="2">
        <v>0</v>
      </c>
      <c r="AA72" s="2">
        <v>0</v>
      </c>
    </row>
    <row r="73" spans="1:27">
      <c r="A73" s="1">
        <v>71</v>
      </c>
      <c r="B73" s="2">
        <v>0</v>
      </c>
      <c r="C73" s="2">
        <v>201</v>
      </c>
      <c r="D73" s="2" t="s">
        <v>1134</v>
      </c>
      <c r="E73" s="2" t="s">
        <v>233</v>
      </c>
      <c r="F73" s="2" t="str">
        <f>VLOOKUP(E73,Sheet2!E:G,3,0)</f>
        <v>机械通气经呼吸机管道雾化给药</v>
      </c>
      <c r="G73" s="3"/>
      <c r="H73" s="2">
        <v>5</v>
      </c>
      <c r="I73" s="2">
        <v>5</v>
      </c>
      <c r="J73" s="2">
        <v>4.3</v>
      </c>
      <c r="K73" s="3"/>
      <c r="L73" s="2">
        <v>13</v>
      </c>
      <c r="M73" s="2">
        <v>12</v>
      </c>
      <c r="N73" s="2">
        <v>11</v>
      </c>
      <c r="O73" s="2">
        <v>1</v>
      </c>
      <c r="P73" s="2">
        <v>1</v>
      </c>
      <c r="Q73" s="2" t="s">
        <v>1093</v>
      </c>
      <c r="R73" s="2">
        <v>0</v>
      </c>
      <c r="S73" s="2">
        <v>2308</v>
      </c>
      <c r="T73" s="2">
        <v>4143.4</v>
      </c>
      <c r="U73" s="2">
        <v>295</v>
      </c>
      <c r="V73" s="2">
        <v>18464</v>
      </c>
      <c r="W73" s="2">
        <v>29003.8</v>
      </c>
      <c r="X73" s="2">
        <v>1976.5</v>
      </c>
      <c r="Y73" s="2">
        <v>18464</v>
      </c>
      <c r="Z73" s="2">
        <v>29003.8</v>
      </c>
      <c r="AA73" s="2">
        <v>1976.5</v>
      </c>
    </row>
    <row r="74" spans="1:27">
      <c r="A74" s="1">
        <v>72</v>
      </c>
      <c r="B74" s="2">
        <v>0</v>
      </c>
      <c r="C74" s="2">
        <v>201</v>
      </c>
      <c r="D74" s="2" t="s">
        <v>1134</v>
      </c>
      <c r="E74" s="2" t="s">
        <v>164</v>
      </c>
      <c r="F74" s="2" t="str">
        <f>VLOOKUP(E74,Sheet2!E:G,3,0)</f>
        <v>硬质气管镜检查</v>
      </c>
      <c r="G74" s="3"/>
      <c r="H74" s="2">
        <v>115</v>
      </c>
      <c r="I74" s="2">
        <v>100</v>
      </c>
      <c r="J74" s="2">
        <v>85</v>
      </c>
      <c r="K74" s="3"/>
      <c r="L74" s="2">
        <v>240</v>
      </c>
      <c r="M74" s="2">
        <v>216</v>
      </c>
      <c r="N74" s="2">
        <v>190</v>
      </c>
      <c r="O74" s="2">
        <v>1</v>
      </c>
      <c r="P74" s="2">
        <v>1</v>
      </c>
      <c r="Q74" s="2" t="s">
        <v>1093</v>
      </c>
      <c r="R74" s="2">
        <v>0</v>
      </c>
      <c r="S74" s="2">
        <v>8</v>
      </c>
      <c r="T74" s="2">
        <v>0</v>
      </c>
      <c r="U74" s="2">
        <v>0</v>
      </c>
      <c r="V74" s="2">
        <v>1000</v>
      </c>
      <c r="W74" s="2">
        <v>0</v>
      </c>
      <c r="X74" s="2">
        <v>0</v>
      </c>
      <c r="Y74" s="2">
        <v>1000</v>
      </c>
      <c r="Z74" s="2">
        <v>0</v>
      </c>
      <c r="AA74" s="2">
        <v>0</v>
      </c>
    </row>
    <row r="75" spans="1:27">
      <c r="A75" s="1">
        <v>73</v>
      </c>
      <c r="B75" s="2">
        <v>0</v>
      </c>
      <c r="C75" s="2">
        <v>201</v>
      </c>
      <c r="D75" s="2" t="s">
        <v>1134</v>
      </c>
      <c r="E75" s="2" t="s">
        <v>850</v>
      </c>
      <c r="F75" s="2" t="str">
        <f>VLOOKUP(E75,Sheet2!E:G,3,0)</f>
        <v>纵隔气肿切开减压术</v>
      </c>
      <c r="G75" s="3"/>
      <c r="H75" s="2">
        <v>625</v>
      </c>
      <c r="I75" s="2">
        <v>600</v>
      </c>
      <c r="J75" s="2">
        <v>510</v>
      </c>
      <c r="K75" s="3"/>
      <c r="L75" s="2">
        <v>1000</v>
      </c>
      <c r="M75" s="2">
        <v>900</v>
      </c>
      <c r="N75" s="2">
        <v>765</v>
      </c>
      <c r="O75" s="2">
        <v>1</v>
      </c>
      <c r="P75" s="2">
        <v>1</v>
      </c>
      <c r="Q75" s="2" t="s">
        <v>1093</v>
      </c>
      <c r="R75" s="2">
        <v>0</v>
      </c>
      <c r="S75" s="2">
        <v>1</v>
      </c>
      <c r="T75" s="2">
        <v>0</v>
      </c>
      <c r="U75" s="2">
        <v>0.5</v>
      </c>
      <c r="V75" s="2">
        <v>375</v>
      </c>
      <c r="W75" s="2">
        <v>0</v>
      </c>
      <c r="X75" s="2">
        <v>127.5</v>
      </c>
      <c r="Y75" s="2">
        <v>375</v>
      </c>
      <c r="Z75" s="2">
        <v>0</v>
      </c>
      <c r="AA75" s="2">
        <v>127.5</v>
      </c>
    </row>
    <row r="76" spans="1:27">
      <c r="A76" s="1">
        <v>74</v>
      </c>
      <c r="B76" s="2">
        <v>0</v>
      </c>
      <c r="C76" s="2">
        <v>201</v>
      </c>
      <c r="D76" s="2" t="s">
        <v>1134</v>
      </c>
      <c r="E76" s="2" t="s">
        <v>136</v>
      </c>
      <c r="F76" s="2" t="str">
        <f>VLOOKUP(E76,Sheet2!E:G,3,0)</f>
        <v>睡眠呼吸监测</v>
      </c>
      <c r="G76" s="3"/>
      <c r="H76" s="2">
        <v>33</v>
      </c>
      <c r="I76" s="2">
        <v>31</v>
      </c>
      <c r="J76" s="2">
        <v>29</v>
      </c>
      <c r="K76" s="3"/>
      <c r="L76" s="2">
        <v>33.04</v>
      </c>
      <c r="M76" s="2">
        <v>31.04</v>
      </c>
      <c r="N76" s="2">
        <v>29.13</v>
      </c>
      <c r="O76" s="2">
        <v>1</v>
      </c>
      <c r="P76" s="2">
        <v>1</v>
      </c>
      <c r="Q76" s="2" t="s">
        <v>1093</v>
      </c>
      <c r="R76" s="2">
        <v>0</v>
      </c>
      <c r="S76" s="2">
        <v>4558</v>
      </c>
      <c r="T76" s="2">
        <v>1961</v>
      </c>
      <c r="U76" s="2">
        <v>17</v>
      </c>
      <c r="V76" s="2">
        <v>182.32</v>
      </c>
      <c r="W76" s="2">
        <v>78.44</v>
      </c>
      <c r="X76" s="2">
        <v>2.21</v>
      </c>
      <c r="Y76" s="2">
        <v>-20313.68</v>
      </c>
      <c r="Z76" s="2">
        <v>-11360.56</v>
      </c>
      <c r="AA76" s="2">
        <v>2.21</v>
      </c>
    </row>
    <row r="77" spans="1:27">
      <c r="A77" s="1">
        <v>75</v>
      </c>
      <c r="B77" s="2">
        <v>0</v>
      </c>
      <c r="C77" s="2">
        <v>201</v>
      </c>
      <c r="D77" s="2" t="s">
        <v>1134</v>
      </c>
      <c r="E77" s="2" t="s">
        <v>51</v>
      </c>
      <c r="F77" s="2" t="str">
        <f>VLOOKUP(E77,Sheet2!E:G,3,0)</f>
        <v>肺通气功能检查</v>
      </c>
      <c r="G77" s="3"/>
      <c r="H77" s="2">
        <v>74.8</v>
      </c>
      <c r="I77" s="2">
        <v>65</v>
      </c>
      <c r="J77" s="2">
        <v>55.3</v>
      </c>
      <c r="K77" s="3"/>
      <c r="L77" s="2">
        <v>105</v>
      </c>
      <c r="M77" s="2">
        <v>95</v>
      </c>
      <c r="N77" s="2">
        <v>85</v>
      </c>
      <c r="O77" s="2">
        <v>1</v>
      </c>
      <c r="P77" s="2">
        <v>1</v>
      </c>
      <c r="Q77" s="2" t="s">
        <v>1093</v>
      </c>
      <c r="R77" s="2">
        <v>0</v>
      </c>
      <c r="S77" s="2">
        <v>8780</v>
      </c>
      <c r="T77" s="2">
        <v>4783</v>
      </c>
      <c r="U77" s="2">
        <v>1018</v>
      </c>
      <c r="V77" s="2">
        <v>265156</v>
      </c>
      <c r="W77" s="2">
        <v>143490</v>
      </c>
      <c r="X77" s="2">
        <v>30234.6</v>
      </c>
      <c r="Y77" s="2">
        <v>265156</v>
      </c>
      <c r="Z77" s="2">
        <v>143945.9</v>
      </c>
      <c r="AA77" s="2">
        <v>30234.6</v>
      </c>
    </row>
    <row r="78" spans="1:27">
      <c r="A78" s="1">
        <v>76</v>
      </c>
      <c r="B78" s="2">
        <v>0</v>
      </c>
      <c r="C78" s="2">
        <v>201</v>
      </c>
      <c r="D78" s="2" t="s">
        <v>1134</v>
      </c>
      <c r="E78" s="2" t="s">
        <v>311</v>
      </c>
      <c r="F78" s="2" t="str">
        <f>VLOOKUP(E78,Sheet2!E:G,3,0)</f>
        <v>经纤支镜支架取出术</v>
      </c>
      <c r="G78" s="3"/>
      <c r="H78" s="2">
        <v>545</v>
      </c>
      <c r="I78" s="2">
        <v>490</v>
      </c>
      <c r="J78" s="2">
        <v>420</v>
      </c>
      <c r="K78" s="3"/>
      <c r="L78" s="2">
        <v>710</v>
      </c>
      <c r="M78" s="2">
        <v>640</v>
      </c>
      <c r="N78" s="2">
        <v>545</v>
      </c>
      <c r="O78" s="2">
        <v>1</v>
      </c>
      <c r="P78" s="2">
        <v>1</v>
      </c>
      <c r="Q78" s="2" t="s">
        <v>1093</v>
      </c>
      <c r="R78" s="2">
        <v>0</v>
      </c>
      <c r="S78" s="2">
        <v>2</v>
      </c>
      <c r="T78" s="2">
        <v>0</v>
      </c>
      <c r="U78" s="2">
        <v>0</v>
      </c>
      <c r="V78" s="2">
        <v>330</v>
      </c>
      <c r="W78" s="2">
        <v>0</v>
      </c>
      <c r="X78" s="2">
        <v>0</v>
      </c>
      <c r="Y78" s="2">
        <v>330</v>
      </c>
      <c r="Z78" s="2">
        <v>0</v>
      </c>
      <c r="AA78" s="2">
        <v>0</v>
      </c>
    </row>
    <row r="79" spans="1:27">
      <c r="A79" s="1">
        <v>77</v>
      </c>
      <c r="B79" s="2">
        <v>0</v>
      </c>
      <c r="C79" s="2">
        <v>201</v>
      </c>
      <c r="D79" s="2" t="s">
        <v>1134</v>
      </c>
      <c r="E79" s="2" t="s">
        <v>553</v>
      </c>
      <c r="F79" s="2" t="str">
        <f>VLOOKUP(E79,Sheet2!E:G,3,0)</f>
        <v>肺段切除术</v>
      </c>
      <c r="G79" s="3"/>
      <c r="H79" s="2">
        <v>3710</v>
      </c>
      <c r="I79" s="2">
        <v>3340</v>
      </c>
      <c r="J79" s="2">
        <v>2840</v>
      </c>
      <c r="K79" s="3"/>
      <c r="L79" s="2">
        <v>13715</v>
      </c>
      <c r="M79" s="2">
        <v>8260</v>
      </c>
      <c r="N79" s="2">
        <v>5200</v>
      </c>
      <c r="O79" s="2">
        <v>1</v>
      </c>
      <c r="P79" s="2">
        <v>1</v>
      </c>
      <c r="Q79" s="2" t="s">
        <v>1093</v>
      </c>
      <c r="R79" s="2">
        <v>0</v>
      </c>
      <c r="S79" s="2">
        <v>0</v>
      </c>
      <c r="T79" s="2">
        <v>1.5</v>
      </c>
      <c r="U79" s="2">
        <v>0</v>
      </c>
      <c r="V79" s="2">
        <v>0</v>
      </c>
      <c r="W79" s="2">
        <v>7380</v>
      </c>
      <c r="X79" s="2">
        <v>0</v>
      </c>
      <c r="Y79" s="2">
        <v>0</v>
      </c>
      <c r="Z79" s="2">
        <v>7380</v>
      </c>
      <c r="AA79" s="2">
        <v>0</v>
      </c>
    </row>
    <row r="80" spans="1:27">
      <c r="A80" s="1">
        <v>78</v>
      </c>
      <c r="B80" s="2">
        <v>0</v>
      </c>
      <c r="C80" s="2">
        <v>201</v>
      </c>
      <c r="D80" s="2" t="s">
        <v>1134</v>
      </c>
      <c r="E80" s="2" t="s">
        <v>330</v>
      </c>
      <c r="F80" s="2" t="str">
        <f>VLOOKUP(E80,Sheet2!E:G,3,0)</f>
        <v>经内镜气管内肿瘤切除术</v>
      </c>
      <c r="G80" s="3"/>
      <c r="H80" s="2">
        <v>575</v>
      </c>
      <c r="I80" s="2">
        <v>500</v>
      </c>
      <c r="J80" s="2">
        <v>425</v>
      </c>
      <c r="K80" s="3"/>
      <c r="L80" s="2">
        <v>1000</v>
      </c>
      <c r="M80" s="2">
        <v>900</v>
      </c>
      <c r="N80" s="2">
        <v>765</v>
      </c>
      <c r="O80" s="2">
        <v>1</v>
      </c>
      <c r="P80" s="2">
        <v>1</v>
      </c>
      <c r="Q80" s="2" t="s">
        <v>1093</v>
      </c>
      <c r="R80" s="2">
        <v>0</v>
      </c>
      <c r="S80" s="2">
        <v>1</v>
      </c>
      <c r="T80" s="2">
        <v>16</v>
      </c>
      <c r="U80" s="2">
        <v>0</v>
      </c>
      <c r="V80" s="2">
        <v>425</v>
      </c>
      <c r="W80" s="2">
        <v>6400</v>
      </c>
      <c r="X80" s="2">
        <v>0</v>
      </c>
      <c r="Y80" s="2">
        <v>425</v>
      </c>
      <c r="Z80" s="2">
        <v>6400</v>
      </c>
      <c r="AA80" s="2">
        <v>0</v>
      </c>
    </row>
    <row r="81" spans="1:27">
      <c r="A81" s="1">
        <v>79</v>
      </c>
      <c r="B81" s="2">
        <v>0</v>
      </c>
      <c r="C81" s="2">
        <v>201</v>
      </c>
      <c r="D81" s="2" t="s">
        <v>1134</v>
      </c>
      <c r="E81" s="2" t="s">
        <v>745</v>
      </c>
      <c r="F81" s="2" t="str">
        <f>VLOOKUP(E81,Sheet2!E:G,3,0)</f>
        <v>小儿脓胸引流清除术</v>
      </c>
      <c r="G81" s="3"/>
      <c r="H81" s="2">
        <v>1140</v>
      </c>
      <c r="I81" s="2">
        <v>1090</v>
      </c>
      <c r="J81" s="2">
        <v>925</v>
      </c>
      <c r="K81" s="3"/>
      <c r="L81" s="2">
        <v>2080</v>
      </c>
      <c r="M81" s="2">
        <v>1870</v>
      </c>
      <c r="N81" s="2">
        <v>1590</v>
      </c>
      <c r="O81" s="2">
        <v>1</v>
      </c>
      <c r="P81" s="2">
        <v>1</v>
      </c>
      <c r="Q81" s="2" t="s">
        <v>1093</v>
      </c>
      <c r="R81" s="2">
        <v>0</v>
      </c>
      <c r="S81" s="2">
        <v>1</v>
      </c>
      <c r="T81" s="2">
        <v>0</v>
      </c>
      <c r="U81" s="2">
        <v>0</v>
      </c>
      <c r="V81" s="2">
        <v>940</v>
      </c>
      <c r="W81" s="2">
        <v>0</v>
      </c>
      <c r="X81" s="2">
        <v>0</v>
      </c>
      <c r="Y81" s="2">
        <v>940</v>
      </c>
      <c r="Z81" s="2">
        <v>0</v>
      </c>
      <c r="AA81" s="2">
        <v>0</v>
      </c>
    </row>
    <row r="82" spans="1:27">
      <c r="A82" s="1">
        <v>80</v>
      </c>
      <c r="B82" s="2">
        <v>0</v>
      </c>
      <c r="C82" s="2">
        <v>201</v>
      </c>
      <c r="D82" s="2" t="s">
        <v>1134</v>
      </c>
      <c r="E82" s="2" t="s">
        <v>631</v>
      </c>
      <c r="F82" s="2" t="str">
        <f>VLOOKUP(E82,Sheet2!E:G,3,0)</f>
        <v>经胸腔镜胸腺切除术</v>
      </c>
      <c r="G82" s="3"/>
      <c r="H82" s="2">
        <v>4005</v>
      </c>
      <c r="I82" s="2">
        <v>3640</v>
      </c>
      <c r="J82" s="2">
        <v>3090</v>
      </c>
      <c r="K82" s="3"/>
      <c r="L82" s="2">
        <v>4000</v>
      </c>
      <c r="M82" s="2">
        <v>3600</v>
      </c>
      <c r="N82" s="2">
        <v>3100</v>
      </c>
      <c r="O82" s="2">
        <v>1</v>
      </c>
      <c r="P82" s="2">
        <v>1</v>
      </c>
      <c r="Q82" s="2" t="s">
        <v>1093</v>
      </c>
      <c r="R82" s="2">
        <v>0</v>
      </c>
      <c r="S82" s="2">
        <v>31</v>
      </c>
      <c r="T82" s="2">
        <v>7</v>
      </c>
      <c r="U82" s="2">
        <v>2</v>
      </c>
      <c r="V82" s="2">
        <v>-155</v>
      </c>
      <c r="W82" s="2">
        <v>-280</v>
      </c>
      <c r="X82" s="2">
        <v>20</v>
      </c>
      <c r="Y82" s="2">
        <v>-155</v>
      </c>
      <c r="Z82" s="2">
        <v>-280</v>
      </c>
      <c r="AA82" s="2">
        <v>20</v>
      </c>
    </row>
    <row r="83" spans="1:27">
      <c r="A83" s="1">
        <v>81</v>
      </c>
      <c r="B83" s="2">
        <v>0</v>
      </c>
      <c r="C83" s="2">
        <v>201</v>
      </c>
      <c r="D83" s="2" t="s">
        <v>1134</v>
      </c>
      <c r="E83" s="2" t="s">
        <v>766</v>
      </c>
      <c r="F83" s="2" t="str">
        <f>VLOOKUP(E83,Sheet2!E:G,3,0)</f>
        <v>胸膜剥脱术</v>
      </c>
      <c r="G83" s="3"/>
      <c r="H83" s="2">
        <v>1875</v>
      </c>
      <c r="I83" s="2">
        <v>1800</v>
      </c>
      <c r="J83" s="2">
        <v>1530</v>
      </c>
      <c r="K83" s="3"/>
      <c r="L83" s="2">
        <v>2450</v>
      </c>
      <c r="M83" s="2">
        <v>2200</v>
      </c>
      <c r="N83" s="2">
        <v>1900</v>
      </c>
      <c r="O83" s="2">
        <v>1</v>
      </c>
      <c r="P83" s="2">
        <v>1</v>
      </c>
      <c r="Q83" s="2" t="s">
        <v>1093</v>
      </c>
      <c r="R83" s="2">
        <v>0</v>
      </c>
      <c r="S83" s="2">
        <v>1.5</v>
      </c>
      <c r="T83" s="2">
        <v>0</v>
      </c>
      <c r="U83" s="2">
        <v>0</v>
      </c>
      <c r="V83" s="2">
        <v>862.5</v>
      </c>
      <c r="W83" s="2">
        <v>0</v>
      </c>
      <c r="X83" s="2">
        <v>0</v>
      </c>
      <c r="Y83" s="2">
        <v>862.5</v>
      </c>
      <c r="Z83" s="2">
        <v>0</v>
      </c>
      <c r="AA83" s="2">
        <v>0</v>
      </c>
    </row>
    <row r="84" spans="1:27">
      <c r="A84" s="1">
        <v>82</v>
      </c>
      <c r="B84" s="2">
        <v>0</v>
      </c>
      <c r="C84" s="2">
        <v>201</v>
      </c>
      <c r="D84" s="2" t="s">
        <v>1134</v>
      </c>
      <c r="E84" s="2" t="s">
        <v>429</v>
      </c>
      <c r="F84" s="2" t="str">
        <f>VLOOKUP(E84,Sheet2!E:G,3,0)</f>
        <v>经胸腔镜开胸探查术</v>
      </c>
      <c r="G84" s="3"/>
      <c r="H84" s="2">
        <v>2145</v>
      </c>
      <c r="I84" s="2">
        <v>1970</v>
      </c>
      <c r="J84" s="2">
        <v>1670</v>
      </c>
      <c r="K84" s="3"/>
      <c r="L84" s="2">
        <v>1750</v>
      </c>
      <c r="M84" s="2">
        <v>1620</v>
      </c>
      <c r="N84" s="2">
        <v>1450</v>
      </c>
      <c r="O84" s="2">
        <v>1</v>
      </c>
      <c r="P84" s="2">
        <v>1</v>
      </c>
      <c r="Q84" s="2" t="s">
        <v>1093</v>
      </c>
      <c r="R84" s="2">
        <v>0</v>
      </c>
      <c r="S84" s="2">
        <v>3.15</v>
      </c>
      <c r="T84" s="2">
        <v>5.5</v>
      </c>
      <c r="U84" s="2">
        <v>0</v>
      </c>
      <c r="V84" s="2">
        <v>-1244.25</v>
      </c>
      <c r="W84" s="2">
        <v>-1925</v>
      </c>
      <c r="X84" s="2">
        <v>0</v>
      </c>
      <c r="Y84" s="2">
        <v>-1244.25</v>
      </c>
      <c r="Z84" s="2">
        <v>-1925</v>
      </c>
      <c r="AA84" s="2">
        <v>0</v>
      </c>
    </row>
    <row r="85" spans="1:27">
      <c r="A85" s="1">
        <v>83</v>
      </c>
      <c r="B85" s="2">
        <v>0</v>
      </c>
      <c r="C85" s="2">
        <v>201</v>
      </c>
      <c r="D85" s="2" t="s">
        <v>1134</v>
      </c>
      <c r="E85" s="2" t="s">
        <v>489</v>
      </c>
      <c r="F85" s="2" t="str">
        <f>VLOOKUP(E85,Sheet2!E:G,3,0)</f>
        <v>肺癌根治术</v>
      </c>
      <c r="G85" s="3"/>
      <c r="H85" s="2">
        <v>7980</v>
      </c>
      <c r="I85" s="2">
        <v>7180</v>
      </c>
      <c r="J85" s="2">
        <v>5745</v>
      </c>
      <c r="K85" s="3"/>
      <c r="L85" s="2">
        <v>0</v>
      </c>
      <c r="M85" s="2">
        <v>0</v>
      </c>
      <c r="N85" s="2">
        <v>0</v>
      </c>
      <c r="O85" s="2">
        <v>1</v>
      </c>
      <c r="P85" s="2">
        <v>1</v>
      </c>
      <c r="Q85" s="2" t="s">
        <v>1093</v>
      </c>
      <c r="R85" s="2">
        <v>0</v>
      </c>
      <c r="S85" s="2">
        <v>20</v>
      </c>
      <c r="T85" s="2">
        <v>4</v>
      </c>
      <c r="U85" s="2">
        <v>0</v>
      </c>
      <c r="V85" s="2">
        <v>-159600</v>
      </c>
      <c r="W85" s="2">
        <v>-28720</v>
      </c>
      <c r="X85" s="2">
        <v>0</v>
      </c>
      <c r="Y85" s="2">
        <v>-159600</v>
      </c>
      <c r="Z85" s="2">
        <v>-28720</v>
      </c>
      <c r="AA85" s="2">
        <v>0</v>
      </c>
    </row>
    <row r="86" spans="1:27">
      <c r="A86" s="1">
        <v>84</v>
      </c>
      <c r="B86" s="2">
        <v>0</v>
      </c>
      <c r="C86" s="2">
        <v>201</v>
      </c>
      <c r="D86" s="2" t="s">
        <v>1134</v>
      </c>
      <c r="E86" s="2" t="s">
        <v>705</v>
      </c>
      <c r="F86" s="2" t="str">
        <f>VLOOKUP(E86,Sheet2!E:G,3,0)</f>
        <v>经胸腔镜胸廓成形术</v>
      </c>
      <c r="G86" s="3"/>
      <c r="H86" s="2">
        <v>2500</v>
      </c>
      <c r="I86" s="2">
        <v>2400</v>
      </c>
      <c r="J86" s="2">
        <v>2040</v>
      </c>
      <c r="K86" s="3"/>
      <c r="L86" s="2">
        <v>2500</v>
      </c>
      <c r="M86" s="2">
        <v>2300</v>
      </c>
      <c r="N86" s="2">
        <v>1950</v>
      </c>
      <c r="O86" s="2">
        <v>1</v>
      </c>
      <c r="P86" s="2">
        <v>1</v>
      </c>
      <c r="Q86" s="2" t="s">
        <v>1093</v>
      </c>
      <c r="R86" s="2">
        <v>0</v>
      </c>
      <c r="S86" s="2">
        <v>0.5</v>
      </c>
      <c r="T86" s="2">
        <v>2</v>
      </c>
      <c r="U86" s="2">
        <v>0</v>
      </c>
      <c r="V86" s="2">
        <v>0</v>
      </c>
      <c r="W86" s="2">
        <v>-200</v>
      </c>
      <c r="X86" s="2">
        <v>0</v>
      </c>
      <c r="Y86" s="2">
        <v>0</v>
      </c>
      <c r="Z86" s="2">
        <v>-200</v>
      </c>
      <c r="AA86" s="2">
        <v>0</v>
      </c>
    </row>
    <row r="87" spans="1:27">
      <c r="A87" s="1">
        <v>85</v>
      </c>
      <c r="B87" s="2">
        <v>0</v>
      </c>
      <c r="C87" s="2">
        <v>201</v>
      </c>
      <c r="D87" s="2" t="s">
        <v>1134</v>
      </c>
      <c r="E87" s="2" t="s">
        <v>493</v>
      </c>
      <c r="F87" s="2" t="str">
        <f>VLOOKUP(E87,Sheet2!E:G,3,0)</f>
        <v>经胸腔镜肺癌根治术</v>
      </c>
      <c r="G87" s="3"/>
      <c r="H87" s="2">
        <v>8605</v>
      </c>
      <c r="I87" s="2">
        <v>7780</v>
      </c>
      <c r="J87" s="2">
        <v>6255</v>
      </c>
      <c r="K87" s="3"/>
      <c r="L87" s="2">
        <v>0</v>
      </c>
      <c r="M87" s="2">
        <v>0</v>
      </c>
      <c r="N87" s="2">
        <v>0</v>
      </c>
      <c r="O87" s="2">
        <v>1</v>
      </c>
      <c r="P87" s="2">
        <v>1</v>
      </c>
      <c r="Q87" s="2" t="s">
        <v>1093</v>
      </c>
      <c r="R87" s="2">
        <v>0</v>
      </c>
      <c r="S87" s="2">
        <v>613</v>
      </c>
      <c r="T87" s="2">
        <v>312</v>
      </c>
      <c r="U87" s="2">
        <v>4</v>
      </c>
      <c r="V87" s="2">
        <v>-5274865</v>
      </c>
      <c r="W87" s="2">
        <v>-2427360</v>
      </c>
      <c r="X87" s="2">
        <v>-25020</v>
      </c>
      <c r="Y87" s="2">
        <v>-5274865</v>
      </c>
      <c r="Z87" s="2">
        <v>-2427360</v>
      </c>
      <c r="AA87" s="2">
        <v>-25020</v>
      </c>
    </row>
    <row r="88" spans="1:27">
      <c r="A88" s="1">
        <v>86</v>
      </c>
      <c r="B88" s="2">
        <v>0</v>
      </c>
      <c r="C88" s="2">
        <v>201</v>
      </c>
      <c r="D88" s="2" t="s">
        <v>1134</v>
      </c>
      <c r="E88" s="2" t="s">
        <v>616</v>
      </c>
      <c r="F88" s="2" t="str">
        <f>VLOOKUP(E88,Sheet2!E:G,3,0)</f>
        <v>经胸腔镜肺修补术</v>
      </c>
      <c r="G88" s="3"/>
      <c r="H88" s="2">
        <v>2125</v>
      </c>
      <c r="I88" s="2">
        <v>2040</v>
      </c>
      <c r="J88" s="2">
        <v>1734</v>
      </c>
      <c r="K88" s="3"/>
      <c r="L88" s="2">
        <v>2700</v>
      </c>
      <c r="M88" s="2">
        <v>2450</v>
      </c>
      <c r="N88" s="2">
        <v>2100</v>
      </c>
      <c r="O88" s="2">
        <v>1</v>
      </c>
      <c r="P88" s="2">
        <v>1</v>
      </c>
      <c r="Q88" s="2" t="s">
        <v>1093</v>
      </c>
      <c r="R88" s="2">
        <v>0</v>
      </c>
      <c r="S88" s="2">
        <v>0</v>
      </c>
      <c r="T88" s="2">
        <v>23.5</v>
      </c>
      <c r="U88" s="2">
        <v>0.5</v>
      </c>
      <c r="V88" s="2">
        <v>0</v>
      </c>
      <c r="W88" s="2">
        <v>9635</v>
      </c>
      <c r="X88" s="2">
        <v>183</v>
      </c>
      <c r="Y88" s="2">
        <v>0</v>
      </c>
      <c r="Z88" s="2">
        <v>9167.5</v>
      </c>
      <c r="AA88" s="2">
        <v>183</v>
      </c>
    </row>
    <row r="89" spans="1:27">
      <c r="A89" s="1">
        <v>87</v>
      </c>
      <c r="B89" s="2">
        <v>0</v>
      </c>
      <c r="C89" s="2">
        <v>201</v>
      </c>
      <c r="D89" s="2" t="s">
        <v>1134</v>
      </c>
      <c r="E89" s="2" t="s">
        <v>644</v>
      </c>
      <c r="F89" s="2" t="str">
        <f>VLOOKUP(E89,Sheet2!E:G,3,0)</f>
        <v>胸壁肿瘤切除术</v>
      </c>
      <c r="G89" s="3"/>
      <c r="H89" s="2">
        <v>1625</v>
      </c>
      <c r="I89" s="2">
        <v>1560</v>
      </c>
      <c r="J89" s="2">
        <v>1326</v>
      </c>
      <c r="K89" s="3"/>
      <c r="L89" s="2">
        <v>2250</v>
      </c>
      <c r="M89" s="2">
        <v>2050</v>
      </c>
      <c r="N89" s="2">
        <v>1750</v>
      </c>
      <c r="O89" s="2">
        <v>1</v>
      </c>
      <c r="P89" s="2">
        <v>1</v>
      </c>
      <c r="Q89" s="2" t="s">
        <v>1093</v>
      </c>
      <c r="R89" s="2">
        <v>0</v>
      </c>
      <c r="S89" s="2">
        <v>39.5</v>
      </c>
      <c r="T89" s="2">
        <v>80</v>
      </c>
      <c r="U89" s="2">
        <v>9</v>
      </c>
      <c r="V89" s="2">
        <v>24687.5</v>
      </c>
      <c r="W89" s="2">
        <v>39200</v>
      </c>
      <c r="X89" s="2">
        <v>3816</v>
      </c>
      <c r="Y89" s="2">
        <v>24687.5</v>
      </c>
      <c r="Z89" s="2">
        <v>39135</v>
      </c>
      <c r="AA89" s="2">
        <v>3816</v>
      </c>
    </row>
    <row r="90" spans="1:27">
      <c r="A90" s="1">
        <v>88</v>
      </c>
      <c r="B90" s="2">
        <v>0</v>
      </c>
      <c r="C90" s="2">
        <v>201</v>
      </c>
      <c r="D90" s="2" t="s">
        <v>1134</v>
      </c>
      <c r="E90" s="2" t="s">
        <v>211</v>
      </c>
      <c r="F90" s="2" t="str">
        <f>VLOOKUP(E90,Sheet2!E:G,3,0)</f>
        <v>一氧化氮吸入</v>
      </c>
      <c r="G90" s="3"/>
      <c r="H90" s="2">
        <v>9</v>
      </c>
      <c r="I90" s="2">
        <v>9</v>
      </c>
      <c r="J90" s="2">
        <v>9</v>
      </c>
      <c r="K90" s="3"/>
      <c r="L90" s="2">
        <v>45</v>
      </c>
      <c r="M90" s="2">
        <v>45</v>
      </c>
      <c r="N90" s="2">
        <v>41</v>
      </c>
      <c r="O90" s="2">
        <v>1</v>
      </c>
      <c r="P90" s="2">
        <v>1</v>
      </c>
      <c r="Q90" s="2" t="s">
        <v>1093</v>
      </c>
      <c r="R90" s="2">
        <v>0</v>
      </c>
      <c r="S90" s="2">
        <v>584</v>
      </c>
      <c r="T90" s="2">
        <v>39</v>
      </c>
      <c r="U90" s="2">
        <v>0</v>
      </c>
      <c r="V90" s="2">
        <v>21024</v>
      </c>
      <c r="W90" s="2">
        <v>1404</v>
      </c>
      <c r="X90" s="2">
        <v>0</v>
      </c>
      <c r="Y90" s="2">
        <v>21024</v>
      </c>
      <c r="Z90" s="2">
        <v>1404</v>
      </c>
      <c r="AA90" s="2">
        <v>0</v>
      </c>
    </row>
    <row r="91" spans="1:27">
      <c r="A91" s="1">
        <v>89</v>
      </c>
      <c r="B91" s="2">
        <v>0</v>
      </c>
      <c r="C91" s="2">
        <v>201</v>
      </c>
      <c r="D91" s="2" t="s">
        <v>1134</v>
      </c>
      <c r="E91" s="2" t="s">
        <v>273</v>
      </c>
      <c r="F91" s="2" t="str">
        <f>VLOOKUP(E91,Sheet2!E:G,3,0)</f>
        <v>经纤支镜特殊治疗（高频电法）</v>
      </c>
      <c r="G91" s="3"/>
      <c r="H91" s="2">
        <v>488</v>
      </c>
      <c r="I91" s="2">
        <v>435</v>
      </c>
      <c r="J91" s="2">
        <v>375</v>
      </c>
      <c r="K91" s="3"/>
      <c r="L91" s="2">
        <v>435</v>
      </c>
      <c r="M91" s="2">
        <v>410</v>
      </c>
      <c r="N91" s="2">
        <v>350</v>
      </c>
      <c r="O91" s="2">
        <v>1</v>
      </c>
      <c r="P91" s="2">
        <v>1</v>
      </c>
      <c r="Q91" s="2" t="s">
        <v>1093</v>
      </c>
      <c r="R91" s="2">
        <v>0</v>
      </c>
      <c r="S91" s="2">
        <v>93</v>
      </c>
      <c r="T91" s="2">
        <v>33</v>
      </c>
      <c r="U91" s="2">
        <v>3</v>
      </c>
      <c r="V91" s="2">
        <v>-4929</v>
      </c>
      <c r="W91" s="2">
        <v>-825</v>
      </c>
      <c r="X91" s="2">
        <v>-75</v>
      </c>
      <c r="Y91" s="2">
        <v>-4929</v>
      </c>
      <c r="Z91" s="2">
        <v>-825</v>
      </c>
      <c r="AA91" s="2">
        <v>-75</v>
      </c>
    </row>
    <row r="92" spans="1:27">
      <c r="A92" s="1">
        <v>90</v>
      </c>
      <c r="B92" s="2">
        <v>0</v>
      </c>
      <c r="C92" s="2">
        <v>201</v>
      </c>
      <c r="D92" s="2" t="s">
        <v>1134</v>
      </c>
      <c r="E92" s="2" t="s">
        <v>721</v>
      </c>
      <c r="F92" s="2" t="str">
        <f>VLOOKUP(E92,Sheet2!E:G,3,0)</f>
        <v>经胸腔镜胸廓畸形矫正术</v>
      </c>
      <c r="G92" s="3"/>
      <c r="H92" s="2">
        <v>2375</v>
      </c>
      <c r="I92" s="2">
        <v>2280</v>
      </c>
      <c r="J92" s="2">
        <v>1836</v>
      </c>
      <c r="K92" s="3"/>
      <c r="L92" s="2">
        <v>3200</v>
      </c>
      <c r="M92" s="2">
        <v>2900</v>
      </c>
      <c r="N92" s="2">
        <v>2470</v>
      </c>
      <c r="O92" s="2">
        <v>1</v>
      </c>
      <c r="P92" s="2">
        <v>1</v>
      </c>
      <c r="Q92" s="2" t="s">
        <v>1093</v>
      </c>
      <c r="R92" s="2">
        <v>0</v>
      </c>
      <c r="S92" s="2">
        <v>3</v>
      </c>
      <c r="T92" s="2">
        <v>0</v>
      </c>
      <c r="U92" s="2">
        <v>0</v>
      </c>
      <c r="V92" s="2">
        <v>2475</v>
      </c>
      <c r="W92" s="2">
        <v>0</v>
      </c>
      <c r="X92" s="2">
        <v>0</v>
      </c>
      <c r="Y92" s="2">
        <v>2475</v>
      </c>
      <c r="Z92" s="2">
        <v>0</v>
      </c>
      <c r="AA92" s="2">
        <v>0</v>
      </c>
    </row>
    <row r="93" spans="1:27">
      <c r="A93" s="1">
        <v>91</v>
      </c>
      <c r="B93" s="2">
        <v>0</v>
      </c>
      <c r="C93" s="2">
        <v>201</v>
      </c>
      <c r="D93" s="2" t="s">
        <v>1134</v>
      </c>
      <c r="E93" s="2" t="s">
        <v>301</v>
      </c>
      <c r="F93" s="2" t="str">
        <f>VLOOKUP(E93,Sheet2!E:G,3,0)</f>
        <v>经纤支镜支架置入术</v>
      </c>
      <c r="G93" s="3"/>
      <c r="H93" s="2">
        <v>545</v>
      </c>
      <c r="I93" s="2">
        <v>490</v>
      </c>
      <c r="J93" s="2">
        <v>420</v>
      </c>
      <c r="K93" s="3"/>
      <c r="L93" s="2">
        <v>710</v>
      </c>
      <c r="M93" s="2">
        <v>640</v>
      </c>
      <c r="N93" s="2">
        <v>545</v>
      </c>
      <c r="O93" s="2">
        <v>1</v>
      </c>
      <c r="P93" s="2">
        <v>1</v>
      </c>
      <c r="Q93" s="2" t="s">
        <v>1093</v>
      </c>
      <c r="R93" s="2">
        <v>0</v>
      </c>
      <c r="S93" s="2">
        <v>26</v>
      </c>
      <c r="T93" s="2">
        <v>10</v>
      </c>
      <c r="U93" s="2">
        <v>0</v>
      </c>
      <c r="V93" s="2">
        <v>4290</v>
      </c>
      <c r="W93" s="2">
        <v>1500</v>
      </c>
      <c r="X93" s="2">
        <v>0</v>
      </c>
      <c r="Y93" s="2">
        <v>4290</v>
      </c>
      <c r="Z93" s="2">
        <v>1500</v>
      </c>
      <c r="AA93" s="2">
        <v>0</v>
      </c>
    </row>
    <row r="94" spans="1:27">
      <c r="A94" s="1">
        <v>92</v>
      </c>
      <c r="B94" s="2">
        <v>0</v>
      </c>
      <c r="C94" s="2">
        <v>201</v>
      </c>
      <c r="D94" s="2" t="s">
        <v>1134</v>
      </c>
      <c r="E94" s="2" t="s">
        <v>400</v>
      </c>
      <c r="F94" s="2" t="str">
        <f>VLOOKUP(E94,Sheet2!E:G,3,0)</f>
        <v>气管内肿瘤切除术</v>
      </c>
      <c r="G94" s="3"/>
      <c r="H94" s="2">
        <v>4220</v>
      </c>
      <c r="I94" s="2">
        <v>3800</v>
      </c>
      <c r="J94" s="2">
        <v>3230</v>
      </c>
      <c r="K94" s="3"/>
      <c r="L94" s="2">
        <v>1900</v>
      </c>
      <c r="M94" s="2">
        <v>1750</v>
      </c>
      <c r="N94" s="2">
        <v>1500</v>
      </c>
      <c r="O94" s="2">
        <v>1</v>
      </c>
      <c r="P94" s="2">
        <v>1</v>
      </c>
      <c r="Q94" s="2" t="s">
        <v>1093</v>
      </c>
      <c r="R94" s="2">
        <v>0</v>
      </c>
      <c r="S94" s="2">
        <v>0</v>
      </c>
      <c r="T94" s="2">
        <v>2</v>
      </c>
      <c r="U94" s="2">
        <v>0</v>
      </c>
      <c r="V94" s="2">
        <v>0</v>
      </c>
      <c r="W94" s="2">
        <v>-4100</v>
      </c>
      <c r="X94" s="2">
        <v>0</v>
      </c>
      <c r="Y94" s="2">
        <v>0</v>
      </c>
      <c r="Z94" s="2">
        <v>-4100</v>
      </c>
      <c r="AA94" s="2">
        <v>0</v>
      </c>
    </row>
    <row r="95" spans="1:27">
      <c r="A95" s="1">
        <v>93</v>
      </c>
      <c r="B95" s="2">
        <v>0</v>
      </c>
      <c r="C95" s="2">
        <v>201</v>
      </c>
      <c r="D95" s="2" t="s">
        <v>1134</v>
      </c>
      <c r="E95" s="2" t="s">
        <v>528</v>
      </c>
      <c r="F95" s="2" t="str">
        <f>VLOOKUP(E95,Sheet2!E:G,3,0)</f>
        <v>小儿肺叶切除术</v>
      </c>
      <c r="G95" s="3"/>
      <c r="H95" s="2">
        <v>4045</v>
      </c>
      <c r="I95" s="2">
        <v>3640</v>
      </c>
      <c r="J95" s="2">
        <v>3095</v>
      </c>
      <c r="K95" s="3"/>
      <c r="L95" s="2">
        <v>7930</v>
      </c>
      <c r="M95" s="2">
        <v>7345</v>
      </c>
      <c r="N95" s="2">
        <v>6240</v>
      </c>
      <c r="O95" s="2">
        <v>1</v>
      </c>
      <c r="P95" s="2">
        <v>1</v>
      </c>
      <c r="Q95" s="2" t="s">
        <v>1093</v>
      </c>
      <c r="R95" s="2">
        <v>0</v>
      </c>
      <c r="S95" s="2">
        <v>1.5</v>
      </c>
      <c r="T95" s="2">
        <v>0</v>
      </c>
      <c r="U95" s="2">
        <v>0</v>
      </c>
      <c r="V95" s="2">
        <v>5827.5</v>
      </c>
      <c r="W95" s="2">
        <v>0</v>
      </c>
      <c r="X95" s="2">
        <v>0</v>
      </c>
      <c r="Y95" s="2">
        <v>6960</v>
      </c>
      <c r="Z95" s="2">
        <v>0</v>
      </c>
      <c r="AA95" s="2">
        <v>0</v>
      </c>
    </row>
    <row r="96" spans="1:27">
      <c r="A96" s="1">
        <v>94</v>
      </c>
      <c r="B96" s="2">
        <v>0</v>
      </c>
      <c r="C96" s="2">
        <v>201</v>
      </c>
      <c r="D96" s="2" t="s">
        <v>1134</v>
      </c>
      <c r="E96" s="2" t="s">
        <v>81</v>
      </c>
      <c r="F96" s="2" t="str">
        <f>VLOOKUP(E96,Sheet2!E:G,3,0)</f>
        <v>支气管激发试验</v>
      </c>
      <c r="G96" s="3"/>
      <c r="H96" s="2">
        <v>115</v>
      </c>
      <c r="I96" s="2">
        <v>100</v>
      </c>
      <c r="J96" s="2">
        <v>85</v>
      </c>
      <c r="K96" s="3"/>
      <c r="L96" s="2">
        <v>100</v>
      </c>
      <c r="M96" s="2">
        <v>90</v>
      </c>
      <c r="N96" s="2">
        <v>77</v>
      </c>
      <c r="O96" s="2">
        <v>1</v>
      </c>
      <c r="P96" s="2">
        <v>1</v>
      </c>
      <c r="Q96" s="2" t="s">
        <v>1093</v>
      </c>
      <c r="R96" s="2">
        <v>0</v>
      </c>
      <c r="S96" s="2">
        <v>239</v>
      </c>
      <c r="T96" s="2">
        <v>244</v>
      </c>
      <c r="U96" s="2">
        <v>45</v>
      </c>
      <c r="V96" s="2">
        <v>-3585</v>
      </c>
      <c r="W96" s="2">
        <v>-2440</v>
      </c>
      <c r="X96" s="2">
        <v>-360</v>
      </c>
      <c r="Y96" s="2">
        <v>-3585</v>
      </c>
      <c r="Z96" s="2">
        <v>-2440</v>
      </c>
      <c r="AA96" s="2">
        <v>-360</v>
      </c>
    </row>
    <row r="97" spans="1:27">
      <c r="A97" s="1">
        <v>95</v>
      </c>
      <c r="B97" s="2">
        <v>0</v>
      </c>
      <c r="C97" s="2">
        <v>201</v>
      </c>
      <c r="D97" s="2" t="s">
        <v>1134</v>
      </c>
      <c r="E97" s="2" t="s">
        <v>784</v>
      </c>
      <c r="F97" s="2" t="str">
        <f>VLOOKUP(E97,Sheet2!E:G,3,0)</f>
        <v>经胸腔镜胸膜固定术</v>
      </c>
      <c r="G97" s="3"/>
      <c r="H97" s="2">
        <v>1375</v>
      </c>
      <c r="I97" s="2">
        <v>1320</v>
      </c>
      <c r="J97" s="2">
        <v>1122</v>
      </c>
      <c r="K97" s="3"/>
      <c r="L97" s="2">
        <v>1800</v>
      </c>
      <c r="M97" s="2">
        <v>1620</v>
      </c>
      <c r="N97" s="2">
        <v>1380</v>
      </c>
      <c r="O97" s="2">
        <v>1</v>
      </c>
      <c r="P97" s="2">
        <v>1</v>
      </c>
      <c r="Q97" s="2" t="s">
        <v>1093</v>
      </c>
      <c r="R97" s="2">
        <v>0</v>
      </c>
      <c r="S97" s="2">
        <v>0</v>
      </c>
      <c r="T97" s="2">
        <v>1</v>
      </c>
      <c r="U97" s="2">
        <v>0</v>
      </c>
      <c r="V97" s="2">
        <v>0</v>
      </c>
      <c r="W97" s="2">
        <v>300</v>
      </c>
      <c r="X97" s="2">
        <v>0</v>
      </c>
      <c r="Y97" s="2">
        <v>0</v>
      </c>
      <c r="Z97" s="2">
        <v>300</v>
      </c>
      <c r="AA97" s="2">
        <v>0</v>
      </c>
    </row>
    <row r="98" spans="1:27">
      <c r="A98" s="1">
        <v>96</v>
      </c>
      <c r="B98" s="2">
        <v>0</v>
      </c>
      <c r="C98" s="2">
        <v>201</v>
      </c>
      <c r="D98" s="2" t="s">
        <v>1134</v>
      </c>
      <c r="E98" s="2" t="s">
        <v>562</v>
      </c>
      <c r="F98" s="2" t="str">
        <f>VLOOKUP(E98,Sheet2!E:G,3,0)</f>
        <v>小儿经胸腔镜肺段切除术</v>
      </c>
      <c r="G98" s="3"/>
      <c r="H98" s="2">
        <v>5450</v>
      </c>
      <c r="I98" s="2">
        <v>4940</v>
      </c>
      <c r="J98" s="2">
        <v>4200</v>
      </c>
      <c r="K98" s="3"/>
      <c r="L98" s="2">
        <v>8450</v>
      </c>
      <c r="M98" s="2">
        <v>7670</v>
      </c>
      <c r="N98" s="2">
        <v>6760</v>
      </c>
      <c r="O98" s="2">
        <v>1</v>
      </c>
      <c r="P98" s="2">
        <v>1</v>
      </c>
      <c r="Q98" s="2" t="s">
        <v>1093</v>
      </c>
      <c r="R98" s="2">
        <v>0</v>
      </c>
      <c r="S98" s="2">
        <v>1</v>
      </c>
      <c r="T98" s="2">
        <v>0</v>
      </c>
      <c r="U98" s="2">
        <v>0</v>
      </c>
      <c r="V98" s="2">
        <v>3000</v>
      </c>
      <c r="W98" s="2">
        <v>0</v>
      </c>
      <c r="X98" s="2">
        <v>0</v>
      </c>
      <c r="Y98" s="2">
        <v>3000</v>
      </c>
      <c r="Z98" s="2">
        <v>0</v>
      </c>
      <c r="AA98" s="2">
        <v>0</v>
      </c>
    </row>
    <row r="99" spans="1:27">
      <c r="A99" s="1">
        <v>97</v>
      </c>
      <c r="B99" s="2">
        <v>0</v>
      </c>
      <c r="C99" s="2">
        <v>201</v>
      </c>
      <c r="D99" s="2" t="s">
        <v>1134</v>
      </c>
      <c r="E99" s="2" t="s">
        <v>959</v>
      </c>
      <c r="F99" s="2" t="str">
        <f>VLOOKUP(E99,Sheet2!E:G,3,0)</f>
        <v>胸膜粘连烙断术</v>
      </c>
      <c r="G99" s="3"/>
      <c r="H99" s="2">
        <v>1500</v>
      </c>
      <c r="I99" s="2">
        <v>1440</v>
      </c>
      <c r="J99" s="2">
        <v>1224</v>
      </c>
      <c r="K99" s="3"/>
      <c r="L99" s="2">
        <v>1500</v>
      </c>
      <c r="M99" s="2">
        <v>1440</v>
      </c>
      <c r="N99" s="2">
        <v>1224</v>
      </c>
      <c r="O99" s="2">
        <v>1</v>
      </c>
      <c r="P99" s="2">
        <v>1</v>
      </c>
      <c r="Q99" s="2" t="s">
        <v>1093</v>
      </c>
      <c r="R99" s="2">
        <v>0</v>
      </c>
      <c r="S99" s="2">
        <v>0</v>
      </c>
      <c r="T99" s="2">
        <v>1.5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</row>
    <row r="100" spans="1:27">
      <c r="A100" s="1">
        <v>98</v>
      </c>
      <c r="B100" s="2">
        <v>0</v>
      </c>
      <c r="C100" s="2">
        <v>201</v>
      </c>
      <c r="D100" s="2" t="s">
        <v>1134</v>
      </c>
      <c r="E100" s="2" t="s">
        <v>909</v>
      </c>
      <c r="F100" s="2" t="str">
        <f>VLOOKUP(E100,Sheet2!E:G,3,0)</f>
        <v>小儿经胸腔镜先天性膈疝修补术</v>
      </c>
      <c r="G100" s="3"/>
      <c r="H100" s="2">
        <v>2740</v>
      </c>
      <c r="I100" s="2">
        <v>2630</v>
      </c>
      <c r="J100" s="2">
        <v>2235</v>
      </c>
      <c r="K100" s="3"/>
      <c r="L100" s="2">
        <v>3445</v>
      </c>
      <c r="M100" s="2">
        <v>3055</v>
      </c>
      <c r="N100" s="2">
        <v>2600</v>
      </c>
      <c r="O100" s="2">
        <v>1</v>
      </c>
      <c r="P100" s="2">
        <v>1</v>
      </c>
      <c r="Q100" s="2" t="s">
        <v>1093</v>
      </c>
      <c r="R100" s="2">
        <v>0</v>
      </c>
      <c r="S100" s="2">
        <v>2</v>
      </c>
      <c r="T100" s="2">
        <v>0</v>
      </c>
      <c r="U100" s="2">
        <v>0</v>
      </c>
      <c r="V100" s="2">
        <v>1410</v>
      </c>
      <c r="W100" s="2">
        <v>0</v>
      </c>
      <c r="X100" s="2">
        <v>0</v>
      </c>
      <c r="Y100" s="2">
        <v>1410</v>
      </c>
      <c r="Z100" s="2">
        <v>0</v>
      </c>
      <c r="AA100" s="2">
        <v>0</v>
      </c>
    </row>
    <row r="101" spans="1:27">
      <c r="A101" s="1">
        <v>99</v>
      </c>
      <c r="B101" s="2">
        <v>0</v>
      </c>
      <c r="C101" s="2">
        <v>201</v>
      </c>
      <c r="D101" s="2" t="s">
        <v>1134</v>
      </c>
      <c r="E101" s="2" t="s">
        <v>674</v>
      </c>
      <c r="F101" s="2" t="str">
        <f>VLOOKUP(E101,Sheet2!E:G,3,0)</f>
        <v>胸壁外伤扩创术</v>
      </c>
      <c r="G101" s="3"/>
      <c r="H101" s="2">
        <v>625</v>
      </c>
      <c r="I101" s="2">
        <v>600</v>
      </c>
      <c r="J101" s="2">
        <v>510</v>
      </c>
      <c r="K101" s="3"/>
      <c r="L101" s="2">
        <v>1150</v>
      </c>
      <c r="M101" s="2">
        <v>1030</v>
      </c>
      <c r="N101" s="2">
        <v>880</v>
      </c>
      <c r="O101" s="2">
        <v>1</v>
      </c>
      <c r="P101" s="2">
        <v>1</v>
      </c>
      <c r="Q101" s="2" t="s">
        <v>1093</v>
      </c>
      <c r="R101" s="2">
        <v>0</v>
      </c>
      <c r="S101" s="2">
        <v>1</v>
      </c>
      <c r="T101" s="2">
        <v>95.95</v>
      </c>
      <c r="U101" s="2">
        <v>0.5</v>
      </c>
      <c r="V101" s="2">
        <v>525</v>
      </c>
      <c r="W101" s="2">
        <v>41258.5</v>
      </c>
      <c r="X101" s="2">
        <v>185</v>
      </c>
      <c r="Y101" s="2">
        <v>525</v>
      </c>
      <c r="Z101" s="2">
        <v>40946</v>
      </c>
      <c r="AA101" s="2">
        <v>185</v>
      </c>
    </row>
    <row r="102" spans="1:27">
      <c r="A102" s="1">
        <v>100</v>
      </c>
      <c r="B102" s="2">
        <v>0</v>
      </c>
      <c r="C102" s="2">
        <v>201</v>
      </c>
      <c r="D102" s="2" t="s">
        <v>1134</v>
      </c>
      <c r="E102" s="2" t="s">
        <v>114</v>
      </c>
      <c r="F102" s="2" t="str">
        <f>VLOOKUP(E102,Sheet2!E:G,3,0)</f>
        <v>肺阻抗血流图</v>
      </c>
      <c r="G102" s="3"/>
      <c r="H102" s="2">
        <v>11.5</v>
      </c>
      <c r="I102" s="2">
        <v>10</v>
      </c>
      <c r="J102" s="2">
        <v>8.5</v>
      </c>
      <c r="K102" s="3"/>
      <c r="L102" s="2">
        <v>11.5</v>
      </c>
      <c r="M102" s="2">
        <v>10</v>
      </c>
      <c r="N102" s="2">
        <v>8.5</v>
      </c>
      <c r="O102" s="2">
        <v>1</v>
      </c>
      <c r="P102" s="2">
        <v>1</v>
      </c>
      <c r="Q102" s="2" t="s">
        <v>1093</v>
      </c>
      <c r="R102" s="2">
        <v>0</v>
      </c>
      <c r="S102" s="2">
        <v>801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</row>
    <row r="103" spans="1:27">
      <c r="A103" s="1">
        <v>101</v>
      </c>
      <c r="B103" s="2">
        <v>0</v>
      </c>
      <c r="C103" s="2">
        <v>201</v>
      </c>
      <c r="D103" s="2" t="s">
        <v>1134</v>
      </c>
      <c r="E103" s="2" t="s">
        <v>362</v>
      </c>
      <c r="F103" s="2" t="str">
        <f>VLOOKUP(E103,Sheet2!E:G,3,0)</f>
        <v>气管支气管损伤修补术</v>
      </c>
      <c r="G103" s="3"/>
      <c r="H103" s="2">
        <v>1625</v>
      </c>
      <c r="I103" s="2">
        <v>1560</v>
      </c>
      <c r="J103" s="2">
        <v>1326</v>
      </c>
      <c r="K103" s="3"/>
      <c r="L103" s="2">
        <v>0</v>
      </c>
      <c r="M103" s="2">
        <v>0</v>
      </c>
      <c r="N103" s="2">
        <v>0</v>
      </c>
      <c r="O103" s="2">
        <v>1</v>
      </c>
      <c r="P103" s="2">
        <v>1</v>
      </c>
      <c r="Q103" s="2" t="s">
        <v>1093</v>
      </c>
      <c r="R103" s="2">
        <v>0</v>
      </c>
      <c r="S103" s="2">
        <v>0</v>
      </c>
      <c r="T103" s="2">
        <v>1</v>
      </c>
      <c r="U103" s="2">
        <v>0</v>
      </c>
      <c r="V103" s="2">
        <v>0</v>
      </c>
      <c r="W103" s="2">
        <v>-1560</v>
      </c>
      <c r="X103" s="2">
        <v>0</v>
      </c>
      <c r="Y103" s="2">
        <v>0</v>
      </c>
      <c r="Z103" s="2">
        <v>-1560</v>
      </c>
      <c r="AA103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映射表</vt:lpstr>
      <vt:lpstr>映射表 (2)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daiyun</dc:creator>
  <cp:lastModifiedBy>QHTF</cp:lastModifiedBy>
  <dcterms:created xsi:type="dcterms:W3CDTF">2025-03-27T16:43:00Z</dcterms:created>
  <dcterms:modified xsi:type="dcterms:W3CDTF">2026-04-07T14:50:19Z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DDDF69CA00CBA8D550C5AF697B59009F</vt:lpwstr>
  </property>
  <property fmtid="{D5CDD505-2E9C-101B-9397-08002B2CF9AE}" pid="3" name="KSOProductBuildVer">
    <vt:lpwstr>2052-11.8.2.12219</vt:lpwstr>
  </property>
  <property fmtid="{D5CDD505-2E9C-101B-9397-08002B2CF9AE}" pid="4" name="KSOReadingLayout">
    <vt:bool>true</vt:bool>
  </property>
</Properties>
</file>