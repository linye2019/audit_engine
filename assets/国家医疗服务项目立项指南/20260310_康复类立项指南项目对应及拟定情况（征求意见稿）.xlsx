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activeTab="1"/>
  </bookViews>
  <sheets>
    <sheet name="Sheet1" sheetId="1" r:id="rId1"/>
    <sheet name="Sheet2" sheetId="2" r:id="rId2"/>
    <sheet name="Sheet3" sheetId="3" r:id="rId3"/>
  </sheets>
  <definedNames>
    <definedName name="_xlnm._FilterDatabase" localSheetId="0" hidden="1">Sheet1!$A$3:$AF$109</definedName>
    <definedName name="_xlnm._FilterDatabase" localSheetId="1" hidden="1">Sheet2!$A$1:$W$70</definedName>
  </definedNames>
  <calcPr calcId="144525"/>
</workbook>
</file>

<file path=xl/sharedStrings.xml><?xml version="1.0" encoding="utf-8"?>
<sst xmlns="http://schemas.openxmlformats.org/spreadsheetml/2006/main" count="1936" uniqueCount="369">
  <si>
    <t>康复类立项指南项目对应及拟定情况（征求意见稿）</t>
  </si>
  <si>
    <t>康复类立项指南项目</t>
  </si>
  <si>
    <t>现行项目</t>
  </si>
  <si>
    <t>序号</t>
  </si>
  <si>
    <t>项目名称</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</si>
  <si>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</si>
  <si>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</si>
  <si>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</si>
  <si>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</si>
  <si>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</si>
  <si>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</si>
  <si>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</si>
  <si>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</si>
  <si>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</si>
  <si>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</si>
  <si>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</si>
  <si>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</si>
  <si>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
属性</t>
  </si>
  <si>
    <t>医保限定支付范围</t>
  </si>
  <si>
    <t>个人先行自付比例</t>
  </si>
  <si>
    <t>调整情况</t>
  </si>
  <si>
    <t>备注（泉州）</t>
  </si>
  <si>
    <t>国家结算编码</t>
  </si>
  <si>
    <t>项目编码</t>
  </si>
  <si>
    <t>项目内涵</t>
  </si>
  <si>
    <t>除外内容</t>
  </si>
  <si>
    <t>说明</t>
  </si>
  <si>
    <t>价格
(市级)</t>
  </si>
  <si>
    <t>价格
(县级)</t>
  </si>
  <si>
    <t>价格
(基层)</t>
  </si>
  <si>
    <t>认知功能检查</t>
  </si>
  <si>
    <t>应用常用工具、仪器设备和软件程序等方式，对患者的记忆、注意、执行等认知功能水平进行测评分析，做出认知功能有无障碍及严重程度的判断。</t>
  </si>
  <si>
    <t>所定价格涵盖资料收集、状态评估、应用各种方式测查、分析、得出结论等步骤所需的人力资源、设备成本与基本物质资源消耗。</t>
  </si>
  <si>
    <t>次</t>
  </si>
  <si>
    <t>不与临床量表项目同时收取。</t>
  </si>
  <si>
    <t>医保</t>
  </si>
  <si>
    <t>每年医保支付不超过4次。</t>
  </si>
  <si>
    <t/>
  </si>
  <si>
    <t>提高</t>
  </si>
  <si>
    <t>省局根据区域间比价（我省价格偏低）提高价格，我市按比例对应提高，同质化高的项目缩小价差。</t>
  </si>
  <si>
    <t>003402000140000-340200014</t>
  </si>
  <si>
    <t>失认失用评定</t>
  </si>
  <si>
    <t>003402000120000-340200012</t>
  </si>
  <si>
    <t>认知知觉功能检查</t>
  </si>
  <si>
    <t>限残疾人使用</t>
  </si>
  <si>
    <t>003402000130000-340200013</t>
  </si>
  <si>
    <t>记忆力评定</t>
  </si>
  <si>
    <t>003402000160000-340200016</t>
  </si>
  <si>
    <t>记忆广度检查</t>
  </si>
  <si>
    <t>003402000390000-340200039</t>
  </si>
  <si>
    <t>社区康复测查</t>
  </si>
  <si>
    <t>含咨询</t>
  </si>
  <si>
    <t>限有明确的功能障碍；评定专业人员≥3名，≥两个评估项目；一次住院医保支付≤三次；两次评定间隔≥14天</t>
  </si>
  <si>
    <t>分项</t>
  </si>
  <si>
    <t>认知功能检查-人工智能辅助检查（扩展）</t>
  </si>
  <si>
    <t>吞咽功能检查</t>
  </si>
  <si>
    <t>应用各种筛查技术以及食物稠度粘度测试等临床吞咽功能检查方式，对影响患者吞咽过程的器官结构及功能进行检查，做出吞咽功能有无障碍及严重程度的判断。</t>
  </si>
  <si>
    <t>003402000110000-340200011</t>
  </si>
  <si>
    <t>吞咽功能障碍评定</t>
  </si>
  <si>
    <t>一个疾病过程支付不超过三次</t>
  </si>
  <si>
    <t>吞咽功能检查-人工智能辅助检查（扩展）</t>
  </si>
  <si>
    <t>言语功能检查</t>
  </si>
  <si>
    <t>应用言语-语言筛查工具及设备、构音评估方法等手段，对患者的发声、构音等言语能力及听理解、复述、朗读等语言能力进行测查分析，做出言语-语言功能有无障碍及严重程度的判断。</t>
  </si>
  <si>
    <t>003402000080000-340200008</t>
  </si>
  <si>
    <t>言语能力评定</t>
  </si>
  <si>
    <t>包括一般失语症检查、构音障碍检查、言语失用检查</t>
  </si>
  <si>
    <t>限疑似言语功能障碍患者，不包括言语功能不能恢复的患者，一个疾病过程支付不超过两次。</t>
  </si>
  <si>
    <t>003402000080100-34020000801</t>
  </si>
  <si>
    <t>言语能力评定（一般失语症检查）</t>
  </si>
  <si>
    <t>一般失语症检查</t>
  </si>
  <si>
    <t>003402000080200-34020000802</t>
  </si>
  <si>
    <t>言语能力评定（构音障碍检查）</t>
  </si>
  <si>
    <t>构音障碍检查</t>
  </si>
  <si>
    <t>003402000080300-34020000803</t>
  </si>
  <si>
    <t>言语能力评定（言语失用检查）</t>
  </si>
  <si>
    <t>言语失用检查</t>
  </si>
  <si>
    <t>003402000090000-340200009</t>
  </si>
  <si>
    <t>失语症检查</t>
  </si>
  <si>
    <t>003402000100000-340200010</t>
  </si>
  <si>
    <t>口吃检查</t>
  </si>
  <si>
    <t>言语功能检查-人工智能辅助检查（扩展）</t>
  </si>
  <si>
    <t>运动功能检查</t>
  </si>
  <si>
    <t>应用各种方式，对患者的肌力、关节活动范围、平衡功能、步态、体态等运动功能进行测查分析，做出运动功能有无障碍及严重程度的判断。</t>
  </si>
  <si>
    <t>所定价格涵盖资料收集、状态评估、应用各种方式测查、分析、得出结论等步骤所需的人力资源与基本物质资源消耗。</t>
  </si>
  <si>
    <t>每年医保支付不超过4次，医保支付间隔时间不短于14天。</t>
  </si>
  <si>
    <t>003402000010000-340200001</t>
  </si>
  <si>
    <t>徒手平衡功能检查</t>
  </si>
  <si>
    <t>003104010220000-340200043</t>
  </si>
  <si>
    <t>位置平衡试验</t>
  </si>
  <si>
    <t>首先让受试者戴上红外摄像眼罩平卧于测试床上，技术人员通过红外成像系统观察几种不同体位时的眩晕症状和眼震情况，并对计算机描计出的图形进行分析，并依据位置试验（Hallpallike和Rolltest）确定诊断，明确受累半规管的位置及侧别，同时注意受试者可能出现的不同程度迷走神经兴奋症状。</t>
  </si>
  <si>
    <t>003402000020000-340200002</t>
  </si>
  <si>
    <t>仪器平衡功能评定</t>
  </si>
  <si>
    <t>003402000060000-340200006</t>
  </si>
  <si>
    <t>疲劳度测定</t>
  </si>
  <si>
    <t>003402000190000-340200019</t>
  </si>
  <si>
    <t>人体残伤测定</t>
  </si>
  <si>
    <t>003402000050000-340200005</t>
  </si>
  <si>
    <t>手功能评定</t>
  </si>
  <si>
    <t>包括徒手和仪器</t>
  </si>
  <si>
    <t>明确手功能障碍患者，总时间不超过90天，评定间隔时间不短于14天</t>
  </si>
  <si>
    <t>003402000040000-340200004</t>
  </si>
  <si>
    <t>等速肌力测定</t>
  </si>
  <si>
    <t>003402000070000-340200007</t>
  </si>
  <si>
    <t>步态分析检查</t>
  </si>
  <si>
    <t>包括足底压力分析检查</t>
  </si>
  <si>
    <t>003402000070100-34020000701</t>
  </si>
  <si>
    <t>步态分析检查（足底压力分析检查）</t>
  </si>
  <si>
    <t xml:space="preserve">足底压力分析检查 </t>
  </si>
  <si>
    <t>003104010220000-340200044</t>
  </si>
  <si>
    <t>主观重力垂直线检查</t>
  </si>
  <si>
    <t>为受试者戴上眼罩，使其视线局限在投影区的一定范围内，受试者操纵摇杆使测试线处于特定位置，技术人员通过计算机成像结果分析受试者的平衡功能。</t>
  </si>
  <si>
    <t>运动功能检查-人工智能辅助检查（扩展）</t>
  </si>
  <si>
    <t>脏器功能检查</t>
  </si>
  <si>
    <t>应用各种工具、仪器设备等方式，对患者的运动心功能、运动肺功能、呼吸肌功能、膀胱容量等脏器功能进行检查分析，做出脏器功能有无障碍及严重程度的判断。</t>
  </si>
  <si>
    <t>非医保</t>
  </si>
  <si>
    <t>理顺，降低</t>
  </si>
  <si>
    <t>加权平均后按照项目间比价关系，持平运动功能检查定价。</t>
  </si>
  <si>
    <t>003402000170000-340200017</t>
  </si>
  <si>
    <t>心功能康复评定</t>
  </si>
  <si>
    <t>003402000180000-340200018</t>
  </si>
  <si>
    <t>肺功能康复评定</t>
  </si>
  <si>
    <t>003402000070000-340200046</t>
  </si>
  <si>
    <t>6分钟步行测试</t>
  </si>
  <si>
    <t>采用标准化方法，对患者进行时间限定的步行距离、步行速度以及不适症状的检查。评价心肺疾病患者对治疗的反应情况；评价患者整体的功能状况(监测和记录患者在这6分钟步行范围内心率、血压、血氧、步行距离、费力指数等)。广泛适用于肺动脉高压、心力衰竭、COPD、间质性肺疾病、肺移植、肺减容术、肺切除术等病种评估。</t>
  </si>
  <si>
    <t>脏器功能检查-人工智能辅助检查（扩展）</t>
  </si>
  <si>
    <t>神经发育障碍检查</t>
  </si>
  <si>
    <t>由受培训专业人员、运用专门工具对于患者的认知、注意力、执行功能、社会、情感、智力、运动能力的发育和发展进行评估结果，为神经发育障碍患者的诊断、治疗和康复提供依据。</t>
  </si>
  <si>
    <t>新增</t>
  </si>
  <si>
    <t>新增项目，同质化高的项目缩小价差。参考同难度系数的项目定价。</t>
  </si>
  <si>
    <t>神经发育障碍检查-人工智能辅助检查（扩展）</t>
  </si>
  <si>
    <t>意识功能训练</t>
  </si>
  <si>
    <t>通过康复手段对各种疾病造成的昏迷、意识功能障碍等进行康复治疗，改善意识水平。</t>
  </si>
  <si>
    <t>所定价格涵盖计划制定、手法及应用不同康复设备完成声、光、电等各种感觉刺激及各种无创脑调控技术等步骤所需的人力资源、设备成本与基本物质资源消耗。</t>
  </si>
  <si>
    <t>半小时</t>
  </si>
  <si>
    <t>1.根据平均治疗时长设置每日费用封顶线。每日限计费60分钟。
2.此项目价格构成已涵盖声、光、电等各种感觉刺激费用，用于同一治疗目的时不再重复收取相关物理治疗项目费用。</t>
  </si>
  <si>
    <t>新增项目，暂按省局90%拟定，所有功能训练统一价格</t>
  </si>
  <si>
    <t>意识功能训练-每增加10分钟（加收）</t>
  </si>
  <si>
    <t>10分钟</t>
  </si>
  <si>
    <t>主项30%</t>
  </si>
  <si>
    <t>意识功能训练-人工智能辅助训练（扩展）</t>
  </si>
  <si>
    <t>认知功能训练</t>
  </si>
  <si>
    <t>通过各种康复手段对认知功能障碍进行治疗，改善认知功能。</t>
  </si>
  <si>
    <t>所定价格涵盖计划制定、手法及应用不同康复设备进行认知功能训练等步骤所需的人力资源、设备成本与基本物质资源消耗。</t>
  </si>
  <si>
    <t>根据平均治疗时长设置每日费用封顶线。每日限计费60分钟。</t>
  </si>
  <si>
    <t>限器质性病变导致的认知知觉功能障碍患者，每年医保支付不超过90天</t>
  </si>
  <si>
    <r>
      <rPr>
        <sz val="10"/>
        <rFont val="仿宋"/>
        <charset val="134"/>
      </rPr>
      <t>根据门诊总金额</t>
    </r>
    <r>
      <rPr>
        <sz val="10"/>
        <rFont val="Arial"/>
        <charset val="134"/>
      </rPr>
      <t>÷</t>
    </r>
    <r>
      <rPr>
        <sz val="10"/>
        <rFont val="仿宋"/>
        <charset val="134"/>
      </rPr>
      <t>门诊总人次，得出次均门诊费用（市级117.24，县级80.79，基层106.67）。按现有计价方式折算为半小时基础价+每10分钟加收</t>
    </r>
    <r>
      <rPr>
        <sz val="10"/>
        <rFont val="Arial"/>
        <charset val="134"/>
      </rPr>
      <t>×</t>
    </r>
    <r>
      <rPr>
        <sz val="10"/>
        <rFont val="仿宋"/>
        <charset val="134"/>
      </rPr>
      <t>3。
所有功能训练统一价格</t>
    </r>
  </si>
  <si>
    <t>003115030150000-311503015</t>
  </si>
  <si>
    <t>感觉统合治疗</t>
  </si>
  <si>
    <t>003402000380000-340200038</t>
  </si>
  <si>
    <t>认知知觉功能障碍训练</t>
  </si>
  <si>
    <t>限器质性病变导致的认知知觉功能障碍。1个疾病过程支付不超过3个月。</t>
  </si>
  <si>
    <t>003402000290000-340200029</t>
  </si>
  <si>
    <t>引导式教育训练</t>
  </si>
  <si>
    <t>认知功能训练-每增加10分钟（加收）</t>
  </si>
  <si>
    <t>认知功能训练-人工智能辅助训练（扩展）</t>
  </si>
  <si>
    <t>吞咽功能训练</t>
  </si>
  <si>
    <t>通过各种康复手段对吞咽功能障碍进行治疗，改善摄食吞咽功能。</t>
  </si>
  <si>
    <t>所定价格涵盖计划制定、手法及应用不同康复设备进行吞咽功能训练等步骤所需的人力资源、设备成本与基本物质资源消耗。</t>
  </si>
  <si>
    <t>限中、重度功能障碍患者，每年医保支付不超过90天</t>
  </si>
  <si>
    <t>省局根据区域间比价（我省价格偏低）提高价格，我市按照项目间比价关系，所有功能训练统一价格</t>
  </si>
  <si>
    <t>003402000370000-340200037</t>
  </si>
  <si>
    <t>吞咽功能障碍训练</t>
  </si>
  <si>
    <t>限中、重度功能障碍；限三级医院康复科或康复专科医院使用。1个疾病过程支付不超过3个月。</t>
  </si>
  <si>
    <t>003402000370000-340200050</t>
  </si>
  <si>
    <t>吞咽障碍电刺激训练</t>
  </si>
  <si>
    <t>利用电刺激治疗仪对患者的吞咽肌群进行低频电刺激。</t>
  </si>
  <si>
    <t>30分钟/次</t>
  </si>
  <si>
    <t>吞咽功能训练-每增加10分钟（加收）</t>
  </si>
  <si>
    <t>吞咽功能训练-人工智能辅助训练（扩展）</t>
  </si>
  <si>
    <t>言语功能训练</t>
  </si>
  <si>
    <t>通过各种康复手段对言语-语言功能障碍进行治疗，改善言语-语言功能。</t>
  </si>
  <si>
    <t>所定价格涵盖计划制定、手法及应用不同康复设备进行言语功能训练等步骤所需的人力资源、设备成本与基本物质资源消耗。</t>
  </si>
  <si>
    <t>1.限＜6周岁听力障碍儿童，由取得听觉口语师资格的人员以个别化训练方式开展，每年医保支付不超过120天；2.限因器质性病变导致的中、重度语言障碍患者，由取得听觉口语师资格的人员以个别化训练方式开展，医保支付限2年，累计支付不超过90天。</t>
  </si>
  <si>
    <t>省局根据区域间比价（我省价格偏低）提高价格，我市按照项目间比价关系对应提高，所有功能训练统一价格</t>
  </si>
  <si>
    <t>003402000330000-340200033</t>
  </si>
  <si>
    <t>口吃训练</t>
  </si>
  <si>
    <t>003402000340000-340200034</t>
  </si>
  <si>
    <t>言语训练</t>
  </si>
  <si>
    <t>限器质性病变导致的中、重度语言障碍。1个疾病过程支付不超过3个月；每日支付不超过1次.</t>
  </si>
  <si>
    <t>003402000350000-340200035</t>
  </si>
  <si>
    <t>儿童听力障碍语言训练</t>
  </si>
  <si>
    <t>限＜6岁听力障碍儿童，取得听觉口语师资格的人员开展，以个别化训练为主要方式，每周≤一次，支付≤一年。</t>
  </si>
  <si>
    <t>003402000360000-340200036</t>
  </si>
  <si>
    <t>构音障碍训练</t>
  </si>
  <si>
    <t>003115030220000-311503022</t>
  </si>
  <si>
    <t>听力整合及语言训练</t>
  </si>
  <si>
    <t>每次不少于30分钟，超过45分钟加收75%</t>
  </si>
  <si>
    <t>003115030220000-31150302201</t>
  </si>
  <si>
    <t>听力整合及语言训练（超过45分钟）</t>
  </si>
  <si>
    <t>超过45分钟</t>
  </si>
  <si>
    <t>言语功能训练-每增加10分钟（加收）</t>
  </si>
  <si>
    <t>言语功能训练-人工智能辅助训练（扩展）</t>
  </si>
  <si>
    <t>运动功能训练</t>
  </si>
  <si>
    <t>通过各种康复手段对四肢和躯干的运动功能障碍进行治疗，改善躯体运动功能。</t>
  </si>
  <si>
    <t>所定价格涵盖计划制定、手法及应用不同康复设备进行运动功能训练等步骤所需的人力资源、设备成本与基本物质资源消耗。</t>
  </si>
  <si>
    <t>根据平均治疗时长设置每日费用封顶线。每日限计费100分钟。</t>
  </si>
  <si>
    <t>限中、重度活动障碍患者，每年医保支付不超过180天。</t>
  </si>
  <si>
    <t>理顺</t>
  </si>
  <si>
    <t>003402000200000-340200020</t>
  </si>
  <si>
    <t>运动疗法</t>
  </si>
  <si>
    <t>包括全身肌力训练、各关节活动度训练、徒手体操、器械训练、步态平衡功能训练、呼吸训练</t>
  </si>
  <si>
    <t>50分钟/次</t>
  </si>
  <si>
    <t>限器质性病变导致的肌力、关节活动度和平衡功能障碍的患者，1个疾病过程支付不超过3个月；（详见闽卫农社〔2011〕26号）</t>
  </si>
  <si>
    <t>003402000200500-34020002006</t>
  </si>
  <si>
    <t>运动疗法（步态平衡功能训练）</t>
  </si>
  <si>
    <t>步态平衡功能训练</t>
  </si>
  <si>
    <t>003402000200600-34020002001</t>
  </si>
  <si>
    <t>运动疗法（呼吸训练）</t>
  </si>
  <si>
    <t>呼吸训练</t>
  </si>
  <si>
    <t>003402000200100-34020002002</t>
  </si>
  <si>
    <t>运动疗法（全身肌力训练）</t>
  </si>
  <si>
    <t>全身肌力训练</t>
  </si>
  <si>
    <t>003402000200200-34020002003</t>
  </si>
  <si>
    <t>运动疗法（各关节活动度训练）</t>
  </si>
  <si>
    <t>各关节活动度训练</t>
  </si>
  <si>
    <t>003402000200300-34020002004</t>
  </si>
  <si>
    <t>运动疗法（徒手体操）</t>
  </si>
  <si>
    <t>徒手体操</t>
  </si>
  <si>
    <t>003402000200400-34020002005</t>
  </si>
  <si>
    <t>运动疗法（器械训练）</t>
  </si>
  <si>
    <t>器械训练</t>
  </si>
  <si>
    <t>003402000210000-340200021</t>
  </si>
  <si>
    <t>减重支持系统训练</t>
  </si>
  <si>
    <t>40分钟/次</t>
  </si>
  <si>
    <t>限由神经、肌肉、骨骼疾患导致的独立行走障碍患者，支付不超过30天。</t>
  </si>
  <si>
    <t>003402000310000-340200031</t>
  </si>
  <si>
    <t>作业疗法</t>
  </si>
  <si>
    <t>含日常生活动作训练</t>
  </si>
  <si>
    <t>自助具</t>
  </si>
  <si>
    <t>限支付以下两种情形：①存在日常生活活动能力障碍（ADL）的患者，重度患者支付不超过90天，中度患者支付不超过60天，轻度患者支付不超过30天，每14天训练经功能量表评定后取得明确功能进步才可继续支付。②精神障碍康复期患者,在精神卫生机构或康复医疗机构，由具有资格的精神卫生专业人员或在其指导下的社工操作，每年支付不超过90天，每天支付不超过一次。</t>
  </si>
  <si>
    <t>003402000400000-340200040</t>
  </si>
  <si>
    <t>偏瘫肢体综合训练</t>
  </si>
  <si>
    <t>1个疾病过程支付不超过3个月。与运动疗法同时使用时只支付其中1项。</t>
  </si>
  <si>
    <t>003402000410000-340200041</t>
  </si>
  <si>
    <t>脑瘫肢体综合训练</t>
  </si>
  <si>
    <t>限儿童。3岁以前，每年支付不超过6个月；3岁以后，每年支付不超过3个月。支付总年限不超过5年。与运动疗法（详见闽卫农社〔2011〕26号）</t>
  </si>
  <si>
    <t>003402000420000-340200042</t>
  </si>
  <si>
    <t>截瘫肢体综合训练</t>
  </si>
  <si>
    <t>上肢训练支付≤30天，下肢训练支付≤20天，髋关节或肩关节离断、高位大腿截肢训练支付≤90天。</t>
  </si>
  <si>
    <t>003402000230000-340200023</t>
  </si>
  <si>
    <t>电动起立床训练</t>
  </si>
  <si>
    <t>45分钟/次</t>
  </si>
  <si>
    <t>限住院期间，以减少卧床并发症为治疗目的或者以直立行动为康复目标，支付不超过30天。</t>
  </si>
  <si>
    <t>003402000280000-340200028</t>
  </si>
  <si>
    <t>文体训练</t>
  </si>
  <si>
    <t>003402000200000-340200047</t>
  </si>
  <si>
    <t>转移动作训练</t>
  </si>
  <si>
    <t>利用各种转移动作训练设备，为患者进行被动的、辅助主动的、主动的床上翻身、起坐、站立、床与轮椅(座椅)之间的转移动作的训练，功能性活动训练及器械训练。</t>
  </si>
  <si>
    <t>003402000200000-340200048</t>
  </si>
  <si>
    <t>跑台康复训练</t>
  </si>
  <si>
    <t>根据患者具体情况，采用可调速度、可调坡度的医用康复训练跑台对患者进行康复训练。</t>
  </si>
  <si>
    <t>003402000200000-340200049</t>
  </si>
  <si>
    <t>功率自行车康复训练</t>
  </si>
  <si>
    <t>根据患者具体情况，采用可调速度、可调功率的医用康复功率车对患者进行康复训练。训练中对心率进行监测。</t>
  </si>
  <si>
    <t>003402000220000-340200051</t>
  </si>
  <si>
    <t>轮椅跑台训练</t>
  </si>
  <si>
    <t>根据患者具体情况，设置电子轮椅跑台变速时间、距离、阻力等数据，通过患者在轮椅跑台上用力摇动轮椅来完成所预定的目标。</t>
  </si>
  <si>
    <t>003402000240000-340200024</t>
  </si>
  <si>
    <t>平衡功能训练</t>
  </si>
  <si>
    <t>限有明确的平衡功能障碍，一个疾病过程支付不超过90天。</t>
  </si>
  <si>
    <t>003402000250000-340200025</t>
  </si>
  <si>
    <t>手功能训练</t>
  </si>
  <si>
    <t>支具</t>
  </si>
  <si>
    <t>限有明确的手功能障碍，一个疾病过程支付不超过90天。</t>
  </si>
  <si>
    <t>003402000260000-340200026</t>
  </si>
  <si>
    <t>关节松动训练</t>
  </si>
  <si>
    <t>包括小关节(指关节)、大关节</t>
  </si>
  <si>
    <t>限有明确的关节活动障碍，一个疾病过程支付不超过90天。</t>
  </si>
  <si>
    <t>003402000260100-34020002601</t>
  </si>
  <si>
    <t>关节松动训练（小关节-指关节）</t>
  </si>
  <si>
    <t>小关节(指关节)</t>
  </si>
  <si>
    <t>003402000260200-34020002602</t>
  </si>
  <si>
    <t>关节松动训练（大关节）</t>
  </si>
  <si>
    <t>大关节</t>
  </si>
  <si>
    <t>003402000270000-340200027</t>
  </si>
  <si>
    <t>有氧训练</t>
  </si>
  <si>
    <t>氧气</t>
  </si>
  <si>
    <t>限由于疾病或损伤导致的全身运动耐力下降患者，一个疾病过程支付不超过90天。</t>
  </si>
  <si>
    <t>003402000300000-340200030</t>
  </si>
  <si>
    <t>等速肌力训练</t>
  </si>
  <si>
    <t>353402000690000-340200045</t>
  </si>
  <si>
    <t>四肢联动康复训练</t>
  </si>
  <si>
    <t>根据患者情况，采用可调功率的四肢联动器对患者进行康复训练。训练中对心率进行监测。</t>
  </si>
  <si>
    <t>353402000680000-340200052</t>
  </si>
  <si>
    <t>镜像视觉反馈训练</t>
  </si>
  <si>
    <t>利用平面镜成像原理，将健侧活动画面反射到患者，让患者观察并想象患者正在进行相同的运动，同时治疗师可在镜后做相同的动作，借由视错觉、视觉反馈以及双侧共同运动进行康复训练20-30分钟。</t>
  </si>
  <si>
    <t>限截肢后幻肢痛、复杂性局部疼痛综合征、脑卒中后康复等收费</t>
  </si>
  <si>
    <t>运动功能训练-每增加10分钟（加收）</t>
  </si>
  <si>
    <t>运动功能训练-运动功能训练（水中）（加收）</t>
  </si>
  <si>
    <t>主项50%</t>
  </si>
  <si>
    <t>运动功能训练-人工智能辅助训练（扩展）</t>
  </si>
  <si>
    <t>脏器功能训练</t>
  </si>
  <si>
    <t>通过各种康复手段对脏器功能障碍进行治疗，改善相关脏器功能。</t>
  </si>
  <si>
    <t>所定价格涵盖计划制定、手法及应用不同康复设备进行脏器功能训练等步骤所需的人力资源、设备成本与基本物质资源消耗。</t>
  </si>
  <si>
    <t>003402000550000-311000042</t>
  </si>
  <si>
    <t>膀胱功能训练</t>
  </si>
  <si>
    <t>向患者介绍膀胱功能训练方法和目的等相关知识，取得患者配合，判断膀胱类型，选择适宜的膀胱训练方法，按既定程序讲解并示范操作动作，指导患者和家属学习训练方法，观察有无放射性排尿，有无植物神经反射亢进，有无血压升高，膀胱压力升高，记录训练效果，避免因训练方法不当而引起的尿液返流。不含导尿。</t>
  </si>
  <si>
    <t>脏器功能训练-每增加10分钟（加收）</t>
  </si>
  <si>
    <t>脏器功能训练-人工智能辅助训练（扩展）</t>
  </si>
  <si>
    <t>辅助器具使用训练</t>
  </si>
  <si>
    <t>通过选取合适的各种辅助(器)具，结合日常生活活动的训练，提高患者使用辅助器具的能力。</t>
  </si>
  <si>
    <t>所定价格涵盖计划制定、各种辅助(器)具训练等步骤所需的人力资源和基本物质资源消耗。</t>
  </si>
  <si>
    <t>限需要长期使用轮椅且能够自行操作的患者，医保支付限2年，累计支付不超过30天。</t>
  </si>
  <si>
    <t>原项目45分钟，新项目30分钟，按照省局折算原则（按原项目的75%折算）测算平移价格，同质化项目缩小价差</t>
  </si>
  <si>
    <t>003402000220000-340200022</t>
  </si>
  <si>
    <t>轮椅功能训练</t>
  </si>
  <si>
    <t>限需要长期使用轮椅且能够自行操作的患者，支付不超过30天。</t>
  </si>
  <si>
    <t>辅助器具使用训练-每增加10分钟（加收）</t>
  </si>
  <si>
    <t>辅助器具使用训练-人工智能辅助训练（扩展）</t>
  </si>
  <si>
    <t>生活技能康复训练</t>
  </si>
  <si>
    <t>通过各种康复手段（含徒手、仪器或器械）对患者进行独立生活能力、家务劳动、社交技能等多方面康复训练，改善患者从日常生活到职业生涯全方位的能力。</t>
  </si>
  <si>
    <t>所定价格涵盖评估、计划制定、指导学习、模拟训练、实际动作训练等步骤所需的人力资源、设备成本与基本物质资源消耗。</t>
  </si>
  <si>
    <t>新增项目，暂按省局90%拟定，同质化高的项目缩小价差，所有功能训练统一价格</t>
  </si>
  <si>
    <t>生活技能康复训练-每增加10分钟（加收）</t>
  </si>
  <si>
    <t>生活技能康复训练-人工智能辅助训练（扩展）</t>
  </si>
  <si>
    <t>职业技能康复训练</t>
  </si>
  <si>
    <t>通过各种康复手段（含徒手、仪器或器械）对患者进行独立职业技能、工作模拟等多方面康复训练，改善患者从日常生活到职业生涯全方位的能力。</t>
  </si>
  <si>
    <t>限法定就业年龄段患者，医保支付限2年，累计支付不超过90天。</t>
  </si>
  <si>
    <t>003402000150000-340200015</t>
  </si>
  <si>
    <t>职业能力评定</t>
  </si>
  <si>
    <t>003402000320000-340200032</t>
  </si>
  <si>
    <t>职业功能训练</t>
  </si>
  <si>
    <t xml:space="preserve">45分钟/次 </t>
  </si>
  <si>
    <t>限法定就业年龄段且有就业意愿，经过PARQ医学筛查适合进行职业功能训练的患者，支付不超过90天。</t>
  </si>
  <si>
    <t>职业技能康复训练-每增加10分钟（加收）</t>
  </si>
  <si>
    <t>职业技能康复训练-人工智能辅助训练（扩展）</t>
  </si>
  <si>
    <t>神经发育障碍康复训练（个体）</t>
  </si>
  <si>
    <t>采用一对一的形式，根据患者发育和能力评估结果制定计划，对患者进行技能训练，帮助患儿提升能力。</t>
  </si>
  <si>
    <t>限残疾人。</t>
  </si>
  <si>
    <t>根据门诊总金额÷门诊总人次，得出次均门诊费用（市级177.68，县级80.79，基层94.04）。按现有计价方式折算为半小时基础价+每10分钟加收×3。
所有功能训练统一价格</t>
  </si>
  <si>
    <t>神经发育障碍康复训练（个体）-每增加10分钟（加收）</t>
  </si>
  <si>
    <t>神经发育障碍康复训练（个体）-人工智能辅助训练（扩展）</t>
  </si>
  <si>
    <t>神经发育障碍康复训练（团体）</t>
  </si>
  <si>
    <t>通过一对多的形式，根据患者发育和能力评估结果制定计划，对患者进行技能训练，帮助患儿提升能力。</t>
  </si>
  <si>
    <t>新增价格</t>
  </si>
  <si>
    <t>新增价格，按照神经发育障碍康复训练（个体）的60%定价</t>
  </si>
  <si>
    <t>神经发育障碍康复训练（团体）-每增加10分钟（加收）</t>
  </si>
  <si>
    <t>神经发育障碍康复训练（团体）-人工智能辅助训练（扩展）</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</si>
  <si>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</si>
  <si>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</si>
  <si>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</si>
  <si>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</si>
  <si>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</si>
  <si>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</si>
  <si>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</si>
  <si>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</si>
  <si>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</si>
  <si>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</si>
  <si>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</si>
  <si>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</si>
  <si>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</si>
  <si>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</si>
  <si>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</si>
  <si>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</si>
  <si>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</si>
  <si>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</si>
  <si>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</si>
  <si>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</si>
  <si>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</si>
  <si>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</si>
  <si>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</si>
  <si>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2026-03-19 00:00:00</t>
  </si>
  <si>
    <t>normal</t>
  </si>
  <si>
    <t>main</t>
  </si>
  <si>
    <t>merge</t>
  </si>
  <si>
    <t>limit</t>
  </si>
  <si>
    <t>server_list_id</t>
  </si>
  <si>
    <t>is_main</t>
  </si>
  <si>
    <t>main_code</t>
  </si>
</sst>
</file>

<file path=xl/styles.xml><?xml version="1.0" encoding="utf-8"?>
<styleSheet xmlns="http://schemas.openxmlformats.org/spreadsheetml/2006/main">
  <numFmts count="5">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 numFmtId="176" formatCode="0.00_);[Red]\(0.00\)"/>
  </numFmts>
  <fonts count="29">
    <font>
      <sz val="11"/>
      <color theme="1"/>
      <name val="宋体"/>
      <charset val="134"/>
      <scheme val="minor"/>
    </font>
    <font>
      <b/>
      <sz val="10"/>
      <color theme="1"/>
      <name val="Arial Unicode MS"/>
      <charset val="134"/>
    </font>
    <font>
      <sz val="12"/>
      <name val="宋体"/>
      <charset val="134"/>
    </font>
    <font>
      <sz val="18"/>
      <color theme="1"/>
      <name val="楷体"/>
      <charset val="134"/>
    </font>
    <font>
      <sz val="11"/>
      <color theme="1"/>
      <name val="仿宋"/>
      <charset val="134"/>
    </font>
    <font>
      <sz val="10"/>
      <color theme="1"/>
      <name val="仿宋"/>
      <charset val="134"/>
    </font>
    <font>
      <sz val="24"/>
      <color theme="1"/>
      <name val="方正小标宋简体"/>
      <charset val="134"/>
    </font>
    <font>
      <b/>
      <sz val="10"/>
      <name val="仿宋"/>
      <charset val="134"/>
    </font>
    <font>
      <sz val="10"/>
      <name val="仿宋"/>
      <charset val="134"/>
    </font>
    <font>
      <sz val="11"/>
      <color rgb="FFFA7D00"/>
      <name val="宋体"/>
      <charset val="0"/>
      <scheme val="minor"/>
    </font>
    <font>
      <sz val="11"/>
      <color theme="1"/>
      <name val="宋体"/>
      <charset val="0"/>
      <scheme val="minor"/>
    </font>
    <font>
      <sz val="11"/>
      <color theme="0"/>
      <name val="宋体"/>
      <charset val="0"/>
      <scheme val="minor"/>
    </font>
    <font>
      <b/>
      <sz val="13"/>
      <color theme="3"/>
      <name val="宋体"/>
      <charset val="134"/>
      <scheme val="minor"/>
    </font>
    <font>
      <u/>
      <sz val="11"/>
      <color rgb="FF0000FF"/>
      <name val="宋体"/>
      <charset val="0"/>
      <scheme val="minor"/>
    </font>
    <font>
      <b/>
      <sz val="18"/>
      <color theme="3"/>
      <name val="宋体"/>
      <charset val="134"/>
      <scheme val="minor"/>
    </font>
    <font>
      <u/>
      <sz val="11"/>
      <color rgb="FF800080"/>
      <name val="宋体"/>
      <charset val="0"/>
      <scheme val="minor"/>
    </font>
    <font>
      <sz val="11"/>
      <color rgb="FFFF0000"/>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b/>
      <sz val="11"/>
      <color theme="1"/>
      <name val="宋体"/>
      <charset val="0"/>
      <scheme val="minor"/>
    </font>
    <font>
      <b/>
      <sz val="11"/>
      <color theme="3"/>
      <name val="宋体"/>
      <charset val="134"/>
      <scheme val="minor"/>
    </font>
    <font>
      <i/>
      <sz val="11"/>
      <color rgb="FF7F7F7F"/>
      <name val="宋体"/>
      <charset val="0"/>
      <scheme val="minor"/>
    </font>
    <font>
      <b/>
      <sz val="11"/>
      <color rgb="FFFA7D00"/>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0"/>
      <name val="Arial"/>
      <charset val="134"/>
    </font>
    <font>
      <sz val="11"/>
      <color rgb="FF3F3F76"/>
      <name val="宋体"/>
      <charset val="0"/>
      <scheme val="minor"/>
    </font>
  </fonts>
  <fills count="38">
    <fill>
      <patternFill patternType="none"/>
    </fill>
    <fill>
      <patternFill patternType="gray125"/>
    </fill>
    <fill>
      <patternFill patternType="solid">
        <fgColor theme="7" tint="0.8"/>
        <bgColor indexed="64"/>
      </patternFill>
    </fill>
    <fill>
      <patternFill patternType="solid">
        <fgColor theme="5" tint="0.8"/>
        <bgColor indexed="64"/>
      </patternFill>
    </fill>
    <fill>
      <patternFill patternType="solid">
        <fgColor theme="0" tint="-0.05"/>
        <bgColor indexed="64"/>
      </patternFill>
    </fill>
    <fill>
      <patternFill patternType="solid">
        <fgColor theme="4" tint="0.8"/>
        <bgColor indexed="64"/>
      </patternFill>
    </fill>
    <fill>
      <patternFill patternType="solid">
        <fgColor theme="2" tint="-0.1"/>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rgb="FFF2F2F2"/>
        <bgColor indexed="64"/>
      </patternFill>
    </fill>
    <fill>
      <patternFill patternType="solid">
        <fgColor theme="9" tint="0.399975585192419"/>
        <bgColor indexed="64"/>
      </patternFill>
    </fill>
    <fill>
      <patternFill patternType="solid">
        <fgColor rgb="FFA5A5A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theme="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bgColor indexed="64"/>
      </patternFill>
    </fill>
    <fill>
      <patternFill patternType="solid">
        <fgColor theme="7" tint="0.799981688894314"/>
        <bgColor indexed="64"/>
      </patternFill>
    </fill>
    <fill>
      <patternFill patternType="solid">
        <fgColor rgb="FFFFEB9C"/>
        <bgColor indexed="64"/>
      </patternFill>
    </fill>
    <fill>
      <patternFill patternType="solid">
        <fgColor theme="8"/>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C9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0" fontId="11" fillId="18" borderId="0" applyNumberFormat="0" applyBorder="0" applyAlignment="0" applyProtection="0">
      <alignment vertical="center"/>
    </xf>
    <xf numFmtId="0" fontId="10" fillId="29" borderId="0" applyNumberFormat="0" applyBorder="0" applyAlignment="0" applyProtection="0">
      <alignment vertical="center"/>
    </xf>
    <xf numFmtId="0" fontId="11" fillId="16" borderId="0" applyNumberFormat="0" applyBorder="0" applyAlignment="0" applyProtection="0">
      <alignment vertical="center"/>
    </xf>
    <xf numFmtId="0" fontId="28" fillId="37" borderId="8" applyNumberFormat="0" applyAlignment="0" applyProtection="0">
      <alignment vertical="center"/>
    </xf>
    <xf numFmtId="0" fontId="10" fillId="34" borderId="0" applyNumberFormat="0" applyBorder="0" applyAlignment="0" applyProtection="0">
      <alignment vertical="center"/>
    </xf>
    <xf numFmtId="0" fontId="10" fillId="33" borderId="0" applyNumberFormat="0" applyBorder="0" applyAlignment="0" applyProtection="0">
      <alignment vertical="center"/>
    </xf>
    <xf numFmtId="44" fontId="0" fillId="0" borderId="0" applyFont="0" applyFill="0" applyBorder="0" applyAlignment="0" applyProtection="0">
      <alignment vertical="center"/>
    </xf>
    <xf numFmtId="0" fontId="11" fillId="28" borderId="0" applyNumberFormat="0" applyBorder="0" applyAlignment="0" applyProtection="0">
      <alignment vertical="center"/>
    </xf>
    <xf numFmtId="9" fontId="0" fillId="0" borderId="0" applyFont="0" applyFill="0" applyBorder="0" applyAlignment="0" applyProtection="0">
      <alignment vertical="center"/>
    </xf>
    <xf numFmtId="0" fontId="11" fillId="32" borderId="0" applyNumberFormat="0" applyBorder="0" applyAlignment="0" applyProtection="0">
      <alignment vertical="center"/>
    </xf>
    <xf numFmtId="0" fontId="11" fillId="27" borderId="0" applyNumberFormat="0" applyBorder="0" applyAlignment="0" applyProtection="0">
      <alignment vertical="center"/>
    </xf>
    <xf numFmtId="0" fontId="11" fillId="25" borderId="0" applyNumberFormat="0" applyBorder="0" applyAlignment="0" applyProtection="0">
      <alignment vertical="center"/>
    </xf>
    <xf numFmtId="0" fontId="11" fillId="24" borderId="0" applyNumberFormat="0" applyBorder="0" applyAlignment="0" applyProtection="0">
      <alignment vertical="center"/>
    </xf>
    <xf numFmtId="0" fontId="11" fillId="22" borderId="0" applyNumberFormat="0" applyBorder="0" applyAlignment="0" applyProtection="0">
      <alignment vertical="center"/>
    </xf>
    <xf numFmtId="0" fontId="23" fillId="17" borderId="8" applyNumberFormat="0" applyAlignment="0" applyProtection="0">
      <alignment vertical="center"/>
    </xf>
    <xf numFmtId="0" fontId="11" fillId="10" borderId="0" applyNumberFormat="0" applyBorder="0" applyAlignment="0" applyProtection="0">
      <alignment vertical="center"/>
    </xf>
    <xf numFmtId="0" fontId="26" fillId="30" borderId="0" applyNumberFormat="0" applyBorder="0" applyAlignment="0" applyProtection="0">
      <alignment vertical="center"/>
    </xf>
    <xf numFmtId="0" fontId="10" fillId="21" borderId="0" applyNumberFormat="0" applyBorder="0" applyAlignment="0" applyProtection="0">
      <alignment vertical="center"/>
    </xf>
    <xf numFmtId="0" fontId="24" fillId="23" borderId="0" applyNumberFormat="0" applyBorder="0" applyAlignment="0" applyProtection="0">
      <alignment vertical="center"/>
    </xf>
    <xf numFmtId="0" fontId="10" fillId="20" borderId="0" applyNumberFormat="0" applyBorder="0" applyAlignment="0" applyProtection="0">
      <alignment vertical="center"/>
    </xf>
    <xf numFmtId="0" fontId="20" fillId="0" borderId="6" applyNumberFormat="0" applyFill="0" applyAlignment="0" applyProtection="0">
      <alignment vertical="center"/>
    </xf>
    <xf numFmtId="0" fontId="25" fillId="26" borderId="0" applyNumberFormat="0" applyBorder="0" applyAlignment="0" applyProtection="0">
      <alignment vertical="center"/>
    </xf>
    <xf numFmtId="0" fontId="19" fillId="19" borderId="5" applyNumberFormat="0" applyAlignment="0" applyProtection="0">
      <alignment vertical="center"/>
    </xf>
    <xf numFmtId="0" fontId="18" fillId="17" borderId="4" applyNumberFormat="0" applyAlignment="0" applyProtection="0">
      <alignment vertical="center"/>
    </xf>
    <xf numFmtId="0" fontId="17" fillId="0" borderId="3" applyNumberFormat="0" applyFill="0" applyAlignment="0" applyProtection="0">
      <alignment vertical="center"/>
    </xf>
    <xf numFmtId="0" fontId="22" fillId="0" borderId="0" applyNumberFormat="0" applyFill="0" applyBorder="0" applyAlignment="0" applyProtection="0">
      <alignment vertical="center"/>
    </xf>
    <xf numFmtId="0" fontId="10" fillId="15" borderId="0" applyNumberFormat="0" applyBorder="0" applyAlignment="0" applyProtection="0">
      <alignment vertical="center"/>
    </xf>
    <xf numFmtId="0" fontId="21" fillId="0" borderId="0" applyNumberFormat="0" applyFill="0" applyBorder="0" applyAlignment="0" applyProtection="0">
      <alignment vertical="center"/>
    </xf>
    <xf numFmtId="0" fontId="27" fillId="0" borderId="0"/>
    <xf numFmtId="42" fontId="0" fillId="0" borderId="0" applyFont="0" applyFill="0" applyBorder="0" applyAlignment="0" applyProtection="0">
      <alignment vertical="center"/>
    </xf>
    <xf numFmtId="0" fontId="10" fillId="1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0" fillId="35" borderId="0" applyNumberFormat="0" applyBorder="0" applyAlignment="0" applyProtection="0">
      <alignment vertical="center"/>
    </xf>
    <xf numFmtId="0" fontId="16" fillId="0" borderId="0" applyNumberFormat="0" applyFill="0" applyBorder="0" applyAlignment="0" applyProtection="0">
      <alignment vertical="center"/>
    </xf>
    <xf numFmtId="0" fontId="11" fillId="13" borderId="0" applyNumberFormat="0" applyBorder="0" applyAlignment="0" applyProtection="0">
      <alignment vertical="center"/>
    </xf>
    <xf numFmtId="0" fontId="0" fillId="36" borderId="9" applyNumberFormat="0" applyFont="0" applyAlignment="0" applyProtection="0">
      <alignment vertical="center"/>
    </xf>
    <xf numFmtId="0" fontId="10" fillId="12" borderId="0" applyNumberFormat="0" applyBorder="0" applyAlignment="0" applyProtection="0">
      <alignment vertical="center"/>
    </xf>
    <xf numFmtId="0" fontId="11" fillId="31" borderId="0" applyNumberFormat="0" applyBorder="0" applyAlignment="0" applyProtection="0">
      <alignment vertical="center"/>
    </xf>
    <xf numFmtId="0" fontId="10" fillId="11" borderId="0" applyNumberFormat="0" applyBorder="0" applyAlignment="0" applyProtection="0">
      <alignment vertical="center"/>
    </xf>
    <xf numFmtId="0" fontId="13" fillId="0" borderId="0" applyNumberFormat="0" applyFill="0" applyBorder="0" applyAlignment="0" applyProtection="0">
      <alignment vertical="center"/>
    </xf>
    <xf numFmtId="41" fontId="0" fillId="0" borderId="0" applyFont="0" applyFill="0" applyBorder="0" applyAlignment="0" applyProtection="0">
      <alignment vertical="center"/>
    </xf>
    <xf numFmtId="0" fontId="12" fillId="0" borderId="3" applyNumberFormat="0" applyFill="0" applyAlignment="0" applyProtection="0">
      <alignment vertical="center"/>
    </xf>
    <xf numFmtId="0" fontId="10" fillId="9" borderId="0" applyNumberFormat="0" applyBorder="0" applyAlignment="0" applyProtection="0">
      <alignment vertical="center"/>
    </xf>
    <xf numFmtId="0" fontId="21" fillId="0" borderId="7" applyNumberFormat="0" applyFill="0" applyAlignment="0" applyProtection="0">
      <alignment vertical="center"/>
    </xf>
    <xf numFmtId="0" fontId="11" fillId="8" borderId="0" applyNumberFormat="0" applyBorder="0" applyAlignment="0" applyProtection="0">
      <alignment vertical="center"/>
    </xf>
    <xf numFmtId="0" fontId="10" fillId="7" borderId="0" applyNumberFormat="0" applyBorder="0" applyAlignment="0" applyProtection="0">
      <alignment vertical="center"/>
    </xf>
    <xf numFmtId="0" fontId="9" fillId="0" borderId="2" applyNumberFormat="0" applyFill="0" applyAlignment="0" applyProtection="0">
      <alignment vertical="center"/>
    </xf>
  </cellStyleXfs>
  <cellXfs count="57">
    <xf numFmtId="0" fontId="0" fillId="0" borderId="0" xfId="0">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0" fillId="0" borderId="0" xfId="0" applyFill="1" applyBorder="1" applyAlignment="1">
      <alignment vertical="center"/>
    </xf>
    <xf numFmtId="0" fontId="0" fillId="0" borderId="0" xfId="0" applyFont="1" applyFill="1" applyBorder="1" applyAlignment="1">
      <alignment vertical="center"/>
    </xf>
    <xf numFmtId="0" fontId="0" fillId="0" borderId="0" xfId="0" applyFont="1" applyFill="1" applyAlignment="1">
      <alignment vertical="center"/>
    </xf>
    <xf numFmtId="49" fontId="0" fillId="0" borderId="0" xfId="0" applyNumberFormat="1" applyFont="1" applyFill="1" applyBorder="1" applyAlignment="1">
      <alignment vertical="center"/>
    </xf>
    <xf numFmtId="0" fontId="2" fillId="0" borderId="0" xfId="0" applyFont="1" applyFill="1" applyAlignment="1">
      <alignment vertical="center"/>
    </xf>
    <xf numFmtId="0" fontId="3" fillId="0" borderId="0" xfId="0" applyFont="1" applyBorder="1">
      <alignment vertical="center"/>
    </xf>
    <xf numFmtId="0" fontId="0" fillId="0" borderId="0" xfId="0" applyFont="1" applyBorder="1">
      <alignment vertical="center"/>
    </xf>
    <xf numFmtId="0" fontId="4" fillId="0" borderId="0" xfId="0" applyFont="1" applyBorder="1">
      <alignment vertical="center"/>
    </xf>
    <xf numFmtId="0" fontId="4" fillId="0" borderId="0" xfId="0" applyFont="1" applyBorder="1" applyAlignment="1">
      <alignment horizontal="left" vertical="center"/>
    </xf>
    <xf numFmtId="0" fontId="4" fillId="0" borderId="0" xfId="0" applyFont="1" applyBorder="1" applyAlignment="1">
      <alignment vertical="center" wrapText="1"/>
    </xf>
    <xf numFmtId="0" fontId="4" fillId="0" borderId="0" xfId="0" applyFont="1" applyBorder="1" applyAlignment="1">
      <alignment horizontal="center" vertical="center"/>
    </xf>
    <xf numFmtId="9" fontId="4" fillId="0" borderId="0" xfId="0" applyNumberFormat="1" applyFont="1" applyBorder="1">
      <alignment vertical="center"/>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5" fillId="0" borderId="0" xfId="0" applyFont="1" applyBorder="1" applyAlignment="1">
      <alignment vertical="center" wrapText="1"/>
    </xf>
    <xf numFmtId="0" fontId="5" fillId="0" borderId="0" xfId="0" applyFont="1" applyBorder="1">
      <alignment vertical="center"/>
    </xf>
    <xf numFmtId="0" fontId="5" fillId="2" borderId="0" xfId="0" applyFont="1" applyFill="1" applyBorder="1" applyAlignment="1">
      <alignment horizontal="center" vertical="center"/>
    </xf>
    <xf numFmtId="0" fontId="0" fillId="0" borderId="0" xfId="0" applyBorder="1">
      <alignment vertical="center"/>
    </xf>
    <xf numFmtId="0" fontId="6" fillId="0" borderId="0" xfId="0" applyFont="1" applyAlignment="1">
      <alignment horizontal="center" vertical="center"/>
    </xf>
    <xf numFmtId="0" fontId="3" fillId="2" borderId="0" xfId="0" applyFont="1" applyFill="1" applyAlignment="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xf>
    <xf numFmtId="0" fontId="7" fillId="3" borderId="1" xfId="0" applyFont="1" applyFill="1" applyBorder="1" applyAlignment="1">
      <alignment horizontal="center" vertical="center" wrapText="1"/>
    </xf>
    <xf numFmtId="0" fontId="8"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5" fillId="3" borderId="1" xfId="0"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4"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176" fontId="8"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5" borderId="0" xfId="0" applyFont="1" applyFill="1" applyAlignment="1">
      <alignment horizontal="center" vertical="center"/>
    </xf>
    <xf numFmtId="9" fontId="7" fillId="0" borderId="1" xfId="0" applyNumberFormat="1" applyFont="1" applyFill="1" applyBorder="1" applyAlignment="1">
      <alignment horizontal="center" vertical="center" wrapText="1"/>
    </xf>
    <xf numFmtId="0" fontId="7" fillId="6" borderId="1" xfId="0" applyFont="1" applyFill="1" applyBorder="1" applyAlignment="1">
      <alignment horizontal="center" vertical="center" wrapText="1"/>
    </xf>
    <xf numFmtId="9" fontId="8" fillId="0" borderId="1" xfId="0" applyNumberFormat="1" applyFont="1" applyFill="1" applyBorder="1" applyAlignment="1">
      <alignment horizontal="center" vertical="center" wrapText="1"/>
    </xf>
    <xf numFmtId="176" fontId="8" fillId="6"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9" fontId="5" fillId="0"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6" fillId="0" borderId="0" xfId="0" applyFont="1" applyFill="1" applyAlignment="1">
      <alignment horizontal="center" vertical="center"/>
    </xf>
    <xf numFmtId="0" fontId="3" fillId="0" borderId="0" xfId="0" applyFont="1" applyAlignment="1">
      <alignment horizontal="center" vertical="center"/>
    </xf>
    <xf numFmtId="0" fontId="5" fillId="0" borderId="1" xfId="0" applyFont="1" applyBorder="1" applyAlignment="1">
      <alignment horizontal="center" vertical="center"/>
    </xf>
  </cellXfs>
  <cellStyles count="50">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常规 10" xfId="2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CE4D6"/>
      <color rgb="00E2EFDA"/>
      <color rgb="00EDEDED"/>
      <color rgb="00C00000"/>
      <color rgb="00FFF2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09"/>
  <sheetViews>
    <sheetView topLeftCell="D1" workbookViewId="0">
      <pane ySplit="3" topLeftCell="A54" activePane="bottomLeft" state="frozen"/>
      <selection/>
      <selection pane="bottomLeft" activeCell="T57" sqref="T57"/>
    </sheetView>
  </sheetViews>
  <sheetFormatPr defaultColWidth="9" defaultRowHeight="15"/>
  <cols>
    <col min="1" max="1" width="4.125" style="10" customWidth="1"/>
    <col min="2" max="2" width="26" style="10" customWidth="1"/>
    <col min="3" max="4" width="20.125" style="11" customWidth="1"/>
    <col min="5" max="5" width="4.875" style="12" customWidth="1"/>
    <col min="6" max="6" width="20.125" style="11" customWidth="1"/>
    <col min="7" max="8" width="7.625" style="13" customWidth="1"/>
    <col min="9" max="11" width="7.625" style="10" customWidth="1"/>
    <col min="12" max="14" width="8" style="10" customWidth="1"/>
    <col min="15" max="15" width="6.5" style="13" hidden="1" customWidth="1"/>
    <col min="16" max="16" width="21.125" style="11" hidden="1" customWidth="1"/>
    <col min="17" max="17" width="8.875" style="14" hidden="1" customWidth="1"/>
    <col min="18" max="18" width="8.875" style="14" customWidth="1"/>
    <col min="19" max="19" width="21.5" style="11" customWidth="1"/>
    <col min="20" max="20" width="18.125" style="15" customWidth="1"/>
    <col min="21" max="21" width="13.5" style="15" hidden="1" customWidth="1"/>
    <col min="22" max="22" width="23.25" style="16" customWidth="1"/>
    <col min="23" max="23" width="16.75" style="17" hidden="1" customWidth="1"/>
    <col min="24" max="24" width="9" style="18" hidden="1" customWidth="1"/>
    <col min="25" max="25" width="5.25" style="18" customWidth="1"/>
    <col min="26" max="26" width="13.625" style="18" customWidth="1"/>
    <col min="27" max="29" width="9" style="19" customWidth="1"/>
    <col min="30" max="30" width="7.25" style="16" hidden="1" customWidth="1"/>
    <col min="31" max="32" width="7.25" style="10" hidden="1" customWidth="1"/>
    <col min="33" max="16384" width="9" style="20"/>
  </cols>
  <sheetData>
    <row r="1" ht="60" customHeight="1" spans="1:32">
      <c r="A1" s="21" t="s">
        <v>0</v>
      </c>
      <c r="B1" s="21"/>
      <c r="C1" s="21"/>
      <c r="D1" s="21"/>
      <c r="E1" s="21"/>
      <c r="F1" s="21"/>
      <c r="G1" s="21"/>
      <c r="H1" s="21"/>
      <c r="I1" s="21"/>
      <c r="J1" s="21"/>
      <c r="K1" s="21"/>
      <c r="L1" s="21"/>
      <c r="M1" s="21"/>
      <c r="N1" s="21"/>
      <c r="O1" s="21"/>
      <c r="P1" s="21"/>
      <c r="Q1" s="21"/>
      <c r="R1" s="21"/>
      <c r="S1" s="21"/>
      <c r="T1" s="21"/>
      <c r="U1" s="21"/>
      <c r="V1" s="21"/>
      <c r="W1" s="21"/>
      <c r="X1" s="21"/>
      <c r="Y1" s="21"/>
      <c r="Z1" s="21"/>
      <c r="AA1" s="54"/>
      <c r="AB1" s="54"/>
      <c r="AC1" s="54"/>
      <c r="AD1" s="21"/>
      <c r="AE1" s="21"/>
      <c r="AF1" s="21"/>
    </row>
    <row r="2" s="8" customFormat="1" ht="36" customHeight="1" spans="1:32">
      <c r="A2" s="22" t="s">
        <v>1</v>
      </c>
      <c r="B2" s="22"/>
      <c r="C2" s="22"/>
      <c r="D2" s="22"/>
      <c r="E2" s="22"/>
      <c r="F2" s="22"/>
      <c r="G2" s="22"/>
      <c r="H2" s="22"/>
      <c r="I2" s="22"/>
      <c r="J2" s="22"/>
      <c r="K2" s="22"/>
      <c r="L2" s="22"/>
      <c r="M2" s="22"/>
      <c r="N2" s="22"/>
      <c r="O2" s="22"/>
      <c r="P2" s="22"/>
      <c r="Q2" s="22"/>
      <c r="R2" s="22"/>
      <c r="S2" s="22"/>
      <c r="T2" s="41" t="s">
        <v>2</v>
      </c>
      <c r="U2" s="41"/>
      <c r="V2" s="41"/>
      <c r="W2" s="41"/>
      <c r="X2" s="41"/>
      <c r="Y2" s="41"/>
      <c r="Z2" s="41"/>
      <c r="AA2" s="41"/>
      <c r="AB2" s="41"/>
      <c r="AC2" s="41"/>
      <c r="AD2" s="55"/>
      <c r="AE2" s="55"/>
      <c r="AF2" s="55"/>
    </row>
    <row r="3" ht="35" customHeight="1" spans="1:32">
      <c r="A3" s="23" t="s">
        <v>3</v>
      </c>
      <c r="B3" s="23" t="s">
        <v>4</v>
      </c>
      <c r="C3" s="24" t="s">
        <v>5</v>
      </c>
      <c r="D3" s="24" t="s">
        <v>6</v>
      </c>
      <c r="E3" s="23" t="s">
        <v>7</v>
      </c>
      <c r="F3" s="24" t="s">
        <v>8</v>
      </c>
      <c r="G3" s="29" t="s">
        <v>9</v>
      </c>
      <c r="H3" s="29" t="s">
        <v>10</v>
      </c>
      <c r="I3" s="33" t="s">
        <v>11</v>
      </c>
      <c r="J3" s="33" t="s">
        <v>12</v>
      </c>
      <c r="K3" s="33" t="s">
        <v>13</v>
      </c>
      <c r="L3" s="34" t="s">
        <v>14</v>
      </c>
      <c r="M3" s="34" t="s">
        <v>15</v>
      </c>
      <c r="N3" s="34" t="s">
        <v>16</v>
      </c>
      <c r="O3" s="23" t="s">
        <v>17</v>
      </c>
      <c r="P3" s="24" t="s">
        <v>18</v>
      </c>
      <c r="Q3" s="42" t="s">
        <v>19</v>
      </c>
      <c r="R3" s="43" t="s">
        <v>20</v>
      </c>
      <c r="S3" s="23" t="s">
        <v>21</v>
      </c>
      <c r="T3" s="23" t="s">
        <v>22</v>
      </c>
      <c r="U3" s="23" t="s">
        <v>23</v>
      </c>
      <c r="V3" s="23" t="s">
        <v>4</v>
      </c>
      <c r="W3" s="23" t="s">
        <v>24</v>
      </c>
      <c r="X3" s="23" t="s">
        <v>25</v>
      </c>
      <c r="Y3" s="23" t="s">
        <v>7</v>
      </c>
      <c r="Z3" s="23" t="s">
        <v>26</v>
      </c>
      <c r="AA3" s="34" t="s">
        <v>27</v>
      </c>
      <c r="AB3" s="34" t="s">
        <v>28</v>
      </c>
      <c r="AC3" s="34" t="s">
        <v>29</v>
      </c>
      <c r="AD3" s="23" t="s">
        <v>17</v>
      </c>
      <c r="AE3" s="23" t="s">
        <v>18</v>
      </c>
      <c r="AF3" s="23" t="s">
        <v>19</v>
      </c>
    </row>
    <row r="4" s="9" customFormat="1" ht="27" customHeight="1" spans="1:32">
      <c r="A4" s="25">
        <v>1</v>
      </c>
      <c r="B4" s="25" t="s">
        <v>30</v>
      </c>
      <c r="C4" s="26" t="s">
        <v>31</v>
      </c>
      <c r="D4" s="26" t="s">
        <v>32</v>
      </c>
      <c r="E4" s="25" t="s">
        <v>33</v>
      </c>
      <c r="F4" s="26" t="s">
        <v>34</v>
      </c>
      <c r="G4" s="30">
        <v>32</v>
      </c>
      <c r="H4" s="30">
        <v>32</v>
      </c>
      <c r="I4" s="35">
        <v>20</v>
      </c>
      <c r="J4" s="35">
        <v>20</v>
      </c>
      <c r="K4" s="35">
        <v>17</v>
      </c>
      <c r="L4" s="36">
        <v>30</v>
      </c>
      <c r="M4" s="36">
        <v>29</v>
      </c>
      <c r="N4" s="36">
        <v>26</v>
      </c>
      <c r="O4" s="25" t="s">
        <v>35</v>
      </c>
      <c r="P4" s="26" t="s">
        <v>36</v>
      </c>
      <c r="Q4" s="44" t="s">
        <v>37</v>
      </c>
      <c r="R4" s="45" t="s">
        <v>38</v>
      </c>
      <c r="S4" s="26" t="s">
        <v>39</v>
      </c>
      <c r="T4" s="25" t="s">
        <v>40</v>
      </c>
      <c r="U4" s="51">
        <v>340200014</v>
      </c>
      <c r="V4" s="25" t="s">
        <v>41</v>
      </c>
      <c r="W4" s="25" t="s">
        <v>37</v>
      </c>
      <c r="X4" s="52" t="s">
        <v>37</v>
      </c>
      <c r="Y4" s="25" t="s">
        <v>33</v>
      </c>
      <c r="Z4" s="52" t="s">
        <v>37</v>
      </c>
      <c r="AA4" s="40">
        <v>20</v>
      </c>
      <c r="AB4" s="40">
        <v>20</v>
      </c>
      <c r="AC4" s="40">
        <v>17</v>
      </c>
      <c r="AD4" s="56" t="s">
        <v>37</v>
      </c>
      <c r="AE4" s="25" t="s">
        <v>37</v>
      </c>
      <c r="AF4" s="25" t="s">
        <v>37</v>
      </c>
    </row>
    <row r="5" s="9" customFormat="1" ht="27" customHeight="1" spans="1:32">
      <c r="A5" s="25"/>
      <c r="B5" s="25"/>
      <c r="C5" s="26"/>
      <c r="D5" s="26"/>
      <c r="E5" s="25"/>
      <c r="F5" s="26"/>
      <c r="G5" s="31"/>
      <c r="H5" s="31"/>
      <c r="I5" s="35"/>
      <c r="J5" s="35"/>
      <c r="K5" s="35"/>
      <c r="L5" s="36"/>
      <c r="M5" s="36"/>
      <c r="N5" s="36"/>
      <c r="O5" s="25"/>
      <c r="P5" s="26"/>
      <c r="Q5" s="44"/>
      <c r="R5" s="45"/>
      <c r="S5" s="26"/>
      <c r="T5" s="25" t="s">
        <v>42</v>
      </c>
      <c r="U5" s="51">
        <v>340200012</v>
      </c>
      <c r="V5" s="25" t="s">
        <v>43</v>
      </c>
      <c r="W5" s="25"/>
      <c r="X5" s="52"/>
      <c r="Y5" s="25" t="s">
        <v>33</v>
      </c>
      <c r="Z5" s="52"/>
      <c r="AA5" s="40">
        <v>20</v>
      </c>
      <c r="AB5" s="40">
        <v>20</v>
      </c>
      <c r="AC5" s="40">
        <v>17</v>
      </c>
      <c r="AD5" s="56" t="s">
        <v>35</v>
      </c>
      <c r="AE5" s="25" t="s">
        <v>44</v>
      </c>
      <c r="AF5" s="25"/>
    </row>
    <row r="6" s="9" customFormat="1" ht="27" customHeight="1" spans="1:32">
      <c r="A6" s="25"/>
      <c r="B6" s="25"/>
      <c r="C6" s="26"/>
      <c r="D6" s="26"/>
      <c r="E6" s="25"/>
      <c r="F6" s="26"/>
      <c r="G6" s="31"/>
      <c r="H6" s="31"/>
      <c r="I6" s="35"/>
      <c r="J6" s="35"/>
      <c r="K6" s="35"/>
      <c r="L6" s="36"/>
      <c r="M6" s="36"/>
      <c r="N6" s="36"/>
      <c r="O6" s="25"/>
      <c r="P6" s="26"/>
      <c r="Q6" s="44"/>
      <c r="R6" s="45"/>
      <c r="S6" s="26"/>
      <c r="T6" s="25" t="s">
        <v>45</v>
      </c>
      <c r="U6" s="51">
        <v>340200013</v>
      </c>
      <c r="V6" s="25" t="s">
        <v>46</v>
      </c>
      <c r="W6" s="25"/>
      <c r="X6" s="52"/>
      <c r="Y6" s="25" t="s">
        <v>33</v>
      </c>
      <c r="Z6" s="52"/>
      <c r="AA6" s="40">
        <v>20</v>
      </c>
      <c r="AB6" s="40">
        <v>20</v>
      </c>
      <c r="AC6" s="40">
        <v>17</v>
      </c>
      <c r="AD6" s="56"/>
      <c r="AE6" s="25"/>
      <c r="AF6" s="25"/>
    </row>
    <row r="7" s="9" customFormat="1" ht="27" customHeight="1" spans="1:32">
      <c r="A7" s="25"/>
      <c r="B7" s="25"/>
      <c r="C7" s="26"/>
      <c r="D7" s="26"/>
      <c r="E7" s="25"/>
      <c r="F7" s="26"/>
      <c r="G7" s="31"/>
      <c r="H7" s="31"/>
      <c r="I7" s="35"/>
      <c r="J7" s="35"/>
      <c r="K7" s="35"/>
      <c r="L7" s="36"/>
      <c r="M7" s="36"/>
      <c r="N7" s="36"/>
      <c r="O7" s="25"/>
      <c r="P7" s="26"/>
      <c r="Q7" s="44"/>
      <c r="R7" s="45"/>
      <c r="S7" s="26"/>
      <c r="T7" s="25" t="s">
        <v>47</v>
      </c>
      <c r="U7" s="51">
        <v>340200016</v>
      </c>
      <c r="V7" s="25" t="s">
        <v>48</v>
      </c>
      <c r="W7" s="25"/>
      <c r="X7" s="52"/>
      <c r="Y7" s="25" t="s">
        <v>33</v>
      </c>
      <c r="Z7" s="52"/>
      <c r="AA7" s="40">
        <v>20</v>
      </c>
      <c r="AB7" s="40">
        <v>20</v>
      </c>
      <c r="AC7" s="40">
        <v>17</v>
      </c>
      <c r="AD7" s="56"/>
      <c r="AE7" s="25"/>
      <c r="AF7" s="25"/>
    </row>
    <row r="8" s="9" customFormat="1" ht="27" customHeight="1" spans="1:32">
      <c r="A8" s="25"/>
      <c r="B8" s="25"/>
      <c r="C8" s="26"/>
      <c r="D8" s="26"/>
      <c r="E8" s="25"/>
      <c r="F8" s="26"/>
      <c r="G8" s="31"/>
      <c r="H8" s="31"/>
      <c r="I8" s="35"/>
      <c r="J8" s="35"/>
      <c r="K8" s="35"/>
      <c r="L8" s="36"/>
      <c r="M8" s="36"/>
      <c r="N8" s="36"/>
      <c r="O8" s="25"/>
      <c r="P8" s="26"/>
      <c r="Q8" s="44"/>
      <c r="R8" s="45"/>
      <c r="S8" s="26"/>
      <c r="T8" s="25" t="s">
        <v>49</v>
      </c>
      <c r="U8" s="51">
        <v>340200039</v>
      </c>
      <c r="V8" s="25" t="s">
        <v>50</v>
      </c>
      <c r="W8" s="25" t="s">
        <v>51</v>
      </c>
      <c r="X8" s="52" t="s">
        <v>37</v>
      </c>
      <c r="Y8" s="25" t="s">
        <v>33</v>
      </c>
      <c r="Z8" s="52" t="s">
        <v>37</v>
      </c>
      <c r="AA8" s="40">
        <v>20</v>
      </c>
      <c r="AB8" s="40">
        <v>20</v>
      </c>
      <c r="AC8" s="40">
        <v>17</v>
      </c>
      <c r="AD8" s="56" t="s">
        <v>35</v>
      </c>
      <c r="AE8" s="25" t="s">
        <v>52</v>
      </c>
      <c r="AF8" s="25" t="s">
        <v>37</v>
      </c>
    </row>
    <row r="9" s="9" customFormat="1" ht="32" customHeight="1" spans="1:32">
      <c r="A9" s="25" t="s">
        <v>53</v>
      </c>
      <c r="B9" s="25" t="s">
        <v>54</v>
      </c>
      <c r="C9" s="26" t="s">
        <v>37</v>
      </c>
      <c r="D9" s="26" t="s">
        <v>37</v>
      </c>
      <c r="E9" s="25" t="s">
        <v>33</v>
      </c>
      <c r="F9" s="26" t="s">
        <v>37</v>
      </c>
      <c r="G9" s="30">
        <v>32</v>
      </c>
      <c r="H9" s="30">
        <v>32</v>
      </c>
      <c r="I9" s="37"/>
      <c r="J9" s="37"/>
      <c r="K9" s="37"/>
      <c r="L9" s="36">
        <v>30</v>
      </c>
      <c r="M9" s="36">
        <v>29</v>
      </c>
      <c r="N9" s="36">
        <v>26</v>
      </c>
      <c r="O9" s="25" t="s">
        <v>35</v>
      </c>
      <c r="P9" s="26" t="s">
        <v>36</v>
      </c>
      <c r="Q9" s="44" t="s">
        <v>37</v>
      </c>
      <c r="R9" s="46"/>
      <c r="S9" s="26"/>
      <c r="T9" s="25"/>
      <c r="U9" s="51"/>
      <c r="V9" s="25"/>
      <c r="W9" s="25"/>
      <c r="X9" s="52"/>
      <c r="Y9" s="25"/>
      <c r="Z9" s="52"/>
      <c r="AA9" s="40"/>
      <c r="AB9" s="40"/>
      <c r="AC9" s="40"/>
      <c r="AD9" s="56"/>
      <c r="AE9" s="25"/>
      <c r="AF9" s="25"/>
    </row>
    <row r="10" s="9" customFormat="1" ht="97" customHeight="1" spans="1:32">
      <c r="A10" s="25">
        <v>2</v>
      </c>
      <c r="B10" s="25" t="s">
        <v>55</v>
      </c>
      <c r="C10" s="26" t="s">
        <v>56</v>
      </c>
      <c r="D10" s="26" t="s">
        <v>32</v>
      </c>
      <c r="E10" s="25" t="s">
        <v>33</v>
      </c>
      <c r="F10" s="26" t="s">
        <v>37</v>
      </c>
      <c r="G10" s="30">
        <v>32</v>
      </c>
      <c r="H10" s="30">
        <v>32</v>
      </c>
      <c r="I10" s="37">
        <v>20</v>
      </c>
      <c r="J10" s="37">
        <v>20</v>
      </c>
      <c r="K10" s="37">
        <v>17</v>
      </c>
      <c r="L10" s="36">
        <v>30</v>
      </c>
      <c r="M10" s="36">
        <v>29</v>
      </c>
      <c r="N10" s="36">
        <v>26</v>
      </c>
      <c r="O10" s="25" t="s">
        <v>35</v>
      </c>
      <c r="P10" s="26" t="s">
        <v>36</v>
      </c>
      <c r="Q10" s="44" t="s">
        <v>37</v>
      </c>
      <c r="R10" s="46" t="s">
        <v>38</v>
      </c>
      <c r="S10" s="26" t="s">
        <v>39</v>
      </c>
      <c r="T10" s="25" t="s">
        <v>57</v>
      </c>
      <c r="U10" s="51">
        <v>340200011</v>
      </c>
      <c r="V10" s="25" t="s">
        <v>58</v>
      </c>
      <c r="W10" s="25" t="s">
        <v>37</v>
      </c>
      <c r="X10" s="52" t="s">
        <v>37</v>
      </c>
      <c r="Y10" s="25" t="s">
        <v>33</v>
      </c>
      <c r="Z10" s="52" t="s">
        <v>37</v>
      </c>
      <c r="AA10" s="40">
        <v>20</v>
      </c>
      <c r="AB10" s="40">
        <v>20</v>
      </c>
      <c r="AC10" s="40">
        <v>17</v>
      </c>
      <c r="AD10" s="56" t="s">
        <v>35</v>
      </c>
      <c r="AE10" s="25" t="s">
        <v>59</v>
      </c>
      <c r="AF10" s="25" t="s">
        <v>37</v>
      </c>
    </row>
    <row r="11" s="9" customFormat="1" ht="45" customHeight="1" spans="1:32">
      <c r="A11" s="25" t="s">
        <v>53</v>
      </c>
      <c r="B11" s="25" t="s">
        <v>60</v>
      </c>
      <c r="C11" s="26" t="s">
        <v>37</v>
      </c>
      <c r="D11" s="26" t="s">
        <v>37</v>
      </c>
      <c r="E11" s="25" t="s">
        <v>33</v>
      </c>
      <c r="F11" s="26" t="s">
        <v>37</v>
      </c>
      <c r="G11" s="30">
        <v>32</v>
      </c>
      <c r="H11" s="30">
        <v>32</v>
      </c>
      <c r="I11" s="37"/>
      <c r="J11" s="37"/>
      <c r="K11" s="37"/>
      <c r="L11" s="36">
        <v>30</v>
      </c>
      <c r="M11" s="36">
        <v>29</v>
      </c>
      <c r="N11" s="36">
        <v>26</v>
      </c>
      <c r="O11" s="25" t="s">
        <v>35</v>
      </c>
      <c r="P11" s="26" t="s">
        <v>36</v>
      </c>
      <c r="Q11" s="44" t="s">
        <v>37</v>
      </c>
      <c r="R11" s="46"/>
      <c r="S11" s="26"/>
      <c r="T11" s="25"/>
      <c r="U11" s="51"/>
      <c r="V11" s="25"/>
      <c r="W11" s="25"/>
      <c r="X11" s="52"/>
      <c r="Y11" s="25"/>
      <c r="Z11" s="52"/>
      <c r="AA11" s="40"/>
      <c r="AB11" s="40"/>
      <c r="AC11" s="40"/>
      <c r="AD11" s="56"/>
      <c r="AE11" s="25"/>
      <c r="AF11" s="25"/>
    </row>
    <row r="12" s="9" customFormat="1" ht="27" customHeight="1" spans="1:32">
      <c r="A12" s="25">
        <v>3</v>
      </c>
      <c r="B12" s="25" t="s">
        <v>61</v>
      </c>
      <c r="C12" s="26" t="s">
        <v>62</v>
      </c>
      <c r="D12" s="26" t="s">
        <v>32</v>
      </c>
      <c r="E12" s="25" t="s">
        <v>33</v>
      </c>
      <c r="F12" s="26" t="s">
        <v>37</v>
      </c>
      <c r="G12" s="30">
        <v>32</v>
      </c>
      <c r="H12" s="30">
        <v>32</v>
      </c>
      <c r="I12" s="38">
        <v>24.7506925207756</v>
      </c>
      <c r="J12" s="38">
        <v>24.9632802937576</v>
      </c>
      <c r="K12" s="38">
        <v>21.3</v>
      </c>
      <c r="L12" s="36">
        <v>30</v>
      </c>
      <c r="M12" s="36">
        <v>29</v>
      </c>
      <c r="N12" s="36">
        <v>26</v>
      </c>
      <c r="O12" s="25" t="s">
        <v>35</v>
      </c>
      <c r="P12" s="26" t="s">
        <v>36</v>
      </c>
      <c r="Q12" s="44"/>
      <c r="R12" s="46" t="s">
        <v>38</v>
      </c>
      <c r="S12" s="26" t="s">
        <v>39</v>
      </c>
      <c r="T12" s="25" t="s">
        <v>63</v>
      </c>
      <c r="U12" s="51">
        <v>340200008</v>
      </c>
      <c r="V12" s="25" t="s">
        <v>64</v>
      </c>
      <c r="W12" s="25" t="s">
        <v>65</v>
      </c>
      <c r="X12" s="52" t="s">
        <v>37</v>
      </c>
      <c r="Y12" s="25" t="s">
        <v>33</v>
      </c>
      <c r="Z12" s="52" t="s">
        <v>37</v>
      </c>
      <c r="AA12" s="40">
        <v>25</v>
      </c>
      <c r="AB12" s="40">
        <v>25</v>
      </c>
      <c r="AC12" s="40">
        <v>21.3</v>
      </c>
      <c r="AD12" s="56" t="s">
        <v>35</v>
      </c>
      <c r="AE12" s="25" t="s">
        <v>66</v>
      </c>
      <c r="AF12" s="25" t="s">
        <v>37</v>
      </c>
    </row>
    <row r="13" s="9" customFormat="1" ht="27" customHeight="1" spans="1:32">
      <c r="A13" s="25"/>
      <c r="B13" s="25"/>
      <c r="C13" s="26"/>
      <c r="D13" s="26"/>
      <c r="E13" s="25"/>
      <c r="F13" s="26"/>
      <c r="G13" s="31"/>
      <c r="H13" s="31"/>
      <c r="I13" s="38"/>
      <c r="J13" s="38"/>
      <c r="K13" s="38"/>
      <c r="L13" s="36"/>
      <c r="M13" s="36"/>
      <c r="N13" s="36"/>
      <c r="O13" s="25"/>
      <c r="P13" s="26"/>
      <c r="Q13" s="44"/>
      <c r="R13" s="46"/>
      <c r="S13" s="26"/>
      <c r="T13" s="25" t="s">
        <v>67</v>
      </c>
      <c r="U13" s="51">
        <v>34020000801</v>
      </c>
      <c r="V13" s="25" t="s">
        <v>68</v>
      </c>
      <c r="W13" s="25" t="s">
        <v>37</v>
      </c>
      <c r="X13" s="52" t="s">
        <v>37</v>
      </c>
      <c r="Y13" s="25" t="s">
        <v>33</v>
      </c>
      <c r="Z13" s="52" t="s">
        <v>69</v>
      </c>
      <c r="AA13" s="40">
        <v>25</v>
      </c>
      <c r="AB13" s="40">
        <v>25</v>
      </c>
      <c r="AC13" s="40">
        <v>21.3</v>
      </c>
      <c r="AD13" s="56" t="s">
        <v>35</v>
      </c>
      <c r="AE13" s="25" t="s">
        <v>66</v>
      </c>
      <c r="AF13" s="25" t="s">
        <v>37</v>
      </c>
    </row>
    <row r="14" s="9" customFormat="1" ht="27" customHeight="1" spans="1:32">
      <c r="A14" s="25"/>
      <c r="B14" s="25"/>
      <c r="C14" s="26"/>
      <c r="D14" s="26"/>
      <c r="E14" s="25"/>
      <c r="F14" s="26"/>
      <c r="G14" s="31"/>
      <c r="H14" s="31"/>
      <c r="I14" s="38"/>
      <c r="J14" s="38"/>
      <c r="K14" s="38"/>
      <c r="L14" s="36"/>
      <c r="M14" s="36"/>
      <c r="N14" s="36"/>
      <c r="O14" s="25"/>
      <c r="P14" s="26"/>
      <c r="Q14" s="44"/>
      <c r="R14" s="46"/>
      <c r="S14" s="26"/>
      <c r="T14" s="25" t="s">
        <v>70</v>
      </c>
      <c r="U14" s="51">
        <v>34020000802</v>
      </c>
      <c r="V14" s="25" t="s">
        <v>71</v>
      </c>
      <c r="W14" s="25" t="s">
        <v>37</v>
      </c>
      <c r="X14" s="52" t="s">
        <v>37</v>
      </c>
      <c r="Y14" s="25" t="s">
        <v>33</v>
      </c>
      <c r="Z14" s="52" t="s">
        <v>72</v>
      </c>
      <c r="AA14" s="40">
        <v>25</v>
      </c>
      <c r="AB14" s="40">
        <v>25</v>
      </c>
      <c r="AC14" s="40">
        <v>21.3</v>
      </c>
      <c r="AD14" s="56" t="s">
        <v>35</v>
      </c>
      <c r="AE14" s="25" t="s">
        <v>66</v>
      </c>
      <c r="AF14" s="25" t="s">
        <v>37</v>
      </c>
    </row>
    <row r="15" s="9" customFormat="1" ht="27" customHeight="1" spans="1:32">
      <c r="A15" s="25"/>
      <c r="B15" s="25"/>
      <c r="C15" s="26"/>
      <c r="D15" s="26"/>
      <c r="E15" s="25"/>
      <c r="F15" s="26"/>
      <c r="G15" s="31"/>
      <c r="H15" s="31"/>
      <c r="I15" s="38"/>
      <c r="J15" s="38"/>
      <c r="K15" s="38"/>
      <c r="L15" s="36"/>
      <c r="M15" s="36"/>
      <c r="N15" s="36"/>
      <c r="O15" s="25"/>
      <c r="P15" s="26"/>
      <c r="Q15" s="44"/>
      <c r="R15" s="46"/>
      <c r="S15" s="26"/>
      <c r="T15" s="25" t="s">
        <v>73</v>
      </c>
      <c r="U15" s="51">
        <v>34020000803</v>
      </c>
      <c r="V15" s="25" t="s">
        <v>74</v>
      </c>
      <c r="W15" s="25" t="s">
        <v>37</v>
      </c>
      <c r="X15" s="52" t="s">
        <v>37</v>
      </c>
      <c r="Y15" s="25" t="s">
        <v>33</v>
      </c>
      <c r="Z15" s="52" t="s">
        <v>75</v>
      </c>
      <c r="AA15" s="40">
        <v>25</v>
      </c>
      <c r="AB15" s="40">
        <v>25</v>
      </c>
      <c r="AC15" s="40">
        <v>21.3</v>
      </c>
      <c r="AD15" s="56" t="s">
        <v>35</v>
      </c>
      <c r="AE15" s="25" t="s">
        <v>66</v>
      </c>
      <c r="AF15" s="25" t="s">
        <v>37</v>
      </c>
    </row>
    <row r="16" s="9" customFormat="1" ht="27" customHeight="1" spans="1:32">
      <c r="A16" s="25"/>
      <c r="B16" s="25"/>
      <c r="C16" s="26"/>
      <c r="D16" s="26"/>
      <c r="E16" s="25"/>
      <c r="F16" s="26"/>
      <c r="G16" s="31"/>
      <c r="H16" s="31"/>
      <c r="I16" s="38"/>
      <c r="J16" s="38"/>
      <c r="K16" s="38"/>
      <c r="L16" s="36"/>
      <c r="M16" s="36"/>
      <c r="N16" s="36"/>
      <c r="O16" s="25"/>
      <c r="P16" s="26"/>
      <c r="Q16" s="44"/>
      <c r="R16" s="46"/>
      <c r="S16" s="26"/>
      <c r="T16" s="25" t="s">
        <v>76</v>
      </c>
      <c r="U16" s="51">
        <v>340200009</v>
      </c>
      <c r="V16" s="25" t="s">
        <v>77</v>
      </c>
      <c r="W16" s="25" t="s">
        <v>37</v>
      </c>
      <c r="X16" s="52" t="s">
        <v>37</v>
      </c>
      <c r="Y16" s="25" t="s">
        <v>33</v>
      </c>
      <c r="Z16" s="52" t="s">
        <v>37</v>
      </c>
      <c r="AA16" s="40">
        <v>20</v>
      </c>
      <c r="AB16" s="40">
        <v>20</v>
      </c>
      <c r="AC16" s="40">
        <v>17</v>
      </c>
      <c r="AD16" s="56" t="s">
        <v>35</v>
      </c>
      <c r="AE16" s="25" t="s">
        <v>44</v>
      </c>
      <c r="AF16" s="25" t="s">
        <v>37</v>
      </c>
    </row>
    <row r="17" s="9" customFormat="1" ht="27" customHeight="1" spans="1:32">
      <c r="A17" s="25"/>
      <c r="B17" s="25"/>
      <c r="C17" s="26"/>
      <c r="D17" s="26"/>
      <c r="E17" s="25"/>
      <c r="F17" s="26"/>
      <c r="G17" s="31"/>
      <c r="H17" s="31"/>
      <c r="I17" s="38"/>
      <c r="J17" s="38"/>
      <c r="K17" s="38"/>
      <c r="L17" s="36"/>
      <c r="M17" s="36"/>
      <c r="N17" s="36"/>
      <c r="O17" s="25"/>
      <c r="P17" s="26"/>
      <c r="Q17" s="44"/>
      <c r="R17" s="46"/>
      <c r="S17" s="26"/>
      <c r="T17" s="25" t="s">
        <v>78</v>
      </c>
      <c r="U17" s="51">
        <v>340200010</v>
      </c>
      <c r="V17" s="25" t="s">
        <v>79</v>
      </c>
      <c r="W17" s="25" t="s">
        <v>37</v>
      </c>
      <c r="X17" s="52" t="s">
        <v>37</v>
      </c>
      <c r="Y17" s="25" t="s">
        <v>33</v>
      </c>
      <c r="Z17" s="52" t="s">
        <v>37</v>
      </c>
      <c r="AA17" s="40">
        <v>20</v>
      </c>
      <c r="AB17" s="40">
        <v>20</v>
      </c>
      <c r="AC17" s="40">
        <v>17</v>
      </c>
      <c r="AD17" s="56" t="s">
        <v>37</v>
      </c>
      <c r="AE17" s="25" t="s">
        <v>37</v>
      </c>
      <c r="AF17" s="25" t="s">
        <v>37</v>
      </c>
    </row>
    <row r="18" s="9" customFormat="1" ht="38" customHeight="1" spans="1:32">
      <c r="A18" s="25" t="s">
        <v>53</v>
      </c>
      <c r="B18" s="25" t="s">
        <v>80</v>
      </c>
      <c r="C18" s="26" t="s">
        <v>37</v>
      </c>
      <c r="D18" s="26" t="s">
        <v>37</v>
      </c>
      <c r="E18" s="25" t="s">
        <v>33</v>
      </c>
      <c r="F18" s="26" t="s">
        <v>37</v>
      </c>
      <c r="G18" s="30">
        <v>32</v>
      </c>
      <c r="H18" s="30">
        <v>32</v>
      </c>
      <c r="I18" s="37"/>
      <c r="J18" s="37"/>
      <c r="K18" s="37"/>
      <c r="L18" s="36">
        <v>30</v>
      </c>
      <c r="M18" s="36">
        <v>29</v>
      </c>
      <c r="N18" s="36">
        <v>26</v>
      </c>
      <c r="O18" s="25" t="s">
        <v>35</v>
      </c>
      <c r="P18" s="26" t="s">
        <v>36</v>
      </c>
      <c r="Q18" s="44" t="s">
        <v>37</v>
      </c>
      <c r="R18" s="46"/>
      <c r="S18" s="26"/>
      <c r="T18" s="25"/>
      <c r="U18" s="51"/>
      <c r="V18" s="25"/>
      <c r="W18" s="25"/>
      <c r="X18" s="52"/>
      <c r="Y18" s="25"/>
      <c r="Z18" s="52"/>
      <c r="AA18" s="40"/>
      <c r="AB18" s="40"/>
      <c r="AC18" s="40"/>
      <c r="AD18" s="56"/>
      <c r="AE18" s="25"/>
      <c r="AF18" s="25"/>
    </row>
    <row r="19" s="9" customFormat="1" ht="27" customHeight="1" spans="1:32">
      <c r="A19" s="25">
        <v>4</v>
      </c>
      <c r="B19" s="25" t="s">
        <v>81</v>
      </c>
      <c r="C19" s="26" t="s">
        <v>82</v>
      </c>
      <c r="D19" s="26" t="s">
        <v>83</v>
      </c>
      <c r="E19" s="25" t="s">
        <v>33</v>
      </c>
      <c r="F19" s="26" t="s">
        <v>37</v>
      </c>
      <c r="G19" s="30">
        <v>40</v>
      </c>
      <c r="H19" s="30">
        <v>40</v>
      </c>
      <c r="I19" s="38">
        <v>35.607481822723</v>
      </c>
      <c r="J19" s="38">
        <v>34.0273206056616</v>
      </c>
      <c r="K19" s="38">
        <v>28.7158464286639</v>
      </c>
      <c r="L19" s="36">
        <v>38</v>
      </c>
      <c r="M19" s="36">
        <v>36</v>
      </c>
      <c r="N19" s="36">
        <v>32</v>
      </c>
      <c r="O19" s="25" t="s">
        <v>35</v>
      </c>
      <c r="P19" s="26" t="s">
        <v>84</v>
      </c>
      <c r="Q19" s="44" t="s">
        <v>37</v>
      </c>
      <c r="R19" s="45" t="s">
        <v>38</v>
      </c>
      <c r="S19" s="26" t="s">
        <v>39</v>
      </c>
      <c r="T19" s="25" t="s">
        <v>85</v>
      </c>
      <c r="U19" s="51">
        <v>340200001</v>
      </c>
      <c r="V19" s="25" t="s">
        <v>86</v>
      </c>
      <c r="W19" s="25" t="s">
        <v>37</v>
      </c>
      <c r="X19" s="52" t="s">
        <v>37</v>
      </c>
      <c r="Y19" s="25" t="s">
        <v>33</v>
      </c>
      <c r="Z19" s="52" t="s">
        <v>37</v>
      </c>
      <c r="AA19" s="40">
        <v>20</v>
      </c>
      <c r="AB19" s="40">
        <v>20</v>
      </c>
      <c r="AC19" s="40">
        <v>17</v>
      </c>
      <c r="AD19" s="56" t="s">
        <v>37</v>
      </c>
      <c r="AE19" s="25" t="s">
        <v>37</v>
      </c>
      <c r="AF19" s="25" t="s">
        <v>37</v>
      </c>
    </row>
    <row r="20" s="9" customFormat="1" ht="27" customHeight="1" spans="1:32">
      <c r="A20" s="25"/>
      <c r="B20" s="25"/>
      <c r="C20" s="26"/>
      <c r="D20" s="26"/>
      <c r="E20" s="25"/>
      <c r="F20" s="26"/>
      <c r="G20" s="31"/>
      <c r="H20" s="31"/>
      <c r="I20" s="38"/>
      <c r="J20" s="38"/>
      <c r="K20" s="38"/>
      <c r="L20" s="36"/>
      <c r="M20" s="36"/>
      <c r="N20" s="36"/>
      <c r="O20" s="25"/>
      <c r="P20" s="26"/>
      <c r="Q20" s="44"/>
      <c r="R20" s="45"/>
      <c r="S20" s="26"/>
      <c r="T20" s="25" t="s">
        <v>87</v>
      </c>
      <c r="U20" s="51">
        <v>340200043</v>
      </c>
      <c r="V20" s="25" t="s">
        <v>88</v>
      </c>
      <c r="W20" s="25" t="s">
        <v>89</v>
      </c>
      <c r="X20" s="52" t="s">
        <v>37</v>
      </c>
      <c r="Y20" s="25" t="s">
        <v>33</v>
      </c>
      <c r="Z20" s="52" t="s">
        <v>37</v>
      </c>
      <c r="AA20" s="40">
        <v>100</v>
      </c>
      <c r="AB20" s="40">
        <v>90</v>
      </c>
      <c r="AC20" s="40">
        <v>77</v>
      </c>
      <c r="AD20" s="56" t="s">
        <v>35</v>
      </c>
      <c r="AE20" s="25" t="s">
        <v>37</v>
      </c>
      <c r="AF20" s="25" t="s">
        <v>37</v>
      </c>
    </row>
    <row r="21" s="9" customFormat="1" ht="27" customHeight="1" spans="1:32">
      <c r="A21" s="25"/>
      <c r="B21" s="25"/>
      <c r="C21" s="26"/>
      <c r="D21" s="26"/>
      <c r="E21" s="25"/>
      <c r="F21" s="26"/>
      <c r="G21" s="31"/>
      <c r="H21" s="31"/>
      <c r="I21" s="38"/>
      <c r="J21" s="38"/>
      <c r="K21" s="38"/>
      <c r="L21" s="36"/>
      <c r="M21" s="36"/>
      <c r="N21" s="36"/>
      <c r="O21" s="25"/>
      <c r="P21" s="26"/>
      <c r="Q21" s="44"/>
      <c r="R21" s="45"/>
      <c r="S21" s="26"/>
      <c r="T21" s="25" t="s">
        <v>90</v>
      </c>
      <c r="U21" s="51">
        <v>340200002</v>
      </c>
      <c r="V21" s="25" t="s">
        <v>91</v>
      </c>
      <c r="W21" s="25"/>
      <c r="X21" s="52"/>
      <c r="Y21" s="25" t="s">
        <v>33</v>
      </c>
      <c r="Z21" s="52"/>
      <c r="AA21" s="40">
        <v>30</v>
      </c>
      <c r="AB21" s="40">
        <v>30</v>
      </c>
      <c r="AC21" s="40">
        <v>25.5</v>
      </c>
      <c r="AD21" s="56" t="s">
        <v>35</v>
      </c>
      <c r="AE21" s="25" t="s">
        <v>44</v>
      </c>
      <c r="AF21" s="25"/>
    </row>
    <row r="22" s="9" customFormat="1" ht="27" customHeight="1" spans="1:32">
      <c r="A22" s="25"/>
      <c r="B22" s="25"/>
      <c r="C22" s="26"/>
      <c r="D22" s="26"/>
      <c r="E22" s="25"/>
      <c r="F22" s="26"/>
      <c r="G22" s="31"/>
      <c r="H22" s="31"/>
      <c r="I22" s="38"/>
      <c r="J22" s="38"/>
      <c r="K22" s="38"/>
      <c r="L22" s="36"/>
      <c r="M22" s="36"/>
      <c r="N22" s="36"/>
      <c r="O22" s="25"/>
      <c r="P22" s="26"/>
      <c r="Q22" s="44"/>
      <c r="R22" s="45"/>
      <c r="S22" s="26"/>
      <c r="T22" s="25" t="s">
        <v>92</v>
      </c>
      <c r="U22" s="51">
        <v>340200006</v>
      </c>
      <c r="V22" s="25" t="s">
        <v>93</v>
      </c>
      <c r="W22" s="25" t="s">
        <v>37</v>
      </c>
      <c r="X22" s="52" t="s">
        <v>37</v>
      </c>
      <c r="Y22" s="25" t="s">
        <v>33</v>
      </c>
      <c r="Z22" s="52" t="s">
        <v>37</v>
      </c>
      <c r="AA22" s="40">
        <v>20</v>
      </c>
      <c r="AB22" s="40">
        <v>20</v>
      </c>
      <c r="AC22" s="40">
        <v>17</v>
      </c>
      <c r="AD22" s="56" t="s">
        <v>37</v>
      </c>
      <c r="AE22" s="25" t="s">
        <v>37</v>
      </c>
      <c r="AF22" s="25" t="s">
        <v>37</v>
      </c>
    </row>
    <row r="23" s="9" customFormat="1" ht="27" customHeight="1" spans="1:32">
      <c r="A23" s="25"/>
      <c r="B23" s="25"/>
      <c r="C23" s="26"/>
      <c r="D23" s="26"/>
      <c r="E23" s="25"/>
      <c r="F23" s="26"/>
      <c r="G23" s="31"/>
      <c r="H23" s="31"/>
      <c r="I23" s="38"/>
      <c r="J23" s="38"/>
      <c r="K23" s="38"/>
      <c r="L23" s="36"/>
      <c r="M23" s="36"/>
      <c r="N23" s="36"/>
      <c r="O23" s="25"/>
      <c r="P23" s="26"/>
      <c r="Q23" s="44"/>
      <c r="R23" s="45"/>
      <c r="S23" s="26"/>
      <c r="T23" s="25" t="s">
        <v>94</v>
      </c>
      <c r="U23" s="51">
        <v>340200019</v>
      </c>
      <c r="V23" s="25" t="s">
        <v>95</v>
      </c>
      <c r="W23" s="25" t="s">
        <v>37</v>
      </c>
      <c r="X23" s="52" t="s">
        <v>37</v>
      </c>
      <c r="Y23" s="25" t="s">
        <v>33</v>
      </c>
      <c r="Z23" s="52" t="s">
        <v>37</v>
      </c>
      <c r="AA23" s="40">
        <v>60</v>
      </c>
      <c r="AB23" s="40">
        <v>60</v>
      </c>
      <c r="AC23" s="40">
        <v>51</v>
      </c>
      <c r="AD23" s="56" t="s">
        <v>37</v>
      </c>
      <c r="AE23" s="25" t="s">
        <v>37</v>
      </c>
      <c r="AF23" s="25" t="s">
        <v>37</v>
      </c>
    </row>
    <row r="24" s="9" customFormat="1" ht="27" customHeight="1" spans="1:32">
      <c r="A24" s="25"/>
      <c r="B24" s="25"/>
      <c r="C24" s="26"/>
      <c r="D24" s="26"/>
      <c r="E24" s="25"/>
      <c r="F24" s="26"/>
      <c r="G24" s="31"/>
      <c r="H24" s="31"/>
      <c r="I24" s="38"/>
      <c r="J24" s="38"/>
      <c r="K24" s="38"/>
      <c r="L24" s="36"/>
      <c r="M24" s="36"/>
      <c r="N24" s="36"/>
      <c r="O24" s="25"/>
      <c r="P24" s="26"/>
      <c r="Q24" s="44"/>
      <c r="R24" s="45"/>
      <c r="S24" s="26"/>
      <c r="T24" s="25" t="s">
        <v>96</v>
      </c>
      <c r="U24" s="51">
        <v>340200005</v>
      </c>
      <c r="V24" s="25" t="s">
        <v>97</v>
      </c>
      <c r="W24" s="25" t="s">
        <v>98</v>
      </c>
      <c r="X24" s="52" t="s">
        <v>37</v>
      </c>
      <c r="Y24" s="25" t="s">
        <v>33</v>
      </c>
      <c r="Z24" s="52" t="s">
        <v>37</v>
      </c>
      <c r="AA24" s="40">
        <v>25</v>
      </c>
      <c r="AB24" s="40">
        <v>25</v>
      </c>
      <c r="AC24" s="40">
        <v>21.3</v>
      </c>
      <c r="AD24" s="56" t="s">
        <v>35</v>
      </c>
      <c r="AE24" s="25" t="s">
        <v>99</v>
      </c>
      <c r="AF24" s="25" t="s">
        <v>37</v>
      </c>
    </row>
    <row r="25" s="9" customFormat="1" ht="27" customHeight="1" spans="1:32">
      <c r="A25" s="25"/>
      <c r="B25" s="25"/>
      <c r="C25" s="26"/>
      <c r="D25" s="26"/>
      <c r="E25" s="25"/>
      <c r="F25" s="26"/>
      <c r="G25" s="31"/>
      <c r="H25" s="31"/>
      <c r="I25" s="38"/>
      <c r="J25" s="38"/>
      <c r="K25" s="38"/>
      <c r="L25" s="36"/>
      <c r="M25" s="36"/>
      <c r="N25" s="36"/>
      <c r="O25" s="25"/>
      <c r="P25" s="26"/>
      <c r="Q25" s="44"/>
      <c r="R25" s="45"/>
      <c r="S25" s="26"/>
      <c r="T25" s="25" t="s">
        <v>100</v>
      </c>
      <c r="U25" s="51">
        <v>340200004</v>
      </c>
      <c r="V25" s="25" t="s">
        <v>101</v>
      </c>
      <c r="W25" s="25" t="s">
        <v>37</v>
      </c>
      <c r="X25" s="52" t="s">
        <v>37</v>
      </c>
      <c r="Y25" s="25" t="s">
        <v>33</v>
      </c>
      <c r="Z25" s="52" t="s">
        <v>37</v>
      </c>
      <c r="AA25" s="40">
        <v>20</v>
      </c>
      <c r="AB25" s="40">
        <v>20</v>
      </c>
      <c r="AC25" s="40">
        <v>17</v>
      </c>
      <c r="AD25" s="56" t="s">
        <v>35</v>
      </c>
      <c r="AE25" s="25" t="s">
        <v>44</v>
      </c>
      <c r="AF25" s="25" t="s">
        <v>37</v>
      </c>
    </row>
    <row r="26" s="9" customFormat="1" ht="27" customHeight="1" spans="1:32">
      <c r="A26" s="25"/>
      <c r="B26" s="25"/>
      <c r="C26" s="26"/>
      <c r="D26" s="26"/>
      <c r="E26" s="25"/>
      <c r="F26" s="26"/>
      <c r="G26" s="31"/>
      <c r="H26" s="31"/>
      <c r="I26" s="38"/>
      <c r="J26" s="38"/>
      <c r="K26" s="38"/>
      <c r="L26" s="36"/>
      <c r="M26" s="36"/>
      <c r="N26" s="36"/>
      <c r="O26" s="25"/>
      <c r="P26" s="26"/>
      <c r="Q26" s="44"/>
      <c r="R26" s="45"/>
      <c r="S26" s="26"/>
      <c r="T26" s="25" t="s">
        <v>102</v>
      </c>
      <c r="U26" s="51">
        <v>340200007</v>
      </c>
      <c r="V26" s="25" t="s">
        <v>103</v>
      </c>
      <c r="W26" s="25" t="s">
        <v>104</v>
      </c>
      <c r="X26" s="52" t="s">
        <v>37</v>
      </c>
      <c r="Y26" s="25" t="s">
        <v>33</v>
      </c>
      <c r="Z26" s="52" t="s">
        <v>37</v>
      </c>
      <c r="AA26" s="40">
        <v>30</v>
      </c>
      <c r="AB26" s="40">
        <v>30</v>
      </c>
      <c r="AC26" s="40">
        <v>25.5</v>
      </c>
      <c r="AD26" s="56" t="s">
        <v>35</v>
      </c>
      <c r="AE26" s="25" t="s">
        <v>44</v>
      </c>
      <c r="AF26" s="25" t="s">
        <v>37</v>
      </c>
    </row>
    <row r="27" s="9" customFormat="1" ht="27" customHeight="1" spans="1:32">
      <c r="A27" s="25"/>
      <c r="B27" s="25"/>
      <c r="C27" s="26"/>
      <c r="D27" s="26"/>
      <c r="E27" s="25"/>
      <c r="F27" s="26"/>
      <c r="G27" s="31"/>
      <c r="H27" s="31"/>
      <c r="I27" s="38"/>
      <c r="J27" s="38"/>
      <c r="K27" s="38"/>
      <c r="L27" s="36"/>
      <c r="M27" s="36"/>
      <c r="N27" s="36"/>
      <c r="O27" s="25"/>
      <c r="P27" s="26"/>
      <c r="Q27" s="44"/>
      <c r="R27" s="45"/>
      <c r="S27" s="26"/>
      <c r="T27" s="25" t="s">
        <v>105</v>
      </c>
      <c r="U27" s="51">
        <v>34020000701</v>
      </c>
      <c r="V27" s="25" t="s">
        <v>106</v>
      </c>
      <c r="W27" s="25" t="s">
        <v>37</v>
      </c>
      <c r="X27" s="52" t="s">
        <v>37</v>
      </c>
      <c r="Y27" s="25" t="s">
        <v>33</v>
      </c>
      <c r="Z27" s="52" t="s">
        <v>107</v>
      </c>
      <c r="AA27" s="40">
        <v>30</v>
      </c>
      <c r="AB27" s="40">
        <v>30</v>
      </c>
      <c r="AC27" s="40">
        <v>25.5</v>
      </c>
      <c r="AD27" s="56" t="s">
        <v>35</v>
      </c>
      <c r="AE27" s="25" t="s">
        <v>44</v>
      </c>
      <c r="AF27" s="25" t="s">
        <v>37</v>
      </c>
    </row>
    <row r="28" s="9" customFormat="1" ht="27" customHeight="1" spans="1:32">
      <c r="A28" s="25"/>
      <c r="B28" s="25"/>
      <c r="C28" s="26"/>
      <c r="D28" s="26"/>
      <c r="E28" s="25"/>
      <c r="F28" s="26"/>
      <c r="G28" s="31"/>
      <c r="H28" s="31"/>
      <c r="I28" s="38"/>
      <c r="J28" s="38"/>
      <c r="K28" s="38"/>
      <c r="L28" s="36"/>
      <c r="M28" s="36"/>
      <c r="N28" s="36"/>
      <c r="O28" s="25"/>
      <c r="P28" s="26"/>
      <c r="Q28" s="44"/>
      <c r="R28" s="45"/>
      <c r="S28" s="26"/>
      <c r="T28" s="25" t="s">
        <v>108</v>
      </c>
      <c r="U28" s="51">
        <v>340200044</v>
      </c>
      <c r="V28" s="25" t="s">
        <v>109</v>
      </c>
      <c r="W28" s="25" t="s">
        <v>110</v>
      </c>
      <c r="X28" s="52" t="s">
        <v>37</v>
      </c>
      <c r="Y28" s="25" t="s">
        <v>33</v>
      </c>
      <c r="Z28" s="52" t="s">
        <v>37</v>
      </c>
      <c r="AA28" s="40">
        <v>80</v>
      </c>
      <c r="AB28" s="40">
        <v>72</v>
      </c>
      <c r="AC28" s="40">
        <v>61</v>
      </c>
      <c r="AD28" s="56" t="s">
        <v>35</v>
      </c>
      <c r="AE28" s="25" t="s">
        <v>37</v>
      </c>
      <c r="AF28" s="25" t="s">
        <v>37</v>
      </c>
    </row>
    <row r="29" s="9" customFormat="1" ht="36" customHeight="1" spans="1:32">
      <c r="A29" s="25" t="s">
        <v>53</v>
      </c>
      <c r="B29" s="25" t="s">
        <v>111</v>
      </c>
      <c r="C29" s="26" t="s">
        <v>37</v>
      </c>
      <c r="D29" s="26" t="s">
        <v>37</v>
      </c>
      <c r="E29" s="25" t="s">
        <v>33</v>
      </c>
      <c r="F29" s="26" t="s">
        <v>37</v>
      </c>
      <c r="G29" s="30">
        <v>40</v>
      </c>
      <c r="H29" s="30">
        <v>40</v>
      </c>
      <c r="I29" s="37"/>
      <c r="J29" s="37"/>
      <c r="K29" s="37"/>
      <c r="L29" s="36">
        <v>38</v>
      </c>
      <c r="M29" s="36">
        <v>36</v>
      </c>
      <c r="N29" s="36">
        <v>32</v>
      </c>
      <c r="O29" s="25" t="s">
        <v>35</v>
      </c>
      <c r="P29" s="26" t="s">
        <v>84</v>
      </c>
      <c r="Q29" s="44" t="s">
        <v>37</v>
      </c>
      <c r="R29" s="46"/>
      <c r="S29" s="26"/>
      <c r="T29" s="25"/>
      <c r="U29" s="51"/>
      <c r="V29" s="25"/>
      <c r="W29" s="25"/>
      <c r="X29" s="52"/>
      <c r="Y29" s="25"/>
      <c r="Z29" s="52"/>
      <c r="AA29" s="40"/>
      <c r="AB29" s="40"/>
      <c r="AC29" s="40"/>
      <c r="AD29" s="56"/>
      <c r="AE29" s="25"/>
      <c r="AF29" s="25"/>
    </row>
    <row r="30" s="9" customFormat="1" ht="31" customHeight="1" spans="1:32">
      <c r="A30" s="25">
        <v>5</v>
      </c>
      <c r="B30" s="25" t="s">
        <v>112</v>
      </c>
      <c r="C30" s="26" t="s">
        <v>113</v>
      </c>
      <c r="D30" s="26" t="s">
        <v>32</v>
      </c>
      <c r="E30" s="25" t="s">
        <v>33</v>
      </c>
      <c r="F30" s="26" t="s">
        <v>37</v>
      </c>
      <c r="G30" s="30">
        <v>40</v>
      </c>
      <c r="H30" s="30">
        <v>40</v>
      </c>
      <c r="I30" s="38">
        <v>39.8380087728246</v>
      </c>
      <c r="J30" s="38">
        <v>39.0954478707783</v>
      </c>
      <c r="K30" s="38">
        <v>28.2727272727273</v>
      </c>
      <c r="L30" s="36">
        <v>38</v>
      </c>
      <c r="M30" s="36">
        <v>36</v>
      </c>
      <c r="N30" s="36">
        <v>32</v>
      </c>
      <c r="O30" s="25" t="s">
        <v>114</v>
      </c>
      <c r="P30" s="26" t="s">
        <v>37</v>
      </c>
      <c r="Q30" s="44" t="s">
        <v>37</v>
      </c>
      <c r="R30" s="46" t="s">
        <v>115</v>
      </c>
      <c r="S30" s="26" t="s">
        <v>116</v>
      </c>
      <c r="T30" s="25" t="s">
        <v>117</v>
      </c>
      <c r="U30" s="51">
        <v>340200017</v>
      </c>
      <c r="V30" s="25" t="s">
        <v>118</v>
      </c>
      <c r="W30" s="25" t="s">
        <v>37</v>
      </c>
      <c r="X30" s="52" t="s">
        <v>37</v>
      </c>
      <c r="Y30" s="25" t="s">
        <v>33</v>
      </c>
      <c r="Z30" s="52" t="s">
        <v>37</v>
      </c>
      <c r="AA30" s="40">
        <v>40</v>
      </c>
      <c r="AB30" s="40">
        <v>40</v>
      </c>
      <c r="AC30" s="40">
        <v>34</v>
      </c>
      <c r="AD30" s="56" t="s">
        <v>37</v>
      </c>
      <c r="AE30" s="25" t="s">
        <v>37</v>
      </c>
      <c r="AF30" s="25" t="s">
        <v>37</v>
      </c>
    </row>
    <row r="31" s="9" customFormat="1" ht="31" customHeight="1" spans="1:32">
      <c r="A31" s="25"/>
      <c r="B31" s="25"/>
      <c r="C31" s="26"/>
      <c r="D31" s="26"/>
      <c r="E31" s="25"/>
      <c r="F31" s="26"/>
      <c r="G31" s="31"/>
      <c r="H31" s="31"/>
      <c r="I31" s="38"/>
      <c r="J31" s="38"/>
      <c r="K31" s="38"/>
      <c r="L31" s="36"/>
      <c r="M31" s="36"/>
      <c r="N31" s="36"/>
      <c r="O31" s="25"/>
      <c r="P31" s="26"/>
      <c r="Q31" s="44"/>
      <c r="R31" s="46"/>
      <c r="S31" s="26"/>
      <c r="T31" s="25" t="s">
        <v>119</v>
      </c>
      <c r="U31" s="51">
        <v>340200018</v>
      </c>
      <c r="V31" s="25" t="s">
        <v>120</v>
      </c>
      <c r="W31" s="25" t="s">
        <v>37</v>
      </c>
      <c r="X31" s="52" t="s">
        <v>37</v>
      </c>
      <c r="Y31" s="25" t="s">
        <v>33</v>
      </c>
      <c r="Z31" s="52" t="s">
        <v>37</v>
      </c>
      <c r="AA31" s="40">
        <v>40</v>
      </c>
      <c r="AB31" s="40">
        <v>40</v>
      </c>
      <c r="AC31" s="40">
        <v>34</v>
      </c>
      <c r="AD31" s="56" t="s">
        <v>37</v>
      </c>
      <c r="AE31" s="25" t="s">
        <v>37</v>
      </c>
      <c r="AF31" s="25" t="s">
        <v>37</v>
      </c>
    </row>
    <row r="32" s="9" customFormat="1" ht="31" customHeight="1" spans="1:32">
      <c r="A32" s="25"/>
      <c r="B32" s="25"/>
      <c r="C32" s="26"/>
      <c r="D32" s="26"/>
      <c r="E32" s="25"/>
      <c r="F32" s="26"/>
      <c r="G32" s="31"/>
      <c r="H32" s="31"/>
      <c r="I32" s="38"/>
      <c r="J32" s="38"/>
      <c r="K32" s="38"/>
      <c r="L32" s="36"/>
      <c r="M32" s="36"/>
      <c r="N32" s="36"/>
      <c r="O32" s="25"/>
      <c r="P32" s="26"/>
      <c r="Q32" s="44"/>
      <c r="R32" s="46"/>
      <c r="S32" s="26"/>
      <c r="T32" s="25" t="s">
        <v>121</v>
      </c>
      <c r="U32" s="51">
        <v>340200046</v>
      </c>
      <c r="V32" s="25" t="s">
        <v>122</v>
      </c>
      <c r="W32" s="25" t="s">
        <v>123</v>
      </c>
      <c r="X32" s="52" t="s">
        <v>37</v>
      </c>
      <c r="Y32" s="25" t="s">
        <v>33</v>
      </c>
      <c r="Z32" s="52" t="s">
        <v>37</v>
      </c>
      <c r="AA32" s="40">
        <v>36</v>
      </c>
      <c r="AB32" s="40">
        <v>32</v>
      </c>
      <c r="AC32" s="40">
        <v>27</v>
      </c>
      <c r="AD32" s="56" t="s">
        <v>37</v>
      </c>
      <c r="AE32" s="25" t="s">
        <v>37</v>
      </c>
      <c r="AF32" s="25" t="s">
        <v>37</v>
      </c>
    </row>
    <row r="33" s="9" customFormat="1" ht="35" customHeight="1" spans="1:32">
      <c r="A33" s="25" t="s">
        <v>53</v>
      </c>
      <c r="B33" s="25" t="s">
        <v>124</v>
      </c>
      <c r="C33" s="26" t="s">
        <v>37</v>
      </c>
      <c r="D33" s="26" t="s">
        <v>37</v>
      </c>
      <c r="E33" s="25" t="s">
        <v>33</v>
      </c>
      <c r="F33" s="26" t="s">
        <v>37</v>
      </c>
      <c r="G33" s="30">
        <v>40</v>
      </c>
      <c r="H33" s="30">
        <v>40</v>
      </c>
      <c r="I33" s="37"/>
      <c r="J33" s="37"/>
      <c r="K33" s="37"/>
      <c r="L33" s="36">
        <v>38</v>
      </c>
      <c r="M33" s="36">
        <v>36</v>
      </c>
      <c r="N33" s="36">
        <v>32</v>
      </c>
      <c r="O33" s="25" t="s">
        <v>114</v>
      </c>
      <c r="P33" s="26" t="s">
        <v>37</v>
      </c>
      <c r="Q33" s="44" t="s">
        <v>37</v>
      </c>
      <c r="R33" s="46"/>
      <c r="S33" s="26"/>
      <c r="T33" s="25"/>
      <c r="U33" s="51"/>
      <c r="V33" s="25"/>
      <c r="W33" s="25"/>
      <c r="X33" s="52"/>
      <c r="Y33" s="25"/>
      <c r="Z33" s="52"/>
      <c r="AA33" s="40"/>
      <c r="AB33" s="40"/>
      <c r="AC33" s="40"/>
      <c r="AD33" s="56"/>
      <c r="AE33" s="25"/>
      <c r="AF33" s="25"/>
    </row>
    <row r="34" s="9" customFormat="1" ht="41" customHeight="1" spans="1:32">
      <c r="A34" s="27">
        <v>6</v>
      </c>
      <c r="B34" s="27" t="s">
        <v>125</v>
      </c>
      <c r="C34" s="28" t="s">
        <v>126</v>
      </c>
      <c r="D34" s="28" t="s">
        <v>32</v>
      </c>
      <c r="E34" s="27" t="s">
        <v>33</v>
      </c>
      <c r="F34" s="28" t="s">
        <v>37</v>
      </c>
      <c r="G34" s="32">
        <v>32</v>
      </c>
      <c r="H34" s="32">
        <v>32</v>
      </c>
      <c r="I34" s="39"/>
      <c r="J34" s="39"/>
      <c r="K34" s="39"/>
      <c r="L34" s="40">
        <v>30</v>
      </c>
      <c r="M34" s="40">
        <v>29</v>
      </c>
      <c r="N34" s="40">
        <v>26</v>
      </c>
      <c r="O34" s="27" t="s">
        <v>114</v>
      </c>
      <c r="P34" s="28" t="s">
        <v>37</v>
      </c>
      <c r="Q34" s="47" t="s">
        <v>37</v>
      </c>
      <c r="R34" s="48" t="s">
        <v>127</v>
      </c>
      <c r="S34" s="49" t="s">
        <v>128</v>
      </c>
      <c r="T34" s="50"/>
      <c r="U34" s="27"/>
      <c r="V34" s="25"/>
      <c r="W34" s="25"/>
      <c r="X34" s="52"/>
      <c r="Y34" s="27"/>
      <c r="Z34" s="52"/>
      <c r="AA34" s="40"/>
      <c r="AB34" s="40"/>
      <c r="AC34" s="40"/>
      <c r="AD34" s="56"/>
      <c r="AE34" s="25"/>
      <c r="AF34" s="25"/>
    </row>
    <row r="35" s="9" customFormat="1" ht="41" customHeight="1" spans="1:32">
      <c r="A35" s="25" t="s">
        <v>53</v>
      </c>
      <c r="B35" s="25" t="s">
        <v>129</v>
      </c>
      <c r="C35" s="26" t="s">
        <v>37</v>
      </c>
      <c r="D35" s="26" t="s">
        <v>37</v>
      </c>
      <c r="E35" s="25" t="s">
        <v>33</v>
      </c>
      <c r="F35" s="26" t="s">
        <v>37</v>
      </c>
      <c r="G35" s="30">
        <v>32</v>
      </c>
      <c r="H35" s="30">
        <v>32</v>
      </c>
      <c r="I35" s="37"/>
      <c r="J35" s="37"/>
      <c r="K35" s="37"/>
      <c r="L35" s="40">
        <v>30</v>
      </c>
      <c r="M35" s="40">
        <v>29</v>
      </c>
      <c r="N35" s="40">
        <v>26</v>
      </c>
      <c r="O35" s="25" t="s">
        <v>114</v>
      </c>
      <c r="P35" s="26" t="s">
        <v>37</v>
      </c>
      <c r="Q35" s="44" t="s">
        <v>37</v>
      </c>
      <c r="R35" s="46"/>
      <c r="S35" s="26"/>
      <c r="T35" s="50"/>
      <c r="U35" s="27"/>
      <c r="V35" s="25"/>
      <c r="W35" s="25"/>
      <c r="X35" s="52"/>
      <c r="Y35" s="27"/>
      <c r="Z35" s="52"/>
      <c r="AA35" s="40"/>
      <c r="AB35" s="40"/>
      <c r="AC35" s="40"/>
      <c r="AD35" s="56"/>
      <c r="AE35" s="25"/>
      <c r="AF35" s="25"/>
    </row>
    <row r="36" s="9" customFormat="1" ht="111" customHeight="1" spans="1:32">
      <c r="A36" s="25">
        <v>7</v>
      </c>
      <c r="B36" s="25" t="s">
        <v>130</v>
      </c>
      <c r="C36" s="26" t="s">
        <v>131</v>
      </c>
      <c r="D36" s="26" t="s">
        <v>132</v>
      </c>
      <c r="E36" s="25" t="s">
        <v>133</v>
      </c>
      <c r="F36" s="26" t="s">
        <v>134</v>
      </c>
      <c r="G36" s="30">
        <v>50</v>
      </c>
      <c r="H36" s="30">
        <v>50</v>
      </c>
      <c r="I36" s="37"/>
      <c r="J36" s="37"/>
      <c r="K36" s="37"/>
      <c r="L36" s="36">
        <v>45</v>
      </c>
      <c r="M36" s="36">
        <v>41</v>
      </c>
      <c r="N36" s="36">
        <v>35</v>
      </c>
      <c r="O36" s="25" t="s">
        <v>114</v>
      </c>
      <c r="P36" s="26" t="s">
        <v>37</v>
      </c>
      <c r="Q36" s="44" t="s">
        <v>37</v>
      </c>
      <c r="R36" s="46" t="s">
        <v>127</v>
      </c>
      <c r="S36" s="26" t="s">
        <v>135</v>
      </c>
      <c r="T36" s="25"/>
      <c r="U36" s="25"/>
      <c r="V36" s="25"/>
      <c r="W36" s="25"/>
      <c r="X36" s="52"/>
      <c r="Y36" s="25"/>
      <c r="Z36" s="52"/>
      <c r="AA36" s="40"/>
      <c r="AB36" s="40"/>
      <c r="AC36" s="40"/>
      <c r="AD36" s="56"/>
      <c r="AE36" s="25"/>
      <c r="AF36" s="25"/>
    </row>
    <row r="37" s="9" customFormat="1" ht="44" customHeight="1" spans="1:32">
      <c r="A37" s="25" t="s">
        <v>53</v>
      </c>
      <c r="B37" s="25" t="s">
        <v>136</v>
      </c>
      <c r="C37" s="26" t="s">
        <v>37</v>
      </c>
      <c r="D37" s="26" t="s">
        <v>37</v>
      </c>
      <c r="E37" s="25" t="s">
        <v>137</v>
      </c>
      <c r="F37" s="26" t="s">
        <v>37</v>
      </c>
      <c r="G37" s="30">
        <v>15</v>
      </c>
      <c r="H37" s="30">
        <v>15</v>
      </c>
      <c r="I37" s="37"/>
      <c r="J37" s="37"/>
      <c r="K37" s="37"/>
      <c r="L37" s="36">
        <v>13.5</v>
      </c>
      <c r="M37" s="36">
        <v>12.5</v>
      </c>
      <c r="N37" s="36">
        <v>10.5</v>
      </c>
      <c r="O37" s="25" t="s">
        <v>114</v>
      </c>
      <c r="P37" s="26" t="s">
        <v>37</v>
      </c>
      <c r="Q37" s="44" t="s">
        <v>37</v>
      </c>
      <c r="R37" s="46"/>
      <c r="S37" s="26" t="s">
        <v>138</v>
      </c>
      <c r="T37" s="25"/>
      <c r="U37" s="25"/>
      <c r="V37" s="25"/>
      <c r="W37" s="25"/>
      <c r="X37" s="52"/>
      <c r="Y37" s="25"/>
      <c r="Z37" s="52"/>
      <c r="AA37" s="40"/>
      <c r="AB37" s="40"/>
      <c r="AC37" s="40"/>
      <c r="AD37" s="56"/>
      <c r="AE37" s="25"/>
      <c r="AF37" s="25"/>
    </row>
    <row r="38" s="9" customFormat="1" ht="44" customHeight="1" spans="1:32">
      <c r="A38" s="25" t="s">
        <v>53</v>
      </c>
      <c r="B38" s="25" t="s">
        <v>139</v>
      </c>
      <c r="C38" s="26" t="s">
        <v>37</v>
      </c>
      <c r="D38" s="26" t="s">
        <v>37</v>
      </c>
      <c r="E38" s="25" t="s">
        <v>133</v>
      </c>
      <c r="F38" s="26" t="s">
        <v>37</v>
      </c>
      <c r="G38" s="30">
        <v>50</v>
      </c>
      <c r="H38" s="30">
        <v>50</v>
      </c>
      <c r="I38" s="37"/>
      <c r="J38" s="37"/>
      <c r="K38" s="37"/>
      <c r="L38" s="36">
        <v>45</v>
      </c>
      <c r="M38" s="36">
        <v>41</v>
      </c>
      <c r="N38" s="36">
        <v>35</v>
      </c>
      <c r="O38" s="25" t="s">
        <v>114</v>
      </c>
      <c r="P38" s="26" t="s">
        <v>37</v>
      </c>
      <c r="Q38" s="44" t="s">
        <v>37</v>
      </c>
      <c r="R38" s="46"/>
      <c r="S38" s="26"/>
      <c r="T38" s="25"/>
      <c r="U38" s="25"/>
      <c r="V38" s="25"/>
      <c r="W38" s="25"/>
      <c r="X38" s="52"/>
      <c r="Y38" s="25"/>
      <c r="Z38" s="52"/>
      <c r="AA38" s="40"/>
      <c r="AB38" s="40"/>
      <c r="AC38" s="40"/>
      <c r="AD38" s="56"/>
      <c r="AE38" s="25"/>
      <c r="AF38" s="25"/>
    </row>
    <row r="39" s="9" customFormat="1" ht="33" customHeight="1" spans="1:32">
      <c r="A39" s="25">
        <v>8</v>
      </c>
      <c r="B39" s="25" t="s">
        <v>140</v>
      </c>
      <c r="C39" s="26" t="s">
        <v>141</v>
      </c>
      <c r="D39" s="26" t="s">
        <v>142</v>
      </c>
      <c r="E39" s="25" t="s">
        <v>133</v>
      </c>
      <c r="F39" s="26" t="s">
        <v>143</v>
      </c>
      <c r="G39" s="30">
        <v>50</v>
      </c>
      <c r="H39" s="30">
        <v>50</v>
      </c>
      <c r="I39" s="38">
        <v>61.7032909007878</v>
      </c>
      <c r="J39" s="38">
        <v>42.5205455036607</v>
      </c>
      <c r="K39" s="38">
        <v>56.1435578192794</v>
      </c>
      <c r="L39" s="36">
        <v>45</v>
      </c>
      <c r="M39" s="36">
        <v>41</v>
      </c>
      <c r="N39" s="36">
        <v>35</v>
      </c>
      <c r="O39" s="25" t="s">
        <v>35</v>
      </c>
      <c r="P39" s="26" t="s">
        <v>144</v>
      </c>
      <c r="Q39" s="44">
        <v>0.2</v>
      </c>
      <c r="R39" s="46" t="s">
        <v>115</v>
      </c>
      <c r="S39" s="26" t="s">
        <v>145</v>
      </c>
      <c r="T39" s="25" t="s">
        <v>146</v>
      </c>
      <c r="U39" s="53">
        <v>311503015</v>
      </c>
      <c r="V39" s="25" t="s">
        <v>147</v>
      </c>
      <c r="W39" s="25" t="s">
        <v>37</v>
      </c>
      <c r="X39" s="52" t="s">
        <v>37</v>
      </c>
      <c r="Y39" s="25" t="s">
        <v>33</v>
      </c>
      <c r="Z39" s="52" t="s">
        <v>37</v>
      </c>
      <c r="AA39" s="40">
        <v>33</v>
      </c>
      <c r="AB39" s="40">
        <v>30</v>
      </c>
      <c r="AC39" s="40">
        <v>25.5</v>
      </c>
      <c r="AD39" s="56" t="s">
        <v>37</v>
      </c>
      <c r="AE39" s="25" t="s">
        <v>37</v>
      </c>
      <c r="AF39" s="25" t="s">
        <v>37</v>
      </c>
    </row>
    <row r="40" s="9" customFormat="1" ht="33" customHeight="1" spans="1:32">
      <c r="A40" s="25"/>
      <c r="B40" s="25"/>
      <c r="C40" s="26"/>
      <c r="D40" s="26"/>
      <c r="E40" s="25"/>
      <c r="F40" s="26"/>
      <c r="G40" s="31"/>
      <c r="H40" s="31"/>
      <c r="I40" s="38"/>
      <c r="J40" s="38"/>
      <c r="K40" s="38"/>
      <c r="L40" s="36"/>
      <c r="M40" s="36"/>
      <c r="N40" s="36"/>
      <c r="O40" s="25"/>
      <c r="P40" s="26"/>
      <c r="Q40" s="44"/>
      <c r="R40" s="46"/>
      <c r="S40" s="26"/>
      <c r="T40" s="25" t="s">
        <v>148</v>
      </c>
      <c r="U40" s="53">
        <v>340200038</v>
      </c>
      <c r="V40" s="25" t="s">
        <v>149</v>
      </c>
      <c r="W40" s="25" t="s">
        <v>37</v>
      </c>
      <c r="X40" s="52" t="s">
        <v>37</v>
      </c>
      <c r="Y40" s="25" t="s">
        <v>33</v>
      </c>
      <c r="Z40" s="52" t="s">
        <v>37</v>
      </c>
      <c r="AA40" s="40">
        <v>35</v>
      </c>
      <c r="AB40" s="40">
        <v>35</v>
      </c>
      <c r="AC40" s="40">
        <v>29.8</v>
      </c>
      <c r="AD40" s="56" t="s">
        <v>35</v>
      </c>
      <c r="AE40" s="25" t="s">
        <v>150</v>
      </c>
      <c r="AF40" s="25" t="s">
        <v>37</v>
      </c>
    </row>
    <row r="41" s="9" customFormat="1" ht="33" customHeight="1" spans="1:32">
      <c r="A41" s="25"/>
      <c r="B41" s="25"/>
      <c r="C41" s="26"/>
      <c r="D41" s="26"/>
      <c r="E41" s="25"/>
      <c r="F41" s="26"/>
      <c r="G41" s="31"/>
      <c r="H41" s="31"/>
      <c r="I41" s="38"/>
      <c r="J41" s="38"/>
      <c r="K41" s="38"/>
      <c r="L41" s="36"/>
      <c r="M41" s="36"/>
      <c r="N41" s="36"/>
      <c r="O41" s="25"/>
      <c r="P41" s="26"/>
      <c r="Q41" s="44"/>
      <c r="R41" s="46"/>
      <c r="S41" s="26"/>
      <c r="T41" s="25" t="s">
        <v>151</v>
      </c>
      <c r="U41" s="53">
        <v>340200029</v>
      </c>
      <c r="V41" s="25" t="s">
        <v>152</v>
      </c>
      <c r="W41" s="25" t="s">
        <v>37</v>
      </c>
      <c r="X41" s="52" t="s">
        <v>37</v>
      </c>
      <c r="Y41" s="25" t="s">
        <v>33</v>
      </c>
      <c r="Z41" s="52" t="s">
        <v>37</v>
      </c>
      <c r="AA41" s="40">
        <v>29</v>
      </c>
      <c r="AB41" s="40">
        <v>26</v>
      </c>
      <c r="AC41" s="40">
        <v>22.1</v>
      </c>
      <c r="AD41" s="56" t="s">
        <v>35</v>
      </c>
      <c r="AE41" s="25" t="s">
        <v>44</v>
      </c>
      <c r="AF41" s="25" t="s">
        <v>37</v>
      </c>
    </row>
    <row r="42" s="9" customFormat="1" ht="39" customHeight="1" spans="1:32">
      <c r="A42" s="25" t="s">
        <v>53</v>
      </c>
      <c r="B42" s="25" t="s">
        <v>153</v>
      </c>
      <c r="C42" s="26" t="s">
        <v>37</v>
      </c>
      <c r="D42" s="26" t="s">
        <v>37</v>
      </c>
      <c r="E42" s="25" t="s">
        <v>137</v>
      </c>
      <c r="F42" s="26" t="s">
        <v>37</v>
      </c>
      <c r="G42" s="30">
        <v>15</v>
      </c>
      <c r="H42" s="30">
        <v>15</v>
      </c>
      <c r="I42" s="38">
        <v>18.5109872702363</v>
      </c>
      <c r="J42" s="38">
        <v>12.7561636510982</v>
      </c>
      <c r="K42" s="38">
        <v>16.8430673457838</v>
      </c>
      <c r="L42" s="36">
        <v>13.5</v>
      </c>
      <c r="M42" s="36">
        <v>12.5</v>
      </c>
      <c r="N42" s="36">
        <v>10.5</v>
      </c>
      <c r="O42" s="25" t="s">
        <v>35</v>
      </c>
      <c r="P42" s="26" t="s">
        <v>144</v>
      </c>
      <c r="Q42" s="44">
        <v>0.2</v>
      </c>
      <c r="R42" s="46"/>
      <c r="S42" s="26" t="s">
        <v>138</v>
      </c>
      <c r="T42" s="25"/>
      <c r="U42" s="53"/>
      <c r="V42" s="25"/>
      <c r="W42" s="25"/>
      <c r="X42" s="52"/>
      <c r="Y42" s="25"/>
      <c r="Z42" s="52"/>
      <c r="AA42" s="40"/>
      <c r="AB42" s="40"/>
      <c r="AC42" s="40"/>
      <c r="AD42" s="56"/>
      <c r="AE42" s="25"/>
      <c r="AF42" s="25"/>
    </row>
    <row r="43" s="9" customFormat="1" ht="39" customHeight="1" spans="1:32">
      <c r="A43" s="25" t="s">
        <v>53</v>
      </c>
      <c r="B43" s="25" t="s">
        <v>154</v>
      </c>
      <c r="C43" s="26" t="s">
        <v>37</v>
      </c>
      <c r="D43" s="26" t="s">
        <v>37</v>
      </c>
      <c r="E43" s="25" t="s">
        <v>133</v>
      </c>
      <c r="F43" s="26" t="s">
        <v>37</v>
      </c>
      <c r="G43" s="30">
        <v>50</v>
      </c>
      <c r="H43" s="30">
        <v>50</v>
      </c>
      <c r="I43" s="37"/>
      <c r="J43" s="37"/>
      <c r="K43" s="37"/>
      <c r="L43" s="36">
        <v>45</v>
      </c>
      <c r="M43" s="36">
        <v>41</v>
      </c>
      <c r="N43" s="36">
        <v>35</v>
      </c>
      <c r="O43" s="25" t="s">
        <v>35</v>
      </c>
      <c r="P43" s="26" t="s">
        <v>144</v>
      </c>
      <c r="Q43" s="44">
        <v>0.2</v>
      </c>
      <c r="R43" s="46"/>
      <c r="S43" s="26"/>
      <c r="T43" s="25"/>
      <c r="U43" s="53"/>
      <c r="V43" s="25"/>
      <c r="W43" s="25"/>
      <c r="X43" s="52"/>
      <c r="Y43" s="25"/>
      <c r="Z43" s="52"/>
      <c r="AA43" s="40"/>
      <c r="AB43" s="40"/>
      <c r="AC43" s="40"/>
      <c r="AD43" s="56"/>
      <c r="AE43" s="25"/>
      <c r="AF43" s="25"/>
    </row>
    <row r="44" s="9" customFormat="1" ht="48" customHeight="1" spans="1:32">
      <c r="A44" s="25">
        <v>9</v>
      </c>
      <c r="B44" s="25" t="s">
        <v>155</v>
      </c>
      <c r="C44" s="26" t="s">
        <v>156</v>
      </c>
      <c r="D44" s="26" t="s">
        <v>157</v>
      </c>
      <c r="E44" s="25" t="s">
        <v>133</v>
      </c>
      <c r="F44" s="26" t="s">
        <v>143</v>
      </c>
      <c r="G44" s="30">
        <v>50</v>
      </c>
      <c r="H44" s="30">
        <v>50</v>
      </c>
      <c r="I44" s="38">
        <v>37.1406318103432</v>
      </c>
      <c r="J44" s="38">
        <v>35</v>
      </c>
      <c r="K44" s="38">
        <v>29.9446579554189</v>
      </c>
      <c r="L44" s="36">
        <v>45</v>
      </c>
      <c r="M44" s="36">
        <v>41</v>
      </c>
      <c r="N44" s="36">
        <v>35</v>
      </c>
      <c r="O44" s="25" t="s">
        <v>35</v>
      </c>
      <c r="P44" s="26" t="s">
        <v>158</v>
      </c>
      <c r="Q44" s="44" t="s">
        <v>37</v>
      </c>
      <c r="R44" s="46" t="s">
        <v>38</v>
      </c>
      <c r="S44" s="26" t="s">
        <v>159</v>
      </c>
      <c r="T44" s="25" t="s">
        <v>160</v>
      </c>
      <c r="U44" s="53">
        <v>340200037</v>
      </c>
      <c r="V44" s="25" t="s">
        <v>161</v>
      </c>
      <c r="W44" s="25" t="s">
        <v>37</v>
      </c>
      <c r="X44" s="52" t="s">
        <v>37</v>
      </c>
      <c r="Y44" s="25" t="s">
        <v>33</v>
      </c>
      <c r="Z44" s="52" t="s">
        <v>37</v>
      </c>
      <c r="AA44" s="40">
        <v>35</v>
      </c>
      <c r="AB44" s="40">
        <v>35</v>
      </c>
      <c r="AC44" s="40">
        <v>29.8</v>
      </c>
      <c r="AD44" s="56" t="s">
        <v>35</v>
      </c>
      <c r="AE44" s="25" t="s">
        <v>162</v>
      </c>
      <c r="AF44" s="25" t="s">
        <v>37</v>
      </c>
    </row>
    <row r="45" s="9" customFormat="1" ht="48" customHeight="1" spans="1:32">
      <c r="A45" s="25"/>
      <c r="B45" s="25"/>
      <c r="C45" s="26"/>
      <c r="D45" s="26"/>
      <c r="E45" s="25"/>
      <c r="F45" s="26"/>
      <c r="G45" s="31"/>
      <c r="H45" s="31"/>
      <c r="I45" s="38"/>
      <c r="J45" s="38"/>
      <c r="K45" s="38"/>
      <c r="L45" s="36"/>
      <c r="M45" s="36"/>
      <c r="N45" s="36"/>
      <c r="O45" s="25"/>
      <c r="P45" s="26"/>
      <c r="Q45" s="44"/>
      <c r="R45" s="46"/>
      <c r="S45" s="26"/>
      <c r="T45" s="25" t="s">
        <v>163</v>
      </c>
      <c r="U45" s="53">
        <v>340200050</v>
      </c>
      <c r="V45" s="25" t="s">
        <v>164</v>
      </c>
      <c r="W45" s="25" t="s">
        <v>165</v>
      </c>
      <c r="X45" s="52" t="s">
        <v>37</v>
      </c>
      <c r="Y45" s="25" t="s">
        <v>166</v>
      </c>
      <c r="Z45" s="52" t="s">
        <v>37</v>
      </c>
      <c r="AA45" s="40">
        <v>38</v>
      </c>
      <c r="AB45" s="40">
        <v>35</v>
      </c>
      <c r="AC45" s="40">
        <v>30</v>
      </c>
      <c r="AD45" s="56" t="s">
        <v>35</v>
      </c>
      <c r="AE45" s="25" t="s">
        <v>37</v>
      </c>
      <c r="AF45" s="25" t="s">
        <v>37</v>
      </c>
    </row>
    <row r="46" s="9" customFormat="1" ht="32" customHeight="1" spans="1:32">
      <c r="A46" s="25" t="s">
        <v>53</v>
      </c>
      <c r="B46" s="25" t="s">
        <v>167</v>
      </c>
      <c r="C46" s="26" t="s">
        <v>37</v>
      </c>
      <c r="D46" s="26" t="s">
        <v>37</v>
      </c>
      <c r="E46" s="25" t="s">
        <v>137</v>
      </c>
      <c r="F46" s="26" t="s">
        <v>37</v>
      </c>
      <c r="G46" s="30">
        <v>15</v>
      </c>
      <c r="H46" s="30">
        <v>15</v>
      </c>
      <c r="I46" s="37"/>
      <c r="J46" s="37"/>
      <c r="K46" s="37"/>
      <c r="L46" s="36">
        <v>13.5</v>
      </c>
      <c r="M46" s="36">
        <v>12.5</v>
      </c>
      <c r="N46" s="36">
        <v>10.5</v>
      </c>
      <c r="O46" s="25" t="s">
        <v>35</v>
      </c>
      <c r="P46" s="26" t="s">
        <v>158</v>
      </c>
      <c r="Q46" s="44" t="s">
        <v>37</v>
      </c>
      <c r="R46" s="46"/>
      <c r="S46" s="26" t="s">
        <v>138</v>
      </c>
      <c r="T46" s="25"/>
      <c r="U46" s="53"/>
      <c r="V46" s="25"/>
      <c r="W46" s="25"/>
      <c r="X46" s="52"/>
      <c r="Y46" s="25"/>
      <c r="Z46" s="52"/>
      <c r="AA46" s="40"/>
      <c r="AB46" s="40"/>
      <c r="AC46" s="40"/>
      <c r="AD46" s="56"/>
      <c r="AE46" s="25"/>
      <c r="AF46" s="25"/>
    </row>
    <row r="47" s="9" customFormat="1" ht="32" customHeight="1" spans="1:32">
      <c r="A47" s="25" t="s">
        <v>53</v>
      </c>
      <c r="B47" s="25" t="s">
        <v>168</v>
      </c>
      <c r="C47" s="26" t="s">
        <v>37</v>
      </c>
      <c r="D47" s="26" t="s">
        <v>37</v>
      </c>
      <c r="E47" s="25" t="s">
        <v>133</v>
      </c>
      <c r="F47" s="26" t="s">
        <v>37</v>
      </c>
      <c r="G47" s="30">
        <v>50</v>
      </c>
      <c r="H47" s="30">
        <v>50</v>
      </c>
      <c r="I47" s="37"/>
      <c r="J47" s="37"/>
      <c r="K47" s="37"/>
      <c r="L47" s="36">
        <v>45</v>
      </c>
      <c r="M47" s="36">
        <v>41</v>
      </c>
      <c r="N47" s="36">
        <v>35</v>
      </c>
      <c r="O47" s="25" t="s">
        <v>35</v>
      </c>
      <c r="P47" s="26" t="s">
        <v>158</v>
      </c>
      <c r="Q47" s="44" t="s">
        <v>37</v>
      </c>
      <c r="R47" s="46"/>
      <c r="S47" s="26"/>
      <c r="T47" s="25"/>
      <c r="U47" s="53"/>
      <c r="V47" s="25"/>
      <c r="W47" s="25"/>
      <c r="X47" s="52"/>
      <c r="Y47" s="25"/>
      <c r="Z47" s="52"/>
      <c r="AA47" s="40"/>
      <c r="AB47" s="40"/>
      <c r="AC47" s="40"/>
      <c r="AD47" s="56"/>
      <c r="AE47" s="25"/>
      <c r="AF47" s="25"/>
    </row>
    <row r="48" s="9" customFormat="1" ht="27" customHeight="1" spans="1:32">
      <c r="A48" s="25">
        <v>10</v>
      </c>
      <c r="B48" s="25" t="s">
        <v>169</v>
      </c>
      <c r="C48" s="26" t="s">
        <v>170</v>
      </c>
      <c r="D48" s="26" t="s">
        <v>171</v>
      </c>
      <c r="E48" s="25" t="s">
        <v>133</v>
      </c>
      <c r="F48" s="26" t="s">
        <v>143</v>
      </c>
      <c r="G48" s="30">
        <v>50</v>
      </c>
      <c r="H48" s="30">
        <v>50</v>
      </c>
      <c r="I48" s="38">
        <v>30.67255334805</v>
      </c>
      <c r="J48" s="38">
        <v>31.9552088976704</v>
      </c>
      <c r="K48" s="38">
        <v>29.8</v>
      </c>
      <c r="L48" s="36">
        <v>45</v>
      </c>
      <c r="M48" s="36">
        <v>41</v>
      </c>
      <c r="N48" s="36">
        <v>35</v>
      </c>
      <c r="O48" s="25" t="s">
        <v>35</v>
      </c>
      <c r="P48" s="26" t="s">
        <v>172</v>
      </c>
      <c r="Q48" s="44" t="s">
        <v>37</v>
      </c>
      <c r="R48" s="46" t="s">
        <v>38</v>
      </c>
      <c r="S48" s="26" t="s">
        <v>173</v>
      </c>
      <c r="T48" s="25" t="s">
        <v>174</v>
      </c>
      <c r="U48" s="53">
        <v>340200033</v>
      </c>
      <c r="V48" s="25" t="s">
        <v>175</v>
      </c>
      <c r="W48" s="25" t="s">
        <v>37</v>
      </c>
      <c r="X48" s="52" t="s">
        <v>37</v>
      </c>
      <c r="Y48" s="25" t="s">
        <v>166</v>
      </c>
      <c r="Z48" s="52" t="s">
        <v>37</v>
      </c>
      <c r="AA48" s="40">
        <v>30</v>
      </c>
      <c r="AB48" s="40">
        <v>30</v>
      </c>
      <c r="AC48" s="40">
        <v>25.5</v>
      </c>
      <c r="AD48" s="56" t="s">
        <v>37</v>
      </c>
      <c r="AE48" s="25" t="s">
        <v>37</v>
      </c>
      <c r="AF48" s="25" t="s">
        <v>37</v>
      </c>
    </row>
    <row r="49" s="9" customFormat="1" ht="27" customHeight="1" spans="1:32">
      <c r="A49" s="25"/>
      <c r="B49" s="25"/>
      <c r="C49" s="26"/>
      <c r="D49" s="26"/>
      <c r="E49" s="25"/>
      <c r="F49" s="26"/>
      <c r="G49" s="31"/>
      <c r="H49" s="31"/>
      <c r="I49" s="38"/>
      <c r="J49" s="38"/>
      <c r="K49" s="38"/>
      <c r="L49" s="36"/>
      <c r="M49" s="36"/>
      <c r="N49" s="36"/>
      <c r="O49" s="25"/>
      <c r="P49" s="26"/>
      <c r="Q49" s="44"/>
      <c r="R49" s="46"/>
      <c r="S49" s="26"/>
      <c r="T49" s="25" t="s">
        <v>176</v>
      </c>
      <c r="U49" s="53">
        <v>340200034</v>
      </c>
      <c r="V49" s="25" t="s">
        <v>177</v>
      </c>
      <c r="W49" s="25" t="s">
        <v>37</v>
      </c>
      <c r="X49" s="52" t="s">
        <v>37</v>
      </c>
      <c r="Y49" s="25" t="s">
        <v>166</v>
      </c>
      <c r="Z49" s="52" t="s">
        <v>37</v>
      </c>
      <c r="AA49" s="40">
        <v>35</v>
      </c>
      <c r="AB49" s="40">
        <v>35</v>
      </c>
      <c r="AC49" s="40">
        <v>29.8</v>
      </c>
      <c r="AD49" s="56" t="s">
        <v>35</v>
      </c>
      <c r="AE49" s="25" t="s">
        <v>178</v>
      </c>
      <c r="AF49" s="25" t="s">
        <v>37</v>
      </c>
    </row>
    <row r="50" s="9" customFormat="1" ht="27" customHeight="1" spans="1:32">
      <c r="A50" s="25"/>
      <c r="B50" s="25"/>
      <c r="C50" s="26"/>
      <c r="D50" s="26"/>
      <c r="E50" s="25"/>
      <c r="F50" s="26"/>
      <c r="G50" s="31"/>
      <c r="H50" s="31"/>
      <c r="I50" s="38"/>
      <c r="J50" s="38"/>
      <c r="K50" s="38"/>
      <c r="L50" s="36"/>
      <c r="M50" s="36"/>
      <c r="N50" s="36"/>
      <c r="O50" s="25"/>
      <c r="P50" s="26"/>
      <c r="Q50" s="44"/>
      <c r="R50" s="46"/>
      <c r="S50" s="26"/>
      <c r="T50" s="25" t="s">
        <v>179</v>
      </c>
      <c r="U50" s="53">
        <v>340200035</v>
      </c>
      <c r="V50" s="25" t="s">
        <v>180</v>
      </c>
      <c r="W50" s="25" t="s">
        <v>37</v>
      </c>
      <c r="X50" s="52" t="s">
        <v>37</v>
      </c>
      <c r="Y50" s="25" t="s">
        <v>166</v>
      </c>
      <c r="Z50" s="52" t="s">
        <v>37</v>
      </c>
      <c r="AA50" s="40">
        <v>30</v>
      </c>
      <c r="AB50" s="40">
        <v>30</v>
      </c>
      <c r="AC50" s="40">
        <v>25.5</v>
      </c>
      <c r="AD50" s="56" t="s">
        <v>35</v>
      </c>
      <c r="AE50" s="25" t="s">
        <v>181</v>
      </c>
      <c r="AF50" s="25" t="s">
        <v>37</v>
      </c>
    </row>
    <row r="51" s="9" customFormat="1" ht="27" customHeight="1" spans="1:32">
      <c r="A51" s="25"/>
      <c r="B51" s="25"/>
      <c r="C51" s="26"/>
      <c r="D51" s="26"/>
      <c r="E51" s="25"/>
      <c r="F51" s="26"/>
      <c r="G51" s="31"/>
      <c r="H51" s="31"/>
      <c r="I51" s="38"/>
      <c r="J51" s="38"/>
      <c r="K51" s="38"/>
      <c r="L51" s="36"/>
      <c r="M51" s="36"/>
      <c r="N51" s="36"/>
      <c r="O51" s="25"/>
      <c r="P51" s="26"/>
      <c r="Q51" s="44"/>
      <c r="R51" s="46"/>
      <c r="S51" s="26"/>
      <c r="T51" s="25" t="s">
        <v>182</v>
      </c>
      <c r="U51" s="53">
        <v>340200036</v>
      </c>
      <c r="V51" s="25" t="s">
        <v>183</v>
      </c>
      <c r="W51" s="25" t="s">
        <v>37</v>
      </c>
      <c r="X51" s="52" t="s">
        <v>37</v>
      </c>
      <c r="Y51" s="25" t="s">
        <v>33</v>
      </c>
      <c r="Z51" s="52" t="s">
        <v>37</v>
      </c>
      <c r="AA51" s="40">
        <v>30</v>
      </c>
      <c r="AB51" s="40">
        <v>30</v>
      </c>
      <c r="AC51" s="40">
        <v>25.5</v>
      </c>
      <c r="AD51" s="56" t="s">
        <v>35</v>
      </c>
      <c r="AE51" s="25" t="s">
        <v>44</v>
      </c>
      <c r="AF51" s="25" t="s">
        <v>37</v>
      </c>
    </row>
    <row r="52" s="9" customFormat="1" ht="27" customHeight="1" spans="1:32">
      <c r="A52" s="25"/>
      <c r="B52" s="25"/>
      <c r="C52" s="26"/>
      <c r="D52" s="26"/>
      <c r="E52" s="25"/>
      <c r="F52" s="26"/>
      <c r="G52" s="31"/>
      <c r="H52" s="31"/>
      <c r="I52" s="38"/>
      <c r="J52" s="38"/>
      <c r="K52" s="38"/>
      <c r="L52" s="36"/>
      <c r="M52" s="36"/>
      <c r="N52" s="36"/>
      <c r="O52" s="25"/>
      <c r="P52" s="26"/>
      <c r="Q52" s="44"/>
      <c r="R52" s="46"/>
      <c r="S52" s="26"/>
      <c r="T52" s="25" t="s">
        <v>184</v>
      </c>
      <c r="U52" s="53">
        <v>311503022</v>
      </c>
      <c r="V52" s="25" t="s">
        <v>185</v>
      </c>
      <c r="W52" s="25" t="s">
        <v>37</v>
      </c>
      <c r="X52" s="52" t="s">
        <v>37</v>
      </c>
      <c r="Y52" s="25" t="s">
        <v>33</v>
      </c>
      <c r="Z52" s="52" t="s">
        <v>186</v>
      </c>
      <c r="AA52" s="40">
        <v>22</v>
      </c>
      <c r="AB52" s="40">
        <v>20</v>
      </c>
      <c r="AC52" s="40">
        <v>17</v>
      </c>
      <c r="AD52" s="56" t="s">
        <v>37</v>
      </c>
      <c r="AE52" s="25" t="s">
        <v>37</v>
      </c>
      <c r="AF52" s="25" t="s">
        <v>37</v>
      </c>
    </row>
    <row r="53" s="9" customFormat="1" ht="27" customHeight="1" spans="1:32">
      <c r="A53" s="25"/>
      <c r="B53" s="25"/>
      <c r="C53" s="26"/>
      <c r="D53" s="26"/>
      <c r="E53" s="25"/>
      <c r="F53" s="26"/>
      <c r="G53" s="31"/>
      <c r="H53" s="31"/>
      <c r="I53" s="38"/>
      <c r="J53" s="38"/>
      <c r="K53" s="38"/>
      <c r="L53" s="36"/>
      <c r="M53" s="36"/>
      <c r="N53" s="36"/>
      <c r="O53" s="25"/>
      <c r="P53" s="26"/>
      <c r="Q53" s="44"/>
      <c r="R53" s="46"/>
      <c r="S53" s="26"/>
      <c r="T53" s="25" t="s">
        <v>187</v>
      </c>
      <c r="U53" s="53">
        <v>31150302201</v>
      </c>
      <c r="V53" s="25" t="s">
        <v>188</v>
      </c>
      <c r="W53" s="25" t="s">
        <v>37</v>
      </c>
      <c r="X53" s="52" t="s">
        <v>37</v>
      </c>
      <c r="Y53" s="25" t="s">
        <v>33</v>
      </c>
      <c r="Z53" s="52" t="s">
        <v>189</v>
      </c>
      <c r="AA53" s="40">
        <v>38.5</v>
      </c>
      <c r="AB53" s="40">
        <v>35</v>
      </c>
      <c r="AC53" s="40">
        <v>29.8</v>
      </c>
      <c r="AD53" s="56" t="s">
        <v>37</v>
      </c>
      <c r="AE53" s="25" t="s">
        <v>37</v>
      </c>
      <c r="AF53" s="25" t="s">
        <v>37</v>
      </c>
    </row>
    <row r="54" s="9" customFormat="1" ht="36" customHeight="1" spans="1:32">
      <c r="A54" s="25" t="s">
        <v>53</v>
      </c>
      <c r="B54" s="25" t="s">
        <v>190</v>
      </c>
      <c r="C54" s="26" t="s">
        <v>37</v>
      </c>
      <c r="D54" s="26" t="s">
        <v>37</v>
      </c>
      <c r="E54" s="25" t="s">
        <v>137</v>
      </c>
      <c r="F54" s="26" t="s">
        <v>37</v>
      </c>
      <c r="G54" s="30">
        <v>15</v>
      </c>
      <c r="H54" s="30">
        <v>15</v>
      </c>
      <c r="I54" s="37"/>
      <c r="J54" s="37"/>
      <c r="K54" s="37"/>
      <c r="L54" s="36">
        <v>13.5</v>
      </c>
      <c r="M54" s="36">
        <v>12.5</v>
      </c>
      <c r="N54" s="36">
        <v>10.5</v>
      </c>
      <c r="O54" s="25" t="s">
        <v>35</v>
      </c>
      <c r="P54" s="26" t="s">
        <v>172</v>
      </c>
      <c r="Q54" s="44" t="s">
        <v>37</v>
      </c>
      <c r="R54" s="46"/>
      <c r="S54" s="26" t="s">
        <v>138</v>
      </c>
      <c r="T54" s="25"/>
      <c r="U54" s="53"/>
      <c r="V54" s="25"/>
      <c r="W54" s="25"/>
      <c r="X54" s="52"/>
      <c r="Y54" s="25"/>
      <c r="Z54" s="52"/>
      <c r="AA54" s="40"/>
      <c r="AB54" s="40"/>
      <c r="AC54" s="40"/>
      <c r="AD54" s="56"/>
      <c r="AE54" s="25"/>
      <c r="AF54" s="25"/>
    </row>
    <row r="55" s="9" customFormat="1" ht="36" customHeight="1" spans="1:32">
      <c r="A55" s="25" t="s">
        <v>53</v>
      </c>
      <c r="B55" s="25" t="s">
        <v>191</v>
      </c>
      <c r="C55" s="26" t="s">
        <v>37</v>
      </c>
      <c r="D55" s="26" t="s">
        <v>37</v>
      </c>
      <c r="E55" s="25" t="s">
        <v>133</v>
      </c>
      <c r="F55" s="26" t="s">
        <v>37</v>
      </c>
      <c r="G55" s="30">
        <v>50</v>
      </c>
      <c r="H55" s="30">
        <v>50</v>
      </c>
      <c r="I55" s="37"/>
      <c r="J55" s="37"/>
      <c r="K55" s="37"/>
      <c r="L55" s="36">
        <v>45</v>
      </c>
      <c r="M55" s="36">
        <v>41</v>
      </c>
      <c r="N55" s="36">
        <v>35</v>
      </c>
      <c r="O55" s="25" t="s">
        <v>35</v>
      </c>
      <c r="P55" s="26" t="s">
        <v>172</v>
      </c>
      <c r="Q55" s="44" t="s">
        <v>37</v>
      </c>
      <c r="R55" s="46"/>
      <c r="S55" s="26"/>
      <c r="T55" s="25"/>
      <c r="U55" s="53"/>
      <c r="V55" s="25"/>
      <c r="W55" s="25"/>
      <c r="X55" s="52"/>
      <c r="Y55" s="25"/>
      <c r="Z55" s="52"/>
      <c r="AA55" s="40"/>
      <c r="AB55" s="40"/>
      <c r="AC55" s="40"/>
      <c r="AD55" s="56"/>
      <c r="AE55" s="25"/>
      <c r="AF55" s="25"/>
    </row>
    <row r="56" s="9" customFormat="1" ht="16" customHeight="1" spans="1:32">
      <c r="A56" s="25">
        <v>11</v>
      </c>
      <c r="B56" s="25" t="s">
        <v>192</v>
      </c>
      <c r="C56" s="26" t="s">
        <v>193</v>
      </c>
      <c r="D56" s="26" t="s">
        <v>194</v>
      </c>
      <c r="E56" s="25" t="s">
        <v>133</v>
      </c>
      <c r="F56" s="26" t="s">
        <v>195</v>
      </c>
      <c r="G56" s="30">
        <v>50</v>
      </c>
      <c r="H56" s="30">
        <v>50</v>
      </c>
      <c r="I56" s="38">
        <v>34.1545071429952</v>
      </c>
      <c r="J56" s="38">
        <v>37.2883486401907</v>
      </c>
      <c r="K56" s="38">
        <v>31.445507972862</v>
      </c>
      <c r="L56" s="36">
        <v>45</v>
      </c>
      <c r="M56" s="36">
        <v>41</v>
      </c>
      <c r="N56" s="36">
        <v>35</v>
      </c>
      <c r="O56" s="25" t="s">
        <v>35</v>
      </c>
      <c r="P56" s="26" t="s">
        <v>196</v>
      </c>
      <c r="Q56" s="44" t="s">
        <v>37</v>
      </c>
      <c r="R56" s="46" t="s">
        <v>197</v>
      </c>
      <c r="S56" s="26" t="s">
        <v>159</v>
      </c>
      <c r="T56" s="25" t="s">
        <v>198</v>
      </c>
      <c r="U56" s="53">
        <v>340200020</v>
      </c>
      <c r="V56" s="25" t="s">
        <v>199</v>
      </c>
      <c r="W56" s="25" t="s">
        <v>200</v>
      </c>
      <c r="X56" s="52" t="s">
        <v>37</v>
      </c>
      <c r="Y56" s="25" t="s">
        <v>201</v>
      </c>
      <c r="Z56" s="52" t="s">
        <v>37</v>
      </c>
      <c r="AA56" s="40">
        <v>50</v>
      </c>
      <c r="AB56" s="40">
        <v>50</v>
      </c>
      <c r="AC56" s="40">
        <v>42.5</v>
      </c>
      <c r="AD56" s="56" t="s">
        <v>35</v>
      </c>
      <c r="AE56" s="25" t="s">
        <v>202</v>
      </c>
      <c r="AF56" s="25" t="s">
        <v>37</v>
      </c>
    </row>
    <row r="57" s="9" customFormat="1" ht="16" customHeight="1" spans="1:32">
      <c r="A57" s="25"/>
      <c r="B57" s="25"/>
      <c r="C57" s="26"/>
      <c r="D57" s="26"/>
      <c r="E57" s="25"/>
      <c r="F57" s="26"/>
      <c r="G57" s="31"/>
      <c r="H57" s="31"/>
      <c r="I57" s="38"/>
      <c r="J57" s="38"/>
      <c r="K57" s="38"/>
      <c r="L57" s="36"/>
      <c r="M57" s="36"/>
      <c r="N57" s="36"/>
      <c r="O57" s="25"/>
      <c r="P57" s="26"/>
      <c r="Q57" s="44"/>
      <c r="R57" s="46"/>
      <c r="S57" s="26"/>
      <c r="T57" s="25" t="s">
        <v>203</v>
      </c>
      <c r="U57" s="53">
        <v>34020002006</v>
      </c>
      <c r="V57" s="25" t="s">
        <v>204</v>
      </c>
      <c r="W57" s="25" t="s">
        <v>37</v>
      </c>
      <c r="X57" s="52" t="s">
        <v>37</v>
      </c>
      <c r="Y57" s="25" t="s">
        <v>201</v>
      </c>
      <c r="Z57" s="52" t="s">
        <v>205</v>
      </c>
      <c r="AA57" s="40">
        <v>50</v>
      </c>
      <c r="AB57" s="40">
        <v>50</v>
      </c>
      <c r="AC57" s="40">
        <v>42.5</v>
      </c>
      <c r="AD57" s="56" t="s">
        <v>35</v>
      </c>
      <c r="AE57" s="25" t="s">
        <v>202</v>
      </c>
      <c r="AF57" s="25" t="s">
        <v>37</v>
      </c>
    </row>
    <row r="58" s="9" customFormat="1" ht="16" customHeight="1" spans="1:32">
      <c r="A58" s="25"/>
      <c r="B58" s="25"/>
      <c r="C58" s="26"/>
      <c r="D58" s="26"/>
      <c r="E58" s="25"/>
      <c r="F58" s="26"/>
      <c r="G58" s="31"/>
      <c r="H58" s="31"/>
      <c r="I58" s="38"/>
      <c r="J58" s="38"/>
      <c r="K58" s="38"/>
      <c r="L58" s="36"/>
      <c r="M58" s="36"/>
      <c r="N58" s="36"/>
      <c r="O58" s="25"/>
      <c r="P58" s="26"/>
      <c r="Q58" s="44"/>
      <c r="R58" s="46"/>
      <c r="S58" s="26"/>
      <c r="T58" s="25" t="s">
        <v>206</v>
      </c>
      <c r="U58" s="53">
        <v>34020002001</v>
      </c>
      <c r="V58" s="25" t="s">
        <v>207</v>
      </c>
      <c r="W58" s="25" t="s">
        <v>37</v>
      </c>
      <c r="X58" s="52" t="s">
        <v>37</v>
      </c>
      <c r="Y58" s="25" t="s">
        <v>201</v>
      </c>
      <c r="Z58" s="52" t="s">
        <v>208</v>
      </c>
      <c r="AA58" s="40">
        <v>50</v>
      </c>
      <c r="AB58" s="40">
        <v>50</v>
      </c>
      <c r="AC58" s="40">
        <v>42.5</v>
      </c>
      <c r="AD58" s="56" t="s">
        <v>35</v>
      </c>
      <c r="AE58" s="25" t="s">
        <v>202</v>
      </c>
      <c r="AF58" s="25" t="s">
        <v>37</v>
      </c>
    </row>
    <row r="59" s="9" customFormat="1" ht="16" customHeight="1" spans="1:32">
      <c r="A59" s="25"/>
      <c r="B59" s="25"/>
      <c r="C59" s="26"/>
      <c r="D59" s="26"/>
      <c r="E59" s="25"/>
      <c r="F59" s="26"/>
      <c r="G59" s="31"/>
      <c r="H59" s="31"/>
      <c r="I59" s="38"/>
      <c r="J59" s="38"/>
      <c r="K59" s="38"/>
      <c r="L59" s="36"/>
      <c r="M59" s="36"/>
      <c r="N59" s="36"/>
      <c r="O59" s="25"/>
      <c r="P59" s="26"/>
      <c r="Q59" s="44"/>
      <c r="R59" s="46"/>
      <c r="S59" s="26"/>
      <c r="T59" s="25" t="s">
        <v>209</v>
      </c>
      <c r="U59" s="53">
        <v>34020002002</v>
      </c>
      <c r="V59" s="25" t="s">
        <v>210</v>
      </c>
      <c r="W59" s="25" t="s">
        <v>37</v>
      </c>
      <c r="X59" s="52" t="s">
        <v>37</v>
      </c>
      <c r="Y59" s="25" t="s">
        <v>201</v>
      </c>
      <c r="Z59" s="52" t="s">
        <v>211</v>
      </c>
      <c r="AA59" s="40">
        <v>50</v>
      </c>
      <c r="AB59" s="40">
        <v>50</v>
      </c>
      <c r="AC59" s="40">
        <v>42.5</v>
      </c>
      <c r="AD59" s="56" t="s">
        <v>35</v>
      </c>
      <c r="AE59" s="25" t="s">
        <v>202</v>
      </c>
      <c r="AF59" s="25" t="s">
        <v>37</v>
      </c>
    </row>
    <row r="60" s="9" customFormat="1" ht="16" customHeight="1" spans="1:32">
      <c r="A60" s="25"/>
      <c r="B60" s="25"/>
      <c r="C60" s="26"/>
      <c r="D60" s="26"/>
      <c r="E60" s="25"/>
      <c r="F60" s="26"/>
      <c r="G60" s="31"/>
      <c r="H60" s="31"/>
      <c r="I60" s="38"/>
      <c r="J60" s="38"/>
      <c r="K60" s="38"/>
      <c r="L60" s="36"/>
      <c r="M60" s="36"/>
      <c r="N60" s="36"/>
      <c r="O60" s="25"/>
      <c r="P60" s="26"/>
      <c r="Q60" s="44"/>
      <c r="R60" s="46"/>
      <c r="S60" s="26"/>
      <c r="T60" s="25" t="s">
        <v>212</v>
      </c>
      <c r="U60" s="53">
        <v>34020002003</v>
      </c>
      <c r="V60" s="25" t="s">
        <v>213</v>
      </c>
      <c r="W60" s="25" t="s">
        <v>37</v>
      </c>
      <c r="X60" s="52" t="s">
        <v>37</v>
      </c>
      <c r="Y60" s="25" t="s">
        <v>201</v>
      </c>
      <c r="Z60" s="52" t="s">
        <v>214</v>
      </c>
      <c r="AA60" s="40">
        <v>50</v>
      </c>
      <c r="AB60" s="40">
        <v>50</v>
      </c>
      <c r="AC60" s="40">
        <v>42.5</v>
      </c>
      <c r="AD60" s="56" t="s">
        <v>35</v>
      </c>
      <c r="AE60" s="25" t="s">
        <v>202</v>
      </c>
      <c r="AF60" s="25" t="s">
        <v>37</v>
      </c>
    </row>
    <row r="61" s="9" customFormat="1" ht="16" customHeight="1" spans="1:32">
      <c r="A61" s="25"/>
      <c r="B61" s="25"/>
      <c r="C61" s="26"/>
      <c r="D61" s="26"/>
      <c r="E61" s="25"/>
      <c r="F61" s="26"/>
      <c r="G61" s="31"/>
      <c r="H61" s="31"/>
      <c r="I61" s="38"/>
      <c r="J61" s="38"/>
      <c r="K61" s="38"/>
      <c r="L61" s="36"/>
      <c r="M61" s="36"/>
      <c r="N61" s="36"/>
      <c r="O61" s="25"/>
      <c r="P61" s="26"/>
      <c r="Q61" s="44"/>
      <c r="R61" s="46"/>
      <c r="S61" s="26"/>
      <c r="T61" s="25" t="s">
        <v>215</v>
      </c>
      <c r="U61" s="53">
        <v>34020002004</v>
      </c>
      <c r="V61" s="25" t="s">
        <v>216</v>
      </c>
      <c r="W61" s="25" t="s">
        <v>37</v>
      </c>
      <c r="X61" s="52" t="s">
        <v>37</v>
      </c>
      <c r="Y61" s="25" t="s">
        <v>201</v>
      </c>
      <c r="Z61" s="52" t="s">
        <v>217</v>
      </c>
      <c r="AA61" s="40">
        <v>50</v>
      </c>
      <c r="AB61" s="40">
        <v>50</v>
      </c>
      <c r="AC61" s="40">
        <v>42.5</v>
      </c>
      <c r="AD61" s="56" t="s">
        <v>35</v>
      </c>
      <c r="AE61" s="25" t="s">
        <v>202</v>
      </c>
      <c r="AF61" s="25" t="s">
        <v>37</v>
      </c>
    </row>
    <row r="62" s="9" customFormat="1" ht="16" customHeight="1" spans="1:32">
      <c r="A62" s="25"/>
      <c r="B62" s="25"/>
      <c r="C62" s="26"/>
      <c r="D62" s="26"/>
      <c r="E62" s="25"/>
      <c r="F62" s="26"/>
      <c r="G62" s="31"/>
      <c r="H62" s="31"/>
      <c r="I62" s="38"/>
      <c r="J62" s="38"/>
      <c r="K62" s="38"/>
      <c r="L62" s="36"/>
      <c r="M62" s="36"/>
      <c r="N62" s="36"/>
      <c r="O62" s="25"/>
      <c r="P62" s="26"/>
      <c r="Q62" s="44"/>
      <c r="R62" s="46"/>
      <c r="S62" s="26"/>
      <c r="T62" s="25" t="s">
        <v>218</v>
      </c>
      <c r="U62" s="53">
        <v>34020002005</v>
      </c>
      <c r="V62" s="25" t="s">
        <v>219</v>
      </c>
      <c r="W62" s="25" t="s">
        <v>37</v>
      </c>
      <c r="X62" s="52" t="s">
        <v>37</v>
      </c>
      <c r="Y62" s="25" t="s">
        <v>201</v>
      </c>
      <c r="Z62" s="52" t="s">
        <v>220</v>
      </c>
      <c r="AA62" s="40">
        <v>50</v>
      </c>
      <c r="AB62" s="40">
        <v>50</v>
      </c>
      <c r="AC62" s="40">
        <v>42.5</v>
      </c>
      <c r="AD62" s="56" t="s">
        <v>35</v>
      </c>
      <c r="AE62" s="25" t="s">
        <v>202</v>
      </c>
      <c r="AF62" s="25" t="s">
        <v>37</v>
      </c>
    </row>
    <row r="63" s="9" customFormat="1" ht="16" customHeight="1" spans="1:32">
      <c r="A63" s="25"/>
      <c r="B63" s="25"/>
      <c r="C63" s="26"/>
      <c r="D63" s="26"/>
      <c r="E63" s="25"/>
      <c r="F63" s="26"/>
      <c r="G63" s="31"/>
      <c r="H63" s="31"/>
      <c r="I63" s="38"/>
      <c r="J63" s="38"/>
      <c r="K63" s="38"/>
      <c r="L63" s="36"/>
      <c r="M63" s="36"/>
      <c r="N63" s="36"/>
      <c r="O63" s="25"/>
      <c r="P63" s="26"/>
      <c r="Q63" s="44"/>
      <c r="R63" s="46"/>
      <c r="S63" s="26"/>
      <c r="T63" s="25" t="s">
        <v>221</v>
      </c>
      <c r="U63" s="53">
        <v>340200021</v>
      </c>
      <c r="V63" s="25" t="s">
        <v>222</v>
      </c>
      <c r="W63" s="25" t="s">
        <v>37</v>
      </c>
      <c r="X63" s="52" t="s">
        <v>37</v>
      </c>
      <c r="Y63" s="25" t="s">
        <v>223</v>
      </c>
      <c r="Z63" s="52" t="s">
        <v>37</v>
      </c>
      <c r="AA63" s="40">
        <v>30</v>
      </c>
      <c r="AB63" s="40">
        <v>30</v>
      </c>
      <c r="AC63" s="40">
        <v>25.5</v>
      </c>
      <c r="AD63" s="56" t="s">
        <v>35</v>
      </c>
      <c r="AE63" s="25" t="s">
        <v>224</v>
      </c>
      <c r="AF63" s="25" t="s">
        <v>37</v>
      </c>
    </row>
    <row r="64" s="9" customFormat="1" ht="16" customHeight="1" spans="1:32">
      <c r="A64" s="25"/>
      <c r="B64" s="25"/>
      <c r="C64" s="26"/>
      <c r="D64" s="26"/>
      <c r="E64" s="25"/>
      <c r="F64" s="26"/>
      <c r="G64" s="31"/>
      <c r="H64" s="31"/>
      <c r="I64" s="38"/>
      <c r="J64" s="38"/>
      <c r="K64" s="38"/>
      <c r="L64" s="36"/>
      <c r="M64" s="36"/>
      <c r="N64" s="36"/>
      <c r="O64" s="25"/>
      <c r="P64" s="26"/>
      <c r="Q64" s="44"/>
      <c r="R64" s="46"/>
      <c r="S64" s="26"/>
      <c r="T64" s="25" t="s">
        <v>225</v>
      </c>
      <c r="U64" s="53">
        <v>340200031</v>
      </c>
      <c r="V64" s="25" t="s">
        <v>226</v>
      </c>
      <c r="W64" s="25" t="s">
        <v>227</v>
      </c>
      <c r="X64" s="52" t="s">
        <v>228</v>
      </c>
      <c r="Y64" s="25" t="s">
        <v>223</v>
      </c>
      <c r="Z64" s="52" t="s">
        <v>37</v>
      </c>
      <c r="AA64" s="40">
        <v>35</v>
      </c>
      <c r="AB64" s="40">
        <v>35</v>
      </c>
      <c r="AC64" s="40">
        <v>29.8</v>
      </c>
      <c r="AD64" s="56" t="s">
        <v>35</v>
      </c>
      <c r="AE64" s="25" t="s">
        <v>229</v>
      </c>
      <c r="AF64" s="25" t="s">
        <v>37</v>
      </c>
    </row>
    <row r="65" s="9" customFormat="1" ht="16" customHeight="1" spans="1:32">
      <c r="A65" s="25"/>
      <c r="B65" s="25"/>
      <c r="C65" s="26"/>
      <c r="D65" s="26"/>
      <c r="E65" s="25"/>
      <c r="F65" s="26"/>
      <c r="G65" s="31"/>
      <c r="H65" s="31"/>
      <c r="I65" s="38"/>
      <c r="J65" s="38"/>
      <c r="K65" s="38"/>
      <c r="L65" s="36"/>
      <c r="M65" s="36"/>
      <c r="N65" s="36"/>
      <c r="O65" s="25"/>
      <c r="P65" s="26"/>
      <c r="Q65" s="44"/>
      <c r="R65" s="46"/>
      <c r="S65" s="26"/>
      <c r="T65" s="25" t="s">
        <v>230</v>
      </c>
      <c r="U65" s="53">
        <v>340200040</v>
      </c>
      <c r="V65" s="25" t="s">
        <v>231</v>
      </c>
      <c r="W65" s="25" t="s">
        <v>37</v>
      </c>
      <c r="X65" s="52" t="s">
        <v>37</v>
      </c>
      <c r="Y65" s="25" t="s">
        <v>223</v>
      </c>
      <c r="Z65" s="52" t="s">
        <v>37</v>
      </c>
      <c r="AA65" s="40">
        <v>50</v>
      </c>
      <c r="AB65" s="40">
        <v>50</v>
      </c>
      <c r="AC65" s="40">
        <v>42.5</v>
      </c>
      <c r="AD65" s="56" t="s">
        <v>35</v>
      </c>
      <c r="AE65" s="25" t="s">
        <v>232</v>
      </c>
      <c r="AF65" s="25" t="s">
        <v>37</v>
      </c>
    </row>
    <row r="66" s="9" customFormat="1" ht="16" customHeight="1" spans="1:32">
      <c r="A66" s="25"/>
      <c r="B66" s="25"/>
      <c r="C66" s="26"/>
      <c r="D66" s="26"/>
      <c r="E66" s="25"/>
      <c r="F66" s="26"/>
      <c r="G66" s="31"/>
      <c r="H66" s="31"/>
      <c r="I66" s="38"/>
      <c r="J66" s="38"/>
      <c r="K66" s="38"/>
      <c r="L66" s="36"/>
      <c r="M66" s="36"/>
      <c r="N66" s="36"/>
      <c r="O66" s="25"/>
      <c r="P66" s="26"/>
      <c r="Q66" s="44"/>
      <c r="R66" s="46"/>
      <c r="S66" s="26"/>
      <c r="T66" s="25" t="s">
        <v>233</v>
      </c>
      <c r="U66" s="53">
        <v>340200041</v>
      </c>
      <c r="V66" s="25" t="s">
        <v>234</v>
      </c>
      <c r="W66" s="25" t="s">
        <v>37</v>
      </c>
      <c r="X66" s="52" t="s">
        <v>37</v>
      </c>
      <c r="Y66" s="25" t="s">
        <v>223</v>
      </c>
      <c r="Z66" s="52" t="s">
        <v>37</v>
      </c>
      <c r="AA66" s="40">
        <v>50</v>
      </c>
      <c r="AB66" s="40">
        <v>50</v>
      </c>
      <c r="AC66" s="40">
        <v>42.5</v>
      </c>
      <c r="AD66" s="56" t="s">
        <v>35</v>
      </c>
      <c r="AE66" s="25" t="s">
        <v>235</v>
      </c>
      <c r="AF66" s="25" t="s">
        <v>37</v>
      </c>
    </row>
    <row r="67" s="9" customFormat="1" ht="16" customHeight="1" spans="1:32">
      <c r="A67" s="25"/>
      <c r="B67" s="25"/>
      <c r="C67" s="26"/>
      <c r="D67" s="26"/>
      <c r="E67" s="25"/>
      <c r="F67" s="26"/>
      <c r="G67" s="31"/>
      <c r="H67" s="31"/>
      <c r="I67" s="38"/>
      <c r="J67" s="38"/>
      <c r="K67" s="38"/>
      <c r="L67" s="36"/>
      <c r="M67" s="36"/>
      <c r="N67" s="36"/>
      <c r="O67" s="25"/>
      <c r="P67" s="26"/>
      <c r="Q67" s="44"/>
      <c r="R67" s="46"/>
      <c r="S67" s="26"/>
      <c r="T67" s="25" t="s">
        <v>236</v>
      </c>
      <c r="U67" s="53">
        <v>340200042</v>
      </c>
      <c r="V67" s="25" t="s">
        <v>237</v>
      </c>
      <c r="W67" s="25" t="s">
        <v>37</v>
      </c>
      <c r="X67" s="52" t="s">
        <v>37</v>
      </c>
      <c r="Y67" s="25" t="s">
        <v>223</v>
      </c>
      <c r="Z67" s="52" t="s">
        <v>37</v>
      </c>
      <c r="AA67" s="40">
        <v>50</v>
      </c>
      <c r="AB67" s="40">
        <v>50</v>
      </c>
      <c r="AC67" s="40">
        <v>42.5</v>
      </c>
      <c r="AD67" s="56" t="s">
        <v>35</v>
      </c>
      <c r="AE67" s="25" t="s">
        <v>238</v>
      </c>
      <c r="AF67" s="25" t="s">
        <v>37</v>
      </c>
    </row>
    <row r="68" s="9" customFormat="1" ht="16" customHeight="1" spans="1:32">
      <c r="A68" s="25"/>
      <c r="B68" s="25"/>
      <c r="C68" s="26"/>
      <c r="D68" s="26"/>
      <c r="E68" s="25"/>
      <c r="F68" s="26"/>
      <c r="G68" s="31"/>
      <c r="H68" s="31"/>
      <c r="I68" s="38"/>
      <c r="J68" s="38"/>
      <c r="K68" s="38"/>
      <c r="L68" s="36"/>
      <c r="M68" s="36"/>
      <c r="N68" s="36"/>
      <c r="O68" s="25"/>
      <c r="P68" s="26"/>
      <c r="Q68" s="44"/>
      <c r="R68" s="46"/>
      <c r="S68" s="26"/>
      <c r="T68" s="25" t="s">
        <v>239</v>
      </c>
      <c r="U68" s="53">
        <v>340200023</v>
      </c>
      <c r="V68" s="25" t="s">
        <v>240</v>
      </c>
      <c r="W68" s="25" t="s">
        <v>37</v>
      </c>
      <c r="X68" s="52" t="s">
        <v>37</v>
      </c>
      <c r="Y68" s="25" t="s">
        <v>241</v>
      </c>
      <c r="Z68" s="52" t="s">
        <v>37</v>
      </c>
      <c r="AA68" s="40">
        <v>20</v>
      </c>
      <c r="AB68" s="40">
        <v>20</v>
      </c>
      <c r="AC68" s="40">
        <v>17</v>
      </c>
      <c r="AD68" s="56" t="s">
        <v>35</v>
      </c>
      <c r="AE68" s="25" t="s">
        <v>242</v>
      </c>
      <c r="AF68" s="25" t="s">
        <v>37</v>
      </c>
    </row>
    <row r="69" s="9" customFormat="1" ht="16" customHeight="1" spans="1:32">
      <c r="A69" s="25"/>
      <c r="B69" s="25"/>
      <c r="C69" s="26"/>
      <c r="D69" s="26"/>
      <c r="E69" s="25"/>
      <c r="F69" s="26"/>
      <c r="G69" s="31"/>
      <c r="H69" s="31"/>
      <c r="I69" s="38"/>
      <c r="J69" s="38"/>
      <c r="K69" s="38"/>
      <c r="L69" s="36"/>
      <c r="M69" s="36"/>
      <c r="N69" s="36"/>
      <c r="O69" s="25"/>
      <c r="P69" s="26"/>
      <c r="Q69" s="44"/>
      <c r="R69" s="46"/>
      <c r="S69" s="26"/>
      <c r="T69" s="25" t="s">
        <v>243</v>
      </c>
      <c r="U69" s="53">
        <v>340200028</v>
      </c>
      <c r="V69" s="25" t="s">
        <v>244</v>
      </c>
      <c r="W69" s="25" t="s">
        <v>37</v>
      </c>
      <c r="X69" s="52" t="s">
        <v>37</v>
      </c>
      <c r="Y69" s="25" t="s">
        <v>241</v>
      </c>
      <c r="Z69" s="52" t="s">
        <v>37</v>
      </c>
      <c r="AA69" s="40">
        <v>20</v>
      </c>
      <c r="AB69" s="40">
        <v>20</v>
      </c>
      <c r="AC69" s="40">
        <v>17</v>
      </c>
      <c r="AD69" s="56" t="s">
        <v>37</v>
      </c>
      <c r="AE69" s="25" t="s">
        <v>37</v>
      </c>
      <c r="AF69" s="25" t="s">
        <v>37</v>
      </c>
    </row>
    <row r="70" s="9" customFormat="1" ht="16" customHeight="1" spans="1:32">
      <c r="A70" s="25"/>
      <c r="B70" s="25"/>
      <c r="C70" s="26"/>
      <c r="D70" s="26"/>
      <c r="E70" s="25"/>
      <c r="F70" s="26"/>
      <c r="G70" s="31"/>
      <c r="H70" s="31"/>
      <c r="I70" s="38"/>
      <c r="J70" s="38"/>
      <c r="K70" s="38"/>
      <c r="L70" s="36"/>
      <c r="M70" s="36"/>
      <c r="N70" s="36"/>
      <c r="O70" s="25"/>
      <c r="P70" s="26"/>
      <c r="Q70" s="44"/>
      <c r="R70" s="46"/>
      <c r="S70" s="26"/>
      <c r="T70" s="25" t="s">
        <v>245</v>
      </c>
      <c r="U70" s="53">
        <v>340200047</v>
      </c>
      <c r="V70" s="25" t="s">
        <v>246</v>
      </c>
      <c r="W70" s="25" t="s">
        <v>247</v>
      </c>
      <c r="X70" s="52" t="s">
        <v>37</v>
      </c>
      <c r="Y70" s="25" t="s">
        <v>166</v>
      </c>
      <c r="Z70" s="52" t="s">
        <v>37</v>
      </c>
      <c r="AA70" s="40">
        <v>36</v>
      </c>
      <c r="AB70" s="40">
        <v>32</v>
      </c>
      <c r="AC70" s="40">
        <v>27</v>
      </c>
      <c r="AD70" s="56" t="s">
        <v>37</v>
      </c>
      <c r="AE70" s="25" t="s">
        <v>37</v>
      </c>
      <c r="AF70" s="25" t="s">
        <v>37</v>
      </c>
    </row>
    <row r="71" s="9" customFormat="1" ht="16" customHeight="1" spans="1:32">
      <c r="A71" s="25"/>
      <c r="B71" s="25"/>
      <c r="C71" s="26"/>
      <c r="D71" s="26"/>
      <c r="E71" s="25"/>
      <c r="F71" s="26"/>
      <c r="G71" s="31"/>
      <c r="H71" s="31"/>
      <c r="I71" s="38"/>
      <c r="J71" s="38"/>
      <c r="K71" s="38"/>
      <c r="L71" s="36"/>
      <c r="M71" s="36"/>
      <c r="N71" s="36"/>
      <c r="O71" s="25"/>
      <c r="P71" s="26"/>
      <c r="Q71" s="44"/>
      <c r="R71" s="46"/>
      <c r="S71" s="26"/>
      <c r="T71" s="25" t="s">
        <v>248</v>
      </c>
      <c r="U71" s="53">
        <v>340200048</v>
      </c>
      <c r="V71" s="25" t="s">
        <v>249</v>
      </c>
      <c r="W71" s="25" t="s">
        <v>250</v>
      </c>
      <c r="X71" s="52" t="s">
        <v>37</v>
      </c>
      <c r="Y71" s="25" t="s">
        <v>166</v>
      </c>
      <c r="Z71" s="52" t="s">
        <v>37</v>
      </c>
      <c r="AA71" s="40">
        <v>23</v>
      </c>
      <c r="AB71" s="40">
        <v>21</v>
      </c>
      <c r="AC71" s="40">
        <v>18</v>
      </c>
      <c r="AD71" s="56" t="s">
        <v>37</v>
      </c>
      <c r="AE71" s="25" t="s">
        <v>37</v>
      </c>
      <c r="AF71" s="25" t="s">
        <v>37</v>
      </c>
    </row>
    <row r="72" s="9" customFormat="1" ht="16" customHeight="1" spans="1:32">
      <c r="A72" s="25"/>
      <c r="B72" s="25"/>
      <c r="C72" s="26"/>
      <c r="D72" s="26"/>
      <c r="E72" s="25"/>
      <c r="F72" s="26"/>
      <c r="G72" s="31"/>
      <c r="H72" s="31"/>
      <c r="I72" s="38"/>
      <c r="J72" s="38"/>
      <c r="K72" s="38"/>
      <c r="L72" s="36"/>
      <c r="M72" s="36"/>
      <c r="N72" s="36"/>
      <c r="O72" s="25"/>
      <c r="P72" s="26"/>
      <c r="Q72" s="44"/>
      <c r="R72" s="46"/>
      <c r="S72" s="26"/>
      <c r="T72" s="25" t="s">
        <v>251</v>
      </c>
      <c r="U72" s="53">
        <v>340200049</v>
      </c>
      <c r="V72" s="25" t="s">
        <v>252</v>
      </c>
      <c r="W72" s="25" t="s">
        <v>253</v>
      </c>
      <c r="X72" s="52" t="s">
        <v>37</v>
      </c>
      <c r="Y72" s="25" t="s">
        <v>166</v>
      </c>
      <c r="Z72" s="52" t="s">
        <v>37</v>
      </c>
      <c r="AA72" s="40">
        <v>23</v>
      </c>
      <c r="AB72" s="40">
        <v>21</v>
      </c>
      <c r="AC72" s="40">
        <v>18</v>
      </c>
      <c r="AD72" s="56" t="s">
        <v>37</v>
      </c>
      <c r="AE72" s="25" t="s">
        <v>37</v>
      </c>
      <c r="AF72" s="25" t="s">
        <v>37</v>
      </c>
    </row>
    <row r="73" s="9" customFormat="1" ht="16" customHeight="1" spans="1:32">
      <c r="A73" s="25"/>
      <c r="B73" s="25"/>
      <c r="C73" s="26"/>
      <c r="D73" s="26"/>
      <c r="E73" s="25"/>
      <c r="F73" s="26"/>
      <c r="G73" s="31"/>
      <c r="H73" s="31"/>
      <c r="I73" s="38"/>
      <c r="J73" s="38"/>
      <c r="K73" s="38"/>
      <c r="L73" s="36"/>
      <c r="M73" s="36"/>
      <c r="N73" s="36"/>
      <c r="O73" s="25"/>
      <c r="P73" s="26"/>
      <c r="Q73" s="44"/>
      <c r="R73" s="46"/>
      <c r="S73" s="26"/>
      <c r="T73" s="25" t="s">
        <v>254</v>
      </c>
      <c r="U73" s="53">
        <v>340200051</v>
      </c>
      <c r="V73" s="25" t="s">
        <v>255</v>
      </c>
      <c r="W73" s="25" t="s">
        <v>256</v>
      </c>
      <c r="X73" s="52" t="s">
        <v>37</v>
      </c>
      <c r="Y73" s="25" t="s">
        <v>166</v>
      </c>
      <c r="Z73" s="52" t="s">
        <v>37</v>
      </c>
      <c r="AA73" s="40">
        <v>27</v>
      </c>
      <c r="AB73" s="40">
        <v>24</v>
      </c>
      <c r="AC73" s="40">
        <v>20</v>
      </c>
      <c r="AD73" s="56" t="s">
        <v>37</v>
      </c>
      <c r="AE73" s="25" t="s">
        <v>37</v>
      </c>
      <c r="AF73" s="25" t="s">
        <v>37</v>
      </c>
    </row>
    <row r="74" s="9" customFormat="1" ht="16" customHeight="1" spans="1:32">
      <c r="A74" s="25"/>
      <c r="B74" s="25"/>
      <c r="C74" s="26"/>
      <c r="D74" s="26"/>
      <c r="E74" s="25"/>
      <c r="F74" s="26"/>
      <c r="G74" s="31"/>
      <c r="H74" s="31"/>
      <c r="I74" s="38"/>
      <c r="J74" s="38"/>
      <c r="K74" s="38"/>
      <c r="L74" s="36"/>
      <c r="M74" s="36"/>
      <c r="N74" s="36"/>
      <c r="O74" s="25"/>
      <c r="P74" s="26"/>
      <c r="Q74" s="44"/>
      <c r="R74" s="46"/>
      <c r="S74" s="26"/>
      <c r="T74" s="25" t="s">
        <v>257</v>
      </c>
      <c r="U74" s="53">
        <v>340200024</v>
      </c>
      <c r="V74" s="25" t="s">
        <v>258</v>
      </c>
      <c r="W74" s="25" t="s">
        <v>37</v>
      </c>
      <c r="X74" s="52" t="s">
        <v>37</v>
      </c>
      <c r="Y74" s="25" t="s">
        <v>33</v>
      </c>
      <c r="Z74" s="52" t="s">
        <v>37</v>
      </c>
      <c r="AA74" s="40">
        <v>20</v>
      </c>
      <c r="AB74" s="40">
        <v>20</v>
      </c>
      <c r="AC74" s="40">
        <v>17</v>
      </c>
      <c r="AD74" s="56" t="s">
        <v>35</v>
      </c>
      <c r="AE74" s="25" t="s">
        <v>259</v>
      </c>
      <c r="AF74" s="25" t="s">
        <v>37</v>
      </c>
    </row>
    <row r="75" s="9" customFormat="1" ht="16" customHeight="1" spans="1:32">
      <c r="A75" s="25"/>
      <c r="B75" s="25"/>
      <c r="C75" s="26"/>
      <c r="D75" s="26"/>
      <c r="E75" s="25"/>
      <c r="F75" s="26"/>
      <c r="G75" s="31"/>
      <c r="H75" s="31"/>
      <c r="I75" s="38"/>
      <c r="J75" s="38"/>
      <c r="K75" s="38"/>
      <c r="L75" s="36"/>
      <c r="M75" s="36"/>
      <c r="N75" s="36"/>
      <c r="O75" s="25"/>
      <c r="P75" s="26"/>
      <c r="Q75" s="44"/>
      <c r="R75" s="46"/>
      <c r="S75" s="26"/>
      <c r="T75" s="25" t="s">
        <v>260</v>
      </c>
      <c r="U75" s="53">
        <v>340200025</v>
      </c>
      <c r="V75" s="25" t="s">
        <v>261</v>
      </c>
      <c r="W75" s="25" t="s">
        <v>37</v>
      </c>
      <c r="X75" s="52" t="s">
        <v>262</v>
      </c>
      <c r="Y75" s="25" t="s">
        <v>33</v>
      </c>
      <c r="Z75" s="52" t="s">
        <v>37</v>
      </c>
      <c r="AA75" s="40">
        <v>20</v>
      </c>
      <c r="AB75" s="40">
        <v>20</v>
      </c>
      <c r="AC75" s="40">
        <v>17</v>
      </c>
      <c r="AD75" s="56" t="s">
        <v>35</v>
      </c>
      <c r="AE75" s="25" t="s">
        <v>263</v>
      </c>
      <c r="AF75" s="25" t="s">
        <v>37</v>
      </c>
    </row>
    <row r="76" s="9" customFormat="1" ht="16" customHeight="1" spans="1:32">
      <c r="A76" s="25"/>
      <c r="B76" s="25"/>
      <c r="C76" s="26"/>
      <c r="D76" s="26"/>
      <c r="E76" s="25"/>
      <c r="F76" s="26"/>
      <c r="G76" s="31"/>
      <c r="H76" s="31"/>
      <c r="I76" s="38"/>
      <c r="J76" s="38"/>
      <c r="K76" s="38"/>
      <c r="L76" s="36"/>
      <c r="M76" s="36"/>
      <c r="N76" s="36"/>
      <c r="O76" s="25"/>
      <c r="P76" s="26"/>
      <c r="Q76" s="44"/>
      <c r="R76" s="46"/>
      <c r="S76" s="26"/>
      <c r="T76" s="25" t="s">
        <v>264</v>
      </c>
      <c r="U76" s="53">
        <v>340200026</v>
      </c>
      <c r="V76" s="25" t="s">
        <v>265</v>
      </c>
      <c r="W76" s="25" t="s">
        <v>266</v>
      </c>
      <c r="X76" s="52" t="s">
        <v>37</v>
      </c>
      <c r="Y76" s="25" t="s">
        <v>33</v>
      </c>
      <c r="Z76" s="52" t="s">
        <v>37</v>
      </c>
      <c r="AA76" s="40">
        <v>35</v>
      </c>
      <c r="AB76" s="40">
        <v>35</v>
      </c>
      <c r="AC76" s="40">
        <v>29.8</v>
      </c>
      <c r="AD76" s="56" t="s">
        <v>35</v>
      </c>
      <c r="AE76" s="25" t="s">
        <v>267</v>
      </c>
      <c r="AF76" s="25" t="s">
        <v>37</v>
      </c>
    </row>
    <row r="77" s="9" customFormat="1" ht="16" customHeight="1" spans="1:32">
      <c r="A77" s="25"/>
      <c r="B77" s="25"/>
      <c r="C77" s="26"/>
      <c r="D77" s="26"/>
      <c r="E77" s="25"/>
      <c r="F77" s="26"/>
      <c r="G77" s="31"/>
      <c r="H77" s="31"/>
      <c r="I77" s="38"/>
      <c r="J77" s="38"/>
      <c r="K77" s="38"/>
      <c r="L77" s="36"/>
      <c r="M77" s="36"/>
      <c r="N77" s="36"/>
      <c r="O77" s="25"/>
      <c r="P77" s="26"/>
      <c r="Q77" s="44"/>
      <c r="R77" s="46"/>
      <c r="S77" s="26"/>
      <c r="T77" s="25" t="s">
        <v>268</v>
      </c>
      <c r="U77" s="53">
        <v>34020002601</v>
      </c>
      <c r="V77" s="25" t="s">
        <v>269</v>
      </c>
      <c r="W77" s="25" t="s">
        <v>37</v>
      </c>
      <c r="X77" s="52" t="s">
        <v>37</v>
      </c>
      <c r="Y77" s="25" t="s">
        <v>33</v>
      </c>
      <c r="Z77" s="52" t="s">
        <v>270</v>
      </c>
      <c r="AA77" s="40">
        <v>35</v>
      </c>
      <c r="AB77" s="40">
        <v>35</v>
      </c>
      <c r="AC77" s="40">
        <v>29.8</v>
      </c>
      <c r="AD77" s="56" t="s">
        <v>35</v>
      </c>
      <c r="AE77" s="25" t="s">
        <v>267</v>
      </c>
      <c r="AF77" s="25" t="s">
        <v>37</v>
      </c>
    </row>
    <row r="78" s="9" customFormat="1" ht="16" customHeight="1" spans="1:32">
      <c r="A78" s="25"/>
      <c r="B78" s="25"/>
      <c r="C78" s="26"/>
      <c r="D78" s="26"/>
      <c r="E78" s="25"/>
      <c r="F78" s="26"/>
      <c r="G78" s="31"/>
      <c r="H78" s="31"/>
      <c r="I78" s="38"/>
      <c r="J78" s="38"/>
      <c r="K78" s="38"/>
      <c r="L78" s="36"/>
      <c r="M78" s="36"/>
      <c r="N78" s="36"/>
      <c r="O78" s="25"/>
      <c r="P78" s="26"/>
      <c r="Q78" s="44"/>
      <c r="R78" s="46"/>
      <c r="S78" s="26"/>
      <c r="T78" s="25" t="s">
        <v>271</v>
      </c>
      <c r="U78" s="53">
        <v>34020002602</v>
      </c>
      <c r="V78" s="25" t="s">
        <v>272</v>
      </c>
      <c r="W78" s="25" t="s">
        <v>37</v>
      </c>
      <c r="X78" s="52" t="s">
        <v>37</v>
      </c>
      <c r="Y78" s="25" t="s">
        <v>33</v>
      </c>
      <c r="Z78" s="52" t="s">
        <v>273</v>
      </c>
      <c r="AA78" s="40">
        <v>35</v>
      </c>
      <c r="AB78" s="40">
        <v>35</v>
      </c>
      <c r="AC78" s="40">
        <v>29.8</v>
      </c>
      <c r="AD78" s="56" t="s">
        <v>35</v>
      </c>
      <c r="AE78" s="25" t="s">
        <v>267</v>
      </c>
      <c r="AF78" s="25" t="s">
        <v>37</v>
      </c>
    </row>
    <row r="79" s="9" customFormat="1" ht="16" customHeight="1" spans="1:32">
      <c r="A79" s="25"/>
      <c r="B79" s="25"/>
      <c r="C79" s="26"/>
      <c r="D79" s="26"/>
      <c r="E79" s="25"/>
      <c r="F79" s="26"/>
      <c r="G79" s="31"/>
      <c r="H79" s="31"/>
      <c r="I79" s="38"/>
      <c r="J79" s="38"/>
      <c r="K79" s="38"/>
      <c r="L79" s="36"/>
      <c r="M79" s="36"/>
      <c r="N79" s="36"/>
      <c r="O79" s="25"/>
      <c r="P79" s="26"/>
      <c r="Q79" s="44"/>
      <c r="R79" s="46"/>
      <c r="S79" s="26"/>
      <c r="T79" s="25" t="s">
        <v>274</v>
      </c>
      <c r="U79" s="53">
        <v>340200027</v>
      </c>
      <c r="V79" s="25" t="s">
        <v>275</v>
      </c>
      <c r="W79" s="25" t="s">
        <v>37</v>
      </c>
      <c r="X79" s="52" t="s">
        <v>276</v>
      </c>
      <c r="Y79" s="25" t="s">
        <v>33</v>
      </c>
      <c r="Z79" s="52" t="s">
        <v>37</v>
      </c>
      <c r="AA79" s="40">
        <v>30</v>
      </c>
      <c r="AB79" s="40">
        <v>30</v>
      </c>
      <c r="AC79" s="40">
        <v>25.5</v>
      </c>
      <c r="AD79" s="56" t="s">
        <v>35</v>
      </c>
      <c r="AE79" s="25" t="s">
        <v>277</v>
      </c>
      <c r="AF79" s="25" t="s">
        <v>37</v>
      </c>
    </row>
    <row r="80" s="9" customFormat="1" ht="16" customHeight="1" spans="1:32">
      <c r="A80" s="25"/>
      <c r="B80" s="25"/>
      <c r="C80" s="26"/>
      <c r="D80" s="26"/>
      <c r="E80" s="25"/>
      <c r="F80" s="26"/>
      <c r="G80" s="31"/>
      <c r="H80" s="31"/>
      <c r="I80" s="38"/>
      <c r="J80" s="38"/>
      <c r="K80" s="38"/>
      <c r="L80" s="36"/>
      <c r="M80" s="36"/>
      <c r="N80" s="36"/>
      <c r="O80" s="25"/>
      <c r="P80" s="26"/>
      <c r="Q80" s="44"/>
      <c r="R80" s="46"/>
      <c r="S80" s="26"/>
      <c r="T80" s="25" t="s">
        <v>278</v>
      </c>
      <c r="U80" s="53">
        <v>340200030</v>
      </c>
      <c r="V80" s="25" t="s">
        <v>279</v>
      </c>
      <c r="W80" s="25" t="s">
        <v>37</v>
      </c>
      <c r="X80" s="52" t="s">
        <v>37</v>
      </c>
      <c r="Y80" s="25" t="s">
        <v>33</v>
      </c>
      <c r="Z80" s="52" t="s">
        <v>37</v>
      </c>
      <c r="AA80" s="40">
        <v>30</v>
      </c>
      <c r="AB80" s="40">
        <v>30</v>
      </c>
      <c r="AC80" s="40">
        <v>25.5</v>
      </c>
      <c r="AD80" s="56" t="s">
        <v>35</v>
      </c>
      <c r="AE80" s="25" t="s">
        <v>44</v>
      </c>
      <c r="AF80" s="25" t="s">
        <v>37</v>
      </c>
    </row>
    <row r="81" s="9" customFormat="1" ht="16" customHeight="1" spans="1:32">
      <c r="A81" s="25"/>
      <c r="B81" s="25"/>
      <c r="C81" s="26"/>
      <c r="D81" s="26"/>
      <c r="E81" s="25"/>
      <c r="F81" s="26"/>
      <c r="G81" s="31"/>
      <c r="H81" s="31"/>
      <c r="I81" s="38"/>
      <c r="J81" s="38"/>
      <c r="K81" s="38"/>
      <c r="L81" s="36"/>
      <c r="M81" s="36"/>
      <c r="N81" s="36"/>
      <c r="O81" s="25"/>
      <c r="P81" s="26"/>
      <c r="Q81" s="44"/>
      <c r="R81" s="46"/>
      <c r="S81" s="26"/>
      <c r="T81" s="25" t="s">
        <v>225</v>
      </c>
      <c r="U81" s="53">
        <v>340200031</v>
      </c>
      <c r="V81" s="25" t="s">
        <v>226</v>
      </c>
      <c r="W81" s="25" t="s">
        <v>227</v>
      </c>
      <c r="X81" s="52" t="s">
        <v>228</v>
      </c>
      <c r="Y81" s="25" t="s">
        <v>223</v>
      </c>
      <c r="Z81" s="52" t="s">
        <v>37</v>
      </c>
      <c r="AA81" s="40">
        <v>35</v>
      </c>
      <c r="AB81" s="40">
        <v>35</v>
      </c>
      <c r="AC81" s="40">
        <v>29.8</v>
      </c>
      <c r="AD81" s="56" t="s">
        <v>35</v>
      </c>
      <c r="AE81" s="25" t="s">
        <v>229</v>
      </c>
      <c r="AF81" s="25" t="s">
        <v>37</v>
      </c>
    </row>
    <row r="82" s="9" customFormat="1" ht="16" customHeight="1" spans="1:32">
      <c r="A82" s="25"/>
      <c r="B82" s="25"/>
      <c r="C82" s="26"/>
      <c r="D82" s="26"/>
      <c r="E82" s="25"/>
      <c r="F82" s="26"/>
      <c r="G82" s="31"/>
      <c r="H82" s="31"/>
      <c r="I82" s="38"/>
      <c r="J82" s="38"/>
      <c r="K82" s="38"/>
      <c r="L82" s="36"/>
      <c r="M82" s="36"/>
      <c r="N82" s="36"/>
      <c r="O82" s="25"/>
      <c r="P82" s="26"/>
      <c r="Q82" s="44"/>
      <c r="R82" s="46"/>
      <c r="S82" s="26"/>
      <c r="T82" s="25" t="s">
        <v>230</v>
      </c>
      <c r="U82" s="53">
        <v>340200040</v>
      </c>
      <c r="V82" s="25" t="s">
        <v>231</v>
      </c>
      <c r="W82" s="25" t="s">
        <v>37</v>
      </c>
      <c r="X82" s="52" t="s">
        <v>37</v>
      </c>
      <c r="Y82" s="25" t="s">
        <v>223</v>
      </c>
      <c r="Z82" s="52" t="s">
        <v>37</v>
      </c>
      <c r="AA82" s="40">
        <v>50</v>
      </c>
      <c r="AB82" s="40">
        <v>50</v>
      </c>
      <c r="AC82" s="40">
        <v>42.5</v>
      </c>
      <c r="AD82" s="56" t="s">
        <v>35</v>
      </c>
      <c r="AE82" s="25" t="s">
        <v>232</v>
      </c>
      <c r="AF82" s="25" t="s">
        <v>37</v>
      </c>
    </row>
    <row r="83" s="9" customFormat="1" ht="16" customHeight="1" spans="1:32">
      <c r="A83" s="25"/>
      <c r="B83" s="25"/>
      <c r="C83" s="26"/>
      <c r="D83" s="26"/>
      <c r="E83" s="25"/>
      <c r="F83" s="26"/>
      <c r="G83" s="31"/>
      <c r="H83" s="31"/>
      <c r="I83" s="38"/>
      <c r="J83" s="38"/>
      <c r="K83" s="38"/>
      <c r="L83" s="36"/>
      <c r="M83" s="36"/>
      <c r="N83" s="36"/>
      <c r="O83" s="25"/>
      <c r="P83" s="26"/>
      <c r="Q83" s="44"/>
      <c r="R83" s="46"/>
      <c r="S83" s="26"/>
      <c r="T83" s="25" t="s">
        <v>233</v>
      </c>
      <c r="U83" s="53">
        <v>340200041</v>
      </c>
      <c r="V83" s="25" t="s">
        <v>234</v>
      </c>
      <c r="W83" s="25" t="s">
        <v>37</v>
      </c>
      <c r="X83" s="52" t="s">
        <v>37</v>
      </c>
      <c r="Y83" s="25" t="s">
        <v>223</v>
      </c>
      <c r="Z83" s="52" t="s">
        <v>37</v>
      </c>
      <c r="AA83" s="40">
        <v>50</v>
      </c>
      <c r="AB83" s="40">
        <v>50</v>
      </c>
      <c r="AC83" s="40">
        <v>42.5</v>
      </c>
      <c r="AD83" s="56" t="s">
        <v>35</v>
      </c>
      <c r="AE83" s="25" t="s">
        <v>235</v>
      </c>
      <c r="AF83" s="25" t="s">
        <v>37</v>
      </c>
    </row>
    <row r="84" s="9" customFormat="1" ht="16" customHeight="1" spans="1:32">
      <c r="A84" s="25"/>
      <c r="B84" s="25"/>
      <c r="C84" s="26"/>
      <c r="D84" s="26"/>
      <c r="E84" s="25"/>
      <c r="F84" s="26"/>
      <c r="G84" s="31"/>
      <c r="H84" s="31"/>
      <c r="I84" s="38"/>
      <c r="J84" s="38"/>
      <c r="K84" s="38"/>
      <c r="L84" s="36"/>
      <c r="M84" s="36"/>
      <c r="N84" s="36"/>
      <c r="O84" s="25"/>
      <c r="P84" s="26"/>
      <c r="Q84" s="44"/>
      <c r="R84" s="46"/>
      <c r="S84" s="26"/>
      <c r="T84" s="25" t="s">
        <v>236</v>
      </c>
      <c r="U84" s="53">
        <v>340200042</v>
      </c>
      <c r="V84" s="25" t="s">
        <v>237</v>
      </c>
      <c r="W84" s="25" t="s">
        <v>37</v>
      </c>
      <c r="X84" s="52" t="s">
        <v>37</v>
      </c>
      <c r="Y84" s="25" t="s">
        <v>223</v>
      </c>
      <c r="Z84" s="52" t="s">
        <v>37</v>
      </c>
      <c r="AA84" s="40">
        <v>50</v>
      </c>
      <c r="AB84" s="40">
        <v>50</v>
      </c>
      <c r="AC84" s="40">
        <v>42.5</v>
      </c>
      <c r="AD84" s="56" t="s">
        <v>35</v>
      </c>
      <c r="AE84" s="25" t="s">
        <v>238</v>
      </c>
      <c r="AF84" s="25" t="s">
        <v>37</v>
      </c>
    </row>
    <row r="85" s="9" customFormat="1" customHeight="1" spans="1:32">
      <c r="A85" s="25"/>
      <c r="B85" s="25"/>
      <c r="C85" s="26"/>
      <c r="D85" s="26"/>
      <c r="E85" s="25"/>
      <c r="F85" s="26"/>
      <c r="G85" s="31"/>
      <c r="H85" s="31"/>
      <c r="I85" s="38"/>
      <c r="J85" s="38"/>
      <c r="K85" s="38"/>
      <c r="L85" s="36"/>
      <c r="M85" s="36"/>
      <c r="N85" s="36"/>
      <c r="O85" s="25"/>
      <c r="P85" s="26"/>
      <c r="Q85" s="44"/>
      <c r="R85" s="46"/>
      <c r="S85" s="26"/>
      <c r="T85" s="25" t="s">
        <v>280</v>
      </c>
      <c r="U85" s="53">
        <v>340200045</v>
      </c>
      <c r="V85" s="25" t="s">
        <v>281</v>
      </c>
      <c r="W85" s="25" t="s">
        <v>282</v>
      </c>
      <c r="X85" s="52" t="s">
        <v>37</v>
      </c>
      <c r="Y85" s="25" t="s">
        <v>33</v>
      </c>
      <c r="Z85" s="52" t="s">
        <v>37</v>
      </c>
      <c r="AA85" s="40">
        <v>23</v>
      </c>
      <c r="AB85" s="40">
        <v>21</v>
      </c>
      <c r="AC85" s="40">
        <v>18</v>
      </c>
      <c r="AD85" s="56" t="s">
        <v>37</v>
      </c>
      <c r="AE85" s="25" t="s">
        <v>37</v>
      </c>
      <c r="AF85" s="25" t="s">
        <v>37</v>
      </c>
    </row>
    <row r="86" s="9" customFormat="1" ht="16" customHeight="1" spans="1:32">
      <c r="A86" s="25"/>
      <c r="B86" s="25"/>
      <c r="C86" s="26"/>
      <c r="D86" s="26"/>
      <c r="E86" s="25"/>
      <c r="F86" s="26"/>
      <c r="G86" s="31"/>
      <c r="H86" s="31"/>
      <c r="I86" s="38"/>
      <c r="J86" s="38"/>
      <c r="K86" s="38"/>
      <c r="L86" s="36"/>
      <c r="M86" s="36"/>
      <c r="N86" s="36"/>
      <c r="O86" s="25"/>
      <c r="P86" s="26"/>
      <c r="Q86" s="44"/>
      <c r="R86" s="46"/>
      <c r="S86" s="26"/>
      <c r="T86" s="25" t="s">
        <v>283</v>
      </c>
      <c r="U86" s="53">
        <v>340200052</v>
      </c>
      <c r="V86" s="25" t="s">
        <v>284</v>
      </c>
      <c r="W86" s="25" t="s">
        <v>285</v>
      </c>
      <c r="X86" s="52" t="s">
        <v>37</v>
      </c>
      <c r="Y86" s="25" t="s">
        <v>33</v>
      </c>
      <c r="Z86" s="52" t="s">
        <v>286</v>
      </c>
      <c r="AA86" s="40">
        <v>48</v>
      </c>
      <c r="AB86" s="40">
        <v>43</v>
      </c>
      <c r="AC86" s="40">
        <v>37</v>
      </c>
      <c r="AD86" s="56" t="s">
        <v>35</v>
      </c>
      <c r="AE86" s="25" t="s">
        <v>37</v>
      </c>
      <c r="AF86" s="25" t="s">
        <v>37</v>
      </c>
    </row>
    <row r="87" s="9" customFormat="1" ht="27" customHeight="1" spans="1:32">
      <c r="A87" s="25" t="s">
        <v>53</v>
      </c>
      <c r="B87" s="25" t="s">
        <v>287</v>
      </c>
      <c r="C87" s="26" t="s">
        <v>37</v>
      </c>
      <c r="D87" s="26" t="s">
        <v>37</v>
      </c>
      <c r="E87" s="25" t="s">
        <v>137</v>
      </c>
      <c r="F87" s="26" t="s">
        <v>37</v>
      </c>
      <c r="G87" s="30">
        <v>15</v>
      </c>
      <c r="H87" s="30">
        <v>15</v>
      </c>
      <c r="I87" s="38"/>
      <c r="J87" s="38"/>
      <c r="K87" s="38"/>
      <c r="L87" s="36">
        <v>13.5</v>
      </c>
      <c r="M87" s="36">
        <v>12.5</v>
      </c>
      <c r="N87" s="36">
        <v>10.5</v>
      </c>
      <c r="O87" s="25" t="s">
        <v>35</v>
      </c>
      <c r="P87" s="26" t="s">
        <v>196</v>
      </c>
      <c r="Q87" s="44" t="s">
        <v>37</v>
      </c>
      <c r="R87" s="46"/>
      <c r="S87" s="26" t="s">
        <v>138</v>
      </c>
      <c r="T87" s="25"/>
      <c r="U87" s="53"/>
      <c r="V87" s="25"/>
      <c r="W87" s="25"/>
      <c r="X87" s="52"/>
      <c r="Y87" s="25"/>
      <c r="Z87" s="52"/>
      <c r="AA87" s="40"/>
      <c r="AB87" s="40"/>
      <c r="AC87" s="40"/>
      <c r="AD87" s="56"/>
      <c r="AE87" s="25"/>
      <c r="AF87" s="25"/>
    </row>
    <row r="88" s="9" customFormat="1" ht="27" customHeight="1" spans="1:32">
      <c r="A88" s="25" t="s">
        <v>53</v>
      </c>
      <c r="B88" s="25" t="s">
        <v>288</v>
      </c>
      <c r="C88" s="26" t="s">
        <v>37</v>
      </c>
      <c r="D88" s="26" t="s">
        <v>37</v>
      </c>
      <c r="E88" s="25" t="s">
        <v>133</v>
      </c>
      <c r="F88" s="26" t="s">
        <v>37</v>
      </c>
      <c r="G88" s="30">
        <v>25</v>
      </c>
      <c r="H88" s="30">
        <v>25</v>
      </c>
      <c r="I88" s="37"/>
      <c r="J88" s="37"/>
      <c r="K88" s="37"/>
      <c r="L88" s="36">
        <v>22.5</v>
      </c>
      <c r="M88" s="36">
        <v>20.5</v>
      </c>
      <c r="N88" s="36">
        <v>17.5</v>
      </c>
      <c r="O88" s="25" t="s">
        <v>35</v>
      </c>
      <c r="P88" s="26" t="s">
        <v>196</v>
      </c>
      <c r="Q88" s="44" t="s">
        <v>37</v>
      </c>
      <c r="R88" s="46"/>
      <c r="S88" s="26" t="s">
        <v>289</v>
      </c>
      <c r="T88" s="25"/>
      <c r="U88" s="53"/>
      <c r="V88" s="25"/>
      <c r="W88" s="25"/>
      <c r="X88" s="52"/>
      <c r="Y88" s="25"/>
      <c r="Z88" s="52"/>
      <c r="AA88" s="40"/>
      <c r="AB88" s="40"/>
      <c r="AC88" s="40"/>
      <c r="AD88" s="56"/>
      <c r="AE88" s="25"/>
      <c r="AF88" s="25"/>
    </row>
    <row r="89" s="9" customFormat="1" ht="27" customHeight="1" spans="1:32">
      <c r="A89" s="25" t="s">
        <v>53</v>
      </c>
      <c r="B89" s="25" t="s">
        <v>290</v>
      </c>
      <c r="C89" s="26" t="s">
        <v>37</v>
      </c>
      <c r="D89" s="26" t="s">
        <v>37</v>
      </c>
      <c r="E89" s="25" t="s">
        <v>133</v>
      </c>
      <c r="F89" s="26" t="s">
        <v>37</v>
      </c>
      <c r="G89" s="30">
        <v>50</v>
      </c>
      <c r="H89" s="30">
        <v>50</v>
      </c>
      <c r="I89" s="37"/>
      <c r="J89" s="37"/>
      <c r="K89" s="37"/>
      <c r="L89" s="36">
        <v>45</v>
      </c>
      <c r="M89" s="36">
        <v>41</v>
      </c>
      <c r="N89" s="36">
        <v>35</v>
      </c>
      <c r="O89" s="25" t="s">
        <v>35</v>
      </c>
      <c r="P89" s="26" t="s">
        <v>196</v>
      </c>
      <c r="Q89" s="44" t="s">
        <v>37</v>
      </c>
      <c r="R89" s="46"/>
      <c r="S89" s="26"/>
      <c r="T89" s="25"/>
      <c r="U89" s="53"/>
      <c r="V89" s="25"/>
      <c r="W89" s="25"/>
      <c r="X89" s="52"/>
      <c r="Y89" s="25"/>
      <c r="Z89" s="52"/>
      <c r="AA89" s="40"/>
      <c r="AB89" s="40"/>
      <c r="AC89" s="40"/>
      <c r="AD89" s="56"/>
      <c r="AE89" s="25"/>
      <c r="AF89" s="25"/>
    </row>
    <row r="90" s="9" customFormat="1" ht="67" customHeight="1" spans="1:32">
      <c r="A90" s="25">
        <v>12</v>
      </c>
      <c r="B90" s="25" t="s">
        <v>291</v>
      </c>
      <c r="C90" s="26" t="s">
        <v>292</v>
      </c>
      <c r="D90" s="26" t="s">
        <v>293</v>
      </c>
      <c r="E90" s="25" t="s">
        <v>133</v>
      </c>
      <c r="F90" s="26" t="s">
        <v>143</v>
      </c>
      <c r="G90" s="30">
        <v>50</v>
      </c>
      <c r="H90" s="30">
        <v>50</v>
      </c>
      <c r="I90" s="37">
        <v>27</v>
      </c>
      <c r="J90" s="37">
        <v>24</v>
      </c>
      <c r="K90" s="37">
        <v>20</v>
      </c>
      <c r="L90" s="36">
        <v>45</v>
      </c>
      <c r="M90" s="36">
        <v>41</v>
      </c>
      <c r="N90" s="36">
        <v>35</v>
      </c>
      <c r="O90" s="25" t="s">
        <v>114</v>
      </c>
      <c r="P90" s="26" t="s">
        <v>37</v>
      </c>
      <c r="Q90" s="44" t="s">
        <v>37</v>
      </c>
      <c r="R90" s="46" t="s">
        <v>38</v>
      </c>
      <c r="S90" s="26" t="s">
        <v>173</v>
      </c>
      <c r="T90" s="25" t="s">
        <v>294</v>
      </c>
      <c r="U90" s="53">
        <v>311000042</v>
      </c>
      <c r="V90" s="25" t="s">
        <v>295</v>
      </c>
      <c r="W90" s="25" t="s">
        <v>296</v>
      </c>
      <c r="X90" s="52" t="s">
        <v>37</v>
      </c>
      <c r="Y90" s="25" t="s">
        <v>166</v>
      </c>
      <c r="Z90" s="52" t="s">
        <v>37</v>
      </c>
      <c r="AA90" s="40">
        <v>27</v>
      </c>
      <c r="AB90" s="40">
        <v>24</v>
      </c>
      <c r="AC90" s="40">
        <v>20</v>
      </c>
      <c r="AD90" s="56" t="s">
        <v>37</v>
      </c>
      <c r="AE90" s="25" t="s">
        <v>37</v>
      </c>
      <c r="AF90" s="25" t="s">
        <v>37</v>
      </c>
    </row>
    <row r="91" s="9" customFormat="1" ht="27" customHeight="1" spans="1:32">
      <c r="A91" s="25" t="s">
        <v>53</v>
      </c>
      <c r="B91" s="25" t="s">
        <v>297</v>
      </c>
      <c r="C91" s="26" t="s">
        <v>37</v>
      </c>
      <c r="D91" s="26" t="s">
        <v>37</v>
      </c>
      <c r="E91" s="25" t="s">
        <v>137</v>
      </c>
      <c r="F91" s="26" t="s">
        <v>37</v>
      </c>
      <c r="G91" s="30">
        <v>15</v>
      </c>
      <c r="H91" s="30">
        <v>15</v>
      </c>
      <c r="I91" s="37"/>
      <c r="J91" s="37"/>
      <c r="K91" s="37"/>
      <c r="L91" s="36">
        <v>13.5</v>
      </c>
      <c r="M91" s="36">
        <v>12.5</v>
      </c>
      <c r="N91" s="36">
        <v>10.5</v>
      </c>
      <c r="O91" s="25" t="s">
        <v>114</v>
      </c>
      <c r="P91" s="26" t="s">
        <v>37</v>
      </c>
      <c r="Q91" s="44" t="s">
        <v>37</v>
      </c>
      <c r="R91" s="46"/>
      <c r="S91" s="26" t="s">
        <v>138</v>
      </c>
      <c r="T91" s="25"/>
      <c r="U91" s="53"/>
      <c r="V91" s="25"/>
      <c r="W91" s="25"/>
      <c r="X91" s="52"/>
      <c r="Y91" s="25"/>
      <c r="Z91" s="52"/>
      <c r="AA91" s="40"/>
      <c r="AB91" s="40"/>
      <c r="AC91" s="40"/>
      <c r="AD91" s="56"/>
      <c r="AE91" s="25"/>
      <c r="AF91" s="25"/>
    </row>
    <row r="92" s="9" customFormat="1" ht="27" customHeight="1" spans="1:32">
      <c r="A92" s="25" t="s">
        <v>53</v>
      </c>
      <c r="B92" s="25" t="s">
        <v>298</v>
      </c>
      <c r="C92" s="26" t="s">
        <v>37</v>
      </c>
      <c r="D92" s="26" t="s">
        <v>37</v>
      </c>
      <c r="E92" s="25" t="s">
        <v>133</v>
      </c>
      <c r="F92" s="26" t="s">
        <v>37</v>
      </c>
      <c r="G92" s="30">
        <v>50</v>
      </c>
      <c r="H92" s="30">
        <v>50</v>
      </c>
      <c r="I92" s="37"/>
      <c r="J92" s="37"/>
      <c r="K92" s="37"/>
      <c r="L92" s="36">
        <v>45</v>
      </c>
      <c r="M92" s="36">
        <v>41</v>
      </c>
      <c r="N92" s="36">
        <v>35</v>
      </c>
      <c r="O92" s="25" t="s">
        <v>114</v>
      </c>
      <c r="P92" s="26" t="s">
        <v>37</v>
      </c>
      <c r="Q92" s="44" t="s">
        <v>37</v>
      </c>
      <c r="R92" s="46"/>
      <c r="S92" s="26"/>
      <c r="T92" s="25"/>
      <c r="U92" s="53"/>
      <c r="V92" s="25"/>
      <c r="W92" s="25"/>
      <c r="X92" s="52"/>
      <c r="Y92" s="25"/>
      <c r="Z92" s="52"/>
      <c r="AA92" s="40"/>
      <c r="AB92" s="40"/>
      <c r="AC92" s="40"/>
      <c r="AD92" s="56"/>
      <c r="AE92" s="25"/>
      <c r="AF92" s="25"/>
    </row>
    <row r="93" s="9" customFormat="1" ht="85" customHeight="1" spans="1:32">
      <c r="A93" s="25">
        <v>13</v>
      </c>
      <c r="B93" s="25" t="s">
        <v>299</v>
      </c>
      <c r="C93" s="26" t="s">
        <v>300</v>
      </c>
      <c r="D93" s="26" t="s">
        <v>301</v>
      </c>
      <c r="E93" s="25" t="s">
        <v>133</v>
      </c>
      <c r="F93" s="26" t="s">
        <v>143</v>
      </c>
      <c r="G93" s="30">
        <v>24</v>
      </c>
      <c r="H93" s="30">
        <v>24</v>
      </c>
      <c r="I93" s="37">
        <v>22.5</v>
      </c>
      <c r="J93" s="37">
        <v>22.5</v>
      </c>
      <c r="K93" s="37">
        <v>19.125</v>
      </c>
      <c r="L93" s="36">
        <v>22</v>
      </c>
      <c r="M93" s="36">
        <v>21</v>
      </c>
      <c r="N93" s="36">
        <v>19</v>
      </c>
      <c r="O93" s="25" t="s">
        <v>35</v>
      </c>
      <c r="P93" s="26" t="s">
        <v>302</v>
      </c>
      <c r="Q93" s="44" t="s">
        <v>37</v>
      </c>
      <c r="R93" s="46" t="s">
        <v>197</v>
      </c>
      <c r="S93" s="26" t="s">
        <v>303</v>
      </c>
      <c r="T93" s="25" t="s">
        <v>304</v>
      </c>
      <c r="U93" s="53">
        <v>340200022</v>
      </c>
      <c r="V93" s="25" t="s">
        <v>305</v>
      </c>
      <c r="W93" s="25" t="s">
        <v>37</v>
      </c>
      <c r="X93" s="52" t="s">
        <v>37</v>
      </c>
      <c r="Y93" s="25" t="s">
        <v>241</v>
      </c>
      <c r="Z93" s="52" t="s">
        <v>37</v>
      </c>
      <c r="AA93" s="40">
        <v>30</v>
      </c>
      <c r="AB93" s="40">
        <v>30</v>
      </c>
      <c r="AC93" s="40">
        <v>25.5</v>
      </c>
      <c r="AD93" s="56" t="s">
        <v>35</v>
      </c>
      <c r="AE93" s="25" t="s">
        <v>306</v>
      </c>
      <c r="AF93" s="25" t="s">
        <v>37</v>
      </c>
    </row>
    <row r="94" s="9" customFormat="1" ht="27" customHeight="1" spans="1:32">
      <c r="A94" s="25" t="s">
        <v>53</v>
      </c>
      <c r="B94" s="25" t="s">
        <v>307</v>
      </c>
      <c r="C94" s="26" t="s">
        <v>37</v>
      </c>
      <c r="D94" s="26" t="s">
        <v>37</v>
      </c>
      <c r="E94" s="25" t="s">
        <v>137</v>
      </c>
      <c r="F94" s="26" t="s">
        <v>37</v>
      </c>
      <c r="G94" s="30">
        <v>7.2</v>
      </c>
      <c r="H94" s="30">
        <v>7.2</v>
      </c>
      <c r="I94" s="37"/>
      <c r="J94" s="37"/>
      <c r="K94" s="37"/>
      <c r="L94" s="36">
        <v>6.6</v>
      </c>
      <c r="M94" s="36">
        <v>6.3</v>
      </c>
      <c r="N94" s="36">
        <v>5.7</v>
      </c>
      <c r="O94" s="25" t="s">
        <v>35</v>
      </c>
      <c r="P94" s="26" t="s">
        <v>302</v>
      </c>
      <c r="Q94" s="44" t="s">
        <v>37</v>
      </c>
      <c r="R94" s="46"/>
      <c r="S94" s="26" t="s">
        <v>138</v>
      </c>
      <c r="T94" s="25"/>
      <c r="U94" s="53"/>
      <c r="V94" s="25"/>
      <c r="W94" s="25"/>
      <c r="X94" s="52"/>
      <c r="Y94" s="25"/>
      <c r="Z94" s="52"/>
      <c r="AA94" s="40"/>
      <c r="AB94" s="40"/>
      <c r="AC94" s="40"/>
      <c r="AD94" s="56"/>
      <c r="AE94" s="25"/>
      <c r="AF94" s="25"/>
    </row>
    <row r="95" s="9" customFormat="1" ht="27" customHeight="1" spans="1:32">
      <c r="A95" s="25" t="s">
        <v>53</v>
      </c>
      <c r="B95" s="25" t="s">
        <v>308</v>
      </c>
      <c r="C95" s="26" t="s">
        <v>37</v>
      </c>
      <c r="D95" s="26" t="s">
        <v>37</v>
      </c>
      <c r="E95" s="25" t="s">
        <v>133</v>
      </c>
      <c r="F95" s="26" t="s">
        <v>37</v>
      </c>
      <c r="G95" s="30">
        <v>24</v>
      </c>
      <c r="H95" s="30">
        <v>24</v>
      </c>
      <c r="I95" s="37"/>
      <c r="J95" s="37"/>
      <c r="K95" s="37"/>
      <c r="L95" s="36">
        <v>22</v>
      </c>
      <c r="M95" s="36">
        <v>21</v>
      </c>
      <c r="N95" s="36">
        <v>19</v>
      </c>
      <c r="O95" s="25" t="s">
        <v>35</v>
      </c>
      <c r="P95" s="26" t="s">
        <v>302</v>
      </c>
      <c r="Q95" s="44" t="s">
        <v>37</v>
      </c>
      <c r="R95" s="46"/>
      <c r="S95" s="26"/>
      <c r="T95" s="25"/>
      <c r="U95" s="53"/>
      <c r="V95" s="25"/>
      <c r="W95" s="25"/>
      <c r="X95" s="52"/>
      <c r="Y95" s="25"/>
      <c r="Z95" s="52"/>
      <c r="AA95" s="40"/>
      <c r="AB95" s="40"/>
      <c r="AC95" s="40"/>
      <c r="AD95" s="56"/>
      <c r="AE95" s="25"/>
      <c r="AF95" s="25"/>
    </row>
    <row r="96" s="9" customFormat="1" ht="89" customHeight="1" spans="1:32">
      <c r="A96" s="25">
        <v>14</v>
      </c>
      <c r="B96" s="25" t="s">
        <v>309</v>
      </c>
      <c r="C96" s="26" t="s">
        <v>310</v>
      </c>
      <c r="D96" s="26" t="s">
        <v>311</v>
      </c>
      <c r="E96" s="25" t="s">
        <v>133</v>
      </c>
      <c r="F96" s="26" t="s">
        <v>143</v>
      </c>
      <c r="G96" s="30">
        <v>50</v>
      </c>
      <c r="H96" s="30">
        <v>50</v>
      </c>
      <c r="I96" s="37"/>
      <c r="J96" s="37"/>
      <c r="K96" s="37"/>
      <c r="L96" s="36">
        <v>45</v>
      </c>
      <c r="M96" s="36">
        <v>41</v>
      </c>
      <c r="N96" s="36">
        <v>35</v>
      </c>
      <c r="O96" s="25" t="s">
        <v>114</v>
      </c>
      <c r="P96" s="26" t="s">
        <v>37</v>
      </c>
      <c r="Q96" s="44" t="s">
        <v>37</v>
      </c>
      <c r="R96" s="46" t="s">
        <v>127</v>
      </c>
      <c r="S96" s="26" t="s">
        <v>312</v>
      </c>
      <c r="T96" s="25"/>
      <c r="U96" s="53"/>
      <c r="V96" s="25"/>
      <c r="W96" s="25"/>
      <c r="X96" s="52"/>
      <c r="Y96" s="25"/>
      <c r="Z96" s="52"/>
      <c r="AA96" s="40"/>
      <c r="AB96" s="40"/>
      <c r="AC96" s="40"/>
      <c r="AD96" s="56"/>
      <c r="AE96" s="25"/>
      <c r="AF96" s="25"/>
    </row>
    <row r="97" s="9" customFormat="1" ht="27" customHeight="1" spans="1:32">
      <c r="A97" s="25" t="s">
        <v>53</v>
      </c>
      <c r="B97" s="25" t="s">
        <v>313</v>
      </c>
      <c r="C97" s="26" t="s">
        <v>37</v>
      </c>
      <c r="D97" s="26" t="s">
        <v>37</v>
      </c>
      <c r="E97" s="25" t="s">
        <v>137</v>
      </c>
      <c r="F97" s="26" t="s">
        <v>37</v>
      </c>
      <c r="G97" s="30">
        <v>15</v>
      </c>
      <c r="H97" s="30">
        <v>15</v>
      </c>
      <c r="I97" s="37"/>
      <c r="J97" s="37"/>
      <c r="K97" s="37"/>
      <c r="L97" s="36">
        <v>13.5</v>
      </c>
      <c r="M97" s="36">
        <v>12.5</v>
      </c>
      <c r="N97" s="36">
        <v>10.5</v>
      </c>
      <c r="O97" s="25" t="s">
        <v>114</v>
      </c>
      <c r="P97" s="26" t="s">
        <v>37</v>
      </c>
      <c r="Q97" s="44" t="s">
        <v>37</v>
      </c>
      <c r="R97" s="46"/>
      <c r="S97" s="26" t="s">
        <v>138</v>
      </c>
      <c r="T97" s="25"/>
      <c r="U97" s="53"/>
      <c r="V97" s="25"/>
      <c r="W97" s="25"/>
      <c r="X97" s="52"/>
      <c r="Y97" s="25"/>
      <c r="Z97" s="52"/>
      <c r="AA97" s="40"/>
      <c r="AB97" s="40"/>
      <c r="AC97" s="40"/>
      <c r="AD97" s="56"/>
      <c r="AE97" s="25"/>
      <c r="AF97" s="25"/>
    </row>
    <row r="98" s="9" customFormat="1" ht="27" customHeight="1" spans="1:32">
      <c r="A98" s="25" t="s">
        <v>53</v>
      </c>
      <c r="B98" s="25" t="s">
        <v>314</v>
      </c>
      <c r="C98" s="26" t="s">
        <v>37</v>
      </c>
      <c r="D98" s="26" t="s">
        <v>37</v>
      </c>
      <c r="E98" s="25" t="s">
        <v>133</v>
      </c>
      <c r="F98" s="26" t="s">
        <v>37</v>
      </c>
      <c r="G98" s="30">
        <v>50</v>
      </c>
      <c r="H98" s="30">
        <v>50</v>
      </c>
      <c r="I98" s="37"/>
      <c r="J98" s="37"/>
      <c r="K98" s="37"/>
      <c r="L98" s="36">
        <v>45</v>
      </c>
      <c r="M98" s="36">
        <v>41</v>
      </c>
      <c r="N98" s="36">
        <v>35</v>
      </c>
      <c r="O98" s="25" t="s">
        <v>114</v>
      </c>
      <c r="P98" s="26" t="s">
        <v>37</v>
      </c>
      <c r="Q98" s="44" t="s">
        <v>37</v>
      </c>
      <c r="R98" s="46"/>
      <c r="S98" s="26"/>
      <c r="T98" s="25"/>
      <c r="U98" s="53"/>
      <c r="V98" s="25"/>
      <c r="W98" s="25"/>
      <c r="X98" s="52"/>
      <c r="Y98" s="25"/>
      <c r="Z98" s="52"/>
      <c r="AA98" s="40"/>
      <c r="AB98" s="40"/>
      <c r="AC98" s="40"/>
      <c r="AD98" s="56"/>
      <c r="AE98" s="25"/>
      <c r="AF98" s="25"/>
    </row>
    <row r="99" s="9" customFormat="1" ht="45" customHeight="1" spans="1:32">
      <c r="A99" s="25">
        <v>15</v>
      </c>
      <c r="B99" s="25" t="s">
        <v>315</v>
      </c>
      <c r="C99" s="26" t="s">
        <v>316</v>
      </c>
      <c r="D99" s="26" t="s">
        <v>311</v>
      </c>
      <c r="E99" s="25" t="s">
        <v>133</v>
      </c>
      <c r="F99" s="26" t="s">
        <v>143</v>
      </c>
      <c r="G99" s="30">
        <v>50</v>
      </c>
      <c r="H99" s="30">
        <v>50</v>
      </c>
      <c r="I99" s="37">
        <v>30</v>
      </c>
      <c r="J99" s="37"/>
      <c r="K99" s="37"/>
      <c r="L99" s="36">
        <v>45</v>
      </c>
      <c r="M99" s="36">
        <v>41</v>
      </c>
      <c r="N99" s="36">
        <v>35</v>
      </c>
      <c r="O99" s="25" t="s">
        <v>35</v>
      </c>
      <c r="P99" s="26" t="s">
        <v>317</v>
      </c>
      <c r="Q99" s="44" t="s">
        <v>37</v>
      </c>
      <c r="R99" s="46" t="s">
        <v>38</v>
      </c>
      <c r="S99" s="26" t="s">
        <v>173</v>
      </c>
      <c r="T99" s="25" t="s">
        <v>318</v>
      </c>
      <c r="U99" s="53">
        <v>340200015</v>
      </c>
      <c r="V99" s="25" t="s">
        <v>319</v>
      </c>
      <c r="W99" s="25" t="s">
        <v>37</v>
      </c>
      <c r="X99" s="52" t="s">
        <v>37</v>
      </c>
      <c r="Y99" s="25" t="s">
        <v>33</v>
      </c>
      <c r="Z99" s="52" t="s">
        <v>37</v>
      </c>
      <c r="AA99" s="40">
        <v>20</v>
      </c>
      <c r="AB99" s="40">
        <v>20</v>
      </c>
      <c r="AC99" s="40">
        <v>17</v>
      </c>
      <c r="AD99" s="56" t="s">
        <v>37</v>
      </c>
      <c r="AE99" s="25" t="s">
        <v>37</v>
      </c>
      <c r="AF99" s="25" t="s">
        <v>37</v>
      </c>
    </row>
    <row r="100" s="9" customFormat="1" ht="45" customHeight="1" spans="1:32">
      <c r="A100" s="25"/>
      <c r="B100" s="25"/>
      <c r="C100" s="26"/>
      <c r="D100" s="26"/>
      <c r="E100" s="25"/>
      <c r="F100" s="26"/>
      <c r="G100" s="31"/>
      <c r="H100" s="31"/>
      <c r="I100" s="37"/>
      <c r="J100" s="37"/>
      <c r="K100" s="37"/>
      <c r="L100" s="36"/>
      <c r="M100" s="36"/>
      <c r="N100" s="36"/>
      <c r="O100" s="25"/>
      <c r="P100" s="26"/>
      <c r="Q100" s="44"/>
      <c r="R100" s="46"/>
      <c r="S100" s="26"/>
      <c r="T100" s="25" t="s">
        <v>320</v>
      </c>
      <c r="U100" s="53">
        <v>340200032</v>
      </c>
      <c r="V100" s="25" t="s">
        <v>321</v>
      </c>
      <c r="W100" s="25" t="s">
        <v>37</v>
      </c>
      <c r="X100" s="52" t="s">
        <v>37</v>
      </c>
      <c r="Y100" s="25" t="s">
        <v>322</v>
      </c>
      <c r="Z100" s="52" t="s">
        <v>37</v>
      </c>
      <c r="AA100" s="40">
        <v>30</v>
      </c>
      <c r="AB100" s="40">
        <v>30</v>
      </c>
      <c r="AC100" s="40">
        <v>25.5</v>
      </c>
      <c r="AD100" s="56" t="s">
        <v>35</v>
      </c>
      <c r="AE100" s="25" t="s">
        <v>323</v>
      </c>
      <c r="AF100" s="25" t="s">
        <v>37</v>
      </c>
    </row>
    <row r="101" s="9" customFormat="1" ht="27" customHeight="1" spans="1:32">
      <c r="A101" s="25" t="s">
        <v>53</v>
      </c>
      <c r="B101" s="25" t="s">
        <v>324</v>
      </c>
      <c r="C101" s="26" t="s">
        <v>37</v>
      </c>
      <c r="D101" s="26" t="s">
        <v>37</v>
      </c>
      <c r="E101" s="25" t="s">
        <v>137</v>
      </c>
      <c r="F101" s="26" t="s">
        <v>37</v>
      </c>
      <c r="G101" s="30">
        <v>15</v>
      </c>
      <c r="H101" s="30">
        <v>15</v>
      </c>
      <c r="I101" s="37"/>
      <c r="J101" s="37"/>
      <c r="K101" s="37"/>
      <c r="L101" s="36">
        <v>13.5</v>
      </c>
      <c r="M101" s="36">
        <v>12.5</v>
      </c>
      <c r="N101" s="36">
        <v>10.5</v>
      </c>
      <c r="O101" s="25" t="s">
        <v>35</v>
      </c>
      <c r="P101" s="26" t="s">
        <v>317</v>
      </c>
      <c r="Q101" s="44" t="s">
        <v>37</v>
      </c>
      <c r="R101" s="46"/>
      <c r="S101" s="26" t="s">
        <v>138</v>
      </c>
      <c r="T101" s="25"/>
      <c r="U101" s="53"/>
      <c r="V101" s="25"/>
      <c r="W101" s="25"/>
      <c r="X101" s="52"/>
      <c r="Y101" s="25"/>
      <c r="Z101" s="52"/>
      <c r="AA101" s="40"/>
      <c r="AB101" s="40"/>
      <c r="AC101" s="40"/>
      <c r="AD101" s="56"/>
      <c r="AE101" s="25"/>
      <c r="AF101" s="25"/>
    </row>
    <row r="102" s="9" customFormat="1" ht="27" customHeight="1" spans="1:32">
      <c r="A102" s="25" t="s">
        <v>53</v>
      </c>
      <c r="B102" s="25" t="s">
        <v>325</v>
      </c>
      <c r="C102" s="26" t="s">
        <v>37</v>
      </c>
      <c r="D102" s="26" t="s">
        <v>37</v>
      </c>
      <c r="E102" s="25" t="s">
        <v>133</v>
      </c>
      <c r="F102" s="26" t="s">
        <v>37</v>
      </c>
      <c r="G102" s="30">
        <v>50</v>
      </c>
      <c r="H102" s="30">
        <v>50</v>
      </c>
      <c r="I102" s="37"/>
      <c r="J102" s="37"/>
      <c r="K102" s="37"/>
      <c r="L102" s="36">
        <v>45</v>
      </c>
      <c r="M102" s="36">
        <v>41</v>
      </c>
      <c r="N102" s="36">
        <v>35</v>
      </c>
      <c r="O102" s="25" t="s">
        <v>35</v>
      </c>
      <c r="P102" s="26" t="s">
        <v>317</v>
      </c>
      <c r="Q102" s="44" t="s">
        <v>37</v>
      </c>
      <c r="R102" s="46"/>
      <c r="S102" s="26"/>
      <c r="T102" s="25"/>
      <c r="U102" s="53"/>
      <c r="V102" s="25"/>
      <c r="W102" s="25"/>
      <c r="X102" s="52"/>
      <c r="Y102" s="25"/>
      <c r="Z102" s="52"/>
      <c r="AA102" s="40"/>
      <c r="AB102" s="40"/>
      <c r="AC102" s="40"/>
      <c r="AD102" s="56"/>
      <c r="AE102" s="25"/>
      <c r="AF102" s="25"/>
    </row>
    <row r="103" s="9" customFormat="1" ht="55" customHeight="1" spans="1:32">
      <c r="A103" s="25">
        <v>16</v>
      </c>
      <c r="B103" s="25" t="s">
        <v>326</v>
      </c>
      <c r="C103" s="26" t="s">
        <v>327</v>
      </c>
      <c r="D103" s="26" t="s">
        <v>311</v>
      </c>
      <c r="E103" s="25" t="s">
        <v>133</v>
      </c>
      <c r="F103" s="26" t="s">
        <v>143</v>
      </c>
      <c r="G103" s="30">
        <v>50</v>
      </c>
      <c r="H103" s="30">
        <v>50</v>
      </c>
      <c r="I103" s="38">
        <v>93.5151829315557</v>
      </c>
      <c r="J103" s="38">
        <v>42.5205455036607</v>
      </c>
      <c r="K103" s="38">
        <v>49.4969835656334</v>
      </c>
      <c r="L103" s="36">
        <v>45</v>
      </c>
      <c r="M103" s="36">
        <v>41</v>
      </c>
      <c r="N103" s="36">
        <v>35</v>
      </c>
      <c r="O103" s="25" t="s">
        <v>35</v>
      </c>
      <c r="P103" s="26" t="s">
        <v>328</v>
      </c>
      <c r="Q103" s="44" t="s">
        <v>37</v>
      </c>
      <c r="R103" s="46" t="s">
        <v>115</v>
      </c>
      <c r="S103" s="26" t="s">
        <v>329</v>
      </c>
      <c r="T103" s="25" t="s">
        <v>151</v>
      </c>
      <c r="U103" s="53">
        <v>340200029</v>
      </c>
      <c r="V103" s="25" t="s">
        <v>152</v>
      </c>
      <c r="W103" s="25" t="s">
        <v>37</v>
      </c>
      <c r="X103" s="52" t="s">
        <v>37</v>
      </c>
      <c r="Y103" s="25" t="s">
        <v>33</v>
      </c>
      <c r="Z103" s="52" t="s">
        <v>37</v>
      </c>
      <c r="AA103" s="40">
        <v>29</v>
      </c>
      <c r="AB103" s="40">
        <v>26</v>
      </c>
      <c r="AC103" s="40">
        <v>22.1</v>
      </c>
      <c r="AD103" s="56" t="s">
        <v>35</v>
      </c>
      <c r="AE103" s="25" t="s">
        <v>44</v>
      </c>
      <c r="AF103" s="25" t="s">
        <v>37</v>
      </c>
    </row>
    <row r="104" s="9" customFormat="1" ht="55" customHeight="1" spans="1:32">
      <c r="A104" s="25"/>
      <c r="B104" s="25"/>
      <c r="C104" s="26"/>
      <c r="D104" s="26"/>
      <c r="E104" s="25"/>
      <c r="F104" s="26"/>
      <c r="G104" s="31"/>
      <c r="H104" s="31"/>
      <c r="I104" s="38"/>
      <c r="J104" s="38"/>
      <c r="K104" s="38"/>
      <c r="L104" s="36"/>
      <c r="M104" s="36"/>
      <c r="N104" s="36"/>
      <c r="O104" s="25"/>
      <c r="P104" s="26"/>
      <c r="Q104" s="44"/>
      <c r="R104" s="46"/>
      <c r="S104" s="26"/>
      <c r="T104" s="25" t="s">
        <v>146</v>
      </c>
      <c r="U104" s="53">
        <v>311503015</v>
      </c>
      <c r="V104" s="25" t="s">
        <v>147</v>
      </c>
      <c r="W104" s="25" t="s">
        <v>37</v>
      </c>
      <c r="X104" s="52" t="s">
        <v>37</v>
      </c>
      <c r="Y104" s="25" t="s">
        <v>33</v>
      </c>
      <c r="Z104" s="52" t="s">
        <v>37</v>
      </c>
      <c r="AA104" s="40">
        <v>33</v>
      </c>
      <c r="AB104" s="40">
        <v>30</v>
      </c>
      <c r="AC104" s="40">
        <v>25.5</v>
      </c>
      <c r="AD104" s="56" t="s">
        <v>37</v>
      </c>
      <c r="AE104" s="25" t="s">
        <v>37</v>
      </c>
      <c r="AF104" s="25" t="s">
        <v>37</v>
      </c>
    </row>
    <row r="105" s="9" customFormat="1" ht="39" customHeight="1" spans="1:32">
      <c r="A105" s="25" t="s">
        <v>53</v>
      </c>
      <c r="B105" s="25" t="s">
        <v>330</v>
      </c>
      <c r="C105" s="26" t="s">
        <v>37</v>
      </c>
      <c r="D105" s="26" t="s">
        <v>37</v>
      </c>
      <c r="E105" s="25" t="s">
        <v>137</v>
      </c>
      <c r="F105" s="26" t="s">
        <v>37</v>
      </c>
      <c r="G105" s="30">
        <v>15</v>
      </c>
      <c r="H105" s="30">
        <v>15</v>
      </c>
      <c r="I105" s="38">
        <v>28.0545548794667</v>
      </c>
      <c r="J105" s="38">
        <v>12.7561636510982</v>
      </c>
      <c r="K105" s="38">
        <v>14.84909506969</v>
      </c>
      <c r="L105" s="36">
        <v>13.5</v>
      </c>
      <c r="M105" s="36">
        <v>12.5</v>
      </c>
      <c r="N105" s="36">
        <v>10.5</v>
      </c>
      <c r="O105" s="25" t="s">
        <v>35</v>
      </c>
      <c r="P105" s="26" t="s">
        <v>328</v>
      </c>
      <c r="Q105" s="44" t="s">
        <v>37</v>
      </c>
      <c r="R105" s="46"/>
      <c r="S105" s="26" t="s">
        <v>138</v>
      </c>
      <c r="T105" s="53"/>
      <c r="U105" s="25"/>
      <c r="V105" s="25"/>
      <c r="W105" s="25"/>
      <c r="X105" s="52"/>
      <c r="Y105" s="25"/>
      <c r="Z105" s="52"/>
      <c r="AA105" s="40"/>
      <c r="AB105" s="40"/>
      <c r="AC105" s="40"/>
      <c r="AD105" s="56"/>
      <c r="AE105" s="25"/>
      <c r="AF105" s="25"/>
    </row>
    <row r="106" s="9" customFormat="1" ht="39" customHeight="1" spans="1:32">
      <c r="A106" s="25" t="s">
        <v>53</v>
      </c>
      <c r="B106" s="25" t="s">
        <v>331</v>
      </c>
      <c r="C106" s="26" t="s">
        <v>37</v>
      </c>
      <c r="D106" s="26" t="s">
        <v>37</v>
      </c>
      <c r="E106" s="25" t="s">
        <v>133</v>
      </c>
      <c r="F106" s="26" t="s">
        <v>37</v>
      </c>
      <c r="G106" s="30">
        <v>50</v>
      </c>
      <c r="H106" s="30">
        <v>50</v>
      </c>
      <c r="I106" s="37"/>
      <c r="J106" s="37"/>
      <c r="K106" s="37"/>
      <c r="L106" s="36">
        <v>45</v>
      </c>
      <c r="M106" s="36">
        <v>41</v>
      </c>
      <c r="N106" s="36">
        <v>35</v>
      </c>
      <c r="O106" s="25" t="s">
        <v>35</v>
      </c>
      <c r="P106" s="26" t="s">
        <v>328</v>
      </c>
      <c r="Q106" s="44" t="s">
        <v>37</v>
      </c>
      <c r="R106" s="46"/>
      <c r="S106" s="26"/>
      <c r="T106" s="53"/>
      <c r="U106" s="25"/>
      <c r="V106" s="25"/>
      <c r="W106" s="25"/>
      <c r="X106" s="52"/>
      <c r="Y106" s="25"/>
      <c r="Z106" s="52"/>
      <c r="AA106" s="40"/>
      <c r="AB106" s="40"/>
      <c r="AC106" s="40"/>
      <c r="AD106" s="56"/>
      <c r="AE106" s="25"/>
      <c r="AF106" s="25"/>
    </row>
    <row r="107" s="9" customFormat="1" ht="78" customHeight="1" spans="1:32">
      <c r="A107" s="25">
        <v>17</v>
      </c>
      <c r="B107" s="25" t="s">
        <v>332</v>
      </c>
      <c r="C107" s="26" t="s">
        <v>333</v>
      </c>
      <c r="D107" s="26" t="s">
        <v>311</v>
      </c>
      <c r="E107" s="25" t="s">
        <v>133</v>
      </c>
      <c r="F107" s="26" t="s">
        <v>143</v>
      </c>
      <c r="G107" s="30">
        <v>30</v>
      </c>
      <c r="H107" s="30">
        <v>30</v>
      </c>
      <c r="I107" s="37"/>
      <c r="J107" s="37"/>
      <c r="K107" s="37"/>
      <c r="L107" s="36">
        <v>27</v>
      </c>
      <c r="M107" s="36">
        <v>25</v>
      </c>
      <c r="N107" s="36">
        <v>22</v>
      </c>
      <c r="O107" s="25" t="s">
        <v>114</v>
      </c>
      <c r="P107" s="26" t="s">
        <v>37</v>
      </c>
      <c r="Q107" s="44" t="s">
        <v>37</v>
      </c>
      <c r="R107" s="46" t="s">
        <v>334</v>
      </c>
      <c r="S107" s="26" t="s">
        <v>335</v>
      </c>
      <c r="T107" s="25"/>
      <c r="U107" s="25"/>
      <c r="V107" s="25" t="s">
        <v>332</v>
      </c>
      <c r="W107" s="25"/>
      <c r="X107" s="52"/>
      <c r="Y107" s="25"/>
      <c r="Z107" s="52"/>
      <c r="AA107" s="40"/>
      <c r="AB107" s="40"/>
      <c r="AC107" s="40"/>
      <c r="AD107" s="56"/>
      <c r="AE107" s="25"/>
      <c r="AF107" s="25"/>
    </row>
    <row r="108" s="9" customFormat="1" ht="34" customHeight="1" spans="1:32">
      <c r="A108" s="25" t="s">
        <v>53</v>
      </c>
      <c r="B108" s="25" t="s">
        <v>336</v>
      </c>
      <c r="C108" s="26" t="s">
        <v>37</v>
      </c>
      <c r="D108" s="26" t="s">
        <v>37</v>
      </c>
      <c r="E108" s="25" t="s">
        <v>137</v>
      </c>
      <c r="F108" s="26" t="s">
        <v>37</v>
      </c>
      <c r="G108" s="30">
        <v>9</v>
      </c>
      <c r="H108" s="30">
        <v>9</v>
      </c>
      <c r="I108" s="37"/>
      <c r="J108" s="37"/>
      <c r="K108" s="37"/>
      <c r="L108" s="36">
        <v>8.1</v>
      </c>
      <c r="M108" s="36">
        <v>7.5</v>
      </c>
      <c r="N108" s="36">
        <v>6.6</v>
      </c>
      <c r="O108" s="25" t="s">
        <v>114</v>
      </c>
      <c r="P108" s="26" t="s">
        <v>37</v>
      </c>
      <c r="Q108" s="44" t="s">
        <v>37</v>
      </c>
      <c r="R108" s="46"/>
      <c r="S108" s="26" t="s">
        <v>138</v>
      </c>
      <c r="T108" s="53"/>
      <c r="U108" s="25"/>
      <c r="V108" s="25"/>
      <c r="W108" s="25"/>
      <c r="X108" s="52"/>
      <c r="Y108" s="25"/>
      <c r="Z108" s="52"/>
      <c r="AA108" s="40"/>
      <c r="AB108" s="40"/>
      <c r="AC108" s="40"/>
      <c r="AD108" s="56"/>
      <c r="AE108" s="25"/>
      <c r="AF108" s="25"/>
    </row>
    <row r="109" s="9" customFormat="1" ht="34" customHeight="1" spans="1:32">
      <c r="A109" s="25" t="s">
        <v>53</v>
      </c>
      <c r="B109" s="25" t="s">
        <v>337</v>
      </c>
      <c r="C109" s="26" t="s">
        <v>37</v>
      </c>
      <c r="D109" s="26" t="s">
        <v>37</v>
      </c>
      <c r="E109" s="25" t="s">
        <v>133</v>
      </c>
      <c r="F109" s="26" t="s">
        <v>37</v>
      </c>
      <c r="G109" s="30">
        <v>30</v>
      </c>
      <c r="H109" s="30">
        <v>30</v>
      </c>
      <c r="I109" s="37"/>
      <c r="J109" s="37"/>
      <c r="K109" s="37"/>
      <c r="L109" s="36">
        <v>27</v>
      </c>
      <c r="M109" s="36">
        <v>25</v>
      </c>
      <c r="N109" s="36">
        <v>22</v>
      </c>
      <c r="O109" s="25" t="s">
        <v>114</v>
      </c>
      <c r="P109" s="26" t="s">
        <v>37</v>
      </c>
      <c r="Q109" s="44" t="s">
        <v>37</v>
      </c>
      <c r="R109" s="46"/>
      <c r="S109" s="26"/>
      <c r="T109" s="53"/>
      <c r="U109" s="25"/>
      <c r="V109" s="25"/>
      <c r="W109" s="25"/>
      <c r="X109" s="52"/>
      <c r="Y109" s="25"/>
      <c r="Z109" s="52"/>
      <c r="AA109" s="40"/>
      <c r="AB109" s="40"/>
      <c r="AC109" s="40"/>
      <c r="AD109" s="56"/>
      <c r="AE109" s="25"/>
      <c r="AF109" s="25"/>
    </row>
  </sheetData>
  <autoFilter ref="A3:AF109">
    <extLst/>
  </autoFilter>
  <mergeCells count="193">
    <mergeCell ref="A1:AF1"/>
    <mergeCell ref="A2:S2"/>
    <mergeCell ref="T2:AC2"/>
    <mergeCell ref="A4:A8"/>
    <mergeCell ref="A12:A17"/>
    <mergeCell ref="A19:A28"/>
    <mergeCell ref="A30:A32"/>
    <mergeCell ref="A39:A41"/>
    <mergeCell ref="A44:A45"/>
    <mergeCell ref="A48:A53"/>
    <mergeCell ref="A56:A86"/>
    <mergeCell ref="A99:A100"/>
    <mergeCell ref="A103:A104"/>
    <mergeCell ref="B4:B8"/>
    <mergeCell ref="B12:B17"/>
    <mergeCell ref="B19:B28"/>
    <mergeCell ref="B30:B32"/>
    <mergeCell ref="B39:B41"/>
    <mergeCell ref="B44:B45"/>
    <mergeCell ref="B48:B53"/>
    <mergeCell ref="B56:B86"/>
    <mergeCell ref="B99:B100"/>
    <mergeCell ref="B103:B104"/>
    <mergeCell ref="C4:C8"/>
    <mergeCell ref="C12:C17"/>
    <mergeCell ref="C19:C28"/>
    <mergeCell ref="C30:C32"/>
    <mergeCell ref="C39:C41"/>
    <mergeCell ref="C44:C45"/>
    <mergeCell ref="C48:C53"/>
    <mergeCell ref="C56:C86"/>
    <mergeCell ref="C99:C100"/>
    <mergeCell ref="C103:C104"/>
    <mergeCell ref="D4:D8"/>
    <mergeCell ref="D12:D17"/>
    <mergeCell ref="D19:D28"/>
    <mergeCell ref="D30:D32"/>
    <mergeCell ref="D39:D41"/>
    <mergeCell ref="D44:D45"/>
    <mergeCell ref="D48:D53"/>
    <mergeCell ref="D56:D86"/>
    <mergeCell ref="D99:D100"/>
    <mergeCell ref="D103:D104"/>
    <mergeCell ref="E4:E8"/>
    <mergeCell ref="E12:E17"/>
    <mergeCell ref="E19:E28"/>
    <mergeCell ref="E30:E32"/>
    <mergeCell ref="E39:E41"/>
    <mergeCell ref="E44:E45"/>
    <mergeCell ref="E48:E53"/>
    <mergeCell ref="E56:E86"/>
    <mergeCell ref="E99:E100"/>
    <mergeCell ref="E103:E104"/>
    <mergeCell ref="F4:F8"/>
    <mergeCell ref="F12:F17"/>
    <mergeCell ref="F19:F28"/>
    <mergeCell ref="F30:F32"/>
    <mergeCell ref="F39:F41"/>
    <mergeCell ref="F44:F45"/>
    <mergeCell ref="F48:F53"/>
    <mergeCell ref="F56:F86"/>
    <mergeCell ref="F99:F100"/>
    <mergeCell ref="F103:F104"/>
    <mergeCell ref="G4:G8"/>
    <mergeCell ref="G12:G17"/>
    <mergeCell ref="G19:G28"/>
    <mergeCell ref="G30:G32"/>
    <mergeCell ref="G39:G41"/>
    <mergeCell ref="G44:G45"/>
    <mergeCell ref="G48:G53"/>
    <mergeCell ref="G56:G86"/>
    <mergeCell ref="G99:G100"/>
    <mergeCell ref="G103:G104"/>
    <mergeCell ref="H4:H8"/>
    <mergeCell ref="H12:H17"/>
    <mergeCell ref="H19:H28"/>
    <mergeCell ref="H30:H32"/>
    <mergeCell ref="H39:H41"/>
    <mergeCell ref="H44:H45"/>
    <mergeCell ref="H48:H53"/>
    <mergeCell ref="H56:H86"/>
    <mergeCell ref="H99:H100"/>
    <mergeCell ref="H103:H104"/>
    <mergeCell ref="I4:I8"/>
    <mergeCell ref="I12:I17"/>
    <mergeCell ref="I19:I28"/>
    <mergeCell ref="I30:I32"/>
    <mergeCell ref="I39:I41"/>
    <mergeCell ref="I44:I45"/>
    <mergeCell ref="I48:I53"/>
    <mergeCell ref="I56:I86"/>
    <mergeCell ref="I99:I100"/>
    <mergeCell ref="I103:I104"/>
    <mergeCell ref="J4:J8"/>
    <mergeCell ref="J12:J17"/>
    <mergeCell ref="J19:J28"/>
    <mergeCell ref="J30:J32"/>
    <mergeCell ref="J39:J41"/>
    <mergeCell ref="J44:J45"/>
    <mergeCell ref="J48:J53"/>
    <mergeCell ref="J56:J86"/>
    <mergeCell ref="J99:J100"/>
    <mergeCell ref="J103:J104"/>
    <mergeCell ref="K4:K8"/>
    <mergeCell ref="K12:K17"/>
    <mergeCell ref="K19:K28"/>
    <mergeCell ref="K30:K32"/>
    <mergeCell ref="K39:K41"/>
    <mergeCell ref="K44:K45"/>
    <mergeCell ref="K48:K53"/>
    <mergeCell ref="K56:K86"/>
    <mergeCell ref="K99:K100"/>
    <mergeCell ref="K103:K104"/>
    <mergeCell ref="L4:L8"/>
    <mergeCell ref="L12:L17"/>
    <mergeCell ref="L19:L28"/>
    <mergeCell ref="L30:L32"/>
    <mergeCell ref="L39:L41"/>
    <mergeCell ref="L44:L45"/>
    <mergeCell ref="L48:L53"/>
    <mergeCell ref="L56:L86"/>
    <mergeCell ref="L99:L100"/>
    <mergeCell ref="L103:L104"/>
    <mergeCell ref="M4:M8"/>
    <mergeCell ref="M12:M17"/>
    <mergeCell ref="M19:M28"/>
    <mergeCell ref="M30:M32"/>
    <mergeCell ref="M39:M41"/>
    <mergeCell ref="M44:M45"/>
    <mergeCell ref="M48:M53"/>
    <mergeCell ref="M56:M86"/>
    <mergeCell ref="M99:M100"/>
    <mergeCell ref="M103:M104"/>
    <mergeCell ref="N4:N8"/>
    <mergeCell ref="N12:N17"/>
    <mergeCell ref="N19:N28"/>
    <mergeCell ref="N30:N32"/>
    <mergeCell ref="N39:N41"/>
    <mergeCell ref="N44:N45"/>
    <mergeCell ref="N48:N53"/>
    <mergeCell ref="N56:N86"/>
    <mergeCell ref="N99:N100"/>
    <mergeCell ref="N103:N104"/>
    <mergeCell ref="O4:O8"/>
    <mergeCell ref="O12:O17"/>
    <mergeCell ref="O19:O28"/>
    <mergeCell ref="O30:O32"/>
    <mergeCell ref="O39:O41"/>
    <mergeCell ref="O44:O45"/>
    <mergeCell ref="O48:O53"/>
    <mergeCell ref="O56:O86"/>
    <mergeCell ref="O99:O100"/>
    <mergeCell ref="O103:O104"/>
    <mergeCell ref="P4:P8"/>
    <mergeCell ref="P12:P17"/>
    <mergeCell ref="P19:P28"/>
    <mergeCell ref="P30:P32"/>
    <mergeCell ref="P39:P41"/>
    <mergeCell ref="P44:P45"/>
    <mergeCell ref="P48:P53"/>
    <mergeCell ref="P56:P86"/>
    <mergeCell ref="P99:P100"/>
    <mergeCell ref="P103:P104"/>
    <mergeCell ref="Q4:Q8"/>
    <mergeCell ref="Q12:Q17"/>
    <mergeCell ref="Q19:Q28"/>
    <mergeCell ref="Q30:Q32"/>
    <mergeCell ref="Q39:Q41"/>
    <mergeCell ref="Q44:Q45"/>
    <mergeCell ref="Q48:Q53"/>
    <mergeCell ref="Q56:Q86"/>
    <mergeCell ref="Q99:Q100"/>
    <mergeCell ref="Q103:Q104"/>
    <mergeCell ref="R4:R8"/>
    <mergeCell ref="R12:R17"/>
    <mergeCell ref="R19:R28"/>
    <mergeCell ref="R30:R32"/>
    <mergeCell ref="R39:R41"/>
    <mergeCell ref="R44:R45"/>
    <mergeCell ref="R48:R53"/>
    <mergeCell ref="R56:R86"/>
    <mergeCell ref="R99:R100"/>
    <mergeCell ref="R103:R104"/>
    <mergeCell ref="S4:S8"/>
    <mergeCell ref="S12:S17"/>
    <mergeCell ref="S19:S28"/>
    <mergeCell ref="S30:S32"/>
    <mergeCell ref="S39:S41"/>
    <mergeCell ref="S44:S45"/>
    <mergeCell ref="S48:S53"/>
    <mergeCell ref="S56:S86"/>
    <mergeCell ref="S99:S100"/>
    <mergeCell ref="S103:S104"/>
  </mergeCells>
  <conditionalFormatting sqref="T9">
    <cfRule type="duplicateValues" dxfId="0" priority="15"/>
  </conditionalFormatting>
  <conditionalFormatting sqref="T11">
    <cfRule type="duplicateValues" dxfId="0" priority="14"/>
  </conditionalFormatting>
  <conditionalFormatting sqref="T18">
    <cfRule type="duplicateValues" dxfId="0" priority="13"/>
  </conditionalFormatting>
  <conditionalFormatting sqref="T29">
    <cfRule type="duplicateValues" dxfId="0" priority="12"/>
  </conditionalFormatting>
  <conditionalFormatting sqref="T33">
    <cfRule type="duplicateValues" dxfId="0" priority="11"/>
  </conditionalFormatting>
  <conditionalFormatting sqref="T41">
    <cfRule type="duplicateValues" dxfId="0" priority="1"/>
  </conditionalFormatting>
  <conditionalFormatting sqref="T46:T47">
    <cfRule type="duplicateValues" dxfId="0" priority="8"/>
  </conditionalFormatting>
  <conditionalFormatting sqref="T54:T55">
    <cfRule type="duplicateValues" dxfId="0" priority="7"/>
  </conditionalFormatting>
  <conditionalFormatting sqref="T87:T89">
    <cfRule type="duplicateValues" dxfId="0" priority="6"/>
  </conditionalFormatting>
  <conditionalFormatting sqref="T91:T92">
    <cfRule type="duplicateValues" dxfId="0" priority="5"/>
  </conditionalFormatting>
  <conditionalFormatting sqref="T101:T102">
    <cfRule type="duplicateValues" dxfId="0" priority="3"/>
  </conditionalFormatting>
  <conditionalFormatting sqref="U105:U109">
    <cfRule type="duplicateValues" dxfId="0" priority="20"/>
  </conditionalFormatting>
  <conditionalFormatting sqref="Y36:Y38">
    <cfRule type="duplicateValues" dxfId="1" priority="10"/>
  </conditionalFormatting>
  <conditionalFormatting sqref="T3:U3 T37:T38 U36:U38">
    <cfRule type="duplicateValues" dxfId="1" priority="28"/>
  </conditionalFormatting>
  <conditionalFormatting sqref="V3:Y3 V36:V38">
    <cfRule type="duplicateValues" dxfId="1" priority="27"/>
  </conditionalFormatting>
  <conditionalFormatting sqref="T4:T8 T30:T32 T19:T28 T12:T17 T10">
    <cfRule type="duplicateValues" dxfId="0" priority="16"/>
  </conditionalFormatting>
  <conditionalFormatting sqref="T94:T95 T97:T98">
    <cfRule type="duplicateValues" dxfId="0" priority="4"/>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0"/>
  <sheetViews>
    <sheetView tabSelected="1" topLeftCell="F1" workbookViewId="0">
      <selection activeCell="V71" sqref="V71"/>
    </sheetView>
  </sheetViews>
  <sheetFormatPr defaultColWidth="9" defaultRowHeight="14.25"/>
  <cols>
    <col min="4" max="4" width="19.875" customWidth="1"/>
    <col min="5" max="5" width="30.375" customWidth="1"/>
    <col min="6" max="6" width="28.25" customWidth="1"/>
    <col min="7" max="7" width="34.625" customWidth="1"/>
    <col min="15" max="16" width="12.625"/>
    <col min="23" max="23" width="255.625" customWidth="1"/>
  </cols>
  <sheetData>
    <row r="1" ht="38.25" spans="1:23">
      <c r="A1" s="1" t="s">
        <v>338</v>
      </c>
      <c r="B1" s="1" t="s">
        <v>339</v>
      </c>
      <c r="C1" s="1" t="s">
        <v>340</v>
      </c>
      <c r="D1" s="2" t="s">
        <v>341</v>
      </c>
      <c r="E1" s="1" t="s">
        <v>342</v>
      </c>
      <c r="F1" s="2" t="s">
        <v>343</v>
      </c>
      <c r="G1" s="1" t="s">
        <v>344</v>
      </c>
      <c r="H1" s="1" t="s">
        <v>345</v>
      </c>
      <c r="I1" s="1" t="s">
        <v>346</v>
      </c>
      <c r="J1" s="1" t="s">
        <v>347</v>
      </c>
      <c r="K1" s="1" t="s">
        <v>348</v>
      </c>
      <c r="L1" s="1" t="s">
        <v>349</v>
      </c>
      <c r="M1" s="1" t="s">
        <v>350</v>
      </c>
      <c r="N1" s="1" t="s">
        <v>351</v>
      </c>
      <c r="O1" s="1" t="s">
        <v>352</v>
      </c>
      <c r="P1" s="1" t="s">
        <v>353</v>
      </c>
      <c r="Q1" s="1" t="s">
        <v>354</v>
      </c>
      <c r="R1" s="1" t="s">
        <v>355</v>
      </c>
      <c r="S1" s="1" t="s">
        <v>356</v>
      </c>
      <c r="T1" s="1" t="s">
        <v>357</v>
      </c>
      <c r="U1" s="1" t="s">
        <v>358</v>
      </c>
      <c r="V1" s="1" t="s">
        <v>359</v>
      </c>
      <c r="W1" s="3"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ht="15.75" spans="1:23">
      <c r="A2">
        <v>1402</v>
      </c>
      <c r="B2" s="5" t="s">
        <v>360</v>
      </c>
      <c r="C2" s="5">
        <v>1</v>
      </c>
      <c r="D2" s="6" t="s">
        <v>361</v>
      </c>
      <c r="E2" s="7" t="s">
        <v>40</v>
      </c>
      <c r="F2" s="7" t="s">
        <v>40</v>
      </c>
      <c r="G2" s="7" t="s">
        <v>41</v>
      </c>
      <c r="H2" s="4" t="s">
        <v>360</v>
      </c>
      <c r="I2" s="4" t="s">
        <v>360</v>
      </c>
      <c r="J2" s="7">
        <v>20</v>
      </c>
      <c r="K2" s="7">
        <v>20</v>
      </c>
      <c r="L2" s="7">
        <v>17</v>
      </c>
      <c r="M2" s="4" t="s">
        <v>360</v>
      </c>
      <c r="N2" s="7">
        <v>30</v>
      </c>
      <c r="O2" s="7">
        <v>29</v>
      </c>
      <c r="P2" s="7">
        <v>26</v>
      </c>
      <c r="Q2" s="7" t="s">
        <v>33</v>
      </c>
      <c r="R2" s="7">
        <v>20</v>
      </c>
      <c r="S2" s="4">
        <v>1</v>
      </c>
      <c r="T2" s="5" t="s">
        <v>362</v>
      </c>
      <c r="U2" s="5" t="s">
        <v>363</v>
      </c>
      <c r="V2" s="7">
        <v>0</v>
      </c>
      <c r="W2" s="4" t="str">
        <f>"("&amp;A2&amp;","&amp;B2&amp;","&amp;C2&amp;",'"&amp;D2&amp;"','"&amp;E2&amp;"','"&amp;F2&amp;"','"&amp;G2&amp;"',"&amp;H2&amp;","&amp;I2&amp;","&amp;J2&amp;","&amp;K2&amp;","&amp;L2&amp;","&amp;M2&amp;","&amp;N2&amp;","&amp;O2&amp;","&amp;P2&amp;",'"&amp;Q2&amp;"',"&amp;R2&amp;","&amp;S2&amp;",'"&amp;T2&amp;"','"&amp;U2&amp;"',"&amp;V2&amp;"),"</f>
        <v>(1402,null,1,'2026-03-19 00:00:00','003402000140000-340200014','003402000140000-340200014','失认失用评定',null,null,20,20,17,null,30,29,26,'次',20,1,'normal','main',0),</v>
      </c>
    </row>
    <row r="3" ht="15.75" spans="1:23">
      <c r="A3">
        <v>1403</v>
      </c>
      <c r="B3" s="5" t="s">
        <v>360</v>
      </c>
      <c r="C3" s="5">
        <v>1</v>
      </c>
      <c r="D3" s="6" t="s">
        <v>361</v>
      </c>
      <c r="E3" t="s">
        <v>42</v>
      </c>
      <c r="F3" t="s">
        <v>42</v>
      </c>
      <c r="G3" t="s">
        <v>43</v>
      </c>
      <c r="H3" s="4" t="s">
        <v>360</v>
      </c>
      <c r="I3" s="4" t="s">
        <v>360</v>
      </c>
      <c r="J3">
        <v>20</v>
      </c>
      <c r="K3">
        <v>20</v>
      </c>
      <c r="L3">
        <v>17</v>
      </c>
      <c r="M3" s="4" t="s">
        <v>360</v>
      </c>
      <c r="N3" s="7">
        <v>30</v>
      </c>
      <c r="O3" s="7">
        <v>29</v>
      </c>
      <c r="P3" s="7">
        <v>26</v>
      </c>
      <c r="Q3" t="s">
        <v>33</v>
      </c>
      <c r="R3" s="7">
        <v>20</v>
      </c>
      <c r="S3" s="4">
        <v>1</v>
      </c>
      <c r="T3" s="5" t="s">
        <v>362</v>
      </c>
      <c r="U3" s="5" t="s">
        <v>363</v>
      </c>
      <c r="V3" s="7">
        <v>0</v>
      </c>
      <c r="W3" s="4" t="str">
        <f t="shared" ref="W3:W34" si="0">"("&amp;A3&amp;","&amp;B3&amp;","&amp;C3&amp;",'"&amp;D3&amp;"','"&amp;E3&amp;"','"&amp;F3&amp;"','"&amp;G3&amp;"',"&amp;H3&amp;","&amp;I3&amp;","&amp;J3&amp;","&amp;K3&amp;","&amp;L3&amp;","&amp;M3&amp;","&amp;N3&amp;","&amp;O3&amp;","&amp;P3&amp;",'"&amp;Q3&amp;"',"&amp;R3&amp;","&amp;S3&amp;",'"&amp;T3&amp;"','"&amp;U3&amp;"',"&amp;V3&amp;"),"</f>
        <v>(1403,null,1,'2026-03-19 00:00:00','003402000120000-340200012','003402000120000-340200012','认知知觉功能检查',null,null,20,20,17,null,30,29,26,'次',20,1,'normal','main',0),</v>
      </c>
    </row>
    <row r="4" ht="15.75" spans="1:23">
      <c r="A4">
        <v>1404</v>
      </c>
      <c r="B4" s="5" t="s">
        <v>360</v>
      </c>
      <c r="C4" s="5">
        <v>1</v>
      </c>
      <c r="D4" s="6" t="s">
        <v>361</v>
      </c>
      <c r="E4" t="s">
        <v>45</v>
      </c>
      <c r="F4" t="s">
        <v>45</v>
      </c>
      <c r="G4" t="s">
        <v>46</v>
      </c>
      <c r="H4" s="4" t="s">
        <v>360</v>
      </c>
      <c r="I4" s="4" t="s">
        <v>360</v>
      </c>
      <c r="J4">
        <v>20</v>
      </c>
      <c r="K4">
        <v>20</v>
      </c>
      <c r="L4">
        <v>17</v>
      </c>
      <c r="M4" s="4" t="s">
        <v>360</v>
      </c>
      <c r="N4" s="7">
        <v>30</v>
      </c>
      <c r="O4" s="7">
        <v>29</v>
      </c>
      <c r="P4" s="7">
        <v>26</v>
      </c>
      <c r="Q4" t="s">
        <v>33</v>
      </c>
      <c r="R4" s="7">
        <v>20</v>
      </c>
      <c r="S4" s="4">
        <v>1</v>
      </c>
      <c r="T4" s="5" t="s">
        <v>362</v>
      </c>
      <c r="U4" s="5" t="s">
        <v>363</v>
      </c>
      <c r="V4" s="7">
        <v>0</v>
      </c>
      <c r="W4" s="4" t="str">
        <f t="shared" si="0"/>
        <v>(1404,null,1,'2026-03-19 00:00:00','003402000130000-340200013','003402000130000-340200013','记忆力评定',null,null,20,20,17,null,30,29,26,'次',20,1,'normal','main',0),</v>
      </c>
    </row>
    <row r="5" ht="15.75" spans="1:23">
      <c r="A5">
        <v>1405</v>
      </c>
      <c r="B5" s="5" t="s">
        <v>360</v>
      </c>
      <c r="C5" s="5">
        <v>1</v>
      </c>
      <c r="D5" s="6" t="s">
        <v>361</v>
      </c>
      <c r="E5" t="s">
        <v>47</v>
      </c>
      <c r="F5" t="s">
        <v>47</v>
      </c>
      <c r="G5" t="s">
        <v>48</v>
      </c>
      <c r="H5" s="4" t="s">
        <v>360</v>
      </c>
      <c r="I5" s="4" t="s">
        <v>360</v>
      </c>
      <c r="J5">
        <v>20</v>
      </c>
      <c r="K5">
        <v>20</v>
      </c>
      <c r="L5">
        <v>17</v>
      </c>
      <c r="M5" s="4" t="s">
        <v>360</v>
      </c>
      <c r="N5" s="7">
        <v>30</v>
      </c>
      <c r="O5" s="7">
        <v>29</v>
      </c>
      <c r="P5" s="7">
        <v>26</v>
      </c>
      <c r="Q5" t="s">
        <v>33</v>
      </c>
      <c r="R5" s="7">
        <v>20</v>
      </c>
      <c r="S5" s="4">
        <v>1</v>
      </c>
      <c r="T5" s="5" t="s">
        <v>362</v>
      </c>
      <c r="U5" s="5" t="s">
        <v>363</v>
      </c>
      <c r="V5" s="7">
        <v>0</v>
      </c>
      <c r="W5" s="4" t="str">
        <f t="shared" si="0"/>
        <v>(1405,null,1,'2026-03-19 00:00:00','003402000160000-340200016','003402000160000-340200016','记忆广度检查',null,null,20,20,17,null,30,29,26,'次',20,1,'normal','main',0),</v>
      </c>
    </row>
    <row r="6" ht="15.75" spans="1:23">
      <c r="A6">
        <v>1406</v>
      </c>
      <c r="B6" s="5" t="s">
        <v>360</v>
      </c>
      <c r="C6" s="5">
        <v>1</v>
      </c>
      <c r="D6" s="6" t="s">
        <v>361</v>
      </c>
      <c r="E6" t="s">
        <v>49</v>
      </c>
      <c r="F6" t="s">
        <v>49</v>
      </c>
      <c r="G6" t="s">
        <v>50</v>
      </c>
      <c r="H6" s="4" t="s">
        <v>360</v>
      </c>
      <c r="I6" s="4" t="s">
        <v>360</v>
      </c>
      <c r="J6">
        <v>20</v>
      </c>
      <c r="K6">
        <v>20</v>
      </c>
      <c r="L6">
        <v>17</v>
      </c>
      <c r="M6" s="4" t="s">
        <v>360</v>
      </c>
      <c r="N6" s="7">
        <v>30</v>
      </c>
      <c r="O6" s="7">
        <v>29</v>
      </c>
      <c r="P6" s="7">
        <v>26</v>
      </c>
      <c r="Q6" t="s">
        <v>33</v>
      </c>
      <c r="R6" s="7">
        <v>20</v>
      </c>
      <c r="S6" s="4">
        <v>1</v>
      </c>
      <c r="T6" s="5" t="s">
        <v>362</v>
      </c>
      <c r="U6" s="5" t="s">
        <v>363</v>
      </c>
      <c r="V6" s="7">
        <v>0</v>
      </c>
      <c r="W6" s="4" t="str">
        <f t="shared" si="0"/>
        <v>(1406,null,1,'2026-03-19 00:00:00','003402000390000-340200039','003402000390000-340200039','社区康复测查',null,null,20,20,17,null,30,29,26,'次',20,1,'normal','main',0),</v>
      </c>
    </row>
    <row r="7" ht="15.75" spans="1:23">
      <c r="A7">
        <v>1407</v>
      </c>
      <c r="B7" s="5" t="s">
        <v>360</v>
      </c>
      <c r="C7" s="5">
        <v>1</v>
      </c>
      <c r="D7" s="6" t="s">
        <v>361</v>
      </c>
      <c r="E7" t="s">
        <v>57</v>
      </c>
      <c r="F7" t="s">
        <v>57</v>
      </c>
      <c r="G7" t="s">
        <v>58</v>
      </c>
      <c r="H7" s="4" t="s">
        <v>360</v>
      </c>
      <c r="I7" s="4" t="s">
        <v>360</v>
      </c>
      <c r="J7">
        <v>20</v>
      </c>
      <c r="K7">
        <v>20</v>
      </c>
      <c r="L7">
        <v>17</v>
      </c>
      <c r="M7" s="4" t="s">
        <v>360</v>
      </c>
      <c r="N7">
        <v>30</v>
      </c>
      <c r="O7">
        <v>29</v>
      </c>
      <c r="P7">
        <v>26</v>
      </c>
      <c r="Q7" t="s">
        <v>33</v>
      </c>
      <c r="R7" s="7">
        <v>20</v>
      </c>
      <c r="S7" s="4">
        <v>1</v>
      </c>
      <c r="T7" s="5" t="s">
        <v>362</v>
      </c>
      <c r="U7" s="5" t="s">
        <v>363</v>
      </c>
      <c r="V7" s="7">
        <v>0</v>
      </c>
      <c r="W7" s="4" t="str">
        <f t="shared" si="0"/>
        <v>(1407,null,1,'2026-03-19 00:00:00','003402000110000-340200011','003402000110000-340200011','吞咽功能障碍评定',null,null,20,20,17,null,30,29,26,'次',20,1,'normal','main',0),</v>
      </c>
    </row>
    <row r="8" ht="15.75" spans="1:23">
      <c r="A8">
        <v>1408</v>
      </c>
      <c r="B8" s="5" t="s">
        <v>360</v>
      </c>
      <c r="C8" s="5">
        <v>1</v>
      </c>
      <c r="D8" s="6" t="s">
        <v>361</v>
      </c>
      <c r="E8" t="s">
        <v>63</v>
      </c>
      <c r="F8" t="s">
        <v>63</v>
      </c>
      <c r="G8" t="s">
        <v>64</v>
      </c>
      <c r="H8" s="4" t="s">
        <v>360</v>
      </c>
      <c r="I8" s="4" t="s">
        <v>360</v>
      </c>
      <c r="J8">
        <v>25</v>
      </c>
      <c r="K8">
        <v>25</v>
      </c>
      <c r="L8">
        <v>21.3</v>
      </c>
      <c r="M8" s="4" t="s">
        <v>360</v>
      </c>
      <c r="N8">
        <v>30</v>
      </c>
      <c r="O8">
        <v>29</v>
      </c>
      <c r="P8">
        <v>26</v>
      </c>
      <c r="Q8" t="s">
        <v>33</v>
      </c>
      <c r="R8" s="7">
        <v>20</v>
      </c>
      <c r="S8" s="4">
        <v>1</v>
      </c>
      <c r="T8" s="5" t="s">
        <v>362</v>
      </c>
      <c r="U8" s="5" t="s">
        <v>363</v>
      </c>
      <c r="V8" s="7">
        <v>0</v>
      </c>
      <c r="W8" s="4" t="str">
        <f t="shared" si="0"/>
        <v>(1408,null,1,'2026-03-19 00:00:00','003402000080000-340200008','003402000080000-340200008','言语能力评定',null,null,25,25,21.3,null,30,29,26,'次',20,1,'normal','main',0),</v>
      </c>
    </row>
    <row r="9" ht="15.75" spans="1:23">
      <c r="A9">
        <v>1409</v>
      </c>
      <c r="B9" s="5" t="s">
        <v>360</v>
      </c>
      <c r="C9" s="5">
        <v>1</v>
      </c>
      <c r="D9" s="6" t="s">
        <v>361</v>
      </c>
      <c r="E9" t="s">
        <v>67</v>
      </c>
      <c r="F9" t="s">
        <v>67</v>
      </c>
      <c r="G9" t="s">
        <v>68</v>
      </c>
      <c r="H9" s="4" t="s">
        <v>360</v>
      </c>
      <c r="I9" s="4" t="s">
        <v>360</v>
      </c>
      <c r="J9">
        <v>25</v>
      </c>
      <c r="K9">
        <v>25</v>
      </c>
      <c r="L9">
        <v>21.3</v>
      </c>
      <c r="M9" s="4" t="s">
        <v>360</v>
      </c>
      <c r="N9">
        <v>30</v>
      </c>
      <c r="O9">
        <v>29</v>
      </c>
      <c r="P9">
        <v>26</v>
      </c>
      <c r="Q9" t="s">
        <v>33</v>
      </c>
      <c r="R9" s="7">
        <v>20</v>
      </c>
      <c r="S9" s="4">
        <v>1</v>
      </c>
      <c r="T9" s="5" t="s">
        <v>362</v>
      </c>
      <c r="U9" s="5" t="s">
        <v>363</v>
      </c>
      <c r="V9" s="7">
        <v>0</v>
      </c>
      <c r="W9" s="4" t="str">
        <f t="shared" si="0"/>
        <v>(1409,null,1,'2026-03-19 00:00:00','003402000080100-34020000801','003402000080100-34020000801','言语能力评定（一般失语症检查）',null,null,25,25,21.3,null,30,29,26,'次',20,1,'normal','main',0),</v>
      </c>
    </row>
    <row r="10" ht="15.75" spans="1:23">
      <c r="A10">
        <v>1410</v>
      </c>
      <c r="B10" s="5" t="s">
        <v>360</v>
      </c>
      <c r="C10" s="5">
        <v>1</v>
      </c>
      <c r="D10" s="6" t="s">
        <v>361</v>
      </c>
      <c r="E10" t="s">
        <v>70</v>
      </c>
      <c r="F10" t="s">
        <v>70</v>
      </c>
      <c r="G10" t="s">
        <v>71</v>
      </c>
      <c r="H10" s="4" t="s">
        <v>360</v>
      </c>
      <c r="I10" s="4" t="s">
        <v>360</v>
      </c>
      <c r="J10">
        <v>25</v>
      </c>
      <c r="K10">
        <v>25</v>
      </c>
      <c r="L10">
        <v>21.3</v>
      </c>
      <c r="M10" s="4" t="s">
        <v>360</v>
      </c>
      <c r="N10">
        <v>30</v>
      </c>
      <c r="O10">
        <v>29</v>
      </c>
      <c r="P10">
        <v>26</v>
      </c>
      <c r="Q10" t="s">
        <v>33</v>
      </c>
      <c r="R10" s="7">
        <v>20</v>
      </c>
      <c r="S10" s="4">
        <v>1</v>
      </c>
      <c r="T10" s="5" t="s">
        <v>362</v>
      </c>
      <c r="U10" s="5" t="s">
        <v>363</v>
      </c>
      <c r="V10" s="7">
        <v>0</v>
      </c>
      <c r="W10" s="4" t="str">
        <f t="shared" si="0"/>
        <v>(1410,null,1,'2026-03-19 00:00:00','003402000080200-34020000802','003402000080200-34020000802','言语能力评定（构音障碍检查）',null,null,25,25,21.3,null,30,29,26,'次',20,1,'normal','main',0),</v>
      </c>
    </row>
    <row r="11" ht="15.75" spans="1:23">
      <c r="A11">
        <v>1411</v>
      </c>
      <c r="B11" s="5" t="s">
        <v>360</v>
      </c>
      <c r="C11" s="5">
        <v>1</v>
      </c>
      <c r="D11" s="6" t="s">
        <v>361</v>
      </c>
      <c r="E11" t="s">
        <v>73</v>
      </c>
      <c r="F11" t="s">
        <v>73</v>
      </c>
      <c r="G11" t="s">
        <v>74</v>
      </c>
      <c r="H11" s="4" t="s">
        <v>360</v>
      </c>
      <c r="I11" s="4" t="s">
        <v>360</v>
      </c>
      <c r="J11">
        <v>25</v>
      </c>
      <c r="K11">
        <v>25</v>
      </c>
      <c r="L11">
        <v>21.3</v>
      </c>
      <c r="M11" s="4" t="s">
        <v>360</v>
      </c>
      <c r="N11">
        <v>30</v>
      </c>
      <c r="O11">
        <v>29</v>
      </c>
      <c r="P11">
        <v>26</v>
      </c>
      <c r="Q11" t="s">
        <v>33</v>
      </c>
      <c r="R11" s="7">
        <v>20</v>
      </c>
      <c r="S11" s="4">
        <v>1</v>
      </c>
      <c r="T11" s="5" t="s">
        <v>362</v>
      </c>
      <c r="U11" s="5" t="s">
        <v>363</v>
      </c>
      <c r="V11" s="7">
        <v>0</v>
      </c>
      <c r="W11" s="4" t="str">
        <f t="shared" si="0"/>
        <v>(1411,null,1,'2026-03-19 00:00:00','003402000080300-34020000803','003402000080300-34020000803','言语能力评定（言语失用检查）',null,null,25,25,21.3,null,30,29,26,'次',20,1,'normal','main',0),</v>
      </c>
    </row>
    <row r="12" ht="15.75" spans="1:23">
      <c r="A12">
        <v>1412</v>
      </c>
      <c r="B12" s="5" t="s">
        <v>360</v>
      </c>
      <c r="C12" s="5">
        <v>1</v>
      </c>
      <c r="D12" s="6" t="s">
        <v>361</v>
      </c>
      <c r="E12" t="s">
        <v>76</v>
      </c>
      <c r="F12" t="s">
        <v>76</v>
      </c>
      <c r="G12" t="s">
        <v>77</v>
      </c>
      <c r="H12" s="4" t="s">
        <v>360</v>
      </c>
      <c r="I12" s="4" t="s">
        <v>360</v>
      </c>
      <c r="J12">
        <v>20</v>
      </c>
      <c r="K12">
        <v>20</v>
      </c>
      <c r="L12">
        <v>17</v>
      </c>
      <c r="M12" s="4" t="s">
        <v>360</v>
      </c>
      <c r="N12">
        <v>30</v>
      </c>
      <c r="O12">
        <v>29</v>
      </c>
      <c r="P12">
        <v>26</v>
      </c>
      <c r="Q12" t="s">
        <v>33</v>
      </c>
      <c r="R12" s="7">
        <v>20</v>
      </c>
      <c r="S12" s="4">
        <v>1</v>
      </c>
      <c r="T12" s="5" t="s">
        <v>362</v>
      </c>
      <c r="U12" s="5" t="s">
        <v>363</v>
      </c>
      <c r="V12" s="7">
        <v>0</v>
      </c>
      <c r="W12" s="4" t="str">
        <f t="shared" si="0"/>
        <v>(1412,null,1,'2026-03-19 00:00:00','003402000090000-340200009','003402000090000-340200009','失语症检查',null,null,20,20,17,null,30,29,26,'次',20,1,'normal','main',0),</v>
      </c>
    </row>
    <row r="13" ht="15.75" spans="1:23">
      <c r="A13">
        <v>1413</v>
      </c>
      <c r="B13" s="5" t="s">
        <v>360</v>
      </c>
      <c r="C13" s="5">
        <v>1</v>
      </c>
      <c r="D13" s="6" t="s">
        <v>361</v>
      </c>
      <c r="E13" t="s">
        <v>78</v>
      </c>
      <c r="F13" t="s">
        <v>78</v>
      </c>
      <c r="G13" t="s">
        <v>79</v>
      </c>
      <c r="H13" s="4" t="s">
        <v>360</v>
      </c>
      <c r="I13" s="4" t="s">
        <v>360</v>
      </c>
      <c r="J13">
        <v>20</v>
      </c>
      <c r="K13">
        <v>20</v>
      </c>
      <c r="L13">
        <v>17</v>
      </c>
      <c r="M13" s="4" t="s">
        <v>360</v>
      </c>
      <c r="N13">
        <v>30</v>
      </c>
      <c r="O13">
        <v>29</v>
      </c>
      <c r="P13">
        <v>26</v>
      </c>
      <c r="Q13" t="s">
        <v>33</v>
      </c>
      <c r="R13" s="7">
        <v>20</v>
      </c>
      <c r="S13" s="4">
        <v>1</v>
      </c>
      <c r="T13" s="5" t="s">
        <v>362</v>
      </c>
      <c r="U13" s="5" t="s">
        <v>363</v>
      </c>
      <c r="V13" s="7">
        <v>0</v>
      </c>
      <c r="W13" s="4" t="str">
        <f t="shared" si="0"/>
        <v>(1413,null,1,'2026-03-19 00:00:00','003402000100000-340200010','003402000100000-340200010','口吃检查',null,null,20,20,17,null,30,29,26,'次',20,1,'normal','main',0),</v>
      </c>
    </row>
    <row r="14" ht="15.75" spans="1:23">
      <c r="A14">
        <v>1414</v>
      </c>
      <c r="B14" s="5" t="s">
        <v>360</v>
      </c>
      <c r="C14" s="5">
        <v>1</v>
      </c>
      <c r="D14" s="6" t="s">
        <v>361</v>
      </c>
      <c r="E14" t="s">
        <v>85</v>
      </c>
      <c r="F14" t="s">
        <v>85</v>
      </c>
      <c r="G14" t="s">
        <v>86</v>
      </c>
      <c r="H14" s="4" t="s">
        <v>360</v>
      </c>
      <c r="I14" s="4" t="s">
        <v>360</v>
      </c>
      <c r="J14">
        <v>20</v>
      </c>
      <c r="K14">
        <v>20</v>
      </c>
      <c r="L14">
        <v>17</v>
      </c>
      <c r="M14" s="4" t="s">
        <v>360</v>
      </c>
      <c r="N14">
        <v>38</v>
      </c>
      <c r="O14">
        <v>36</v>
      </c>
      <c r="P14">
        <v>32</v>
      </c>
      <c r="Q14" t="s">
        <v>33</v>
      </c>
      <c r="R14" s="7">
        <v>20</v>
      </c>
      <c r="S14" s="4">
        <v>1</v>
      </c>
      <c r="T14" s="5" t="s">
        <v>362</v>
      </c>
      <c r="U14" s="5" t="s">
        <v>363</v>
      </c>
      <c r="V14" s="7">
        <v>0</v>
      </c>
      <c r="W14" s="4" t="str">
        <f t="shared" si="0"/>
        <v>(1414,null,1,'2026-03-19 00:00:00','003402000010000-340200001','003402000010000-340200001','徒手平衡功能检查',null,null,20,20,17,null,38,36,32,'次',20,1,'normal','main',0),</v>
      </c>
    </row>
    <row r="15" ht="15.75" spans="1:23">
      <c r="A15">
        <v>1415</v>
      </c>
      <c r="B15" s="5" t="s">
        <v>360</v>
      </c>
      <c r="C15" s="5">
        <v>1</v>
      </c>
      <c r="D15" s="6" t="s">
        <v>361</v>
      </c>
      <c r="E15" t="s">
        <v>87</v>
      </c>
      <c r="F15" t="s">
        <v>87</v>
      </c>
      <c r="G15" t="s">
        <v>88</v>
      </c>
      <c r="H15" s="4" t="s">
        <v>360</v>
      </c>
      <c r="I15" s="4" t="s">
        <v>360</v>
      </c>
      <c r="J15">
        <v>100</v>
      </c>
      <c r="K15">
        <v>90</v>
      </c>
      <c r="L15">
        <v>77</v>
      </c>
      <c r="M15" s="4" t="s">
        <v>360</v>
      </c>
      <c r="N15">
        <v>38</v>
      </c>
      <c r="O15">
        <v>36</v>
      </c>
      <c r="P15">
        <v>32</v>
      </c>
      <c r="Q15" t="s">
        <v>33</v>
      </c>
      <c r="R15" s="7">
        <v>20</v>
      </c>
      <c r="S15" s="4">
        <v>1</v>
      </c>
      <c r="T15" s="5" t="s">
        <v>362</v>
      </c>
      <c r="U15" s="5" t="s">
        <v>363</v>
      </c>
      <c r="V15" s="7">
        <v>0</v>
      </c>
      <c r="W15" s="4" t="str">
        <f t="shared" si="0"/>
        <v>(1415,null,1,'2026-03-19 00:00:00','003104010220000-340200043','003104010220000-340200043','位置平衡试验',null,null,100,90,77,null,38,36,32,'次',20,1,'normal','main',0),</v>
      </c>
    </row>
    <row r="16" ht="15.75" spans="1:23">
      <c r="A16">
        <v>1416</v>
      </c>
      <c r="B16" s="5" t="s">
        <v>360</v>
      </c>
      <c r="C16" s="5">
        <v>1</v>
      </c>
      <c r="D16" s="6" t="s">
        <v>361</v>
      </c>
      <c r="E16" t="s">
        <v>90</v>
      </c>
      <c r="F16" t="s">
        <v>90</v>
      </c>
      <c r="G16" t="s">
        <v>91</v>
      </c>
      <c r="H16" s="4" t="s">
        <v>360</v>
      </c>
      <c r="I16" s="4" t="s">
        <v>360</v>
      </c>
      <c r="J16">
        <v>30</v>
      </c>
      <c r="K16">
        <v>30</v>
      </c>
      <c r="L16">
        <v>25.5</v>
      </c>
      <c r="M16" s="4" t="s">
        <v>360</v>
      </c>
      <c r="N16">
        <v>38</v>
      </c>
      <c r="O16">
        <v>36</v>
      </c>
      <c r="P16">
        <v>32</v>
      </c>
      <c r="Q16" t="s">
        <v>33</v>
      </c>
      <c r="R16" s="7">
        <v>20</v>
      </c>
      <c r="S16" s="4">
        <v>1</v>
      </c>
      <c r="T16" s="5" t="s">
        <v>362</v>
      </c>
      <c r="U16" s="5" t="s">
        <v>363</v>
      </c>
      <c r="V16" s="7">
        <v>0</v>
      </c>
      <c r="W16" s="4" t="str">
        <f t="shared" si="0"/>
        <v>(1416,null,1,'2026-03-19 00:00:00','003402000020000-340200002','003402000020000-340200002','仪器平衡功能评定',null,null,30,30,25.5,null,38,36,32,'次',20,1,'normal','main',0),</v>
      </c>
    </row>
    <row r="17" ht="15.75" spans="1:23">
      <c r="A17">
        <v>1417</v>
      </c>
      <c r="B17" s="5" t="s">
        <v>360</v>
      </c>
      <c r="C17" s="5">
        <v>1</v>
      </c>
      <c r="D17" s="6" t="s">
        <v>361</v>
      </c>
      <c r="E17" t="s">
        <v>92</v>
      </c>
      <c r="F17" t="s">
        <v>92</v>
      </c>
      <c r="G17" t="s">
        <v>93</v>
      </c>
      <c r="H17" s="4" t="s">
        <v>360</v>
      </c>
      <c r="I17" s="4" t="s">
        <v>360</v>
      </c>
      <c r="J17">
        <v>20</v>
      </c>
      <c r="K17">
        <v>20</v>
      </c>
      <c r="L17">
        <v>17</v>
      </c>
      <c r="M17" s="4" t="s">
        <v>360</v>
      </c>
      <c r="N17">
        <v>38</v>
      </c>
      <c r="O17">
        <v>36</v>
      </c>
      <c r="P17">
        <v>32</v>
      </c>
      <c r="Q17" t="s">
        <v>33</v>
      </c>
      <c r="R17" s="7">
        <v>20</v>
      </c>
      <c r="S17" s="4">
        <v>1</v>
      </c>
      <c r="T17" s="5" t="s">
        <v>362</v>
      </c>
      <c r="U17" s="5" t="s">
        <v>363</v>
      </c>
      <c r="V17" s="7">
        <v>0</v>
      </c>
      <c r="W17" s="4" t="str">
        <f t="shared" si="0"/>
        <v>(1417,null,1,'2026-03-19 00:00:00','003402000060000-340200006','003402000060000-340200006','疲劳度测定',null,null,20,20,17,null,38,36,32,'次',20,1,'normal','main',0),</v>
      </c>
    </row>
    <row r="18" ht="15.75" spans="1:23">
      <c r="A18">
        <v>1418</v>
      </c>
      <c r="B18" s="5" t="s">
        <v>360</v>
      </c>
      <c r="C18" s="5">
        <v>1</v>
      </c>
      <c r="D18" s="6" t="s">
        <v>361</v>
      </c>
      <c r="E18" t="s">
        <v>94</v>
      </c>
      <c r="F18" t="s">
        <v>94</v>
      </c>
      <c r="G18" t="s">
        <v>95</v>
      </c>
      <c r="H18" s="4" t="s">
        <v>360</v>
      </c>
      <c r="I18" s="4" t="s">
        <v>360</v>
      </c>
      <c r="J18">
        <v>60</v>
      </c>
      <c r="K18">
        <v>60</v>
      </c>
      <c r="L18">
        <v>51</v>
      </c>
      <c r="M18" s="4" t="s">
        <v>360</v>
      </c>
      <c r="N18">
        <v>38</v>
      </c>
      <c r="O18">
        <v>36</v>
      </c>
      <c r="P18">
        <v>32</v>
      </c>
      <c r="Q18" t="s">
        <v>33</v>
      </c>
      <c r="R18" s="7">
        <v>20</v>
      </c>
      <c r="S18" s="4">
        <v>1</v>
      </c>
      <c r="T18" s="5" t="s">
        <v>362</v>
      </c>
      <c r="U18" s="5" t="s">
        <v>363</v>
      </c>
      <c r="V18" s="7">
        <v>0</v>
      </c>
      <c r="W18" s="4" t="str">
        <f t="shared" si="0"/>
        <v>(1418,null,1,'2026-03-19 00:00:00','003402000190000-340200019','003402000190000-340200019','人体残伤测定',null,null,60,60,51,null,38,36,32,'次',20,1,'normal','main',0),</v>
      </c>
    </row>
    <row r="19" ht="15.75" spans="1:23">
      <c r="A19">
        <v>1419</v>
      </c>
      <c r="B19" s="5" t="s">
        <v>360</v>
      </c>
      <c r="C19" s="5">
        <v>1</v>
      </c>
      <c r="D19" s="6" t="s">
        <v>361</v>
      </c>
      <c r="E19" t="s">
        <v>96</v>
      </c>
      <c r="F19" t="s">
        <v>96</v>
      </c>
      <c r="G19" t="s">
        <v>97</v>
      </c>
      <c r="H19" s="4" t="s">
        <v>360</v>
      </c>
      <c r="I19" s="4" t="s">
        <v>360</v>
      </c>
      <c r="J19">
        <v>25</v>
      </c>
      <c r="K19">
        <v>25</v>
      </c>
      <c r="L19">
        <v>21.3</v>
      </c>
      <c r="M19" s="4" t="s">
        <v>360</v>
      </c>
      <c r="N19">
        <v>38</v>
      </c>
      <c r="O19">
        <v>36</v>
      </c>
      <c r="P19">
        <v>32</v>
      </c>
      <c r="Q19" t="s">
        <v>33</v>
      </c>
      <c r="R19" s="7">
        <v>20</v>
      </c>
      <c r="S19" s="4">
        <v>1</v>
      </c>
      <c r="T19" s="5" t="s">
        <v>362</v>
      </c>
      <c r="U19" s="5" t="s">
        <v>363</v>
      </c>
      <c r="V19" s="7">
        <v>0</v>
      </c>
      <c r="W19" s="4" t="str">
        <f t="shared" si="0"/>
        <v>(1419,null,1,'2026-03-19 00:00:00','003402000050000-340200005','003402000050000-340200005','手功能评定',null,null,25,25,21.3,null,38,36,32,'次',20,1,'normal','main',0),</v>
      </c>
    </row>
    <row r="20" ht="15.75" spans="1:23">
      <c r="A20">
        <v>1420</v>
      </c>
      <c r="B20" s="5" t="s">
        <v>360</v>
      </c>
      <c r="C20" s="5">
        <v>1</v>
      </c>
      <c r="D20" s="6" t="s">
        <v>361</v>
      </c>
      <c r="E20" t="s">
        <v>100</v>
      </c>
      <c r="F20" t="s">
        <v>100</v>
      </c>
      <c r="G20" t="s">
        <v>101</v>
      </c>
      <c r="H20" s="4" t="s">
        <v>360</v>
      </c>
      <c r="I20" s="4" t="s">
        <v>360</v>
      </c>
      <c r="J20">
        <v>20</v>
      </c>
      <c r="K20">
        <v>20</v>
      </c>
      <c r="L20">
        <v>17</v>
      </c>
      <c r="M20" s="4" t="s">
        <v>360</v>
      </c>
      <c r="N20">
        <v>38</v>
      </c>
      <c r="O20">
        <v>36</v>
      </c>
      <c r="P20">
        <v>32</v>
      </c>
      <c r="Q20" t="s">
        <v>33</v>
      </c>
      <c r="R20" s="7">
        <v>20</v>
      </c>
      <c r="S20" s="4">
        <v>1</v>
      </c>
      <c r="T20" s="5" t="s">
        <v>362</v>
      </c>
      <c r="U20" s="5" t="s">
        <v>363</v>
      </c>
      <c r="V20" s="7">
        <v>0</v>
      </c>
      <c r="W20" s="4" t="str">
        <f t="shared" si="0"/>
        <v>(1420,null,1,'2026-03-19 00:00:00','003402000040000-340200004','003402000040000-340200004','等速肌力测定',null,null,20,20,17,null,38,36,32,'次',20,1,'normal','main',0),</v>
      </c>
    </row>
    <row r="21" ht="15.75" spans="1:23">
      <c r="A21">
        <v>1421</v>
      </c>
      <c r="B21" s="5" t="s">
        <v>360</v>
      </c>
      <c r="C21" s="5">
        <v>1</v>
      </c>
      <c r="D21" s="6" t="s">
        <v>361</v>
      </c>
      <c r="E21" t="s">
        <v>102</v>
      </c>
      <c r="F21" t="s">
        <v>102</v>
      </c>
      <c r="G21" t="s">
        <v>103</v>
      </c>
      <c r="H21" s="4" t="s">
        <v>360</v>
      </c>
      <c r="I21" s="4" t="s">
        <v>360</v>
      </c>
      <c r="J21">
        <v>30</v>
      </c>
      <c r="K21">
        <v>30</v>
      </c>
      <c r="L21">
        <v>25.5</v>
      </c>
      <c r="M21" s="4" t="s">
        <v>360</v>
      </c>
      <c r="N21">
        <v>38</v>
      </c>
      <c r="O21">
        <v>36</v>
      </c>
      <c r="P21">
        <v>32</v>
      </c>
      <c r="Q21" t="s">
        <v>33</v>
      </c>
      <c r="R21" s="7">
        <v>20</v>
      </c>
      <c r="S21" s="4">
        <v>1</v>
      </c>
      <c r="T21" s="5" t="s">
        <v>362</v>
      </c>
      <c r="U21" s="5" t="s">
        <v>363</v>
      </c>
      <c r="V21" s="7">
        <v>0</v>
      </c>
      <c r="W21" s="4" t="str">
        <f t="shared" si="0"/>
        <v>(1421,null,1,'2026-03-19 00:00:00','003402000070000-340200007','003402000070000-340200007','步态分析检查',null,null,30,30,25.5,null,38,36,32,'次',20,1,'normal','main',0),</v>
      </c>
    </row>
    <row r="22" ht="15.75" spans="1:23">
      <c r="A22">
        <v>1422</v>
      </c>
      <c r="B22" s="5" t="s">
        <v>360</v>
      </c>
      <c r="C22" s="5">
        <v>1</v>
      </c>
      <c r="D22" s="6" t="s">
        <v>361</v>
      </c>
      <c r="E22" t="s">
        <v>105</v>
      </c>
      <c r="F22" t="s">
        <v>105</v>
      </c>
      <c r="G22" t="s">
        <v>106</v>
      </c>
      <c r="H22" s="4" t="s">
        <v>360</v>
      </c>
      <c r="I22" s="4" t="s">
        <v>360</v>
      </c>
      <c r="J22">
        <v>30</v>
      </c>
      <c r="K22">
        <v>30</v>
      </c>
      <c r="L22">
        <v>25.5</v>
      </c>
      <c r="M22" s="4" t="s">
        <v>360</v>
      </c>
      <c r="N22">
        <v>38</v>
      </c>
      <c r="O22">
        <v>36</v>
      </c>
      <c r="P22">
        <v>32</v>
      </c>
      <c r="Q22" t="s">
        <v>33</v>
      </c>
      <c r="R22" s="7">
        <v>20</v>
      </c>
      <c r="S22" s="4">
        <v>1</v>
      </c>
      <c r="T22" s="5" t="s">
        <v>362</v>
      </c>
      <c r="U22" s="5" t="s">
        <v>363</v>
      </c>
      <c r="V22" s="7">
        <v>0</v>
      </c>
      <c r="W22" s="4" t="str">
        <f t="shared" si="0"/>
        <v>(1422,null,1,'2026-03-19 00:00:00','003402000070100-34020000701','003402000070100-34020000701','步态分析检查（足底压力分析检查）',null,null,30,30,25.5,null,38,36,32,'次',20,1,'normal','main',0),</v>
      </c>
    </row>
    <row r="23" ht="15.75" spans="1:23">
      <c r="A23">
        <v>1423</v>
      </c>
      <c r="B23" s="5" t="s">
        <v>360</v>
      </c>
      <c r="C23" s="5">
        <v>1</v>
      </c>
      <c r="D23" s="6" t="s">
        <v>361</v>
      </c>
      <c r="E23" t="s">
        <v>108</v>
      </c>
      <c r="F23" t="s">
        <v>108</v>
      </c>
      <c r="G23" t="s">
        <v>109</v>
      </c>
      <c r="H23" s="4" t="s">
        <v>360</v>
      </c>
      <c r="I23" s="4" t="s">
        <v>360</v>
      </c>
      <c r="J23">
        <v>80</v>
      </c>
      <c r="K23">
        <v>72</v>
      </c>
      <c r="L23">
        <v>61</v>
      </c>
      <c r="M23" s="4" t="s">
        <v>360</v>
      </c>
      <c r="N23">
        <v>38</v>
      </c>
      <c r="O23">
        <v>36</v>
      </c>
      <c r="P23">
        <v>32</v>
      </c>
      <c r="Q23" t="s">
        <v>33</v>
      </c>
      <c r="R23" s="7">
        <v>20</v>
      </c>
      <c r="S23" s="4">
        <v>1</v>
      </c>
      <c r="T23" s="5" t="s">
        <v>362</v>
      </c>
      <c r="U23" s="5" t="s">
        <v>363</v>
      </c>
      <c r="V23" s="7">
        <v>0</v>
      </c>
      <c r="W23" s="4" t="str">
        <f t="shared" si="0"/>
        <v>(1423,null,1,'2026-03-19 00:00:00','003104010220000-340200044','003104010220000-340200044','主观重力垂直线检查',null,null,80,72,61,null,38,36,32,'次',20,1,'normal','main',0),</v>
      </c>
    </row>
    <row r="24" ht="15.75" spans="1:23">
      <c r="A24">
        <v>1424</v>
      </c>
      <c r="B24" s="5" t="s">
        <v>360</v>
      </c>
      <c r="C24" s="5">
        <v>1</v>
      </c>
      <c r="D24" s="6" t="s">
        <v>361</v>
      </c>
      <c r="E24" t="s">
        <v>117</v>
      </c>
      <c r="F24" t="s">
        <v>117</v>
      </c>
      <c r="G24" t="s">
        <v>118</v>
      </c>
      <c r="H24" s="4" t="s">
        <v>360</v>
      </c>
      <c r="I24" s="4" t="s">
        <v>360</v>
      </c>
      <c r="J24">
        <v>40</v>
      </c>
      <c r="K24">
        <v>40</v>
      </c>
      <c r="L24">
        <v>34</v>
      </c>
      <c r="M24" s="4" t="s">
        <v>360</v>
      </c>
      <c r="N24">
        <v>38</v>
      </c>
      <c r="O24">
        <v>36</v>
      </c>
      <c r="P24">
        <v>32</v>
      </c>
      <c r="Q24" t="s">
        <v>33</v>
      </c>
      <c r="R24" s="7">
        <v>20</v>
      </c>
      <c r="S24" s="4">
        <v>1</v>
      </c>
      <c r="T24" s="5" t="s">
        <v>362</v>
      </c>
      <c r="U24" s="5" t="s">
        <v>363</v>
      </c>
      <c r="V24" s="7">
        <v>0</v>
      </c>
      <c r="W24" s="4" t="str">
        <f t="shared" si="0"/>
        <v>(1424,null,1,'2026-03-19 00:00:00','003402000170000-340200017','003402000170000-340200017','心功能康复评定',null,null,40,40,34,null,38,36,32,'次',20,1,'normal','main',0),</v>
      </c>
    </row>
    <row r="25" ht="15.75" spans="1:23">
      <c r="A25">
        <v>1425</v>
      </c>
      <c r="B25" s="5" t="s">
        <v>360</v>
      </c>
      <c r="C25" s="5">
        <v>1</v>
      </c>
      <c r="D25" s="6" t="s">
        <v>361</v>
      </c>
      <c r="E25" t="s">
        <v>119</v>
      </c>
      <c r="F25" t="s">
        <v>119</v>
      </c>
      <c r="G25" t="s">
        <v>120</v>
      </c>
      <c r="H25" s="4" t="s">
        <v>360</v>
      </c>
      <c r="I25" s="4" t="s">
        <v>360</v>
      </c>
      <c r="J25">
        <v>40</v>
      </c>
      <c r="K25">
        <v>40</v>
      </c>
      <c r="L25">
        <v>34</v>
      </c>
      <c r="M25" s="4" t="s">
        <v>360</v>
      </c>
      <c r="N25">
        <v>38</v>
      </c>
      <c r="O25">
        <v>36</v>
      </c>
      <c r="P25">
        <v>32</v>
      </c>
      <c r="Q25" t="s">
        <v>33</v>
      </c>
      <c r="R25" s="7">
        <v>20</v>
      </c>
      <c r="S25" s="4">
        <v>1</v>
      </c>
      <c r="T25" s="5" t="s">
        <v>362</v>
      </c>
      <c r="U25" s="5" t="s">
        <v>363</v>
      </c>
      <c r="V25" s="7">
        <v>0</v>
      </c>
      <c r="W25" s="4" t="str">
        <f t="shared" si="0"/>
        <v>(1425,null,1,'2026-03-19 00:00:00','003402000180000-340200018','003402000180000-340200018','肺功能康复评定',null,null,40,40,34,null,38,36,32,'次',20,1,'normal','main',0),</v>
      </c>
    </row>
    <row r="26" ht="15.75" spans="1:23">
      <c r="A26">
        <v>1426</v>
      </c>
      <c r="B26" s="5" t="s">
        <v>360</v>
      </c>
      <c r="C26" s="5">
        <v>1</v>
      </c>
      <c r="D26" s="6" t="s">
        <v>361</v>
      </c>
      <c r="E26" t="s">
        <v>121</v>
      </c>
      <c r="F26" t="s">
        <v>121</v>
      </c>
      <c r="G26" t="s">
        <v>122</v>
      </c>
      <c r="H26" s="4" t="s">
        <v>360</v>
      </c>
      <c r="I26" s="4" t="s">
        <v>360</v>
      </c>
      <c r="J26">
        <v>36</v>
      </c>
      <c r="K26">
        <v>32</v>
      </c>
      <c r="L26">
        <v>27</v>
      </c>
      <c r="M26" s="4" t="s">
        <v>360</v>
      </c>
      <c r="N26">
        <v>38</v>
      </c>
      <c r="O26">
        <v>36</v>
      </c>
      <c r="P26">
        <v>32</v>
      </c>
      <c r="Q26" t="s">
        <v>33</v>
      </c>
      <c r="R26" s="7">
        <v>20</v>
      </c>
      <c r="S26" s="4">
        <v>1</v>
      </c>
      <c r="T26" s="5" t="s">
        <v>362</v>
      </c>
      <c r="U26" s="5" t="s">
        <v>363</v>
      </c>
      <c r="V26" s="7">
        <v>0</v>
      </c>
      <c r="W26" s="4" t="str">
        <f t="shared" si="0"/>
        <v>(1426,null,1,'2026-03-19 00:00:00','003402000070000-340200046','003402000070000-340200046','6分钟步行测试',null,null,36,32,27,null,38,36,32,'次',20,1,'normal','main',0),</v>
      </c>
    </row>
    <row r="27" ht="15.75" spans="1:23">
      <c r="A27">
        <v>1427</v>
      </c>
      <c r="B27" s="5" t="s">
        <v>360</v>
      </c>
      <c r="C27" s="5">
        <v>1</v>
      </c>
      <c r="D27" s="6" t="s">
        <v>361</v>
      </c>
      <c r="E27" t="s">
        <v>146</v>
      </c>
      <c r="F27" t="s">
        <v>146</v>
      </c>
      <c r="G27" t="s">
        <v>147</v>
      </c>
      <c r="H27" s="4" t="s">
        <v>360</v>
      </c>
      <c r="I27" s="4" t="s">
        <v>360</v>
      </c>
      <c r="J27">
        <v>33</v>
      </c>
      <c r="K27">
        <v>30</v>
      </c>
      <c r="L27">
        <v>25.5</v>
      </c>
      <c r="M27" s="4" t="s">
        <v>360</v>
      </c>
      <c r="N27">
        <v>85.5</v>
      </c>
      <c r="O27">
        <v>77.9</v>
      </c>
      <c r="P27">
        <v>66.5</v>
      </c>
      <c r="Q27" t="s">
        <v>33</v>
      </c>
      <c r="R27" s="7">
        <v>20</v>
      </c>
      <c r="S27" s="4">
        <v>1</v>
      </c>
      <c r="T27" t="s">
        <v>364</v>
      </c>
      <c r="U27" s="7" t="s">
        <v>365</v>
      </c>
      <c r="V27">
        <v>1</v>
      </c>
      <c r="W27" s="4" t="str">
        <f t="shared" si="0"/>
        <v>(1427,null,1,'2026-03-19 00:00:00','003115030150000-311503015','003115030150000-311503015','感觉统合治疗',null,null,33,30,25.5,null,85.5,77.9,66.5,'次',20,1,'merge','limit',1),</v>
      </c>
    </row>
    <row r="28" ht="15.75" spans="1:23">
      <c r="A28">
        <v>1428</v>
      </c>
      <c r="B28" s="5" t="s">
        <v>360</v>
      </c>
      <c r="C28" s="5">
        <v>1</v>
      </c>
      <c r="D28" s="6" t="s">
        <v>361</v>
      </c>
      <c r="E28" t="s">
        <v>160</v>
      </c>
      <c r="F28" t="s">
        <v>160</v>
      </c>
      <c r="G28" t="s">
        <v>161</v>
      </c>
      <c r="H28" s="4" t="s">
        <v>360</v>
      </c>
      <c r="I28" s="4" t="s">
        <v>360</v>
      </c>
      <c r="J28">
        <v>35</v>
      </c>
      <c r="K28">
        <v>35</v>
      </c>
      <c r="L28">
        <v>29.8</v>
      </c>
      <c r="M28" s="4" t="s">
        <v>360</v>
      </c>
      <c r="N28">
        <v>45</v>
      </c>
      <c r="O28">
        <v>41</v>
      </c>
      <c r="P28">
        <v>35</v>
      </c>
      <c r="Q28" t="s">
        <v>33</v>
      </c>
      <c r="R28" s="7">
        <v>20</v>
      </c>
      <c r="S28" s="4">
        <v>1</v>
      </c>
      <c r="T28" s="5" t="s">
        <v>362</v>
      </c>
      <c r="U28" s="5" t="s">
        <v>363</v>
      </c>
      <c r="V28" s="7">
        <v>0</v>
      </c>
      <c r="W28" s="4" t="str">
        <f t="shared" si="0"/>
        <v>(1428,null,1,'2026-03-19 00:00:00','003402000370000-340200037','003402000370000-340200037','吞咽功能障碍训练',null,null,35,35,29.8,null,45,41,35,'次',20,1,'normal','main',0),</v>
      </c>
    </row>
    <row r="29" ht="15.75" spans="1:23">
      <c r="A29">
        <v>1429</v>
      </c>
      <c r="B29" s="5" t="s">
        <v>360</v>
      </c>
      <c r="C29" s="5">
        <v>1</v>
      </c>
      <c r="D29" s="6" t="s">
        <v>361</v>
      </c>
      <c r="E29" t="s">
        <v>163</v>
      </c>
      <c r="F29" t="s">
        <v>163</v>
      </c>
      <c r="G29" t="s">
        <v>164</v>
      </c>
      <c r="H29" s="4" t="s">
        <v>360</v>
      </c>
      <c r="I29" s="4" t="s">
        <v>360</v>
      </c>
      <c r="J29">
        <v>38</v>
      </c>
      <c r="K29">
        <v>35</v>
      </c>
      <c r="L29">
        <v>30</v>
      </c>
      <c r="M29" s="4" t="s">
        <v>360</v>
      </c>
      <c r="N29">
        <v>45</v>
      </c>
      <c r="O29">
        <v>41</v>
      </c>
      <c r="P29">
        <v>35</v>
      </c>
      <c r="Q29" t="s">
        <v>166</v>
      </c>
      <c r="R29" s="7">
        <v>20</v>
      </c>
      <c r="S29" s="4">
        <v>1</v>
      </c>
      <c r="T29" s="5" t="s">
        <v>362</v>
      </c>
      <c r="U29" s="5" t="s">
        <v>363</v>
      </c>
      <c r="V29" s="7">
        <v>0</v>
      </c>
      <c r="W29" s="4" t="str">
        <f t="shared" si="0"/>
        <v>(1429,null,1,'2026-03-19 00:00:00','003402000370000-340200050','003402000370000-340200050','吞咽障碍电刺激训练',null,null,38,35,30,null,45,41,35,'30分钟/次',20,1,'normal','main',0),</v>
      </c>
    </row>
    <row r="30" ht="15.75" spans="1:23">
      <c r="A30">
        <v>1430</v>
      </c>
      <c r="B30" s="5" t="s">
        <v>360</v>
      </c>
      <c r="C30" s="5">
        <v>1</v>
      </c>
      <c r="D30" s="6" t="s">
        <v>361</v>
      </c>
      <c r="E30" t="s">
        <v>174</v>
      </c>
      <c r="F30" t="s">
        <v>174</v>
      </c>
      <c r="G30" t="s">
        <v>175</v>
      </c>
      <c r="H30" s="4" t="s">
        <v>360</v>
      </c>
      <c r="I30" s="4" t="s">
        <v>360</v>
      </c>
      <c r="J30">
        <v>30</v>
      </c>
      <c r="K30">
        <v>30</v>
      </c>
      <c r="L30">
        <v>25.5</v>
      </c>
      <c r="M30" s="4" t="s">
        <v>360</v>
      </c>
      <c r="N30">
        <v>45</v>
      </c>
      <c r="O30">
        <v>41</v>
      </c>
      <c r="P30">
        <v>35</v>
      </c>
      <c r="Q30" t="s">
        <v>166</v>
      </c>
      <c r="R30" s="7">
        <v>20</v>
      </c>
      <c r="S30" s="4">
        <v>1</v>
      </c>
      <c r="T30" s="5" t="s">
        <v>362</v>
      </c>
      <c r="U30" s="5" t="s">
        <v>363</v>
      </c>
      <c r="V30" s="7">
        <v>0</v>
      </c>
      <c r="W30" s="4" t="str">
        <f t="shared" si="0"/>
        <v>(1430,null,1,'2026-03-19 00:00:00','003402000330000-340200033','003402000330000-340200033','口吃训练',null,null,30,30,25.5,null,45,41,35,'30分钟/次',20,1,'normal','main',0),</v>
      </c>
    </row>
    <row r="31" ht="15.75" spans="1:23">
      <c r="A31">
        <v>1431</v>
      </c>
      <c r="B31" s="5" t="s">
        <v>360</v>
      </c>
      <c r="C31" s="5">
        <v>1</v>
      </c>
      <c r="D31" s="6" t="s">
        <v>361</v>
      </c>
      <c r="E31" t="s">
        <v>176</v>
      </c>
      <c r="F31" t="s">
        <v>176</v>
      </c>
      <c r="G31" t="s">
        <v>177</v>
      </c>
      <c r="H31" s="4" t="s">
        <v>360</v>
      </c>
      <c r="I31" s="4" t="s">
        <v>360</v>
      </c>
      <c r="J31">
        <v>35</v>
      </c>
      <c r="K31">
        <v>35</v>
      </c>
      <c r="L31">
        <v>29.8</v>
      </c>
      <c r="M31" s="4" t="s">
        <v>360</v>
      </c>
      <c r="N31">
        <v>45</v>
      </c>
      <c r="O31">
        <v>41</v>
      </c>
      <c r="P31">
        <v>35</v>
      </c>
      <c r="Q31" t="s">
        <v>166</v>
      </c>
      <c r="R31" s="7">
        <v>20</v>
      </c>
      <c r="S31" s="4">
        <v>1</v>
      </c>
      <c r="T31" s="5" t="s">
        <v>362</v>
      </c>
      <c r="U31" s="5" t="s">
        <v>363</v>
      </c>
      <c r="V31" s="7">
        <v>0</v>
      </c>
      <c r="W31" s="4" t="str">
        <f t="shared" si="0"/>
        <v>(1431,null,1,'2026-03-19 00:00:00','003402000340000-340200034','003402000340000-340200034','言语训练',null,null,35,35,29.8,null,45,41,35,'30分钟/次',20,1,'normal','main',0),</v>
      </c>
    </row>
    <row r="32" ht="15.75" spans="1:23">
      <c r="A32">
        <v>1432</v>
      </c>
      <c r="B32" s="5" t="s">
        <v>360</v>
      </c>
      <c r="C32" s="5">
        <v>1</v>
      </c>
      <c r="D32" s="6" t="s">
        <v>361</v>
      </c>
      <c r="E32" t="s">
        <v>179</v>
      </c>
      <c r="F32" t="s">
        <v>179</v>
      </c>
      <c r="G32" t="s">
        <v>180</v>
      </c>
      <c r="H32" s="4" t="s">
        <v>360</v>
      </c>
      <c r="I32" s="4" t="s">
        <v>360</v>
      </c>
      <c r="J32">
        <v>30</v>
      </c>
      <c r="K32">
        <v>30</v>
      </c>
      <c r="L32">
        <v>25.5</v>
      </c>
      <c r="M32" s="4" t="s">
        <v>360</v>
      </c>
      <c r="N32">
        <v>45</v>
      </c>
      <c r="O32">
        <v>41</v>
      </c>
      <c r="P32">
        <v>35</v>
      </c>
      <c r="Q32" t="s">
        <v>166</v>
      </c>
      <c r="R32" s="7">
        <v>20</v>
      </c>
      <c r="S32" s="4">
        <v>1</v>
      </c>
      <c r="T32" s="5" t="s">
        <v>362</v>
      </c>
      <c r="U32" s="5" t="s">
        <v>363</v>
      </c>
      <c r="V32" s="7">
        <v>0</v>
      </c>
      <c r="W32" s="4" t="str">
        <f t="shared" si="0"/>
        <v>(1432,null,1,'2026-03-19 00:00:00','003402000350000-340200035','003402000350000-340200035','儿童听力障碍语言训练',null,null,30,30,25.5,null,45,41,35,'30分钟/次',20,1,'normal','main',0),</v>
      </c>
    </row>
    <row r="33" ht="15.75" spans="1:23">
      <c r="A33">
        <v>1433</v>
      </c>
      <c r="B33" s="5" t="s">
        <v>360</v>
      </c>
      <c r="C33" s="5">
        <v>1</v>
      </c>
      <c r="D33" s="6" t="s">
        <v>361</v>
      </c>
      <c r="E33" t="s">
        <v>182</v>
      </c>
      <c r="F33" t="s">
        <v>182</v>
      </c>
      <c r="G33" t="s">
        <v>183</v>
      </c>
      <c r="H33" s="4" t="s">
        <v>360</v>
      </c>
      <c r="I33" s="4" t="s">
        <v>360</v>
      </c>
      <c r="J33">
        <v>30</v>
      </c>
      <c r="K33">
        <v>30</v>
      </c>
      <c r="L33">
        <v>25.5</v>
      </c>
      <c r="M33" s="4" t="s">
        <v>360</v>
      </c>
      <c r="N33">
        <v>45</v>
      </c>
      <c r="O33">
        <v>41</v>
      </c>
      <c r="P33">
        <v>35</v>
      </c>
      <c r="Q33" t="s">
        <v>33</v>
      </c>
      <c r="R33" s="7">
        <v>20</v>
      </c>
      <c r="S33" s="4">
        <v>1</v>
      </c>
      <c r="T33" s="5" t="s">
        <v>362</v>
      </c>
      <c r="U33" s="5" t="s">
        <v>363</v>
      </c>
      <c r="V33" s="7">
        <v>0</v>
      </c>
      <c r="W33" s="4" t="str">
        <f t="shared" si="0"/>
        <v>(1433,null,1,'2026-03-19 00:00:00','003402000360000-340200036','003402000360000-340200036','构音障碍训练',null,null,30,30,25.5,null,45,41,35,'次',20,1,'normal','main',0),</v>
      </c>
    </row>
    <row r="34" ht="15.75" spans="1:23">
      <c r="A34">
        <v>1434</v>
      </c>
      <c r="B34" s="5" t="s">
        <v>360</v>
      </c>
      <c r="C34" s="5">
        <v>1</v>
      </c>
      <c r="D34" s="6" t="s">
        <v>361</v>
      </c>
      <c r="E34" t="s">
        <v>184</v>
      </c>
      <c r="F34" t="s">
        <v>184</v>
      </c>
      <c r="G34" t="s">
        <v>185</v>
      </c>
      <c r="H34" s="4" t="s">
        <v>360</v>
      </c>
      <c r="I34" s="4" t="s">
        <v>360</v>
      </c>
      <c r="J34">
        <v>22</v>
      </c>
      <c r="K34">
        <v>20</v>
      </c>
      <c r="L34">
        <v>17</v>
      </c>
      <c r="M34" s="4" t="s">
        <v>360</v>
      </c>
      <c r="N34">
        <v>45</v>
      </c>
      <c r="O34">
        <v>41</v>
      </c>
      <c r="P34">
        <v>35</v>
      </c>
      <c r="Q34" t="s">
        <v>33</v>
      </c>
      <c r="R34" s="7">
        <v>20</v>
      </c>
      <c r="S34" s="4">
        <v>1</v>
      </c>
      <c r="T34" s="5" t="s">
        <v>362</v>
      </c>
      <c r="U34" s="5" t="s">
        <v>363</v>
      </c>
      <c r="V34" s="7">
        <v>0</v>
      </c>
      <c r="W34" s="4" t="str">
        <f t="shared" si="0"/>
        <v>(1434,null,1,'2026-03-19 00:00:00','003115030220000-311503022','003115030220000-311503022','听力整合及语言训练',null,null,22,20,17,null,45,41,35,'次',20,1,'normal','main',0),</v>
      </c>
    </row>
    <row r="35" ht="15.75" spans="1:23">
      <c r="A35">
        <v>1435</v>
      </c>
      <c r="B35" s="5" t="s">
        <v>360</v>
      </c>
      <c r="C35" s="5">
        <v>1</v>
      </c>
      <c r="D35" s="6" t="s">
        <v>361</v>
      </c>
      <c r="E35" t="s">
        <v>187</v>
      </c>
      <c r="F35" t="s">
        <v>187</v>
      </c>
      <c r="G35" t="s">
        <v>188</v>
      </c>
      <c r="H35" s="4" t="s">
        <v>360</v>
      </c>
      <c r="I35" s="4" t="s">
        <v>360</v>
      </c>
      <c r="J35">
        <v>38.5</v>
      </c>
      <c r="K35">
        <v>35</v>
      </c>
      <c r="L35">
        <v>29.8</v>
      </c>
      <c r="M35" s="4" t="s">
        <v>360</v>
      </c>
      <c r="N35">
        <v>45</v>
      </c>
      <c r="O35">
        <v>41</v>
      </c>
      <c r="P35">
        <v>35</v>
      </c>
      <c r="Q35" t="s">
        <v>33</v>
      </c>
      <c r="R35" s="7">
        <v>20</v>
      </c>
      <c r="S35" s="4">
        <v>1</v>
      </c>
      <c r="T35" s="5" t="s">
        <v>362</v>
      </c>
      <c r="U35" s="5" t="s">
        <v>363</v>
      </c>
      <c r="V35" s="7">
        <v>0</v>
      </c>
      <c r="W35" s="4" t="str">
        <f t="shared" ref="W35:W70" si="1">"("&amp;A35&amp;","&amp;B35&amp;","&amp;C35&amp;",'"&amp;D35&amp;"','"&amp;E35&amp;"','"&amp;F35&amp;"','"&amp;G35&amp;"',"&amp;H35&amp;","&amp;I35&amp;","&amp;J35&amp;","&amp;K35&amp;","&amp;L35&amp;","&amp;M35&amp;","&amp;N35&amp;","&amp;O35&amp;","&amp;P35&amp;",'"&amp;Q35&amp;"',"&amp;R35&amp;","&amp;S35&amp;",'"&amp;T35&amp;"','"&amp;U35&amp;"',"&amp;V35&amp;"),"</f>
        <v>(1435,null,1,'2026-03-19 00:00:00','003115030220000-31150302201','003115030220000-31150302201','听力整合及语言训练（超过45分钟）',null,null,38.5,35,29.8,null,45,41,35,'次',20,1,'normal','main',0),</v>
      </c>
    </row>
    <row r="36" ht="15.75" spans="1:23">
      <c r="A36">
        <v>1436</v>
      </c>
      <c r="B36" s="5" t="s">
        <v>360</v>
      </c>
      <c r="C36" s="5">
        <v>1</v>
      </c>
      <c r="D36" s="6" t="s">
        <v>361</v>
      </c>
      <c r="E36" t="s">
        <v>198</v>
      </c>
      <c r="F36" t="s">
        <v>198</v>
      </c>
      <c r="G36" t="s">
        <v>199</v>
      </c>
      <c r="H36" s="4" t="s">
        <v>360</v>
      </c>
      <c r="I36" s="4" t="s">
        <v>360</v>
      </c>
      <c r="J36">
        <v>50</v>
      </c>
      <c r="K36">
        <v>50</v>
      </c>
      <c r="L36">
        <v>42.5</v>
      </c>
      <c r="M36" s="4" t="s">
        <v>360</v>
      </c>
      <c r="N36">
        <v>45</v>
      </c>
      <c r="O36">
        <v>41</v>
      </c>
      <c r="P36">
        <v>35</v>
      </c>
      <c r="Q36" t="s">
        <v>201</v>
      </c>
      <c r="R36" s="7">
        <v>20</v>
      </c>
      <c r="S36" s="4">
        <v>1</v>
      </c>
      <c r="T36" s="5" t="s">
        <v>362</v>
      </c>
      <c r="U36" s="5" t="s">
        <v>363</v>
      </c>
      <c r="V36" s="7">
        <v>0</v>
      </c>
      <c r="W36" s="4" t="str">
        <f t="shared" si="1"/>
        <v>(1436,null,1,'2026-03-19 00:00:00','003402000200000-340200020','003402000200000-340200020','运动疗法',null,null,50,50,42.5,null,45,41,35,'50分钟/次',20,1,'normal','main',0),</v>
      </c>
    </row>
    <row r="37" ht="15.75" spans="1:23">
      <c r="A37">
        <v>1437</v>
      </c>
      <c r="B37" s="5" t="s">
        <v>360</v>
      </c>
      <c r="C37" s="5">
        <v>1</v>
      </c>
      <c r="D37" s="6" t="s">
        <v>361</v>
      </c>
      <c r="E37" t="s">
        <v>203</v>
      </c>
      <c r="F37" t="s">
        <v>203</v>
      </c>
      <c r="G37" t="s">
        <v>204</v>
      </c>
      <c r="H37" s="4" t="s">
        <v>360</v>
      </c>
      <c r="I37" s="4" t="s">
        <v>360</v>
      </c>
      <c r="J37">
        <v>50</v>
      </c>
      <c r="K37">
        <v>50</v>
      </c>
      <c r="L37">
        <v>42.5</v>
      </c>
      <c r="M37" s="4" t="s">
        <v>360</v>
      </c>
      <c r="N37">
        <v>45</v>
      </c>
      <c r="O37">
        <v>41</v>
      </c>
      <c r="P37">
        <v>35</v>
      </c>
      <c r="Q37" t="s">
        <v>201</v>
      </c>
      <c r="R37" s="7">
        <v>20</v>
      </c>
      <c r="S37" s="4">
        <v>1</v>
      </c>
      <c r="T37" s="5" t="s">
        <v>362</v>
      </c>
      <c r="U37" s="5" t="s">
        <v>363</v>
      </c>
      <c r="V37" s="7">
        <v>0</v>
      </c>
      <c r="W37" s="4" t="str">
        <f t="shared" si="1"/>
        <v>(1437,null,1,'2026-03-19 00:00:00','003402000200500-34020002006','003402000200500-34020002006','运动疗法（步态平衡功能训练）',null,null,50,50,42.5,null,45,41,35,'50分钟/次',20,1,'normal','main',0),</v>
      </c>
    </row>
    <row r="38" ht="15.75" spans="1:23">
      <c r="A38">
        <v>1438</v>
      </c>
      <c r="B38" s="5" t="s">
        <v>360</v>
      </c>
      <c r="C38" s="5">
        <v>1</v>
      </c>
      <c r="D38" s="6" t="s">
        <v>361</v>
      </c>
      <c r="E38" t="s">
        <v>206</v>
      </c>
      <c r="F38" t="s">
        <v>206</v>
      </c>
      <c r="G38" t="s">
        <v>207</v>
      </c>
      <c r="H38" s="4" t="s">
        <v>360</v>
      </c>
      <c r="I38" s="4" t="s">
        <v>360</v>
      </c>
      <c r="J38">
        <v>50</v>
      </c>
      <c r="K38">
        <v>50</v>
      </c>
      <c r="L38">
        <v>42.5</v>
      </c>
      <c r="M38" s="4" t="s">
        <v>360</v>
      </c>
      <c r="N38">
        <v>45</v>
      </c>
      <c r="O38">
        <v>41</v>
      </c>
      <c r="P38">
        <v>35</v>
      </c>
      <c r="Q38" t="s">
        <v>201</v>
      </c>
      <c r="R38" s="7">
        <v>20</v>
      </c>
      <c r="S38" s="4">
        <v>1</v>
      </c>
      <c r="T38" s="5" t="s">
        <v>362</v>
      </c>
      <c r="U38" s="5" t="s">
        <v>363</v>
      </c>
      <c r="V38" s="7">
        <v>0</v>
      </c>
      <c r="W38" s="4" t="str">
        <f t="shared" si="1"/>
        <v>(1438,null,1,'2026-03-19 00:00:00','003402000200600-34020002001','003402000200600-34020002001','运动疗法（呼吸训练）',null,null,50,50,42.5,null,45,41,35,'50分钟/次',20,1,'normal','main',0),</v>
      </c>
    </row>
    <row r="39" ht="15.75" spans="1:23">
      <c r="A39">
        <v>1439</v>
      </c>
      <c r="B39" s="5" t="s">
        <v>360</v>
      </c>
      <c r="C39" s="5">
        <v>1</v>
      </c>
      <c r="D39" s="6" t="s">
        <v>361</v>
      </c>
      <c r="E39" t="s">
        <v>209</v>
      </c>
      <c r="F39" t="s">
        <v>209</v>
      </c>
      <c r="G39" t="s">
        <v>210</v>
      </c>
      <c r="H39" s="4" t="s">
        <v>360</v>
      </c>
      <c r="I39" s="4" t="s">
        <v>360</v>
      </c>
      <c r="J39">
        <v>50</v>
      </c>
      <c r="K39">
        <v>50</v>
      </c>
      <c r="L39">
        <v>42.5</v>
      </c>
      <c r="M39" s="4" t="s">
        <v>360</v>
      </c>
      <c r="N39">
        <v>45</v>
      </c>
      <c r="O39">
        <v>41</v>
      </c>
      <c r="P39">
        <v>35</v>
      </c>
      <c r="Q39" t="s">
        <v>201</v>
      </c>
      <c r="R39" s="7">
        <v>20</v>
      </c>
      <c r="S39" s="4">
        <v>1</v>
      </c>
      <c r="T39" s="5" t="s">
        <v>362</v>
      </c>
      <c r="U39" s="5" t="s">
        <v>363</v>
      </c>
      <c r="V39" s="7">
        <v>0</v>
      </c>
      <c r="W39" s="4" t="str">
        <f t="shared" si="1"/>
        <v>(1439,null,1,'2026-03-19 00:00:00','003402000200100-34020002002','003402000200100-34020002002','运动疗法（全身肌力训练）',null,null,50,50,42.5,null,45,41,35,'50分钟/次',20,1,'normal','main',0),</v>
      </c>
    </row>
    <row r="40" ht="15.75" spans="1:23">
      <c r="A40">
        <v>1440</v>
      </c>
      <c r="B40" s="5" t="s">
        <v>360</v>
      </c>
      <c r="C40" s="5">
        <v>1</v>
      </c>
      <c r="D40" s="6" t="s">
        <v>361</v>
      </c>
      <c r="E40" t="s">
        <v>212</v>
      </c>
      <c r="F40" t="s">
        <v>212</v>
      </c>
      <c r="G40" t="s">
        <v>213</v>
      </c>
      <c r="H40" s="4" t="s">
        <v>360</v>
      </c>
      <c r="I40" s="4" t="s">
        <v>360</v>
      </c>
      <c r="J40">
        <v>50</v>
      </c>
      <c r="K40">
        <v>50</v>
      </c>
      <c r="L40">
        <v>42.5</v>
      </c>
      <c r="M40" s="4" t="s">
        <v>360</v>
      </c>
      <c r="N40">
        <v>45</v>
      </c>
      <c r="O40">
        <v>41</v>
      </c>
      <c r="P40">
        <v>35</v>
      </c>
      <c r="Q40" t="s">
        <v>201</v>
      </c>
      <c r="R40" s="7">
        <v>20</v>
      </c>
      <c r="S40" s="4">
        <v>1</v>
      </c>
      <c r="T40" s="5" t="s">
        <v>362</v>
      </c>
      <c r="U40" s="5" t="s">
        <v>363</v>
      </c>
      <c r="V40" s="7">
        <v>0</v>
      </c>
      <c r="W40" s="4" t="str">
        <f t="shared" si="1"/>
        <v>(1440,null,1,'2026-03-19 00:00:00','003402000200200-34020002003','003402000200200-34020002003','运动疗法（各关节活动度训练）',null,null,50,50,42.5,null,45,41,35,'50分钟/次',20,1,'normal','main',0),</v>
      </c>
    </row>
    <row r="41" ht="15.75" spans="1:23">
      <c r="A41">
        <v>1441</v>
      </c>
      <c r="B41" s="5" t="s">
        <v>360</v>
      </c>
      <c r="C41" s="5">
        <v>1</v>
      </c>
      <c r="D41" s="6" t="s">
        <v>361</v>
      </c>
      <c r="E41" t="s">
        <v>215</v>
      </c>
      <c r="F41" t="s">
        <v>215</v>
      </c>
      <c r="G41" t="s">
        <v>216</v>
      </c>
      <c r="H41" s="4" t="s">
        <v>360</v>
      </c>
      <c r="I41" s="4" t="s">
        <v>360</v>
      </c>
      <c r="J41">
        <v>50</v>
      </c>
      <c r="K41">
        <v>50</v>
      </c>
      <c r="L41">
        <v>42.5</v>
      </c>
      <c r="M41" s="4" t="s">
        <v>360</v>
      </c>
      <c r="N41">
        <v>45</v>
      </c>
      <c r="O41">
        <v>41</v>
      </c>
      <c r="P41">
        <v>35</v>
      </c>
      <c r="Q41" t="s">
        <v>201</v>
      </c>
      <c r="R41" s="7">
        <v>20</v>
      </c>
      <c r="S41" s="4">
        <v>1</v>
      </c>
      <c r="T41" s="5" t="s">
        <v>362</v>
      </c>
      <c r="U41" s="5" t="s">
        <v>363</v>
      </c>
      <c r="V41" s="7">
        <v>0</v>
      </c>
      <c r="W41" s="4" t="str">
        <f t="shared" si="1"/>
        <v>(1441,null,1,'2026-03-19 00:00:00','003402000200300-34020002004','003402000200300-34020002004','运动疗法（徒手体操）',null,null,50,50,42.5,null,45,41,35,'50分钟/次',20,1,'normal','main',0),</v>
      </c>
    </row>
    <row r="42" ht="15.75" spans="1:23">
      <c r="A42">
        <v>1442</v>
      </c>
      <c r="B42" s="5" t="s">
        <v>360</v>
      </c>
      <c r="C42" s="5">
        <v>1</v>
      </c>
      <c r="D42" s="6" t="s">
        <v>361</v>
      </c>
      <c r="E42" t="s">
        <v>218</v>
      </c>
      <c r="F42" t="s">
        <v>218</v>
      </c>
      <c r="G42" t="s">
        <v>219</v>
      </c>
      <c r="H42" s="4" t="s">
        <v>360</v>
      </c>
      <c r="I42" s="4" t="s">
        <v>360</v>
      </c>
      <c r="J42">
        <v>50</v>
      </c>
      <c r="K42">
        <v>50</v>
      </c>
      <c r="L42">
        <v>42.5</v>
      </c>
      <c r="M42" s="4" t="s">
        <v>360</v>
      </c>
      <c r="N42">
        <v>45</v>
      </c>
      <c r="O42">
        <v>41</v>
      </c>
      <c r="P42">
        <v>35</v>
      </c>
      <c r="Q42" t="s">
        <v>201</v>
      </c>
      <c r="R42" s="7">
        <v>20</v>
      </c>
      <c r="S42" s="4">
        <v>1</v>
      </c>
      <c r="T42" s="5" t="s">
        <v>362</v>
      </c>
      <c r="U42" s="5" t="s">
        <v>363</v>
      </c>
      <c r="V42" s="7">
        <v>0</v>
      </c>
      <c r="W42" s="4" t="str">
        <f t="shared" si="1"/>
        <v>(1442,null,1,'2026-03-19 00:00:00','003402000200400-34020002005','003402000200400-34020002005','运动疗法（器械训练）',null,null,50,50,42.5,null,45,41,35,'50分钟/次',20,1,'normal','main',0),</v>
      </c>
    </row>
    <row r="43" ht="15.75" spans="1:23">
      <c r="A43">
        <v>1443</v>
      </c>
      <c r="B43" s="5" t="s">
        <v>360</v>
      </c>
      <c r="C43" s="5">
        <v>1</v>
      </c>
      <c r="D43" s="6" t="s">
        <v>361</v>
      </c>
      <c r="E43" t="s">
        <v>221</v>
      </c>
      <c r="F43" t="s">
        <v>221</v>
      </c>
      <c r="G43" t="s">
        <v>222</v>
      </c>
      <c r="H43" s="4" t="s">
        <v>360</v>
      </c>
      <c r="I43" s="4" t="s">
        <v>360</v>
      </c>
      <c r="J43">
        <v>30</v>
      </c>
      <c r="K43">
        <v>30</v>
      </c>
      <c r="L43">
        <v>25.5</v>
      </c>
      <c r="M43" s="4" t="s">
        <v>360</v>
      </c>
      <c r="N43">
        <v>45</v>
      </c>
      <c r="O43">
        <v>41</v>
      </c>
      <c r="P43">
        <v>35</v>
      </c>
      <c r="Q43" t="s">
        <v>223</v>
      </c>
      <c r="R43" s="7">
        <v>20</v>
      </c>
      <c r="S43" s="4">
        <v>1</v>
      </c>
      <c r="T43" s="5" t="s">
        <v>362</v>
      </c>
      <c r="U43" s="5" t="s">
        <v>363</v>
      </c>
      <c r="V43" s="7">
        <v>0</v>
      </c>
      <c r="W43" s="4" t="str">
        <f t="shared" si="1"/>
        <v>(1443,null,1,'2026-03-19 00:00:00','003402000210000-340200021','003402000210000-340200021','减重支持系统训练',null,null,30,30,25.5,null,45,41,35,'40分钟/次',20,1,'normal','main',0),</v>
      </c>
    </row>
    <row r="44" ht="15.75" spans="1:23">
      <c r="A44">
        <v>1444</v>
      </c>
      <c r="B44" s="5" t="s">
        <v>360</v>
      </c>
      <c r="C44" s="5">
        <v>1</v>
      </c>
      <c r="D44" s="6" t="s">
        <v>361</v>
      </c>
      <c r="E44" t="s">
        <v>225</v>
      </c>
      <c r="F44" t="s">
        <v>225</v>
      </c>
      <c r="G44" t="s">
        <v>226</v>
      </c>
      <c r="H44" s="4" t="s">
        <v>360</v>
      </c>
      <c r="I44" s="4" t="s">
        <v>360</v>
      </c>
      <c r="J44">
        <v>35</v>
      </c>
      <c r="K44">
        <v>35</v>
      </c>
      <c r="L44">
        <v>29.8</v>
      </c>
      <c r="M44" s="4" t="s">
        <v>360</v>
      </c>
      <c r="N44">
        <v>45</v>
      </c>
      <c r="O44">
        <v>41</v>
      </c>
      <c r="P44">
        <v>35</v>
      </c>
      <c r="Q44" t="s">
        <v>223</v>
      </c>
      <c r="R44" s="7">
        <v>20</v>
      </c>
      <c r="S44" s="4">
        <v>1</v>
      </c>
      <c r="T44" s="5" t="s">
        <v>362</v>
      </c>
      <c r="U44" s="5" t="s">
        <v>363</v>
      </c>
      <c r="V44" s="7">
        <v>0</v>
      </c>
      <c r="W44" s="4" t="str">
        <f t="shared" si="1"/>
        <v>(1444,null,1,'2026-03-19 00:00:00','003402000310000-340200031','003402000310000-340200031','作业疗法',null,null,35,35,29.8,null,45,41,35,'40分钟/次',20,1,'normal','main',0),</v>
      </c>
    </row>
    <row r="45" ht="15.75" spans="1:23">
      <c r="A45">
        <v>1445</v>
      </c>
      <c r="B45" s="5" t="s">
        <v>360</v>
      </c>
      <c r="C45" s="5">
        <v>1</v>
      </c>
      <c r="D45" s="6" t="s">
        <v>361</v>
      </c>
      <c r="E45" t="s">
        <v>230</v>
      </c>
      <c r="F45" t="s">
        <v>230</v>
      </c>
      <c r="G45" t="s">
        <v>231</v>
      </c>
      <c r="H45" s="4" t="s">
        <v>360</v>
      </c>
      <c r="I45" s="4" t="s">
        <v>360</v>
      </c>
      <c r="J45">
        <v>50</v>
      </c>
      <c r="K45">
        <v>50</v>
      </c>
      <c r="L45">
        <v>42.5</v>
      </c>
      <c r="M45" s="4" t="s">
        <v>360</v>
      </c>
      <c r="N45">
        <v>45</v>
      </c>
      <c r="O45">
        <v>41</v>
      </c>
      <c r="P45">
        <v>35</v>
      </c>
      <c r="Q45" t="s">
        <v>223</v>
      </c>
      <c r="R45" s="7">
        <v>20</v>
      </c>
      <c r="S45" s="4">
        <v>1</v>
      </c>
      <c r="T45" s="5" t="s">
        <v>362</v>
      </c>
      <c r="U45" s="5" t="s">
        <v>363</v>
      </c>
      <c r="V45" s="7">
        <v>0</v>
      </c>
      <c r="W45" s="4" t="str">
        <f t="shared" si="1"/>
        <v>(1445,null,1,'2026-03-19 00:00:00','003402000400000-340200040','003402000400000-340200040','偏瘫肢体综合训练',null,null,50,50,42.5,null,45,41,35,'40分钟/次',20,1,'normal','main',0),</v>
      </c>
    </row>
    <row r="46" ht="15.75" spans="1:23">
      <c r="A46">
        <v>1446</v>
      </c>
      <c r="B46" s="5" t="s">
        <v>360</v>
      </c>
      <c r="C46" s="5">
        <v>1</v>
      </c>
      <c r="D46" s="6" t="s">
        <v>361</v>
      </c>
      <c r="E46" t="s">
        <v>233</v>
      </c>
      <c r="F46" t="s">
        <v>233</v>
      </c>
      <c r="G46" t="s">
        <v>234</v>
      </c>
      <c r="H46" s="4" t="s">
        <v>360</v>
      </c>
      <c r="I46" s="4" t="s">
        <v>360</v>
      </c>
      <c r="J46">
        <v>50</v>
      </c>
      <c r="K46">
        <v>50</v>
      </c>
      <c r="L46">
        <v>42.5</v>
      </c>
      <c r="M46" s="4" t="s">
        <v>360</v>
      </c>
      <c r="N46">
        <v>45</v>
      </c>
      <c r="O46">
        <v>41</v>
      </c>
      <c r="P46">
        <v>35</v>
      </c>
      <c r="Q46" t="s">
        <v>223</v>
      </c>
      <c r="R46" s="7">
        <v>20</v>
      </c>
      <c r="S46" s="4">
        <v>1</v>
      </c>
      <c r="T46" s="5" t="s">
        <v>362</v>
      </c>
      <c r="U46" s="5" t="s">
        <v>363</v>
      </c>
      <c r="V46" s="7">
        <v>0</v>
      </c>
      <c r="W46" s="4" t="str">
        <f t="shared" si="1"/>
        <v>(1446,null,1,'2026-03-19 00:00:00','003402000410000-340200041','003402000410000-340200041','脑瘫肢体综合训练',null,null,50,50,42.5,null,45,41,35,'40分钟/次',20,1,'normal','main',0),</v>
      </c>
    </row>
    <row r="47" ht="15.75" spans="1:23">
      <c r="A47">
        <v>1447</v>
      </c>
      <c r="B47" s="5" t="s">
        <v>360</v>
      </c>
      <c r="C47" s="5">
        <v>1</v>
      </c>
      <c r="D47" s="6" t="s">
        <v>361</v>
      </c>
      <c r="E47" t="s">
        <v>236</v>
      </c>
      <c r="F47" t="s">
        <v>236</v>
      </c>
      <c r="G47" t="s">
        <v>237</v>
      </c>
      <c r="H47" s="4" t="s">
        <v>360</v>
      </c>
      <c r="I47" s="4" t="s">
        <v>360</v>
      </c>
      <c r="J47">
        <v>50</v>
      </c>
      <c r="K47">
        <v>50</v>
      </c>
      <c r="L47">
        <v>42.5</v>
      </c>
      <c r="M47" s="4" t="s">
        <v>360</v>
      </c>
      <c r="N47">
        <v>45</v>
      </c>
      <c r="O47">
        <v>41</v>
      </c>
      <c r="P47">
        <v>35</v>
      </c>
      <c r="Q47" t="s">
        <v>223</v>
      </c>
      <c r="R47" s="7">
        <v>20</v>
      </c>
      <c r="S47" s="4">
        <v>1</v>
      </c>
      <c r="T47" s="5" t="s">
        <v>362</v>
      </c>
      <c r="U47" s="5" t="s">
        <v>363</v>
      </c>
      <c r="V47" s="7">
        <v>0</v>
      </c>
      <c r="W47" s="4" t="str">
        <f t="shared" si="1"/>
        <v>(1447,null,1,'2026-03-19 00:00:00','003402000420000-340200042','003402000420000-340200042','截瘫肢体综合训练',null,null,50,50,42.5,null,45,41,35,'40分钟/次',20,1,'normal','main',0),</v>
      </c>
    </row>
    <row r="48" ht="15.75" spans="1:23">
      <c r="A48">
        <v>1448</v>
      </c>
      <c r="B48" s="5" t="s">
        <v>360</v>
      </c>
      <c r="C48" s="5">
        <v>1</v>
      </c>
      <c r="D48" s="6" t="s">
        <v>361</v>
      </c>
      <c r="E48" t="s">
        <v>239</v>
      </c>
      <c r="F48" t="s">
        <v>239</v>
      </c>
      <c r="G48" t="s">
        <v>240</v>
      </c>
      <c r="H48" s="4" t="s">
        <v>360</v>
      </c>
      <c r="I48" s="4" t="s">
        <v>360</v>
      </c>
      <c r="J48">
        <v>20</v>
      </c>
      <c r="K48">
        <v>20</v>
      </c>
      <c r="L48">
        <v>17</v>
      </c>
      <c r="M48" s="4" t="s">
        <v>360</v>
      </c>
      <c r="N48">
        <v>45</v>
      </c>
      <c r="O48">
        <v>41</v>
      </c>
      <c r="P48">
        <v>35</v>
      </c>
      <c r="Q48" t="s">
        <v>241</v>
      </c>
      <c r="R48" s="7">
        <v>20</v>
      </c>
      <c r="S48" s="4">
        <v>1</v>
      </c>
      <c r="T48" s="5" t="s">
        <v>362</v>
      </c>
      <c r="U48" s="5" t="s">
        <v>363</v>
      </c>
      <c r="V48" s="7">
        <v>0</v>
      </c>
      <c r="W48" s="4" t="str">
        <f t="shared" si="1"/>
        <v>(1448,null,1,'2026-03-19 00:00:00','003402000230000-340200023','003402000230000-340200023','电动起立床训练',null,null,20,20,17,null,45,41,35,'45分钟/次',20,1,'normal','main',0),</v>
      </c>
    </row>
    <row r="49" ht="15.75" spans="1:23">
      <c r="A49">
        <v>1449</v>
      </c>
      <c r="B49" s="5" t="s">
        <v>360</v>
      </c>
      <c r="C49" s="5">
        <v>1</v>
      </c>
      <c r="D49" s="6" t="s">
        <v>361</v>
      </c>
      <c r="E49" t="s">
        <v>243</v>
      </c>
      <c r="F49" t="s">
        <v>243</v>
      </c>
      <c r="G49" t="s">
        <v>244</v>
      </c>
      <c r="H49" s="4" t="s">
        <v>360</v>
      </c>
      <c r="I49" s="4" t="s">
        <v>360</v>
      </c>
      <c r="J49">
        <v>20</v>
      </c>
      <c r="K49">
        <v>20</v>
      </c>
      <c r="L49">
        <v>17</v>
      </c>
      <c r="M49" s="4" t="s">
        <v>360</v>
      </c>
      <c r="N49">
        <v>45</v>
      </c>
      <c r="O49">
        <v>41</v>
      </c>
      <c r="P49">
        <v>35</v>
      </c>
      <c r="Q49" t="s">
        <v>241</v>
      </c>
      <c r="R49" s="7">
        <v>20</v>
      </c>
      <c r="S49" s="4">
        <v>1</v>
      </c>
      <c r="T49" s="5" t="s">
        <v>362</v>
      </c>
      <c r="U49" s="5" t="s">
        <v>363</v>
      </c>
      <c r="V49" s="7">
        <v>0</v>
      </c>
      <c r="W49" s="4" t="str">
        <f t="shared" si="1"/>
        <v>(1449,null,1,'2026-03-19 00:00:00','003402000280000-340200028','003402000280000-340200028','文体训练',null,null,20,20,17,null,45,41,35,'45分钟/次',20,1,'normal','main',0),</v>
      </c>
    </row>
    <row r="50" ht="15.75" spans="1:23">
      <c r="A50">
        <v>1450</v>
      </c>
      <c r="B50" s="5" t="s">
        <v>360</v>
      </c>
      <c r="C50" s="5">
        <v>1</v>
      </c>
      <c r="D50" s="6" t="s">
        <v>361</v>
      </c>
      <c r="E50" t="s">
        <v>245</v>
      </c>
      <c r="F50" t="s">
        <v>245</v>
      </c>
      <c r="G50" t="s">
        <v>246</v>
      </c>
      <c r="H50" s="4" t="s">
        <v>360</v>
      </c>
      <c r="I50" s="4" t="s">
        <v>360</v>
      </c>
      <c r="J50">
        <v>36</v>
      </c>
      <c r="K50">
        <v>32</v>
      </c>
      <c r="L50">
        <v>27</v>
      </c>
      <c r="M50" s="4" t="s">
        <v>360</v>
      </c>
      <c r="N50">
        <v>45</v>
      </c>
      <c r="O50">
        <v>41</v>
      </c>
      <c r="P50">
        <v>35</v>
      </c>
      <c r="Q50" t="s">
        <v>166</v>
      </c>
      <c r="R50" s="7">
        <v>20</v>
      </c>
      <c r="S50" s="4">
        <v>1</v>
      </c>
      <c r="T50" s="5" t="s">
        <v>362</v>
      </c>
      <c r="U50" s="5" t="s">
        <v>363</v>
      </c>
      <c r="V50" s="7">
        <v>0</v>
      </c>
      <c r="W50" s="4" t="str">
        <f t="shared" si="1"/>
        <v>(1450,null,1,'2026-03-19 00:00:00','003402000200000-340200047','003402000200000-340200047','转移动作训练',null,null,36,32,27,null,45,41,35,'30分钟/次',20,1,'normal','main',0),</v>
      </c>
    </row>
    <row r="51" ht="15.75" spans="1:23">
      <c r="A51">
        <v>1451</v>
      </c>
      <c r="B51" s="5" t="s">
        <v>360</v>
      </c>
      <c r="C51" s="5">
        <v>1</v>
      </c>
      <c r="D51" s="6" t="s">
        <v>361</v>
      </c>
      <c r="E51" t="s">
        <v>248</v>
      </c>
      <c r="F51" t="s">
        <v>248</v>
      </c>
      <c r="G51" t="s">
        <v>249</v>
      </c>
      <c r="H51" s="4" t="s">
        <v>360</v>
      </c>
      <c r="I51" s="4" t="s">
        <v>360</v>
      </c>
      <c r="J51">
        <v>23</v>
      </c>
      <c r="K51">
        <v>21</v>
      </c>
      <c r="L51">
        <v>18</v>
      </c>
      <c r="M51" s="4" t="s">
        <v>360</v>
      </c>
      <c r="N51">
        <v>45</v>
      </c>
      <c r="O51">
        <v>41</v>
      </c>
      <c r="P51">
        <v>35</v>
      </c>
      <c r="Q51" t="s">
        <v>166</v>
      </c>
      <c r="R51" s="7">
        <v>20</v>
      </c>
      <c r="S51" s="4">
        <v>1</v>
      </c>
      <c r="T51" s="5" t="s">
        <v>362</v>
      </c>
      <c r="U51" s="5" t="s">
        <v>363</v>
      </c>
      <c r="V51" s="7">
        <v>0</v>
      </c>
      <c r="W51" s="4" t="str">
        <f t="shared" si="1"/>
        <v>(1451,null,1,'2026-03-19 00:00:00','003402000200000-340200048','003402000200000-340200048','跑台康复训练',null,null,23,21,18,null,45,41,35,'30分钟/次',20,1,'normal','main',0),</v>
      </c>
    </row>
    <row r="52" ht="15.75" spans="1:23">
      <c r="A52">
        <v>1452</v>
      </c>
      <c r="B52" s="5" t="s">
        <v>360</v>
      </c>
      <c r="C52" s="5">
        <v>1</v>
      </c>
      <c r="D52" s="6" t="s">
        <v>361</v>
      </c>
      <c r="E52" t="s">
        <v>251</v>
      </c>
      <c r="F52" t="s">
        <v>251</v>
      </c>
      <c r="G52" t="s">
        <v>252</v>
      </c>
      <c r="H52" s="4" t="s">
        <v>360</v>
      </c>
      <c r="I52" s="4" t="s">
        <v>360</v>
      </c>
      <c r="J52">
        <v>23</v>
      </c>
      <c r="K52">
        <v>21</v>
      </c>
      <c r="L52">
        <v>18</v>
      </c>
      <c r="M52" s="4" t="s">
        <v>360</v>
      </c>
      <c r="N52">
        <v>45</v>
      </c>
      <c r="O52">
        <v>41</v>
      </c>
      <c r="P52">
        <v>35</v>
      </c>
      <c r="Q52" t="s">
        <v>166</v>
      </c>
      <c r="R52" s="7">
        <v>20</v>
      </c>
      <c r="S52" s="4">
        <v>1</v>
      </c>
      <c r="T52" s="5" t="s">
        <v>362</v>
      </c>
      <c r="U52" s="5" t="s">
        <v>363</v>
      </c>
      <c r="V52" s="7">
        <v>0</v>
      </c>
      <c r="W52" s="4" t="str">
        <f t="shared" si="1"/>
        <v>(1452,null,1,'2026-03-19 00:00:00','003402000200000-340200049','003402000200000-340200049','功率自行车康复训练',null,null,23,21,18,null,45,41,35,'30分钟/次',20,1,'normal','main',0),</v>
      </c>
    </row>
    <row r="53" ht="15.75" spans="1:23">
      <c r="A53">
        <v>1453</v>
      </c>
      <c r="B53" s="5" t="s">
        <v>360</v>
      </c>
      <c r="C53" s="5">
        <v>1</v>
      </c>
      <c r="D53" s="6" t="s">
        <v>361</v>
      </c>
      <c r="E53" t="s">
        <v>254</v>
      </c>
      <c r="F53" t="s">
        <v>254</v>
      </c>
      <c r="G53" t="s">
        <v>255</v>
      </c>
      <c r="H53" s="4" t="s">
        <v>360</v>
      </c>
      <c r="I53" s="4" t="s">
        <v>360</v>
      </c>
      <c r="J53">
        <v>27</v>
      </c>
      <c r="K53">
        <v>24</v>
      </c>
      <c r="L53">
        <v>20</v>
      </c>
      <c r="M53" s="4" t="s">
        <v>360</v>
      </c>
      <c r="N53">
        <v>45</v>
      </c>
      <c r="O53">
        <v>41</v>
      </c>
      <c r="P53">
        <v>35</v>
      </c>
      <c r="Q53" t="s">
        <v>166</v>
      </c>
      <c r="R53" s="7">
        <v>20</v>
      </c>
      <c r="S53" s="4">
        <v>1</v>
      </c>
      <c r="T53" s="5" t="s">
        <v>362</v>
      </c>
      <c r="U53" s="5" t="s">
        <v>363</v>
      </c>
      <c r="V53" s="7">
        <v>0</v>
      </c>
      <c r="W53" s="4" t="str">
        <f t="shared" si="1"/>
        <v>(1453,null,1,'2026-03-19 00:00:00','003402000220000-340200051','003402000220000-340200051','轮椅跑台训练',null,null,27,24,20,null,45,41,35,'30分钟/次',20,1,'normal','main',0),</v>
      </c>
    </row>
    <row r="54" ht="15.75" spans="1:23">
      <c r="A54">
        <v>1454</v>
      </c>
      <c r="B54" s="5" t="s">
        <v>360</v>
      </c>
      <c r="C54" s="5">
        <v>1</v>
      </c>
      <c r="D54" s="6" t="s">
        <v>361</v>
      </c>
      <c r="E54" t="s">
        <v>257</v>
      </c>
      <c r="F54" t="s">
        <v>257</v>
      </c>
      <c r="G54" t="s">
        <v>258</v>
      </c>
      <c r="H54" s="4" t="s">
        <v>360</v>
      </c>
      <c r="I54" s="4" t="s">
        <v>360</v>
      </c>
      <c r="J54">
        <v>20</v>
      </c>
      <c r="K54">
        <v>20</v>
      </c>
      <c r="L54">
        <v>17</v>
      </c>
      <c r="M54" s="4" t="s">
        <v>360</v>
      </c>
      <c r="N54">
        <v>45</v>
      </c>
      <c r="O54">
        <v>41</v>
      </c>
      <c r="P54">
        <v>35</v>
      </c>
      <c r="Q54" t="s">
        <v>33</v>
      </c>
      <c r="R54" s="7">
        <v>20</v>
      </c>
      <c r="S54" s="4">
        <v>1</v>
      </c>
      <c r="T54" s="5" t="s">
        <v>362</v>
      </c>
      <c r="U54" s="5" t="s">
        <v>363</v>
      </c>
      <c r="V54" s="7">
        <v>0</v>
      </c>
      <c r="W54" s="4" t="str">
        <f t="shared" si="1"/>
        <v>(1454,null,1,'2026-03-19 00:00:00','003402000240000-340200024','003402000240000-340200024','平衡功能训练',null,null,20,20,17,null,45,41,35,'次',20,1,'normal','main',0),</v>
      </c>
    </row>
    <row r="55" ht="15.75" spans="1:23">
      <c r="A55">
        <v>1455</v>
      </c>
      <c r="B55" s="5" t="s">
        <v>360</v>
      </c>
      <c r="C55" s="5">
        <v>1</v>
      </c>
      <c r="D55" s="6" t="s">
        <v>361</v>
      </c>
      <c r="E55" t="s">
        <v>260</v>
      </c>
      <c r="F55" t="s">
        <v>260</v>
      </c>
      <c r="G55" t="s">
        <v>261</v>
      </c>
      <c r="H55" s="4" t="s">
        <v>360</v>
      </c>
      <c r="I55" s="4" t="s">
        <v>360</v>
      </c>
      <c r="J55">
        <v>20</v>
      </c>
      <c r="K55">
        <v>20</v>
      </c>
      <c r="L55">
        <v>17</v>
      </c>
      <c r="M55" s="4" t="s">
        <v>360</v>
      </c>
      <c r="N55">
        <v>45</v>
      </c>
      <c r="O55">
        <v>41</v>
      </c>
      <c r="P55">
        <v>35</v>
      </c>
      <c r="Q55" t="s">
        <v>33</v>
      </c>
      <c r="R55" s="7">
        <v>20</v>
      </c>
      <c r="S55" s="4">
        <v>1</v>
      </c>
      <c r="T55" s="5" t="s">
        <v>362</v>
      </c>
      <c r="U55" s="5" t="s">
        <v>363</v>
      </c>
      <c r="V55" s="7">
        <v>0</v>
      </c>
      <c r="W55" s="4" t="str">
        <f t="shared" si="1"/>
        <v>(1455,null,1,'2026-03-19 00:00:00','003402000250000-340200025','003402000250000-340200025','手功能训练',null,null,20,20,17,null,45,41,35,'次',20,1,'normal','main',0),</v>
      </c>
    </row>
    <row r="56" ht="15.75" spans="1:23">
      <c r="A56">
        <v>1456</v>
      </c>
      <c r="B56" s="5" t="s">
        <v>360</v>
      </c>
      <c r="C56" s="5">
        <v>1</v>
      </c>
      <c r="D56" s="6" t="s">
        <v>361</v>
      </c>
      <c r="E56" t="s">
        <v>264</v>
      </c>
      <c r="F56" t="s">
        <v>264</v>
      </c>
      <c r="G56" t="s">
        <v>265</v>
      </c>
      <c r="H56" s="4" t="s">
        <v>360</v>
      </c>
      <c r="I56" s="4" t="s">
        <v>360</v>
      </c>
      <c r="J56">
        <v>35</v>
      </c>
      <c r="K56">
        <v>35</v>
      </c>
      <c r="L56">
        <v>29.8</v>
      </c>
      <c r="M56" s="4" t="s">
        <v>360</v>
      </c>
      <c r="N56">
        <v>45</v>
      </c>
      <c r="O56">
        <v>41</v>
      </c>
      <c r="P56">
        <v>35</v>
      </c>
      <c r="Q56" t="s">
        <v>33</v>
      </c>
      <c r="R56" s="7">
        <v>20</v>
      </c>
      <c r="S56" s="4">
        <v>1</v>
      </c>
      <c r="T56" s="5" t="s">
        <v>362</v>
      </c>
      <c r="U56" s="5" t="s">
        <v>363</v>
      </c>
      <c r="V56" s="7">
        <v>0</v>
      </c>
      <c r="W56" s="4" t="str">
        <f t="shared" si="1"/>
        <v>(1456,null,1,'2026-03-19 00:00:00','003402000260000-340200026','003402000260000-340200026','关节松动训练',null,null,35,35,29.8,null,45,41,35,'次',20,1,'normal','main',0),</v>
      </c>
    </row>
    <row r="57" ht="15.75" spans="1:23">
      <c r="A57">
        <v>1457</v>
      </c>
      <c r="B57" s="5" t="s">
        <v>360</v>
      </c>
      <c r="C57" s="5">
        <v>1</v>
      </c>
      <c r="D57" s="6" t="s">
        <v>361</v>
      </c>
      <c r="E57" t="s">
        <v>268</v>
      </c>
      <c r="F57" t="s">
        <v>268</v>
      </c>
      <c r="G57" t="s">
        <v>269</v>
      </c>
      <c r="H57" s="4" t="s">
        <v>360</v>
      </c>
      <c r="I57" s="4" t="s">
        <v>360</v>
      </c>
      <c r="J57">
        <v>35</v>
      </c>
      <c r="K57">
        <v>35</v>
      </c>
      <c r="L57">
        <v>29.8</v>
      </c>
      <c r="M57" s="4" t="s">
        <v>360</v>
      </c>
      <c r="N57">
        <v>45</v>
      </c>
      <c r="O57">
        <v>41</v>
      </c>
      <c r="P57">
        <v>35</v>
      </c>
      <c r="Q57" t="s">
        <v>33</v>
      </c>
      <c r="R57" s="7">
        <v>20</v>
      </c>
      <c r="S57" s="4">
        <v>1</v>
      </c>
      <c r="T57" s="5" t="s">
        <v>362</v>
      </c>
      <c r="U57" s="5" t="s">
        <v>363</v>
      </c>
      <c r="V57" s="7">
        <v>0</v>
      </c>
      <c r="W57" s="4" t="str">
        <f t="shared" si="1"/>
        <v>(1457,null,1,'2026-03-19 00:00:00','003402000260100-34020002601','003402000260100-34020002601','关节松动训练（小关节-指关节）',null,null,35,35,29.8,null,45,41,35,'次',20,1,'normal','main',0),</v>
      </c>
    </row>
    <row r="58" ht="15.75" spans="1:23">
      <c r="A58">
        <v>1458</v>
      </c>
      <c r="B58" s="5" t="s">
        <v>360</v>
      </c>
      <c r="C58" s="5">
        <v>1</v>
      </c>
      <c r="D58" s="6" t="s">
        <v>361</v>
      </c>
      <c r="E58" t="s">
        <v>271</v>
      </c>
      <c r="F58" t="s">
        <v>271</v>
      </c>
      <c r="G58" t="s">
        <v>272</v>
      </c>
      <c r="H58" s="4" t="s">
        <v>360</v>
      </c>
      <c r="I58" s="4" t="s">
        <v>360</v>
      </c>
      <c r="J58">
        <v>35</v>
      </c>
      <c r="K58">
        <v>35</v>
      </c>
      <c r="L58">
        <v>29.8</v>
      </c>
      <c r="M58" s="4" t="s">
        <v>360</v>
      </c>
      <c r="N58">
        <v>45</v>
      </c>
      <c r="O58">
        <v>41</v>
      </c>
      <c r="P58">
        <v>35</v>
      </c>
      <c r="Q58" t="s">
        <v>33</v>
      </c>
      <c r="R58" s="7">
        <v>20</v>
      </c>
      <c r="S58" s="4">
        <v>1</v>
      </c>
      <c r="T58" s="5" t="s">
        <v>362</v>
      </c>
      <c r="U58" s="5" t="s">
        <v>363</v>
      </c>
      <c r="V58" s="7">
        <v>0</v>
      </c>
      <c r="W58" s="4" t="str">
        <f t="shared" si="1"/>
        <v>(1458,null,1,'2026-03-19 00:00:00','003402000260200-34020002602','003402000260200-34020002602','关节松动训练（大关节）',null,null,35,35,29.8,null,45,41,35,'次',20,1,'normal','main',0),</v>
      </c>
    </row>
    <row r="59" ht="15.75" spans="1:23">
      <c r="A59">
        <v>1459</v>
      </c>
      <c r="B59" s="5" t="s">
        <v>360</v>
      </c>
      <c r="C59" s="5">
        <v>1</v>
      </c>
      <c r="D59" s="6" t="s">
        <v>361</v>
      </c>
      <c r="E59" t="s">
        <v>274</v>
      </c>
      <c r="F59" t="s">
        <v>274</v>
      </c>
      <c r="G59" t="s">
        <v>275</v>
      </c>
      <c r="H59" s="4" t="s">
        <v>360</v>
      </c>
      <c r="I59" s="4" t="s">
        <v>360</v>
      </c>
      <c r="J59">
        <v>30</v>
      </c>
      <c r="K59">
        <v>30</v>
      </c>
      <c r="L59">
        <v>25.5</v>
      </c>
      <c r="M59" s="4" t="s">
        <v>360</v>
      </c>
      <c r="N59">
        <v>45</v>
      </c>
      <c r="O59">
        <v>41</v>
      </c>
      <c r="P59">
        <v>35</v>
      </c>
      <c r="Q59" t="s">
        <v>33</v>
      </c>
      <c r="R59" s="7">
        <v>20</v>
      </c>
      <c r="S59" s="4">
        <v>1</v>
      </c>
      <c r="T59" s="5" t="s">
        <v>362</v>
      </c>
      <c r="U59" s="5" t="s">
        <v>363</v>
      </c>
      <c r="V59" s="7">
        <v>0</v>
      </c>
      <c r="W59" s="4" t="str">
        <f t="shared" si="1"/>
        <v>(1459,null,1,'2026-03-19 00:00:00','003402000270000-340200027','003402000270000-340200027','有氧训练',null,null,30,30,25.5,null,45,41,35,'次',20,1,'normal','main',0),</v>
      </c>
    </row>
    <row r="60" ht="15.75" spans="1:23">
      <c r="A60">
        <v>1460</v>
      </c>
      <c r="B60" s="5" t="s">
        <v>360</v>
      </c>
      <c r="C60" s="5">
        <v>1</v>
      </c>
      <c r="D60" s="6" t="s">
        <v>361</v>
      </c>
      <c r="E60" t="s">
        <v>278</v>
      </c>
      <c r="F60" t="s">
        <v>278</v>
      </c>
      <c r="G60" t="s">
        <v>279</v>
      </c>
      <c r="H60" s="4" t="s">
        <v>360</v>
      </c>
      <c r="I60" s="4" t="s">
        <v>360</v>
      </c>
      <c r="J60">
        <v>30</v>
      </c>
      <c r="K60">
        <v>30</v>
      </c>
      <c r="L60">
        <v>25.5</v>
      </c>
      <c r="M60" s="4" t="s">
        <v>360</v>
      </c>
      <c r="N60">
        <v>45</v>
      </c>
      <c r="O60">
        <v>41</v>
      </c>
      <c r="P60">
        <v>35</v>
      </c>
      <c r="Q60" t="s">
        <v>33</v>
      </c>
      <c r="R60" s="7">
        <v>20</v>
      </c>
      <c r="S60" s="4">
        <v>1</v>
      </c>
      <c r="T60" s="5" t="s">
        <v>362</v>
      </c>
      <c r="U60" s="5" t="s">
        <v>363</v>
      </c>
      <c r="V60" s="7">
        <v>0</v>
      </c>
      <c r="W60" s="4" t="str">
        <f t="shared" si="1"/>
        <v>(1460,null,1,'2026-03-19 00:00:00','003402000300000-340200030','003402000300000-340200030','等速肌力训练',null,null,30,30,25.5,null,45,41,35,'次',20,1,'normal','main',0),</v>
      </c>
    </row>
    <row r="61" ht="15.75" spans="1:23">
      <c r="A61">
        <v>1461</v>
      </c>
      <c r="B61" s="5" t="s">
        <v>360</v>
      </c>
      <c r="C61" s="5">
        <v>1</v>
      </c>
      <c r="D61" s="6" t="s">
        <v>361</v>
      </c>
      <c r="E61" t="s">
        <v>225</v>
      </c>
      <c r="F61" t="s">
        <v>225</v>
      </c>
      <c r="G61" t="s">
        <v>226</v>
      </c>
      <c r="H61" s="4" t="s">
        <v>360</v>
      </c>
      <c r="I61" s="4" t="s">
        <v>360</v>
      </c>
      <c r="J61">
        <v>35</v>
      </c>
      <c r="K61">
        <v>35</v>
      </c>
      <c r="L61">
        <v>29.8</v>
      </c>
      <c r="M61" s="4" t="s">
        <v>360</v>
      </c>
      <c r="N61">
        <v>45</v>
      </c>
      <c r="O61">
        <v>41</v>
      </c>
      <c r="P61">
        <v>35</v>
      </c>
      <c r="Q61" t="s">
        <v>223</v>
      </c>
      <c r="R61" s="7">
        <v>20</v>
      </c>
      <c r="S61" s="4">
        <v>1</v>
      </c>
      <c r="T61" s="5" t="s">
        <v>362</v>
      </c>
      <c r="U61" s="5" t="s">
        <v>363</v>
      </c>
      <c r="V61" s="7">
        <v>0</v>
      </c>
      <c r="W61" s="4" t="str">
        <f t="shared" si="1"/>
        <v>(1461,null,1,'2026-03-19 00:00:00','003402000310000-340200031','003402000310000-340200031','作业疗法',null,null,35,35,29.8,null,45,41,35,'40分钟/次',20,1,'normal','main',0),</v>
      </c>
    </row>
    <row r="62" ht="15.75" spans="1:23">
      <c r="A62">
        <v>1462</v>
      </c>
      <c r="B62" s="5" t="s">
        <v>360</v>
      </c>
      <c r="C62" s="5">
        <v>1</v>
      </c>
      <c r="D62" s="6" t="s">
        <v>361</v>
      </c>
      <c r="E62" t="s">
        <v>230</v>
      </c>
      <c r="F62" t="s">
        <v>230</v>
      </c>
      <c r="G62" t="s">
        <v>231</v>
      </c>
      <c r="H62" s="4" t="s">
        <v>360</v>
      </c>
      <c r="I62" s="4" t="s">
        <v>360</v>
      </c>
      <c r="J62">
        <v>50</v>
      </c>
      <c r="K62">
        <v>50</v>
      </c>
      <c r="L62">
        <v>42.5</v>
      </c>
      <c r="M62" s="4" t="s">
        <v>360</v>
      </c>
      <c r="N62">
        <v>45</v>
      </c>
      <c r="O62">
        <v>41</v>
      </c>
      <c r="P62">
        <v>35</v>
      </c>
      <c r="Q62" t="s">
        <v>223</v>
      </c>
      <c r="R62" s="7">
        <v>20</v>
      </c>
      <c r="S62" s="4">
        <v>1</v>
      </c>
      <c r="T62" s="5" t="s">
        <v>362</v>
      </c>
      <c r="U62" s="5" t="s">
        <v>363</v>
      </c>
      <c r="V62" s="7">
        <v>0</v>
      </c>
      <c r="W62" s="4" t="str">
        <f t="shared" si="1"/>
        <v>(1462,null,1,'2026-03-19 00:00:00','003402000400000-340200040','003402000400000-340200040','偏瘫肢体综合训练',null,null,50,50,42.5,null,45,41,35,'40分钟/次',20,1,'normal','main',0),</v>
      </c>
    </row>
    <row r="63" ht="15.75" spans="1:23">
      <c r="A63">
        <v>1463</v>
      </c>
      <c r="B63" s="5" t="s">
        <v>360</v>
      </c>
      <c r="C63" s="5">
        <v>1</v>
      </c>
      <c r="D63" s="6" t="s">
        <v>361</v>
      </c>
      <c r="E63" t="s">
        <v>233</v>
      </c>
      <c r="F63" t="s">
        <v>233</v>
      </c>
      <c r="G63" t="s">
        <v>234</v>
      </c>
      <c r="H63" s="4" t="s">
        <v>360</v>
      </c>
      <c r="I63" s="4" t="s">
        <v>360</v>
      </c>
      <c r="J63">
        <v>50</v>
      </c>
      <c r="K63">
        <v>50</v>
      </c>
      <c r="L63">
        <v>42.5</v>
      </c>
      <c r="M63" s="4" t="s">
        <v>360</v>
      </c>
      <c r="N63">
        <v>45</v>
      </c>
      <c r="O63">
        <v>41</v>
      </c>
      <c r="P63">
        <v>35</v>
      </c>
      <c r="Q63" t="s">
        <v>223</v>
      </c>
      <c r="R63" s="7">
        <v>20</v>
      </c>
      <c r="S63" s="4">
        <v>1</v>
      </c>
      <c r="T63" s="5" t="s">
        <v>362</v>
      </c>
      <c r="U63" s="5" t="s">
        <v>363</v>
      </c>
      <c r="V63" s="7">
        <v>0</v>
      </c>
      <c r="W63" s="4" t="str">
        <f t="shared" si="1"/>
        <v>(1463,null,1,'2026-03-19 00:00:00','003402000410000-340200041','003402000410000-340200041','脑瘫肢体综合训练',null,null,50,50,42.5,null,45,41,35,'40分钟/次',20,1,'normal','main',0),</v>
      </c>
    </row>
    <row r="64" ht="15.75" spans="1:23">
      <c r="A64">
        <v>1464</v>
      </c>
      <c r="B64" s="5" t="s">
        <v>360</v>
      </c>
      <c r="C64" s="5">
        <v>1</v>
      </c>
      <c r="D64" s="6" t="s">
        <v>361</v>
      </c>
      <c r="E64" t="s">
        <v>236</v>
      </c>
      <c r="F64" t="s">
        <v>236</v>
      </c>
      <c r="G64" t="s">
        <v>237</v>
      </c>
      <c r="H64" s="4" t="s">
        <v>360</v>
      </c>
      <c r="I64" s="4" t="s">
        <v>360</v>
      </c>
      <c r="J64">
        <v>50</v>
      </c>
      <c r="K64">
        <v>50</v>
      </c>
      <c r="L64">
        <v>42.5</v>
      </c>
      <c r="M64" s="4" t="s">
        <v>360</v>
      </c>
      <c r="N64">
        <v>45</v>
      </c>
      <c r="O64">
        <v>41</v>
      </c>
      <c r="P64">
        <v>35</v>
      </c>
      <c r="Q64" t="s">
        <v>223</v>
      </c>
      <c r="R64" s="7">
        <v>20</v>
      </c>
      <c r="S64" s="4">
        <v>1</v>
      </c>
      <c r="T64" s="5" t="s">
        <v>362</v>
      </c>
      <c r="U64" s="5" t="s">
        <v>363</v>
      </c>
      <c r="V64" s="7">
        <v>0</v>
      </c>
      <c r="W64" s="4" t="str">
        <f t="shared" si="1"/>
        <v>(1464,null,1,'2026-03-19 00:00:00','003402000420000-340200042','003402000420000-340200042','截瘫肢体综合训练',null,null,50,50,42.5,null,45,41,35,'40分钟/次',20,1,'normal','main',0),</v>
      </c>
    </row>
    <row r="65" ht="15.75" spans="1:23">
      <c r="A65">
        <v>1465</v>
      </c>
      <c r="B65" s="5" t="s">
        <v>360</v>
      </c>
      <c r="C65" s="5">
        <v>1</v>
      </c>
      <c r="D65" s="6" t="s">
        <v>361</v>
      </c>
      <c r="E65" t="s">
        <v>280</v>
      </c>
      <c r="F65" t="s">
        <v>280</v>
      </c>
      <c r="G65" t="s">
        <v>281</v>
      </c>
      <c r="H65" s="4" t="s">
        <v>360</v>
      </c>
      <c r="I65" s="4" t="s">
        <v>360</v>
      </c>
      <c r="J65">
        <v>23</v>
      </c>
      <c r="K65">
        <v>21</v>
      </c>
      <c r="L65">
        <v>18</v>
      </c>
      <c r="M65" s="4" t="s">
        <v>360</v>
      </c>
      <c r="N65">
        <v>45</v>
      </c>
      <c r="O65">
        <v>41</v>
      </c>
      <c r="P65">
        <v>35</v>
      </c>
      <c r="Q65" t="s">
        <v>33</v>
      </c>
      <c r="R65" s="7">
        <v>20</v>
      </c>
      <c r="S65" s="4">
        <v>1</v>
      </c>
      <c r="T65" s="5" t="s">
        <v>362</v>
      </c>
      <c r="U65" s="5" t="s">
        <v>363</v>
      </c>
      <c r="V65" s="7">
        <v>0</v>
      </c>
      <c r="W65" s="4" t="str">
        <f t="shared" si="1"/>
        <v>(1465,null,1,'2026-03-19 00:00:00','353402000690000-340200045','353402000690000-340200045','四肢联动康复训练',null,null,23,21,18,null,45,41,35,'次',20,1,'normal','main',0),</v>
      </c>
    </row>
    <row r="66" ht="15.75" spans="1:23">
      <c r="A66">
        <v>1466</v>
      </c>
      <c r="B66" s="5" t="s">
        <v>360</v>
      </c>
      <c r="C66" s="5">
        <v>1</v>
      </c>
      <c r="D66" s="6" t="s">
        <v>361</v>
      </c>
      <c r="E66" t="s">
        <v>283</v>
      </c>
      <c r="F66" t="s">
        <v>283</v>
      </c>
      <c r="G66" t="s">
        <v>284</v>
      </c>
      <c r="H66" s="4" t="s">
        <v>360</v>
      </c>
      <c r="I66" s="4" t="s">
        <v>360</v>
      </c>
      <c r="J66">
        <v>48</v>
      </c>
      <c r="K66">
        <v>43</v>
      </c>
      <c r="L66">
        <v>37</v>
      </c>
      <c r="M66" s="4" t="s">
        <v>360</v>
      </c>
      <c r="N66">
        <v>45</v>
      </c>
      <c r="O66">
        <v>41</v>
      </c>
      <c r="P66">
        <v>35</v>
      </c>
      <c r="Q66" t="s">
        <v>33</v>
      </c>
      <c r="R66" s="7">
        <v>20</v>
      </c>
      <c r="S66" s="4">
        <v>1</v>
      </c>
      <c r="T66" s="5" t="s">
        <v>362</v>
      </c>
      <c r="U66" s="5" t="s">
        <v>363</v>
      </c>
      <c r="V66" s="7">
        <v>0</v>
      </c>
      <c r="W66" s="4" t="str">
        <f t="shared" si="1"/>
        <v>(1466,null,1,'2026-03-19 00:00:00','353402000680000-340200052','353402000680000-340200052','镜像视觉反馈训练',null,null,48,43,37,null,45,41,35,'次',20,1,'normal','main',0),</v>
      </c>
    </row>
    <row r="67" ht="15.75" spans="1:23">
      <c r="A67">
        <v>1467</v>
      </c>
      <c r="B67" s="5" t="s">
        <v>360</v>
      </c>
      <c r="C67" s="5">
        <v>1</v>
      </c>
      <c r="D67" s="6" t="s">
        <v>361</v>
      </c>
      <c r="E67" t="s">
        <v>294</v>
      </c>
      <c r="F67" t="s">
        <v>294</v>
      </c>
      <c r="G67" t="s">
        <v>295</v>
      </c>
      <c r="H67" s="4" t="s">
        <v>360</v>
      </c>
      <c r="I67" s="4" t="s">
        <v>360</v>
      </c>
      <c r="J67">
        <v>27</v>
      </c>
      <c r="K67">
        <v>24</v>
      </c>
      <c r="L67">
        <v>20</v>
      </c>
      <c r="M67" s="4" t="s">
        <v>360</v>
      </c>
      <c r="N67">
        <v>45</v>
      </c>
      <c r="O67">
        <v>41</v>
      </c>
      <c r="P67">
        <v>35</v>
      </c>
      <c r="Q67" t="s">
        <v>166</v>
      </c>
      <c r="R67" s="7">
        <v>20</v>
      </c>
      <c r="S67" s="4">
        <v>1</v>
      </c>
      <c r="T67" s="5" t="s">
        <v>362</v>
      </c>
      <c r="U67" s="5" t="s">
        <v>363</v>
      </c>
      <c r="V67" s="7">
        <v>0</v>
      </c>
      <c r="W67" s="4" t="str">
        <f t="shared" si="1"/>
        <v>(1467,null,1,'2026-03-19 00:00:00','003402000550000-311000042','003402000550000-311000042','膀胱功能训练',null,null,27,24,20,null,45,41,35,'30分钟/次',20,1,'normal','main',0),</v>
      </c>
    </row>
    <row r="68" ht="15.75" spans="1:23">
      <c r="A68">
        <v>1468</v>
      </c>
      <c r="B68" s="5" t="s">
        <v>360</v>
      </c>
      <c r="C68" s="5">
        <v>1</v>
      </c>
      <c r="D68" s="6" t="s">
        <v>361</v>
      </c>
      <c r="E68" t="s">
        <v>304</v>
      </c>
      <c r="F68" t="s">
        <v>304</v>
      </c>
      <c r="G68" t="s">
        <v>305</v>
      </c>
      <c r="H68" s="4" t="s">
        <v>360</v>
      </c>
      <c r="I68" s="4" t="s">
        <v>360</v>
      </c>
      <c r="J68">
        <v>30</v>
      </c>
      <c r="K68">
        <v>30</v>
      </c>
      <c r="L68">
        <v>25.5</v>
      </c>
      <c r="M68" s="4" t="s">
        <v>360</v>
      </c>
      <c r="N68">
        <v>22</v>
      </c>
      <c r="O68">
        <v>21</v>
      </c>
      <c r="P68">
        <v>19</v>
      </c>
      <c r="Q68" t="s">
        <v>241</v>
      </c>
      <c r="R68" s="7">
        <v>20</v>
      </c>
      <c r="S68" s="4">
        <v>1</v>
      </c>
      <c r="T68" s="5" t="s">
        <v>362</v>
      </c>
      <c r="U68" s="5" t="s">
        <v>363</v>
      </c>
      <c r="V68" s="7">
        <v>0</v>
      </c>
      <c r="W68" s="4" t="str">
        <f t="shared" si="1"/>
        <v>(1468,null,1,'2026-03-19 00:00:00','003402000220000-340200022','003402000220000-340200022','轮椅功能训练',null,null,30,30,25.5,null,22,21,19,'45分钟/次',20,1,'normal','main',0),</v>
      </c>
    </row>
    <row r="69" ht="15.75" spans="1:23">
      <c r="A69">
        <v>1469</v>
      </c>
      <c r="B69" s="5" t="s">
        <v>360</v>
      </c>
      <c r="C69" s="5">
        <v>1</v>
      </c>
      <c r="D69" s="6" t="s">
        <v>361</v>
      </c>
      <c r="E69" t="s">
        <v>318</v>
      </c>
      <c r="F69" t="s">
        <v>318</v>
      </c>
      <c r="G69" t="s">
        <v>319</v>
      </c>
      <c r="H69" s="4" t="s">
        <v>360</v>
      </c>
      <c r="I69" s="4" t="s">
        <v>360</v>
      </c>
      <c r="J69">
        <v>20</v>
      </c>
      <c r="K69">
        <v>20</v>
      </c>
      <c r="L69">
        <v>17</v>
      </c>
      <c r="M69" s="4" t="s">
        <v>360</v>
      </c>
      <c r="N69">
        <v>45</v>
      </c>
      <c r="O69">
        <v>41</v>
      </c>
      <c r="P69">
        <v>35</v>
      </c>
      <c r="Q69" t="s">
        <v>33</v>
      </c>
      <c r="R69" s="7">
        <v>20</v>
      </c>
      <c r="S69" s="4">
        <v>1</v>
      </c>
      <c r="T69" s="5" t="s">
        <v>362</v>
      </c>
      <c r="U69" s="5" t="s">
        <v>363</v>
      </c>
      <c r="V69" s="7">
        <v>0</v>
      </c>
      <c r="W69" s="4" t="str">
        <f t="shared" si="1"/>
        <v>(1469,null,1,'2026-03-19 00:00:00','003402000150000-340200015','003402000150000-340200015','职业能力评定',null,null,20,20,17,null,45,41,35,'次',20,1,'normal','main',0),</v>
      </c>
    </row>
    <row r="70" ht="15.75" spans="1:23">
      <c r="A70">
        <v>1470</v>
      </c>
      <c r="B70" s="5" t="s">
        <v>360</v>
      </c>
      <c r="C70" s="5">
        <v>1</v>
      </c>
      <c r="D70" s="6" t="s">
        <v>361</v>
      </c>
      <c r="E70" t="s">
        <v>320</v>
      </c>
      <c r="F70" t="s">
        <v>320</v>
      </c>
      <c r="G70" t="s">
        <v>321</v>
      </c>
      <c r="H70" s="4" t="s">
        <v>360</v>
      </c>
      <c r="I70" s="4" t="s">
        <v>360</v>
      </c>
      <c r="J70">
        <v>30</v>
      </c>
      <c r="K70">
        <v>30</v>
      </c>
      <c r="L70">
        <v>25.5</v>
      </c>
      <c r="M70" s="4" t="s">
        <v>360</v>
      </c>
      <c r="N70">
        <v>45</v>
      </c>
      <c r="O70">
        <v>41</v>
      </c>
      <c r="P70">
        <v>35</v>
      </c>
      <c r="Q70" t="s">
        <v>322</v>
      </c>
      <c r="R70" s="7">
        <v>20</v>
      </c>
      <c r="S70" s="4">
        <v>1</v>
      </c>
      <c r="T70" s="5" t="s">
        <v>362</v>
      </c>
      <c r="U70" s="5" t="s">
        <v>363</v>
      </c>
      <c r="V70" s="7">
        <v>0</v>
      </c>
      <c r="W70" s="4" t="str">
        <f t="shared" si="1"/>
        <v>(1470,null,1,'2026-03-19 00:00:00','003402000320000-340200032','003402000320000-340200032','职业功能训练',null,null,30,30,25.5,null,45,41,35,'45分钟/次 ',20,1,'normal','main',0),</v>
      </c>
    </row>
  </sheetData>
  <autoFilter ref="A1:W7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topLeftCell="F1" workbookViewId="0">
      <selection activeCell="A1" sqref="A1:T1"/>
    </sheetView>
  </sheetViews>
  <sheetFormatPr defaultColWidth="9" defaultRowHeight="14.25" outlineLevelRow="3"/>
  <cols>
    <col min="4" max="5" width="30.375" customWidth="1"/>
    <col min="6" max="6" width="30.75" customWidth="1"/>
  </cols>
  <sheetData>
    <row r="1" ht="25.5" spans="1:20">
      <c r="A1" s="1" t="s">
        <v>338</v>
      </c>
      <c r="B1" s="1" t="s">
        <v>366</v>
      </c>
      <c r="C1" s="1" t="s">
        <v>339</v>
      </c>
      <c r="D1" s="1" t="s">
        <v>342</v>
      </c>
      <c r="E1" s="2" t="s">
        <v>343</v>
      </c>
      <c r="F1" s="1" t="s">
        <v>344</v>
      </c>
      <c r="G1" s="1" t="s">
        <v>345</v>
      </c>
      <c r="H1" s="1" t="s">
        <v>346</v>
      </c>
      <c r="I1" s="1" t="s">
        <v>347</v>
      </c>
      <c r="J1" s="1" t="s">
        <v>348</v>
      </c>
      <c r="K1" s="1" t="s">
        <v>349</v>
      </c>
      <c r="L1" s="1" t="s">
        <v>350</v>
      </c>
      <c r="M1" s="1" t="s">
        <v>351</v>
      </c>
      <c r="N1" s="1" t="s">
        <v>352</v>
      </c>
      <c r="O1" s="1" t="s">
        <v>353</v>
      </c>
      <c r="P1" s="1" t="s">
        <v>354</v>
      </c>
      <c r="Q1" s="1" t="s">
        <v>356</v>
      </c>
      <c r="R1" s="1" t="s">
        <v>367</v>
      </c>
      <c r="S1" s="1" t="s">
        <v>368</v>
      </c>
      <c r="T1" s="3" t="str">
        <f>"insert into server_list_column_20250525 ("&amp;_xlfn.TEXTJOIN(",",TRUE,A1:S1)&amp;") values"</f>
        <v>insert into server_list_column_20250525 (id,server_list_id,code,old_hilist_code,new_hilist_code,hilist_name,selfpay_prop,old_price,old_price_city,old_price_town,old_price_village,new_price,new_price_city,new_price_town,new_price_village,unit,is_use_old,is_main,main_code) values</v>
      </c>
    </row>
    <row r="2" spans="1:20">
      <c r="A2">
        <v>182</v>
      </c>
      <c r="B2">
        <v>1427</v>
      </c>
      <c r="C2" t="s">
        <v>360</v>
      </c>
      <c r="D2" t="s">
        <v>146</v>
      </c>
      <c r="E2" t="s">
        <v>146</v>
      </c>
      <c r="F2" t="s">
        <v>147</v>
      </c>
      <c r="G2" t="s">
        <v>360</v>
      </c>
      <c r="H2" t="s">
        <v>360</v>
      </c>
      <c r="I2">
        <v>33</v>
      </c>
      <c r="J2">
        <v>30</v>
      </c>
      <c r="K2">
        <v>25.5</v>
      </c>
      <c r="L2" t="s">
        <v>360</v>
      </c>
      <c r="M2">
        <v>85.5</v>
      </c>
      <c r="N2">
        <v>77.9</v>
      </c>
      <c r="O2">
        <v>66.5</v>
      </c>
      <c r="P2" t="s">
        <v>33</v>
      </c>
      <c r="Q2" s="4">
        <v>1</v>
      </c>
      <c r="R2">
        <v>1</v>
      </c>
      <c r="T2" s="3" t="str">
        <f>"("&amp;A2&amp;","&amp;B2&amp;","&amp;C2&amp;",'"&amp;D2&amp;"','"&amp;E2&amp;"','"&amp;F2&amp;"',"&amp;G2&amp;","&amp;H2&amp;","&amp;I2&amp;","&amp;J2&amp;","&amp;K2&amp;","&amp;L2&amp;","&amp;M2&amp;","&amp;N2&amp;","&amp;O2&amp;",'"&amp;P2&amp;"',"&amp;Q2&amp;","&amp;R2&amp;",'"&amp;S2&amp;"'),"</f>
        <v>(182,1427,null,'003115030150000-311503015','003115030150000-311503015','感觉统合治疗',null,null,33,30,25.5,null,85.5,77.9,66.5,'次',1,1,''),</v>
      </c>
    </row>
    <row r="3" spans="1:20">
      <c r="A3">
        <v>183</v>
      </c>
      <c r="B3">
        <v>1427</v>
      </c>
      <c r="C3" t="s">
        <v>360</v>
      </c>
      <c r="D3" t="s">
        <v>148</v>
      </c>
      <c r="E3" t="s">
        <v>148</v>
      </c>
      <c r="F3" t="s">
        <v>149</v>
      </c>
      <c r="G3" t="s">
        <v>360</v>
      </c>
      <c r="H3" t="s">
        <v>360</v>
      </c>
      <c r="I3">
        <v>35</v>
      </c>
      <c r="J3">
        <v>35</v>
      </c>
      <c r="K3">
        <v>29.8</v>
      </c>
      <c r="L3" t="s">
        <v>360</v>
      </c>
      <c r="M3">
        <v>85.5</v>
      </c>
      <c r="N3">
        <v>77.9</v>
      </c>
      <c r="O3">
        <v>66.5</v>
      </c>
      <c r="P3" t="s">
        <v>33</v>
      </c>
      <c r="Q3" s="4">
        <v>1</v>
      </c>
      <c r="R3">
        <v>1</v>
      </c>
      <c r="T3" s="3" t="str">
        <f>"("&amp;A3&amp;","&amp;B3&amp;","&amp;C3&amp;",'"&amp;D3&amp;"','"&amp;E3&amp;"','"&amp;F3&amp;"',"&amp;G3&amp;","&amp;H3&amp;","&amp;I3&amp;","&amp;J3&amp;","&amp;K3&amp;","&amp;L3&amp;","&amp;M3&amp;","&amp;N3&amp;","&amp;O3&amp;",'"&amp;P3&amp;"',"&amp;Q3&amp;","&amp;R3&amp;",'"&amp;S3&amp;"'),"</f>
        <v>(183,1427,null,'003402000380000-340200038','003402000380000-340200038','认知知觉功能障碍训练',null,null,35,35,29.8,null,85.5,77.9,66.5,'次',1,1,''),</v>
      </c>
    </row>
    <row r="4" spans="1:20">
      <c r="A4">
        <v>184</v>
      </c>
      <c r="B4">
        <v>1427</v>
      </c>
      <c r="C4" t="s">
        <v>360</v>
      </c>
      <c r="D4" t="s">
        <v>151</v>
      </c>
      <c r="E4" t="s">
        <v>151</v>
      </c>
      <c r="F4" t="s">
        <v>152</v>
      </c>
      <c r="G4" t="s">
        <v>360</v>
      </c>
      <c r="H4" t="s">
        <v>360</v>
      </c>
      <c r="I4">
        <v>29</v>
      </c>
      <c r="J4">
        <v>26</v>
      </c>
      <c r="K4">
        <v>22.1</v>
      </c>
      <c r="L4" t="s">
        <v>360</v>
      </c>
      <c r="M4">
        <v>85.5</v>
      </c>
      <c r="N4">
        <v>77.9</v>
      </c>
      <c r="O4">
        <v>66.5</v>
      </c>
      <c r="P4" t="s">
        <v>33</v>
      </c>
      <c r="Q4" s="4">
        <v>1</v>
      </c>
      <c r="R4">
        <v>1</v>
      </c>
      <c r="T4" s="3" t="str">
        <f>"("&amp;A4&amp;","&amp;B4&amp;","&amp;C4&amp;",'"&amp;D4&amp;"','"&amp;E4&amp;"','"&amp;F4&amp;"',"&amp;G4&amp;","&amp;H4&amp;","&amp;I4&amp;","&amp;J4&amp;","&amp;K4&amp;","&amp;L4&amp;","&amp;M4&amp;","&amp;N4&amp;","&amp;O4&amp;",'"&amp;P4&amp;"',"&amp;Q4&amp;","&amp;R4&amp;",'"&amp;S4&amp;"'),"</f>
        <v>(184,1427,null,'003402000290000-340200029','003402000290000-340200029','引导式教育训练',null,null,29,26,22.1,null,85.5,77.9,66.5,'次',1,1,''),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HIKVISION</dc:creator>
  <cp:lastModifiedBy>QHTF</cp:lastModifiedBy>
  <dcterms:created xsi:type="dcterms:W3CDTF">2026-01-04T07:22:00Z</dcterms:created>
  <dcterms:modified xsi:type="dcterms:W3CDTF">2026-04-01T15:53:50Z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ED23D3E6D8F23C3A8FC4AF690E5C22E2</vt:lpwstr>
  </property>
  <property fmtid="{D5CDD505-2E9C-101B-9397-08002B2CF9AE}" pid="3" name="KSOProductBuildVer">
    <vt:lpwstr>2052-11.8.2.12219</vt:lpwstr>
  </property>
</Properties>
</file>