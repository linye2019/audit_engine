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35" activeTab="1"/>
  </bookViews>
  <sheets>
    <sheet name="映射" sheetId="1" r:id="rId1"/>
    <sheet name="映射 (3)" sheetId="7" r:id="rId2"/>
    <sheet name="Sheet1" sheetId="2" r:id="rId3"/>
    <sheet name="Sheet2" sheetId="3" r:id="rId4"/>
    <sheet name="Sheet3" sheetId="4" r:id="rId5"/>
    <sheet name="Sheet4" sheetId="5" r:id="rId6"/>
  </sheets>
  <definedNames>
    <definedName name="_xlnm._FilterDatabase" localSheetId="0" hidden="1">映射!$A$3:$AE$149</definedName>
    <definedName name="_xlnm._FilterDatabase" localSheetId="1" hidden="1">'映射 (3)'!$A$3:$AE$126</definedName>
    <definedName name="_xlnm._FilterDatabase" localSheetId="3" hidden="1">Sheet2!$A$1:$W$120</definedName>
    <definedName name="_xlnm._FilterDatabase" localSheetId="5" hidden="1">Sheet4!$A$2:$X$60</definedName>
  </definedNames>
  <calcPr calcId="144525"/>
</workbook>
</file>

<file path=xl/sharedStrings.xml><?xml version="1.0" encoding="utf-8"?>
<sst xmlns="http://schemas.openxmlformats.org/spreadsheetml/2006/main" count="4059" uniqueCount="613">
  <si>
    <t>疝甲乳类立项指南项目对应及拟定情况（征求意见稿）</t>
  </si>
  <si>
    <t>疝甲乳立项指南项目</t>
  </si>
  <si>
    <t>现行项目</t>
  </si>
  <si>
    <t>序号</t>
  </si>
  <si>
    <t>项目代码</t>
  </si>
  <si>
    <t>项目名称</t>
  </si>
  <si>
    <t>服务产出</t>
  </si>
  <si>
    <t>价格构成</t>
  </si>
  <si>
    <t>计价单位</t>
  </si>
  <si>
    <t>计价说明</t>
  </si>
  <si>
    <t>省三甲价格</t>
  </si>
  <si>
    <t>省三甲以下价格</t>
  </si>
  <si>
    <t>平移价格
(市级)</t>
  </si>
  <si>
    <t>平移价格
(县级)</t>
  </si>
  <si>
    <t>平移价格
(基层)</t>
  </si>
  <si>
    <t>拟定价格
(市级)</t>
  </si>
  <si>
    <t>拟定价格
(县级)</t>
  </si>
  <si>
    <t>拟定价格
(基层)</t>
  </si>
  <si>
    <t>医保
属性</t>
  </si>
  <si>
    <t>医保限定支付范围</t>
  </si>
  <si>
    <t>个人先行自付比例</t>
  </si>
  <si>
    <t>调整情况</t>
  </si>
  <si>
    <t>备注</t>
  </si>
  <si>
    <t>国家结算编码</t>
  </si>
  <si>
    <t>项目内涵</t>
  </si>
  <si>
    <t>除外内容</t>
  </si>
  <si>
    <t>说明</t>
  </si>
  <si>
    <t>价格
(市级)</t>
  </si>
  <si>
    <t>价格
(县级)</t>
  </si>
  <si>
    <t>价格
(基层)</t>
  </si>
  <si>
    <t>医保属性</t>
  </si>
  <si>
    <t>013310001230000</t>
  </si>
  <si>
    <t>食管裂孔疝修补费</t>
  </si>
  <si>
    <t>通过手术对食管裂孔疝进行修补。</t>
  </si>
  <si>
    <t>所定价格涵盖手术计划、术区准备、消毒、切开、探查、分离、修补、固定、引流、冲洗、止血、缝合、处理用物，必要时行抗返流操作等步骤所需的人力资源和基本物质资源消耗。</t>
  </si>
  <si>
    <t>次</t>
  </si>
  <si>
    <t>如出现“复杂疝修补费”所称复杂情况，按“复杂疝修补费”收取。</t>
  </si>
  <si>
    <t>医保</t>
  </si>
  <si>
    <t/>
  </si>
  <si>
    <t>平移取整</t>
  </si>
  <si>
    <t>加权平移后取整</t>
  </si>
  <si>
    <t>003307030330000-330703033</t>
  </si>
  <si>
    <t>先天性食管裂孔疝修补术</t>
  </si>
  <si>
    <t>含食管旁疝修补术；不含反流性食管狭窄扩张</t>
  </si>
  <si>
    <t>合并肠回转不良及其他须矫治畸形者加收20%</t>
  </si>
  <si>
    <t>003307030330001-33070303301</t>
  </si>
  <si>
    <t>先天性食管裂孔疝修补术（合并肠回转不良及其他须矫治畸形者）</t>
  </si>
  <si>
    <t>合并肠回转不良及其他须矫治畸形者</t>
  </si>
  <si>
    <t>003307030330000-33070303304</t>
  </si>
  <si>
    <t>经胸腔镜先天性食管裂孔疝修补术</t>
  </si>
  <si>
    <t>003307030330001-33070303305</t>
  </si>
  <si>
    <t>经胸腔镜先天性食管裂孔疝修补术（合并肠回转不良及其他须矫治畸形者）</t>
  </si>
  <si>
    <t>003307030340000-330703034</t>
  </si>
  <si>
    <t>食管裂孔疝修补术</t>
  </si>
  <si>
    <t>包括经腹、经胸各类修补术及抗返流手术</t>
  </si>
  <si>
    <t>003307030340001-33070303402</t>
  </si>
  <si>
    <t>经胸腔镜食管裂孔疝修补术</t>
  </si>
  <si>
    <t>分项</t>
  </si>
  <si>
    <t>013310001230001</t>
  </si>
  <si>
    <t>食管裂孔疝修补费-儿童（加收）</t>
  </si>
  <si>
    <t>儿童加收30%</t>
  </si>
  <si>
    <t>003307030330000-33070303302</t>
  </si>
  <si>
    <t>小儿先天性食管裂孔疝修补术</t>
  </si>
  <si>
    <t>003307030330001-33070303303</t>
  </si>
  <si>
    <t>小儿先天性食管裂孔疝修补术（合并肠回转不良及其他须矫治畸形者）</t>
  </si>
  <si>
    <t>003307030330000-33070303306</t>
  </si>
  <si>
    <t>小儿经胸腔镜先天性食管裂孔疝修补术</t>
  </si>
  <si>
    <t>003307030330001-33070303307</t>
  </si>
  <si>
    <t>小儿经胸腔镜先天性食管裂孔疝修补术（合并肠回转不良及其他须矫治畸形者）</t>
  </si>
  <si>
    <t>003307030340000-33070303401</t>
  </si>
  <si>
    <t>小儿食管裂孔疝修补术</t>
  </si>
  <si>
    <t>003307030340001-33070303403</t>
  </si>
  <si>
    <t>小儿经胸腔镜食管裂孔疝修补术</t>
  </si>
  <si>
    <t>013310001240000</t>
  </si>
  <si>
    <t>腹壁疝修补费</t>
  </si>
  <si>
    <t>通过手术对切口疝、脐疝、腹白线疝、半月线疝等腹壁疝进行修补。</t>
  </si>
  <si>
    <t>所定价格涵盖手术计划、术区准备、消毒、切开、探查、分离、还纳、修补、引流、冲洗、止血、缝合、处理用物等步骤所需的人力资源和基本物质资源消耗。</t>
  </si>
  <si>
    <t>003310080040000-331008004</t>
  </si>
  <si>
    <t>脐疝修补术</t>
  </si>
  <si>
    <t>003310080040000-33100800402</t>
  </si>
  <si>
    <t>经腹腔镜脐疝修补术</t>
  </si>
  <si>
    <t>003310080050000-331008005</t>
  </si>
  <si>
    <t>腹壁切口疝修补术</t>
  </si>
  <si>
    <t>包括腹白线疝或腰疝修补</t>
  </si>
  <si>
    <t>003310080050000-33100800502</t>
  </si>
  <si>
    <t>经腹腔镜腹壁切口疝修补术</t>
  </si>
  <si>
    <t>003310080040000-33100800401</t>
  </si>
  <si>
    <t>小儿脐疝修补术</t>
  </si>
  <si>
    <t>003310080040000-33100800403</t>
  </si>
  <si>
    <t>小儿经腹腔镜脐疝修补术</t>
  </si>
  <si>
    <t>003310080050000-33100800501</t>
  </si>
  <si>
    <t>小儿腹壁切口疝修补术</t>
  </si>
  <si>
    <t>003310080050000-33100800503</t>
  </si>
  <si>
    <t>小儿经腹腔镜腹壁切口疝修补术</t>
  </si>
  <si>
    <t>013310001250000</t>
  </si>
  <si>
    <t>腹股沟疝修补费</t>
  </si>
  <si>
    <t>通过手术对腹股沟疝进行修补。</t>
  </si>
  <si>
    <t>所定价格涵盖手术计划、术区准备、消毒、切开、探查、分离、还纳、修补/结扎、引流、冲洗、止血、缝合、处理用物等步骤所需的人力资源和基本物质资源消耗。</t>
  </si>
  <si>
    <t>单侧</t>
  </si>
  <si>
    <t>加权平移后取整，县级按不高于省级调整，基层对应调整</t>
  </si>
  <si>
    <t>003310080010000-331008001</t>
  </si>
  <si>
    <t>腹股沟疝修补术</t>
  </si>
  <si>
    <t>包括各种方法修补</t>
  </si>
  <si>
    <t>003310080010001-33100800102</t>
  </si>
  <si>
    <t>经腹腔镜腹股沟疝修补术</t>
  </si>
  <si>
    <t>003310080030000-331008003</t>
  </si>
  <si>
    <t>充填式无张力疝修补术</t>
  </si>
  <si>
    <t>填充物</t>
  </si>
  <si>
    <t>003310080030000-33100800302</t>
  </si>
  <si>
    <t>经腹腔镜充填式无张力疝修补术</t>
  </si>
  <si>
    <t>013310001250001</t>
  </si>
  <si>
    <t>腹股沟疝修补费-儿童（加收）</t>
  </si>
  <si>
    <t>003310080010000-33100800101</t>
  </si>
  <si>
    <t>小儿腹股沟疝修补术</t>
  </si>
  <si>
    <t>003310080010001-33100800103</t>
  </si>
  <si>
    <t>小儿经腹腔镜腹股沟疝修补术</t>
  </si>
  <si>
    <t>003310080030000-33100800301</t>
  </si>
  <si>
    <t>小儿充填式无张力疝修补术</t>
  </si>
  <si>
    <t>003310080030000-33100800303</t>
  </si>
  <si>
    <t>小儿经腹腔镜充填式无张力疝修补术</t>
  </si>
  <si>
    <t>013310001260000</t>
  </si>
  <si>
    <t>盆底疝修补费</t>
  </si>
  <si>
    <t>通过手术对会阴疝、坐骨孔疝、闭孔疝等盆底疝进行修补。</t>
  </si>
  <si>
    <t>提高</t>
  </si>
  <si>
    <t>省级根据区域间和项目间比价关系调高（我省价格在全国低位），我市根据比价关系提高（开展量仅1.5例）</t>
  </si>
  <si>
    <t>003310080060000-331008006</t>
  </si>
  <si>
    <t>会阴疝修补术</t>
  </si>
  <si>
    <t>013310001260001</t>
  </si>
  <si>
    <t>盆底疝修补费-儿童（加收）</t>
  </si>
  <si>
    <t>003310080060000-33100800601</t>
  </si>
  <si>
    <t>小儿会阴疝修补术</t>
  </si>
  <si>
    <t>013310001270000</t>
  </si>
  <si>
    <t>造口旁疝修补费</t>
  </si>
  <si>
    <t>通过手术对造口旁疝进行修补。</t>
  </si>
  <si>
    <t>新增</t>
  </si>
  <si>
    <t>新增项目，按项目间比价关系，与盆底疝修补费持平定价</t>
  </si>
  <si>
    <t>013310001270001</t>
  </si>
  <si>
    <t>造口旁疝修补费-儿童（加收）</t>
  </si>
  <si>
    <t>013310001280000</t>
  </si>
  <si>
    <t>腹内疝修补费</t>
  </si>
  <si>
    <t>通过手术对腹内疝进行修补。</t>
  </si>
  <si>
    <t>所定价格涵盖手术计划、术区准备、消毒、切开、探查、分离、松解、还纳、修补、引流、冲洗、止血、缝合、处理用物等步骤所需的人力资源和基本物质资源消耗。</t>
  </si>
  <si>
    <t>1.本项目中的“腹内疝”指：系膜裂孔疝、网膜裂孔疝、腹膜隐窝疝等。
2.如出现“复杂疝修补费”所称复杂情况，按“复杂疝修补费”收取。</t>
  </si>
  <si>
    <t>0.2</t>
  </si>
  <si>
    <t>013310001280001</t>
  </si>
  <si>
    <t>腹内疝修补费-儿童（加收）</t>
  </si>
  <si>
    <t>013310001290000</t>
  </si>
  <si>
    <t>复杂疝修补费</t>
  </si>
  <si>
    <t>通过手术对各类疝的复杂情况进行修补。</t>
  </si>
  <si>
    <t>本项目中的“复杂”指：“巨大疝（疝环大于12cm以上）、嵌顿坏死、合并腹水、复发疝、多发疝、边缘性腹壁疝”的疝修补。</t>
  </si>
  <si>
    <r>
      <rPr>
        <sz val="10"/>
        <rFont val="仿宋"/>
        <charset val="134"/>
      </rPr>
      <t>省级根据区域间和项目间比价关系调高</t>
    </r>
    <r>
      <rPr>
        <sz val="10"/>
        <color rgb="FFC00000"/>
        <rFont val="仿宋"/>
        <charset val="134"/>
      </rPr>
      <t>（我省价格在全国低位）</t>
    </r>
    <r>
      <rPr>
        <sz val="10"/>
        <rFont val="仿宋"/>
        <charset val="134"/>
      </rPr>
      <t>，我市根据比价关系提高</t>
    </r>
  </si>
  <si>
    <t>003310080020000-331008002</t>
  </si>
  <si>
    <t>嵌顿疝复位修补术</t>
  </si>
  <si>
    <t>不含肠切除吻合</t>
  </si>
  <si>
    <t>013310001290001</t>
  </si>
  <si>
    <t>复杂疝修补费-儿童（加收）</t>
  </si>
  <si>
    <t>003310080020000-33100800201</t>
  </si>
  <si>
    <t>小儿嵌顿疝复位修补术</t>
  </si>
  <si>
    <t>013310001300000</t>
  </si>
  <si>
    <t>腹壁缺损修复费</t>
  </si>
  <si>
    <t>通过手术修复腹壁缺损。</t>
  </si>
  <si>
    <t>所定价格涵盖手术计划、术区准备、消毒、切开、探查、分离、修复、引流、冲洗、止血、缝合、处理用物等步骤所需的人力资源和基本物质资源消耗。</t>
  </si>
  <si>
    <t>理顺，降低</t>
  </si>
  <si>
    <t>平移后按不超过省级拟定，开展量少，与序号10“腹膜病变切除费”稍拉开价差。</t>
  </si>
  <si>
    <t>003310080070000-331008007</t>
  </si>
  <si>
    <t>脐瘘切除+修补术</t>
  </si>
  <si>
    <t>含脐肠瘘切除术；不含脐尿管瘘切除术</t>
  </si>
  <si>
    <t>003310080200000-331008020</t>
  </si>
  <si>
    <t>先天性脐膨出修补术</t>
  </si>
  <si>
    <t>不含已破溃内脏外露处理</t>
  </si>
  <si>
    <t>003310080200000-33100802002</t>
  </si>
  <si>
    <t>经腹腔镜先天性脐膨出修补术</t>
  </si>
  <si>
    <t>003310080210000-331008021</t>
  </si>
  <si>
    <t>先天性腹壁裂修补术</t>
  </si>
  <si>
    <t>不含合并胸骨裂</t>
  </si>
  <si>
    <t>003310080210000-33100802102</t>
  </si>
  <si>
    <t>经腹腔镜先天性腹壁裂修补术</t>
  </si>
  <si>
    <t>003310080220000-331008022</t>
  </si>
  <si>
    <t>腹壁缺损修复术</t>
  </si>
  <si>
    <t>不含膀胱修补和植皮术</t>
  </si>
  <si>
    <t>003310080220000-33100802202</t>
  </si>
  <si>
    <t>经腹腔镜腹壁缺损修复术</t>
  </si>
  <si>
    <t>013310001300001</t>
  </si>
  <si>
    <t>腹壁缺损修复费-儿童（加收）</t>
  </si>
  <si>
    <t>003310080070000-33100800701</t>
  </si>
  <si>
    <t>小儿脐瘘切除+修补术</t>
  </si>
  <si>
    <t>003310080200000-33100802001</t>
  </si>
  <si>
    <t>小儿先天性脐膨出修补术</t>
  </si>
  <si>
    <t>003310080200000-33100802003</t>
  </si>
  <si>
    <t>小儿经腹腔镜先天性脐膨出修补术</t>
  </si>
  <si>
    <t>003310080210000-33100802101</t>
  </si>
  <si>
    <t>小儿先天性腹壁裂修补术</t>
  </si>
  <si>
    <t>003310080210000-33100802103</t>
  </si>
  <si>
    <t>小儿经腹腔镜先天性腹壁裂修补术</t>
  </si>
  <si>
    <t>003310080220000-33100802201</t>
  </si>
  <si>
    <t>小儿腹壁缺损修复术</t>
  </si>
  <si>
    <t>003310080220000-33100802203</t>
  </si>
  <si>
    <t>小儿经腹腔镜腹壁缺损修复术</t>
  </si>
  <si>
    <t>013310001310000</t>
  </si>
  <si>
    <t>腹壁病变切除费</t>
  </si>
  <si>
    <t>通过手术切除腹壁病变。</t>
  </si>
  <si>
    <t>所定价格涵盖手术计划、术区准备、消毒、切开、探查、分离、切除、冲洗、止血、引流、缝合、处理用物等步骤所需的人力资源和基本物质资源消耗。</t>
  </si>
  <si>
    <t>平移后取整</t>
  </si>
  <si>
    <t>003310080090000-331008009</t>
  </si>
  <si>
    <t>开腹腹腔内脓肿引流术</t>
  </si>
  <si>
    <t>包括后腹腔脓肿或实质脏器脓肿(如肝脓肿、脾脓肿、胰腺脓肿)的外引流</t>
  </si>
  <si>
    <t>003310080100000-331008010</t>
  </si>
  <si>
    <t>腹腔包虫摘除术</t>
  </si>
  <si>
    <t>多发包虫加收12.5%</t>
  </si>
  <si>
    <t>003310080100001-33100801001</t>
  </si>
  <si>
    <t>腹腔包虫摘除术-多发包虫</t>
  </si>
  <si>
    <t>多发包虫</t>
  </si>
  <si>
    <t>003310080110000-331008011</t>
  </si>
  <si>
    <t>腹腔窦道扩创术</t>
  </si>
  <si>
    <t>包括窦道切除</t>
  </si>
  <si>
    <t>003310080170000-331008017</t>
  </si>
  <si>
    <t>腹壁肿瘤切除术</t>
  </si>
  <si>
    <t>不含成形术；不包括体表良性病变</t>
  </si>
  <si>
    <t>超过5cm直径加收20%</t>
  </si>
  <si>
    <t>003310080170001-33100801701</t>
  </si>
  <si>
    <t>腹壁肿瘤切除术（超过5cm直径）</t>
  </si>
  <si>
    <t>超过5cm直径</t>
  </si>
  <si>
    <t>013310001310001</t>
  </si>
  <si>
    <t>腹壁病变切除费-儿童（加收）</t>
  </si>
  <si>
    <t>003310080090000-33100800901</t>
  </si>
  <si>
    <t>小儿开腹腹腔内脓肿引流术</t>
  </si>
  <si>
    <t>003310080100000-33100801002</t>
  </si>
  <si>
    <t>小儿腹腔包虫摘除术</t>
  </si>
  <si>
    <t>003310080100001-33100801003</t>
  </si>
  <si>
    <t>小儿腹腔包虫摘除术-多发包虫</t>
  </si>
  <si>
    <t>003310080110000-33100801101</t>
  </si>
  <si>
    <t>小儿腹腔窦道扩创术</t>
  </si>
  <si>
    <t>003310080170000-33100801702</t>
  </si>
  <si>
    <t>小儿腹壁肿瘤切除术</t>
  </si>
  <si>
    <t>003310080170001-33100801703</t>
  </si>
  <si>
    <t>小儿腹壁肿瘤切除术（超过5cm直径）</t>
  </si>
  <si>
    <t>013310001310011</t>
  </si>
  <si>
    <t>腹壁病变切除费-恶性肿瘤切除（加收）</t>
  </si>
  <si>
    <t>加收30%</t>
  </si>
  <si>
    <t>013310001310021</t>
  </si>
  <si>
    <t>腹壁病变切除费-多病变切除（加收）</t>
  </si>
  <si>
    <t>013310001320000</t>
  </si>
  <si>
    <t>腹膜病变切除费</t>
  </si>
  <si>
    <t>通过手术切除腹膜及网膜、系膜病变。</t>
  </si>
  <si>
    <t>腹膜后病变按泌尿系统项目“腹膜后肿物切除费”收取。</t>
  </si>
  <si>
    <r>
      <rPr>
        <sz val="10"/>
        <rFont val="仿宋"/>
        <charset val="134"/>
      </rPr>
      <t>平移后取整，基层调整理顺比价</t>
    </r>
    <r>
      <rPr>
        <sz val="10"/>
        <color rgb="FFC00000"/>
        <rFont val="仿宋"/>
        <charset val="134"/>
      </rPr>
      <t>（并与腹壁缺损修复费比价）</t>
    </r>
  </si>
  <si>
    <t>003310080120000-331008012</t>
  </si>
  <si>
    <t>腹腔内肿物切除术</t>
  </si>
  <si>
    <t>包括系膜、腹膜、网膜肿物；不含脏器切除术</t>
  </si>
  <si>
    <t>003310080120001-33100801202</t>
  </si>
  <si>
    <t>经腹腔镜腹腔内肿物切除术</t>
  </si>
  <si>
    <t>013310001320001</t>
  </si>
  <si>
    <t>腹膜病变切除费-儿童（加收）</t>
  </si>
  <si>
    <t>003310080120000-33100801201</t>
  </si>
  <si>
    <t>小儿腹腔内肿物切除术</t>
  </si>
  <si>
    <t>003310080120001-33100801203</t>
  </si>
  <si>
    <t>小儿经腹腔镜腹腔内肿物切除术</t>
  </si>
  <si>
    <t>013310001320011</t>
  </si>
  <si>
    <t>腹膜病变切除费-多病变切除（加收）</t>
  </si>
  <si>
    <t>013310001320021</t>
  </si>
  <si>
    <t>腹膜病变切除费-肠系膜病变切除（加收）</t>
  </si>
  <si>
    <t>012416000080000</t>
  </si>
  <si>
    <t>乳管镜检查费</t>
  </si>
  <si>
    <t>通过乳管镜对乳管内疾病进行诊断。</t>
  </si>
  <si>
    <t>所定价格涵盖消毒、扩张、置镜、观察、记录、撤镜、出具报告、处理用物等步骤所需的人力资源和基本物质资源消耗。</t>
  </si>
  <si>
    <t>平移后按不超过省级拟定（质化高项目同，持平省级定价）</t>
  </si>
  <si>
    <t>003112010640000-311201064</t>
  </si>
  <si>
    <t>乳管镜检查</t>
  </si>
  <si>
    <t>含活检</t>
  </si>
  <si>
    <t>双侧加收50%；同时治疗单侧基层加收42.5元，县级医院加收50元，市级医院加收55元</t>
  </si>
  <si>
    <t>003112010640000-31120106401</t>
  </si>
  <si>
    <t>乳管镜检查（双侧）</t>
  </si>
  <si>
    <t>双侧</t>
  </si>
  <si>
    <t>013114000130000</t>
  </si>
  <si>
    <t>乳管镜治疗费</t>
  </si>
  <si>
    <t>通过乳管镜治疗乳管内疾病。</t>
  </si>
  <si>
    <t>所定价格涵盖消毒、治疗、观察、记录、处理用物等步骤所需的人力资源和基本物质资源消耗。（不含内镜检查）</t>
  </si>
  <si>
    <t>003112010640000-31120106402</t>
  </si>
  <si>
    <t>乳管镜检查（同时治疗单侧加收）</t>
  </si>
  <si>
    <t>同时治疗单侧加收</t>
  </si>
  <si>
    <t>013316000350000</t>
  </si>
  <si>
    <t>乳腺病变切除费</t>
  </si>
  <si>
    <t>通过手术切除乳腺病变。</t>
  </si>
  <si>
    <t>所定价格涵盖手术计划、术区准备、消毒、切开、探查、分离、切除/旋切、冲洗、止血、引流、缝合、处理用物等步骤所需的人力资源和基本物质资源消耗。</t>
  </si>
  <si>
    <t>平移后取整，基层调整理顺比价</t>
  </si>
  <si>
    <t>003316010020000-331601002</t>
  </si>
  <si>
    <t>乳腺肿物切除术</t>
  </si>
  <si>
    <t>包括窦道、乳头状瘤、小叶</t>
  </si>
  <si>
    <t>一次性旋切探针</t>
  </si>
  <si>
    <t>象限切除加收50%；微创术加收25%</t>
  </si>
  <si>
    <t>003316010020000-33160100202</t>
  </si>
  <si>
    <t>乳腺肿物切除术（微创术加收）</t>
  </si>
  <si>
    <t>微创术加收</t>
  </si>
  <si>
    <t>013316000350001</t>
  </si>
  <si>
    <t>乳腺病变切除费-儿童（加收）</t>
  </si>
  <si>
    <t>003316010020000-33160100203</t>
  </si>
  <si>
    <t>小儿乳腺肿物切除术</t>
  </si>
  <si>
    <t>003316010020000-33160100205</t>
  </si>
  <si>
    <t>小儿乳腺肿物切除术（微创术加收）</t>
  </si>
  <si>
    <t>013316000350011</t>
  </si>
  <si>
    <t>乳腺病变切除费-多病变切除（加收）</t>
  </si>
  <si>
    <t>013316000360000</t>
  </si>
  <si>
    <t>乳腺部分切除费</t>
  </si>
  <si>
    <t>通过手术切除部分乳腺。</t>
  </si>
  <si>
    <t>本项目不含胸壁、乳房重建。</t>
  </si>
  <si>
    <t>003316010020400-33160100201</t>
  </si>
  <si>
    <t>乳腺肿物切除术（象限切除加收）</t>
  </si>
  <si>
    <t>象限切除加收</t>
  </si>
  <si>
    <t>013316000360001</t>
  </si>
  <si>
    <t>乳腺部分切除费-儿童（加收）</t>
  </si>
  <si>
    <t>003316010020400-33160100204</t>
  </si>
  <si>
    <t>小儿乳腺肿物切除术（象限切除加收）</t>
  </si>
  <si>
    <t>013316000360011</t>
  </si>
  <si>
    <t>乳腺部分切除费-恶性肿瘤切除（加收）</t>
  </si>
  <si>
    <t>013316000370000</t>
  </si>
  <si>
    <t>乳腺全切除费</t>
  </si>
  <si>
    <t>通过手术切除全部乳腺。</t>
  </si>
  <si>
    <r>
      <rPr>
        <sz val="10"/>
        <rFont val="仿宋"/>
        <charset val="134"/>
      </rPr>
      <t>1.本项目中的“恶性肿瘤扩大根治性切除”指联合多脏器切除，且</t>
    </r>
    <r>
      <rPr>
        <sz val="10"/>
        <color rgb="FFC00000"/>
        <rFont val="仿宋"/>
        <charset val="134"/>
      </rPr>
      <t>不含淋巴结清扫</t>
    </r>
    <r>
      <rPr>
        <sz val="10"/>
        <rFont val="仿宋"/>
        <charset val="134"/>
      </rPr>
      <t>。
2.本项目不含</t>
    </r>
    <r>
      <rPr>
        <sz val="10"/>
        <color rgb="FFC00000"/>
        <rFont val="仿宋"/>
        <charset val="134"/>
      </rPr>
      <t>胸壁、乳房重建</t>
    </r>
    <r>
      <rPr>
        <sz val="10"/>
        <rFont val="仿宋"/>
        <charset val="134"/>
      </rPr>
      <t>。</t>
    </r>
  </si>
  <si>
    <r>
      <rPr>
        <sz val="10"/>
        <rFont val="仿宋"/>
        <charset val="134"/>
      </rPr>
      <t>原“乳腺癌根治术”含腋窝淋巴结，</t>
    </r>
    <r>
      <rPr>
        <sz val="10"/>
        <color rgb="FFC00000"/>
        <rFont val="仿宋"/>
        <charset val="134"/>
      </rPr>
      <t>立项后项目不含淋巴结清扫。因此乳腺癌根治术费用需扣除腋窝淋巴结清扫术后纳入测算。</t>
    </r>
  </si>
  <si>
    <t>003316010040000-331601004</t>
  </si>
  <si>
    <t>单纯乳房切除术</t>
  </si>
  <si>
    <t>003316010050000-331601005</t>
  </si>
  <si>
    <t>乳腺癌根治术</t>
  </si>
  <si>
    <t>一次性皮肤钉书钉</t>
  </si>
  <si>
    <t>改良根治（保乳改良根治）、植皮术市级医院加收430元，县级医院加收385元，基层加收330元</t>
  </si>
  <si>
    <t>003309000040000-330900004</t>
  </si>
  <si>
    <t>腋窝淋巴结清扫术</t>
  </si>
  <si>
    <t>003316010050001-33160100502</t>
  </si>
  <si>
    <t>乳腺癌根治术-植皮术加收</t>
  </si>
  <si>
    <t>013316000370001</t>
  </si>
  <si>
    <t>乳腺全切除费-儿童（加收）</t>
  </si>
  <si>
    <t>003316010040000-33160100401</t>
  </si>
  <si>
    <t>小儿单纯乳房切除术</t>
  </si>
  <si>
    <t>003316010050000-33160100503</t>
  </si>
  <si>
    <t>小儿乳腺癌根治术</t>
  </si>
  <si>
    <t>指传统式</t>
  </si>
  <si>
    <t>003316010050001-33160100505</t>
  </si>
  <si>
    <t>小儿乳腺癌根治术-植皮术加收</t>
  </si>
  <si>
    <t>植皮术加收</t>
  </si>
  <si>
    <t>013316000370011</t>
  </si>
  <si>
    <t>乳腺全切除费-恶性肿瘤扩大根治性切除（加收）</t>
  </si>
  <si>
    <r>
      <rPr>
        <sz val="10"/>
        <rFont val="仿宋"/>
        <charset val="134"/>
      </rPr>
      <t>按省级定价规则，加收30%。
原“乳腺癌扩大根治术”含腋窝淋巴结，</t>
    </r>
    <r>
      <rPr>
        <sz val="10"/>
        <color rgb="FFC00000"/>
        <rFont val="仿宋"/>
        <charset val="134"/>
      </rPr>
      <t>立项后项目不含淋巴结清扫。因此乳腺癌扩大根治术费用需扣除腋窝淋巴结清扫术后纳入测算。</t>
    </r>
  </si>
  <si>
    <t>003316010060000-331601006</t>
  </si>
  <si>
    <t>乳腺癌扩大根治术</t>
  </si>
  <si>
    <t>含保留胸肌的术式</t>
  </si>
  <si>
    <t>003316010060000-33160100601</t>
  </si>
  <si>
    <t>小儿乳腺癌扩大根治术</t>
  </si>
  <si>
    <t>013316000370021</t>
  </si>
  <si>
    <t>乳腺全切除费-保留乳头乳晕复合体/皮肤（加收）</t>
  </si>
  <si>
    <t>003316010050100-33160100501</t>
  </si>
  <si>
    <t>乳腺癌根治术-改良根治（保乳改良根治）加收</t>
  </si>
  <si>
    <t>003316010050100-33160100504</t>
  </si>
  <si>
    <t>小儿乳腺癌根治术-改良根治（保乳改良根治）加收</t>
  </si>
  <si>
    <t>改良根治加收</t>
  </si>
  <si>
    <t>013316000380000</t>
  </si>
  <si>
    <t>副乳病变切除费</t>
  </si>
  <si>
    <t>通过手术切除副乳病变。</t>
  </si>
  <si>
    <t>理顺</t>
  </si>
  <si>
    <t>平移后县级按不超过省级拟定，基层按比价调整</t>
  </si>
  <si>
    <t>003316010030000-331601003</t>
  </si>
  <si>
    <t>副乳切除术</t>
  </si>
  <si>
    <t>013316000380001</t>
  </si>
  <si>
    <t>副乳病变切除费-儿童（加收）</t>
  </si>
  <si>
    <t>003316010030000-33160100301</t>
  </si>
  <si>
    <t>小儿副乳切除术</t>
  </si>
  <si>
    <t>巨乳缩小费</t>
  </si>
  <si>
    <t>通过手术缩小乳房。</t>
  </si>
  <si>
    <t>所定价格涵盖手术计划、术区准备、消毒、切开、探查、分离、切除、重塑、冲洗、止血、引流、缝合、处理用物等步骤所需的人力资源和基本物质资源消耗。</t>
  </si>
  <si>
    <t>自主定价</t>
  </si>
  <si>
    <t>非医保</t>
  </si>
  <si>
    <t>003316010140000-331601014</t>
  </si>
  <si>
    <t>巨乳缩小整形术</t>
  </si>
  <si>
    <t>包括垂乳畸形矫正术</t>
  </si>
  <si>
    <t>巨乳缩小费-儿童（加收）</t>
  </si>
  <si>
    <t>013114000140000</t>
  </si>
  <si>
    <t>标记物植入费</t>
  </si>
  <si>
    <t>通过穿刺等方式植入标记物。</t>
  </si>
  <si>
    <t>所定价格涵盖消毒、定位、穿刺、植入、处理用物等步骤所需的人力资源和基本物质资源消耗。（不含影像引导）</t>
  </si>
  <si>
    <t>003316010010001-33160100101</t>
  </si>
  <si>
    <t>乳腺肿物穿刺术（乳腺立体定位）</t>
  </si>
  <si>
    <t>乳腺立体定位</t>
  </si>
  <si>
    <t>013114000140001</t>
  </si>
  <si>
    <t>标记物植入费-多病灶标记物植入（加收）</t>
  </si>
  <si>
    <t>003316010010001-33160100103</t>
  </si>
  <si>
    <t>小儿乳腺肿物穿刺术（乳腺立体定位）</t>
  </si>
  <si>
    <t>013303000010000</t>
  </si>
  <si>
    <t>甲状腺部分切除费（常规）</t>
  </si>
  <si>
    <t>通过手术切除部分甲状腺组织。</t>
  </si>
  <si>
    <t>所定价格涵盖手术计划、术区准备、消毒、切开、显露探查甲状腺与甲状旁腺、分离、切除、冲洗、止血、引流、缝合、处理用物等步骤所需的人力资源和基本物质资源消耗。</t>
  </si>
  <si>
    <t>平移取整，基层调整理顺比价</t>
  </si>
  <si>
    <t>003303000080000-330300008</t>
  </si>
  <si>
    <t>甲状腺部分切除术</t>
  </si>
  <si>
    <t>包括甲状腺瘤及囊肿切除</t>
  </si>
  <si>
    <t>双侧加收50%</t>
  </si>
  <si>
    <t>003303000080000-33030000804</t>
  </si>
  <si>
    <t>经腔镜甲状腺部分切除术</t>
  </si>
  <si>
    <t>003303000090000-330300009</t>
  </si>
  <si>
    <t>甲状腺次全切除术</t>
  </si>
  <si>
    <t>003303000090000-33030000904</t>
  </si>
  <si>
    <t>经腔镜甲状腺次全切除术</t>
  </si>
  <si>
    <t>013303000010001</t>
  </si>
  <si>
    <t>甲状腺部分切除费（常规）-儿童（加收）</t>
  </si>
  <si>
    <t>003303000080000-33030000802</t>
  </si>
  <si>
    <t>小儿甲状腺部分切除术</t>
  </si>
  <si>
    <t>003303000080000-33030000806</t>
  </si>
  <si>
    <t>小儿经腔镜甲状腺部分切除术</t>
  </si>
  <si>
    <t>003303000090000-33030000902</t>
  </si>
  <si>
    <t>小儿甲状腺次全切除术</t>
  </si>
  <si>
    <t>003303000090000-33030000906</t>
  </si>
  <si>
    <t>小儿经腔镜甲状腺次全切除术</t>
  </si>
  <si>
    <t>013303000020000</t>
  </si>
  <si>
    <t>甲状腺部分切除费（复杂）</t>
  </si>
  <si>
    <t>通过手术切除复杂情况下的部分甲状腺组织。</t>
  </si>
  <si>
    <t>本项目中的“复杂”指：联合胸骨劈开、胸骨下甲状腺的情况。</t>
  </si>
  <si>
    <t>新增项目，按照项目间比价关系，为常规手术的1.5倍</t>
  </si>
  <si>
    <t>013303000020001</t>
  </si>
  <si>
    <t>甲状腺部分切除费（复杂）-儿童（加收）</t>
  </si>
  <si>
    <t>013303000030000</t>
  </si>
  <si>
    <t>甲状腺全切除费（常规）</t>
  </si>
  <si>
    <t>通过手术切除单侧全部甲状腺，清理周围受累组织。</t>
  </si>
  <si>
    <r>
      <rPr>
        <sz val="10"/>
        <rFont val="仿宋"/>
        <charset val="134"/>
      </rPr>
      <t>本项目中的“恶性肿瘤扩大根治性切除”指联合多脏器切除，且</t>
    </r>
    <r>
      <rPr>
        <sz val="10"/>
        <color rgb="FFC00000"/>
        <rFont val="仿宋"/>
        <charset val="134"/>
      </rPr>
      <t>不含淋巴结清扫。</t>
    </r>
  </si>
  <si>
    <t>003303000100000-330300010</t>
  </si>
  <si>
    <t>甲状腺全切术</t>
  </si>
  <si>
    <t>003303000100000-33030001004</t>
  </si>
  <si>
    <t>经腔镜甲状腺全切术</t>
  </si>
  <si>
    <t>013303000030001</t>
  </si>
  <si>
    <t>甲状腺全切除费（常规）-儿童（加收）</t>
  </si>
  <si>
    <t>003303000100000-33030001002</t>
  </si>
  <si>
    <t>小儿甲状腺全切术</t>
  </si>
  <si>
    <t>003303000100000-33030001006</t>
  </si>
  <si>
    <t>小儿经腔镜甲状腺全切术</t>
  </si>
  <si>
    <t>013303000030011</t>
  </si>
  <si>
    <t>甲状腺全切除费（常规）-恶性肿瘤扩大根治性切除（加收）</t>
  </si>
  <si>
    <t>加收100%</t>
  </si>
  <si>
    <t>003303000120000-330300012</t>
  </si>
  <si>
    <t>甲状腺癌扩大根治术</t>
  </si>
  <si>
    <t>含甲状腺癌切除、同侧淋巴结清扫，所累及颈其他结构切除</t>
  </si>
  <si>
    <t>003303000120000-33030001202</t>
  </si>
  <si>
    <t>经腔镜甲状腺癌扩大根治术</t>
  </si>
  <si>
    <t>003303000120000-33030001201</t>
  </si>
  <si>
    <t>小儿甲状腺癌扩大根治术</t>
  </si>
  <si>
    <t>003303000120000-33030001203</t>
  </si>
  <si>
    <t>小儿经腔镜甲状腺癌扩大根治术</t>
  </si>
  <si>
    <t>013303000040000</t>
  </si>
  <si>
    <t>甲状腺全切除费（复杂）</t>
  </si>
  <si>
    <t>通过手术切除复杂情况下的单侧全部甲状腺，清理周围受累组织。</t>
  </si>
  <si>
    <r>
      <rPr>
        <sz val="10"/>
        <rFont val="仿宋"/>
        <charset val="134"/>
      </rPr>
      <t>1.本项目中的“恶性肿瘤扩大根治性切除”指联合多脏器切除，且</t>
    </r>
    <r>
      <rPr>
        <sz val="10"/>
        <color rgb="FFC00000"/>
        <rFont val="仿宋"/>
        <charset val="134"/>
      </rPr>
      <t>不含淋巴结清扫</t>
    </r>
    <r>
      <rPr>
        <sz val="10"/>
        <rFont val="仿宋"/>
        <charset val="134"/>
      </rPr>
      <t>。
2.本项目中的“复杂”指：联合胸骨劈开、胸骨下甲状腺的情况。</t>
    </r>
  </si>
  <si>
    <t>013303000040001</t>
  </si>
  <si>
    <t>甲状腺全切除费（复杂）-儿童（加收）</t>
  </si>
  <si>
    <t>013303000040011</t>
  </si>
  <si>
    <t>甲状腺全切除费（复杂）-恶性肿瘤扩大根治性切除（加收）</t>
  </si>
  <si>
    <t>013303000050000</t>
  </si>
  <si>
    <t>甲状旁腺切除费</t>
  </si>
  <si>
    <t>通过手术切除部分或全部病变甲状旁腺。</t>
  </si>
  <si>
    <t>加权平移后按不超过省级拟定，按比价关系，持平“甲状腺部分切除费（复杂）”定价</t>
  </si>
  <si>
    <t>003303000030000-330300003</t>
  </si>
  <si>
    <t>甲状旁腺大部切除术</t>
  </si>
  <si>
    <t>003303000030000-33030000302</t>
  </si>
  <si>
    <t>经腔镜甲状旁腺大部切除术</t>
  </si>
  <si>
    <t>003303000020000-330300002</t>
  </si>
  <si>
    <t>甲状旁腺腺瘤切除术</t>
  </si>
  <si>
    <t>003303000020000-33030000202</t>
  </si>
  <si>
    <t>经腔镜甲状旁腺腺瘤切除术</t>
  </si>
  <si>
    <t>013303000050001</t>
  </si>
  <si>
    <t>甲状旁腺切除费-儿童（加收）</t>
  </si>
  <si>
    <t>003303000030000-33030000301</t>
  </si>
  <si>
    <t>小儿甲状旁腺大部切除术</t>
  </si>
  <si>
    <t>003303000030000-33030000303</t>
  </si>
  <si>
    <t>小儿经腔镜甲状旁腺大部切除术</t>
  </si>
  <si>
    <t>003303000060000-33030000601</t>
  </si>
  <si>
    <t>小儿甲状旁腺癌根治术</t>
  </si>
  <si>
    <t>003303000060000-33030000603</t>
  </si>
  <si>
    <t>小儿经腔镜甲状旁腺癌根治术</t>
  </si>
  <si>
    <t>003303000020000-33030000201</t>
  </si>
  <si>
    <t>小儿甲状旁腺腺瘤切除术</t>
  </si>
  <si>
    <t>003303000020000-33030000203</t>
  </si>
  <si>
    <t>小儿经腔镜甲状旁腺腺瘤切除术</t>
  </si>
  <si>
    <t>013303000050011</t>
  </si>
  <si>
    <t>甲状旁腺切除费-多个病变旁腺切除（加收）</t>
  </si>
  <si>
    <t>013303000060000</t>
  </si>
  <si>
    <t>甲状旁腺移植费</t>
  </si>
  <si>
    <t>通过手术移植甲状旁腺组织或细胞。</t>
  </si>
  <si>
    <t>所定价格涵盖手术计划、术区准备、消毒、切开、显露探查甲状腺与甲状旁腺、移植、冲洗、止血、引流、缝合、处理用物等步骤所需的人力资源和基本物质资源消耗。</t>
  </si>
  <si>
    <t>平移后按不超过省级拟定</t>
  </si>
  <si>
    <t>003303000040000-330300004</t>
  </si>
  <si>
    <t>甲状旁腺移植术</t>
  </si>
  <si>
    <t>取自体新鲜甲状旁腺组织植入或注入胸锁乳突肌或臂肢肌肉内，缝合切口。</t>
  </si>
  <si>
    <t>003303000050000-330300005</t>
  </si>
  <si>
    <t>甲状旁腺细胞移植术</t>
  </si>
  <si>
    <t>含细胞制备</t>
  </si>
  <si>
    <t>013303000060001</t>
  </si>
  <si>
    <t>甲状旁腺移植费-儿童（加收）</t>
  </si>
  <si>
    <t>003303000040000-33030000401</t>
  </si>
  <si>
    <t>小儿甲状旁腺移植术</t>
  </si>
  <si>
    <t>003303000140000-33030001401</t>
  </si>
  <si>
    <t>小儿甲状腺细胞移植术</t>
  </si>
  <si>
    <t>013303000060100</t>
  </si>
  <si>
    <t>甲状旁腺移植费-甲状腺移植（扩展）</t>
  </si>
  <si>
    <t>扩展项按主项价格执行</t>
  </si>
  <si>
    <t>003303000140000-330300014</t>
  </si>
  <si>
    <t>甲状腺细胞移植术</t>
  </si>
  <si>
    <t>013303000061100</t>
  </si>
  <si>
    <t>甲状旁腺移植费-异种器官（扩展）</t>
  </si>
  <si>
    <t>003303000160000-330300016</t>
  </si>
  <si>
    <t>胎儿甲状腺移植术</t>
  </si>
  <si>
    <t>003303000160000-33030001601</t>
  </si>
  <si>
    <t>小儿胎儿甲状腺移植术</t>
  </si>
  <si>
    <t>013303000070000</t>
  </si>
  <si>
    <t>甲状舌管病变切除费</t>
  </si>
  <si>
    <t>通过手术切除甲状舌管病变。</t>
  </si>
  <si>
    <t>平移</t>
  </si>
  <si>
    <t>003303000150000-330300015</t>
  </si>
  <si>
    <t>甲状舌管瘘切除术</t>
  </si>
  <si>
    <t>包括囊肿</t>
  </si>
  <si>
    <t>003303000150100-33030001501</t>
  </si>
  <si>
    <t>甲状舌管瘘切除术（囊肿）</t>
  </si>
  <si>
    <t>013303000070001</t>
  </si>
  <si>
    <t>甲状舌管病变切除费-儿童（加收）</t>
  </si>
  <si>
    <t>003303000150000-33030001502</t>
  </si>
  <si>
    <t>小儿甲状舌管瘘切除术</t>
  </si>
  <si>
    <t>省属三甲价格（元）</t>
  </si>
  <si>
    <t>省属三甲以下价格（元）</t>
  </si>
  <si>
    <t>003316010080000-331601008</t>
  </si>
  <si>
    <t>乳腺癌根治+乳房再造术</t>
  </si>
  <si>
    <t>含Ⅰ期乳房再造；不含带血管蒂的肌皮组织移植、Ⅱ期乳房再造</t>
  </si>
  <si>
    <t>美容整形类的乳房造费用</t>
  </si>
  <si>
    <t>003316010080000-33160100801</t>
  </si>
  <si>
    <t>小儿乳腺癌根治+乳房再造术</t>
  </si>
  <si>
    <t>003303000080000-33030000801</t>
  </si>
  <si>
    <t>甲状腺部分切除术（双侧）</t>
  </si>
  <si>
    <t>003303000080000-33030000805</t>
  </si>
  <si>
    <t>经腔镜甲状腺部分切除术（双侧）</t>
  </si>
  <si>
    <t>003303000090000-33030000901</t>
  </si>
  <si>
    <t>甲状腺次全切除术（双侧）</t>
  </si>
  <si>
    <t>003303000090000-33030000905</t>
  </si>
  <si>
    <t>经腔镜甲状腺次全切除术（双侧）</t>
  </si>
  <si>
    <t>003303000100000-33030001001</t>
  </si>
  <si>
    <t>甲状腺全切术（双侧）</t>
  </si>
  <si>
    <t>003303000100000-33030001005</t>
  </si>
  <si>
    <t>经腔镜甲状腺全切术（双侧）</t>
  </si>
  <si>
    <t>003303000130000-330300013</t>
  </si>
  <si>
    <t>甲状腺癌根治术联合胸骨劈开上纵隔清扫术</t>
  </si>
  <si>
    <t>003303000110000-330300011</t>
  </si>
  <si>
    <t>甲状腺癌根治术</t>
  </si>
  <si>
    <t>胶原蛋白海绵</t>
  </si>
  <si>
    <t>003303000110000-33030001102</t>
  </si>
  <si>
    <t>经腔镜甲状腺癌根治术</t>
  </si>
  <si>
    <t>003303000060000-330300006</t>
  </si>
  <si>
    <t>甲状旁腺癌根治术</t>
  </si>
  <si>
    <t>003303000060000-33030000602</t>
  </si>
  <si>
    <t>经腔镜甲状旁腺癌根治术</t>
  </si>
  <si>
    <t>003309000030000-330900003</t>
  </si>
  <si>
    <t>颈淋巴结清扫术</t>
  </si>
  <si>
    <t>id</t>
  </si>
  <si>
    <t>code</t>
  </si>
  <si>
    <t>sever_type</t>
  </si>
  <si>
    <t>change_time</t>
  </si>
  <si>
    <t>old_hilist_code</t>
  </si>
  <si>
    <t>new_hilist_code</t>
  </si>
  <si>
    <t>hilist_name</t>
  </si>
  <si>
    <t>selfpay_prop</t>
  </si>
  <si>
    <t>old_price</t>
  </si>
  <si>
    <t>old_price_city</t>
  </si>
  <si>
    <t>old_price_town</t>
  </si>
  <si>
    <t>old_price_village</t>
  </si>
  <si>
    <t>new_price</t>
  </si>
  <si>
    <t>new_price_city</t>
  </si>
  <si>
    <t>new_price_town</t>
  </si>
  <si>
    <t>new_price_village</t>
  </si>
  <si>
    <t>unit</t>
  </si>
  <si>
    <t>batch</t>
  </si>
  <si>
    <t>is_use_old</t>
  </si>
  <si>
    <t>merge_type</t>
  </si>
  <si>
    <t>cnt_change_model</t>
  </si>
  <si>
    <t>cnt_change_value</t>
  </si>
  <si>
    <t>null</t>
  </si>
  <si>
    <t>2026-03-24 00:00:00</t>
  </si>
  <si>
    <t>normal</t>
  </si>
  <si>
    <t>main</t>
  </si>
  <si>
    <t>server_list_id</t>
  </si>
  <si>
    <t>is_main</t>
  </si>
  <si>
    <t>main_code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</si>
  <si>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</si>
  <si>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</si>
  <si>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</si>
  <si>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</si>
  <si>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</si>
  <si>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</si>
  <si>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</si>
  <si>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</si>
  <si>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</si>
  <si>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</si>
  <si>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</si>
  <si>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</si>
  <si>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</si>
  <si>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</si>
  <si>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</si>
  <si>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</si>
  <si>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</si>
  <si>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</si>
  <si>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</si>
  <si>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</si>
  <si>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</si>
  <si>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</si>
  <si>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数量3</t>
  </si>
  <si>
    <t>数量2</t>
  </si>
  <si>
    <t>数量1</t>
  </si>
  <si>
    <t>预计差额3</t>
  </si>
  <si>
    <t>预计差额2</t>
  </si>
  <si>
    <t>预计差额1</t>
  </si>
  <si>
    <t>实际差额3</t>
  </si>
  <si>
    <t>实际差额2</t>
  </si>
  <si>
    <t>实际差额1</t>
  </si>
</sst>
</file>

<file path=xl/styles.xml><?xml version="1.0" encoding="utf-8"?>
<styleSheet xmlns="http://schemas.openxmlformats.org/spreadsheetml/2006/main">
  <numFmts count="6">
    <numFmt numFmtId="176" formatCode="0.00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7" formatCode="0.00_);[Red]\(0.00\)"/>
    <numFmt numFmtId="41" formatCode="_ * #,##0_ ;_ * \-#,##0_ ;_ * &quot;-&quot;_ ;_ @_ "/>
  </numFmts>
  <fonts count="43">
    <font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6.75"/>
      <color theme="1"/>
      <name val="Arial Unicode MS"/>
      <charset val="134"/>
    </font>
    <font>
      <sz val="6.75"/>
      <color theme="1"/>
      <name val="宋体"/>
      <charset val="134"/>
      <scheme val="minor"/>
    </font>
    <font>
      <sz val="12"/>
      <name val="宋体"/>
      <charset val="134"/>
    </font>
    <font>
      <b/>
      <sz val="10"/>
      <name val="仿宋"/>
      <charset val="134"/>
    </font>
    <font>
      <sz val="10"/>
      <color theme="1"/>
      <name val="仿宋"/>
      <charset val="134"/>
    </font>
    <font>
      <b/>
      <sz val="10"/>
      <color rgb="FF000000"/>
      <name val="仿宋"/>
      <charset val="134"/>
    </font>
    <font>
      <b/>
      <sz val="10"/>
      <color theme="1"/>
      <name val="仿宋"/>
      <charset val="134"/>
    </font>
    <font>
      <sz val="10"/>
      <name val="仿宋"/>
      <charset val="134"/>
    </font>
    <font>
      <sz val="11"/>
      <color theme="1"/>
      <name val="仿宋"/>
      <charset val="134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rgb="FF7030A0"/>
      <name val="宋体"/>
      <charset val="134"/>
      <scheme val="minor"/>
    </font>
    <font>
      <sz val="10"/>
      <color theme="5"/>
      <name val="宋体"/>
      <charset val="134"/>
      <scheme val="minor"/>
    </font>
    <font>
      <sz val="20"/>
      <color theme="1"/>
      <name val="方正小标宋简体"/>
      <charset val="134"/>
    </font>
    <font>
      <sz val="20"/>
      <color theme="1"/>
      <name val="楷体"/>
      <charset val="134"/>
    </font>
    <font>
      <sz val="10"/>
      <color rgb="FFC00000"/>
      <name val="仿宋"/>
      <charset val="134"/>
    </font>
    <font>
      <sz val="10"/>
      <color rgb="FFFF0000"/>
      <name val="仿宋"/>
      <charset val="134"/>
    </font>
    <font>
      <sz val="18"/>
      <color theme="1"/>
      <name val="楷体"/>
      <charset val="134"/>
    </font>
    <font>
      <sz val="10"/>
      <color theme="1"/>
      <name val="仿宋"/>
      <charset val="0"/>
    </font>
    <font>
      <sz val="14"/>
      <color theme="1"/>
      <name val="宋体"/>
      <charset val="134"/>
      <scheme val="minor"/>
    </font>
    <font>
      <strike/>
      <sz val="10"/>
      <color theme="1"/>
      <name val="仿宋"/>
      <charset val="134"/>
    </font>
    <font>
      <sz val="11"/>
      <color rgb="FFFA7D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0"/>
      <name val="Arial"/>
      <charset val="0"/>
    </font>
    <font>
      <b/>
      <sz val="11"/>
      <color rgb="FF3F3F3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3F3F76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CD3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0">
    <xf numFmtId="0" fontId="0" fillId="0" borderId="0">
      <alignment vertical="center"/>
    </xf>
    <xf numFmtId="0" fontId="27" fillId="3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38" fillId="21" borderId="13" applyNumberForma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40" fillId="18" borderId="13" applyNumberFormat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2" fillId="15" borderId="10" applyNumberFormat="0" applyAlignment="0" applyProtection="0">
      <alignment vertical="center"/>
    </xf>
    <xf numFmtId="0" fontId="35" fillId="18" borderId="11" applyNumberFormat="0" applyAlignment="0" applyProtection="0">
      <alignment vertical="center"/>
    </xf>
    <xf numFmtId="0" fontId="41" fillId="0" borderId="7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4" fillId="0" borderId="0"/>
    <xf numFmtId="42" fontId="0" fillId="0" borderId="0" applyFont="0" applyFill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</cellStyleXfs>
  <cellXfs count="9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1" xfId="29" applyFont="1" applyFill="1" applyBorder="1" applyAlignment="1" applyProtection="1">
      <alignment horizontal="center" vertical="center" wrapText="1"/>
      <protection locked="0"/>
    </xf>
    <xf numFmtId="43" fontId="5" fillId="0" borderId="1" xfId="32" applyNumberFormat="1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 wrapText="1"/>
    </xf>
    <xf numFmtId="0" fontId="12" fillId="0" borderId="0" xfId="0" applyFont="1" applyFill="1" applyAlignment="1">
      <alignment horizontal="right" vertical="center" wrapText="1"/>
    </xf>
    <xf numFmtId="0" fontId="12" fillId="0" borderId="0" xfId="0" applyFont="1" applyFill="1" applyBorder="1" applyAlignment="1">
      <alignment vertical="center"/>
    </xf>
    <xf numFmtId="0" fontId="13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3" fillId="0" borderId="0" xfId="0" applyFont="1" applyFill="1" applyBorder="1" applyAlignment="1">
      <alignment vertical="center"/>
    </xf>
    <xf numFmtId="0" fontId="14" fillId="0" borderId="0" xfId="0" applyFont="1" applyFill="1" applyAlignment="1">
      <alignment vertical="center"/>
    </xf>
    <xf numFmtId="0" fontId="1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top"/>
    </xf>
    <xf numFmtId="0" fontId="6" fillId="0" borderId="0" xfId="0" applyNumberFormat="1" applyFont="1" applyFill="1" applyBorder="1" applyAlignment="1">
      <alignment vertical="top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 wrapText="1"/>
    </xf>
    <xf numFmtId="0" fontId="16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vertical="center" wrapText="1"/>
    </xf>
    <xf numFmtId="0" fontId="9" fillId="0" borderId="1" xfId="0" applyNumberFormat="1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center" vertical="center" wrapText="1"/>
    </xf>
    <xf numFmtId="177" fontId="9" fillId="6" borderId="1" xfId="0" applyNumberFormat="1" applyFont="1" applyFill="1" applyBorder="1" applyAlignment="1">
      <alignment horizontal="center" vertical="center" wrapText="1"/>
    </xf>
    <xf numFmtId="0" fontId="9" fillId="6" borderId="1" xfId="0" applyNumberFormat="1" applyFont="1" applyFill="1" applyBorder="1" applyAlignment="1">
      <alignment horizontal="center" vertical="center" wrapText="1"/>
    </xf>
    <xf numFmtId="176" fontId="9" fillId="6" borderId="1" xfId="0" applyNumberFormat="1" applyFont="1" applyFill="1" applyBorder="1" applyAlignment="1">
      <alignment horizontal="center" vertical="center" wrapText="1"/>
    </xf>
    <xf numFmtId="0" fontId="18" fillId="6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5" borderId="1" xfId="0" applyNumberFormat="1" applyFont="1" applyFill="1" applyBorder="1" applyAlignment="1">
      <alignment vertical="center" wrapText="1"/>
    </xf>
    <xf numFmtId="0" fontId="19" fillId="5" borderId="1" xfId="0" applyNumberFormat="1" applyFont="1" applyFill="1" applyBorder="1" applyAlignment="1">
      <alignment vertical="center" wrapText="1"/>
    </xf>
    <xf numFmtId="0" fontId="18" fillId="5" borderId="1" xfId="0" applyNumberFormat="1" applyFont="1" applyFill="1" applyBorder="1" applyAlignment="1">
      <alignment horizontal="center" vertical="center" wrapText="1"/>
    </xf>
    <xf numFmtId="0" fontId="9" fillId="5" borderId="1" xfId="0" applyNumberFormat="1" applyFont="1" applyFill="1" applyBorder="1" applyAlignment="1">
      <alignment horizontal="center" vertical="center" wrapText="1"/>
    </xf>
    <xf numFmtId="0" fontId="18" fillId="5" borderId="1" xfId="0" applyNumberFormat="1" applyFont="1" applyFill="1" applyBorder="1" applyAlignment="1">
      <alignment vertical="center" wrapText="1"/>
    </xf>
    <xf numFmtId="0" fontId="18" fillId="5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left" vertical="center"/>
    </xf>
    <xf numFmtId="0" fontId="20" fillId="0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1" fillId="0" borderId="1" xfId="29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Fill="1" applyAlignment="1">
      <alignment vertical="center"/>
    </xf>
    <xf numFmtId="0" fontId="6" fillId="0" borderId="1" xfId="0" applyFont="1" applyFill="1" applyBorder="1" applyAlignment="1">
      <alignment vertical="top"/>
    </xf>
    <xf numFmtId="0" fontId="1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176" fontId="18" fillId="6" borderId="1" xfId="0" applyNumberFormat="1" applyFont="1" applyFill="1" applyBorder="1" applyAlignment="1">
      <alignment horizontal="center" vertical="center" wrapText="1"/>
    </xf>
    <xf numFmtId="0" fontId="19" fillId="5" borderId="1" xfId="0" applyNumberFormat="1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 quotePrefix="1">
      <alignment horizontal="center" vertical="center" wrapText="1"/>
    </xf>
  </cellXfs>
  <cellStyles count="50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常规 10" xfId="2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7030A0"/>
      <color rgb="00ED7D31"/>
      <color rgb="00FFF2CC"/>
      <color rgb="00FF0000"/>
      <color rgb="00E2EFDA"/>
      <color rgb="00000000"/>
      <color rgb="00FFCD35"/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49"/>
  <sheetViews>
    <sheetView topLeftCell="G1" workbookViewId="0">
      <pane ySplit="3" topLeftCell="A4" activePane="bottomLeft" state="frozen"/>
      <selection/>
      <selection pane="bottomLeft" activeCell="T122" sqref="T122:T125"/>
    </sheetView>
  </sheetViews>
  <sheetFormatPr defaultColWidth="9" defaultRowHeight="15" customHeight="1"/>
  <cols>
    <col min="1" max="1" width="5.25" style="46" customWidth="1"/>
    <col min="2" max="2" width="16" style="46" customWidth="1"/>
    <col min="3" max="3" width="19.75" style="47" customWidth="1"/>
    <col min="4" max="4" width="19.375" style="48" customWidth="1"/>
    <col min="5" max="5" width="22.75" style="48" customWidth="1"/>
    <col min="6" max="6" width="5" style="49" customWidth="1"/>
    <col min="7" max="7" width="24.75" style="49" customWidth="1"/>
    <col min="8" max="9" width="8.5" style="50" customWidth="1"/>
    <col min="10" max="15" width="8.625" style="50" customWidth="1"/>
    <col min="16" max="18" width="8.125" style="50" hidden="1" customWidth="1"/>
    <col min="19" max="19" width="8.125" style="50" customWidth="1"/>
    <col min="20" max="20" width="20.875" style="51" customWidth="1"/>
    <col min="21" max="21" width="16.25" style="52" customWidth="1"/>
    <col min="22" max="22" width="12.375" style="51" customWidth="1"/>
    <col min="23" max="23" width="33.375" style="35" customWidth="1"/>
    <col min="24" max="24" width="21.125" style="52" hidden="1" customWidth="1"/>
    <col min="25" max="25" width="8.125" style="52" hidden="1" customWidth="1"/>
    <col min="26" max="26" width="4.125" style="52" customWidth="1"/>
    <col min="27" max="27" width="22.75" style="52" hidden="1" customWidth="1"/>
    <col min="28" max="30" width="9" style="40"/>
    <col min="31" max="31" width="9" style="40" customWidth="1"/>
    <col min="32" max="16384" width="9" style="40"/>
  </cols>
  <sheetData>
    <row r="1" ht="46" customHeight="1" spans="1:31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78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customFormat="1" ht="38" customHeight="1" spans="1:31">
      <c r="A2" s="54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79"/>
      <c r="U2" s="80" t="s">
        <v>2</v>
      </c>
      <c r="V2" s="80"/>
      <c r="W2" s="80"/>
      <c r="X2" s="80"/>
      <c r="Y2" s="80"/>
      <c r="Z2" s="80"/>
      <c r="AA2" s="80"/>
      <c r="AB2" s="80"/>
      <c r="AC2" s="80"/>
      <c r="AD2" s="80"/>
      <c r="AE2" s="80"/>
    </row>
    <row r="3" s="37" customFormat="1" ht="30" customHeight="1" spans="1:31">
      <c r="A3" s="27" t="s">
        <v>3</v>
      </c>
      <c r="B3" s="27" t="s">
        <v>4</v>
      </c>
      <c r="C3" s="28" t="s">
        <v>5</v>
      </c>
      <c r="D3" s="29" t="s">
        <v>6</v>
      </c>
      <c r="E3" s="29" t="s">
        <v>7</v>
      </c>
      <c r="F3" s="27" t="s">
        <v>8</v>
      </c>
      <c r="G3" s="27" t="s">
        <v>9</v>
      </c>
      <c r="H3" s="62" t="s">
        <v>10</v>
      </c>
      <c r="I3" s="62" t="s">
        <v>11</v>
      </c>
      <c r="J3" s="63" t="s">
        <v>12</v>
      </c>
      <c r="K3" s="63" t="s">
        <v>13</v>
      </c>
      <c r="L3" s="63" t="s">
        <v>14</v>
      </c>
      <c r="M3" s="22" t="s">
        <v>15</v>
      </c>
      <c r="N3" s="22" t="s">
        <v>16</v>
      </c>
      <c r="O3" s="22" t="s">
        <v>17</v>
      </c>
      <c r="P3" s="77" t="s">
        <v>18</v>
      </c>
      <c r="Q3" s="77" t="s">
        <v>19</v>
      </c>
      <c r="R3" s="77" t="s">
        <v>20</v>
      </c>
      <c r="S3" s="63" t="s">
        <v>21</v>
      </c>
      <c r="T3" s="77" t="s">
        <v>22</v>
      </c>
      <c r="U3" s="11" t="s">
        <v>23</v>
      </c>
      <c r="V3" s="11" t="s">
        <v>4</v>
      </c>
      <c r="W3" s="12" t="s">
        <v>5</v>
      </c>
      <c r="X3" s="11" t="s">
        <v>24</v>
      </c>
      <c r="Y3" s="11" t="s">
        <v>25</v>
      </c>
      <c r="Z3" s="11" t="s">
        <v>8</v>
      </c>
      <c r="AA3" s="11" t="s">
        <v>26</v>
      </c>
      <c r="AB3" s="22" t="s">
        <v>27</v>
      </c>
      <c r="AC3" s="22" t="s">
        <v>28</v>
      </c>
      <c r="AD3" s="22" t="s">
        <v>29</v>
      </c>
      <c r="AE3" s="77" t="s">
        <v>30</v>
      </c>
    </row>
    <row r="4" s="38" customFormat="1" ht="24" customHeight="1" spans="1:31">
      <c r="A4" s="55">
        <v>1</v>
      </c>
      <c r="B4" s="56" t="s">
        <v>31</v>
      </c>
      <c r="C4" s="55" t="s">
        <v>32</v>
      </c>
      <c r="D4" s="58" t="s">
        <v>33</v>
      </c>
      <c r="E4" s="58" t="s">
        <v>34</v>
      </c>
      <c r="F4" s="55" t="s">
        <v>35</v>
      </c>
      <c r="G4" s="58" t="s">
        <v>36</v>
      </c>
      <c r="H4" s="64">
        <v>3000</v>
      </c>
      <c r="I4" s="64">
        <v>2700</v>
      </c>
      <c r="J4" s="65">
        <v>2694.71153846154</v>
      </c>
      <c r="K4" s="65">
        <v>2432.72727272727</v>
      </c>
      <c r="L4" s="65"/>
      <c r="M4" s="74">
        <v>2700</v>
      </c>
      <c r="N4" s="74">
        <v>2435</v>
      </c>
      <c r="O4" s="74">
        <v>2070</v>
      </c>
      <c r="P4" s="55" t="s">
        <v>37</v>
      </c>
      <c r="Q4" s="55" t="s">
        <v>38</v>
      </c>
      <c r="R4" s="55" t="s">
        <v>38</v>
      </c>
      <c r="S4" s="65" t="s">
        <v>39</v>
      </c>
      <c r="T4" s="58" t="s">
        <v>40</v>
      </c>
      <c r="U4" s="16" t="s">
        <v>41</v>
      </c>
      <c r="V4" s="16">
        <v>330703033</v>
      </c>
      <c r="W4" s="16" t="s">
        <v>42</v>
      </c>
      <c r="X4" s="16" t="s">
        <v>43</v>
      </c>
      <c r="Y4" s="16"/>
      <c r="Z4" s="16" t="s">
        <v>35</v>
      </c>
      <c r="AA4" s="16" t="s">
        <v>44</v>
      </c>
      <c r="AB4" s="26">
        <v>2250</v>
      </c>
      <c r="AC4" s="26">
        <v>2160</v>
      </c>
      <c r="AD4" s="26">
        <v>1836</v>
      </c>
      <c r="AE4" s="16" t="s">
        <v>37</v>
      </c>
    </row>
    <row r="5" s="38" customFormat="1" ht="24" customHeight="1" spans="1:31">
      <c r="A5" s="55"/>
      <c r="B5" s="56"/>
      <c r="C5" s="55"/>
      <c r="D5" s="58"/>
      <c r="E5" s="58"/>
      <c r="F5" s="55"/>
      <c r="G5" s="58"/>
      <c r="H5" s="64"/>
      <c r="I5" s="64"/>
      <c r="J5" s="65"/>
      <c r="K5" s="65"/>
      <c r="L5" s="65"/>
      <c r="M5" s="74"/>
      <c r="N5" s="74"/>
      <c r="O5" s="74"/>
      <c r="P5" s="55"/>
      <c r="Q5" s="55"/>
      <c r="R5" s="55"/>
      <c r="S5" s="65"/>
      <c r="T5" s="58"/>
      <c r="U5" s="16" t="s">
        <v>45</v>
      </c>
      <c r="V5" s="16">
        <v>33070303301</v>
      </c>
      <c r="W5" s="16" t="s">
        <v>46</v>
      </c>
      <c r="X5" s="16"/>
      <c r="Y5" s="16"/>
      <c r="Z5" s="16" t="s">
        <v>35</v>
      </c>
      <c r="AA5" s="16" t="s">
        <v>47</v>
      </c>
      <c r="AB5" s="26">
        <v>2700</v>
      </c>
      <c r="AC5" s="26">
        <v>2592</v>
      </c>
      <c r="AD5" s="26">
        <v>2203.2</v>
      </c>
      <c r="AE5" s="16" t="s">
        <v>37</v>
      </c>
    </row>
    <row r="6" s="38" customFormat="1" ht="24" customHeight="1" spans="1:31">
      <c r="A6" s="55"/>
      <c r="B6" s="56"/>
      <c r="C6" s="55"/>
      <c r="D6" s="58"/>
      <c r="E6" s="58"/>
      <c r="F6" s="55"/>
      <c r="G6" s="58"/>
      <c r="H6" s="64"/>
      <c r="I6" s="64"/>
      <c r="J6" s="65"/>
      <c r="K6" s="65"/>
      <c r="L6" s="65"/>
      <c r="M6" s="74"/>
      <c r="N6" s="74"/>
      <c r="O6" s="74"/>
      <c r="P6" s="55"/>
      <c r="Q6" s="55"/>
      <c r="R6" s="55"/>
      <c r="S6" s="65"/>
      <c r="T6" s="58"/>
      <c r="U6" s="16" t="s">
        <v>48</v>
      </c>
      <c r="V6" s="16">
        <v>33070303304</v>
      </c>
      <c r="W6" s="16" t="s">
        <v>49</v>
      </c>
      <c r="X6" s="16"/>
      <c r="Y6" s="16"/>
      <c r="Z6" s="16" t="s">
        <v>35</v>
      </c>
      <c r="AA6" s="16" t="s">
        <v>38</v>
      </c>
      <c r="AB6" s="26">
        <v>2875</v>
      </c>
      <c r="AC6" s="26">
        <v>2760</v>
      </c>
      <c r="AD6" s="26">
        <v>2346</v>
      </c>
      <c r="AE6" s="16" t="s">
        <v>37</v>
      </c>
    </row>
    <row r="7" s="38" customFormat="1" ht="24" customHeight="1" spans="1:31">
      <c r="A7" s="55"/>
      <c r="B7" s="56"/>
      <c r="C7" s="55"/>
      <c r="D7" s="58"/>
      <c r="E7" s="58"/>
      <c r="F7" s="55"/>
      <c r="G7" s="58"/>
      <c r="H7" s="64"/>
      <c r="I7" s="64"/>
      <c r="J7" s="65"/>
      <c r="K7" s="65"/>
      <c r="L7" s="65"/>
      <c r="M7" s="74"/>
      <c r="N7" s="74"/>
      <c r="O7" s="74"/>
      <c r="P7" s="55"/>
      <c r="Q7" s="55"/>
      <c r="R7" s="55"/>
      <c r="S7" s="65"/>
      <c r="T7" s="58"/>
      <c r="U7" s="16" t="s">
        <v>50</v>
      </c>
      <c r="V7" s="16">
        <v>33070303305</v>
      </c>
      <c r="W7" s="16" t="s">
        <v>51</v>
      </c>
      <c r="X7" s="16"/>
      <c r="Y7" s="16"/>
      <c r="Z7" s="16" t="s">
        <v>35</v>
      </c>
      <c r="AA7" s="16" t="s">
        <v>47</v>
      </c>
      <c r="AB7" s="26">
        <v>3325</v>
      </c>
      <c r="AC7" s="26">
        <v>3192</v>
      </c>
      <c r="AD7" s="26">
        <v>2713.2</v>
      </c>
      <c r="AE7" s="16" t="s">
        <v>37</v>
      </c>
    </row>
    <row r="8" s="38" customFormat="1" ht="24" customHeight="1" spans="1:31">
      <c r="A8" s="55"/>
      <c r="B8" s="56"/>
      <c r="C8" s="55"/>
      <c r="D8" s="58"/>
      <c r="E8" s="58"/>
      <c r="F8" s="55"/>
      <c r="G8" s="58"/>
      <c r="H8" s="64"/>
      <c r="I8" s="64"/>
      <c r="J8" s="65"/>
      <c r="K8" s="65"/>
      <c r="L8" s="65"/>
      <c r="M8" s="74"/>
      <c r="N8" s="74"/>
      <c r="O8" s="74"/>
      <c r="P8" s="55"/>
      <c r="Q8" s="55"/>
      <c r="R8" s="55"/>
      <c r="S8" s="65"/>
      <c r="T8" s="58"/>
      <c r="U8" s="16" t="s">
        <v>52</v>
      </c>
      <c r="V8" s="16">
        <v>330703034</v>
      </c>
      <c r="W8" s="16" t="s">
        <v>53</v>
      </c>
      <c r="X8" s="16" t="s">
        <v>54</v>
      </c>
      <c r="Y8" s="16"/>
      <c r="Z8" s="16" t="s">
        <v>35</v>
      </c>
      <c r="AA8" s="16" t="s">
        <v>38</v>
      </c>
      <c r="AB8" s="26">
        <v>2250</v>
      </c>
      <c r="AC8" s="26">
        <v>2160</v>
      </c>
      <c r="AD8" s="26">
        <v>1836</v>
      </c>
      <c r="AE8" s="16" t="s">
        <v>37</v>
      </c>
    </row>
    <row r="9" s="38" customFormat="1" ht="24" customHeight="1" spans="1:31">
      <c r="A9" s="55"/>
      <c r="B9" s="56"/>
      <c r="C9" s="55"/>
      <c r="D9" s="58"/>
      <c r="E9" s="58"/>
      <c r="F9" s="55"/>
      <c r="G9" s="58"/>
      <c r="H9" s="64"/>
      <c r="I9" s="64"/>
      <c r="J9" s="65"/>
      <c r="K9" s="65"/>
      <c r="L9" s="65"/>
      <c r="M9" s="74"/>
      <c r="N9" s="74"/>
      <c r="O9" s="74"/>
      <c r="P9" s="55"/>
      <c r="Q9" s="55"/>
      <c r="R9" s="55"/>
      <c r="S9" s="65"/>
      <c r="T9" s="58"/>
      <c r="U9" s="16" t="s">
        <v>55</v>
      </c>
      <c r="V9" s="16">
        <v>33070303402</v>
      </c>
      <c r="W9" s="16" t="s">
        <v>56</v>
      </c>
      <c r="X9" s="16"/>
      <c r="Y9" s="16"/>
      <c r="Z9" s="16" t="s">
        <v>35</v>
      </c>
      <c r="AA9" s="16" t="s">
        <v>38</v>
      </c>
      <c r="AB9" s="26">
        <v>2875</v>
      </c>
      <c r="AC9" s="26">
        <v>2760</v>
      </c>
      <c r="AD9" s="26">
        <v>2346</v>
      </c>
      <c r="AE9" s="16" t="s">
        <v>37</v>
      </c>
    </row>
    <row r="10" s="39" customFormat="1" ht="24" customHeight="1" spans="1:31">
      <c r="A10" s="55" t="s">
        <v>57</v>
      </c>
      <c r="B10" s="56" t="s">
        <v>58</v>
      </c>
      <c r="C10" s="55" t="s">
        <v>59</v>
      </c>
      <c r="D10" s="58" t="s">
        <v>38</v>
      </c>
      <c r="E10" s="58" t="s">
        <v>38</v>
      </c>
      <c r="F10" s="55" t="s">
        <v>35</v>
      </c>
      <c r="G10" s="58" t="s">
        <v>38</v>
      </c>
      <c r="H10" s="64">
        <v>900</v>
      </c>
      <c r="I10" s="64">
        <v>810</v>
      </c>
      <c r="J10" s="66"/>
      <c r="K10" s="66"/>
      <c r="L10" s="66"/>
      <c r="M10" s="74">
        <v>810</v>
      </c>
      <c r="N10" s="74">
        <v>730</v>
      </c>
      <c r="O10" s="74">
        <v>620</v>
      </c>
      <c r="P10" s="55" t="s">
        <v>37</v>
      </c>
      <c r="Q10" s="55" t="s">
        <v>38</v>
      </c>
      <c r="R10" s="55" t="s">
        <v>38</v>
      </c>
      <c r="S10" s="66"/>
      <c r="T10" s="58" t="s">
        <v>60</v>
      </c>
      <c r="U10" s="16" t="s">
        <v>61</v>
      </c>
      <c r="V10" s="16">
        <v>33070303302</v>
      </c>
      <c r="W10" s="16" t="s">
        <v>62</v>
      </c>
      <c r="X10" s="16"/>
      <c r="Y10" s="16"/>
      <c r="Z10" s="16" t="s">
        <v>35</v>
      </c>
      <c r="AA10" s="16" t="s">
        <v>38</v>
      </c>
      <c r="AB10" s="26">
        <v>2925</v>
      </c>
      <c r="AC10" s="26">
        <v>2810</v>
      </c>
      <c r="AD10" s="26">
        <v>2390</v>
      </c>
      <c r="AE10" s="16" t="s">
        <v>37</v>
      </c>
    </row>
    <row r="11" s="39" customFormat="1" ht="24" customHeight="1" spans="1:31">
      <c r="A11" s="55"/>
      <c r="B11" s="56"/>
      <c r="C11" s="55"/>
      <c r="D11" s="58"/>
      <c r="E11" s="58"/>
      <c r="F11" s="55"/>
      <c r="G11" s="58"/>
      <c r="H11" s="64"/>
      <c r="I11" s="64"/>
      <c r="J11" s="66"/>
      <c r="K11" s="66"/>
      <c r="L11" s="66"/>
      <c r="M11" s="74"/>
      <c r="N11" s="74"/>
      <c r="O11" s="74"/>
      <c r="P11" s="55"/>
      <c r="Q11" s="55"/>
      <c r="R11" s="55"/>
      <c r="S11" s="66"/>
      <c r="T11" s="58"/>
      <c r="U11" s="16" t="s">
        <v>63</v>
      </c>
      <c r="V11" s="16">
        <v>33070303303</v>
      </c>
      <c r="W11" s="16" t="s">
        <v>64</v>
      </c>
      <c r="X11" s="16"/>
      <c r="Y11" s="16"/>
      <c r="Z11" s="16" t="s">
        <v>35</v>
      </c>
      <c r="AA11" s="16" t="s">
        <v>47</v>
      </c>
      <c r="AB11" s="26">
        <v>3510</v>
      </c>
      <c r="AC11" s="26">
        <v>3370</v>
      </c>
      <c r="AD11" s="26">
        <v>2865</v>
      </c>
      <c r="AE11" s="16" t="s">
        <v>37</v>
      </c>
    </row>
    <row r="12" s="39" customFormat="1" ht="24" customHeight="1" spans="1:31">
      <c r="A12" s="55"/>
      <c r="B12" s="56"/>
      <c r="C12" s="55"/>
      <c r="D12" s="58"/>
      <c r="E12" s="58"/>
      <c r="F12" s="55"/>
      <c r="G12" s="58"/>
      <c r="H12" s="64"/>
      <c r="I12" s="64"/>
      <c r="J12" s="66"/>
      <c r="K12" s="66"/>
      <c r="L12" s="66"/>
      <c r="M12" s="74"/>
      <c r="N12" s="74"/>
      <c r="O12" s="74"/>
      <c r="P12" s="55"/>
      <c r="Q12" s="55"/>
      <c r="R12" s="55"/>
      <c r="S12" s="66"/>
      <c r="T12" s="58"/>
      <c r="U12" s="16" t="s">
        <v>65</v>
      </c>
      <c r="V12" s="16">
        <v>33070303306</v>
      </c>
      <c r="W12" s="16" t="s">
        <v>66</v>
      </c>
      <c r="X12" s="16"/>
      <c r="Y12" s="16"/>
      <c r="Z12" s="16" t="s">
        <v>35</v>
      </c>
      <c r="AA12" s="16" t="s">
        <v>38</v>
      </c>
      <c r="AB12" s="26">
        <v>3550</v>
      </c>
      <c r="AC12" s="26">
        <v>3410</v>
      </c>
      <c r="AD12" s="26">
        <v>2900</v>
      </c>
      <c r="AE12" s="16" t="s">
        <v>37</v>
      </c>
    </row>
    <row r="13" s="39" customFormat="1" ht="24" customHeight="1" spans="1:31">
      <c r="A13" s="55"/>
      <c r="B13" s="56"/>
      <c r="C13" s="55"/>
      <c r="D13" s="58"/>
      <c r="E13" s="58"/>
      <c r="F13" s="55"/>
      <c r="G13" s="58"/>
      <c r="H13" s="64"/>
      <c r="I13" s="64"/>
      <c r="J13" s="66"/>
      <c r="K13" s="66"/>
      <c r="L13" s="66"/>
      <c r="M13" s="74"/>
      <c r="N13" s="74"/>
      <c r="O13" s="74"/>
      <c r="P13" s="55"/>
      <c r="Q13" s="55"/>
      <c r="R13" s="55"/>
      <c r="S13" s="66"/>
      <c r="T13" s="58"/>
      <c r="U13" s="16" t="s">
        <v>67</v>
      </c>
      <c r="V13" s="16">
        <v>33070303307</v>
      </c>
      <c r="W13" s="16" t="s">
        <v>68</v>
      </c>
      <c r="X13" s="16"/>
      <c r="Y13" s="16"/>
      <c r="Z13" s="16" t="s">
        <v>35</v>
      </c>
      <c r="AA13" s="16" t="s">
        <v>47</v>
      </c>
      <c r="AB13" s="26">
        <v>4135</v>
      </c>
      <c r="AC13" s="26">
        <v>3970</v>
      </c>
      <c r="AD13" s="26">
        <v>3375</v>
      </c>
      <c r="AE13" s="16" t="s">
        <v>37</v>
      </c>
    </row>
    <row r="14" s="39" customFormat="1" ht="24" customHeight="1" spans="1:31">
      <c r="A14" s="55"/>
      <c r="B14" s="56"/>
      <c r="C14" s="55"/>
      <c r="D14" s="58"/>
      <c r="E14" s="58"/>
      <c r="F14" s="55"/>
      <c r="G14" s="58"/>
      <c r="H14" s="64"/>
      <c r="I14" s="64"/>
      <c r="J14" s="66"/>
      <c r="K14" s="66"/>
      <c r="L14" s="66"/>
      <c r="M14" s="74"/>
      <c r="N14" s="74"/>
      <c r="O14" s="74"/>
      <c r="P14" s="55"/>
      <c r="Q14" s="55"/>
      <c r="R14" s="55"/>
      <c r="S14" s="66"/>
      <c r="T14" s="58"/>
      <c r="U14" s="16" t="s">
        <v>69</v>
      </c>
      <c r="V14" s="16">
        <v>33070303401</v>
      </c>
      <c r="W14" s="16" t="s">
        <v>70</v>
      </c>
      <c r="X14" s="16"/>
      <c r="Y14" s="16"/>
      <c r="Z14" s="16" t="s">
        <v>35</v>
      </c>
      <c r="AA14" s="16" t="s">
        <v>38</v>
      </c>
      <c r="AB14" s="26">
        <v>2925</v>
      </c>
      <c r="AC14" s="26">
        <v>2810</v>
      </c>
      <c r="AD14" s="26">
        <v>2390</v>
      </c>
      <c r="AE14" s="16" t="s">
        <v>37</v>
      </c>
    </row>
    <row r="15" s="39" customFormat="1" ht="24" customHeight="1" spans="1:31">
      <c r="A15" s="55"/>
      <c r="B15" s="56"/>
      <c r="C15" s="55"/>
      <c r="D15" s="58"/>
      <c r="E15" s="58"/>
      <c r="F15" s="55"/>
      <c r="G15" s="58"/>
      <c r="H15" s="64"/>
      <c r="I15" s="64"/>
      <c r="J15" s="66"/>
      <c r="K15" s="66"/>
      <c r="L15" s="66"/>
      <c r="M15" s="74"/>
      <c r="N15" s="74"/>
      <c r="O15" s="74"/>
      <c r="P15" s="55"/>
      <c r="Q15" s="55"/>
      <c r="R15" s="55"/>
      <c r="S15" s="66"/>
      <c r="T15" s="58"/>
      <c r="U15" s="16" t="s">
        <v>71</v>
      </c>
      <c r="V15" s="16">
        <v>33070303403</v>
      </c>
      <c r="W15" s="16" t="s">
        <v>72</v>
      </c>
      <c r="X15" s="16"/>
      <c r="Y15" s="16"/>
      <c r="Z15" s="16" t="s">
        <v>35</v>
      </c>
      <c r="AA15" s="16" t="s">
        <v>38</v>
      </c>
      <c r="AB15" s="26">
        <v>3550</v>
      </c>
      <c r="AC15" s="26">
        <v>3410</v>
      </c>
      <c r="AD15" s="26">
        <v>2900</v>
      </c>
      <c r="AE15" s="16" t="s">
        <v>37</v>
      </c>
    </row>
    <row r="16" s="40" customFormat="1" ht="25" customHeight="1" spans="1:31">
      <c r="A16" s="55">
        <v>2</v>
      </c>
      <c r="B16" s="59" t="s">
        <v>73</v>
      </c>
      <c r="C16" s="55" t="s">
        <v>74</v>
      </c>
      <c r="D16" s="58" t="s">
        <v>75</v>
      </c>
      <c r="E16" s="58" t="s">
        <v>76</v>
      </c>
      <c r="F16" s="55" t="s">
        <v>35</v>
      </c>
      <c r="G16" s="58" t="s">
        <v>36</v>
      </c>
      <c r="H16" s="64">
        <v>1700</v>
      </c>
      <c r="I16" s="64">
        <v>1530</v>
      </c>
      <c r="J16" s="65">
        <v>1549.08906882591</v>
      </c>
      <c r="K16" s="65">
        <v>1392.91139240506</v>
      </c>
      <c r="L16" s="65">
        <v>1197.39130434783</v>
      </c>
      <c r="M16" s="74">
        <v>1550</v>
      </c>
      <c r="N16" s="74">
        <v>1395</v>
      </c>
      <c r="O16" s="74">
        <v>1200</v>
      </c>
      <c r="P16" s="55" t="s">
        <v>37</v>
      </c>
      <c r="Q16" s="55" t="s">
        <v>38</v>
      </c>
      <c r="R16" s="55" t="s">
        <v>38</v>
      </c>
      <c r="S16" s="65" t="s">
        <v>39</v>
      </c>
      <c r="T16" s="58" t="s">
        <v>40</v>
      </c>
      <c r="U16" s="16" t="s">
        <v>77</v>
      </c>
      <c r="V16" s="17">
        <v>331008004</v>
      </c>
      <c r="W16" s="16" t="s">
        <v>78</v>
      </c>
      <c r="X16" s="16"/>
      <c r="Y16" s="16"/>
      <c r="Z16" s="16" t="s">
        <v>35</v>
      </c>
      <c r="AA16" s="16" t="s">
        <v>38</v>
      </c>
      <c r="AB16" s="26">
        <v>1000</v>
      </c>
      <c r="AC16" s="26">
        <v>960</v>
      </c>
      <c r="AD16" s="26">
        <v>816</v>
      </c>
      <c r="AE16" s="16" t="s">
        <v>37</v>
      </c>
    </row>
    <row r="17" s="40" customFormat="1" ht="25" customHeight="1" spans="1:31">
      <c r="A17" s="55"/>
      <c r="B17" s="59"/>
      <c r="C17" s="55"/>
      <c r="D17" s="58"/>
      <c r="E17" s="58"/>
      <c r="F17" s="55"/>
      <c r="G17" s="58"/>
      <c r="H17" s="64"/>
      <c r="I17" s="64"/>
      <c r="J17" s="65"/>
      <c r="K17" s="65"/>
      <c r="L17" s="65"/>
      <c r="M17" s="74"/>
      <c r="N17" s="74"/>
      <c r="O17" s="74"/>
      <c r="P17" s="55"/>
      <c r="Q17" s="55"/>
      <c r="R17" s="55"/>
      <c r="S17" s="65"/>
      <c r="T17" s="58"/>
      <c r="U17" s="16" t="s">
        <v>79</v>
      </c>
      <c r="V17" s="17">
        <v>33100800402</v>
      </c>
      <c r="W17" s="16" t="s">
        <v>80</v>
      </c>
      <c r="X17" s="16"/>
      <c r="Y17" s="16"/>
      <c r="Z17" s="16" t="s">
        <v>35</v>
      </c>
      <c r="AA17" s="16" t="s">
        <v>38</v>
      </c>
      <c r="AB17" s="26">
        <v>1625</v>
      </c>
      <c r="AC17" s="26">
        <v>1560</v>
      </c>
      <c r="AD17" s="26">
        <v>1326</v>
      </c>
      <c r="AE17" s="16" t="s">
        <v>37</v>
      </c>
    </row>
    <row r="18" s="40" customFormat="1" ht="25" customHeight="1" spans="1:31">
      <c r="A18" s="55"/>
      <c r="B18" s="59"/>
      <c r="C18" s="55"/>
      <c r="D18" s="58"/>
      <c r="E18" s="58"/>
      <c r="F18" s="55"/>
      <c r="G18" s="58"/>
      <c r="H18" s="64"/>
      <c r="I18" s="64"/>
      <c r="J18" s="65"/>
      <c r="K18" s="65"/>
      <c r="L18" s="65"/>
      <c r="M18" s="74"/>
      <c r="N18" s="74"/>
      <c r="O18" s="74"/>
      <c r="P18" s="55"/>
      <c r="Q18" s="55"/>
      <c r="R18" s="55"/>
      <c r="S18" s="65"/>
      <c r="T18" s="58"/>
      <c r="U18" s="16" t="s">
        <v>81</v>
      </c>
      <c r="V18" s="17">
        <v>331008005</v>
      </c>
      <c r="W18" s="16" t="s">
        <v>82</v>
      </c>
      <c r="X18" s="16" t="s">
        <v>83</v>
      </c>
      <c r="Y18" s="16"/>
      <c r="Z18" s="16" t="s">
        <v>35</v>
      </c>
      <c r="AA18" s="16" t="s">
        <v>38</v>
      </c>
      <c r="AB18" s="26">
        <v>1125</v>
      </c>
      <c r="AC18" s="26">
        <v>1080</v>
      </c>
      <c r="AD18" s="26">
        <v>918</v>
      </c>
      <c r="AE18" s="16" t="s">
        <v>37</v>
      </c>
    </row>
    <row r="19" s="40" customFormat="1" ht="25" customHeight="1" spans="1:31">
      <c r="A19" s="55"/>
      <c r="B19" s="59"/>
      <c r="C19" s="55"/>
      <c r="D19" s="58"/>
      <c r="E19" s="58"/>
      <c r="F19" s="55"/>
      <c r="G19" s="58"/>
      <c r="H19" s="64"/>
      <c r="I19" s="64"/>
      <c r="J19" s="65"/>
      <c r="K19" s="65"/>
      <c r="L19" s="65"/>
      <c r="M19" s="74"/>
      <c r="N19" s="74"/>
      <c r="O19" s="74"/>
      <c r="P19" s="55"/>
      <c r="Q19" s="55"/>
      <c r="R19" s="55"/>
      <c r="S19" s="65"/>
      <c r="T19" s="58"/>
      <c r="U19" s="16" t="s">
        <v>84</v>
      </c>
      <c r="V19" s="17">
        <v>33100800502</v>
      </c>
      <c r="W19" s="16" t="s">
        <v>85</v>
      </c>
      <c r="X19" s="16"/>
      <c r="Y19" s="16"/>
      <c r="Z19" s="16" t="s">
        <v>35</v>
      </c>
      <c r="AA19" s="16" t="s">
        <v>38</v>
      </c>
      <c r="AB19" s="26">
        <v>1750</v>
      </c>
      <c r="AC19" s="26">
        <v>1680</v>
      </c>
      <c r="AD19" s="26">
        <v>1428</v>
      </c>
      <c r="AE19" s="16" t="s">
        <v>37</v>
      </c>
    </row>
    <row r="20" ht="25" customHeight="1" spans="1:31">
      <c r="A20" s="55"/>
      <c r="B20" s="59"/>
      <c r="C20" s="55"/>
      <c r="D20" s="58"/>
      <c r="E20" s="58"/>
      <c r="F20" s="55"/>
      <c r="G20" s="58"/>
      <c r="H20" s="64"/>
      <c r="I20" s="64"/>
      <c r="J20" s="90"/>
      <c r="K20" s="90"/>
      <c r="L20" s="65"/>
      <c r="M20" s="74"/>
      <c r="N20" s="74"/>
      <c r="O20" s="74"/>
      <c r="P20" s="55"/>
      <c r="Q20" s="55"/>
      <c r="R20" s="55"/>
      <c r="S20" s="90"/>
      <c r="T20" s="58"/>
      <c r="U20" s="16" t="s">
        <v>86</v>
      </c>
      <c r="V20" s="17">
        <v>33100800401</v>
      </c>
      <c r="W20" s="16" t="s">
        <v>87</v>
      </c>
      <c r="X20" s="16"/>
      <c r="Y20" s="16"/>
      <c r="Z20" s="16" t="s">
        <v>35</v>
      </c>
      <c r="AA20" s="16" t="s">
        <v>38</v>
      </c>
      <c r="AB20" s="26">
        <v>1300</v>
      </c>
      <c r="AC20" s="26">
        <v>1250</v>
      </c>
      <c r="AD20" s="26">
        <v>1065</v>
      </c>
      <c r="AE20" s="16" t="s">
        <v>37</v>
      </c>
    </row>
    <row r="21" ht="25" customHeight="1" spans="1:31">
      <c r="A21" s="55"/>
      <c r="B21" s="59"/>
      <c r="C21" s="55"/>
      <c r="D21" s="58"/>
      <c r="E21" s="58"/>
      <c r="F21" s="55"/>
      <c r="G21" s="58"/>
      <c r="H21" s="64"/>
      <c r="I21" s="64"/>
      <c r="J21" s="90"/>
      <c r="K21" s="90"/>
      <c r="L21" s="65"/>
      <c r="M21" s="74"/>
      <c r="N21" s="74"/>
      <c r="O21" s="74"/>
      <c r="P21" s="55"/>
      <c r="Q21" s="55"/>
      <c r="R21" s="55"/>
      <c r="S21" s="90"/>
      <c r="T21" s="58"/>
      <c r="U21" s="16" t="s">
        <v>88</v>
      </c>
      <c r="V21" s="17">
        <v>33100800403</v>
      </c>
      <c r="W21" s="16" t="s">
        <v>89</v>
      </c>
      <c r="X21" s="16"/>
      <c r="Y21" s="16"/>
      <c r="Z21" s="16" t="s">
        <v>35</v>
      </c>
      <c r="AA21" s="16" t="s">
        <v>38</v>
      </c>
      <c r="AB21" s="26">
        <v>1925</v>
      </c>
      <c r="AC21" s="26">
        <v>1850</v>
      </c>
      <c r="AD21" s="26">
        <v>1575</v>
      </c>
      <c r="AE21" s="16" t="s">
        <v>37</v>
      </c>
    </row>
    <row r="22" ht="25" customHeight="1" spans="1:31">
      <c r="A22" s="55"/>
      <c r="B22" s="59"/>
      <c r="C22" s="55"/>
      <c r="D22" s="58"/>
      <c r="E22" s="58"/>
      <c r="F22" s="55"/>
      <c r="G22" s="58"/>
      <c r="H22" s="64"/>
      <c r="I22" s="64"/>
      <c r="J22" s="90"/>
      <c r="K22" s="90"/>
      <c r="L22" s="65"/>
      <c r="M22" s="74"/>
      <c r="N22" s="74"/>
      <c r="O22" s="74"/>
      <c r="P22" s="55"/>
      <c r="Q22" s="55"/>
      <c r="R22" s="55"/>
      <c r="S22" s="90"/>
      <c r="T22" s="58"/>
      <c r="U22" s="16" t="s">
        <v>90</v>
      </c>
      <c r="V22" s="17">
        <v>33100800501</v>
      </c>
      <c r="W22" s="16" t="s">
        <v>91</v>
      </c>
      <c r="X22" s="16"/>
      <c r="Y22" s="16"/>
      <c r="Z22" s="16" t="s">
        <v>35</v>
      </c>
      <c r="AA22" s="16" t="s">
        <v>38</v>
      </c>
      <c r="AB22" s="26">
        <v>1465</v>
      </c>
      <c r="AC22" s="26">
        <v>1405</v>
      </c>
      <c r="AD22" s="26">
        <v>1195</v>
      </c>
      <c r="AE22" s="16" t="s">
        <v>37</v>
      </c>
    </row>
    <row r="23" ht="25" customHeight="1" spans="1:31">
      <c r="A23" s="55"/>
      <c r="B23" s="59"/>
      <c r="C23" s="55"/>
      <c r="D23" s="58"/>
      <c r="E23" s="58"/>
      <c r="F23" s="55"/>
      <c r="G23" s="58"/>
      <c r="H23" s="64"/>
      <c r="I23" s="64"/>
      <c r="J23" s="90"/>
      <c r="K23" s="90"/>
      <c r="L23" s="65"/>
      <c r="M23" s="74"/>
      <c r="N23" s="74"/>
      <c r="O23" s="74"/>
      <c r="P23" s="55"/>
      <c r="Q23" s="55"/>
      <c r="R23" s="55"/>
      <c r="S23" s="90"/>
      <c r="T23" s="58"/>
      <c r="U23" s="16" t="s">
        <v>92</v>
      </c>
      <c r="V23" s="17">
        <v>33100800503</v>
      </c>
      <c r="W23" s="16" t="s">
        <v>93</v>
      </c>
      <c r="X23" s="16"/>
      <c r="Y23" s="16"/>
      <c r="Z23" s="16" t="s">
        <v>35</v>
      </c>
      <c r="AA23" s="16" t="s">
        <v>38</v>
      </c>
      <c r="AB23" s="26">
        <v>2090</v>
      </c>
      <c r="AC23" s="26">
        <v>2005</v>
      </c>
      <c r="AD23" s="26">
        <v>1705</v>
      </c>
      <c r="AE23" s="16" t="s">
        <v>37</v>
      </c>
    </row>
    <row r="24" s="40" customFormat="1" ht="25" customHeight="1" spans="1:31">
      <c r="A24" s="55">
        <v>3</v>
      </c>
      <c r="B24" s="59" t="s">
        <v>94</v>
      </c>
      <c r="C24" s="55" t="s">
        <v>95</v>
      </c>
      <c r="D24" s="58" t="s">
        <v>96</v>
      </c>
      <c r="E24" s="58" t="s">
        <v>97</v>
      </c>
      <c r="F24" s="55" t="s">
        <v>98</v>
      </c>
      <c r="G24" s="58" t="s">
        <v>36</v>
      </c>
      <c r="H24" s="64">
        <v>1600</v>
      </c>
      <c r="I24" s="64">
        <v>1440</v>
      </c>
      <c r="J24" s="65">
        <v>1498.57558875665</v>
      </c>
      <c r="K24" s="65">
        <v>1469.16326168058</v>
      </c>
      <c r="L24" s="65">
        <v>1188.86564472498</v>
      </c>
      <c r="M24" s="74">
        <v>1500</v>
      </c>
      <c r="N24" s="91">
        <v>1430</v>
      </c>
      <c r="O24" s="91">
        <v>1200</v>
      </c>
      <c r="P24" s="55" t="s">
        <v>37</v>
      </c>
      <c r="Q24" s="55" t="s">
        <v>38</v>
      </c>
      <c r="R24" s="55" t="s">
        <v>38</v>
      </c>
      <c r="S24" s="65" t="s">
        <v>39</v>
      </c>
      <c r="T24" s="58" t="s">
        <v>99</v>
      </c>
      <c r="U24" s="16" t="s">
        <v>100</v>
      </c>
      <c r="V24" s="17">
        <v>331008001</v>
      </c>
      <c r="W24" s="16" t="s">
        <v>101</v>
      </c>
      <c r="X24" s="16" t="s">
        <v>102</v>
      </c>
      <c r="Y24" s="16"/>
      <c r="Z24" s="16" t="s">
        <v>98</v>
      </c>
      <c r="AA24" s="16" t="s">
        <v>38</v>
      </c>
      <c r="AB24" s="26">
        <v>1000</v>
      </c>
      <c r="AC24" s="26">
        <v>960</v>
      </c>
      <c r="AD24" s="26">
        <v>816</v>
      </c>
      <c r="AE24" s="16" t="s">
        <v>37</v>
      </c>
    </row>
    <row r="25" s="40" customFormat="1" ht="25" customHeight="1" spans="1:31">
      <c r="A25" s="55"/>
      <c r="B25" s="59"/>
      <c r="C25" s="55"/>
      <c r="D25" s="58"/>
      <c r="E25" s="58"/>
      <c r="F25" s="55"/>
      <c r="G25" s="58"/>
      <c r="H25" s="64"/>
      <c r="I25" s="64"/>
      <c r="J25" s="65"/>
      <c r="K25" s="65"/>
      <c r="L25" s="65"/>
      <c r="M25" s="74"/>
      <c r="N25" s="91"/>
      <c r="O25" s="91"/>
      <c r="P25" s="55"/>
      <c r="Q25" s="55"/>
      <c r="R25" s="55"/>
      <c r="S25" s="65"/>
      <c r="T25" s="58"/>
      <c r="U25" s="16" t="s">
        <v>103</v>
      </c>
      <c r="V25" s="17">
        <v>33100800102</v>
      </c>
      <c r="W25" s="16" t="s">
        <v>104</v>
      </c>
      <c r="X25" s="16"/>
      <c r="Y25" s="16"/>
      <c r="Z25" s="16" t="s">
        <v>98</v>
      </c>
      <c r="AA25" s="16" t="s">
        <v>38</v>
      </c>
      <c r="AB25" s="26">
        <v>1625</v>
      </c>
      <c r="AC25" s="26">
        <v>1560</v>
      </c>
      <c r="AD25" s="26">
        <v>1326</v>
      </c>
      <c r="AE25" s="16" t="s">
        <v>37</v>
      </c>
    </row>
    <row r="26" s="40" customFormat="1" ht="25" customHeight="1" spans="1:31">
      <c r="A26" s="55"/>
      <c r="B26" s="59"/>
      <c r="C26" s="55"/>
      <c r="D26" s="58"/>
      <c r="E26" s="58"/>
      <c r="F26" s="55"/>
      <c r="G26" s="58"/>
      <c r="H26" s="64"/>
      <c r="I26" s="64"/>
      <c r="J26" s="65"/>
      <c r="K26" s="65"/>
      <c r="L26" s="65"/>
      <c r="M26" s="74"/>
      <c r="N26" s="91"/>
      <c r="O26" s="91"/>
      <c r="P26" s="55"/>
      <c r="Q26" s="55"/>
      <c r="R26" s="55"/>
      <c r="S26" s="65"/>
      <c r="T26" s="58"/>
      <c r="U26" s="13" t="s">
        <v>105</v>
      </c>
      <c r="V26" s="81">
        <v>331008003</v>
      </c>
      <c r="W26" s="13" t="s">
        <v>106</v>
      </c>
      <c r="X26" s="13"/>
      <c r="Y26" s="13" t="s">
        <v>107</v>
      </c>
      <c r="Z26" s="13" t="s">
        <v>98</v>
      </c>
      <c r="AA26" s="13" t="s">
        <v>38</v>
      </c>
      <c r="AB26" s="26">
        <v>1125</v>
      </c>
      <c r="AC26" s="26">
        <v>1080</v>
      </c>
      <c r="AD26" s="26">
        <v>918</v>
      </c>
      <c r="AE26" s="16" t="s">
        <v>37</v>
      </c>
    </row>
    <row r="27" s="40" customFormat="1" ht="25" customHeight="1" spans="1:31">
      <c r="A27" s="55"/>
      <c r="B27" s="59"/>
      <c r="C27" s="55"/>
      <c r="D27" s="58"/>
      <c r="E27" s="58"/>
      <c r="F27" s="55"/>
      <c r="G27" s="58"/>
      <c r="H27" s="64"/>
      <c r="I27" s="64"/>
      <c r="J27" s="65"/>
      <c r="K27" s="65"/>
      <c r="L27" s="65"/>
      <c r="M27" s="74"/>
      <c r="N27" s="91"/>
      <c r="O27" s="91"/>
      <c r="P27" s="55"/>
      <c r="Q27" s="55"/>
      <c r="R27" s="55"/>
      <c r="S27" s="65"/>
      <c r="T27" s="58"/>
      <c r="U27" s="13" t="s">
        <v>108</v>
      </c>
      <c r="V27" s="81">
        <v>33100800302</v>
      </c>
      <c r="W27" s="13" t="s">
        <v>109</v>
      </c>
      <c r="X27" s="13"/>
      <c r="Y27" s="13"/>
      <c r="Z27" s="13" t="s">
        <v>98</v>
      </c>
      <c r="AA27" s="13" t="s">
        <v>38</v>
      </c>
      <c r="AB27" s="26">
        <v>1750</v>
      </c>
      <c r="AC27" s="26">
        <v>1680</v>
      </c>
      <c r="AD27" s="26">
        <v>1428</v>
      </c>
      <c r="AE27" s="16" t="s">
        <v>37</v>
      </c>
    </row>
    <row r="28" s="41" customFormat="1" ht="24" customHeight="1" spans="1:31">
      <c r="A28" s="55" t="s">
        <v>57</v>
      </c>
      <c r="B28" s="59" t="s">
        <v>110</v>
      </c>
      <c r="C28" s="55" t="s">
        <v>111</v>
      </c>
      <c r="D28" s="58" t="s">
        <v>38</v>
      </c>
      <c r="E28" s="58" t="s">
        <v>38</v>
      </c>
      <c r="F28" s="55" t="s">
        <v>98</v>
      </c>
      <c r="G28" s="58" t="s">
        <v>38</v>
      </c>
      <c r="H28" s="64">
        <v>480</v>
      </c>
      <c r="I28" s="64">
        <v>432</v>
      </c>
      <c r="J28" s="67">
        <v>407.288828337875</v>
      </c>
      <c r="K28" s="67">
        <v>357.010676156584</v>
      </c>
      <c r="L28" s="67">
        <v>341</v>
      </c>
      <c r="M28" s="74">
        <v>450</v>
      </c>
      <c r="N28" s="74">
        <v>430</v>
      </c>
      <c r="O28" s="74">
        <v>360</v>
      </c>
      <c r="P28" s="55" t="s">
        <v>37</v>
      </c>
      <c r="Q28" s="55" t="s">
        <v>38</v>
      </c>
      <c r="R28" s="55" t="s">
        <v>38</v>
      </c>
      <c r="S28" s="67"/>
      <c r="T28" s="58" t="s">
        <v>60</v>
      </c>
      <c r="U28" s="16" t="s">
        <v>112</v>
      </c>
      <c r="V28" s="17">
        <v>33100800101</v>
      </c>
      <c r="W28" s="16" t="s">
        <v>113</v>
      </c>
      <c r="X28" s="16"/>
      <c r="Y28" s="16"/>
      <c r="Z28" s="16" t="s">
        <v>98</v>
      </c>
      <c r="AA28" s="16" t="s">
        <v>38</v>
      </c>
      <c r="AB28" s="26">
        <v>1300</v>
      </c>
      <c r="AC28" s="26">
        <v>1250</v>
      </c>
      <c r="AD28" s="26">
        <v>1065</v>
      </c>
      <c r="AE28" s="16" t="s">
        <v>37</v>
      </c>
    </row>
    <row r="29" s="41" customFormat="1" ht="24" customHeight="1" spans="1:31">
      <c r="A29" s="55"/>
      <c r="B29" s="59"/>
      <c r="C29" s="55"/>
      <c r="D29" s="58"/>
      <c r="E29" s="58"/>
      <c r="F29" s="55"/>
      <c r="G29" s="58"/>
      <c r="H29" s="64"/>
      <c r="I29" s="64"/>
      <c r="J29" s="67"/>
      <c r="K29" s="67"/>
      <c r="L29" s="67"/>
      <c r="M29" s="74"/>
      <c r="N29" s="74"/>
      <c r="O29" s="74"/>
      <c r="P29" s="55"/>
      <c r="Q29" s="55"/>
      <c r="R29" s="55"/>
      <c r="S29" s="67"/>
      <c r="T29" s="58"/>
      <c r="U29" s="16" t="s">
        <v>114</v>
      </c>
      <c r="V29" s="17">
        <v>33100800103</v>
      </c>
      <c r="W29" s="16" t="s">
        <v>115</v>
      </c>
      <c r="X29" s="16"/>
      <c r="Y29" s="16"/>
      <c r="Z29" s="16" t="s">
        <v>98</v>
      </c>
      <c r="AA29" s="16" t="s">
        <v>38</v>
      </c>
      <c r="AB29" s="26">
        <v>1925</v>
      </c>
      <c r="AC29" s="26">
        <v>1850</v>
      </c>
      <c r="AD29" s="26">
        <v>1575</v>
      </c>
      <c r="AE29" s="16" t="s">
        <v>37</v>
      </c>
    </row>
    <row r="30" s="41" customFormat="1" ht="24" customHeight="1" spans="1:31">
      <c r="A30" s="55"/>
      <c r="B30" s="59"/>
      <c r="C30" s="55"/>
      <c r="D30" s="58"/>
      <c r="E30" s="58"/>
      <c r="F30" s="55"/>
      <c r="G30" s="58"/>
      <c r="H30" s="64"/>
      <c r="I30" s="64"/>
      <c r="J30" s="67"/>
      <c r="K30" s="67"/>
      <c r="L30" s="67"/>
      <c r="M30" s="74"/>
      <c r="N30" s="74"/>
      <c r="O30" s="74"/>
      <c r="P30" s="55"/>
      <c r="Q30" s="55"/>
      <c r="R30" s="55"/>
      <c r="S30" s="67"/>
      <c r="T30" s="58"/>
      <c r="U30" s="16" t="s">
        <v>116</v>
      </c>
      <c r="V30" s="17">
        <v>33100800301</v>
      </c>
      <c r="W30" s="16" t="s">
        <v>117</v>
      </c>
      <c r="X30" s="16"/>
      <c r="Y30" s="16"/>
      <c r="Z30" s="16" t="s">
        <v>98</v>
      </c>
      <c r="AA30" s="16" t="s">
        <v>38</v>
      </c>
      <c r="AB30" s="26">
        <v>1465</v>
      </c>
      <c r="AC30" s="26">
        <v>1405</v>
      </c>
      <c r="AD30" s="26">
        <v>1195</v>
      </c>
      <c r="AE30" s="16" t="s">
        <v>37</v>
      </c>
    </row>
    <row r="31" s="42" customFormat="1" ht="24" customHeight="1" spans="1:31">
      <c r="A31" s="55"/>
      <c r="B31" s="59"/>
      <c r="C31" s="55"/>
      <c r="D31" s="58"/>
      <c r="E31" s="58"/>
      <c r="F31" s="55"/>
      <c r="G31" s="58"/>
      <c r="H31" s="64"/>
      <c r="I31" s="64"/>
      <c r="J31" s="67"/>
      <c r="K31" s="67"/>
      <c r="L31" s="67"/>
      <c r="M31" s="74"/>
      <c r="N31" s="74"/>
      <c r="O31" s="74"/>
      <c r="P31" s="55"/>
      <c r="Q31" s="55"/>
      <c r="R31" s="55"/>
      <c r="S31" s="67"/>
      <c r="T31" s="58"/>
      <c r="U31" s="16" t="s">
        <v>118</v>
      </c>
      <c r="V31" s="17">
        <v>33100800303</v>
      </c>
      <c r="W31" s="16" t="s">
        <v>119</v>
      </c>
      <c r="X31" s="16"/>
      <c r="Y31" s="16"/>
      <c r="Z31" s="16" t="s">
        <v>98</v>
      </c>
      <c r="AA31" s="16" t="s">
        <v>38</v>
      </c>
      <c r="AB31" s="26">
        <v>2090</v>
      </c>
      <c r="AC31" s="26">
        <v>2005</v>
      </c>
      <c r="AD31" s="26">
        <v>1705</v>
      </c>
      <c r="AE31" s="16" t="s">
        <v>37</v>
      </c>
    </row>
    <row r="32" s="40" customFormat="1" ht="78" customHeight="1" spans="1:31">
      <c r="A32" s="55">
        <v>4</v>
      </c>
      <c r="B32" s="59" t="s">
        <v>120</v>
      </c>
      <c r="C32" s="55" t="s">
        <v>121</v>
      </c>
      <c r="D32" s="58" t="s">
        <v>122</v>
      </c>
      <c r="E32" s="58" t="s">
        <v>76</v>
      </c>
      <c r="F32" s="55" t="s">
        <v>35</v>
      </c>
      <c r="G32" s="58" t="s">
        <v>36</v>
      </c>
      <c r="H32" s="64">
        <v>1900</v>
      </c>
      <c r="I32" s="64">
        <v>1710</v>
      </c>
      <c r="J32" s="66">
        <v>1000</v>
      </c>
      <c r="K32" s="66">
        <v>960</v>
      </c>
      <c r="L32" s="66">
        <v>816</v>
      </c>
      <c r="M32" s="73">
        <v>1700</v>
      </c>
      <c r="N32" s="73">
        <v>1530</v>
      </c>
      <c r="O32" s="73">
        <v>1300</v>
      </c>
      <c r="P32" s="55" t="s">
        <v>37</v>
      </c>
      <c r="Q32" s="55" t="s">
        <v>38</v>
      </c>
      <c r="R32" s="55" t="s">
        <v>38</v>
      </c>
      <c r="S32" s="66" t="s">
        <v>123</v>
      </c>
      <c r="T32" s="58" t="s">
        <v>124</v>
      </c>
      <c r="U32" s="16" t="s">
        <v>125</v>
      </c>
      <c r="V32" s="17">
        <v>331008006</v>
      </c>
      <c r="W32" s="16" t="s">
        <v>126</v>
      </c>
      <c r="X32" s="16"/>
      <c r="Y32" s="16"/>
      <c r="Z32" s="16" t="s">
        <v>35</v>
      </c>
      <c r="AA32" s="16" t="s">
        <v>38</v>
      </c>
      <c r="AB32" s="26">
        <v>1000</v>
      </c>
      <c r="AC32" s="26">
        <v>960</v>
      </c>
      <c r="AD32" s="26">
        <v>816</v>
      </c>
      <c r="AE32" s="16" t="s">
        <v>37</v>
      </c>
    </row>
    <row r="33" s="43" customFormat="1" ht="28" customHeight="1" spans="1:31">
      <c r="A33" s="55" t="s">
        <v>57</v>
      </c>
      <c r="B33" s="59" t="s">
        <v>127</v>
      </c>
      <c r="C33" s="55" t="s">
        <v>128</v>
      </c>
      <c r="D33" s="58" t="s">
        <v>38</v>
      </c>
      <c r="E33" s="58" t="s">
        <v>38</v>
      </c>
      <c r="F33" s="55" t="s">
        <v>35</v>
      </c>
      <c r="G33" s="58" t="s">
        <v>38</v>
      </c>
      <c r="H33" s="64">
        <v>570</v>
      </c>
      <c r="I33" s="64">
        <v>513</v>
      </c>
      <c r="J33" s="66"/>
      <c r="K33" s="66"/>
      <c r="L33" s="66"/>
      <c r="M33" s="74">
        <v>510</v>
      </c>
      <c r="N33" s="74">
        <v>459</v>
      </c>
      <c r="O33" s="74">
        <v>390</v>
      </c>
      <c r="P33" s="55" t="s">
        <v>37</v>
      </c>
      <c r="Q33" s="55" t="s">
        <v>38</v>
      </c>
      <c r="R33" s="55" t="s">
        <v>38</v>
      </c>
      <c r="S33" s="66"/>
      <c r="T33" s="58"/>
      <c r="U33" s="16" t="s">
        <v>129</v>
      </c>
      <c r="V33" s="17">
        <v>33100800601</v>
      </c>
      <c r="W33" s="16" t="s">
        <v>130</v>
      </c>
      <c r="X33" s="16"/>
      <c r="Y33" s="16"/>
      <c r="Z33" s="16" t="s">
        <v>35</v>
      </c>
      <c r="AA33" s="16" t="s">
        <v>38</v>
      </c>
      <c r="AB33" s="26">
        <v>1300</v>
      </c>
      <c r="AC33" s="26">
        <v>1250</v>
      </c>
      <c r="AD33" s="26">
        <v>1065</v>
      </c>
      <c r="AE33" s="16" t="s">
        <v>37</v>
      </c>
    </row>
    <row r="34" s="40" customFormat="1" ht="77" customHeight="1" spans="1:31">
      <c r="A34" s="55">
        <v>5</v>
      </c>
      <c r="B34" s="59" t="s">
        <v>131</v>
      </c>
      <c r="C34" s="55" t="s">
        <v>132</v>
      </c>
      <c r="D34" s="58" t="s">
        <v>133</v>
      </c>
      <c r="E34" s="58" t="s">
        <v>76</v>
      </c>
      <c r="F34" s="55" t="s">
        <v>35</v>
      </c>
      <c r="G34" s="58" t="s">
        <v>36</v>
      </c>
      <c r="H34" s="64">
        <v>1900</v>
      </c>
      <c r="I34" s="64">
        <v>1710</v>
      </c>
      <c r="J34" s="66"/>
      <c r="K34" s="66"/>
      <c r="L34" s="66"/>
      <c r="M34" s="74">
        <v>1700</v>
      </c>
      <c r="N34" s="74">
        <v>1530</v>
      </c>
      <c r="O34" s="74">
        <v>1300</v>
      </c>
      <c r="P34" s="55" t="s">
        <v>37</v>
      </c>
      <c r="Q34" s="55" t="s">
        <v>38</v>
      </c>
      <c r="R34" s="55" t="s">
        <v>38</v>
      </c>
      <c r="S34" s="66" t="s">
        <v>134</v>
      </c>
      <c r="T34" s="58" t="s">
        <v>135</v>
      </c>
      <c r="U34" s="16"/>
      <c r="V34" s="17"/>
      <c r="W34" s="16"/>
      <c r="X34" s="16"/>
      <c r="Y34" s="92"/>
      <c r="Z34" s="16"/>
      <c r="AA34" s="16" t="s">
        <v>38</v>
      </c>
      <c r="AB34" s="16"/>
      <c r="AC34" s="16"/>
      <c r="AD34" s="16"/>
      <c r="AE34" s="16" t="s">
        <v>37</v>
      </c>
    </row>
    <row r="35" s="41" customFormat="1" ht="30" customHeight="1" spans="1:31">
      <c r="A35" s="55" t="s">
        <v>57</v>
      </c>
      <c r="B35" s="59" t="s">
        <v>136</v>
      </c>
      <c r="C35" s="55" t="s">
        <v>137</v>
      </c>
      <c r="D35" s="58" t="s">
        <v>38</v>
      </c>
      <c r="E35" s="58" t="s">
        <v>38</v>
      </c>
      <c r="F35" s="55" t="s">
        <v>35</v>
      </c>
      <c r="G35" s="58" t="s">
        <v>38</v>
      </c>
      <c r="H35" s="64">
        <v>570</v>
      </c>
      <c r="I35" s="64">
        <v>513</v>
      </c>
      <c r="J35" s="66"/>
      <c r="K35" s="66"/>
      <c r="L35" s="66"/>
      <c r="M35" s="74">
        <v>510</v>
      </c>
      <c r="N35" s="74">
        <v>459</v>
      </c>
      <c r="O35" s="74">
        <v>390</v>
      </c>
      <c r="P35" s="55" t="s">
        <v>37</v>
      </c>
      <c r="Q35" s="55" t="s">
        <v>38</v>
      </c>
      <c r="R35" s="55" t="s">
        <v>38</v>
      </c>
      <c r="S35" s="66"/>
      <c r="T35" s="58" t="s">
        <v>60</v>
      </c>
      <c r="U35" s="16" t="s">
        <v>90</v>
      </c>
      <c r="V35" s="17">
        <v>33100800501</v>
      </c>
      <c r="W35" s="16" t="s">
        <v>91</v>
      </c>
      <c r="X35" s="16"/>
      <c r="Y35" s="16"/>
      <c r="Z35" s="16" t="s">
        <v>35</v>
      </c>
      <c r="AA35" s="16" t="s">
        <v>38</v>
      </c>
      <c r="AB35" s="26">
        <v>1465</v>
      </c>
      <c r="AC35" s="26">
        <v>1405</v>
      </c>
      <c r="AD35" s="26">
        <v>1195</v>
      </c>
      <c r="AE35" s="16" t="s">
        <v>37</v>
      </c>
    </row>
    <row r="36" s="42" customFormat="1" ht="30" customHeight="1" spans="1:31">
      <c r="A36" s="55"/>
      <c r="B36" s="59"/>
      <c r="C36" s="55"/>
      <c r="D36" s="58"/>
      <c r="E36" s="58"/>
      <c r="F36" s="55"/>
      <c r="G36" s="58"/>
      <c r="H36" s="64"/>
      <c r="I36" s="64"/>
      <c r="J36" s="66"/>
      <c r="K36" s="66"/>
      <c r="L36" s="66"/>
      <c r="M36" s="74"/>
      <c r="N36" s="74"/>
      <c r="O36" s="74"/>
      <c r="P36" s="55"/>
      <c r="Q36" s="55"/>
      <c r="R36" s="55"/>
      <c r="S36" s="66"/>
      <c r="T36" s="58"/>
      <c r="U36" s="16" t="s">
        <v>92</v>
      </c>
      <c r="V36" s="17">
        <v>33100800503</v>
      </c>
      <c r="W36" s="16" t="s">
        <v>93</v>
      </c>
      <c r="X36" s="16"/>
      <c r="Y36" s="16"/>
      <c r="Z36" s="16" t="s">
        <v>35</v>
      </c>
      <c r="AA36" s="16" t="s">
        <v>38</v>
      </c>
      <c r="AB36" s="26">
        <v>2090</v>
      </c>
      <c r="AC36" s="26">
        <v>2005</v>
      </c>
      <c r="AD36" s="26">
        <v>1705</v>
      </c>
      <c r="AE36" s="16" t="s">
        <v>37</v>
      </c>
    </row>
    <row r="37" s="40" customFormat="1" ht="87" customHeight="1" spans="1:31">
      <c r="A37" s="55">
        <v>6</v>
      </c>
      <c r="B37" s="59" t="s">
        <v>138</v>
      </c>
      <c r="C37" s="55" t="s">
        <v>139</v>
      </c>
      <c r="D37" s="58" t="s">
        <v>140</v>
      </c>
      <c r="E37" s="58" t="s">
        <v>141</v>
      </c>
      <c r="F37" s="55" t="s">
        <v>35</v>
      </c>
      <c r="G37" s="58" t="s">
        <v>142</v>
      </c>
      <c r="H37" s="64">
        <v>1900</v>
      </c>
      <c r="I37" s="64">
        <v>1710</v>
      </c>
      <c r="J37" s="66"/>
      <c r="K37" s="66"/>
      <c r="L37" s="66"/>
      <c r="M37" s="74">
        <v>1700</v>
      </c>
      <c r="N37" s="74">
        <v>1530</v>
      </c>
      <c r="O37" s="74">
        <v>1300</v>
      </c>
      <c r="P37" s="55" t="s">
        <v>37</v>
      </c>
      <c r="Q37" s="55" t="s">
        <v>38</v>
      </c>
      <c r="R37" s="55" t="s">
        <v>143</v>
      </c>
      <c r="S37" s="66" t="s">
        <v>134</v>
      </c>
      <c r="T37" s="58" t="s">
        <v>135</v>
      </c>
      <c r="U37" s="16"/>
      <c r="V37" s="16"/>
      <c r="W37" s="16"/>
      <c r="X37" s="16"/>
      <c r="Y37" s="16"/>
      <c r="Z37" s="16"/>
      <c r="AA37" s="16"/>
      <c r="AB37" s="26"/>
      <c r="AC37" s="26"/>
      <c r="AD37" s="26"/>
      <c r="AE37" s="16"/>
    </row>
    <row r="38" ht="33" customHeight="1" spans="1:31">
      <c r="A38" s="55" t="s">
        <v>57</v>
      </c>
      <c r="B38" s="59" t="s">
        <v>144</v>
      </c>
      <c r="C38" s="55" t="s">
        <v>145</v>
      </c>
      <c r="D38" s="58" t="s">
        <v>38</v>
      </c>
      <c r="E38" s="58" t="s">
        <v>38</v>
      </c>
      <c r="F38" s="55" t="s">
        <v>35</v>
      </c>
      <c r="G38" s="58" t="s">
        <v>38</v>
      </c>
      <c r="H38" s="64">
        <v>570</v>
      </c>
      <c r="I38" s="64">
        <v>513</v>
      </c>
      <c r="J38" s="66"/>
      <c r="K38" s="66"/>
      <c r="L38" s="66"/>
      <c r="M38" s="74">
        <v>510</v>
      </c>
      <c r="N38" s="74">
        <v>459</v>
      </c>
      <c r="O38" s="74">
        <v>390</v>
      </c>
      <c r="P38" s="55" t="s">
        <v>37</v>
      </c>
      <c r="Q38" s="55" t="s">
        <v>38</v>
      </c>
      <c r="R38" s="55" t="s">
        <v>143</v>
      </c>
      <c r="S38" s="66"/>
      <c r="T38" s="58" t="s">
        <v>60</v>
      </c>
      <c r="U38" s="16"/>
      <c r="V38" s="16"/>
      <c r="W38" s="16"/>
      <c r="X38" s="16"/>
      <c r="Y38" s="16"/>
      <c r="Z38" s="16"/>
      <c r="AA38" s="16"/>
      <c r="AB38" s="26"/>
      <c r="AC38" s="26"/>
      <c r="AD38" s="26"/>
      <c r="AE38" s="16"/>
    </row>
    <row r="39" s="40" customFormat="1" ht="87" customHeight="1" spans="1:31">
      <c r="A39" s="55">
        <v>7</v>
      </c>
      <c r="B39" s="59" t="s">
        <v>146</v>
      </c>
      <c r="C39" s="55" t="s">
        <v>147</v>
      </c>
      <c r="D39" s="58" t="s">
        <v>148</v>
      </c>
      <c r="E39" s="58" t="s">
        <v>76</v>
      </c>
      <c r="F39" s="55" t="s">
        <v>35</v>
      </c>
      <c r="G39" s="58" t="s">
        <v>149</v>
      </c>
      <c r="H39" s="64">
        <v>2400</v>
      </c>
      <c r="I39" s="64">
        <v>2160</v>
      </c>
      <c r="J39" s="66">
        <v>1125</v>
      </c>
      <c r="K39" s="66">
        <v>1080</v>
      </c>
      <c r="L39" s="66">
        <v>918</v>
      </c>
      <c r="M39" s="73">
        <v>2150</v>
      </c>
      <c r="N39" s="73">
        <v>1930</v>
      </c>
      <c r="O39" s="73">
        <v>1640</v>
      </c>
      <c r="P39" s="55" t="s">
        <v>37</v>
      </c>
      <c r="Q39" s="55" t="s">
        <v>38</v>
      </c>
      <c r="R39" s="55" t="s">
        <v>38</v>
      </c>
      <c r="S39" s="66" t="s">
        <v>123</v>
      </c>
      <c r="T39" s="58" t="s">
        <v>150</v>
      </c>
      <c r="U39" s="16" t="s">
        <v>151</v>
      </c>
      <c r="V39" s="17">
        <v>331008002</v>
      </c>
      <c r="W39" s="16" t="s">
        <v>152</v>
      </c>
      <c r="X39" s="16" t="s">
        <v>153</v>
      </c>
      <c r="Y39" s="16"/>
      <c r="Z39" s="16" t="s">
        <v>98</v>
      </c>
      <c r="AA39" s="16" t="s">
        <v>38</v>
      </c>
      <c r="AB39" s="26">
        <v>1125</v>
      </c>
      <c r="AC39" s="26">
        <v>1080</v>
      </c>
      <c r="AD39" s="26">
        <v>918</v>
      </c>
      <c r="AE39" s="16" t="s">
        <v>37</v>
      </c>
    </row>
    <row r="40" s="41" customFormat="1" ht="33" customHeight="1" spans="1:31">
      <c r="A40" s="55" t="s">
        <v>57</v>
      </c>
      <c r="B40" s="59" t="s">
        <v>154</v>
      </c>
      <c r="C40" s="55" t="s">
        <v>155</v>
      </c>
      <c r="D40" s="58" t="s">
        <v>38</v>
      </c>
      <c r="E40" s="58" t="s">
        <v>38</v>
      </c>
      <c r="F40" s="55" t="s">
        <v>35</v>
      </c>
      <c r="G40" s="58" t="s">
        <v>38</v>
      </c>
      <c r="H40" s="64">
        <v>720</v>
      </c>
      <c r="I40" s="64">
        <v>648</v>
      </c>
      <c r="J40" s="68">
        <v>-685</v>
      </c>
      <c r="K40" s="68">
        <v>-525</v>
      </c>
      <c r="L40" s="68">
        <v>-445</v>
      </c>
      <c r="M40" s="73">
        <v>645</v>
      </c>
      <c r="N40" s="73">
        <v>580</v>
      </c>
      <c r="O40" s="73">
        <v>495</v>
      </c>
      <c r="P40" s="55" t="s">
        <v>37</v>
      </c>
      <c r="Q40" s="55" t="s">
        <v>38</v>
      </c>
      <c r="R40" s="55" t="s">
        <v>38</v>
      </c>
      <c r="S40" s="68"/>
      <c r="T40" s="58" t="s">
        <v>60</v>
      </c>
      <c r="U40" s="16" t="s">
        <v>156</v>
      </c>
      <c r="V40" s="17">
        <v>33100800201</v>
      </c>
      <c r="W40" s="16" t="s">
        <v>157</v>
      </c>
      <c r="X40" s="16"/>
      <c r="Y40" s="16"/>
      <c r="Z40" s="16" t="s">
        <v>98</v>
      </c>
      <c r="AA40" s="16" t="s">
        <v>38</v>
      </c>
      <c r="AB40" s="26">
        <v>1465</v>
      </c>
      <c r="AC40" s="26">
        <v>1405</v>
      </c>
      <c r="AD40" s="26">
        <v>1195</v>
      </c>
      <c r="AE40" s="16" t="s">
        <v>37</v>
      </c>
    </row>
    <row r="41" s="40" customFormat="1" ht="22" customHeight="1" spans="1:31">
      <c r="A41" s="55">
        <v>8</v>
      </c>
      <c r="B41" s="59" t="s">
        <v>158</v>
      </c>
      <c r="C41" s="55" t="s">
        <v>159</v>
      </c>
      <c r="D41" s="58" t="s">
        <v>160</v>
      </c>
      <c r="E41" s="58" t="s">
        <v>161</v>
      </c>
      <c r="F41" s="55" t="s">
        <v>35</v>
      </c>
      <c r="G41" s="58" t="s">
        <v>38</v>
      </c>
      <c r="H41" s="64">
        <v>1700</v>
      </c>
      <c r="I41" s="64">
        <v>1530</v>
      </c>
      <c r="J41" s="65">
        <v>1760.86956521739</v>
      </c>
      <c r="K41" s="66">
        <v>1500</v>
      </c>
      <c r="L41" s="65"/>
      <c r="M41" s="73">
        <v>1650</v>
      </c>
      <c r="N41" s="74">
        <v>1500</v>
      </c>
      <c r="O41" s="74">
        <v>1280</v>
      </c>
      <c r="P41" s="55" t="s">
        <v>37</v>
      </c>
      <c r="Q41" s="55" t="s">
        <v>38</v>
      </c>
      <c r="R41" s="55" t="s">
        <v>38</v>
      </c>
      <c r="S41" s="65" t="s">
        <v>162</v>
      </c>
      <c r="T41" s="58" t="s">
        <v>163</v>
      </c>
      <c r="U41" s="16" t="s">
        <v>164</v>
      </c>
      <c r="V41" s="17">
        <v>331008007</v>
      </c>
      <c r="W41" s="16" t="s">
        <v>165</v>
      </c>
      <c r="X41" s="16" t="s">
        <v>166</v>
      </c>
      <c r="Y41" s="16"/>
      <c r="Z41" s="16" t="s">
        <v>35</v>
      </c>
      <c r="AA41" s="16" t="s">
        <v>38</v>
      </c>
      <c r="AB41" s="26">
        <v>750</v>
      </c>
      <c r="AC41" s="26">
        <v>720</v>
      </c>
      <c r="AD41" s="26">
        <v>612</v>
      </c>
      <c r="AE41" s="16" t="s">
        <v>37</v>
      </c>
    </row>
    <row r="42" s="40" customFormat="1" ht="22" customHeight="1" spans="1:31">
      <c r="A42" s="55"/>
      <c r="B42" s="59"/>
      <c r="C42" s="55"/>
      <c r="D42" s="58"/>
      <c r="E42" s="58"/>
      <c r="F42" s="55"/>
      <c r="G42" s="58"/>
      <c r="H42" s="64"/>
      <c r="I42" s="64"/>
      <c r="J42" s="65"/>
      <c r="K42" s="66"/>
      <c r="L42" s="65"/>
      <c r="M42" s="73"/>
      <c r="N42" s="74"/>
      <c r="O42" s="74"/>
      <c r="P42" s="55"/>
      <c r="Q42" s="55"/>
      <c r="R42" s="55"/>
      <c r="S42" s="65"/>
      <c r="T42" s="58"/>
      <c r="U42" s="16" t="s">
        <v>167</v>
      </c>
      <c r="V42" s="17">
        <v>331008020</v>
      </c>
      <c r="W42" s="16" t="s">
        <v>168</v>
      </c>
      <c r="X42" s="16" t="s">
        <v>169</v>
      </c>
      <c r="Y42" s="16"/>
      <c r="Z42" s="16" t="s">
        <v>35</v>
      </c>
      <c r="AA42" s="16" t="s">
        <v>38</v>
      </c>
      <c r="AB42" s="26">
        <v>1375</v>
      </c>
      <c r="AC42" s="26">
        <v>1320</v>
      </c>
      <c r="AD42" s="26">
        <v>1122</v>
      </c>
      <c r="AE42" s="16" t="s">
        <v>37</v>
      </c>
    </row>
    <row r="43" s="40" customFormat="1" ht="22" customHeight="1" spans="1:31">
      <c r="A43" s="55"/>
      <c r="B43" s="59"/>
      <c r="C43" s="55"/>
      <c r="D43" s="58"/>
      <c r="E43" s="58"/>
      <c r="F43" s="55"/>
      <c r="G43" s="58"/>
      <c r="H43" s="64"/>
      <c r="I43" s="64"/>
      <c r="J43" s="65"/>
      <c r="K43" s="66"/>
      <c r="L43" s="65"/>
      <c r="M43" s="73"/>
      <c r="N43" s="74"/>
      <c r="O43" s="74"/>
      <c r="P43" s="55"/>
      <c r="Q43" s="55"/>
      <c r="R43" s="55"/>
      <c r="S43" s="65"/>
      <c r="T43" s="58"/>
      <c r="U43" s="16" t="s">
        <v>170</v>
      </c>
      <c r="V43" s="17">
        <v>33100802002</v>
      </c>
      <c r="W43" s="16" t="s">
        <v>171</v>
      </c>
      <c r="X43" s="16"/>
      <c r="Y43" s="16"/>
      <c r="Z43" s="16" t="s">
        <v>35</v>
      </c>
      <c r="AA43" s="16" t="s">
        <v>38</v>
      </c>
      <c r="AB43" s="26">
        <v>2000</v>
      </c>
      <c r="AC43" s="26">
        <v>1920</v>
      </c>
      <c r="AD43" s="26">
        <v>1632</v>
      </c>
      <c r="AE43" s="16" t="s">
        <v>37</v>
      </c>
    </row>
    <row r="44" s="40" customFormat="1" ht="22" customHeight="1" spans="1:31">
      <c r="A44" s="55"/>
      <c r="B44" s="59"/>
      <c r="C44" s="55"/>
      <c r="D44" s="58"/>
      <c r="E44" s="58"/>
      <c r="F44" s="55"/>
      <c r="G44" s="58"/>
      <c r="H44" s="64"/>
      <c r="I44" s="64"/>
      <c r="J44" s="65"/>
      <c r="K44" s="66"/>
      <c r="L44" s="65"/>
      <c r="M44" s="73"/>
      <c r="N44" s="74"/>
      <c r="O44" s="74"/>
      <c r="P44" s="55"/>
      <c r="Q44" s="55"/>
      <c r="R44" s="55"/>
      <c r="S44" s="65"/>
      <c r="T44" s="58"/>
      <c r="U44" s="16" t="s">
        <v>172</v>
      </c>
      <c r="V44" s="17">
        <v>331008021</v>
      </c>
      <c r="W44" s="16" t="s">
        <v>173</v>
      </c>
      <c r="X44" s="16" t="s">
        <v>174</v>
      </c>
      <c r="Y44" s="16"/>
      <c r="Z44" s="16" t="s">
        <v>35</v>
      </c>
      <c r="AA44" s="16" t="s">
        <v>38</v>
      </c>
      <c r="AB44" s="26">
        <v>1375</v>
      </c>
      <c r="AC44" s="26">
        <v>1320</v>
      </c>
      <c r="AD44" s="26">
        <v>1122</v>
      </c>
      <c r="AE44" s="16" t="s">
        <v>37</v>
      </c>
    </row>
    <row r="45" s="40" customFormat="1" ht="22" customHeight="1" spans="1:31">
      <c r="A45" s="55"/>
      <c r="B45" s="59"/>
      <c r="C45" s="55"/>
      <c r="D45" s="58"/>
      <c r="E45" s="58"/>
      <c r="F45" s="55"/>
      <c r="G45" s="58"/>
      <c r="H45" s="64"/>
      <c r="I45" s="64"/>
      <c r="J45" s="65"/>
      <c r="K45" s="66"/>
      <c r="L45" s="65"/>
      <c r="M45" s="73"/>
      <c r="N45" s="74"/>
      <c r="O45" s="74"/>
      <c r="P45" s="55"/>
      <c r="Q45" s="55"/>
      <c r="R45" s="55"/>
      <c r="S45" s="65"/>
      <c r="T45" s="58"/>
      <c r="U45" s="16" t="s">
        <v>175</v>
      </c>
      <c r="V45" s="17">
        <v>33100802102</v>
      </c>
      <c r="W45" s="16" t="s">
        <v>176</v>
      </c>
      <c r="X45" s="16"/>
      <c r="Y45" s="16"/>
      <c r="Z45" s="16" t="s">
        <v>35</v>
      </c>
      <c r="AA45" s="16" t="s">
        <v>38</v>
      </c>
      <c r="AB45" s="26">
        <v>2000</v>
      </c>
      <c r="AC45" s="26">
        <v>1920</v>
      </c>
      <c r="AD45" s="26">
        <v>1632</v>
      </c>
      <c r="AE45" s="16" t="s">
        <v>37</v>
      </c>
    </row>
    <row r="46" s="40" customFormat="1" ht="22" customHeight="1" spans="1:31">
      <c r="A46" s="55"/>
      <c r="B46" s="59"/>
      <c r="C46" s="55"/>
      <c r="D46" s="58"/>
      <c r="E46" s="58"/>
      <c r="F46" s="55"/>
      <c r="G46" s="58"/>
      <c r="H46" s="64"/>
      <c r="I46" s="64"/>
      <c r="J46" s="65"/>
      <c r="K46" s="66"/>
      <c r="L46" s="65"/>
      <c r="M46" s="73"/>
      <c r="N46" s="74"/>
      <c r="O46" s="74"/>
      <c r="P46" s="55"/>
      <c r="Q46" s="55"/>
      <c r="R46" s="55"/>
      <c r="S46" s="65"/>
      <c r="T46" s="58"/>
      <c r="U46" s="16" t="s">
        <v>177</v>
      </c>
      <c r="V46" s="17">
        <v>331008022</v>
      </c>
      <c r="W46" s="16" t="s">
        <v>178</v>
      </c>
      <c r="X46" s="16" t="s">
        <v>179</v>
      </c>
      <c r="Y46" s="16"/>
      <c r="Z46" s="16" t="s">
        <v>35</v>
      </c>
      <c r="AA46" s="16" t="s">
        <v>38</v>
      </c>
      <c r="AB46" s="26">
        <v>1500</v>
      </c>
      <c r="AC46" s="26">
        <v>1440</v>
      </c>
      <c r="AD46" s="26">
        <v>1224</v>
      </c>
      <c r="AE46" s="16" t="s">
        <v>37</v>
      </c>
    </row>
    <row r="47" s="40" customFormat="1" ht="22" customHeight="1" spans="1:31">
      <c r="A47" s="55"/>
      <c r="B47" s="59"/>
      <c r="C47" s="55"/>
      <c r="D47" s="58"/>
      <c r="E47" s="58"/>
      <c r="F47" s="55"/>
      <c r="G47" s="58"/>
      <c r="H47" s="64"/>
      <c r="I47" s="64"/>
      <c r="J47" s="65"/>
      <c r="K47" s="66"/>
      <c r="L47" s="65"/>
      <c r="M47" s="73"/>
      <c r="N47" s="74"/>
      <c r="O47" s="74"/>
      <c r="P47" s="55"/>
      <c r="Q47" s="55"/>
      <c r="R47" s="55"/>
      <c r="S47" s="65"/>
      <c r="T47" s="58"/>
      <c r="U47" s="16" t="s">
        <v>180</v>
      </c>
      <c r="V47" s="17">
        <v>33100802202</v>
      </c>
      <c r="W47" s="16" t="s">
        <v>181</v>
      </c>
      <c r="X47" s="16"/>
      <c r="Y47" s="16"/>
      <c r="Z47" s="16" t="s">
        <v>35</v>
      </c>
      <c r="AA47" s="16" t="s">
        <v>38</v>
      </c>
      <c r="AB47" s="26">
        <v>2125</v>
      </c>
      <c r="AC47" s="26">
        <v>2040</v>
      </c>
      <c r="AD47" s="26">
        <v>1734</v>
      </c>
      <c r="AE47" s="16" t="s">
        <v>37</v>
      </c>
    </row>
    <row r="48" s="43" customFormat="1" ht="22" customHeight="1" spans="1:31">
      <c r="A48" s="55" t="s">
        <v>57</v>
      </c>
      <c r="B48" s="59" t="s">
        <v>182</v>
      </c>
      <c r="C48" s="55" t="s">
        <v>183</v>
      </c>
      <c r="D48" s="58" t="s">
        <v>38</v>
      </c>
      <c r="E48" s="58" t="s">
        <v>38</v>
      </c>
      <c r="F48" s="55" t="s">
        <v>35</v>
      </c>
      <c r="G48" s="58" t="s">
        <v>38</v>
      </c>
      <c r="H48" s="64">
        <v>510</v>
      </c>
      <c r="I48" s="64">
        <v>459</v>
      </c>
      <c r="J48" s="65"/>
      <c r="K48" s="66"/>
      <c r="L48" s="66"/>
      <c r="M48" s="74">
        <v>495</v>
      </c>
      <c r="N48" s="74">
        <v>450</v>
      </c>
      <c r="O48" s="74">
        <v>385</v>
      </c>
      <c r="P48" s="55" t="s">
        <v>37</v>
      </c>
      <c r="Q48" s="55" t="s">
        <v>38</v>
      </c>
      <c r="R48" s="55" t="s">
        <v>38</v>
      </c>
      <c r="S48" s="65"/>
      <c r="T48" s="58" t="s">
        <v>60</v>
      </c>
      <c r="U48" s="16" t="s">
        <v>184</v>
      </c>
      <c r="V48" s="17">
        <v>33100800701</v>
      </c>
      <c r="W48" s="16" t="s">
        <v>185</v>
      </c>
      <c r="X48" s="16"/>
      <c r="Y48" s="16"/>
      <c r="Z48" s="16" t="s">
        <v>35</v>
      </c>
      <c r="AA48" s="16" t="s">
        <v>38</v>
      </c>
      <c r="AB48" s="26">
        <v>975</v>
      </c>
      <c r="AC48" s="26">
        <v>935</v>
      </c>
      <c r="AD48" s="26">
        <v>795</v>
      </c>
      <c r="AE48" s="16" t="s">
        <v>37</v>
      </c>
    </row>
    <row r="49" s="40" customFormat="1" ht="22" customHeight="1" spans="1:31">
      <c r="A49" s="55"/>
      <c r="B49" s="59"/>
      <c r="C49" s="55"/>
      <c r="D49" s="58"/>
      <c r="E49" s="58"/>
      <c r="F49" s="55"/>
      <c r="G49" s="58"/>
      <c r="H49" s="64"/>
      <c r="I49" s="64"/>
      <c r="J49" s="65"/>
      <c r="K49" s="66"/>
      <c r="L49" s="66"/>
      <c r="M49" s="74"/>
      <c r="N49" s="74"/>
      <c r="O49" s="74"/>
      <c r="P49" s="55"/>
      <c r="Q49" s="55"/>
      <c r="R49" s="55"/>
      <c r="S49" s="65"/>
      <c r="T49" s="58"/>
      <c r="U49" s="16" t="s">
        <v>186</v>
      </c>
      <c r="V49" s="17">
        <v>33100802001</v>
      </c>
      <c r="W49" s="16" t="s">
        <v>187</v>
      </c>
      <c r="X49" s="16"/>
      <c r="Y49" s="16"/>
      <c r="Z49" s="16" t="s">
        <v>35</v>
      </c>
      <c r="AA49" s="16" t="s">
        <v>38</v>
      </c>
      <c r="AB49" s="26">
        <v>1790</v>
      </c>
      <c r="AC49" s="26">
        <v>1715</v>
      </c>
      <c r="AD49" s="26">
        <v>1460</v>
      </c>
      <c r="AE49" s="16" t="s">
        <v>37</v>
      </c>
    </row>
    <row r="50" s="40" customFormat="1" ht="22" customHeight="1" spans="1:31">
      <c r="A50" s="55"/>
      <c r="B50" s="59"/>
      <c r="C50" s="55"/>
      <c r="D50" s="58"/>
      <c r="E50" s="58"/>
      <c r="F50" s="55"/>
      <c r="G50" s="58"/>
      <c r="H50" s="64"/>
      <c r="I50" s="64"/>
      <c r="J50" s="65"/>
      <c r="K50" s="66"/>
      <c r="L50" s="66"/>
      <c r="M50" s="74"/>
      <c r="N50" s="74"/>
      <c r="O50" s="74"/>
      <c r="P50" s="55"/>
      <c r="Q50" s="55"/>
      <c r="R50" s="55"/>
      <c r="S50" s="65"/>
      <c r="T50" s="58"/>
      <c r="U50" s="16" t="s">
        <v>188</v>
      </c>
      <c r="V50" s="17">
        <v>33100802003</v>
      </c>
      <c r="W50" s="16" t="s">
        <v>189</v>
      </c>
      <c r="X50" s="16"/>
      <c r="Y50" s="16"/>
      <c r="Z50" s="16" t="s">
        <v>35</v>
      </c>
      <c r="AA50" s="16" t="s">
        <v>38</v>
      </c>
      <c r="AB50" s="26">
        <v>2415</v>
      </c>
      <c r="AC50" s="26">
        <v>2315</v>
      </c>
      <c r="AD50" s="26">
        <v>1970</v>
      </c>
      <c r="AE50" s="16" t="s">
        <v>37</v>
      </c>
    </row>
    <row r="51" s="40" customFormat="1" ht="22" customHeight="1" spans="1:31">
      <c r="A51" s="55"/>
      <c r="B51" s="59"/>
      <c r="C51" s="55"/>
      <c r="D51" s="58"/>
      <c r="E51" s="58"/>
      <c r="F51" s="55"/>
      <c r="G51" s="58"/>
      <c r="H51" s="64"/>
      <c r="I51" s="64"/>
      <c r="J51" s="65"/>
      <c r="K51" s="66"/>
      <c r="L51" s="66"/>
      <c r="M51" s="74"/>
      <c r="N51" s="74"/>
      <c r="O51" s="74"/>
      <c r="P51" s="55"/>
      <c r="Q51" s="55"/>
      <c r="R51" s="55"/>
      <c r="S51" s="65"/>
      <c r="T51" s="58"/>
      <c r="U51" s="16" t="s">
        <v>190</v>
      </c>
      <c r="V51" s="17">
        <v>33100802101</v>
      </c>
      <c r="W51" s="16" t="s">
        <v>191</v>
      </c>
      <c r="X51" s="16"/>
      <c r="Y51" s="16"/>
      <c r="Z51" s="16" t="s">
        <v>35</v>
      </c>
      <c r="AA51" s="16" t="s">
        <v>38</v>
      </c>
      <c r="AB51" s="26">
        <v>1790</v>
      </c>
      <c r="AC51" s="26">
        <v>1715</v>
      </c>
      <c r="AD51" s="26">
        <v>1460</v>
      </c>
      <c r="AE51" s="16" t="s">
        <v>37</v>
      </c>
    </row>
    <row r="52" s="40" customFormat="1" ht="22" customHeight="1" spans="1:31">
      <c r="A52" s="55"/>
      <c r="B52" s="59"/>
      <c r="C52" s="55"/>
      <c r="D52" s="58"/>
      <c r="E52" s="58"/>
      <c r="F52" s="55"/>
      <c r="G52" s="58"/>
      <c r="H52" s="64"/>
      <c r="I52" s="64"/>
      <c r="J52" s="65"/>
      <c r="K52" s="66"/>
      <c r="L52" s="66"/>
      <c r="M52" s="74"/>
      <c r="N52" s="74"/>
      <c r="O52" s="74"/>
      <c r="P52" s="55"/>
      <c r="Q52" s="55"/>
      <c r="R52" s="55"/>
      <c r="S52" s="65"/>
      <c r="T52" s="58"/>
      <c r="U52" s="16" t="s">
        <v>192</v>
      </c>
      <c r="V52" s="17">
        <v>33100802103</v>
      </c>
      <c r="W52" s="16" t="s">
        <v>193</v>
      </c>
      <c r="X52" s="16"/>
      <c r="Y52" s="16"/>
      <c r="Z52" s="16" t="s">
        <v>35</v>
      </c>
      <c r="AA52" s="16" t="s">
        <v>38</v>
      </c>
      <c r="AB52" s="26">
        <v>2415</v>
      </c>
      <c r="AC52" s="26">
        <v>2315</v>
      </c>
      <c r="AD52" s="26">
        <v>1970</v>
      </c>
      <c r="AE52" s="16" t="s">
        <v>37</v>
      </c>
    </row>
    <row r="53" s="40" customFormat="1" ht="22" customHeight="1" spans="1:31">
      <c r="A53" s="55"/>
      <c r="B53" s="59"/>
      <c r="C53" s="55"/>
      <c r="D53" s="58"/>
      <c r="E53" s="58"/>
      <c r="F53" s="55"/>
      <c r="G53" s="58"/>
      <c r="H53" s="64"/>
      <c r="I53" s="64"/>
      <c r="J53" s="65"/>
      <c r="K53" s="66"/>
      <c r="L53" s="66"/>
      <c r="M53" s="74"/>
      <c r="N53" s="74"/>
      <c r="O53" s="74"/>
      <c r="P53" s="55"/>
      <c r="Q53" s="55"/>
      <c r="R53" s="55"/>
      <c r="S53" s="65"/>
      <c r="T53" s="58"/>
      <c r="U53" s="16" t="s">
        <v>194</v>
      </c>
      <c r="V53" s="17">
        <v>33100802201</v>
      </c>
      <c r="W53" s="16" t="s">
        <v>195</v>
      </c>
      <c r="X53" s="16"/>
      <c r="Y53" s="16"/>
      <c r="Z53" s="16" t="s">
        <v>35</v>
      </c>
      <c r="AA53" s="16" t="s">
        <v>38</v>
      </c>
      <c r="AB53" s="26">
        <v>1950</v>
      </c>
      <c r="AC53" s="26">
        <v>1870</v>
      </c>
      <c r="AD53" s="26">
        <v>1590</v>
      </c>
      <c r="AE53" s="16" t="s">
        <v>37</v>
      </c>
    </row>
    <row r="54" s="40" customFormat="1" ht="22" customHeight="1" spans="1:31">
      <c r="A54" s="55"/>
      <c r="B54" s="59"/>
      <c r="C54" s="55"/>
      <c r="D54" s="58"/>
      <c r="E54" s="58"/>
      <c r="F54" s="55"/>
      <c r="G54" s="58"/>
      <c r="H54" s="64"/>
      <c r="I54" s="64"/>
      <c r="J54" s="65"/>
      <c r="K54" s="66"/>
      <c r="L54" s="66"/>
      <c r="M54" s="74"/>
      <c r="N54" s="74"/>
      <c r="O54" s="74"/>
      <c r="P54" s="55"/>
      <c r="Q54" s="55"/>
      <c r="R54" s="55"/>
      <c r="S54" s="65"/>
      <c r="T54" s="58"/>
      <c r="U54" s="16" t="s">
        <v>196</v>
      </c>
      <c r="V54" s="17">
        <v>33100802203</v>
      </c>
      <c r="W54" s="16" t="s">
        <v>197</v>
      </c>
      <c r="X54" s="16"/>
      <c r="Y54" s="16"/>
      <c r="Z54" s="16" t="s">
        <v>35</v>
      </c>
      <c r="AA54" s="16" t="s">
        <v>38</v>
      </c>
      <c r="AB54" s="26">
        <v>2575</v>
      </c>
      <c r="AC54" s="26">
        <v>2470</v>
      </c>
      <c r="AD54" s="26">
        <v>2100</v>
      </c>
      <c r="AE54" s="16" t="s">
        <v>37</v>
      </c>
    </row>
    <row r="55" s="40" customFormat="1" ht="28" customHeight="1" spans="1:31">
      <c r="A55" s="55">
        <v>9</v>
      </c>
      <c r="B55" s="59" t="s">
        <v>198</v>
      </c>
      <c r="C55" s="55" t="s">
        <v>199</v>
      </c>
      <c r="D55" s="58" t="s">
        <v>200</v>
      </c>
      <c r="E55" s="58" t="s">
        <v>201</v>
      </c>
      <c r="F55" s="55" t="s">
        <v>35</v>
      </c>
      <c r="G55" s="58" t="s">
        <v>38</v>
      </c>
      <c r="H55" s="64">
        <v>1100</v>
      </c>
      <c r="I55" s="64">
        <v>990</v>
      </c>
      <c r="J55" s="65">
        <v>997.309027777778</v>
      </c>
      <c r="K55" s="65">
        <v>913.217391304348</v>
      </c>
      <c r="L55" s="65">
        <v>773.630769230769</v>
      </c>
      <c r="M55" s="74">
        <v>1000</v>
      </c>
      <c r="N55" s="74">
        <v>915</v>
      </c>
      <c r="O55" s="73">
        <v>775</v>
      </c>
      <c r="P55" s="55" t="s">
        <v>37</v>
      </c>
      <c r="Q55" s="55" t="s">
        <v>38</v>
      </c>
      <c r="R55" s="55" t="s">
        <v>38</v>
      </c>
      <c r="S55" s="65" t="s">
        <v>39</v>
      </c>
      <c r="T55" s="58" t="s">
        <v>202</v>
      </c>
      <c r="U55" s="16" t="s">
        <v>203</v>
      </c>
      <c r="V55" s="17">
        <v>331008009</v>
      </c>
      <c r="W55" s="16" t="s">
        <v>204</v>
      </c>
      <c r="X55" s="16" t="s">
        <v>205</v>
      </c>
      <c r="Y55" s="16"/>
      <c r="Z55" s="16" t="s">
        <v>35</v>
      </c>
      <c r="AA55" s="16" t="s">
        <v>38</v>
      </c>
      <c r="AB55" s="26">
        <v>1000</v>
      </c>
      <c r="AC55" s="26">
        <v>960</v>
      </c>
      <c r="AD55" s="26">
        <v>816</v>
      </c>
      <c r="AE55" s="16" t="s">
        <v>37</v>
      </c>
    </row>
    <row r="56" s="40" customFormat="1" ht="28" customHeight="1" spans="1:31">
      <c r="A56" s="55"/>
      <c r="B56" s="59"/>
      <c r="C56" s="55"/>
      <c r="D56" s="58"/>
      <c r="E56" s="58"/>
      <c r="F56" s="55"/>
      <c r="G56" s="58"/>
      <c r="H56" s="64"/>
      <c r="I56" s="64"/>
      <c r="J56" s="65"/>
      <c r="K56" s="65"/>
      <c r="L56" s="65"/>
      <c r="M56" s="74"/>
      <c r="N56" s="74"/>
      <c r="O56" s="73"/>
      <c r="P56" s="55"/>
      <c r="Q56" s="55"/>
      <c r="R56" s="55"/>
      <c r="S56" s="65"/>
      <c r="T56" s="58"/>
      <c r="U56" s="16" t="s">
        <v>206</v>
      </c>
      <c r="V56" s="17">
        <v>331008010</v>
      </c>
      <c r="W56" s="16" t="s">
        <v>207</v>
      </c>
      <c r="X56" s="16"/>
      <c r="Y56" s="16"/>
      <c r="Z56" s="16" t="s">
        <v>35</v>
      </c>
      <c r="AA56" s="16" t="s">
        <v>208</v>
      </c>
      <c r="AB56" s="26">
        <v>1000</v>
      </c>
      <c r="AC56" s="26">
        <v>960</v>
      </c>
      <c r="AD56" s="26">
        <v>816</v>
      </c>
      <c r="AE56" s="16" t="s">
        <v>37</v>
      </c>
    </row>
    <row r="57" s="40" customFormat="1" ht="28" customHeight="1" spans="1:31">
      <c r="A57" s="55"/>
      <c r="B57" s="59"/>
      <c r="C57" s="55"/>
      <c r="D57" s="58"/>
      <c r="E57" s="58"/>
      <c r="F57" s="55"/>
      <c r="G57" s="58"/>
      <c r="H57" s="64"/>
      <c r="I57" s="64"/>
      <c r="J57" s="65"/>
      <c r="K57" s="65"/>
      <c r="L57" s="65"/>
      <c r="M57" s="74"/>
      <c r="N57" s="74"/>
      <c r="O57" s="73"/>
      <c r="P57" s="55"/>
      <c r="Q57" s="55"/>
      <c r="R57" s="55"/>
      <c r="S57" s="65"/>
      <c r="T57" s="58"/>
      <c r="U57" s="16" t="s">
        <v>209</v>
      </c>
      <c r="V57" s="17">
        <v>33100801001</v>
      </c>
      <c r="W57" s="16" t="s">
        <v>210</v>
      </c>
      <c r="X57" s="16"/>
      <c r="Y57" s="16"/>
      <c r="Z57" s="16" t="s">
        <v>35</v>
      </c>
      <c r="AA57" s="16" t="s">
        <v>211</v>
      </c>
      <c r="AB57" s="26">
        <v>1125</v>
      </c>
      <c r="AC57" s="26">
        <v>1080</v>
      </c>
      <c r="AD57" s="26">
        <v>918</v>
      </c>
      <c r="AE57" s="16" t="s">
        <v>37</v>
      </c>
    </row>
    <row r="58" s="40" customFormat="1" ht="28" customHeight="1" spans="1:31">
      <c r="A58" s="55"/>
      <c r="B58" s="59"/>
      <c r="C58" s="55"/>
      <c r="D58" s="58"/>
      <c r="E58" s="58"/>
      <c r="F58" s="55"/>
      <c r="G58" s="58"/>
      <c r="H58" s="64"/>
      <c r="I58" s="64"/>
      <c r="J58" s="65"/>
      <c r="K58" s="65"/>
      <c r="L58" s="65"/>
      <c r="M58" s="74"/>
      <c r="N58" s="74"/>
      <c r="O58" s="73"/>
      <c r="P58" s="55"/>
      <c r="Q58" s="55"/>
      <c r="R58" s="55"/>
      <c r="S58" s="65"/>
      <c r="T58" s="58"/>
      <c r="U58" s="16" t="s">
        <v>212</v>
      </c>
      <c r="V58" s="17">
        <v>331008011</v>
      </c>
      <c r="W58" s="16" t="s">
        <v>213</v>
      </c>
      <c r="X58" s="16" t="s">
        <v>214</v>
      </c>
      <c r="Y58" s="16"/>
      <c r="Z58" s="16" t="s">
        <v>35</v>
      </c>
      <c r="AA58" s="16" t="s">
        <v>38</v>
      </c>
      <c r="AB58" s="26">
        <v>1000</v>
      </c>
      <c r="AC58" s="26">
        <v>960</v>
      </c>
      <c r="AD58" s="26">
        <v>816</v>
      </c>
      <c r="AE58" s="16" t="s">
        <v>37</v>
      </c>
    </row>
    <row r="59" s="40" customFormat="1" ht="28" customHeight="1" spans="1:31">
      <c r="A59" s="55"/>
      <c r="B59" s="59"/>
      <c r="C59" s="55"/>
      <c r="D59" s="58"/>
      <c r="E59" s="58"/>
      <c r="F59" s="55"/>
      <c r="G59" s="58"/>
      <c r="H59" s="64"/>
      <c r="I59" s="64"/>
      <c r="J59" s="65"/>
      <c r="K59" s="65"/>
      <c r="L59" s="65"/>
      <c r="M59" s="74"/>
      <c r="N59" s="74"/>
      <c r="O59" s="73"/>
      <c r="P59" s="55"/>
      <c r="Q59" s="55"/>
      <c r="R59" s="55"/>
      <c r="S59" s="65"/>
      <c r="T59" s="58"/>
      <c r="U59" s="16" t="s">
        <v>215</v>
      </c>
      <c r="V59" s="17">
        <v>331008017</v>
      </c>
      <c r="W59" s="16" t="s">
        <v>216</v>
      </c>
      <c r="X59" s="16" t="s">
        <v>217</v>
      </c>
      <c r="Y59" s="16"/>
      <c r="Z59" s="16" t="s">
        <v>35</v>
      </c>
      <c r="AA59" s="16" t="s">
        <v>218</v>
      </c>
      <c r="AB59" s="26">
        <v>875</v>
      </c>
      <c r="AC59" s="26">
        <v>840</v>
      </c>
      <c r="AD59" s="26">
        <v>714</v>
      </c>
      <c r="AE59" s="16" t="s">
        <v>37</v>
      </c>
    </row>
    <row r="60" s="40" customFormat="1" ht="28" customHeight="1" spans="1:31">
      <c r="A60" s="55"/>
      <c r="B60" s="59"/>
      <c r="C60" s="55"/>
      <c r="D60" s="58"/>
      <c r="E60" s="58"/>
      <c r="F60" s="55"/>
      <c r="G60" s="58"/>
      <c r="H60" s="64"/>
      <c r="I60" s="64"/>
      <c r="J60" s="65"/>
      <c r="K60" s="65"/>
      <c r="L60" s="65"/>
      <c r="M60" s="74"/>
      <c r="N60" s="74"/>
      <c r="O60" s="73"/>
      <c r="P60" s="55"/>
      <c r="Q60" s="55"/>
      <c r="R60" s="55"/>
      <c r="S60" s="65"/>
      <c r="T60" s="58"/>
      <c r="U60" s="16" t="s">
        <v>219</v>
      </c>
      <c r="V60" s="17">
        <v>33100801701</v>
      </c>
      <c r="W60" s="16" t="s">
        <v>220</v>
      </c>
      <c r="X60" s="16"/>
      <c r="Y60" s="16"/>
      <c r="Z60" s="16" t="s">
        <v>35</v>
      </c>
      <c r="AA60" s="16" t="s">
        <v>221</v>
      </c>
      <c r="AB60" s="26">
        <v>1050</v>
      </c>
      <c r="AC60" s="26">
        <v>1008</v>
      </c>
      <c r="AD60" s="26">
        <v>856.8</v>
      </c>
      <c r="AE60" s="16" t="s">
        <v>37</v>
      </c>
    </row>
    <row r="61" s="42" customFormat="1" ht="24" customHeight="1" spans="1:31">
      <c r="A61" s="55" t="s">
        <v>57</v>
      </c>
      <c r="B61" s="59" t="s">
        <v>222</v>
      </c>
      <c r="C61" s="55" t="s">
        <v>223</v>
      </c>
      <c r="D61" s="58" t="s">
        <v>38</v>
      </c>
      <c r="E61" s="58" t="s">
        <v>38</v>
      </c>
      <c r="F61" s="55" t="s">
        <v>35</v>
      </c>
      <c r="G61" s="58" t="s">
        <v>38</v>
      </c>
      <c r="H61" s="64">
        <v>330</v>
      </c>
      <c r="I61" s="64">
        <v>297</v>
      </c>
      <c r="J61" s="65">
        <v>246.666666666667</v>
      </c>
      <c r="K61" s="65"/>
      <c r="L61" s="65"/>
      <c r="M61" s="74">
        <v>300</v>
      </c>
      <c r="N61" s="74">
        <v>275</v>
      </c>
      <c r="O61" s="74">
        <v>235</v>
      </c>
      <c r="P61" s="55" t="s">
        <v>37</v>
      </c>
      <c r="Q61" s="55" t="s">
        <v>38</v>
      </c>
      <c r="R61" s="55" t="s">
        <v>38</v>
      </c>
      <c r="S61" s="65"/>
      <c r="T61" s="58" t="s">
        <v>60</v>
      </c>
      <c r="U61" s="16" t="s">
        <v>224</v>
      </c>
      <c r="V61" s="17">
        <v>33100800901</v>
      </c>
      <c r="W61" s="16" t="s">
        <v>225</v>
      </c>
      <c r="X61" s="16"/>
      <c r="Y61" s="16"/>
      <c r="Z61" s="16" t="s">
        <v>35</v>
      </c>
      <c r="AA61" s="16" t="s">
        <v>38</v>
      </c>
      <c r="AB61" s="26">
        <v>1300</v>
      </c>
      <c r="AC61" s="26">
        <v>1250</v>
      </c>
      <c r="AD61" s="26">
        <v>1065</v>
      </c>
      <c r="AE61" s="16" t="s">
        <v>37</v>
      </c>
    </row>
    <row r="62" s="44" customFormat="1" ht="24" customHeight="1" spans="1:31">
      <c r="A62" s="55"/>
      <c r="B62" s="59"/>
      <c r="C62" s="55"/>
      <c r="D62" s="58"/>
      <c r="E62" s="58"/>
      <c r="F62" s="55"/>
      <c r="G62" s="58"/>
      <c r="H62" s="64"/>
      <c r="I62" s="64"/>
      <c r="J62" s="65"/>
      <c r="K62" s="65"/>
      <c r="L62" s="65"/>
      <c r="M62" s="74"/>
      <c r="N62" s="74"/>
      <c r="O62" s="74"/>
      <c r="P62" s="55"/>
      <c r="Q62" s="55"/>
      <c r="R62" s="55"/>
      <c r="S62" s="65"/>
      <c r="T62" s="58"/>
      <c r="U62" s="16" t="s">
        <v>226</v>
      </c>
      <c r="V62" s="17">
        <v>33100801002</v>
      </c>
      <c r="W62" s="16" t="s">
        <v>227</v>
      </c>
      <c r="X62" s="16"/>
      <c r="Y62" s="16"/>
      <c r="Z62" s="16" t="s">
        <v>35</v>
      </c>
      <c r="AA62" s="16" t="s">
        <v>38</v>
      </c>
      <c r="AB62" s="26">
        <v>1300</v>
      </c>
      <c r="AC62" s="26">
        <v>1250</v>
      </c>
      <c r="AD62" s="26">
        <v>1065</v>
      </c>
      <c r="AE62" s="16" t="s">
        <v>37</v>
      </c>
    </row>
    <row r="63" s="44" customFormat="1" ht="24" customHeight="1" spans="1:31">
      <c r="A63" s="55"/>
      <c r="B63" s="59"/>
      <c r="C63" s="55"/>
      <c r="D63" s="58"/>
      <c r="E63" s="58"/>
      <c r="F63" s="55"/>
      <c r="G63" s="58"/>
      <c r="H63" s="64"/>
      <c r="I63" s="64"/>
      <c r="J63" s="65"/>
      <c r="K63" s="65"/>
      <c r="L63" s="65"/>
      <c r="M63" s="74"/>
      <c r="N63" s="74"/>
      <c r="O63" s="74"/>
      <c r="P63" s="55"/>
      <c r="Q63" s="55"/>
      <c r="R63" s="55"/>
      <c r="S63" s="65"/>
      <c r="T63" s="58"/>
      <c r="U63" s="16" t="s">
        <v>228</v>
      </c>
      <c r="V63" s="17">
        <v>33100801003</v>
      </c>
      <c r="W63" s="16" t="s">
        <v>229</v>
      </c>
      <c r="X63" s="16"/>
      <c r="Y63" s="16"/>
      <c r="Z63" s="16" t="s">
        <v>35</v>
      </c>
      <c r="AA63" s="16" t="s">
        <v>211</v>
      </c>
      <c r="AB63" s="26">
        <v>1465</v>
      </c>
      <c r="AC63" s="26">
        <v>1405</v>
      </c>
      <c r="AD63" s="26">
        <v>1195</v>
      </c>
      <c r="AE63" s="16" t="s">
        <v>37</v>
      </c>
    </row>
    <row r="64" s="44" customFormat="1" ht="24" customHeight="1" spans="1:31">
      <c r="A64" s="55"/>
      <c r="B64" s="59"/>
      <c r="C64" s="55"/>
      <c r="D64" s="58"/>
      <c r="E64" s="58"/>
      <c r="F64" s="55"/>
      <c r="G64" s="58"/>
      <c r="H64" s="64"/>
      <c r="I64" s="64"/>
      <c r="J64" s="65"/>
      <c r="K64" s="65"/>
      <c r="L64" s="65"/>
      <c r="M64" s="74"/>
      <c r="N64" s="74"/>
      <c r="O64" s="74"/>
      <c r="P64" s="55"/>
      <c r="Q64" s="55"/>
      <c r="R64" s="55"/>
      <c r="S64" s="65"/>
      <c r="T64" s="58"/>
      <c r="U64" s="16" t="s">
        <v>230</v>
      </c>
      <c r="V64" s="17">
        <v>33100801101</v>
      </c>
      <c r="W64" s="16" t="s">
        <v>231</v>
      </c>
      <c r="X64" s="16"/>
      <c r="Y64" s="16"/>
      <c r="Z64" s="16" t="s">
        <v>35</v>
      </c>
      <c r="AA64" s="16" t="s">
        <v>38</v>
      </c>
      <c r="AB64" s="26">
        <v>1300</v>
      </c>
      <c r="AC64" s="26">
        <v>1250</v>
      </c>
      <c r="AD64" s="26">
        <v>1065</v>
      </c>
      <c r="AE64" s="16" t="s">
        <v>37</v>
      </c>
    </row>
    <row r="65" s="44" customFormat="1" ht="24" customHeight="1" spans="1:31">
      <c r="A65" s="55"/>
      <c r="B65" s="59"/>
      <c r="C65" s="55"/>
      <c r="D65" s="58"/>
      <c r="E65" s="58"/>
      <c r="F65" s="55"/>
      <c r="G65" s="58"/>
      <c r="H65" s="64"/>
      <c r="I65" s="64"/>
      <c r="J65" s="65"/>
      <c r="K65" s="65"/>
      <c r="L65" s="65"/>
      <c r="M65" s="74"/>
      <c r="N65" s="74"/>
      <c r="O65" s="74"/>
      <c r="P65" s="55"/>
      <c r="Q65" s="55"/>
      <c r="R65" s="55"/>
      <c r="S65" s="65"/>
      <c r="T65" s="58"/>
      <c r="U65" s="16" t="s">
        <v>232</v>
      </c>
      <c r="V65" s="17">
        <v>33100801702</v>
      </c>
      <c r="W65" s="16" t="s">
        <v>233</v>
      </c>
      <c r="X65" s="16"/>
      <c r="Y65" s="16"/>
      <c r="Z65" s="16" t="s">
        <v>35</v>
      </c>
      <c r="AA65" s="16" t="s">
        <v>38</v>
      </c>
      <c r="AB65" s="26">
        <v>1140</v>
      </c>
      <c r="AC65" s="26">
        <v>1090</v>
      </c>
      <c r="AD65" s="26">
        <v>925</v>
      </c>
      <c r="AE65" s="16" t="s">
        <v>37</v>
      </c>
    </row>
    <row r="66" s="44" customFormat="1" ht="24" customHeight="1" spans="1:31">
      <c r="A66" s="55"/>
      <c r="B66" s="59"/>
      <c r="C66" s="55"/>
      <c r="D66" s="58"/>
      <c r="E66" s="58"/>
      <c r="F66" s="55"/>
      <c r="G66" s="58"/>
      <c r="H66" s="64"/>
      <c r="I66" s="64"/>
      <c r="J66" s="65"/>
      <c r="K66" s="65"/>
      <c r="L66" s="65"/>
      <c r="M66" s="74"/>
      <c r="N66" s="74"/>
      <c r="O66" s="74"/>
      <c r="P66" s="55"/>
      <c r="Q66" s="55"/>
      <c r="R66" s="55"/>
      <c r="S66" s="65"/>
      <c r="T66" s="58"/>
      <c r="U66" s="16" t="s">
        <v>234</v>
      </c>
      <c r="V66" s="17">
        <v>33100801703</v>
      </c>
      <c r="W66" s="16" t="s">
        <v>235</v>
      </c>
      <c r="X66" s="16"/>
      <c r="Y66" s="16"/>
      <c r="Z66" s="16" t="s">
        <v>35</v>
      </c>
      <c r="AA66" s="16" t="s">
        <v>221</v>
      </c>
      <c r="AB66" s="26">
        <v>1365</v>
      </c>
      <c r="AC66" s="26">
        <v>1310</v>
      </c>
      <c r="AD66" s="26">
        <v>1115</v>
      </c>
      <c r="AE66" s="16" t="s">
        <v>37</v>
      </c>
    </row>
    <row r="67" s="44" customFormat="1" ht="28" customHeight="1" spans="1:31">
      <c r="A67" s="55" t="s">
        <v>57</v>
      </c>
      <c r="B67" s="59" t="s">
        <v>236</v>
      </c>
      <c r="C67" s="55" t="s">
        <v>237</v>
      </c>
      <c r="D67" s="58" t="s">
        <v>38</v>
      </c>
      <c r="E67" s="58" t="s">
        <v>38</v>
      </c>
      <c r="F67" s="55" t="s">
        <v>35</v>
      </c>
      <c r="G67" s="58" t="s">
        <v>38</v>
      </c>
      <c r="H67" s="64">
        <v>330</v>
      </c>
      <c r="I67" s="64">
        <v>297</v>
      </c>
      <c r="J67" s="66"/>
      <c r="K67" s="66"/>
      <c r="L67" s="66"/>
      <c r="M67" s="74">
        <v>300</v>
      </c>
      <c r="N67" s="74">
        <v>275</v>
      </c>
      <c r="O67" s="74">
        <v>235</v>
      </c>
      <c r="P67" s="55" t="s">
        <v>37</v>
      </c>
      <c r="Q67" s="55" t="s">
        <v>38</v>
      </c>
      <c r="R67" s="55" t="s">
        <v>38</v>
      </c>
      <c r="S67" s="66"/>
      <c r="T67" s="58" t="s">
        <v>238</v>
      </c>
      <c r="U67" s="95"/>
      <c r="V67" s="96"/>
      <c r="W67" s="95"/>
      <c r="X67" s="95"/>
      <c r="Y67" s="95"/>
      <c r="Z67" s="95"/>
      <c r="AA67" s="95"/>
      <c r="AB67" s="26"/>
      <c r="AC67" s="26"/>
      <c r="AD67" s="26"/>
      <c r="AE67" s="16"/>
    </row>
    <row r="68" s="42" customFormat="1" ht="28" customHeight="1" spans="1:31">
      <c r="A68" s="55" t="s">
        <v>57</v>
      </c>
      <c r="B68" s="59" t="s">
        <v>239</v>
      </c>
      <c r="C68" s="55" t="s">
        <v>240</v>
      </c>
      <c r="D68" s="58" t="s">
        <v>38</v>
      </c>
      <c r="E68" s="58" t="s">
        <v>38</v>
      </c>
      <c r="F68" s="55" t="s">
        <v>35</v>
      </c>
      <c r="G68" s="58" t="s">
        <v>38</v>
      </c>
      <c r="H68" s="64">
        <v>330</v>
      </c>
      <c r="I68" s="64">
        <v>297</v>
      </c>
      <c r="J68" s="66"/>
      <c r="K68" s="66"/>
      <c r="L68" s="66"/>
      <c r="M68" s="74">
        <v>300</v>
      </c>
      <c r="N68" s="74">
        <v>275</v>
      </c>
      <c r="O68" s="74">
        <v>235</v>
      </c>
      <c r="P68" s="55" t="s">
        <v>37</v>
      </c>
      <c r="Q68" s="55" t="s">
        <v>38</v>
      </c>
      <c r="R68" s="55" t="s">
        <v>38</v>
      </c>
      <c r="S68" s="66"/>
      <c r="T68" s="58" t="s">
        <v>238</v>
      </c>
      <c r="U68" s="95"/>
      <c r="V68" s="96"/>
      <c r="W68" s="95"/>
      <c r="X68" s="95"/>
      <c r="Y68" s="95"/>
      <c r="Z68" s="95"/>
      <c r="AA68" s="95"/>
      <c r="AB68" s="26"/>
      <c r="AC68" s="26"/>
      <c r="AD68" s="26"/>
      <c r="AE68" s="16"/>
    </row>
    <row r="69" s="40" customFormat="1" ht="55" customHeight="1" spans="1:31">
      <c r="A69" s="55">
        <v>10</v>
      </c>
      <c r="B69" s="59" t="s">
        <v>241</v>
      </c>
      <c r="C69" s="55" t="s">
        <v>242</v>
      </c>
      <c r="D69" s="58" t="s">
        <v>243</v>
      </c>
      <c r="E69" s="58" t="s">
        <v>201</v>
      </c>
      <c r="F69" s="55" t="s">
        <v>35</v>
      </c>
      <c r="G69" s="58" t="s">
        <v>244</v>
      </c>
      <c r="H69" s="64">
        <v>1800</v>
      </c>
      <c r="I69" s="64">
        <v>1620</v>
      </c>
      <c r="J69" s="65">
        <v>1697.61273209549</v>
      </c>
      <c r="K69" s="65">
        <v>1516.98113207547</v>
      </c>
      <c r="L69" s="65">
        <v>1165.71428571429</v>
      </c>
      <c r="M69" s="74">
        <v>1700</v>
      </c>
      <c r="N69" s="73">
        <v>1530</v>
      </c>
      <c r="O69" s="73">
        <v>1300</v>
      </c>
      <c r="P69" s="55" t="s">
        <v>37</v>
      </c>
      <c r="Q69" s="55" t="s">
        <v>38</v>
      </c>
      <c r="R69" s="55" t="s">
        <v>38</v>
      </c>
      <c r="S69" s="65" t="s">
        <v>39</v>
      </c>
      <c r="T69" s="58" t="s">
        <v>245</v>
      </c>
      <c r="U69" s="82" t="s">
        <v>246</v>
      </c>
      <c r="V69" s="17">
        <v>331008012</v>
      </c>
      <c r="W69" s="16" t="s">
        <v>247</v>
      </c>
      <c r="X69" s="16" t="s">
        <v>248</v>
      </c>
      <c r="Y69" s="16"/>
      <c r="Z69" s="16" t="s">
        <v>35</v>
      </c>
      <c r="AA69" s="16" t="s">
        <v>38</v>
      </c>
      <c r="AB69" s="26">
        <v>1250</v>
      </c>
      <c r="AC69" s="26">
        <v>1200</v>
      </c>
      <c r="AD69" s="26">
        <v>1020</v>
      </c>
      <c r="AE69" s="16" t="s">
        <v>37</v>
      </c>
    </row>
    <row r="70" s="40" customFormat="1" ht="55" customHeight="1" spans="1:31">
      <c r="A70" s="55"/>
      <c r="B70" s="59"/>
      <c r="C70" s="55"/>
      <c r="D70" s="58"/>
      <c r="E70" s="58"/>
      <c r="F70" s="55"/>
      <c r="G70" s="58"/>
      <c r="H70" s="64"/>
      <c r="I70" s="64"/>
      <c r="J70" s="65"/>
      <c r="K70" s="65"/>
      <c r="L70" s="65"/>
      <c r="M70" s="74"/>
      <c r="N70" s="73"/>
      <c r="O70" s="73"/>
      <c r="P70" s="55"/>
      <c r="Q70" s="55"/>
      <c r="R70" s="55"/>
      <c r="S70" s="65"/>
      <c r="T70" s="58"/>
      <c r="U70" s="82" t="s">
        <v>249</v>
      </c>
      <c r="V70" s="17">
        <v>33100801202</v>
      </c>
      <c r="W70" s="16" t="s">
        <v>250</v>
      </c>
      <c r="X70" s="16"/>
      <c r="Y70" s="16"/>
      <c r="Z70" s="16" t="s">
        <v>35</v>
      </c>
      <c r="AA70" s="16" t="s">
        <v>38</v>
      </c>
      <c r="AB70" s="26">
        <v>1875</v>
      </c>
      <c r="AC70" s="26">
        <v>1800</v>
      </c>
      <c r="AD70" s="26">
        <v>1530</v>
      </c>
      <c r="AE70" s="16" t="s">
        <v>37</v>
      </c>
    </row>
    <row r="71" s="40" customFormat="1" ht="31" customHeight="1" spans="1:31">
      <c r="A71" s="55" t="s">
        <v>57</v>
      </c>
      <c r="B71" s="59" t="s">
        <v>251</v>
      </c>
      <c r="C71" s="55" t="s">
        <v>252</v>
      </c>
      <c r="D71" s="58" t="s">
        <v>38</v>
      </c>
      <c r="E71" s="58" t="s">
        <v>38</v>
      </c>
      <c r="F71" s="55" t="s">
        <v>35</v>
      </c>
      <c r="G71" s="58" t="s">
        <v>38</v>
      </c>
      <c r="H71" s="64">
        <v>540</v>
      </c>
      <c r="I71" s="64">
        <v>486</v>
      </c>
      <c r="J71" s="66">
        <v>550</v>
      </c>
      <c r="K71" s="66"/>
      <c r="L71" s="66"/>
      <c r="M71" s="73">
        <v>510</v>
      </c>
      <c r="N71" s="74">
        <v>460</v>
      </c>
      <c r="O71" s="74">
        <v>390</v>
      </c>
      <c r="P71" s="55" t="s">
        <v>37</v>
      </c>
      <c r="Q71" s="55" t="s">
        <v>38</v>
      </c>
      <c r="R71" s="55" t="s">
        <v>38</v>
      </c>
      <c r="S71" s="66"/>
      <c r="T71" s="58" t="s">
        <v>60</v>
      </c>
      <c r="U71" s="82" t="s">
        <v>253</v>
      </c>
      <c r="V71" s="17">
        <v>33100801201</v>
      </c>
      <c r="W71" s="16" t="s">
        <v>254</v>
      </c>
      <c r="X71" s="16"/>
      <c r="Y71" s="16"/>
      <c r="Z71" s="16" t="s">
        <v>35</v>
      </c>
      <c r="AA71" s="16" t="s">
        <v>38</v>
      </c>
      <c r="AB71" s="26">
        <v>1625</v>
      </c>
      <c r="AC71" s="26">
        <v>1560</v>
      </c>
      <c r="AD71" s="26">
        <v>1325</v>
      </c>
      <c r="AE71" s="16" t="s">
        <v>37</v>
      </c>
    </row>
    <row r="72" s="40" customFormat="1" ht="31" customHeight="1" spans="1:31">
      <c r="A72" s="55"/>
      <c r="B72" s="59"/>
      <c r="C72" s="55"/>
      <c r="D72" s="58"/>
      <c r="E72" s="58"/>
      <c r="F72" s="55"/>
      <c r="G72" s="58"/>
      <c r="H72" s="64"/>
      <c r="I72" s="64"/>
      <c r="J72" s="66"/>
      <c r="K72" s="66"/>
      <c r="L72" s="66"/>
      <c r="M72" s="73"/>
      <c r="N72" s="74"/>
      <c r="O72" s="74"/>
      <c r="P72" s="55"/>
      <c r="Q72" s="55"/>
      <c r="R72" s="55"/>
      <c r="S72" s="66"/>
      <c r="T72" s="58"/>
      <c r="U72" s="82" t="s">
        <v>255</v>
      </c>
      <c r="V72" s="17">
        <v>33100801203</v>
      </c>
      <c r="W72" s="16" t="s">
        <v>256</v>
      </c>
      <c r="X72" s="16"/>
      <c r="Y72" s="16"/>
      <c r="Z72" s="16" t="s">
        <v>35</v>
      </c>
      <c r="AA72" s="16" t="s">
        <v>38</v>
      </c>
      <c r="AB72" s="26">
        <v>2250</v>
      </c>
      <c r="AC72" s="26">
        <v>2160</v>
      </c>
      <c r="AD72" s="26">
        <v>1835</v>
      </c>
      <c r="AE72" s="16" t="s">
        <v>37</v>
      </c>
    </row>
    <row r="73" s="40" customFormat="1" ht="33" customHeight="1" spans="1:31">
      <c r="A73" s="55" t="s">
        <v>57</v>
      </c>
      <c r="B73" s="59" t="s">
        <v>257</v>
      </c>
      <c r="C73" s="55" t="s">
        <v>258</v>
      </c>
      <c r="D73" s="58" t="s">
        <v>38</v>
      </c>
      <c r="E73" s="58" t="s">
        <v>38</v>
      </c>
      <c r="F73" s="55" t="s">
        <v>35</v>
      </c>
      <c r="G73" s="58" t="s">
        <v>38</v>
      </c>
      <c r="H73" s="64">
        <v>540</v>
      </c>
      <c r="I73" s="64">
        <v>486</v>
      </c>
      <c r="J73" s="66"/>
      <c r="K73" s="66"/>
      <c r="L73" s="66"/>
      <c r="M73" s="74">
        <v>510</v>
      </c>
      <c r="N73" s="74">
        <v>460</v>
      </c>
      <c r="O73" s="74">
        <v>390</v>
      </c>
      <c r="P73" s="55" t="s">
        <v>37</v>
      </c>
      <c r="Q73" s="55" t="s">
        <v>38</v>
      </c>
      <c r="R73" s="55" t="s">
        <v>38</v>
      </c>
      <c r="S73" s="66"/>
      <c r="T73" s="58" t="s">
        <v>238</v>
      </c>
      <c r="U73" s="82"/>
      <c r="V73" s="17"/>
      <c r="W73" s="16"/>
      <c r="X73" s="16"/>
      <c r="Y73" s="16"/>
      <c r="Z73" s="16"/>
      <c r="AA73" s="16"/>
      <c r="AB73" s="26"/>
      <c r="AC73" s="26"/>
      <c r="AD73" s="26"/>
      <c r="AE73" s="16"/>
    </row>
    <row r="74" s="40" customFormat="1" ht="33" customHeight="1" spans="1:31">
      <c r="A74" s="55" t="s">
        <v>57</v>
      </c>
      <c r="B74" s="59" t="s">
        <v>259</v>
      </c>
      <c r="C74" s="55" t="s">
        <v>260</v>
      </c>
      <c r="D74" s="58" t="s">
        <v>38</v>
      </c>
      <c r="E74" s="58" t="s">
        <v>38</v>
      </c>
      <c r="F74" s="55" t="s">
        <v>35</v>
      </c>
      <c r="G74" s="58" t="s">
        <v>38</v>
      </c>
      <c r="H74" s="64">
        <v>540</v>
      </c>
      <c r="I74" s="64">
        <v>486</v>
      </c>
      <c r="J74" s="66"/>
      <c r="K74" s="66"/>
      <c r="L74" s="66"/>
      <c r="M74" s="74">
        <v>510</v>
      </c>
      <c r="N74" s="74">
        <v>460</v>
      </c>
      <c r="O74" s="74">
        <v>390</v>
      </c>
      <c r="P74" s="55" t="s">
        <v>37</v>
      </c>
      <c r="Q74" s="55" t="s">
        <v>38</v>
      </c>
      <c r="R74" s="55" t="s">
        <v>38</v>
      </c>
      <c r="S74" s="66"/>
      <c r="T74" s="58" t="s">
        <v>238</v>
      </c>
      <c r="U74" s="82"/>
      <c r="V74" s="17"/>
      <c r="W74" s="16"/>
      <c r="X74" s="16"/>
      <c r="Y74" s="16"/>
      <c r="Z74" s="16"/>
      <c r="AA74" s="16"/>
      <c r="AB74" s="26"/>
      <c r="AC74" s="26"/>
      <c r="AD74" s="26"/>
      <c r="AE74" s="16"/>
    </row>
    <row r="75" s="40" customFormat="1" ht="27" customHeight="1" spans="1:31">
      <c r="A75" s="59">
        <v>11</v>
      </c>
      <c r="B75" s="59" t="s">
        <v>261</v>
      </c>
      <c r="C75" s="59" t="s">
        <v>262</v>
      </c>
      <c r="D75" s="61" t="s">
        <v>263</v>
      </c>
      <c r="E75" s="61" t="s">
        <v>264</v>
      </c>
      <c r="F75" s="59" t="s">
        <v>98</v>
      </c>
      <c r="G75" s="61" t="s">
        <v>38</v>
      </c>
      <c r="H75" s="69">
        <v>300</v>
      </c>
      <c r="I75" s="69">
        <v>270</v>
      </c>
      <c r="J75" s="70">
        <v>330</v>
      </c>
      <c r="K75" s="70">
        <v>300</v>
      </c>
      <c r="L75" s="70">
        <v>255</v>
      </c>
      <c r="M75" s="85">
        <v>300</v>
      </c>
      <c r="N75" s="85">
        <v>270</v>
      </c>
      <c r="O75" s="85">
        <v>230</v>
      </c>
      <c r="P75" s="59" t="s">
        <v>37</v>
      </c>
      <c r="Q75" s="59" t="s">
        <v>38</v>
      </c>
      <c r="R75" s="59" t="s">
        <v>143</v>
      </c>
      <c r="S75" s="70" t="s">
        <v>162</v>
      </c>
      <c r="T75" s="61" t="s">
        <v>265</v>
      </c>
      <c r="U75" s="16" t="s">
        <v>266</v>
      </c>
      <c r="V75" s="17">
        <v>311201064</v>
      </c>
      <c r="W75" s="16" t="s">
        <v>267</v>
      </c>
      <c r="X75" s="16" t="s">
        <v>268</v>
      </c>
      <c r="Y75" s="16"/>
      <c r="Z75" s="16" t="s">
        <v>35</v>
      </c>
      <c r="AA75" s="16" t="s">
        <v>269</v>
      </c>
      <c r="AB75" s="26">
        <v>330</v>
      </c>
      <c r="AC75" s="26">
        <v>300</v>
      </c>
      <c r="AD75" s="26">
        <v>255</v>
      </c>
      <c r="AE75" s="16" t="s">
        <v>37</v>
      </c>
    </row>
    <row r="76" s="40" customFormat="1" ht="27" customHeight="1" spans="1:31">
      <c r="A76" s="59"/>
      <c r="B76" s="59"/>
      <c r="C76" s="59"/>
      <c r="D76" s="61"/>
      <c r="E76" s="61"/>
      <c r="F76" s="59"/>
      <c r="G76" s="61"/>
      <c r="H76" s="69"/>
      <c r="I76" s="69"/>
      <c r="J76" s="70"/>
      <c r="K76" s="70"/>
      <c r="L76" s="70"/>
      <c r="M76" s="85"/>
      <c r="N76" s="85"/>
      <c r="O76" s="85"/>
      <c r="P76" s="59"/>
      <c r="Q76" s="59"/>
      <c r="R76" s="59"/>
      <c r="S76" s="70"/>
      <c r="T76" s="61"/>
      <c r="U76" s="16" t="s">
        <v>270</v>
      </c>
      <c r="V76" s="17">
        <v>31120106401</v>
      </c>
      <c r="W76" s="16" t="s">
        <v>271</v>
      </c>
      <c r="X76" s="16"/>
      <c r="Y76" s="16"/>
      <c r="Z76" s="16" t="s">
        <v>35</v>
      </c>
      <c r="AA76" s="16" t="s">
        <v>272</v>
      </c>
      <c r="AB76" s="26">
        <v>495</v>
      </c>
      <c r="AC76" s="26">
        <v>450</v>
      </c>
      <c r="AD76" s="26">
        <v>382.5</v>
      </c>
      <c r="AE76" s="16" t="s">
        <v>37</v>
      </c>
    </row>
    <row r="77" s="40" customFormat="1" ht="69" customHeight="1" spans="1:31">
      <c r="A77" s="59">
        <v>12</v>
      </c>
      <c r="B77" s="59" t="s">
        <v>273</v>
      </c>
      <c r="C77" s="59" t="s">
        <v>274</v>
      </c>
      <c r="D77" s="61" t="s">
        <v>275</v>
      </c>
      <c r="E77" s="61" t="s">
        <v>276</v>
      </c>
      <c r="F77" s="59" t="s">
        <v>98</v>
      </c>
      <c r="G77" s="61" t="s">
        <v>38</v>
      </c>
      <c r="H77" s="69">
        <v>50</v>
      </c>
      <c r="I77" s="69">
        <v>45</v>
      </c>
      <c r="J77" s="70">
        <v>55</v>
      </c>
      <c r="K77" s="70">
        <v>50</v>
      </c>
      <c r="L77" s="70">
        <v>42.5</v>
      </c>
      <c r="M77" s="85">
        <v>50</v>
      </c>
      <c r="N77" s="85">
        <v>45</v>
      </c>
      <c r="O77" s="85">
        <v>38</v>
      </c>
      <c r="P77" s="59" t="s">
        <v>37</v>
      </c>
      <c r="Q77" s="59" t="s">
        <v>38</v>
      </c>
      <c r="R77" s="59" t="s">
        <v>143</v>
      </c>
      <c r="S77" s="70" t="s">
        <v>162</v>
      </c>
      <c r="T77" s="61" t="s">
        <v>265</v>
      </c>
      <c r="U77" s="16" t="s">
        <v>277</v>
      </c>
      <c r="V77" s="17">
        <v>31120106402</v>
      </c>
      <c r="W77" s="16" t="s">
        <v>278</v>
      </c>
      <c r="X77" s="16"/>
      <c r="Y77" s="16"/>
      <c r="Z77" s="16" t="s">
        <v>35</v>
      </c>
      <c r="AA77" s="16" t="s">
        <v>279</v>
      </c>
      <c r="AB77" s="26">
        <v>55</v>
      </c>
      <c r="AC77" s="26">
        <v>50</v>
      </c>
      <c r="AD77" s="26">
        <v>42.5</v>
      </c>
      <c r="AE77" s="16" t="s">
        <v>37</v>
      </c>
    </row>
    <row r="78" s="40" customFormat="1" ht="39" customHeight="1" spans="1:31">
      <c r="A78" s="55">
        <v>13</v>
      </c>
      <c r="B78" s="59" t="s">
        <v>280</v>
      </c>
      <c r="C78" s="55" t="s">
        <v>281</v>
      </c>
      <c r="D78" s="58" t="s">
        <v>282</v>
      </c>
      <c r="E78" s="58" t="s">
        <v>283</v>
      </c>
      <c r="F78" s="55" t="s">
        <v>98</v>
      </c>
      <c r="G78" s="58" t="s">
        <v>38</v>
      </c>
      <c r="H78" s="64">
        <v>630</v>
      </c>
      <c r="I78" s="64">
        <v>567</v>
      </c>
      <c r="J78" s="65">
        <v>598.142016188374</v>
      </c>
      <c r="K78" s="65">
        <v>550.925024342746</v>
      </c>
      <c r="L78" s="65">
        <v>448.042440318302</v>
      </c>
      <c r="M78" s="74">
        <v>600</v>
      </c>
      <c r="N78" s="74">
        <v>550</v>
      </c>
      <c r="O78" s="73">
        <v>460</v>
      </c>
      <c r="P78" s="55" t="s">
        <v>37</v>
      </c>
      <c r="Q78" s="55" t="s">
        <v>38</v>
      </c>
      <c r="R78" s="55" t="s">
        <v>38</v>
      </c>
      <c r="S78" s="65" t="s">
        <v>39</v>
      </c>
      <c r="T78" s="58" t="s">
        <v>284</v>
      </c>
      <c r="U78" s="16" t="s">
        <v>285</v>
      </c>
      <c r="V78" s="17">
        <v>331601002</v>
      </c>
      <c r="W78" s="16" t="s">
        <v>286</v>
      </c>
      <c r="X78" s="16" t="s">
        <v>287</v>
      </c>
      <c r="Y78" s="16" t="s">
        <v>288</v>
      </c>
      <c r="Z78" s="16" t="s">
        <v>98</v>
      </c>
      <c r="AA78" s="16" t="s">
        <v>289</v>
      </c>
      <c r="AB78" s="26">
        <v>500</v>
      </c>
      <c r="AC78" s="26">
        <v>480</v>
      </c>
      <c r="AD78" s="26">
        <v>408</v>
      </c>
      <c r="AE78" s="16" t="s">
        <v>37</v>
      </c>
    </row>
    <row r="79" s="40" customFormat="1" ht="39" customHeight="1" spans="1:31">
      <c r="A79" s="55"/>
      <c r="B79" s="59"/>
      <c r="C79" s="55"/>
      <c r="D79" s="58"/>
      <c r="E79" s="58"/>
      <c r="F79" s="55"/>
      <c r="G79" s="58"/>
      <c r="H79" s="64"/>
      <c r="I79" s="64"/>
      <c r="J79" s="65"/>
      <c r="K79" s="65"/>
      <c r="L79" s="65"/>
      <c r="M79" s="74"/>
      <c r="N79" s="74"/>
      <c r="O79" s="73"/>
      <c r="P79" s="55"/>
      <c r="Q79" s="55"/>
      <c r="R79" s="55"/>
      <c r="S79" s="65"/>
      <c r="T79" s="58"/>
      <c r="U79" s="16" t="s">
        <v>290</v>
      </c>
      <c r="V79" s="17">
        <v>33160100202</v>
      </c>
      <c r="W79" s="16" t="s">
        <v>291</v>
      </c>
      <c r="X79" s="16"/>
      <c r="Y79" s="16"/>
      <c r="Z79" s="16" t="s">
        <v>98</v>
      </c>
      <c r="AA79" s="16" t="s">
        <v>292</v>
      </c>
      <c r="AB79" s="26">
        <v>125</v>
      </c>
      <c r="AC79" s="26">
        <v>120</v>
      </c>
      <c r="AD79" s="26">
        <v>102</v>
      </c>
      <c r="AE79" s="16" t="s">
        <v>37</v>
      </c>
    </row>
    <row r="80" s="40" customFormat="1" ht="27" customHeight="1" spans="1:31">
      <c r="A80" s="55" t="s">
        <v>57</v>
      </c>
      <c r="B80" s="59" t="s">
        <v>293</v>
      </c>
      <c r="C80" s="55" t="s">
        <v>294</v>
      </c>
      <c r="D80" s="58" t="s">
        <v>38</v>
      </c>
      <c r="E80" s="58" t="s">
        <v>38</v>
      </c>
      <c r="F80" s="55" t="s">
        <v>98</v>
      </c>
      <c r="G80" s="58" t="s">
        <v>38</v>
      </c>
      <c r="H80" s="64">
        <v>189</v>
      </c>
      <c r="I80" s="64">
        <v>170</v>
      </c>
      <c r="J80" s="66"/>
      <c r="K80" s="66"/>
      <c r="L80" s="66"/>
      <c r="M80" s="74">
        <v>180</v>
      </c>
      <c r="N80" s="74">
        <v>165</v>
      </c>
      <c r="O80" s="74">
        <v>140</v>
      </c>
      <c r="P80" s="55" t="s">
        <v>37</v>
      </c>
      <c r="Q80" s="55" t="s">
        <v>38</v>
      </c>
      <c r="R80" s="55" t="s">
        <v>38</v>
      </c>
      <c r="S80" s="66"/>
      <c r="T80" s="58" t="s">
        <v>60</v>
      </c>
      <c r="U80" s="16" t="s">
        <v>295</v>
      </c>
      <c r="V80" s="17">
        <v>33160100203</v>
      </c>
      <c r="W80" s="16" t="s">
        <v>296</v>
      </c>
      <c r="X80" s="16"/>
      <c r="Y80" s="16"/>
      <c r="Z80" s="16" t="s">
        <v>98</v>
      </c>
      <c r="AA80" s="16" t="s">
        <v>38</v>
      </c>
      <c r="AB80" s="26">
        <v>650</v>
      </c>
      <c r="AC80" s="26">
        <v>625</v>
      </c>
      <c r="AD80" s="26">
        <v>530</v>
      </c>
      <c r="AE80" s="16" t="s">
        <v>37</v>
      </c>
    </row>
    <row r="81" s="40" customFormat="1" ht="27" customHeight="1" spans="1:31">
      <c r="A81" s="55"/>
      <c r="B81" s="59"/>
      <c r="C81" s="55"/>
      <c r="D81" s="58"/>
      <c r="E81" s="58"/>
      <c r="F81" s="55"/>
      <c r="G81" s="58"/>
      <c r="H81" s="64"/>
      <c r="I81" s="64"/>
      <c r="J81" s="66"/>
      <c r="K81" s="66"/>
      <c r="L81" s="66"/>
      <c r="M81" s="74"/>
      <c r="N81" s="74"/>
      <c r="O81" s="74"/>
      <c r="P81" s="55"/>
      <c r="Q81" s="55"/>
      <c r="R81" s="55"/>
      <c r="S81" s="66"/>
      <c r="T81" s="58"/>
      <c r="U81" s="16" t="s">
        <v>297</v>
      </c>
      <c r="V81" s="17">
        <v>33160100205</v>
      </c>
      <c r="W81" s="16" t="s">
        <v>298</v>
      </c>
      <c r="X81" s="16"/>
      <c r="Y81" s="16"/>
      <c r="Z81" s="16" t="s">
        <v>98</v>
      </c>
      <c r="AA81" s="16" t="s">
        <v>292</v>
      </c>
      <c r="AB81" s="26">
        <v>165</v>
      </c>
      <c r="AC81" s="26">
        <v>155</v>
      </c>
      <c r="AD81" s="26">
        <v>130</v>
      </c>
      <c r="AE81" s="16" t="s">
        <v>37</v>
      </c>
    </row>
    <row r="82" s="40" customFormat="1" ht="35" customHeight="1" spans="1:31">
      <c r="A82" s="55" t="s">
        <v>57</v>
      </c>
      <c r="B82" s="59" t="s">
        <v>299</v>
      </c>
      <c r="C82" s="55" t="s">
        <v>300</v>
      </c>
      <c r="D82" s="58" t="s">
        <v>38</v>
      </c>
      <c r="E82" s="58" t="s">
        <v>38</v>
      </c>
      <c r="F82" s="55" t="s">
        <v>98</v>
      </c>
      <c r="G82" s="58" t="s">
        <v>38</v>
      </c>
      <c r="H82" s="64">
        <v>189</v>
      </c>
      <c r="I82" s="64">
        <v>170</v>
      </c>
      <c r="J82" s="66"/>
      <c r="K82" s="66"/>
      <c r="L82" s="66"/>
      <c r="M82" s="74">
        <v>180</v>
      </c>
      <c r="N82" s="74">
        <v>165</v>
      </c>
      <c r="O82" s="74">
        <v>140</v>
      </c>
      <c r="P82" s="55" t="s">
        <v>37</v>
      </c>
      <c r="Q82" s="55" t="s">
        <v>38</v>
      </c>
      <c r="R82" s="55" t="s">
        <v>38</v>
      </c>
      <c r="S82" s="66"/>
      <c r="T82" s="58" t="s">
        <v>238</v>
      </c>
      <c r="U82" s="16"/>
      <c r="V82" s="17"/>
      <c r="W82" s="16"/>
      <c r="X82" s="16"/>
      <c r="Y82" s="16"/>
      <c r="Z82" s="16"/>
      <c r="AA82" s="16"/>
      <c r="AB82" s="26"/>
      <c r="AC82" s="26"/>
      <c r="AD82" s="26"/>
      <c r="AE82" s="16"/>
    </row>
    <row r="83" s="40" customFormat="1" ht="28" customHeight="1" spans="1:31">
      <c r="A83" s="55">
        <v>14</v>
      </c>
      <c r="B83" s="59" t="s">
        <v>301</v>
      </c>
      <c r="C83" s="55" t="s">
        <v>302</v>
      </c>
      <c r="D83" s="58" t="s">
        <v>303</v>
      </c>
      <c r="E83" s="58" t="s">
        <v>201</v>
      </c>
      <c r="F83" s="55" t="s">
        <v>98</v>
      </c>
      <c r="G83" s="58" t="s">
        <v>304</v>
      </c>
      <c r="H83" s="64">
        <v>900</v>
      </c>
      <c r="I83" s="64">
        <v>810</v>
      </c>
      <c r="J83" s="65">
        <v>818.576226908005</v>
      </c>
      <c r="K83" s="65">
        <v>749.681978798587</v>
      </c>
      <c r="L83" s="65">
        <v>616.08</v>
      </c>
      <c r="M83" s="74">
        <v>820</v>
      </c>
      <c r="N83" s="74">
        <v>750</v>
      </c>
      <c r="O83" s="73">
        <v>630</v>
      </c>
      <c r="P83" s="55" t="s">
        <v>37</v>
      </c>
      <c r="Q83" s="55" t="s">
        <v>38</v>
      </c>
      <c r="R83" s="55" t="s">
        <v>38</v>
      </c>
      <c r="S83" s="65" t="s">
        <v>39</v>
      </c>
      <c r="T83" s="58" t="s">
        <v>284</v>
      </c>
      <c r="U83" s="16" t="s">
        <v>285</v>
      </c>
      <c r="V83" s="17">
        <v>331601002</v>
      </c>
      <c r="W83" s="16" t="s">
        <v>286</v>
      </c>
      <c r="X83" s="16" t="s">
        <v>287</v>
      </c>
      <c r="Y83" s="16" t="s">
        <v>288</v>
      </c>
      <c r="Z83" s="16" t="s">
        <v>98</v>
      </c>
      <c r="AA83" s="16" t="s">
        <v>289</v>
      </c>
      <c r="AB83" s="26">
        <v>500</v>
      </c>
      <c r="AC83" s="26">
        <v>480</v>
      </c>
      <c r="AD83" s="26">
        <v>408</v>
      </c>
      <c r="AE83" s="16" t="s">
        <v>37</v>
      </c>
    </row>
    <row r="84" s="43" customFormat="1" ht="28" customHeight="1" spans="1:31">
      <c r="A84" s="55"/>
      <c r="B84" s="59"/>
      <c r="C84" s="55"/>
      <c r="D84" s="58"/>
      <c r="E84" s="58"/>
      <c r="F84" s="55"/>
      <c r="G84" s="58"/>
      <c r="H84" s="64"/>
      <c r="I84" s="64"/>
      <c r="J84" s="65"/>
      <c r="K84" s="65"/>
      <c r="L84" s="65"/>
      <c r="M84" s="74"/>
      <c r="N84" s="74"/>
      <c r="O84" s="73"/>
      <c r="P84" s="55"/>
      <c r="Q84" s="55"/>
      <c r="R84" s="55"/>
      <c r="S84" s="65"/>
      <c r="T84" s="58"/>
      <c r="U84" s="16" t="s">
        <v>305</v>
      </c>
      <c r="V84" s="17">
        <v>33160100201</v>
      </c>
      <c r="W84" s="16" t="s">
        <v>306</v>
      </c>
      <c r="X84" s="16"/>
      <c r="Y84" s="16"/>
      <c r="Z84" s="16" t="s">
        <v>98</v>
      </c>
      <c r="AA84" s="16" t="s">
        <v>307</v>
      </c>
      <c r="AB84" s="26">
        <v>250</v>
      </c>
      <c r="AC84" s="26">
        <v>240</v>
      </c>
      <c r="AD84" s="26">
        <v>204</v>
      </c>
      <c r="AE84" s="16" t="s">
        <v>37</v>
      </c>
    </row>
    <row r="85" s="40" customFormat="1" ht="28" customHeight="1" spans="1:31">
      <c r="A85" s="55"/>
      <c r="B85" s="59"/>
      <c r="C85" s="55"/>
      <c r="D85" s="58"/>
      <c r="E85" s="58"/>
      <c r="F85" s="55"/>
      <c r="G85" s="58"/>
      <c r="H85" s="64"/>
      <c r="I85" s="64"/>
      <c r="J85" s="65"/>
      <c r="K85" s="65"/>
      <c r="L85" s="65"/>
      <c r="M85" s="74"/>
      <c r="N85" s="74"/>
      <c r="O85" s="73"/>
      <c r="P85" s="55"/>
      <c r="Q85" s="55"/>
      <c r="R85" s="55"/>
      <c r="S85" s="65"/>
      <c r="T85" s="58"/>
      <c r="U85" s="16" t="s">
        <v>290</v>
      </c>
      <c r="V85" s="17">
        <v>33160100202</v>
      </c>
      <c r="W85" s="16" t="s">
        <v>291</v>
      </c>
      <c r="X85" s="16"/>
      <c r="Y85" s="16"/>
      <c r="Z85" s="16" t="s">
        <v>98</v>
      </c>
      <c r="AA85" s="16" t="s">
        <v>292</v>
      </c>
      <c r="AB85" s="26">
        <v>125</v>
      </c>
      <c r="AC85" s="26">
        <v>120</v>
      </c>
      <c r="AD85" s="26">
        <v>102</v>
      </c>
      <c r="AE85" s="16" t="s">
        <v>37</v>
      </c>
    </row>
    <row r="86" s="45" customFormat="1" ht="28" customHeight="1" spans="1:31">
      <c r="A86" s="55" t="s">
        <v>57</v>
      </c>
      <c r="B86" s="59" t="s">
        <v>308</v>
      </c>
      <c r="C86" s="55" t="s">
        <v>309</v>
      </c>
      <c r="D86" s="58" t="s">
        <v>38</v>
      </c>
      <c r="E86" s="58" t="s">
        <v>38</v>
      </c>
      <c r="F86" s="55" t="s">
        <v>98</v>
      </c>
      <c r="G86" s="58" t="s">
        <v>38</v>
      </c>
      <c r="H86" s="64">
        <v>270</v>
      </c>
      <c r="I86" s="64">
        <v>243</v>
      </c>
      <c r="J86" s="66"/>
      <c r="K86" s="66"/>
      <c r="L86" s="66"/>
      <c r="M86" s="74">
        <v>245</v>
      </c>
      <c r="N86" s="74">
        <v>225</v>
      </c>
      <c r="O86" s="74">
        <v>190</v>
      </c>
      <c r="P86" s="55" t="s">
        <v>37</v>
      </c>
      <c r="Q86" s="55" t="s">
        <v>38</v>
      </c>
      <c r="R86" s="55" t="s">
        <v>38</v>
      </c>
      <c r="S86" s="66"/>
      <c r="T86" s="58" t="s">
        <v>60</v>
      </c>
      <c r="U86" s="16" t="s">
        <v>295</v>
      </c>
      <c r="V86" s="17">
        <v>33160100203</v>
      </c>
      <c r="W86" s="16" t="s">
        <v>296</v>
      </c>
      <c r="X86" s="16"/>
      <c r="Y86" s="16"/>
      <c r="Z86" s="16" t="s">
        <v>98</v>
      </c>
      <c r="AA86" s="16" t="s">
        <v>38</v>
      </c>
      <c r="AB86" s="26">
        <v>650</v>
      </c>
      <c r="AC86" s="26">
        <v>625</v>
      </c>
      <c r="AD86" s="26">
        <v>530</v>
      </c>
      <c r="AE86" s="16" t="s">
        <v>37</v>
      </c>
    </row>
    <row r="87" s="45" customFormat="1" ht="28" customHeight="1" spans="1:31">
      <c r="A87" s="55"/>
      <c r="B87" s="59"/>
      <c r="C87" s="55"/>
      <c r="D87" s="58"/>
      <c r="E87" s="58"/>
      <c r="F87" s="55"/>
      <c r="G87" s="58"/>
      <c r="H87" s="64"/>
      <c r="I87" s="64"/>
      <c r="J87" s="66"/>
      <c r="K87" s="66"/>
      <c r="L87" s="66"/>
      <c r="M87" s="74"/>
      <c r="N87" s="74"/>
      <c r="O87" s="74"/>
      <c r="P87" s="55"/>
      <c r="Q87" s="55"/>
      <c r="R87" s="55"/>
      <c r="S87" s="66"/>
      <c r="T87" s="58"/>
      <c r="U87" s="16" t="s">
        <v>310</v>
      </c>
      <c r="V87" s="17">
        <v>33160100204</v>
      </c>
      <c r="W87" s="16" t="s">
        <v>311</v>
      </c>
      <c r="X87" s="16"/>
      <c r="Y87" s="16"/>
      <c r="Z87" s="16" t="s">
        <v>98</v>
      </c>
      <c r="AA87" s="16" t="s">
        <v>307</v>
      </c>
      <c r="AB87" s="26">
        <v>325</v>
      </c>
      <c r="AC87" s="26">
        <v>310</v>
      </c>
      <c r="AD87" s="26">
        <v>265</v>
      </c>
      <c r="AE87" s="16" t="s">
        <v>37</v>
      </c>
    </row>
    <row r="88" s="45" customFormat="1" ht="28" customHeight="1" spans="1:31">
      <c r="A88" s="55"/>
      <c r="B88" s="59"/>
      <c r="C88" s="55"/>
      <c r="D88" s="58"/>
      <c r="E88" s="58"/>
      <c r="F88" s="55"/>
      <c r="G88" s="58"/>
      <c r="H88" s="64"/>
      <c r="I88" s="64"/>
      <c r="J88" s="66"/>
      <c r="K88" s="66"/>
      <c r="L88" s="66"/>
      <c r="M88" s="74"/>
      <c r="N88" s="74"/>
      <c r="O88" s="74"/>
      <c r="P88" s="55"/>
      <c r="Q88" s="55"/>
      <c r="R88" s="55"/>
      <c r="S88" s="66"/>
      <c r="T88" s="58"/>
      <c r="U88" s="16" t="s">
        <v>297</v>
      </c>
      <c r="V88" s="17">
        <v>33160100205</v>
      </c>
      <c r="W88" s="16" t="s">
        <v>298</v>
      </c>
      <c r="X88" s="16"/>
      <c r="Y88" s="16"/>
      <c r="Z88" s="16" t="s">
        <v>98</v>
      </c>
      <c r="AA88" s="16" t="s">
        <v>292</v>
      </c>
      <c r="AB88" s="26">
        <v>165</v>
      </c>
      <c r="AC88" s="26">
        <v>155</v>
      </c>
      <c r="AD88" s="26">
        <v>130</v>
      </c>
      <c r="AE88" s="16" t="s">
        <v>37</v>
      </c>
    </row>
    <row r="89" s="43" customFormat="1" ht="34" customHeight="1" spans="1:31">
      <c r="A89" s="55" t="s">
        <v>57</v>
      </c>
      <c r="B89" s="60" t="s">
        <v>312</v>
      </c>
      <c r="C89" s="55" t="s">
        <v>313</v>
      </c>
      <c r="D89" s="58" t="s">
        <v>38</v>
      </c>
      <c r="E89" s="58" t="s">
        <v>38</v>
      </c>
      <c r="F89" s="55" t="s">
        <v>98</v>
      </c>
      <c r="G89" s="58"/>
      <c r="H89" s="64">
        <v>270</v>
      </c>
      <c r="I89" s="64">
        <v>243</v>
      </c>
      <c r="J89" s="66"/>
      <c r="K89" s="66"/>
      <c r="L89" s="66"/>
      <c r="M89" s="74">
        <v>245</v>
      </c>
      <c r="N89" s="74">
        <v>225</v>
      </c>
      <c r="O89" s="74">
        <v>190</v>
      </c>
      <c r="P89" s="55" t="s">
        <v>37</v>
      </c>
      <c r="Q89" s="55" t="s">
        <v>38</v>
      </c>
      <c r="R89" s="55" t="s">
        <v>38</v>
      </c>
      <c r="S89" s="66"/>
      <c r="T89" s="58" t="s">
        <v>238</v>
      </c>
      <c r="U89" s="95"/>
      <c r="V89" s="96"/>
      <c r="W89" s="95"/>
      <c r="X89" s="95"/>
      <c r="Y89" s="95"/>
      <c r="Z89" s="95"/>
      <c r="AA89" s="16"/>
      <c r="AB89" s="26"/>
      <c r="AC89" s="26"/>
      <c r="AD89" s="26"/>
      <c r="AE89" s="16"/>
    </row>
    <row r="90" s="40" customFormat="1" ht="27" customHeight="1" spans="1:31">
      <c r="A90" s="55">
        <v>15</v>
      </c>
      <c r="B90" s="59" t="s">
        <v>314</v>
      </c>
      <c r="C90" s="55" t="s">
        <v>315</v>
      </c>
      <c r="D90" s="58" t="s">
        <v>316</v>
      </c>
      <c r="E90" s="58" t="s">
        <v>201</v>
      </c>
      <c r="F90" s="55" t="s">
        <v>98</v>
      </c>
      <c r="G90" s="58" t="s">
        <v>317</v>
      </c>
      <c r="H90" s="64">
        <v>1700</v>
      </c>
      <c r="I90" s="64">
        <v>1530</v>
      </c>
      <c r="J90" s="65">
        <v>1548.55667627281</v>
      </c>
      <c r="K90" s="65">
        <v>1392.88566243194</v>
      </c>
      <c r="L90" s="65">
        <v>1192.47058823529</v>
      </c>
      <c r="M90" s="74">
        <v>1550</v>
      </c>
      <c r="N90" s="74">
        <v>1395</v>
      </c>
      <c r="O90" s="74">
        <v>1200</v>
      </c>
      <c r="P90" s="55" t="s">
        <v>37</v>
      </c>
      <c r="Q90" s="55" t="s">
        <v>38</v>
      </c>
      <c r="R90" s="55" t="s">
        <v>38</v>
      </c>
      <c r="S90" s="65" t="s">
        <v>39</v>
      </c>
      <c r="T90" s="58" t="s">
        <v>318</v>
      </c>
      <c r="U90" s="16" t="s">
        <v>319</v>
      </c>
      <c r="V90" s="17">
        <v>331601004</v>
      </c>
      <c r="W90" s="16" t="s">
        <v>320</v>
      </c>
      <c r="X90" s="16"/>
      <c r="Y90" s="16"/>
      <c r="Z90" s="16" t="s">
        <v>98</v>
      </c>
      <c r="AA90" s="16" t="s">
        <v>38</v>
      </c>
      <c r="AB90" s="26">
        <v>875</v>
      </c>
      <c r="AC90" s="26">
        <v>840</v>
      </c>
      <c r="AD90" s="26">
        <v>714</v>
      </c>
      <c r="AE90" s="16" t="s">
        <v>37</v>
      </c>
    </row>
    <row r="91" s="40" customFormat="1" ht="28" customHeight="1" spans="1:31">
      <c r="A91" s="55"/>
      <c r="B91" s="59"/>
      <c r="C91" s="55"/>
      <c r="D91" s="58"/>
      <c r="E91" s="58"/>
      <c r="F91" s="55"/>
      <c r="G91" s="58"/>
      <c r="H91" s="64"/>
      <c r="I91" s="64"/>
      <c r="J91" s="65"/>
      <c r="K91" s="65"/>
      <c r="L91" s="65"/>
      <c r="M91" s="74"/>
      <c r="N91" s="74"/>
      <c r="O91" s="74"/>
      <c r="P91" s="55"/>
      <c r="Q91" s="55"/>
      <c r="R91" s="55"/>
      <c r="S91" s="65"/>
      <c r="T91" s="58"/>
      <c r="U91" s="16" t="s">
        <v>321</v>
      </c>
      <c r="V91" s="17">
        <v>331601005</v>
      </c>
      <c r="W91" s="16" t="s">
        <v>322</v>
      </c>
      <c r="X91" s="16"/>
      <c r="Y91" s="16" t="s">
        <v>323</v>
      </c>
      <c r="Z91" s="16" t="s">
        <v>98</v>
      </c>
      <c r="AA91" s="16" t="s">
        <v>324</v>
      </c>
      <c r="AB91" s="26">
        <v>2530</v>
      </c>
      <c r="AC91" s="26">
        <v>2280</v>
      </c>
      <c r="AD91" s="26">
        <v>1940</v>
      </c>
      <c r="AE91" s="16" t="s">
        <v>37</v>
      </c>
    </row>
    <row r="92" s="40" customFormat="1" ht="27" customHeight="1" spans="1:31">
      <c r="A92" s="55"/>
      <c r="B92" s="59"/>
      <c r="C92" s="55"/>
      <c r="D92" s="58"/>
      <c r="E92" s="58"/>
      <c r="F92" s="55"/>
      <c r="G92" s="58"/>
      <c r="H92" s="64"/>
      <c r="I92" s="64"/>
      <c r="J92" s="65"/>
      <c r="K92" s="65"/>
      <c r="L92" s="65"/>
      <c r="M92" s="74"/>
      <c r="N92" s="74"/>
      <c r="O92" s="74"/>
      <c r="P92" s="55"/>
      <c r="Q92" s="55"/>
      <c r="R92" s="55"/>
      <c r="S92" s="65"/>
      <c r="T92" s="58"/>
      <c r="U92" s="97" t="s">
        <v>325</v>
      </c>
      <c r="V92" s="98">
        <v>330900004</v>
      </c>
      <c r="W92" s="97" t="s">
        <v>326</v>
      </c>
      <c r="X92" s="97"/>
      <c r="Y92" s="97"/>
      <c r="Z92" s="97" t="s">
        <v>35</v>
      </c>
      <c r="AA92" s="97"/>
      <c r="AB92" s="97">
        <v>1690</v>
      </c>
      <c r="AC92" s="97">
        <v>1520</v>
      </c>
      <c r="AD92" s="97">
        <v>1290</v>
      </c>
      <c r="AE92" s="97"/>
    </row>
    <row r="93" s="40" customFormat="1" ht="27" customHeight="1" spans="1:31">
      <c r="A93" s="55"/>
      <c r="B93" s="59"/>
      <c r="C93" s="55"/>
      <c r="D93" s="58"/>
      <c r="E93" s="58"/>
      <c r="F93" s="55"/>
      <c r="G93" s="58"/>
      <c r="H93" s="64"/>
      <c r="I93" s="64"/>
      <c r="J93" s="65"/>
      <c r="K93" s="65"/>
      <c r="L93" s="65"/>
      <c r="M93" s="74"/>
      <c r="N93" s="74"/>
      <c r="O93" s="74"/>
      <c r="P93" s="55"/>
      <c r="Q93" s="55"/>
      <c r="R93" s="55"/>
      <c r="S93" s="65"/>
      <c r="T93" s="58"/>
      <c r="U93" s="16" t="s">
        <v>327</v>
      </c>
      <c r="V93" s="17">
        <v>33160100502</v>
      </c>
      <c r="W93" s="16" t="s">
        <v>328</v>
      </c>
      <c r="X93" s="16"/>
      <c r="Y93" s="16"/>
      <c r="Z93" s="16" t="s">
        <v>98</v>
      </c>
      <c r="AA93" s="16" t="s">
        <v>38</v>
      </c>
      <c r="AB93" s="26">
        <v>430</v>
      </c>
      <c r="AC93" s="26">
        <v>385</v>
      </c>
      <c r="AD93" s="26">
        <v>330</v>
      </c>
      <c r="AE93" s="16" t="s">
        <v>37</v>
      </c>
    </row>
    <row r="94" s="40" customFormat="1" ht="27" customHeight="1" spans="1:31">
      <c r="A94" s="55" t="s">
        <v>57</v>
      </c>
      <c r="B94" s="59" t="s">
        <v>329</v>
      </c>
      <c r="C94" s="55" t="s">
        <v>330</v>
      </c>
      <c r="D94" s="58" t="s">
        <v>38</v>
      </c>
      <c r="E94" s="58" t="s">
        <v>38</v>
      </c>
      <c r="F94" s="55" t="s">
        <v>98</v>
      </c>
      <c r="G94" s="58" t="s">
        <v>38</v>
      </c>
      <c r="H94" s="64">
        <v>510</v>
      </c>
      <c r="I94" s="64">
        <v>459</v>
      </c>
      <c r="J94" s="66"/>
      <c r="K94" s="66"/>
      <c r="L94" s="66"/>
      <c r="M94" s="74">
        <v>465</v>
      </c>
      <c r="N94" s="74">
        <v>420</v>
      </c>
      <c r="O94" s="74">
        <v>360</v>
      </c>
      <c r="P94" s="55" t="s">
        <v>37</v>
      </c>
      <c r="Q94" s="55" t="s">
        <v>38</v>
      </c>
      <c r="R94" s="55" t="s">
        <v>38</v>
      </c>
      <c r="S94" s="66"/>
      <c r="T94" s="58" t="s">
        <v>60</v>
      </c>
      <c r="U94" s="16" t="s">
        <v>331</v>
      </c>
      <c r="V94" s="17">
        <v>33160100401</v>
      </c>
      <c r="W94" s="16" t="s">
        <v>332</v>
      </c>
      <c r="X94" s="16"/>
      <c r="Y94" s="16"/>
      <c r="Z94" s="16" t="s">
        <v>98</v>
      </c>
      <c r="AA94" s="16" t="s">
        <v>38</v>
      </c>
      <c r="AB94" s="26">
        <v>1140</v>
      </c>
      <c r="AC94" s="26">
        <v>1090</v>
      </c>
      <c r="AD94" s="26">
        <v>925</v>
      </c>
      <c r="AE94" s="16" t="s">
        <v>37</v>
      </c>
    </row>
    <row r="95" s="40" customFormat="1" ht="27" customHeight="1" spans="1:31">
      <c r="A95" s="55"/>
      <c r="B95" s="59"/>
      <c r="C95" s="55"/>
      <c r="D95" s="58"/>
      <c r="E95" s="58"/>
      <c r="F95" s="55"/>
      <c r="G95" s="58"/>
      <c r="H95" s="64"/>
      <c r="I95" s="64"/>
      <c r="J95" s="66"/>
      <c r="K95" s="66"/>
      <c r="L95" s="66"/>
      <c r="M95" s="74"/>
      <c r="N95" s="74"/>
      <c r="O95" s="74"/>
      <c r="P95" s="55"/>
      <c r="Q95" s="55"/>
      <c r="R95" s="55"/>
      <c r="S95" s="66"/>
      <c r="T95" s="58"/>
      <c r="U95" s="16" t="s">
        <v>333</v>
      </c>
      <c r="V95" s="17">
        <v>33160100503</v>
      </c>
      <c r="W95" s="16" t="s">
        <v>334</v>
      </c>
      <c r="X95" s="16" t="s">
        <v>335</v>
      </c>
      <c r="Y95" s="16"/>
      <c r="Z95" s="16" t="s">
        <v>98</v>
      </c>
      <c r="AA95" s="16" t="s">
        <v>38</v>
      </c>
      <c r="AB95" s="26">
        <v>3290</v>
      </c>
      <c r="AC95" s="26">
        <v>2965</v>
      </c>
      <c r="AD95" s="26">
        <v>2520</v>
      </c>
      <c r="AE95" s="16" t="s">
        <v>37</v>
      </c>
    </row>
    <row r="96" s="40" customFormat="1" ht="27" customHeight="1" spans="1:31">
      <c r="A96" s="55"/>
      <c r="B96" s="59"/>
      <c r="C96" s="55"/>
      <c r="D96" s="58"/>
      <c r="E96" s="58"/>
      <c r="F96" s="55"/>
      <c r="G96" s="58"/>
      <c r="H96" s="64"/>
      <c r="I96" s="64"/>
      <c r="J96" s="66"/>
      <c r="K96" s="66"/>
      <c r="L96" s="66"/>
      <c r="M96" s="74"/>
      <c r="N96" s="74"/>
      <c r="O96" s="74"/>
      <c r="P96" s="55"/>
      <c r="Q96" s="55"/>
      <c r="R96" s="55"/>
      <c r="S96" s="66"/>
      <c r="T96" s="58"/>
      <c r="U96" s="16" t="s">
        <v>336</v>
      </c>
      <c r="V96" s="17">
        <v>33160100505</v>
      </c>
      <c r="W96" s="16" t="s">
        <v>337</v>
      </c>
      <c r="X96" s="16"/>
      <c r="Y96" s="16"/>
      <c r="Z96" s="16" t="s">
        <v>98</v>
      </c>
      <c r="AA96" s="16" t="s">
        <v>338</v>
      </c>
      <c r="AB96" s="26">
        <v>560</v>
      </c>
      <c r="AC96" s="26">
        <v>500</v>
      </c>
      <c r="AD96" s="26">
        <v>425</v>
      </c>
      <c r="AE96" s="16" t="s">
        <v>37</v>
      </c>
    </row>
    <row r="97" s="40" customFormat="1" ht="33" customHeight="1" spans="1:31">
      <c r="A97" s="55" t="s">
        <v>57</v>
      </c>
      <c r="B97" s="59" t="s">
        <v>339</v>
      </c>
      <c r="C97" s="55" t="s">
        <v>340</v>
      </c>
      <c r="D97" s="58" t="s">
        <v>38</v>
      </c>
      <c r="E97" s="58" t="s">
        <v>38</v>
      </c>
      <c r="F97" s="55" t="s">
        <v>98</v>
      </c>
      <c r="G97" s="58" t="s">
        <v>38</v>
      </c>
      <c r="H97" s="64">
        <v>510</v>
      </c>
      <c r="I97" s="64">
        <v>459</v>
      </c>
      <c r="J97" s="66">
        <v>985</v>
      </c>
      <c r="K97" s="66">
        <v>885</v>
      </c>
      <c r="L97" s="66">
        <v>735</v>
      </c>
      <c r="M97" s="74">
        <v>465</v>
      </c>
      <c r="N97" s="74">
        <v>420</v>
      </c>
      <c r="O97" s="74">
        <v>360</v>
      </c>
      <c r="P97" s="55" t="s">
        <v>37</v>
      </c>
      <c r="Q97" s="55" t="s">
        <v>38</v>
      </c>
      <c r="R97" s="55" t="s">
        <v>38</v>
      </c>
      <c r="S97" s="66"/>
      <c r="T97" s="58" t="s">
        <v>341</v>
      </c>
      <c r="U97" s="16" t="s">
        <v>342</v>
      </c>
      <c r="V97" s="17">
        <v>331601006</v>
      </c>
      <c r="W97" s="16" t="s">
        <v>343</v>
      </c>
      <c r="X97" s="16" t="s">
        <v>344</v>
      </c>
      <c r="Y97" s="16"/>
      <c r="Z97" s="16" t="s">
        <v>98</v>
      </c>
      <c r="AA97" s="16" t="s">
        <v>38</v>
      </c>
      <c r="AB97" s="26">
        <v>3380</v>
      </c>
      <c r="AC97" s="26">
        <v>3040</v>
      </c>
      <c r="AD97" s="26">
        <v>2580</v>
      </c>
      <c r="AE97" s="16" t="s">
        <v>37</v>
      </c>
    </row>
    <row r="98" s="40" customFormat="1" ht="33" customHeight="1" spans="1:31">
      <c r="A98" s="55"/>
      <c r="B98" s="59"/>
      <c r="C98" s="55"/>
      <c r="D98" s="58"/>
      <c r="E98" s="58"/>
      <c r="F98" s="55"/>
      <c r="G98" s="58"/>
      <c r="H98" s="64"/>
      <c r="I98" s="64"/>
      <c r="J98" s="66"/>
      <c r="K98" s="66"/>
      <c r="L98" s="66"/>
      <c r="M98" s="74"/>
      <c r="N98" s="74"/>
      <c r="O98" s="74"/>
      <c r="P98" s="55"/>
      <c r="Q98" s="55"/>
      <c r="R98" s="55"/>
      <c r="S98" s="66"/>
      <c r="T98" s="58"/>
      <c r="U98" s="97" t="s">
        <v>325</v>
      </c>
      <c r="V98" s="98">
        <v>330900004</v>
      </c>
      <c r="W98" s="97" t="s">
        <v>326</v>
      </c>
      <c r="X98" s="97"/>
      <c r="Y98" s="97"/>
      <c r="Z98" s="97" t="s">
        <v>35</v>
      </c>
      <c r="AA98" s="97"/>
      <c r="AB98" s="97">
        <v>1690</v>
      </c>
      <c r="AC98" s="97">
        <v>1520</v>
      </c>
      <c r="AD98" s="97">
        <v>1290</v>
      </c>
      <c r="AE98" s="97"/>
    </row>
    <row r="99" s="40" customFormat="1" ht="33" customHeight="1" spans="1:31">
      <c r="A99" s="55"/>
      <c r="B99" s="59"/>
      <c r="C99" s="55"/>
      <c r="D99" s="58"/>
      <c r="E99" s="58"/>
      <c r="F99" s="55"/>
      <c r="G99" s="58"/>
      <c r="H99" s="64"/>
      <c r="I99" s="64"/>
      <c r="J99" s="66"/>
      <c r="K99" s="66"/>
      <c r="L99" s="66"/>
      <c r="M99" s="74"/>
      <c r="N99" s="74"/>
      <c r="O99" s="74"/>
      <c r="P99" s="55"/>
      <c r="Q99" s="55"/>
      <c r="R99" s="55"/>
      <c r="S99" s="66"/>
      <c r="T99" s="58"/>
      <c r="U99" s="16" t="s">
        <v>345</v>
      </c>
      <c r="V99" s="17">
        <v>33160100601</v>
      </c>
      <c r="W99" s="16" t="s">
        <v>346</v>
      </c>
      <c r="X99" s="16"/>
      <c r="Y99" s="16"/>
      <c r="Z99" s="16" t="s">
        <v>98</v>
      </c>
      <c r="AA99" s="16" t="s">
        <v>38</v>
      </c>
      <c r="AB99" s="26">
        <v>4395</v>
      </c>
      <c r="AC99" s="26">
        <v>3950</v>
      </c>
      <c r="AD99" s="26">
        <v>3360</v>
      </c>
      <c r="AE99" s="16" t="s">
        <v>37</v>
      </c>
    </row>
    <row r="100" s="40" customFormat="1" ht="41" customHeight="1" spans="1:31">
      <c r="A100" s="55" t="s">
        <v>57</v>
      </c>
      <c r="B100" s="59" t="s">
        <v>347</v>
      </c>
      <c r="C100" s="55" t="s">
        <v>348</v>
      </c>
      <c r="D100" s="58" t="s">
        <v>38</v>
      </c>
      <c r="E100" s="58" t="s">
        <v>38</v>
      </c>
      <c r="F100" s="55" t="s">
        <v>98</v>
      </c>
      <c r="G100" s="58" t="s">
        <v>38</v>
      </c>
      <c r="H100" s="64">
        <v>510</v>
      </c>
      <c r="I100" s="64">
        <v>459</v>
      </c>
      <c r="J100" s="66">
        <v>430</v>
      </c>
      <c r="K100" s="66">
        <v>385</v>
      </c>
      <c r="L100" s="66">
        <v>330</v>
      </c>
      <c r="M100" s="74">
        <v>465</v>
      </c>
      <c r="N100" s="74">
        <v>420</v>
      </c>
      <c r="O100" s="74">
        <v>360</v>
      </c>
      <c r="P100" s="55"/>
      <c r="Q100" s="55"/>
      <c r="R100" s="55"/>
      <c r="S100" s="66"/>
      <c r="T100" s="58"/>
      <c r="U100" s="16" t="s">
        <v>349</v>
      </c>
      <c r="V100" s="17">
        <v>33160100501</v>
      </c>
      <c r="W100" s="16" t="s">
        <v>350</v>
      </c>
      <c r="X100" s="16"/>
      <c r="Y100" s="16"/>
      <c r="Z100" s="16" t="s">
        <v>98</v>
      </c>
      <c r="AA100" s="16" t="s">
        <v>38</v>
      </c>
      <c r="AB100" s="26">
        <v>430</v>
      </c>
      <c r="AC100" s="26">
        <v>385</v>
      </c>
      <c r="AD100" s="26">
        <v>330</v>
      </c>
      <c r="AE100" s="16" t="s">
        <v>37</v>
      </c>
    </row>
    <row r="101" s="40" customFormat="1" ht="41" customHeight="1" spans="1:31">
      <c r="A101" s="55"/>
      <c r="B101" s="59"/>
      <c r="C101" s="55"/>
      <c r="D101" s="58"/>
      <c r="E101" s="58"/>
      <c r="F101" s="55"/>
      <c r="G101" s="58"/>
      <c r="H101" s="64"/>
      <c r="I101" s="64"/>
      <c r="J101" s="66"/>
      <c r="K101" s="66"/>
      <c r="L101" s="66"/>
      <c r="M101" s="74"/>
      <c r="N101" s="74"/>
      <c r="O101" s="74"/>
      <c r="P101" s="55"/>
      <c r="Q101" s="55"/>
      <c r="R101" s="55"/>
      <c r="S101" s="66"/>
      <c r="T101" s="58"/>
      <c r="U101" s="16" t="s">
        <v>351</v>
      </c>
      <c r="V101" s="17">
        <v>33160100504</v>
      </c>
      <c r="W101" s="16" t="s">
        <v>352</v>
      </c>
      <c r="X101" s="16"/>
      <c r="Y101" s="16"/>
      <c r="Z101" s="16" t="s">
        <v>98</v>
      </c>
      <c r="AA101" s="16" t="s">
        <v>353</v>
      </c>
      <c r="AB101" s="26">
        <v>560</v>
      </c>
      <c r="AC101" s="26">
        <v>500</v>
      </c>
      <c r="AD101" s="26">
        <v>425</v>
      </c>
      <c r="AE101" s="16" t="s">
        <v>37</v>
      </c>
    </row>
    <row r="102" s="40" customFormat="1" ht="89" customHeight="1" spans="1:31">
      <c r="A102" s="55">
        <v>16</v>
      </c>
      <c r="B102" s="59" t="s">
        <v>354</v>
      </c>
      <c r="C102" s="55" t="s">
        <v>355</v>
      </c>
      <c r="D102" s="58" t="s">
        <v>356</v>
      </c>
      <c r="E102" s="58" t="s">
        <v>201</v>
      </c>
      <c r="F102" s="55" t="s">
        <v>98</v>
      </c>
      <c r="G102" s="58" t="s">
        <v>38</v>
      </c>
      <c r="H102" s="64">
        <v>500</v>
      </c>
      <c r="I102" s="64">
        <v>450</v>
      </c>
      <c r="J102" s="66">
        <v>500</v>
      </c>
      <c r="K102" s="66">
        <v>480</v>
      </c>
      <c r="L102" s="66">
        <v>408</v>
      </c>
      <c r="M102" s="74">
        <v>500</v>
      </c>
      <c r="N102" s="73">
        <v>450</v>
      </c>
      <c r="O102" s="73">
        <v>390</v>
      </c>
      <c r="P102" s="55" t="s">
        <v>37</v>
      </c>
      <c r="Q102" s="55" t="s">
        <v>38</v>
      </c>
      <c r="R102" s="55" t="s">
        <v>38</v>
      </c>
      <c r="S102" s="66" t="s">
        <v>357</v>
      </c>
      <c r="T102" s="61" t="s">
        <v>358</v>
      </c>
      <c r="U102" s="16" t="s">
        <v>359</v>
      </c>
      <c r="V102" s="17">
        <v>331601003</v>
      </c>
      <c r="W102" s="16" t="s">
        <v>360</v>
      </c>
      <c r="X102" s="16"/>
      <c r="Y102" s="16"/>
      <c r="Z102" s="16" t="s">
        <v>98</v>
      </c>
      <c r="AA102" s="16" t="s">
        <v>38</v>
      </c>
      <c r="AB102" s="26">
        <v>500</v>
      </c>
      <c r="AC102" s="26">
        <v>480</v>
      </c>
      <c r="AD102" s="26">
        <v>408</v>
      </c>
      <c r="AE102" s="16" t="s">
        <v>37</v>
      </c>
    </row>
    <row r="103" s="43" customFormat="1" ht="39" customHeight="1" spans="1:31">
      <c r="A103" s="55" t="s">
        <v>57</v>
      </c>
      <c r="B103" s="59" t="s">
        <v>361</v>
      </c>
      <c r="C103" s="55" t="s">
        <v>362</v>
      </c>
      <c r="D103" s="58" t="s">
        <v>38</v>
      </c>
      <c r="E103" s="58" t="s">
        <v>38</v>
      </c>
      <c r="F103" s="55" t="s">
        <v>98</v>
      </c>
      <c r="G103" s="58" t="s">
        <v>38</v>
      </c>
      <c r="H103" s="64">
        <v>150</v>
      </c>
      <c r="I103" s="64">
        <v>135</v>
      </c>
      <c r="J103" s="66"/>
      <c r="K103" s="66"/>
      <c r="L103" s="66"/>
      <c r="M103" s="74">
        <v>150</v>
      </c>
      <c r="N103" s="74">
        <v>135</v>
      </c>
      <c r="O103" s="74">
        <v>115</v>
      </c>
      <c r="P103" s="55" t="s">
        <v>37</v>
      </c>
      <c r="Q103" s="55" t="s">
        <v>38</v>
      </c>
      <c r="R103" s="55" t="s">
        <v>38</v>
      </c>
      <c r="S103" s="66"/>
      <c r="T103" s="58" t="s">
        <v>60</v>
      </c>
      <c r="U103" s="16" t="s">
        <v>363</v>
      </c>
      <c r="V103" s="17">
        <v>33160100301</v>
      </c>
      <c r="W103" s="16" t="s">
        <v>364</v>
      </c>
      <c r="X103" s="16"/>
      <c r="Y103" s="16"/>
      <c r="Z103" s="16" t="s">
        <v>98</v>
      </c>
      <c r="AA103" s="16" t="s">
        <v>38</v>
      </c>
      <c r="AB103" s="26">
        <v>650</v>
      </c>
      <c r="AC103" s="26">
        <v>625</v>
      </c>
      <c r="AD103" s="26">
        <v>530</v>
      </c>
      <c r="AE103" s="16" t="s">
        <v>37</v>
      </c>
    </row>
    <row r="104" s="40" customFormat="1" ht="79" customHeight="1" spans="1:31">
      <c r="A104" s="55">
        <v>17</v>
      </c>
      <c r="B104" s="59" t="s">
        <v>354</v>
      </c>
      <c r="C104" s="55" t="s">
        <v>365</v>
      </c>
      <c r="D104" s="58" t="s">
        <v>366</v>
      </c>
      <c r="E104" s="58" t="s">
        <v>367</v>
      </c>
      <c r="F104" s="55" t="s">
        <v>98</v>
      </c>
      <c r="G104" s="58" t="s">
        <v>38</v>
      </c>
      <c r="H104" s="64" t="s">
        <v>368</v>
      </c>
      <c r="I104" s="64" t="s">
        <v>368</v>
      </c>
      <c r="J104" s="66"/>
      <c r="K104" s="66"/>
      <c r="L104" s="66"/>
      <c r="M104" s="74" t="s">
        <v>368</v>
      </c>
      <c r="N104" s="74" t="s">
        <v>368</v>
      </c>
      <c r="O104" s="74" t="s">
        <v>368</v>
      </c>
      <c r="P104" s="55" t="s">
        <v>369</v>
      </c>
      <c r="Q104" s="55" t="s">
        <v>38</v>
      </c>
      <c r="R104" s="55" t="s">
        <v>38</v>
      </c>
      <c r="S104" s="66" t="s">
        <v>368</v>
      </c>
      <c r="T104" s="58" t="s">
        <v>368</v>
      </c>
      <c r="U104" s="16" t="s">
        <v>370</v>
      </c>
      <c r="V104" s="17">
        <v>331601014</v>
      </c>
      <c r="W104" s="16" t="s">
        <v>371</v>
      </c>
      <c r="X104" s="16" t="s">
        <v>372</v>
      </c>
      <c r="Y104" s="16"/>
      <c r="Z104" s="16" t="s">
        <v>98</v>
      </c>
      <c r="AA104" s="16" t="s">
        <v>368</v>
      </c>
      <c r="AB104" s="26">
        <v>0</v>
      </c>
      <c r="AC104" s="26">
        <v>0</v>
      </c>
      <c r="AD104" s="26">
        <v>0</v>
      </c>
      <c r="AE104" s="16" t="s">
        <v>38</v>
      </c>
    </row>
    <row r="105" s="40" customFormat="1" ht="31" customHeight="1" spans="1:31">
      <c r="A105" s="55" t="s">
        <v>57</v>
      </c>
      <c r="B105" s="59" t="s">
        <v>361</v>
      </c>
      <c r="C105" s="55" t="s">
        <v>373</v>
      </c>
      <c r="D105" s="58" t="s">
        <v>38</v>
      </c>
      <c r="E105" s="58" t="s">
        <v>38</v>
      </c>
      <c r="F105" s="55" t="s">
        <v>98</v>
      </c>
      <c r="G105" s="58" t="s">
        <v>38</v>
      </c>
      <c r="H105" s="64" t="s">
        <v>368</v>
      </c>
      <c r="I105" s="64" t="s">
        <v>368</v>
      </c>
      <c r="J105" s="66"/>
      <c r="K105" s="66"/>
      <c r="L105" s="66"/>
      <c r="M105" s="74" t="s">
        <v>368</v>
      </c>
      <c r="N105" s="74" t="s">
        <v>368</v>
      </c>
      <c r="O105" s="74" t="s">
        <v>368</v>
      </c>
      <c r="P105" s="55" t="s">
        <v>369</v>
      </c>
      <c r="Q105" s="55" t="s">
        <v>38</v>
      </c>
      <c r="R105" s="55" t="s">
        <v>38</v>
      </c>
      <c r="S105" s="66"/>
      <c r="T105" s="58"/>
      <c r="U105" s="16"/>
      <c r="V105" s="17"/>
      <c r="W105" s="16"/>
      <c r="X105" s="16"/>
      <c r="Y105" s="16"/>
      <c r="Z105" s="16"/>
      <c r="AA105" s="16"/>
      <c r="AB105" s="26"/>
      <c r="AC105" s="26"/>
      <c r="AD105" s="26"/>
      <c r="AE105" s="16"/>
    </row>
    <row r="106" s="40" customFormat="1" ht="51" customHeight="1" spans="1:31">
      <c r="A106" s="59">
        <v>18</v>
      </c>
      <c r="B106" s="59" t="s">
        <v>374</v>
      </c>
      <c r="C106" s="59" t="s">
        <v>375</v>
      </c>
      <c r="D106" s="61" t="s">
        <v>376</v>
      </c>
      <c r="E106" s="61" t="s">
        <v>377</v>
      </c>
      <c r="F106" s="59" t="s">
        <v>35</v>
      </c>
      <c r="G106" s="61" t="s">
        <v>38</v>
      </c>
      <c r="H106" s="69">
        <v>225</v>
      </c>
      <c r="I106" s="69">
        <v>203</v>
      </c>
      <c r="J106" s="70">
        <v>225</v>
      </c>
      <c r="K106" s="70">
        <v>216</v>
      </c>
      <c r="L106" s="70">
        <v>183.6</v>
      </c>
      <c r="M106" s="86">
        <v>225</v>
      </c>
      <c r="N106" s="85">
        <v>203</v>
      </c>
      <c r="O106" s="85">
        <v>175</v>
      </c>
      <c r="P106" s="59" t="s">
        <v>37</v>
      </c>
      <c r="Q106" s="59" t="s">
        <v>38</v>
      </c>
      <c r="R106" s="59" t="s">
        <v>38</v>
      </c>
      <c r="S106" s="70" t="s">
        <v>357</v>
      </c>
      <c r="T106" s="61" t="s">
        <v>358</v>
      </c>
      <c r="U106" s="16" t="s">
        <v>378</v>
      </c>
      <c r="V106" s="17">
        <v>33160100101</v>
      </c>
      <c r="W106" s="16" t="s">
        <v>379</v>
      </c>
      <c r="X106" s="16"/>
      <c r="Y106" s="16"/>
      <c r="Z106" s="16" t="s">
        <v>35</v>
      </c>
      <c r="AA106" s="16" t="s">
        <v>380</v>
      </c>
      <c r="AB106" s="26">
        <v>225</v>
      </c>
      <c r="AC106" s="26">
        <v>216</v>
      </c>
      <c r="AD106" s="26">
        <v>183.6</v>
      </c>
      <c r="AE106" s="16" t="s">
        <v>37</v>
      </c>
    </row>
    <row r="107" s="40" customFormat="1" ht="36" customHeight="1" spans="1:31">
      <c r="A107" s="55" t="s">
        <v>57</v>
      </c>
      <c r="B107" s="99" t="s">
        <v>381</v>
      </c>
      <c r="C107" s="55" t="s">
        <v>382</v>
      </c>
      <c r="D107" s="58" t="s">
        <v>38</v>
      </c>
      <c r="E107" s="58" t="s">
        <v>38</v>
      </c>
      <c r="F107" s="55" t="s">
        <v>35</v>
      </c>
      <c r="G107" s="58" t="s">
        <v>38</v>
      </c>
      <c r="H107" s="64">
        <v>68</v>
      </c>
      <c r="I107" s="64">
        <v>61</v>
      </c>
      <c r="J107" s="66"/>
      <c r="K107" s="66"/>
      <c r="L107" s="66"/>
      <c r="M107" s="74">
        <v>68</v>
      </c>
      <c r="N107" s="74">
        <v>61</v>
      </c>
      <c r="O107" s="74">
        <v>53</v>
      </c>
      <c r="P107" s="55" t="s">
        <v>37</v>
      </c>
      <c r="Q107" s="55" t="s">
        <v>38</v>
      </c>
      <c r="R107" s="55" t="s">
        <v>38</v>
      </c>
      <c r="S107" s="66"/>
      <c r="T107" s="58"/>
      <c r="U107" s="16" t="s">
        <v>383</v>
      </c>
      <c r="V107" s="17">
        <v>33160100103</v>
      </c>
      <c r="W107" s="16" t="s">
        <v>384</v>
      </c>
      <c r="X107" s="16"/>
      <c r="Y107" s="16"/>
      <c r="Z107" s="16" t="s">
        <v>35</v>
      </c>
      <c r="AA107" s="16" t="s">
        <v>380</v>
      </c>
      <c r="AB107" s="26">
        <v>295</v>
      </c>
      <c r="AC107" s="26">
        <v>280</v>
      </c>
      <c r="AD107" s="26">
        <v>240</v>
      </c>
      <c r="AE107" s="16" t="s">
        <v>37</v>
      </c>
    </row>
    <row r="108" s="40" customFormat="1" ht="26" customHeight="1" spans="1:31">
      <c r="A108" s="55">
        <v>19</v>
      </c>
      <c r="B108" s="59" t="s">
        <v>385</v>
      </c>
      <c r="C108" s="55" t="s">
        <v>386</v>
      </c>
      <c r="D108" s="58" t="s">
        <v>387</v>
      </c>
      <c r="E108" s="58" t="s">
        <v>388</v>
      </c>
      <c r="F108" s="55" t="s">
        <v>98</v>
      </c>
      <c r="G108" s="58"/>
      <c r="H108" s="64">
        <v>1200</v>
      </c>
      <c r="I108" s="64">
        <v>1080</v>
      </c>
      <c r="J108" s="65">
        <v>1184.38177874187</v>
      </c>
      <c r="K108" s="65">
        <v>1074</v>
      </c>
      <c r="L108" s="65">
        <v>1077.12</v>
      </c>
      <c r="M108" s="74">
        <v>1185</v>
      </c>
      <c r="N108" s="74">
        <v>1075</v>
      </c>
      <c r="O108" s="73">
        <v>950</v>
      </c>
      <c r="P108" s="55" t="s">
        <v>37</v>
      </c>
      <c r="Q108" s="55" t="s">
        <v>38</v>
      </c>
      <c r="R108" s="55" t="s">
        <v>38</v>
      </c>
      <c r="S108" s="65" t="s">
        <v>39</v>
      </c>
      <c r="T108" s="58" t="s">
        <v>389</v>
      </c>
      <c r="U108" s="16" t="s">
        <v>390</v>
      </c>
      <c r="V108" s="17">
        <v>330300008</v>
      </c>
      <c r="W108" s="16" t="s">
        <v>391</v>
      </c>
      <c r="X108" s="16" t="s">
        <v>392</v>
      </c>
      <c r="Y108" s="16"/>
      <c r="Z108" s="16" t="s">
        <v>98</v>
      </c>
      <c r="AA108" s="16" t="s">
        <v>393</v>
      </c>
      <c r="AB108" s="26">
        <v>1000</v>
      </c>
      <c r="AC108" s="26">
        <v>960</v>
      </c>
      <c r="AD108" s="26">
        <v>816</v>
      </c>
      <c r="AE108" s="16" t="s">
        <v>37</v>
      </c>
    </row>
    <row r="109" s="40" customFormat="1" ht="26" customHeight="1" spans="1:31">
      <c r="A109" s="55"/>
      <c r="B109" s="59"/>
      <c r="C109" s="55"/>
      <c r="D109" s="58"/>
      <c r="E109" s="58"/>
      <c r="F109" s="55"/>
      <c r="G109" s="58"/>
      <c r="H109" s="64"/>
      <c r="I109" s="64"/>
      <c r="J109" s="65"/>
      <c r="K109" s="65"/>
      <c r="L109" s="65"/>
      <c r="M109" s="74"/>
      <c r="N109" s="74"/>
      <c r="O109" s="73"/>
      <c r="P109" s="55"/>
      <c r="Q109" s="55"/>
      <c r="R109" s="55"/>
      <c r="S109" s="65"/>
      <c r="T109" s="58"/>
      <c r="U109" s="16" t="s">
        <v>394</v>
      </c>
      <c r="V109" s="17">
        <v>33030000804</v>
      </c>
      <c r="W109" s="16" t="s">
        <v>395</v>
      </c>
      <c r="X109" s="16"/>
      <c r="Y109" s="16"/>
      <c r="Z109" s="16" t="s">
        <v>98</v>
      </c>
      <c r="AA109" s="16" t="s">
        <v>38</v>
      </c>
      <c r="AB109" s="26">
        <v>1625</v>
      </c>
      <c r="AC109" s="26">
        <v>1560</v>
      </c>
      <c r="AD109" s="26">
        <v>1326</v>
      </c>
      <c r="AE109" s="16" t="s">
        <v>37</v>
      </c>
    </row>
    <row r="110" s="40" customFormat="1" ht="26" customHeight="1" spans="1:31">
      <c r="A110" s="55"/>
      <c r="B110" s="59"/>
      <c r="C110" s="55"/>
      <c r="D110" s="58"/>
      <c r="E110" s="58"/>
      <c r="F110" s="55"/>
      <c r="G110" s="58"/>
      <c r="H110" s="64"/>
      <c r="I110" s="64"/>
      <c r="J110" s="65"/>
      <c r="K110" s="65"/>
      <c r="L110" s="65"/>
      <c r="M110" s="74"/>
      <c r="N110" s="74"/>
      <c r="O110" s="73"/>
      <c r="P110" s="55"/>
      <c r="Q110" s="55"/>
      <c r="R110" s="55"/>
      <c r="S110" s="65"/>
      <c r="T110" s="58"/>
      <c r="U110" s="16" t="s">
        <v>396</v>
      </c>
      <c r="V110" s="17">
        <v>330300009</v>
      </c>
      <c r="W110" s="16" t="s">
        <v>397</v>
      </c>
      <c r="X110" s="16"/>
      <c r="Y110" s="16"/>
      <c r="Z110" s="16" t="s">
        <v>98</v>
      </c>
      <c r="AA110" s="16" t="s">
        <v>393</v>
      </c>
      <c r="AB110" s="26">
        <v>1250</v>
      </c>
      <c r="AC110" s="26">
        <v>1200</v>
      </c>
      <c r="AD110" s="26">
        <v>1020</v>
      </c>
      <c r="AE110" s="16" t="s">
        <v>37</v>
      </c>
    </row>
    <row r="111" s="40" customFormat="1" ht="26" customHeight="1" spans="1:31">
      <c r="A111" s="55"/>
      <c r="B111" s="59"/>
      <c r="C111" s="55"/>
      <c r="D111" s="58"/>
      <c r="E111" s="58"/>
      <c r="F111" s="55"/>
      <c r="G111" s="58"/>
      <c r="H111" s="64"/>
      <c r="I111" s="64"/>
      <c r="J111" s="65"/>
      <c r="K111" s="65"/>
      <c r="L111" s="65"/>
      <c r="M111" s="74"/>
      <c r="N111" s="74"/>
      <c r="O111" s="73"/>
      <c r="P111" s="55"/>
      <c r="Q111" s="55"/>
      <c r="R111" s="55"/>
      <c r="S111" s="65"/>
      <c r="T111" s="58"/>
      <c r="U111" s="16" t="s">
        <v>398</v>
      </c>
      <c r="V111" s="17">
        <v>33030000904</v>
      </c>
      <c r="W111" s="16" t="s">
        <v>399</v>
      </c>
      <c r="X111" s="16"/>
      <c r="Y111" s="16"/>
      <c r="Z111" s="16" t="s">
        <v>98</v>
      </c>
      <c r="AA111" s="16" t="s">
        <v>38</v>
      </c>
      <c r="AB111" s="26">
        <v>1875</v>
      </c>
      <c r="AC111" s="26">
        <v>1800</v>
      </c>
      <c r="AD111" s="26">
        <v>1530</v>
      </c>
      <c r="AE111" s="16" t="s">
        <v>37</v>
      </c>
    </row>
    <row r="112" s="43" customFormat="1" ht="27" customHeight="1" spans="1:31">
      <c r="A112" s="55" t="s">
        <v>57</v>
      </c>
      <c r="B112" s="59" t="s">
        <v>400</v>
      </c>
      <c r="C112" s="55" t="s">
        <v>401</v>
      </c>
      <c r="D112" s="58" t="s">
        <v>38</v>
      </c>
      <c r="E112" s="58" t="s">
        <v>38</v>
      </c>
      <c r="F112" s="55" t="s">
        <v>98</v>
      </c>
      <c r="G112" s="58" t="s">
        <v>38</v>
      </c>
      <c r="H112" s="64">
        <v>360</v>
      </c>
      <c r="I112" s="64">
        <v>324</v>
      </c>
      <c r="J112" s="66"/>
      <c r="K112" s="66"/>
      <c r="L112" s="66"/>
      <c r="M112" s="74">
        <v>355</v>
      </c>
      <c r="N112" s="74">
        <v>320</v>
      </c>
      <c r="O112" s="74">
        <v>285</v>
      </c>
      <c r="P112" s="55" t="s">
        <v>37</v>
      </c>
      <c r="Q112" s="55" t="s">
        <v>38</v>
      </c>
      <c r="R112" s="55" t="s">
        <v>38</v>
      </c>
      <c r="S112" s="66"/>
      <c r="T112" s="58"/>
      <c r="U112" s="16" t="s">
        <v>402</v>
      </c>
      <c r="V112" s="17">
        <v>33030000802</v>
      </c>
      <c r="W112" s="16" t="s">
        <v>403</v>
      </c>
      <c r="X112" s="16"/>
      <c r="Y112" s="16"/>
      <c r="Z112" s="16" t="s">
        <v>98</v>
      </c>
      <c r="AA112" s="16" t="s">
        <v>38</v>
      </c>
      <c r="AB112" s="26">
        <v>1300</v>
      </c>
      <c r="AC112" s="26">
        <v>1250</v>
      </c>
      <c r="AD112" s="26">
        <v>1065</v>
      </c>
      <c r="AE112" s="16" t="s">
        <v>37</v>
      </c>
    </row>
    <row r="113" s="40" customFormat="1" ht="27" customHeight="1" spans="1:31">
      <c r="A113" s="55"/>
      <c r="B113" s="59"/>
      <c r="C113" s="55"/>
      <c r="D113" s="58"/>
      <c r="E113" s="58"/>
      <c r="F113" s="55"/>
      <c r="G113" s="58"/>
      <c r="H113" s="64"/>
      <c r="I113" s="64"/>
      <c r="J113" s="66"/>
      <c r="K113" s="66"/>
      <c r="L113" s="66"/>
      <c r="M113" s="74"/>
      <c r="N113" s="74"/>
      <c r="O113" s="74"/>
      <c r="P113" s="55"/>
      <c r="Q113" s="55"/>
      <c r="R113" s="55"/>
      <c r="S113" s="66"/>
      <c r="T113" s="58"/>
      <c r="U113" s="16" t="s">
        <v>404</v>
      </c>
      <c r="V113" s="17">
        <v>33030000806</v>
      </c>
      <c r="W113" s="16" t="s">
        <v>405</v>
      </c>
      <c r="X113" s="16"/>
      <c r="Y113" s="16"/>
      <c r="Z113" s="16" t="s">
        <v>98</v>
      </c>
      <c r="AA113" s="16" t="s">
        <v>38</v>
      </c>
      <c r="AB113" s="26">
        <v>1925</v>
      </c>
      <c r="AC113" s="26">
        <v>1850</v>
      </c>
      <c r="AD113" s="26">
        <v>1575</v>
      </c>
      <c r="AE113" s="16" t="s">
        <v>37</v>
      </c>
    </row>
    <row r="114" s="40" customFormat="1" ht="27" customHeight="1" spans="1:31">
      <c r="A114" s="55"/>
      <c r="B114" s="59"/>
      <c r="C114" s="55"/>
      <c r="D114" s="58"/>
      <c r="E114" s="58"/>
      <c r="F114" s="55"/>
      <c r="G114" s="58"/>
      <c r="H114" s="64"/>
      <c r="I114" s="64"/>
      <c r="J114" s="66"/>
      <c r="K114" s="66"/>
      <c r="L114" s="66"/>
      <c r="M114" s="74"/>
      <c r="N114" s="74"/>
      <c r="O114" s="74"/>
      <c r="P114" s="55"/>
      <c r="Q114" s="55"/>
      <c r="R114" s="55"/>
      <c r="S114" s="66"/>
      <c r="T114" s="58"/>
      <c r="U114" s="16" t="s">
        <v>406</v>
      </c>
      <c r="V114" s="17">
        <v>33030000902</v>
      </c>
      <c r="W114" s="16" t="s">
        <v>407</v>
      </c>
      <c r="X114" s="16"/>
      <c r="Y114" s="16"/>
      <c r="Z114" s="16" t="s">
        <v>98</v>
      </c>
      <c r="AA114" s="16" t="s">
        <v>38</v>
      </c>
      <c r="AB114" s="26">
        <v>1625</v>
      </c>
      <c r="AC114" s="26">
        <v>1560</v>
      </c>
      <c r="AD114" s="26">
        <v>1325</v>
      </c>
      <c r="AE114" s="16" t="s">
        <v>37</v>
      </c>
    </row>
    <row r="115" s="40" customFormat="1" ht="27" customHeight="1" spans="1:31">
      <c r="A115" s="55"/>
      <c r="B115" s="59"/>
      <c r="C115" s="55"/>
      <c r="D115" s="58"/>
      <c r="E115" s="58"/>
      <c r="F115" s="55"/>
      <c r="G115" s="58"/>
      <c r="H115" s="64"/>
      <c r="I115" s="64"/>
      <c r="J115" s="66"/>
      <c r="K115" s="66"/>
      <c r="L115" s="66"/>
      <c r="M115" s="74"/>
      <c r="N115" s="74"/>
      <c r="O115" s="74"/>
      <c r="P115" s="55"/>
      <c r="Q115" s="55"/>
      <c r="R115" s="55"/>
      <c r="S115" s="66"/>
      <c r="T115" s="58"/>
      <c r="U115" s="16" t="s">
        <v>408</v>
      </c>
      <c r="V115" s="17">
        <v>33030000906</v>
      </c>
      <c r="W115" s="16" t="s">
        <v>409</v>
      </c>
      <c r="X115" s="16"/>
      <c r="Y115" s="16"/>
      <c r="Z115" s="16" t="s">
        <v>98</v>
      </c>
      <c r="AA115" s="16" t="s">
        <v>38</v>
      </c>
      <c r="AB115" s="26">
        <v>2250</v>
      </c>
      <c r="AC115" s="26">
        <v>2160</v>
      </c>
      <c r="AD115" s="26">
        <v>1835</v>
      </c>
      <c r="AE115" s="16" t="s">
        <v>37</v>
      </c>
    </row>
    <row r="116" s="40" customFormat="1" ht="108" customHeight="1" spans="1:31">
      <c r="A116" s="55">
        <v>20</v>
      </c>
      <c r="B116" s="59" t="s">
        <v>410</v>
      </c>
      <c r="C116" s="55" t="s">
        <v>411</v>
      </c>
      <c r="D116" s="58" t="s">
        <v>412</v>
      </c>
      <c r="E116" s="58" t="s">
        <v>388</v>
      </c>
      <c r="F116" s="55" t="s">
        <v>98</v>
      </c>
      <c r="G116" s="58" t="s">
        <v>413</v>
      </c>
      <c r="H116" s="64">
        <v>1800</v>
      </c>
      <c r="I116" s="64">
        <v>1620</v>
      </c>
      <c r="J116" s="66"/>
      <c r="K116" s="66"/>
      <c r="L116" s="66"/>
      <c r="M116" s="74">
        <v>1780</v>
      </c>
      <c r="N116" s="74">
        <v>1615</v>
      </c>
      <c r="O116" s="74">
        <v>1430</v>
      </c>
      <c r="P116" s="55" t="s">
        <v>37</v>
      </c>
      <c r="Q116" s="55" t="s">
        <v>38</v>
      </c>
      <c r="R116" s="55" t="s">
        <v>38</v>
      </c>
      <c r="S116" s="66" t="s">
        <v>134</v>
      </c>
      <c r="T116" s="58" t="s">
        <v>414</v>
      </c>
      <c r="U116" s="95"/>
      <c r="V116" s="96"/>
      <c r="W116" s="95"/>
      <c r="X116" s="95"/>
      <c r="Y116" s="95"/>
      <c r="Z116" s="95"/>
      <c r="AA116" s="95"/>
      <c r="AB116" s="26"/>
      <c r="AC116" s="26"/>
      <c r="AD116" s="26"/>
      <c r="AE116" s="16"/>
    </row>
    <row r="117" s="40" customFormat="1" ht="36" customHeight="1" spans="1:31">
      <c r="A117" s="55" t="s">
        <v>57</v>
      </c>
      <c r="B117" s="59" t="s">
        <v>415</v>
      </c>
      <c r="C117" s="55" t="s">
        <v>416</v>
      </c>
      <c r="D117" s="58" t="s">
        <v>38</v>
      </c>
      <c r="E117" s="58" t="s">
        <v>38</v>
      </c>
      <c r="F117" s="55" t="s">
        <v>98</v>
      </c>
      <c r="G117" s="58" t="s">
        <v>38</v>
      </c>
      <c r="H117" s="64">
        <v>540</v>
      </c>
      <c r="I117" s="64">
        <v>486</v>
      </c>
      <c r="J117" s="66"/>
      <c r="K117" s="66"/>
      <c r="L117" s="66"/>
      <c r="M117" s="74">
        <v>535</v>
      </c>
      <c r="N117" s="74">
        <v>485</v>
      </c>
      <c r="O117" s="74">
        <v>430</v>
      </c>
      <c r="P117" s="55" t="s">
        <v>37</v>
      </c>
      <c r="Q117" s="55" t="s">
        <v>38</v>
      </c>
      <c r="R117" s="55" t="s">
        <v>38</v>
      </c>
      <c r="S117" s="66"/>
      <c r="T117" s="58"/>
      <c r="U117" s="95"/>
      <c r="V117" s="96"/>
      <c r="W117" s="95"/>
      <c r="X117" s="95"/>
      <c r="Y117" s="95"/>
      <c r="Z117" s="95"/>
      <c r="AA117" s="95"/>
      <c r="AB117" s="26"/>
      <c r="AC117" s="26"/>
      <c r="AD117" s="26"/>
      <c r="AE117" s="16"/>
    </row>
    <row r="118" s="40" customFormat="1" ht="36" customHeight="1" spans="1:31">
      <c r="A118" s="59">
        <v>21</v>
      </c>
      <c r="B118" s="59" t="s">
        <v>417</v>
      </c>
      <c r="C118" s="59" t="s">
        <v>418</v>
      </c>
      <c r="D118" s="61" t="s">
        <v>419</v>
      </c>
      <c r="E118" s="61" t="s">
        <v>388</v>
      </c>
      <c r="F118" s="59" t="s">
        <v>98</v>
      </c>
      <c r="G118" s="61" t="s">
        <v>420</v>
      </c>
      <c r="H118" s="69">
        <v>2400</v>
      </c>
      <c r="I118" s="69">
        <v>2160</v>
      </c>
      <c r="J118" s="65">
        <v>2294.69921608725</v>
      </c>
      <c r="K118" s="65">
        <v>2023.21888412017</v>
      </c>
      <c r="L118" s="65">
        <v>1849.34065934066</v>
      </c>
      <c r="M118" s="86">
        <v>2300</v>
      </c>
      <c r="N118" s="86">
        <v>2030</v>
      </c>
      <c r="O118" s="86">
        <v>1800</v>
      </c>
      <c r="P118" s="59" t="s">
        <v>37</v>
      </c>
      <c r="Q118" s="59" t="s">
        <v>38</v>
      </c>
      <c r="R118" s="59" t="s">
        <v>38</v>
      </c>
      <c r="S118" s="65" t="s">
        <v>39</v>
      </c>
      <c r="T118" s="61" t="s">
        <v>389</v>
      </c>
      <c r="U118" s="16" t="s">
        <v>421</v>
      </c>
      <c r="V118" s="17">
        <v>330300010</v>
      </c>
      <c r="W118" s="16" t="s">
        <v>422</v>
      </c>
      <c r="X118" s="16"/>
      <c r="Y118" s="16"/>
      <c r="Z118" s="16" t="s">
        <v>98</v>
      </c>
      <c r="AA118" s="16" t="s">
        <v>393</v>
      </c>
      <c r="AB118" s="26">
        <v>2190</v>
      </c>
      <c r="AC118" s="26">
        <v>1970</v>
      </c>
      <c r="AD118" s="26">
        <v>1670</v>
      </c>
      <c r="AE118" s="16" t="s">
        <v>37</v>
      </c>
    </row>
    <row r="119" s="40" customFormat="1" ht="36" customHeight="1" spans="1:31">
      <c r="A119" s="59"/>
      <c r="B119" s="59"/>
      <c r="C119" s="59"/>
      <c r="D119" s="61"/>
      <c r="E119" s="61"/>
      <c r="F119" s="59"/>
      <c r="G119" s="61"/>
      <c r="H119" s="69"/>
      <c r="I119" s="69"/>
      <c r="J119" s="65"/>
      <c r="K119" s="65"/>
      <c r="L119" s="65"/>
      <c r="M119" s="86"/>
      <c r="N119" s="86"/>
      <c r="O119" s="86"/>
      <c r="P119" s="59"/>
      <c r="Q119" s="59"/>
      <c r="R119" s="59"/>
      <c r="S119" s="65"/>
      <c r="T119" s="61"/>
      <c r="U119" s="16" t="s">
        <v>423</v>
      </c>
      <c r="V119" s="17">
        <v>33030001004</v>
      </c>
      <c r="W119" s="16" t="s">
        <v>424</v>
      </c>
      <c r="X119" s="16"/>
      <c r="Y119" s="16"/>
      <c r="Z119" s="16" t="s">
        <v>98</v>
      </c>
      <c r="AA119" s="16" t="s">
        <v>38</v>
      </c>
      <c r="AB119" s="26">
        <v>2815</v>
      </c>
      <c r="AC119" s="26">
        <v>2570</v>
      </c>
      <c r="AD119" s="26">
        <v>2180</v>
      </c>
      <c r="AE119" s="16" t="s">
        <v>37</v>
      </c>
    </row>
    <row r="120" s="40" customFormat="1" ht="28" customHeight="1" spans="1:31">
      <c r="A120" s="59" t="s">
        <v>57</v>
      </c>
      <c r="B120" s="59" t="s">
        <v>425</v>
      </c>
      <c r="C120" s="59" t="s">
        <v>426</v>
      </c>
      <c r="D120" s="61" t="s">
        <v>38</v>
      </c>
      <c r="E120" s="61" t="s">
        <v>38</v>
      </c>
      <c r="F120" s="59" t="s">
        <v>98</v>
      </c>
      <c r="G120" s="61" t="s">
        <v>38</v>
      </c>
      <c r="H120" s="69">
        <v>720</v>
      </c>
      <c r="I120" s="69">
        <v>648</v>
      </c>
      <c r="J120" s="70"/>
      <c r="K120" s="70"/>
      <c r="L120" s="70"/>
      <c r="M120" s="86">
        <v>690</v>
      </c>
      <c r="N120" s="86">
        <v>610</v>
      </c>
      <c r="O120" s="86">
        <v>540</v>
      </c>
      <c r="P120" s="59" t="s">
        <v>37</v>
      </c>
      <c r="Q120" s="59" t="s">
        <v>38</v>
      </c>
      <c r="R120" s="59" t="s">
        <v>38</v>
      </c>
      <c r="S120" s="70"/>
      <c r="T120" s="61" t="s">
        <v>60</v>
      </c>
      <c r="U120" s="16" t="s">
        <v>427</v>
      </c>
      <c r="V120" s="17">
        <v>33030001002</v>
      </c>
      <c r="W120" s="16" t="s">
        <v>428</v>
      </c>
      <c r="X120" s="16"/>
      <c r="Y120" s="16"/>
      <c r="Z120" s="16" t="s">
        <v>98</v>
      </c>
      <c r="AA120" s="16" t="s">
        <v>38</v>
      </c>
      <c r="AB120" s="26">
        <v>2845</v>
      </c>
      <c r="AC120" s="26">
        <v>2560</v>
      </c>
      <c r="AD120" s="26">
        <v>2175</v>
      </c>
      <c r="AE120" s="16" t="s">
        <v>37</v>
      </c>
    </row>
    <row r="121" s="43" customFormat="1" ht="28" customHeight="1" spans="1:31">
      <c r="A121" s="59"/>
      <c r="B121" s="59"/>
      <c r="C121" s="59"/>
      <c r="D121" s="61"/>
      <c r="E121" s="61"/>
      <c r="F121" s="59"/>
      <c r="G121" s="61"/>
      <c r="H121" s="69"/>
      <c r="I121" s="69"/>
      <c r="J121" s="70"/>
      <c r="K121" s="70"/>
      <c r="L121" s="70"/>
      <c r="M121" s="86"/>
      <c r="N121" s="86"/>
      <c r="O121" s="86"/>
      <c r="P121" s="59"/>
      <c r="Q121" s="59"/>
      <c r="R121" s="59"/>
      <c r="S121" s="70"/>
      <c r="T121" s="61"/>
      <c r="U121" s="16" t="s">
        <v>429</v>
      </c>
      <c r="V121" s="17">
        <v>33030001006</v>
      </c>
      <c r="W121" s="16" t="s">
        <v>430</v>
      </c>
      <c r="X121" s="16"/>
      <c r="Y121" s="16"/>
      <c r="Z121" s="16" t="s">
        <v>98</v>
      </c>
      <c r="AA121" s="16" t="s">
        <v>38</v>
      </c>
      <c r="AB121" s="26">
        <v>3470</v>
      </c>
      <c r="AC121" s="26">
        <v>3160</v>
      </c>
      <c r="AD121" s="26">
        <v>2685</v>
      </c>
      <c r="AE121" s="16" t="s">
        <v>37</v>
      </c>
    </row>
    <row r="122" s="40" customFormat="1" ht="54" customHeight="1" spans="1:31">
      <c r="A122" s="55" t="s">
        <v>57</v>
      </c>
      <c r="B122" s="59" t="s">
        <v>431</v>
      </c>
      <c r="C122" s="55" t="s">
        <v>432</v>
      </c>
      <c r="D122" s="58" t="s">
        <v>38</v>
      </c>
      <c r="E122" s="58" t="s">
        <v>38</v>
      </c>
      <c r="F122" s="55" t="s">
        <v>98</v>
      </c>
      <c r="G122" s="58" t="s">
        <v>38</v>
      </c>
      <c r="H122" s="64">
        <v>2400</v>
      </c>
      <c r="I122" s="64">
        <v>2160</v>
      </c>
      <c r="J122" s="66">
        <v>2501.875</v>
      </c>
      <c r="K122" s="66">
        <v>2290</v>
      </c>
      <c r="L122" s="66"/>
      <c r="M122" s="74">
        <v>2300</v>
      </c>
      <c r="N122" s="74">
        <v>2030</v>
      </c>
      <c r="O122" s="74">
        <v>1800</v>
      </c>
      <c r="P122" s="55" t="s">
        <v>37</v>
      </c>
      <c r="Q122" s="55" t="s">
        <v>38</v>
      </c>
      <c r="R122" s="55" t="s">
        <v>38</v>
      </c>
      <c r="S122" s="66"/>
      <c r="T122" s="58" t="s">
        <v>433</v>
      </c>
      <c r="U122" s="16" t="s">
        <v>434</v>
      </c>
      <c r="V122" s="17">
        <v>330300012</v>
      </c>
      <c r="W122" s="16" t="s">
        <v>435</v>
      </c>
      <c r="X122" s="16" t="s">
        <v>436</v>
      </c>
      <c r="Y122" s="16"/>
      <c r="Z122" s="16" t="s">
        <v>35</v>
      </c>
      <c r="AA122" s="16" t="s">
        <v>38</v>
      </c>
      <c r="AB122" s="26">
        <v>4630</v>
      </c>
      <c r="AC122" s="26">
        <v>4170</v>
      </c>
      <c r="AD122" s="26">
        <v>3540</v>
      </c>
      <c r="AE122" s="16" t="s">
        <v>37</v>
      </c>
    </row>
    <row r="123" s="40" customFormat="1" ht="30" customHeight="1" spans="1:31">
      <c r="A123" s="55"/>
      <c r="B123" s="59"/>
      <c r="C123" s="55"/>
      <c r="D123" s="58"/>
      <c r="E123" s="58"/>
      <c r="F123" s="55"/>
      <c r="G123" s="58"/>
      <c r="H123" s="64"/>
      <c r="I123" s="64"/>
      <c r="J123" s="66"/>
      <c r="K123" s="66"/>
      <c r="L123" s="66"/>
      <c r="M123" s="74"/>
      <c r="N123" s="74"/>
      <c r="O123" s="74"/>
      <c r="P123" s="55"/>
      <c r="Q123" s="55"/>
      <c r="R123" s="55"/>
      <c r="S123" s="66"/>
      <c r="T123" s="58"/>
      <c r="U123" s="16" t="s">
        <v>437</v>
      </c>
      <c r="V123" s="17">
        <v>33030001202</v>
      </c>
      <c r="W123" s="16" t="s">
        <v>438</v>
      </c>
      <c r="X123" s="16"/>
      <c r="Y123" s="16"/>
      <c r="Z123" s="16" t="s">
        <v>35</v>
      </c>
      <c r="AA123" s="16" t="s">
        <v>38</v>
      </c>
      <c r="AB123" s="26">
        <v>5255</v>
      </c>
      <c r="AC123" s="26">
        <v>6020</v>
      </c>
      <c r="AD123" s="26">
        <v>5120</v>
      </c>
      <c r="AE123" s="16" t="s">
        <v>37</v>
      </c>
    </row>
    <row r="124" s="40" customFormat="1" ht="30" customHeight="1" spans="1:31">
      <c r="A124" s="55"/>
      <c r="B124" s="59"/>
      <c r="C124" s="55"/>
      <c r="D124" s="58"/>
      <c r="E124" s="58"/>
      <c r="F124" s="55"/>
      <c r="G124" s="58"/>
      <c r="H124" s="64"/>
      <c r="I124" s="64"/>
      <c r="J124" s="66"/>
      <c r="K124" s="66"/>
      <c r="L124" s="66"/>
      <c r="M124" s="74"/>
      <c r="N124" s="74"/>
      <c r="O124" s="74"/>
      <c r="P124" s="55"/>
      <c r="Q124" s="55"/>
      <c r="R124" s="55"/>
      <c r="S124" s="66"/>
      <c r="T124" s="58"/>
      <c r="U124" s="16" t="s">
        <v>439</v>
      </c>
      <c r="V124" s="17">
        <v>33030001201</v>
      </c>
      <c r="W124" s="16" t="s">
        <v>440</v>
      </c>
      <c r="X124" s="16"/>
      <c r="Y124" s="16"/>
      <c r="Z124" s="16" t="s">
        <v>35</v>
      </c>
      <c r="AA124" s="16" t="s">
        <v>38</v>
      </c>
      <c r="AB124" s="26">
        <v>6020</v>
      </c>
      <c r="AC124" s="26">
        <v>5420</v>
      </c>
      <c r="AD124" s="26">
        <v>4605</v>
      </c>
      <c r="AE124" s="16" t="s">
        <v>37</v>
      </c>
    </row>
    <row r="125" s="40" customFormat="1" ht="30" customHeight="1" spans="1:31">
      <c r="A125" s="55"/>
      <c r="B125" s="60"/>
      <c r="C125" s="55"/>
      <c r="D125" s="58"/>
      <c r="E125" s="58"/>
      <c r="F125" s="55"/>
      <c r="G125" s="58"/>
      <c r="H125" s="64"/>
      <c r="I125" s="64"/>
      <c r="J125" s="66"/>
      <c r="K125" s="66"/>
      <c r="L125" s="66"/>
      <c r="M125" s="74"/>
      <c r="N125" s="74"/>
      <c r="O125" s="74"/>
      <c r="P125" s="55"/>
      <c r="Q125" s="55"/>
      <c r="R125" s="55"/>
      <c r="S125" s="66"/>
      <c r="T125" s="58"/>
      <c r="U125" s="16" t="s">
        <v>441</v>
      </c>
      <c r="V125" s="17">
        <v>33030001203</v>
      </c>
      <c r="W125" s="16" t="s">
        <v>442</v>
      </c>
      <c r="X125" s="16"/>
      <c r="Y125" s="16"/>
      <c r="Z125" s="16" t="s">
        <v>35</v>
      </c>
      <c r="AA125" s="16" t="s">
        <v>38</v>
      </c>
      <c r="AB125" s="26">
        <v>6645</v>
      </c>
      <c r="AC125" s="26">
        <v>6020</v>
      </c>
      <c r="AD125" s="26">
        <v>5115</v>
      </c>
      <c r="AE125" s="16" t="s">
        <v>37</v>
      </c>
    </row>
    <row r="126" s="40" customFormat="1" ht="93" customHeight="1" spans="1:31">
      <c r="A126" s="55">
        <v>22</v>
      </c>
      <c r="B126" s="59" t="s">
        <v>443</v>
      </c>
      <c r="C126" s="55" t="s">
        <v>444</v>
      </c>
      <c r="D126" s="58" t="s">
        <v>445</v>
      </c>
      <c r="E126" s="58" t="s">
        <v>388</v>
      </c>
      <c r="F126" s="55" t="s">
        <v>98</v>
      </c>
      <c r="G126" s="58" t="s">
        <v>446</v>
      </c>
      <c r="H126" s="64">
        <v>3600</v>
      </c>
      <c r="I126" s="64">
        <v>3240</v>
      </c>
      <c r="J126" s="66"/>
      <c r="K126" s="66"/>
      <c r="L126" s="66"/>
      <c r="M126" s="74">
        <v>3450</v>
      </c>
      <c r="N126" s="74">
        <v>3045</v>
      </c>
      <c r="O126" s="74">
        <v>2700</v>
      </c>
      <c r="P126" s="55" t="s">
        <v>37</v>
      </c>
      <c r="Q126" s="55" t="s">
        <v>38</v>
      </c>
      <c r="R126" s="55" t="s">
        <v>38</v>
      </c>
      <c r="S126" s="66" t="s">
        <v>134</v>
      </c>
      <c r="T126" s="58" t="s">
        <v>414</v>
      </c>
      <c r="U126" s="95"/>
      <c r="V126" s="96"/>
      <c r="W126" s="95"/>
      <c r="X126" s="95"/>
      <c r="Y126" s="95"/>
      <c r="Z126" s="95"/>
      <c r="AA126" s="95"/>
      <c r="AB126" s="26"/>
      <c r="AC126" s="26"/>
      <c r="AD126" s="26"/>
      <c r="AE126" s="16"/>
    </row>
    <row r="127" s="40" customFormat="1" ht="39" customHeight="1" spans="1:31">
      <c r="A127" s="55" t="s">
        <v>57</v>
      </c>
      <c r="B127" s="59" t="s">
        <v>447</v>
      </c>
      <c r="C127" s="55" t="s">
        <v>448</v>
      </c>
      <c r="D127" s="58" t="s">
        <v>38</v>
      </c>
      <c r="E127" s="58" t="s">
        <v>38</v>
      </c>
      <c r="F127" s="55" t="s">
        <v>98</v>
      </c>
      <c r="G127" s="58" t="s">
        <v>38</v>
      </c>
      <c r="H127" s="64">
        <v>1080</v>
      </c>
      <c r="I127" s="64">
        <v>972</v>
      </c>
      <c r="J127" s="66"/>
      <c r="K127" s="66"/>
      <c r="L127" s="66"/>
      <c r="M127" s="74">
        <v>1035</v>
      </c>
      <c r="N127" s="74">
        <v>915</v>
      </c>
      <c r="O127" s="74">
        <v>810</v>
      </c>
      <c r="P127" s="55" t="s">
        <v>37</v>
      </c>
      <c r="Q127" s="55" t="s">
        <v>38</v>
      </c>
      <c r="R127" s="55" t="s">
        <v>38</v>
      </c>
      <c r="S127" s="66"/>
      <c r="T127" s="58"/>
      <c r="U127" s="95"/>
      <c r="V127" s="96"/>
      <c r="W127" s="95"/>
      <c r="X127" s="95"/>
      <c r="Y127" s="95"/>
      <c r="Z127" s="95"/>
      <c r="AA127" s="95"/>
      <c r="AB127" s="26"/>
      <c r="AC127" s="26"/>
      <c r="AD127" s="26"/>
      <c r="AE127" s="16"/>
    </row>
    <row r="128" s="40" customFormat="1" ht="39" customHeight="1" spans="1:31">
      <c r="A128" s="93" t="s">
        <v>57</v>
      </c>
      <c r="B128" s="94" t="s">
        <v>449</v>
      </c>
      <c r="C128" s="55" t="s">
        <v>450</v>
      </c>
      <c r="D128" s="58" t="s">
        <v>38</v>
      </c>
      <c r="E128" s="58" t="s">
        <v>38</v>
      </c>
      <c r="F128" s="55" t="s">
        <v>98</v>
      </c>
      <c r="G128" s="58" t="s">
        <v>38</v>
      </c>
      <c r="H128" s="64">
        <v>3600</v>
      </c>
      <c r="I128" s="64">
        <v>3240</v>
      </c>
      <c r="J128" s="66"/>
      <c r="K128" s="66"/>
      <c r="L128" s="66"/>
      <c r="M128" s="74">
        <v>3450</v>
      </c>
      <c r="N128" s="74">
        <v>3045</v>
      </c>
      <c r="O128" s="74">
        <v>2700</v>
      </c>
      <c r="P128" s="55" t="s">
        <v>37</v>
      </c>
      <c r="Q128" s="55" t="s">
        <v>38</v>
      </c>
      <c r="R128" s="55" t="s">
        <v>38</v>
      </c>
      <c r="S128" s="66"/>
      <c r="T128" s="58" t="s">
        <v>433</v>
      </c>
      <c r="U128" s="95"/>
      <c r="V128" s="96"/>
      <c r="W128" s="95"/>
      <c r="X128" s="95"/>
      <c r="Y128" s="95"/>
      <c r="Z128" s="95"/>
      <c r="AA128" s="95"/>
      <c r="AB128" s="26"/>
      <c r="AC128" s="26"/>
      <c r="AD128" s="26"/>
      <c r="AE128" s="16"/>
    </row>
    <row r="129" s="40" customFormat="1" ht="27" customHeight="1" spans="1:31">
      <c r="A129" s="55">
        <v>23</v>
      </c>
      <c r="B129" s="59" t="s">
        <v>451</v>
      </c>
      <c r="C129" s="55" t="s">
        <v>452</v>
      </c>
      <c r="D129" s="58" t="s">
        <v>453</v>
      </c>
      <c r="E129" s="58" t="s">
        <v>388</v>
      </c>
      <c r="F129" s="55" t="s">
        <v>35</v>
      </c>
      <c r="G129" s="58" t="s">
        <v>38</v>
      </c>
      <c r="H129" s="64">
        <v>1800</v>
      </c>
      <c r="I129" s="64">
        <v>1620</v>
      </c>
      <c r="J129" s="65">
        <v>1773.75</v>
      </c>
      <c r="K129" s="65">
        <v>1571.61290322581</v>
      </c>
      <c r="L129" s="66"/>
      <c r="M129" s="73">
        <v>1780</v>
      </c>
      <c r="N129" s="73">
        <v>1615</v>
      </c>
      <c r="O129" s="73">
        <v>1430</v>
      </c>
      <c r="P129" s="88" t="s">
        <v>37</v>
      </c>
      <c r="Q129" s="88" t="s">
        <v>38</v>
      </c>
      <c r="R129" s="88" t="s">
        <v>38</v>
      </c>
      <c r="S129" s="65" t="s">
        <v>39</v>
      </c>
      <c r="T129" s="89" t="s">
        <v>454</v>
      </c>
      <c r="U129" s="16" t="s">
        <v>455</v>
      </c>
      <c r="V129" s="17">
        <v>330300003</v>
      </c>
      <c r="W129" s="16" t="s">
        <v>456</v>
      </c>
      <c r="X129" s="16"/>
      <c r="Y129" s="16"/>
      <c r="Z129" s="16" t="s">
        <v>35</v>
      </c>
      <c r="AA129" s="16" t="s">
        <v>38</v>
      </c>
      <c r="AB129" s="26">
        <v>1625</v>
      </c>
      <c r="AC129" s="26">
        <v>1560</v>
      </c>
      <c r="AD129" s="26">
        <v>1326</v>
      </c>
      <c r="AE129" s="16" t="s">
        <v>37</v>
      </c>
    </row>
    <row r="130" s="40" customFormat="1" ht="27" customHeight="1" spans="1:31">
      <c r="A130" s="55"/>
      <c r="B130" s="59"/>
      <c r="C130" s="55"/>
      <c r="D130" s="58"/>
      <c r="E130" s="58"/>
      <c r="F130" s="55"/>
      <c r="G130" s="58"/>
      <c r="H130" s="64"/>
      <c r="I130" s="64"/>
      <c r="J130" s="65"/>
      <c r="K130" s="65"/>
      <c r="L130" s="66"/>
      <c r="M130" s="73"/>
      <c r="N130" s="73"/>
      <c r="O130" s="73"/>
      <c r="P130" s="88"/>
      <c r="Q130" s="88"/>
      <c r="R130" s="88"/>
      <c r="S130" s="65"/>
      <c r="T130" s="89"/>
      <c r="U130" s="16" t="s">
        <v>457</v>
      </c>
      <c r="V130" s="17">
        <v>33030000302</v>
      </c>
      <c r="W130" s="16" t="s">
        <v>458</v>
      </c>
      <c r="X130" s="16"/>
      <c r="Y130" s="16"/>
      <c r="Z130" s="16" t="s">
        <v>35</v>
      </c>
      <c r="AA130" s="16" t="s">
        <v>38</v>
      </c>
      <c r="AB130" s="26">
        <v>2250</v>
      </c>
      <c r="AC130" s="26">
        <v>2160</v>
      </c>
      <c r="AD130" s="26">
        <v>1836</v>
      </c>
      <c r="AE130" s="16" t="s">
        <v>37</v>
      </c>
    </row>
    <row r="131" s="40" customFormat="1" ht="27" customHeight="1" spans="1:31">
      <c r="A131" s="55"/>
      <c r="B131" s="59"/>
      <c r="C131" s="55"/>
      <c r="D131" s="58"/>
      <c r="E131" s="58"/>
      <c r="F131" s="55"/>
      <c r="G131" s="58"/>
      <c r="H131" s="64"/>
      <c r="I131" s="64"/>
      <c r="J131" s="65"/>
      <c r="K131" s="65"/>
      <c r="L131" s="66"/>
      <c r="M131" s="73"/>
      <c r="N131" s="73"/>
      <c r="O131" s="73"/>
      <c r="P131" s="88"/>
      <c r="Q131" s="88"/>
      <c r="R131" s="88"/>
      <c r="S131" s="65"/>
      <c r="T131" s="89"/>
      <c r="U131" s="16" t="s">
        <v>459</v>
      </c>
      <c r="V131" s="17">
        <v>330300002</v>
      </c>
      <c r="W131" s="16" t="s">
        <v>460</v>
      </c>
      <c r="X131" s="16"/>
      <c r="Y131" s="16"/>
      <c r="Z131" s="16" t="s">
        <v>35</v>
      </c>
      <c r="AA131" s="16" t="s">
        <v>38</v>
      </c>
      <c r="AB131" s="26">
        <v>1500</v>
      </c>
      <c r="AC131" s="26">
        <v>1440</v>
      </c>
      <c r="AD131" s="26">
        <v>1224</v>
      </c>
      <c r="AE131" s="16" t="s">
        <v>37</v>
      </c>
    </row>
    <row r="132" s="40" customFormat="1" ht="27" customHeight="1" spans="1:31">
      <c r="A132" s="55"/>
      <c r="B132" s="59"/>
      <c r="C132" s="55"/>
      <c r="D132" s="58"/>
      <c r="E132" s="58"/>
      <c r="F132" s="55"/>
      <c r="G132" s="58"/>
      <c r="H132" s="64"/>
      <c r="I132" s="64"/>
      <c r="J132" s="65"/>
      <c r="K132" s="65"/>
      <c r="L132" s="66"/>
      <c r="M132" s="73"/>
      <c r="N132" s="73"/>
      <c r="O132" s="73"/>
      <c r="P132" s="88"/>
      <c r="Q132" s="88"/>
      <c r="R132" s="88"/>
      <c r="S132" s="65"/>
      <c r="T132" s="89"/>
      <c r="U132" s="16" t="s">
        <v>461</v>
      </c>
      <c r="V132" s="17">
        <v>33030000202</v>
      </c>
      <c r="W132" s="16" t="s">
        <v>462</v>
      </c>
      <c r="X132" s="16"/>
      <c r="Y132" s="16"/>
      <c r="Z132" s="16" t="s">
        <v>35</v>
      </c>
      <c r="AA132" s="16" t="s">
        <v>38</v>
      </c>
      <c r="AB132" s="26">
        <v>2125</v>
      </c>
      <c r="AC132" s="26">
        <v>2040</v>
      </c>
      <c r="AD132" s="26">
        <v>1734</v>
      </c>
      <c r="AE132" s="16" t="s">
        <v>37</v>
      </c>
    </row>
    <row r="133" s="40" customFormat="1" ht="22" customHeight="1" spans="1:31">
      <c r="A133" s="55" t="s">
        <v>57</v>
      </c>
      <c r="B133" s="59" t="s">
        <v>463</v>
      </c>
      <c r="C133" s="55" t="s">
        <v>464</v>
      </c>
      <c r="D133" s="58" t="s">
        <v>38</v>
      </c>
      <c r="E133" s="58" t="s">
        <v>38</v>
      </c>
      <c r="F133" s="55" t="s">
        <v>35</v>
      </c>
      <c r="G133" s="58" t="s">
        <v>38</v>
      </c>
      <c r="H133" s="64">
        <v>540</v>
      </c>
      <c r="I133" s="64">
        <v>486</v>
      </c>
      <c r="J133" s="66"/>
      <c r="K133" s="66"/>
      <c r="L133" s="66"/>
      <c r="M133" s="73">
        <v>535</v>
      </c>
      <c r="N133" s="73">
        <v>485</v>
      </c>
      <c r="O133" s="73">
        <v>430</v>
      </c>
      <c r="P133" s="88" t="s">
        <v>37</v>
      </c>
      <c r="Q133" s="88" t="s">
        <v>38</v>
      </c>
      <c r="R133" s="88" t="s">
        <v>38</v>
      </c>
      <c r="S133" s="66"/>
      <c r="T133" s="89"/>
      <c r="U133" s="16" t="s">
        <v>465</v>
      </c>
      <c r="V133" s="17">
        <v>33030000301</v>
      </c>
      <c r="W133" s="16" t="s">
        <v>466</v>
      </c>
      <c r="X133" s="16"/>
      <c r="Y133" s="16"/>
      <c r="Z133" s="16" t="s">
        <v>35</v>
      </c>
      <c r="AA133" s="16" t="s">
        <v>38</v>
      </c>
      <c r="AB133" s="26">
        <v>2115</v>
      </c>
      <c r="AC133" s="26">
        <v>2030</v>
      </c>
      <c r="AD133" s="26">
        <v>1725</v>
      </c>
      <c r="AE133" s="16" t="s">
        <v>37</v>
      </c>
    </row>
    <row r="134" s="40" customFormat="1" ht="22" customHeight="1" spans="1:31">
      <c r="A134" s="55"/>
      <c r="B134" s="59"/>
      <c r="C134" s="55"/>
      <c r="D134" s="58"/>
      <c r="E134" s="58"/>
      <c r="F134" s="55"/>
      <c r="G134" s="58"/>
      <c r="H134" s="64"/>
      <c r="I134" s="64"/>
      <c r="J134" s="66"/>
      <c r="K134" s="66"/>
      <c r="L134" s="66"/>
      <c r="M134" s="73"/>
      <c r="N134" s="73"/>
      <c r="O134" s="73"/>
      <c r="P134" s="88"/>
      <c r="Q134" s="88"/>
      <c r="R134" s="88"/>
      <c r="S134" s="66"/>
      <c r="T134" s="89"/>
      <c r="U134" s="16" t="s">
        <v>467</v>
      </c>
      <c r="V134" s="17">
        <v>33030000303</v>
      </c>
      <c r="W134" s="16" t="s">
        <v>468</v>
      </c>
      <c r="X134" s="16"/>
      <c r="Y134" s="16"/>
      <c r="Z134" s="16" t="s">
        <v>35</v>
      </c>
      <c r="AA134" s="16" t="s">
        <v>38</v>
      </c>
      <c r="AB134" s="26">
        <v>2740</v>
      </c>
      <c r="AC134" s="26">
        <v>2630</v>
      </c>
      <c r="AD134" s="26">
        <v>2235</v>
      </c>
      <c r="AE134" s="16" t="s">
        <v>37</v>
      </c>
    </row>
    <row r="135" s="40" customFormat="1" ht="22" customHeight="1" spans="1:31">
      <c r="A135" s="55"/>
      <c r="B135" s="59"/>
      <c r="C135" s="55"/>
      <c r="D135" s="58"/>
      <c r="E135" s="58"/>
      <c r="F135" s="55"/>
      <c r="G135" s="58"/>
      <c r="H135" s="64"/>
      <c r="I135" s="64"/>
      <c r="J135" s="66"/>
      <c r="K135" s="66"/>
      <c r="L135" s="66"/>
      <c r="M135" s="73"/>
      <c r="N135" s="73"/>
      <c r="O135" s="73"/>
      <c r="P135" s="88"/>
      <c r="Q135" s="88"/>
      <c r="R135" s="88"/>
      <c r="S135" s="66"/>
      <c r="T135" s="89"/>
      <c r="U135" s="16" t="s">
        <v>469</v>
      </c>
      <c r="V135" s="17">
        <v>33030000601</v>
      </c>
      <c r="W135" s="16" t="s">
        <v>470</v>
      </c>
      <c r="X135" s="16"/>
      <c r="Y135" s="16"/>
      <c r="Z135" s="16" t="s">
        <v>35</v>
      </c>
      <c r="AA135" s="16" t="s">
        <v>38</v>
      </c>
      <c r="AB135" s="26">
        <v>4825</v>
      </c>
      <c r="AC135" s="26">
        <v>4340</v>
      </c>
      <c r="AD135" s="26">
        <v>3690</v>
      </c>
      <c r="AE135" s="16" t="s">
        <v>37</v>
      </c>
    </row>
    <row r="136" s="40" customFormat="1" ht="22" customHeight="1" spans="1:31">
      <c r="A136" s="55"/>
      <c r="B136" s="59"/>
      <c r="C136" s="55"/>
      <c r="D136" s="58"/>
      <c r="E136" s="58"/>
      <c r="F136" s="55"/>
      <c r="G136" s="58"/>
      <c r="H136" s="64"/>
      <c r="I136" s="64"/>
      <c r="J136" s="66"/>
      <c r="K136" s="66"/>
      <c r="L136" s="66"/>
      <c r="M136" s="73"/>
      <c r="N136" s="73"/>
      <c r="O136" s="73"/>
      <c r="P136" s="88"/>
      <c r="Q136" s="88"/>
      <c r="R136" s="88"/>
      <c r="S136" s="66"/>
      <c r="T136" s="89"/>
      <c r="U136" s="16" t="s">
        <v>471</v>
      </c>
      <c r="V136" s="17">
        <v>33030000603</v>
      </c>
      <c r="W136" s="16" t="s">
        <v>472</v>
      </c>
      <c r="X136" s="16"/>
      <c r="Y136" s="16"/>
      <c r="Z136" s="16" t="s">
        <v>35</v>
      </c>
      <c r="AA136" s="16" t="s">
        <v>38</v>
      </c>
      <c r="AB136" s="26">
        <v>5450</v>
      </c>
      <c r="AC136" s="26">
        <v>4940</v>
      </c>
      <c r="AD136" s="26">
        <v>4200</v>
      </c>
      <c r="AE136" s="16" t="s">
        <v>37</v>
      </c>
    </row>
    <row r="137" s="40" customFormat="1" ht="22" customHeight="1" spans="1:31">
      <c r="A137" s="55"/>
      <c r="B137" s="59"/>
      <c r="C137" s="55"/>
      <c r="D137" s="58"/>
      <c r="E137" s="58"/>
      <c r="F137" s="55"/>
      <c r="G137" s="58"/>
      <c r="H137" s="64"/>
      <c r="I137" s="64"/>
      <c r="J137" s="66"/>
      <c r="K137" s="66"/>
      <c r="L137" s="66"/>
      <c r="M137" s="73"/>
      <c r="N137" s="73"/>
      <c r="O137" s="73"/>
      <c r="P137" s="88"/>
      <c r="Q137" s="88"/>
      <c r="R137" s="88"/>
      <c r="S137" s="66"/>
      <c r="T137" s="89"/>
      <c r="U137" s="16" t="s">
        <v>473</v>
      </c>
      <c r="V137" s="17">
        <v>33030000201</v>
      </c>
      <c r="W137" s="16" t="s">
        <v>474</v>
      </c>
      <c r="X137" s="16"/>
      <c r="Y137" s="16"/>
      <c r="Z137" s="16" t="s">
        <v>35</v>
      </c>
      <c r="AA137" s="16" t="s">
        <v>38</v>
      </c>
      <c r="AB137" s="26">
        <v>1950</v>
      </c>
      <c r="AC137" s="26">
        <v>1870</v>
      </c>
      <c r="AD137" s="26">
        <v>1590</v>
      </c>
      <c r="AE137" s="16" t="s">
        <v>37</v>
      </c>
    </row>
    <row r="138" s="40" customFormat="1" ht="22" customHeight="1" spans="1:31">
      <c r="A138" s="55"/>
      <c r="B138" s="59"/>
      <c r="C138" s="55"/>
      <c r="D138" s="58"/>
      <c r="E138" s="58"/>
      <c r="F138" s="55"/>
      <c r="G138" s="58"/>
      <c r="H138" s="64"/>
      <c r="I138" s="64"/>
      <c r="J138" s="66"/>
      <c r="K138" s="66"/>
      <c r="L138" s="66"/>
      <c r="M138" s="73"/>
      <c r="N138" s="73"/>
      <c r="O138" s="73"/>
      <c r="P138" s="88"/>
      <c r="Q138" s="88"/>
      <c r="R138" s="88"/>
      <c r="S138" s="66"/>
      <c r="T138" s="89"/>
      <c r="U138" s="16" t="s">
        <v>475</v>
      </c>
      <c r="V138" s="17">
        <v>33030000203</v>
      </c>
      <c r="W138" s="16" t="s">
        <v>476</v>
      </c>
      <c r="X138" s="16"/>
      <c r="Y138" s="16"/>
      <c r="Z138" s="16" t="s">
        <v>35</v>
      </c>
      <c r="AA138" s="16" t="s">
        <v>38</v>
      </c>
      <c r="AB138" s="26">
        <v>2575</v>
      </c>
      <c r="AC138" s="26">
        <v>2470</v>
      </c>
      <c r="AD138" s="26">
        <v>2100</v>
      </c>
      <c r="AE138" s="16" t="s">
        <v>37</v>
      </c>
    </row>
    <row r="139" s="40" customFormat="1" ht="39" customHeight="1" spans="1:31">
      <c r="A139" s="55" t="s">
        <v>57</v>
      </c>
      <c r="B139" s="59" t="s">
        <v>477</v>
      </c>
      <c r="C139" s="55" t="s">
        <v>478</v>
      </c>
      <c r="D139" s="58" t="s">
        <v>38</v>
      </c>
      <c r="E139" s="58" t="s">
        <v>38</v>
      </c>
      <c r="F139" s="55" t="s">
        <v>35</v>
      </c>
      <c r="G139" s="58" t="s">
        <v>38</v>
      </c>
      <c r="H139" s="64">
        <v>540</v>
      </c>
      <c r="I139" s="64">
        <v>486</v>
      </c>
      <c r="J139" s="66"/>
      <c r="K139" s="66"/>
      <c r="L139" s="66"/>
      <c r="M139" s="73">
        <v>535</v>
      </c>
      <c r="N139" s="73">
        <v>485</v>
      </c>
      <c r="O139" s="73">
        <v>430</v>
      </c>
      <c r="P139" s="88" t="s">
        <v>37</v>
      </c>
      <c r="Q139" s="88" t="s">
        <v>38</v>
      </c>
      <c r="R139" s="88" t="s">
        <v>38</v>
      </c>
      <c r="S139" s="66"/>
      <c r="T139" s="89"/>
      <c r="U139" s="16"/>
      <c r="V139" s="17"/>
      <c r="W139" s="16"/>
      <c r="X139" s="16"/>
      <c r="Y139" s="16"/>
      <c r="Z139" s="16"/>
      <c r="AA139" s="16"/>
      <c r="AB139" s="26"/>
      <c r="AC139" s="26"/>
      <c r="AD139" s="26"/>
      <c r="AE139" s="16"/>
    </row>
    <row r="140" s="40" customFormat="1" ht="42" customHeight="1" spans="1:31">
      <c r="A140" s="55">
        <v>24</v>
      </c>
      <c r="B140" s="59" t="s">
        <v>479</v>
      </c>
      <c r="C140" s="55" t="s">
        <v>480</v>
      </c>
      <c r="D140" s="58" t="s">
        <v>481</v>
      </c>
      <c r="E140" s="58" t="s">
        <v>482</v>
      </c>
      <c r="F140" s="55" t="s">
        <v>35</v>
      </c>
      <c r="G140" s="58" t="s">
        <v>38</v>
      </c>
      <c r="H140" s="64">
        <v>1620</v>
      </c>
      <c r="I140" s="64">
        <v>1458</v>
      </c>
      <c r="J140" s="66">
        <v>2000</v>
      </c>
      <c r="K140" s="66">
        <v>1800</v>
      </c>
      <c r="L140" s="66">
        <v>1600</v>
      </c>
      <c r="M140" s="74">
        <v>1600</v>
      </c>
      <c r="N140" s="74">
        <v>1500</v>
      </c>
      <c r="O140" s="74">
        <v>1280</v>
      </c>
      <c r="P140" s="55" t="s">
        <v>37</v>
      </c>
      <c r="Q140" s="55" t="s">
        <v>38</v>
      </c>
      <c r="R140" s="55" t="s">
        <v>38</v>
      </c>
      <c r="S140" s="66" t="s">
        <v>162</v>
      </c>
      <c r="T140" s="58" t="s">
        <v>483</v>
      </c>
      <c r="U140" s="16" t="s">
        <v>484</v>
      </c>
      <c r="V140" s="17">
        <v>330300004</v>
      </c>
      <c r="W140" s="16" t="s">
        <v>485</v>
      </c>
      <c r="X140" s="16" t="s">
        <v>486</v>
      </c>
      <c r="Y140" s="16"/>
      <c r="Z140" s="16" t="s">
        <v>35</v>
      </c>
      <c r="AA140" s="16" t="s">
        <v>38</v>
      </c>
      <c r="AB140" s="26">
        <v>2000</v>
      </c>
      <c r="AC140" s="26">
        <v>1800</v>
      </c>
      <c r="AD140" s="26">
        <v>1600</v>
      </c>
      <c r="AE140" s="16" t="s">
        <v>37</v>
      </c>
    </row>
    <row r="141" s="40" customFormat="1" ht="42" customHeight="1" spans="1:31">
      <c r="A141" s="55"/>
      <c r="B141" s="59"/>
      <c r="C141" s="55"/>
      <c r="D141" s="58"/>
      <c r="E141" s="58"/>
      <c r="F141" s="55"/>
      <c r="G141" s="58"/>
      <c r="H141" s="64"/>
      <c r="I141" s="64"/>
      <c r="J141" s="66"/>
      <c r="K141" s="66"/>
      <c r="L141" s="66"/>
      <c r="M141" s="74"/>
      <c r="N141" s="74"/>
      <c r="O141" s="74"/>
      <c r="P141" s="55"/>
      <c r="Q141" s="55"/>
      <c r="R141" s="55"/>
      <c r="S141" s="66"/>
      <c r="T141" s="58"/>
      <c r="U141" s="16" t="s">
        <v>487</v>
      </c>
      <c r="V141" s="17">
        <v>330300005</v>
      </c>
      <c r="W141" s="16" t="s">
        <v>488</v>
      </c>
      <c r="X141" s="16" t="s">
        <v>489</v>
      </c>
      <c r="Y141" s="16"/>
      <c r="Z141" s="16" t="s">
        <v>35</v>
      </c>
      <c r="AA141" s="16" t="s">
        <v>38</v>
      </c>
      <c r="AB141" s="26"/>
      <c r="AC141" s="26"/>
      <c r="AD141" s="26"/>
      <c r="AE141" s="16" t="s">
        <v>38</v>
      </c>
    </row>
    <row r="142" s="40" customFormat="1" ht="29" customHeight="1" spans="1:31">
      <c r="A142" s="55" t="s">
        <v>57</v>
      </c>
      <c r="B142" s="59" t="s">
        <v>490</v>
      </c>
      <c r="C142" s="55" t="s">
        <v>491</v>
      </c>
      <c r="D142" s="58" t="s">
        <v>38</v>
      </c>
      <c r="E142" s="58" t="s">
        <v>38</v>
      </c>
      <c r="F142" s="55" t="s">
        <v>35</v>
      </c>
      <c r="G142" s="58" t="s">
        <v>38</v>
      </c>
      <c r="H142" s="64">
        <v>486</v>
      </c>
      <c r="I142" s="64">
        <v>437</v>
      </c>
      <c r="J142" s="66"/>
      <c r="K142" s="66"/>
      <c r="L142" s="66"/>
      <c r="M142" s="74">
        <v>480</v>
      </c>
      <c r="N142" s="74">
        <v>450</v>
      </c>
      <c r="O142" s="74">
        <v>385</v>
      </c>
      <c r="P142" s="55" t="s">
        <v>37</v>
      </c>
      <c r="Q142" s="55" t="s">
        <v>38</v>
      </c>
      <c r="R142" s="55" t="s">
        <v>38</v>
      </c>
      <c r="S142" s="66"/>
      <c r="T142" s="58" t="s">
        <v>60</v>
      </c>
      <c r="U142" s="16" t="s">
        <v>492</v>
      </c>
      <c r="V142" s="17">
        <v>33030000401</v>
      </c>
      <c r="W142" s="16" t="s">
        <v>493</v>
      </c>
      <c r="X142" s="16"/>
      <c r="Y142" s="16"/>
      <c r="Z142" s="16" t="s">
        <v>35</v>
      </c>
      <c r="AA142" s="16" t="s">
        <v>38</v>
      </c>
      <c r="AB142" s="26">
        <v>2600</v>
      </c>
      <c r="AC142" s="26">
        <v>2340</v>
      </c>
      <c r="AD142" s="26">
        <v>2080</v>
      </c>
      <c r="AE142" s="16" t="s">
        <v>37</v>
      </c>
    </row>
    <row r="143" s="40" customFormat="1" ht="29" customHeight="1" spans="1:31">
      <c r="A143" s="55"/>
      <c r="B143" s="59"/>
      <c r="C143" s="55"/>
      <c r="D143" s="58"/>
      <c r="E143" s="58"/>
      <c r="F143" s="55"/>
      <c r="G143" s="58"/>
      <c r="H143" s="64"/>
      <c r="I143" s="64"/>
      <c r="J143" s="66"/>
      <c r="K143" s="66"/>
      <c r="L143" s="66"/>
      <c r="M143" s="74"/>
      <c r="N143" s="74"/>
      <c r="O143" s="74"/>
      <c r="P143" s="55"/>
      <c r="Q143" s="55"/>
      <c r="R143" s="55"/>
      <c r="S143" s="66"/>
      <c r="T143" s="58"/>
      <c r="U143" s="16" t="s">
        <v>494</v>
      </c>
      <c r="V143" s="17">
        <v>33030001401</v>
      </c>
      <c r="W143" s="16" t="s">
        <v>495</v>
      </c>
      <c r="X143" s="16"/>
      <c r="Y143" s="16"/>
      <c r="Z143" s="16" t="s">
        <v>35</v>
      </c>
      <c r="AA143" s="16" t="s">
        <v>38</v>
      </c>
      <c r="AB143" s="26"/>
      <c r="AC143" s="26"/>
      <c r="AD143" s="26"/>
      <c r="AE143" s="16" t="s">
        <v>38</v>
      </c>
    </row>
    <row r="144" s="40" customFormat="1" ht="29" customHeight="1" spans="1:31">
      <c r="A144" s="55" t="s">
        <v>57</v>
      </c>
      <c r="B144" s="59" t="s">
        <v>496</v>
      </c>
      <c r="C144" s="55" t="s">
        <v>497</v>
      </c>
      <c r="D144" s="58" t="s">
        <v>38</v>
      </c>
      <c r="E144" s="58" t="s">
        <v>38</v>
      </c>
      <c r="F144" s="55" t="s">
        <v>35</v>
      </c>
      <c r="G144" s="58" t="s">
        <v>38</v>
      </c>
      <c r="H144" s="64">
        <v>1620</v>
      </c>
      <c r="I144" s="64">
        <v>1458</v>
      </c>
      <c r="J144" s="66"/>
      <c r="K144" s="66"/>
      <c r="L144" s="66"/>
      <c r="M144" s="74">
        <v>1600</v>
      </c>
      <c r="N144" s="74">
        <v>1500</v>
      </c>
      <c r="O144" s="74">
        <v>1280</v>
      </c>
      <c r="P144" s="55" t="s">
        <v>37</v>
      </c>
      <c r="Q144" s="55" t="s">
        <v>38</v>
      </c>
      <c r="R144" s="55" t="s">
        <v>38</v>
      </c>
      <c r="S144" s="66"/>
      <c r="T144" s="58" t="s">
        <v>498</v>
      </c>
      <c r="U144" s="16" t="s">
        <v>499</v>
      </c>
      <c r="V144" s="17">
        <v>330300014</v>
      </c>
      <c r="W144" s="16" t="s">
        <v>500</v>
      </c>
      <c r="X144" s="16" t="s">
        <v>489</v>
      </c>
      <c r="Y144" s="16"/>
      <c r="Z144" s="16" t="s">
        <v>35</v>
      </c>
      <c r="AA144" s="16" t="s">
        <v>38</v>
      </c>
      <c r="AB144" s="26"/>
      <c r="AC144" s="26"/>
      <c r="AD144" s="26"/>
      <c r="AE144" s="16" t="s">
        <v>38</v>
      </c>
    </row>
    <row r="145" s="40" customFormat="1" ht="30" customHeight="1" spans="1:31">
      <c r="A145" s="55" t="s">
        <v>57</v>
      </c>
      <c r="B145" s="59" t="s">
        <v>501</v>
      </c>
      <c r="C145" s="55" t="s">
        <v>502</v>
      </c>
      <c r="D145" s="58" t="s">
        <v>38</v>
      </c>
      <c r="E145" s="58" t="s">
        <v>38</v>
      </c>
      <c r="F145" s="55" t="s">
        <v>35</v>
      </c>
      <c r="G145" s="58" t="s">
        <v>38</v>
      </c>
      <c r="H145" s="64">
        <v>1620</v>
      </c>
      <c r="I145" s="64">
        <v>1458</v>
      </c>
      <c r="J145" s="66"/>
      <c r="K145" s="66"/>
      <c r="L145" s="66"/>
      <c r="M145" s="74">
        <v>1600</v>
      </c>
      <c r="N145" s="74">
        <v>1500</v>
      </c>
      <c r="O145" s="74">
        <v>1280</v>
      </c>
      <c r="P145" s="55" t="s">
        <v>37</v>
      </c>
      <c r="Q145" s="55" t="s">
        <v>38</v>
      </c>
      <c r="R145" s="55" t="s">
        <v>38</v>
      </c>
      <c r="S145" s="66"/>
      <c r="T145" s="58" t="s">
        <v>498</v>
      </c>
      <c r="U145" s="16" t="s">
        <v>503</v>
      </c>
      <c r="V145" s="17">
        <v>330300016</v>
      </c>
      <c r="W145" s="16" t="s">
        <v>504</v>
      </c>
      <c r="X145" s="16"/>
      <c r="Y145" s="16"/>
      <c r="Z145" s="16" t="s">
        <v>35</v>
      </c>
      <c r="AA145" s="16" t="s">
        <v>38</v>
      </c>
      <c r="AB145" s="26">
        <v>1500</v>
      </c>
      <c r="AC145" s="26">
        <v>1440</v>
      </c>
      <c r="AD145" s="26">
        <v>1224</v>
      </c>
      <c r="AE145" s="16" t="s">
        <v>38</v>
      </c>
    </row>
    <row r="146" s="40" customFormat="1" ht="45" customHeight="1" spans="1:31">
      <c r="A146" s="55"/>
      <c r="B146" s="59"/>
      <c r="C146" s="55"/>
      <c r="D146" s="58"/>
      <c r="E146" s="58"/>
      <c r="F146" s="55"/>
      <c r="G146" s="58"/>
      <c r="H146" s="64"/>
      <c r="I146" s="64"/>
      <c r="J146" s="66"/>
      <c r="K146" s="66"/>
      <c r="L146" s="66"/>
      <c r="M146" s="74"/>
      <c r="N146" s="74"/>
      <c r="O146" s="74"/>
      <c r="P146" s="55"/>
      <c r="Q146" s="55"/>
      <c r="R146" s="55"/>
      <c r="S146" s="66"/>
      <c r="T146" s="58"/>
      <c r="U146" s="16" t="s">
        <v>505</v>
      </c>
      <c r="V146" s="17">
        <v>33030001601</v>
      </c>
      <c r="W146" s="16" t="s">
        <v>506</v>
      </c>
      <c r="X146" s="16"/>
      <c r="Y146" s="16"/>
      <c r="Z146" s="16" t="s">
        <v>35</v>
      </c>
      <c r="AA146" s="16" t="s">
        <v>38</v>
      </c>
      <c r="AB146" s="26">
        <v>1950</v>
      </c>
      <c r="AC146" s="26">
        <v>1870</v>
      </c>
      <c r="AD146" s="26">
        <v>1590</v>
      </c>
      <c r="AE146" s="16" t="s">
        <v>38</v>
      </c>
    </row>
    <row r="147" s="40" customFormat="1" ht="45" customHeight="1" spans="1:31">
      <c r="A147" s="55">
        <v>25</v>
      </c>
      <c r="B147" s="17" t="s">
        <v>507</v>
      </c>
      <c r="C147" s="55" t="s">
        <v>508</v>
      </c>
      <c r="D147" s="58" t="s">
        <v>509</v>
      </c>
      <c r="E147" s="58" t="s">
        <v>201</v>
      </c>
      <c r="F147" s="55" t="s">
        <v>35</v>
      </c>
      <c r="G147" s="58" t="s">
        <v>38</v>
      </c>
      <c r="H147" s="64">
        <v>945</v>
      </c>
      <c r="I147" s="64">
        <v>851</v>
      </c>
      <c r="J147" s="66">
        <v>875</v>
      </c>
      <c r="K147" s="66">
        <v>840</v>
      </c>
      <c r="L147" s="66">
        <v>714</v>
      </c>
      <c r="M147" s="74">
        <v>875</v>
      </c>
      <c r="N147" s="74">
        <v>840</v>
      </c>
      <c r="O147" s="74">
        <v>714</v>
      </c>
      <c r="P147" s="55" t="s">
        <v>37</v>
      </c>
      <c r="Q147" s="55" t="s">
        <v>38</v>
      </c>
      <c r="R147" s="55" t="s">
        <v>38</v>
      </c>
      <c r="S147" s="66" t="s">
        <v>510</v>
      </c>
      <c r="T147" s="58" t="s">
        <v>510</v>
      </c>
      <c r="U147" s="16" t="s">
        <v>511</v>
      </c>
      <c r="V147" s="17">
        <v>330300015</v>
      </c>
      <c r="W147" s="16" t="s">
        <v>512</v>
      </c>
      <c r="X147" s="16" t="s">
        <v>513</v>
      </c>
      <c r="Y147" s="16"/>
      <c r="Z147" s="16" t="s">
        <v>35</v>
      </c>
      <c r="AA147" s="16" t="s">
        <v>38</v>
      </c>
      <c r="AB147" s="26">
        <v>875</v>
      </c>
      <c r="AC147" s="26">
        <v>840</v>
      </c>
      <c r="AD147" s="26">
        <v>714</v>
      </c>
      <c r="AE147" s="16" t="s">
        <v>37</v>
      </c>
    </row>
    <row r="148" s="40" customFormat="1" ht="45" customHeight="1" spans="1:31">
      <c r="A148" s="55"/>
      <c r="B148" s="17"/>
      <c r="C148" s="55"/>
      <c r="D148" s="58"/>
      <c r="E148" s="58"/>
      <c r="F148" s="55"/>
      <c r="G148" s="58"/>
      <c r="H148" s="64"/>
      <c r="I148" s="64"/>
      <c r="J148" s="66"/>
      <c r="K148" s="66"/>
      <c r="L148" s="66"/>
      <c r="M148" s="74"/>
      <c r="N148" s="74"/>
      <c r="O148" s="74"/>
      <c r="P148" s="55"/>
      <c r="Q148" s="55"/>
      <c r="R148" s="55"/>
      <c r="S148" s="66"/>
      <c r="T148" s="58"/>
      <c r="U148" s="16" t="s">
        <v>514</v>
      </c>
      <c r="V148" s="17">
        <v>33030001501</v>
      </c>
      <c r="W148" s="16" t="s">
        <v>515</v>
      </c>
      <c r="X148" s="16"/>
      <c r="Y148" s="16"/>
      <c r="Z148" s="16" t="s">
        <v>35</v>
      </c>
      <c r="AA148" s="16" t="s">
        <v>38</v>
      </c>
      <c r="AB148" s="26">
        <v>875</v>
      </c>
      <c r="AC148" s="26">
        <v>840</v>
      </c>
      <c r="AD148" s="26">
        <v>714</v>
      </c>
      <c r="AE148" s="16" t="s">
        <v>37</v>
      </c>
    </row>
    <row r="149" s="40" customFormat="1" ht="30" customHeight="1" spans="1:31">
      <c r="A149" s="55" t="s">
        <v>57</v>
      </c>
      <c r="B149" s="84" t="s">
        <v>516</v>
      </c>
      <c r="C149" s="55" t="s">
        <v>517</v>
      </c>
      <c r="D149" s="58" t="s">
        <v>38</v>
      </c>
      <c r="E149" s="58" t="s">
        <v>38</v>
      </c>
      <c r="F149" s="55" t="s">
        <v>35</v>
      </c>
      <c r="G149" s="58" t="s">
        <v>38</v>
      </c>
      <c r="H149" s="64">
        <v>284</v>
      </c>
      <c r="I149" s="64">
        <v>255</v>
      </c>
      <c r="J149" s="66"/>
      <c r="K149" s="66"/>
      <c r="L149" s="66"/>
      <c r="M149" s="74">
        <v>265</v>
      </c>
      <c r="N149" s="74">
        <v>250</v>
      </c>
      <c r="O149" s="74">
        <v>215</v>
      </c>
      <c r="P149" s="55" t="s">
        <v>37</v>
      </c>
      <c r="Q149" s="55" t="s">
        <v>38</v>
      </c>
      <c r="R149" s="55" t="s">
        <v>38</v>
      </c>
      <c r="S149" s="66"/>
      <c r="T149" s="58" t="s">
        <v>60</v>
      </c>
      <c r="U149" s="16" t="s">
        <v>518</v>
      </c>
      <c r="V149" s="17">
        <v>33030001502</v>
      </c>
      <c r="W149" s="16" t="s">
        <v>519</v>
      </c>
      <c r="X149" s="16"/>
      <c r="Y149" s="16"/>
      <c r="Z149" s="16" t="s">
        <v>35</v>
      </c>
      <c r="AA149" s="16" t="s">
        <v>38</v>
      </c>
      <c r="AB149" s="26">
        <v>1140</v>
      </c>
      <c r="AC149" s="26">
        <v>1090</v>
      </c>
      <c r="AD149" s="26">
        <v>925</v>
      </c>
      <c r="AE149" s="16" t="s">
        <v>37</v>
      </c>
    </row>
  </sheetData>
  <autoFilter ref="A3:AE149">
    <extLst/>
  </autoFilter>
  <mergeCells count="663">
    <mergeCell ref="A1:AE1"/>
    <mergeCell ref="A2:T2"/>
    <mergeCell ref="U2:AE2"/>
    <mergeCell ref="A4:A9"/>
    <mergeCell ref="A10:A15"/>
    <mergeCell ref="A16:A19"/>
    <mergeCell ref="A20:A23"/>
    <mergeCell ref="A24:A27"/>
    <mergeCell ref="A28:A31"/>
    <mergeCell ref="A35:A36"/>
    <mergeCell ref="A41:A47"/>
    <mergeCell ref="A48:A54"/>
    <mergeCell ref="A55:A60"/>
    <mergeCell ref="A61:A66"/>
    <mergeCell ref="A69:A70"/>
    <mergeCell ref="A71:A72"/>
    <mergeCell ref="A75:A76"/>
    <mergeCell ref="A78:A79"/>
    <mergeCell ref="A80:A81"/>
    <mergeCell ref="A83:A85"/>
    <mergeCell ref="A86:A88"/>
    <mergeCell ref="A90:A93"/>
    <mergeCell ref="A94:A96"/>
    <mergeCell ref="A97:A99"/>
    <mergeCell ref="A100:A101"/>
    <mergeCell ref="A108:A111"/>
    <mergeCell ref="A112:A115"/>
    <mergeCell ref="A118:A119"/>
    <mergeCell ref="A120:A121"/>
    <mergeCell ref="A122:A125"/>
    <mergeCell ref="A129:A132"/>
    <mergeCell ref="A133:A138"/>
    <mergeCell ref="A140:A141"/>
    <mergeCell ref="A142:A143"/>
    <mergeCell ref="A145:A146"/>
    <mergeCell ref="A147:A148"/>
    <mergeCell ref="B4:B9"/>
    <mergeCell ref="B10:B15"/>
    <mergeCell ref="B16:B19"/>
    <mergeCell ref="B20:B23"/>
    <mergeCell ref="B24:B27"/>
    <mergeCell ref="B28:B31"/>
    <mergeCell ref="B35:B36"/>
    <mergeCell ref="B41:B47"/>
    <mergeCell ref="B48:B54"/>
    <mergeCell ref="B55:B60"/>
    <mergeCell ref="B61:B66"/>
    <mergeCell ref="B69:B70"/>
    <mergeCell ref="B71:B72"/>
    <mergeCell ref="B75:B76"/>
    <mergeCell ref="B78:B79"/>
    <mergeCell ref="B80:B81"/>
    <mergeCell ref="B83:B85"/>
    <mergeCell ref="B86:B88"/>
    <mergeCell ref="B90:B93"/>
    <mergeCell ref="B94:B96"/>
    <mergeCell ref="B97:B99"/>
    <mergeCell ref="B100:B101"/>
    <mergeCell ref="B108:B111"/>
    <mergeCell ref="B112:B115"/>
    <mergeCell ref="B118:B119"/>
    <mergeCell ref="B120:B121"/>
    <mergeCell ref="B122:B125"/>
    <mergeCell ref="B129:B132"/>
    <mergeCell ref="B133:B138"/>
    <mergeCell ref="B140:B141"/>
    <mergeCell ref="B142:B143"/>
    <mergeCell ref="B145:B146"/>
    <mergeCell ref="B147:B148"/>
    <mergeCell ref="C4:C9"/>
    <mergeCell ref="C10:C15"/>
    <mergeCell ref="C16:C19"/>
    <mergeCell ref="C20:C23"/>
    <mergeCell ref="C24:C27"/>
    <mergeCell ref="C28:C31"/>
    <mergeCell ref="C35:C36"/>
    <mergeCell ref="C41:C47"/>
    <mergeCell ref="C48:C54"/>
    <mergeCell ref="C55:C60"/>
    <mergeCell ref="C61:C66"/>
    <mergeCell ref="C69:C70"/>
    <mergeCell ref="C71:C72"/>
    <mergeCell ref="C75:C76"/>
    <mergeCell ref="C78:C79"/>
    <mergeCell ref="C80:C81"/>
    <mergeCell ref="C83:C85"/>
    <mergeCell ref="C86:C88"/>
    <mergeCell ref="C90:C93"/>
    <mergeCell ref="C94:C96"/>
    <mergeCell ref="C97:C99"/>
    <mergeCell ref="C100:C101"/>
    <mergeCell ref="C108:C111"/>
    <mergeCell ref="C112:C115"/>
    <mergeCell ref="C118:C119"/>
    <mergeCell ref="C120:C121"/>
    <mergeCell ref="C122:C125"/>
    <mergeCell ref="C129:C132"/>
    <mergeCell ref="C133:C138"/>
    <mergeCell ref="C140:C141"/>
    <mergeCell ref="C142:C143"/>
    <mergeCell ref="C145:C146"/>
    <mergeCell ref="C147:C148"/>
    <mergeCell ref="D4:D9"/>
    <mergeCell ref="D10:D15"/>
    <mergeCell ref="D16:D19"/>
    <mergeCell ref="D20:D23"/>
    <mergeCell ref="D24:D27"/>
    <mergeCell ref="D28:D31"/>
    <mergeCell ref="D35:D36"/>
    <mergeCell ref="D41:D47"/>
    <mergeCell ref="D48:D54"/>
    <mergeCell ref="D55:D60"/>
    <mergeCell ref="D61:D66"/>
    <mergeCell ref="D69:D70"/>
    <mergeCell ref="D71:D72"/>
    <mergeCell ref="D75:D76"/>
    <mergeCell ref="D78:D79"/>
    <mergeCell ref="D80:D81"/>
    <mergeCell ref="D83:D85"/>
    <mergeCell ref="D86:D88"/>
    <mergeCell ref="D90:D93"/>
    <mergeCell ref="D94:D96"/>
    <mergeCell ref="D97:D99"/>
    <mergeCell ref="D100:D101"/>
    <mergeCell ref="D108:D111"/>
    <mergeCell ref="D112:D115"/>
    <mergeCell ref="D118:D119"/>
    <mergeCell ref="D120:D121"/>
    <mergeCell ref="D122:D125"/>
    <mergeCell ref="D129:D132"/>
    <mergeCell ref="D133:D138"/>
    <mergeCell ref="D140:D141"/>
    <mergeCell ref="D142:D143"/>
    <mergeCell ref="D145:D146"/>
    <mergeCell ref="D147:D148"/>
    <mergeCell ref="E4:E9"/>
    <mergeCell ref="E10:E15"/>
    <mergeCell ref="E16:E19"/>
    <mergeCell ref="E20:E23"/>
    <mergeCell ref="E24:E27"/>
    <mergeCell ref="E28:E31"/>
    <mergeCell ref="E35:E36"/>
    <mergeCell ref="E41:E47"/>
    <mergeCell ref="E48:E54"/>
    <mergeCell ref="E55:E60"/>
    <mergeCell ref="E61:E66"/>
    <mergeCell ref="E69:E70"/>
    <mergeCell ref="E71:E72"/>
    <mergeCell ref="E75:E76"/>
    <mergeCell ref="E78:E79"/>
    <mergeCell ref="E80:E81"/>
    <mergeCell ref="E83:E85"/>
    <mergeCell ref="E86:E88"/>
    <mergeCell ref="E90:E93"/>
    <mergeCell ref="E94:E96"/>
    <mergeCell ref="E97:E99"/>
    <mergeCell ref="E100:E101"/>
    <mergeCell ref="E108:E111"/>
    <mergeCell ref="E112:E115"/>
    <mergeCell ref="E118:E119"/>
    <mergeCell ref="E120:E121"/>
    <mergeCell ref="E122:E125"/>
    <mergeCell ref="E129:E132"/>
    <mergeCell ref="E133:E138"/>
    <mergeCell ref="E140:E141"/>
    <mergeCell ref="E142:E143"/>
    <mergeCell ref="E145:E146"/>
    <mergeCell ref="E147:E148"/>
    <mergeCell ref="F4:F9"/>
    <mergeCell ref="F10:F15"/>
    <mergeCell ref="F16:F19"/>
    <mergeCell ref="F20:F23"/>
    <mergeCell ref="F24:F27"/>
    <mergeCell ref="F28:F31"/>
    <mergeCell ref="F35:F36"/>
    <mergeCell ref="F41:F47"/>
    <mergeCell ref="F48:F54"/>
    <mergeCell ref="F55:F60"/>
    <mergeCell ref="F61:F66"/>
    <mergeCell ref="F69:F70"/>
    <mergeCell ref="F71:F72"/>
    <mergeCell ref="F75:F76"/>
    <mergeCell ref="F78:F79"/>
    <mergeCell ref="F80:F81"/>
    <mergeCell ref="F83:F85"/>
    <mergeCell ref="F86:F88"/>
    <mergeCell ref="F90:F93"/>
    <mergeCell ref="F94:F96"/>
    <mergeCell ref="F97:F99"/>
    <mergeCell ref="F100:F101"/>
    <mergeCell ref="F108:F111"/>
    <mergeCell ref="F112:F115"/>
    <mergeCell ref="F118:F119"/>
    <mergeCell ref="F120:F121"/>
    <mergeCell ref="F122:F125"/>
    <mergeCell ref="F129:F132"/>
    <mergeCell ref="F133:F138"/>
    <mergeCell ref="F140:F141"/>
    <mergeCell ref="F142:F143"/>
    <mergeCell ref="F145:F146"/>
    <mergeCell ref="F147:F148"/>
    <mergeCell ref="G4:G9"/>
    <mergeCell ref="G10:G15"/>
    <mergeCell ref="G16:G19"/>
    <mergeCell ref="G20:G23"/>
    <mergeCell ref="G24:G27"/>
    <mergeCell ref="G28:G31"/>
    <mergeCell ref="G35:G36"/>
    <mergeCell ref="G41:G47"/>
    <mergeCell ref="G48:G54"/>
    <mergeCell ref="G55:G60"/>
    <mergeCell ref="G61:G66"/>
    <mergeCell ref="G69:G70"/>
    <mergeCell ref="G71:G72"/>
    <mergeCell ref="G75:G76"/>
    <mergeCell ref="G78:G79"/>
    <mergeCell ref="G80:G81"/>
    <mergeCell ref="G83:G85"/>
    <mergeCell ref="G86:G88"/>
    <mergeCell ref="G90:G93"/>
    <mergeCell ref="G94:G96"/>
    <mergeCell ref="G97:G99"/>
    <mergeCell ref="G100:G101"/>
    <mergeCell ref="G108:G111"/>
    <mergeCell ref="G112:G115"/>
    <mergeCell ref="G118:G119"/>
    <mergeCell ref="G120:G121"/>
    <mergeCell ref="G122:G125"/>
    <mergeCell ref="G129:G132"/>
    <mergeCell ref="G133:G138"/>
    <mergeCell ref="G140:G141"/>
    <mergeCell ref="G142:G143"/>
    <mergeCell ref="G145:G146"/>
    <mergeCell ref="G147:G148"/>
    <mergeCell ref="H4:H9"/>
    <mergeCell ref="H10:H15"/>
    <mergeCell ref="H16:H19"/>
    <mergeCell ref="H20:H23"/>
    <mergeCell ref="H24:H27"/>
    <mergeCell ref="H28:H31"/>
    <mergeCell ref="H35:H36"/>
    <mergeCell ref="H41:H47"/>
    <mergeCell ref="H48:H54"/>
    <mergeCell ref="H55:H60"/>
    <mergeCell ref="H61:H66"/>
    <mergeCell ref="H69:H70"/>
    <mergeCell ref="H71:H72"/>
    <mergeCell ref="H75:H76"/>
    <mergeCell ref="H78:H79"/>
    <mergeCell ref="H80:H81"/>
    <mergeCell ref="H83:H85"/>
    <mergeCell ref="H86:H88"/>
    <mergeCell ref="H90:H93"/>
    <mergeCell ref="H94:H96"/>
    <mergeCell ref="H97:H99"/>
    <mergeCell ref="H100:H101"/>
    <mergeCell ref="H108:H111"/>
    <mergeCell ref="H112:H115"/>
    <mergeCell ref="H118:H119"/>
    <mergeCell ref="H120:H121"/>
    <mergeCell ref="H122:H125"/>
    <mergeCell ref="H129:H132"/>
    <mergeCell ref="H133:H138"/>
    <mergeCell ref="H140:H141"/>
    <mergeCell ref="H142:H143"/>
    <mergeCell ref="H145:H146"/>
    <mergeCell ref="H147:H148"/>
    <mergeCell ref="I4:I9"/>
    <mergeCell ref="I10:I15"/>
    <mergeCell ref="I16:I19"/>
    <mergeCell ref="I20:I23"/>
    <mergeCell ref="I24:I27"/>
    <mergeCell ref="I28:I31"/>
    <mergeCell ref="I35:I36"/>
    <mergeCell ref="I41:I47"/>
    <mergeCell ref="I48:I54"/>
    <mergeCell ref="I55:I60"/>
    <mergeCell ref="I61:I66"/>
    <mergeCell ref="I69:I70"/>
    <mergeCell ref="I71:I72"/>
    <mergeCell ref="I75:I76"/>
    <mergeCell ref="I78:I79"/>
    <mergeCell ref="I80:I81"/>
    <mergeCell ref="I83:I85"/>
    <mergeCell ref="I86:I88"/>
    <mergeCell ref="I90:I93"/>
    <mergeCell ref="I94:I96"/>
    <mergeCell ref="I97:I99"/>
    <mergeCell ref="I100:I101"/>
    <mergeCell ref="I108:I111"/>
    <mergeCell ref="I112:I115"/>
    <mergeCell ref="I118:I119"/>
    <mergeCell ref="I120:I121"/>
    <mergeCell ref="I122:I125"/>
    <mergeCell ref="I129:I132"/>
    <mergeCell ref="I133:I138"/>
    <mergeCell ref="I140:I141"/>
    <mergeCell ref="I142:I143"/>
    <mergeCell ref="I145:I146"/>
    <mergeCell ref="I147:I148"/>
    <mergeCell ref="J4:J9"/>
    <mergeCell ref="J10:J15"/>
    <mergeCell ref="J16:J19"/>
    <mergeCell ref="J20:J23"/>
    <mergeCell ref="J24:J27"/>
    <mergeCell ref="J28:J31"/>
    <mergeCell ref="J35:J36"/>
    <mergeCell ref="J41:J47"/>
    <mergeCell ref="J48:J54"/>
    <mergeCell ref="J55:J60"/>
    <mergeCell ref="J61:J66"/>
    <mergeCell ref="J69:J70"/>
    <mergeCell ref="J71:J72"/>
    <mergeCell ref="J75:J76"/>
    <mergeCell ref="J78:J79"/>
    <mergeCell ref="J80:J81"/>
    <mergeCell ref="J83:J85"/>
    <mergeCell ref="J86:J88"/>
    <mergeCell ref="J90:J93"/>
    <mergeCell ref="J94:J96"/>
    <mergeCell ref="J97:J99"/>
    <mergeCell ref="J100:J101"/>
    <mergeCell ref="J108:J111"/>
    <mergeCell ref="J112:J115"/>
    <mergeCell ref="J118:J119"/>
    <mergeCell ref="J120:J121"/>
    <mergeCell ref="J122:J125"/>
    <mergeCell ref="J129:J132"/>
    <mergeCell ref="J133:J138"/>
    <mergeCell ref="J140:J141"/>
    <mergeCell ref="J142:J143"/>
    <mergeCell ref="J145:J146"/>
    <mergeCell ref="J147:J148"/>
    <mergeCell ref="K4:K9"/>
    <mergeCell ref="K10:K15"/>
    <mergeCell ref="K16:K19"/>
    <mergeCell ref="K20:K23"/>
    <mergeCell ref="K24:K27"/>
    <mergeCell ref="K28:K31"/>
    <mergeCell ref="K35:K36"/>
    <mergeCell ref="K41:K47"/>
    <mergeCell ref="K48:K54"/>
    <mergeCell ref="K55:K60"/>
    <mergeCell ref="K61:K66"/>
    <mergeCell ref="K69:K70"/>
    <mergeCell ref="K71:K72"/>
    <mergeCell ref="K75:K76"/>
    <mergeCell ref="K78:K79"/>
    <mergeCell ref="K80:K81"/>
    <mergeCell ref="K83:K85"/>
    <mergeCell ref="K86:K88"/>
    <mergeCell ref="K90:K93"/>
    <mergeCell ref="K94:K96"/>
    <mergeCell ref="K97:K99"/>
    <mergeCell ref="K100:K101"/>
    <mergeCell ref="K108:K111"/>
    <mergeCell ref="K112:K115"/>
    <mergeCell ref="K118:K119"/>
    <mergeCell ref="K120:K121"/>
    <mergeCell ref="K122:K125"/>
    <mergeCell ref="K129:K132"/>
    <mergeCell ref="K133:K138"/>
    <mergeCell ref="K140:K141"/>
    <mergeCell ref="K142:K143"/>
    <mergeCell ref="K145:K146"/>
    <mergeCell ref="K147:K148"/>
    <mergeCell ref="L4:L9"/>
    <mergeCell ref="L10:L15"/>
    <mergeCell ref="L16:L19"/>
    <mergeCell ref="L20:L23"/>
    <mergeCell ref="L24:L27"/>
    <mergeCell ref="L28:L31"/>
    <mergeCell ref="L35:L36"/>
    <mergeCell ref="L41:L47"/>
    <mergeCell ref="L48:L54"/>
    <mergeCell ref="L55:L60"/>
    <mergeCell ref="L61:L66"/>
    <mergeCell ref="L69:L70"/>
    <mergeCell ref="L71:L72"/>
    <mergeCell ref="L75:L76"/>
    <mergeCell ref="L78:L79"/>
    <mergeCell ref="L80:L81"/>
    <mergeCell ref="L83:L85"/>
    <mergeCell ref="L86:L88"/>
    <mergeCell ref="L90:L93"/>
    <mergeCell ref="L94:L96"/>
    <mergeCell ref="L97:L99"/>
    <mergeCell ref="L100:L101"/>
    <mergeCell ref="L108:L111"/>
    <mergeCell ref="L112:L115"/>
    <mergeCell ref="L118:L119"/>
    <mergeCell ref="L120:L121"/>
    <mergeCell ref="L122:L125"/>
    <mergeCell ref="L129:L132"/>
    <mergeCell ref="L133:L138"/>
    <mergeCell ref="L140:L141"/>
    <mergeCell ref="L142:L143"/>
    <mergeCell ref="L145:L146"/>
    <mergeCell ref="L147:L148"/>
    <mergeCell ref="M4:M9"/>
    <mergeCell ref="M10:M15"/>
    <mergeCell ref="M16:M19"/>
    <mergeCell ref="M20:M23"/>
    <mergeCell ref="M24:M27"/>
    <mergeCell ref="M28:M31"/>
    <mergeCell ref="M35:M36"/>
    <mergeCell ref="M41:M47"/>
    <mergeCell ref="M48:M54"/>
    <mergeCell ref="M55:M60"/>
    <mergeCell ref="M61:M66"/>
    <mergeCell ref="M69:M70"/>
    <mergeCell ref="M71:M72"/>
    <mergeCell ref="M75:M76"/>
    <mergeCell ref="M78:M79"/>
    <mergeCell ref="M80:M81"/>
    <mergeCell ref="M83:M85"/>
    <mergeCell ref="M86:M88"/>
    <mergeCell ref="M90:M93"/>
    <mergeCell ref="M94:M96"/>
    <mergeCell ref="M97:M99"/>
    <mergeCell ref="M100:M101"/>
    <mergeCell ref="M108:M111"/>
    <mergeCell ref="M112:M115"/>
    <mergeCell ref="M118:M119"/>
    <mergeCell ref="M120:M121"/>
    <mergeCell ref="M122:M125"/>
    <mergeCell ref="M129:M132"/>
    <mergeCell ref="M133:M138"/>
    <mergeCell ref="M140:M141"/>
    <mergeCell ref="M142:M143"/>
    <mergeCell ref="M145:M146"/>
    <mergeCell ref="M147:M148"/>
    <mergeCell ref="N4:N9"/>
    <mergeCell ref="N10:N15"/>
    <mergeCell ref="N16:N19"/>
    <mergeCell ref="N20:N23"/>
    <mergeCell ref="N24:N27"/>
    <mergeCell ref="N28:N31"/>
    <mergeCell ref="N35:N36"/>
    <mergeCell ref="N41:N47"/>
    <mergeCell ref="N48:N54"/>
    <mergeCell ref="N55:N60"/>
    <mergeCell ref="N61:N66"/>
    <mergeCell ref="N69:N70"/>
    <mergeCell ref="N71:N72"/>
    <mergeCell ref="N75:N76"/>
    <mergeCell ref="N78:N79"/>
    <mergeCell ref="N80:N81"/>
    <mergeCell ref="N83:N85"/>
    <mergeCell ref="N86:N88"/>
    <mergeCell ref="N90:N93"/>
    <mergeCell ref="N94:N96"/>
    <mergeCell ref="N97:N99"/>
    <mergeCell ref="N100:N101"/>
    <mergeCell ref="N108:N111"/>
    <mergeCell ref="N112:N115"/>
    <mergeCell ref="N118:N119"/>
    <mergeCell ref="N120:N121"/>
    <mergeCell ref="N122:N125"/>
    <mergeCell ref="N129:N132"/>
    <mergeCell ref="N133:N138"/>
    <mergeCell ref="N140:N141"/>
    <mergeCell ref="N142:N143"/>
    <mergeCell ref="N145:N146"/>
    <mergeCell ref="N147:N148"/>
    <mergeCell ref="O4:O9"/>
    <mergeCell ref="O10:O15"/>
    <mergeCell ref="O16:O19"/>
    <mergeCell ref="O20:O23"/>
    <mergeCell ref="O24:O27"/>
    <mergeCell ref="O28:O31"/>
    <mergeCell ref="O35:O36"/>
    <mergeCell ref="O41:O47"/>
    <mergeCell ref="O48:O54"/>
    <mergeCell ref="O55:O60"/>
    <mergeCell ref="O61:O66"/>
    <mergeCell ref="O69:O70"/>
    <mergeCell ref="O71:O72"/>
    <mergeCell ref="O75:O76"/>
    <mergeCell ref="O78:O79"/>
    <mergeCell ref="O80:O81"/>
    <mergeCell ref="O83:O85"/>
    <mergeCell ref="O86:O88"/>
    <mergeCell ref="O90:O93"/>
    <mergeCell ref="O94:O96"/>
    <mergeCell ref="O97:O99"/>
    <mergeCell ref="O100:O101"/>
    <mergeCell ref="O108:O111"/>
    <mergeCell ref="O112:O115"/>
    <mergeCell ref="O118:O119"/>
    <mergeCell ref="O120:O121"/>
    <mergeCell ref="O122:O125"/>
    <mergeCell ref="O129:O132"/>
    <mergeCell ref="O133:O138"/>
    <mergeCell ref="O140:O141"/>
    <mergeCell ref="O142:O143"/>
    <mergeCell ref="O145:O146"/>
    <mergeCell ref="O147:O148"/>
    <mergeCell ref="P4:P9"/>
    <mergeCell ref="P10:P15"/>
    <mergeCell ref="P16:P19"/>
    <mergeCell ref="P20:P23"/>
    <mergeCell ref="P24:P27"/>
    <mergeCell ref="P28:P31"/>
    <mergeCell ref="P35:P36"/>
    <mergeCell ref="P41:P47"/>
    <mergeCell ref="P48:P54"/>
    <mergeCell ref="P55:P60"/>
    <mergeCell ref="P61:P66"/>
    <mergeCell ref="P69:P70"/>
    <mergeCell ref="P71:P72"/>
    <mergeCell ref="P75:P76"/>
    <mergeCell ref="P78:P79"/>
    <mergeCell ref="P80:P81"/>
    <mergeCell ref="P83:P85"/>
    <mergeCell ref="P86:P88"/>
    <mergeCell ref="P90:P93"/>
    <mergeCell ref="P94:P96"/>
    <mergeCell ref="P97:P99"/>
    <mergeCell ref="P100:P101"/>
    <mergeCell ref="P108:P111"/>
    <mergeCell ref="P112:P115"/>
    <mergeCell ref="P118:P119"/>
    <mergeCell ref="P120:P121"/>
    <mergeCell ref="P122:P125"/>
    <mergeCell ref="P129:P132"/>
    <mergeCell ref="P133:P138"/>
    <mergeCell ref="P140:P141"/>
    <mergeCell ref="P142:P143"/>
    <mergeCell ref="P145:P146"/>
    <mergeCell ref="P147:P148"/>
    <mergeCell ref="Q4:Q9"/>
    <mergeCell ref="Q10:Q15"/>
    <mergeCell ref="Q16:Q19"/>
    <mergeCell ref="Q20:Q23"/>
    <mergeCell ref="Q24:Q27"/>
    <mergeCell ref="Q28:Q31"/>
    <mergeCell ref="Q35:Q36"/>
    <mergeCell ref="Q41:Q47"/>
    <mergeCell ref="Q48:Q54"/>
    <mergeCell ref="Q55:Q60"/>
    <mergeCell ref="Q61:Q66"/>
    <mergeCell ref="Q69:Q70"/>
    <mergeCell ref="Q71:Q72"/>
    <mergeCell ref="Q75:Q76"/>
    <mergeCell ref="Q78:Q79"/>
    <mergeCell ref="Q80:Q81"/>
    <mergeCell ref="Q83:Q85"/>
    <mergeCell ref="Q86:Q88"/>
    <mergeCell ref="Q90:Q93"/>
    <mergeCell ref="Q94:Q96"/>
    <mergeCell ref="Q97:Q99"/>
    <mergeCell ref="Q100:Q101"/>
    <mergeCell ref="Q108:Q111"/>
    <mergeCell ref="Q112:Q115"/>
    <mergeCell ref="Q118:Q119"/>
    <mergeCell ref="Q120:Q121"/>
    <mergeCell ref="Q122:Q125"/>
    <mergeCell ref="Q129:Q132"/>
    <mergeCell ref="Q133:Q138"/>
    <mergeCell ref="Q140:Q141"/>
    <mergeCell ref="Q142:Q143"/>
    <mergeCell ref="Q145:Q146"/>
    <mergeCell ref="Q147:Q148"/>
    <mergeCell ref="R4:R9"/>
    <mergeCell ref="R10:R15"/>
    <mergeCell ref="R16:R19"/>
    <mergeCell ref="R20:R23"/>
    <mergeCell ref="R24:R27"/>
    <mergeCell ref="R28:R31"/>
    <mergeCell ref="R35:R36"/>
    <mergeCell ref="R41:R47"/>
    <mergeCell ref="R48:R54"/>
    <mergeCell ref="R55:R60"/>
    <mergeCell ref="R61:R66"/>
    <mergeCell ref="R69:R70"/>
    <mergeCell ref="R71:R72"/>
    <mergeCell ref="R75:R76"/>
    <mergeCell ref="R78:R79"/>
    <mergeCell ref="R80:R81"/>
    <mergeCell ref="R83:R85"/>
    <mergeCell ref="R86:R88"/>
    <mergeCell ref="R90:R93"/>
    <mergeCell ref="R94:R96"/>
    <mergeCell ref="R97:R99"/>
    <mergeCell ref="R100:R101"/>
    <mergeCell ref="R108:R111"/>
    <mergeCell ref="R112:R115"/>
    <mergeCell ref="R118:R119"/>
    <mergeCell ref="R120:R121"/>
    <mergeCell ref="R122:R125"/>
    <mergeCell ref="R129:R132"/>
    <mergeCell ref="R133:R138"/>
    <mergeCell ref="R140:R141"/>
    <mergeCell ref="R142:R143"/>
    <mergeCell ref="R145:R146"/>
    <mergeCell ref="R147:R148"/>
    <mergeCell ref="S4:S9"/>
    <mergeCell ref="S10:S15"/>
    <mergeCell ref="S16:S19"/>
    <mergeCell ref="S20:S23"/>
    <mergeCell ref="S24:S27"/>
    <mergeCell ref="S28:S31"/>
    <mergeCell ref="S35:S36"/>
    <mergeCell ref="S41:S47"/>
    <mergeCell ref="S48:S54"/>
    <mergeCell ref="S55:S60"/>
    <mergeCell ref="S61:S66"/>
    <mergeCell ref="S69:S70"/>
    <mergeCell ref="S71:S72"/>
    <mergeCell ref="S75:S76"/>
    <mergeCell ref="S78:S79"/>
    <mergeCell ref="S80:S81"/>
    <mergeCell ref="S83:S85"/>
    <mergeCell ref="S86:S88"/>
    <mergeCell ref="S90:S93"/>
    <mergeCell ref="S94:S96"/>
    <mergeCell ref="S97:S99"/>
    <mergeCell ref="S100:S101"/>
    <mergeCell ref="S108:S111"/>
    <mergeCell ref="S112:S115"/>
    <mergeCell ref="S118:S119"/>
    <mergeCell ref="S120:S121"/>
    <mergeCell ref="S122:S125"/>
    <mergeCell ref="S129:S132"/>
    <mergeCell ref="S133:S138"/>
    <mergeCell ref="S140:S141"/>
    <mergeCell ref="S142:S143"/>
    <mergeCell ref="S145:S146"/>
    <mergeCell ref="S147:S148"/>
    <mergeCell ref="T4:T9"/>
    <mergeCell ref="T10:T15"/>
    <mergeCell ref="T16:T19"/>
    <mergeCell ref="T20:T23"/>
    <mergeCell ref="T24:T27"/>
    <mergeCell ref="T28:T31"/>
    <mergeCell ref="T35:T36"/>
    <mergeCell ref="T41:T47"/>
    <mergeCell ref="T48:T54"/>
    <mergeCell ref="T55:T60"/>
    <mergeCell ref="T61:T66"/>
    <mergeCell ref="T69:T70"/>
    <mergeCell ref="T71:T72"/>
    <mergeCell ref="T75:T76"/>
    <mergeCell ref="T78:T79"/>
    <mergeCell ref="T80:T81"/>
    <mergeCell ref="T83:T85"/>
    <mergeCell ref="T86:T88"/>
    <mergeCell ref="T90:T93"/>
    <mergeCell ref="T94:T96"/>
    <mergeCell ref="T97:T99"/>
    <mergeCell ref="T100:T101"/>
    <mergeCell ref="T108:T111"/>
    <mergeCell ref="T112:T115"/>
    <mergeCell ref="T118:T119"/>
    <mergeCell ref="T120:T121"/>
    <mergeCell ref="T122:T125"/>
    <mergeCell ref="T129:T132"/>
    <mergeCell ref="T133:T138"/>
    <mergeCell ref="T140:T141"/>
    <mergeCell ref="T142:T143"/>
    <mergeCell ref="T145:T146"/>
    <mergeCell ref="T147:T148"/>
  </mergeCells>
  <conditionalFormatting sqref="W3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26"/>
  <sheetViews>
    <sheetView tabSelected="1" topLeftCell="H1" workbookViewId="0">
      <pane ySplit="3" topLeftCell="A5" activePane="bottomLeft" state="frozen"/>
      <selection/>
      <selection pane="bottomLeft" activeCell="AD11" sqref="AD11"/>
    </sheetView>
  </sheetViews>
  <sheetFormatPr defaultColWidth="9" defaultRowHeight="15" customHeight="1"/>
  <cols>
    <col min="1" max="1" width="5.25" style="46" customWidth="1"/>
    <col min="2" max="2" width="16" style="46" customWidth="1"/>
    <col min="3" max="3" width="19.75" style="47" customWidth="1"/>
    <col min="4" max="4" width="19.375" style="48" customWidth="1"/>
    <col min="5" max="6" width="22.75" style="48" customWidth="1"/>
    <col min="7" max="7" width="5" style="49" customWidth="1"/>
    <col min="8" max="8" width="24.75" style="49" customWidth="1"/>
    <col min="9" max="10" width="8.5" style="50" customWidth="1"/>
    <col min="11" max="16" width="8.625" style="50" customWidth="1"/>
    <col min="17" max="19" width="8.125" style="50" hidden="1" customWidth="1"/>
    <col min="20" max="20" width="8.125" style="50" customWidth="1"/>
    <col min="21" max="21" width="20.875" style="51" customWidth="1"/>
    <col min="22" max="22" width="16.25" style="52" customWidth="1"/>
    <col min="23" max="23" width="12.375" style="51" customWidth="1"/>
    <col min="24" max="24" width="33.375" style="35" customWidth="1"/>
    <col min="25" max="25" width="21.125" style="52" hidden="1" customWidth="1"/>
    <col min="26" max="26" width="8.125" style="52" hidden="1" customWidth="1"/>
    <col min="27" max="27" width="4.125" style="52" customWidth="1"/>
    <col min="28" max="28" width="22.75" style="52" hidden="1" customWidth="1"/>
    <col min="29" max="33" width="9" style="40"/>
    <col min="34" max="36" width="11.375" style="40"/>
    <col min="37" max="16383" width="9" style="40"/>
  </cols>
  <sheetData>
    <row r="1" ht="46" customHeight="1" spans="1:31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78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customFormat="1" ht="38" customHeight="1" spans="1:31">
      <c r="A2" s="54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79"/>
      <c r="V2" s="80" t="s">
        <v>2</v>
      </c>
      <c r="W2" s="80"/>
      <c r="X2" s="80"/>
      <c r="Y2" s="80"/>
      <c r="Z2" s="80"/>
      <c r="AA2" s="80"/>
      <c r="AB2" s="80"/>
      <c r="AC2" s="80"/>
      <c r="AD2" s="80"/>
      <c r="AE2" s="80"/>
    </row>
    <row r="3" s="37" customFormat="1" ht="30" customHeight="1" spans="1:31">
      <c r="A3" s="27" t="s">
        <v>3</v>
      </c>
      <c r="B3" s="27" t="s">
        <v>4</v>
      </c>
      <c r="C3" s="28" t="s">
        <v>5</v>
      </c>
      <c r="D3" s="29" t="s">
        <v>6</v>
      </c>
      <c r="E3" s="29" t="s">
        <v>7</v>
      </c>
      <c r="F3" s="29"/>
      <c r="G3" s="27" t="s">
        <v>8</v>
      </c>
      <c r="H3" s="27" t="s">
        <v>9</v>
      </c>
      <c r="I3" s="62" t="s">
        <v>10</v>
      </c>
      <c r="J3" s="62" t="s">
        <v>11</v>
      </c>
      <c r="K3" s="63" t="s">
        <v>12</v>
      </c>
      <c r="L3" s="63" t="s">
        <v>13</v>
      </c>
      <c r="M3" s="63" t="s">
        <v>14</v>
      </c>
      <c r="N3" s="22" t="s">
        <v>15</v>
      </c>
      <c r="O3" s="22" t="s">
        <v>16</v>
      </c>
      <c r="P3" s="22" t="s">
        <v>17</v>
      </c>
      <c r="Q3" s="77" t="s">
        <v>18</v>
      </c>
      <c r="R3" s="77" t="s">
        <v>19</v>
      </c>
      <c r="S3" s="77" t="s">
        <v>20</v>
      </c>
      <c r="T3" s="63" t="s">
        <v>21</v>
      </c>
      <c r="U3" s="77" t="s">
        <v>22</v>
      </c>
      <c r="V3" s="11" t="s">
        <v>23</v>
      </c>
      <c r="W3" s="11" t="s">
        <v>4</v>
      </c>
      <c r="X3" s="12" t="s">
        <v>5</v>
      </c>
      <c r="Y3" s="11" t="s">
        <v>24</v>
      </c>
      <c r="Z3" s="11" t="s">
        <v>25</v>
      </c>
      <c r="AA3" s="11" t="s">
        <v>8</v>
      </c>
      <c r="AB3" s="11" t="s">
        <v>26</v>
      </c>
      <c r="AC3" s="22" t="s">
        <v>27</v>
      </c>
      <c r="AD3" s="22" t="s">
        <v>28</v>
      </c>
      <c r="AE3" s="22" t="s">
        <v>29</v>
      </c>
    </row>
    <row r="4" s="38" customFormat="1" ht="24" customHeight="1" spans="1:37">
      <c r="A4" s="55">
        <v>1</v>
      </c>
      <c r="B4" s="56" t="s">
        <v>31</v>
      </c>
      <c r="C4" s="57" t="s">
        <v>32</v>
      </c>
      <c r="D4" s="58" t="s">
        <v>33</v>
      </c>
      <c r="E4" s="58" t="s">
        <v>34</v>
      </c>
      <c r="F4" s="58"/>
      <c r="G4" s="55" t="s">
        <v>35</v>
      </c>
      <c r="H4" s="58" t="s">
        <v>36</v>
      </c>
      <c r="I4" s="64">
        <v>3000</v>
      </c>
      <c r="J4" s="64">
        <v>2700</v>
      </c>
      <c r="K4" s="65">
        <v>2694.71153846154</v>
      </c>
      <c r="L4" s="65">
        <v>2432.72727272727</v>
      </c>
      <c r="M4" s="65"/>
      <c r="N4" s="71">
        <v>2700</v>
      </c>
      <c r="O4" s="71">
        <v>2435</v>
      </c>
      <c r="P4" s="71">
        <v>2070</v>
      </c>
      <c r="Q4" s="55" t="s">
        <v>37</v>
      </c>
      <c r="R4" s="55" t="s">
        <v>38</v>
      </c>
      <c r="S4" s="55" t="s">
        <v>38</v>
      </c>
      <c r="T4" s="65" t="s">
        <v>39</v>
      </c>
      <c r="U4" s="58" t="s">
        <v>40</v>
      </c>
      <c r="V4" s="16" t="s">
        <v>41</v>
      </c>
      <c r="W4" s="16">
        <v>330703033</v>
      </c>
      <c r="X4" s="16" t="s">
        <v>42</v>
      </c>
      <c r="Y4" s="16" t="s">
        <v>43</v>
      </c>
      <c r="Z4" s="16"/>
      <c r="AA4" s="16" t="s">
        <v>35</v>
      </c>
      <c r="AB4" s="16" t="s">
        <v>44</v>
      </c>
      <c r="AC4" s="26">
        <v>2250</v>
      </c>
      <c r="AD4" s="26">
        <v>2160</v>
      </c>
      <c r="AE4" s="26">
        <v>1836</v>
      </c>
      <c r="AF4" s="83">
        <f>IFERROR(FIND("-儿童（加收）",C4,1),0)</f>
        <v>0</v>
      </c>
      <c r="AG4" s="83" t="str">
        <f>SUBSTITUTE(C4,"-儿童（加收）","")</f>
        <v>食管裂孔疝修补费</v>
      </c>
      <c r="AH4" s="83">
        <f>IF(AF4&gt;0,_xlfn.MAXIFS(N:N,C:C,SUBSTITUTE(C4,"-儿童（加收）","")),0)+N4</f>
        <v>2700</v>
      </c>
      <c r="AI4" s="83">
        <f>IF(AF4&gt;0,_xlfn.MAXIFS(O:O,C:C,SUBSTITUTE(C4,"-儿童（加收）","")),0)+O4</f>
        <v>2435</v>
      </c>
      <c r="AJ4" s="83">
        <f>IF(AF4&gt;0,_xlfn.MAXIFS(P:P,C:C,SUBSTITUTE(C4,"-儿童（加收）","")),0)+P4</f>
        <v>2070</v>
      </c>
      <c r="AK4" s="38" t="str">
        <f>VLOOKUP(V4,Sheet2!E:E,1,0)</f>
        <v>003307030330000-330703033</v>
      </c>
    </row>
    <row r="5" s="38" customFormat="1" ht="24" customHeight="1" spans="1:37">
      <c r="A5" s="55"/>
      <c r="B5" s="56"/>
      <c r="C5" s="57" t="s">
        <v>32</v>
      </c>
      <c r="D5" s="58"/>
      <c r="E5" s="58"/>
      <c r="F5" s="58"/>
      <c r="G5" s="55"/>
      <c r="H5" s="58"/>
      <c r="I5" s="64"/>
      <c r="J5" s="64"/>
      <c r="K5" s="65"/>
      <c r="L5" s="65"/>
      <c r="M5" s="65"/>
      <c r="N5" s="71">
        <v>2700</v>
      </c>
      <c r="O5" s="71">
        <v>2435</v>
      </c>
      <c r="P5" s="71">
        <v>2070</v>
      </c>
      <c r="Q5" s="55"/>
      <c r="R5" s="55"/>
      <c r="S5" s="55"/>
      <c r="T5" s="65"/>
      <c r="U5" s="58"/>
      <c r="V5" s="16" t="s">
        <v>45</v>
      </c>
      <c r="W5" s="16">
        <v>33070303301</v>
      </c>
      <c r="X5" s="16" t="s">
        <v>46</v>
      </c>
      <c r="Y5" s="16"/>
      <c r="Z5" s="16"/>
      <c r="AA5" s="16" t="s">
        <v>35</v>
      </c>
      <c r="AB5" s="16" t="s">
        <v>47</v>
      </c>
      <c r="AC5" s="26">
        <v>2700</v>
      </c>
      <c r="AD5" s="26">
        <v>2592</v>
      </c>
      <c r="AE5" s="26">
        <v>2203.2</v>
      </c>
      <c r="AF5" s="83">
        <f t="shared" ref="AF5:AF36" si="0">IFERROR(FIND("-儿童（加收）",C5,1),0)</f>
        <v>0</v>
      </c>
      <c r="AG5" s="83" t="str">
        <f t="shared" ref="AG5:AG36" si="1">SUBSTITUTE(C5,"-儿童（加收）","")</f>
        <v>食管裂孔疝修补费</v>
      </c>
      <c r="AH5" s="83">
        <f t="shared" ref="AH5:AH36" si="2">IF(AF5&gt;0,_xlfn.MAXIFS(N:N,C:C,SUBSTITUTE(C5,"-儿童（加收）","")),0)+N5</f>
        <v>2700</v>
      </c>
      <c r="AI5" s="83">
        <f t="shared" ref="AI5:AI36" si="3">IF(AF5&gt;0,_xlfn.MAXIFS(O:O,C:C,SUBSTITUTE(C5,"-儿童（加收）","")),0)+O5</f>
        <v>2435</v>
      </c>
      <c r="AJ5" s="83">
        <f t="shared" ref="AJ5:AJ36" si="4">IF(AF5&gt;0,_xlfn.MAXIFS(P:P,C:C,SUBSTITUTE(C5,"-儿童（加收）","")),0)+P5</f>
        <v>2070</v>
      </c>
      <c r="AK5" s="38" t="str">
        <f>VLOOKUP(V5,Sheet2!E:E,1,0)</f>
        <v>003307030330001-33070303301</v>
      </c>
    </row>
    <row r="6" s="38" customFormat="1" ht="24" customHeight="1" spans="1:37">
      <c r="A6" s="55"/>
      <c r="B6" s="56"/>
      <c r="C6" s="57" t="s">
        <v>32</v>
      </c>
      <c r="D6" s="58"/>
      <c r="E6" s="58"/>
      <c r="F6" s="58"/>
      <c r="G6" s="55"/>
      <c r="H6" s="58"/>
      <c r="I6" s="64"/>
      <c r="J6" s="64"/>
      <c r="K6" s="65"/>
      <c r="L6" s="65"/>
      <c r="M6" s="65"/>
      <c r="N6" s="71">
        <v>2700</v>
      </c>
      <c r="O6" s="71">
        <v>2435</v>
      </c>
      <c r="P6" s="71">
        <v>2070</v>
      </c>
      <c r="Q6" s="55"/>
      <c r="R6" s="55"/>
      <c r="S6" s="55"/>
      <c r="T6" s="65"/>
      <c r="U6" s="58"/>
      <c r="V6" s="16" t="s">
        <v>48</v>
      </c>
      <c r="W6" s="16">
        <v>33070303304</v>
      </c>
      <c r="X6" s="16" t="s">
        <v>49</v>
      </c>
      <c r="Y6" s="16"/>
      <c r="Z6" s="16"/>
      <c r="AA6" s="16" t="s">
        <v>35</v>
      </c>
      <c r="AB6" s="16" t="s">
        <v>38</v>
      </c>
      <c r="AC6" s="26">
        <v>2875</v>
      </c>
      <c r="AD6" s="26">
        <v>2760</v>
      </c>
      <c r="AE6" s="26">
        <v>2346</v>
      </c>
      <c r="AF6" s="83">
        <f t="shared" si="0"/>
        <v>0</v>
      </c>
      <c r="AG6" s="83" t="str">
        <f t="shared" si="1"/>
        <v>食管裂孔疝修补费</v>
      </c>
      <c r="AH6" s="83">
        <f t="shared" si="2"/>
        <v>2700</v>
      </c>
      <c r="AI6" s="83">
        <f t="shared" si="3"/>
        <v>2435</v>
      </c>
      <c r="AJ6" s="83">
        <f t="shared" si="4"/>
        <v>2070</v>
      </c>
      <c r="AK6" s="38" t="str">
        <f>VLOOKUP(V6,Sheet2!E:E,1,0)</f>
        <v>003307030330000-33070303304</v>
      </c>
    </row>
    <row r="7" s="38" customFormat="1" ht="24" customHeight="1" spans="1:37">
      <c r="A7" s="55"/>
      <c r="B7" s="56"/>
      <c r="C7" s="57" t="s">
        <v>32</v>
      </c>
      <c r="D7" s="58"/>
      <c r="E7" s="58"/>
      <c r="F7" s="58"/>
      <c r="G7" s="55"/>
      <c r="H7" s="58"/>
      <c r="I7" s="64"/>
      <c r="J7" s="64"/>
      <c r="K7" s="65"/>
      <c r="L7" s="65"/>
      <c r="M7" s="65"/>
      <c r="N7" s="71">
        <v>2700</v>
      </c>
      <c r="O7" s="71">
        <v>2435</v>
      </c>
      <c r="P7" s="71">
        <v>2070</v>
      </c>
      <c r="Q7" s="55"/>
      <c r="R7" s="55"/>
      <c r="S7" s="55"/>
      <c r="T7" s="65"/>
      <c r="U7" s="58"/>
      <c r="V7" s="16" t="s">
        <v>50</v>
      </c>
      <c r="W7" s="16">
        <v>33070303305</v>
      </c>
      <c r="X7" s="16" t="s">
        <v>51</v>
      </c>
      <c r="Y7" s="16"/>
      <c r="Z7" s="16"/>
      <c r="AA7" s="16" t="s">
        <v>35</v>
      </c>
      <c r="AB7" s="16" t="s">
        <v>47</v>
      </c>
      <c r="AC7" s="26">
        <v>3325</v>
      </c>
      <c r="AD7" s="26">
        <v>3192</v>
      </c>
      <c r="AE7" s="26">
        <v>2713.2</v>
      </c>
      <c r="AF7" s="83">
        <f t="shared" si="0"/>
        <v>0</v>
      </c>
      <c r="AG7" s="83" t="str">
        <f t="shared" si="1"/>
        <v>食管裂孔疝修补费</v>
      </c>
      <c r="AH7" s="83">
        <f t="shared" si="2"/>
        <v>2700</v>
      </c>
      <c r="AI7" s="83">
        <f t="shared" si="3"/>
        <v>2435</v>
      </c>
      <c r="AJ7" s="83">
        <f t="shared" si="4"/>
        <v>2070</v>
      </c>
      <c r="AK7" s="38" t="str">
        <f>VLOOKUP(V7,Sheet2!E:E,1,0)</f>
        <v>003307030330001-33070303305</v>
      </c>
    </row>
    <row r="8" s="38" customFormat="1" ht="24" customHeight="1" spans="1:37">
      <c r="A8" s="55"/>
      <c r="B8" s="56"/>
      <c r="C8" s="57" t="s">
        <v>32</v>
      </c>
      <c r="D8" s="58"/>
      <c r="E8" s="58"/>
      <c r="F8" s="58"/>
      <c r="G8" s="55"/>
      <c r="H8" s="58"/>
      <c r="I8" s="64"/>
      <c r="J8" s="64"/>
      <c r="K8" s="65"/>
      <c r="L8" s="65"/>
      <c r="M8" s="65"/>
      <c r="N8" s="71">
        <v>2700</v>
      </c>
      <c r="O8" s="71">
        <v>2435</v>
      </c>
      <c r="P8" s="71">
        <v>2070</v>
      </c>
      <c r="Q8" s="55"/>
      <c r="R8" s="55"/>
      <c r="S8" s="55"/>
      <c r="T8" s="65"/>
      <c r="U8" s="58"/>
      <c r="V8" s="16" t="s">
        <v>52</v>
      </c>
      <c r="W8" s="16">
        <v>330703034</v>
      </c>
      <c r="X8" s="16" t="s">
        <v>53</v>
      </c>
      <c r="Y8" s="16" t="s">
        <v>54</v>
      </c>
      <c r="Z8" s="16"/>
      <c r="AA8" s="16" t="s">
        <v>35</v>
      </c>
      <c r="AB8" s="16" t="s">
        <v>38</v>
      </c>
      <c r="AC8" s="26">
        <v>2250</v>
      </c>
      <c r="AD8" s="26">
        <v>2160</v>
      </c>
      <c r="AE8" s="26">
        <v>1836</v>
      </c>
      <c r="AF8" s="83">
        <f t="shared" si="0"/>
        <v>0</v>
      </c>
      <c r="AG8" s="83" t="str">
        <f t="shared" si="1"/>
        <v>食管裂孔疝修补费</v>
      </c>
      <c r="AH8" s="83">
        <f t="shared" si="2"/>
        <v>2700</v>
      </c>
      <c r="AI8" s="83">
        <f t="shared" si="3"/>
        <v>2435</v>
      </c>
      <c r="AJ8" s="83">
        <f t="shared" si="4"/>
        <v>2070</v>
      </c>
      <c r="AK8" s="38" t="str">
        <f>VLOOKUP(V8,Sheet2!E:E,1,0)</f>
        <v>003307030340000-330703034</v>
      </c>
    </row>
    <row r="9" s="38" customFormat="1" ht="24" customHeight="1" spans="1:37">
      <c r="A9" s="55"/>
      <c r="B9" s="56"/>
      <c r="C9" s="57" t="s">
        <v>32</v>
      </c>
      <c r="D9" s="58"/>
      <c r="E9" s="58"/>
      <c r="F9" s="58"/>
      <c r="G9" s="55"/>
      <c r="H9" s="58"/>
      <c r="I9" s="64"/>
      <c r="J9" s="64"/>
      <c r="K9" s="65"/>
      <c r="L9" s="65"/>
      <c r="M9" s="65"/>
      <c r="N9" s="71">
        <v>2700</v>
      </c>
      <c r="O9" s="71">
        <v>2435</v>
      </c>
      <c r="P9" s="71">
        <v>2070</v>
      </c>
      <c r="Q9" s="55"/>
      <c r="R9" s="55"/>
      <c r="S9" s="55"/>
      <c r="T9" s="65"/>
      <c r="U9" s="58"/>
      <c r="V9" s="16" t="s">
        <v>55</v>
      </c>
      <c r="W9" s="16">
        <v>33070303402</v>
      </c>
      <c r="X9" s="16" t="s">
        <v>56</v>
      </c>
      <c r="Y9" s="16"/>
      <c r="Z9" s="16"/>
      <c r="AA9" s="16" t="s">
        <v>35</v>
      </c>
      <c r="AB9" s="16" t="s">
        <v>38</v>
      </c>
      <c r="AC9" s="26">
        <v>2875</v>
      </c>
      <c r="AD9" s="26">
        <v>2760</v>
      </c>
      <c r="AE9" s="26">
        <v>2346</v>
      </c>
      <c r="AF9" s="83">
        <f t="shared" si="0"/>
        <v>0</v>
      </c>
      <c r="AG9" s="83" t="str">
        <f t="shared" si="1"/>
        <v>食管裂孔疝修补费</v>
      </c>
      <c r="AH9" s="83">
        <f t="shared" si="2"/>
        <v>2700</v>
      </c>
      <c r="AI9" s="83">
        <f t="shared" si="3"/>
        <v>2435</v>
      </c>
      <c r="AJ9" s="83">
        <f t="shared" si="4"/>
        <v>2070</v>
      </c>
      <c r="AK9" s="38" t="str">
        <f>VLOOKUP(V9,Sheet2!E:E,1,0)</f>
        <v>003307030340001-33070303402</v>
      </c>
    </row>
    <row r="10" s="39" customFormat="1" ht="24" customHeight="1" spans="1:37">
      <c r="A10" s="55" t="s">
        <v>57</v>
      </c>
      <c r="B10" s="56" t="s">
        <v>58</v>
      </c>
      <c r="C10" s="57" t="s">
        <v>59</v>
      </c>
      <c r="D10" s="58" t="s">
        <v>38</v>
      </c>
      <c r="E10" s="58" t="s">
        <v>38</v>
      </c>
      <c r="F10" s="58"/>
      <c r="G10" s="55" t="s">
        <v>35</v>
      </c>
      <c r="H10" s="58" t="s">
        <v>38</v>
      </c>
      <c r="I10" s="64">
        <v>900</v>
      </c>
      <c r="J10" s="64">
        <v>810</v>
      </c>
      <c r="K10" s="66"/>
      <c r="L10" s="66"/>
      <c r="M10" s="66"/>
      <c r="N10" s="71">
        <v>810</v>
      </c>
      <c r="O10" s="71">
        <v>730</v>
      </c>
      <c r="P10" s="71">
        <v>620</v>
      </c>
      <c r="Q10" s="55" t="s">
        <v>37</v>
      </c>
      <c r="R10" s="55" t="s">
        <v>38</v>
      </c>
      <c r="S10" s="55" t="s">
        <v>38</v>
      </c>
      <c r="T10" s="66"/>
      <c r="U10" s="58" t="s">
        <v>60</v>
      </c>
      <c r="V10" s="16" t="s">
        <v>61</v>
      </c>
      <c r="W10" s="16">
        <v>33070303302</v>
      </c>
      <c r="X10" s="16" t="s">
        <v>62</v>
      </c>
      <c r="Y10" s="16"/>
      <c r="Z10" s="16"/>
      <c r="AA10" s="16" t="s">
        <v>35</v>
      </c>
      <c r="AB10" s="16" t="s">
        <v>38</v>
      </c>
      <c r="AC10" s="26">
        <v>2925</v>
      </c>
      <c r="AD10" s="26">
        <v>2810</v>
      </c>
      <c r="AE10" s="26">
        <v>2390</v>
      </c>
      <c r="AF10" s="83">
        <f t="shared" si="0"/>
        <v>9</v>
      </c>
      <c r="AG10" s="83" t="str">
        <f t="shared" si="1"/>
        <v>食管裂孔疝修补费</v>
      </c>
      <c r="AH10" s="83">
        <f t="shared" si="2"/>
        <v>3510</v>
      </c>
      <c r="AI10" s="83">
        <f t="shared" si="3"/>
        <v>3165</v>
      </c>
      <c r="AJ10" s="83">
        <f t="shared" si="4"/>
        <v>2690</v>
      </c>
      <c r="AK10" s="38" t="str">
        <f>VLOOKUP(V10,Sheet2!E:E,1,0)</f>
        <v>003307030330000-33070303302</v>
      </c>
    </row>
    <row r="11" s="39" customFormat="1" ht="24" customHeight="1" spans="1:37">
      <c r="A11" s="55"/>
      <c r="B11" s="56"/>
      <c r="C11" s="57" t="s">
        <v>59</v>
      </c>
      <c r="D11" s="58"/>
      <c r="E11" s="58"/>
      <c r="F11" s="58"/>
      <c r="G11" s="55"/>
      <c r="H11" s="58"/>
      <c r="I11" s="64"/>
      <c r="J11" s="64"/>
      <c r="K11" s="66"/>
      <c r="L11" s="66"/>
      <c r="M11" s="66"/>
      <c r="N11" s="71">
        <v>810</v>
      </c>
      <c r="O11" s="71">
        <v>730</v>
      </c>
      <c r="P11" s="71">
        <v>620</v>
      </c>
      <c r="Q11" s="55"/>
      <c r="R11" s="55"/>
      <c r="S11" s="55"/>
      <c r="T11" s="66"/>
      <c r="U11" s="58"/>
      <c r="V11" s="16" t="s">
        <v>63</v>
      </c>
      <c r="W11" s="16">
        <v>33070303303</v>
      </c>
      <c r="X11" s="16" t="s">
        <v>64</v>
      </c>
      <c r="Y11" s="16"/>
      <c r="Z11" s="16"/>
      <c r="AA11" s="16" t="s">
        <v>35</v>
      </c>
      <c r="AB11" s="16" t="s">
        <v>47</v>
      </c>
      <c r="AC11" s="26">
        <v>3510</v>
      </c>
      <c r="AD11" s="26">
        <v>3370</v>
      </c>
      <c r="AE11" s="26">
        <v>2865</v>
      </c>
      <c r="AF11" s="83">
        <f t="shared" si="0"/>
        <v>9</v>
      </c>
      <c r="AG11" s="83" t="str">
        <f t="shared" si="1"/>
        <v>食管裂孔疝修补费</v>
      </c>
      <c r="AH11" s="83">
        <f t="shared" si="2"/>
        <v>3510</v>
      </c>
      <c r="AI11" s="83">
        <f t="shared" si="3"/>
        <v>3165</v>
      </c>
      <c r="AJ11" s="83">
        <f t="shared" si="4"/>
        <v>2690</v>
      </c>
      <c r="AK11" s="38" t="str">
        <f>VLOOKUP(V11,Sheet2!E:E,1,0)</f>
        <v>003307030330001-33070303303</v>
      </c>
    </row>
    <row r="12" s="39" customFormat="1" ht="24" customHeight="1" spans="1:37">
      <c r="A12" s="55"/>
      <c r="B12" s="56"/>
      <c r="C12" s="57" t="s">
        <v>59</v>
      </c>
      <c r="D12" s="58"/>
      <c r="E12" s="58"/>
      <c r="F12" s="58"/>
      <c r="G12" s="55"/>
      <c r="H12" s="58"/>
      <c r="I12" s="64"/>
      <c r="J12" s="64"/>
      <c r="K12" s="66"/>
      <c r="L12" s="66"/>
      <c r="M12" s="66"/>
      <c r="N12" s="71">
        <v>810</v>
      </c>
      <c r="O12" s="71">
        <v>730</v>
      </c>
      <c r="P12" s="71">
        <v>620</v>
      </c>
      <c r="Q12" s="55"/>
      <c r="R12" s="55"/>
      <c r="S12" s="55"/>
      <c r="T12" s="66"/>
      <c r="U12" s="58"/>
      <c r="V12" s="16" t="s">
        <v>65</v>
      </c>
      <c r="W12" s="16">
        <v>33070303306</v>
      </c>
      <c r="X12" s="16" t="s">
        <v>66</v>
      </c>
      <c r="Y12" s="16"/>
      <c r="Z12" s="16"/>
      <c r="AA12" s="16" t="s">
        <v>35</v>
      </c>
      <c r="AB12" s="16" t="s">
        <v>38</v>
      </c>
      <c r="AC12" s="26">
        <v>3550</v>
      </c>
      <c r="AD12" s="26">
        <v>3410</v>
      </c>
      <c r="AE12" s="26">
        <v>2900</v>
      </c>
      <c r="AF12" s="83">
        <f t="shared" si="0"/>
        <v>9</v>
      </c>
      <c r="AG12" s="83" t="str">
        <f t="shared" si="1"/>
        <v>食管裂孔疝修补费</v>
      </c>
      <c r="AH12" s="83">
        <f t="shared" si="2"/>
        <v>3510</v>
      </c>
      <c r="AI12" s="83">
        <f t="shared" si="3"/>
        <v>3165</v>
      </c>
      <c r="AJ12" s="83">
        <f t="shared" si="4"/>
        <v>2690</v>
      </c>
      <c r="AK12" s="38" t="str">
        <f>VLOOKUP(V12,Sheet2!E:E,1,0)</f>
        <v>003307030330000-33070303306</v>
      </c>
    </row>
    <row r="13" s="39" customFormat="1" ht="24" customHeight="1" spans="1:37">
      <c r="A13" s="55"/>
      <c r="B13" s="56"/>
      <c r="C13" s="57" t="s">
        <v>59</v>
      </c>
      <c r="D13" s="58"/>
      <c r="E13" s="58"/>
      <c r="F13" s="58"/>
      <c r="G13" s="55"/>
      <c r="H13" s="58"/>
      <c r="I13" s="64"/>
      <c r="J13" s="64"/>
      <c r="K13" s="66"/>
      <c r="L13" s="66"/>
      <c r="M13" s="66"/>
      <c r="N13" s="71">
        <v>810</v>
      </c>
      <c r="O13" s="71">
        <v>730</v>
      </c>
      <c r="P13" s="71">
        <v>620</v>
      </c>
      <c r="Q13" s="55"/>
      <c r="R13" s="55"/>
      <c r="S13" s="55"/>
      <c r="T13" s="66"/>
      <c r="U13" s="58"/>
      <c r="V13" s="16" t="s">
        <v>67</v>
      </c>
      <c r="W13" s="16">
        <v>33070303307</v>
      </c>
      <c r="X13" s="16" t="s">
        <v>68</v>
      </c>
      <c r="Y13" s="16"/>
      <c r="Z13" s="16"/>
      <c r="AA13" s="16" t="s">
        <v>35</v>
      </c>
      <c r="AB13" s="16" t="s">
        <v>47</v>
      </c>
      <c r="AC13" s="26">
        <v>4135</v>
      </c>
      <c r="AD13" s="26">
        <v>3970</v>
      </c>
      <c r="AE13" s="26">
        <v>3375</v>
      </c>
      <c r="AF13" s="83">
        <f t="shared" si="0"/>
        <v>9</v>
      </c>
      <c r="AG13" s="83" t="str">
        <f t="shared" si="1"/>
        <v>食管裂孔疝修补费</v>
      </c>
      <c r="AH13" s="83">
        <f t="shared" si="2"/>
        <v>3510</v>
      </c>
      <c r="AI13" s="83">
        <f t="shared" si="3"/>
        <v>3165</v>
      </c>
      <c r="AJ13" s="83">
        <f t="shared" si="4"/>
        <v>2690</v>
      </c>
      <c r="AK13" s="38" t="str">
        <f>VLOOKUP(V13,Sheet2!E:E,1,0)</f>
        <v>003307030330001-33070303307</v>
      </c>
    </row>
    <row r="14" s="39" customFormat="1" ht="24" customHeight="1" spans="1:37">
      <c r="A14" s="55"/>
      <c r="B14" s="56"/>
      <c r="C14" s="57" t="s">
        <v>59</v>
      </c>
      <c r="D14" s="58"/>
      <c r="E14" s="58"/>
      <c r="F14" s="58"/>
      <c r="G14" s="55"/>
      <c r="H14" s="58"/>
      <c r="I14" s="64"/>
      <c r="J14" s="64"/>
      <c r="K14" s="66"/>
      <c r="L14" s="66"/>
      <c r="M14" s="66"/>
      <c r="N14" s="71">
        <v>810</v>
      </c>
      <c r="O14" s="71">
        <v>730</v>
      </c>
      <c r="P14" s="71">
        <v>620</v>
      </c>
      <c r="Q14" s="55"/>
      <c r="R14" s="55"/>
      <c r="S14" s="55"/>
      <c r="T14" s="66"/>
      <c r="U14" s="58"/>
      <c r="V14" s="16" t="s">
        <v>69</v>
      </c>
      <c r="W14" s="16">
        <v>33070303401</v>
      </c>
      <c r="X14" s="16" t="s">
        <v>70</v>
      </c>
      <c r="Y14" s="16"/>
      <c r="Z14" s="16"/>
      <c r="AA14" s="16" t="s">
        <v>35</v>
      </c>
      <c r="AB14" s="16" t="s">
        <v>38</v>
      </c>
      <c r="AC14" s="26">
        <v>2925</v>
      </c>
      <c r="AD14" s="26">
        <v>2810</v>
      </c>
      <c r="AE14" s="26">
        <v>2390</v>
      </c>
      <c r="AF14" s="83">
        <f t="shared" si="0"/>
        <v>9</v>
      </c>
      <c r="AG14" s="83" t="str">
        <f t="shared" si="1"/>
        <v>食管裂孔疝修补费</v>
      </c>
      <c r="AH14" s="83">
        <f t="shared" si="2"/>
        <v>3510</v>
      </c>
      <c r="AI14" s="83">
        <f t="shared" si="3"/>
        <v>3165</v>
      </c>
      <c r="AJ14" s="83">
        <f t="shared" si="4"/>
        <v>2690</v>
      </c>
      <c r="AK14" s="38" t="str">
        <f>VLOOKUP(V14,Sheet2!E:E,1,0)</f>
        <v>003307030340000-33070303401</v>
      </c>
    </row>
    <row r="15" s="39" customFormat="1" ht="24" customHeight="1" spans="1:37">
      <c r="A15" s="55"/>
      <c r="B15" s="56"/>
      <c r="C15" s="57" t="s">
        <v>59</v>
      </c>
      <c r="D15" s="58"/>
      <c r="E15" s="58"/>
      <c r="F15" s="58"/>
      <c r="G15" s="55"/>
      <c r="H15" s="58"/>
      <c r="I15" s="64"/>
      <c r="J15" s="64"/>
      <c r="K15" s="66"/>
      <c r="L15" s="66"/>
      <c r="M15" s="66"/>
      <c r="N15" s="71">
        <v>810</v>
      </c>
      <c r="O15" s="71">
        <v>730</v>
      </c>
      <c r="P15" s="71">
        <v>620</v>
      </c>
      <c r="Q15" s="55"/>
      <c r="R15" s="55"/>
      <c r="S15" s="55"/>
      <c r="T15" s="66"/>
      <c r="U15" s="58"/>
      <c r="V15" s="16" t="s">
        <v>71</v>
      </c>
      <c r="W15" s="16">
        <v>33070303403</v>
      </c>
      <c r="X15" s="16" t="s">
        <v>72</v>
      </c>
      <c r="Y15" s="16"/>
      <c r="Z15" s="16"/>
      <c r="AA15" s="16" t="s">
        <v>35</v>
      </c>
      <c r="AB15" s="16" t="s">
        <v>38</v>
      </c>
      <c r="AC15" s="26">
        <v>3550</v>
      </c>
      <c r="AD15" s="26">
        <v>3410</v>
      </c>
      <c r="AE15" s="26">
        <v>2900</v>
      </c>
      <c r="AF15" s="83">
        <f t="shared" si="0"/>
        <v>9</v>
      </c>
      <c r="AG15" s="83" t="str">
        <f t="shared" si="1"/>
        <v>食管裂孔疝修补费</v>
      </c>
      <c r="AH15" s="83">
        <f t="shared" si="2"/>
        <v>3510</v>
      </c>
      <c r="AI15" s="83">
        <f t="shared" si="3"/>
        <v>3165</v>
      </c>
      <c r="AJ15" s="83">
        <f t="shared" si="4"/>
        <v>2690</v>
      </c>
      <c r="AK15" s="38" t="str">
        <f>VLOOKUP(V15,Sheet2!E:E,1,0)</f>
        <v>003307030340001-33070303403</v>
      </c>
    </row>
    <row r="16" s="40" customFormat="1" ht="25" customHeight="1" spans="1:37">
      <c r="A16" s="55">
        <v>2</v>
      </c>
      <c r="B16" s="59" t="s">
        <v>73</v>
      </c>
      <c r="C16" s="57" t="s">
        <v>74</v>
      </c>
      <c r="D16" s="58" t="s">
        <v>75</v>
      </c>
      <c r="E16" s="58" t="s">
        <v>76</v>
      </c>
      <c r="F16" s="58"/>
      <c r="G16" s="55" t="s">
        <v>35</v>
      </c>
      <c r="H16" s="58" t="s">
        <v>36</v>
      </c>
      <c r="I16" s="64">
        <v>1700</v>
      </c>
      <c r="J16" s="64">
        <v>1530</v>
      </c>
      <c r="K16" s="65">
        <v>1549.08906882591</v>
      </c>
      <c r="L16" s="65">
        <v>1392.91139240506</v>
      </c>
      <c r="M16" s="65">
        <v>1197.39130434783</v>
      </c>
      <c r="N16" s="71">
        <v>1550</v>
      </c>
      <c r="O16" s="71">
        <v>1395</v>
      </c>
      <c r="P16" s="71">
        <v>1200</v>
      </c>
      <c r="Q16" s="55" t="s">
        <v>37</v>
      </c>
      <c r="R16" s="55" t="s">
        <v>38</v>
      </c>
      <c r="S16" s="55" t="s">
        <v>38</v>
      </c>
      <c r="T16" s="65" t="s">
        <v>39</v>
      </c>
      <c r="U16" s="58" t="s">
        <v>40</v>
      </c>
      <c r="V16" s="16" t="s">
        <v>77</v>
      </c>
      <c r="W16" s="17">
        <v>331008004</v>
      </c>
      <c r="X16" s="16" t="s">
        <v>78</v>
      </c>
      <c r="Y16" s="16"/>
      <c r="Z16" s="16"/>
      <c r="AA16" s="16" t="s">
        <v>35</v>
      </c>
      <c r="AB16" s="16" t="s">
        <v>38</v>
      </c>
      <c r="AC16" s="26">
        <v>1000</v>
      </c>
      <c r="AD16" s="26">
        <v>960</v>
      </c>
      <c r="AE16" s="26">
        <v>816</v>
      </c>
      <c r="AF16" s="83">
        <f t="shared" si="0"/>
        <v>0</v>
      </c>
      <c r="AG16" s="83" t="str">
        <f t="shared" si="1"/>
        <v>腹壁疝修补费</v>
      </c>
      <c r="AH16" s="83">
        <f t="shared" si="2"/>
        <v>1550</v>
      </c>
      <c r="AI16" s="83">
        <f t="shared" si="3"/>
        <v>1395</v>
      </c>
      <c r="AJ16" s="83">
        <f t="shared" si="4"/>
        <v>1200</v>
      </c>
      <c r="AK16" s="38" t="str">
        <f>VLOOKUP(V16,Sheet2!E:E,1,0)</f>
        <v>003310080040000-331008004</v>
      </c>
    </row>
    <row r="17" s="40" customFormat="1" ht="25" customHeight="1" spans="1:37">
      <c r="A17" s="55"/>
      <c r="B17" s="59"/>
      <c r="C17" s="57" t="s">
        <v>74</v>
      </c>
      <c r="D17" s="58"/>
      <c r="E17" s="58"/>
      <c r="F17" s="58"/>
      <c r="G17" s="55"/>
      <c r="H17" s="58"/>
      <c r="I17" s="64"/>
      <c r="J17" s="64"/>
      <c r="K17" s="65"/>
      <c r="L17" s="65"/>
      <c r="M17" s="65"/>
      <c r="N17" s="71">
        <v>1550</v>
      </c>
      <c r="O17" s="71">
        <v>1395</v>
      </c>
      <c r="P17" s="71">
        <v>1200</v>
      </c>
      <c r="Q17" s="55"/>
      <c r="R17" s="55"/>
      <c r="S17" s="55"/>
      <c r="T17" s="65"/>
      <c r="U17" s="58"/>
      <c r="V17" s="16" t="s">
        <v>79</v>
      </c>
      <c r="W17" s="17">
        <v>33100800402</v>
      </c>
      <c r="X17" s="16" t="s">
        <v>80</v>
      </c>
      <c r="Y17" s="16"/>
      <c r="Z17" s="16"/>
      <c r="AA17" s="16" t="s">
        <v>35</v>
      </c>
      <c r="AB17" s="16" t="s">
        <v>38</v>
      </c>
      <c r="AC17" s="26">
        <v>1625</v>
      </c>
      <c r="AD17" s="26">
        <v>1560</v>
      </c>
      <c r="AE17" s="26">
        <v>1326</v>
      </c>
      <c r="AF17" s="83">
        <f t="shared" si="0"/>
        <v>0</v>
      </c>
      <c r="AG17" s="83" t="str">
        <f t="shared" si="1"/>
        <v>腹壁疝修补费</v>
      </c>
      <c r="AH17" s="83">
        <f t="shared" si="2"/>
        <v>1550</v>
      </c>
      <c r="AI17" s="83">
        <f t="shared" si="3"/>
        <v>1395</v>
      </c>
      <c r="AJ17" s="83">
        <f t="shared" si="4"/>
        <v>1200</v>
      </c>
      <c r="AK17" s="38" t="str">
        <f>VLOOKUP(V17,Sheet2!E:E,1,0)</f>
        <v>003310080040000-33100800402</v>
      </c>
    </row>
    <row r="18" s="40" customFormat="1" ht="25" customHeight="1" spans="1:37">
      <c r="A18" s="55"/>
      <c r="B18" s="59"/>
      <c r="C18" s="57" t="s">
        <v>74</v>
      </c>
      <c r="D18" s="58"/>
      <c r="E18" s="58"/>
      <c r="F18" s="58"/>
      <c r="G18" s="55"/>
      <c r="H18" s="58"/>
      <c r="I18" s="64"/>
      <c r="J18" s="64"/>
      <c r="K18" s="65"/>
      <c r="L18" s="65"/>
      <c r="M18" s="65"/>
      <c r="N18" s="71">
        <v>1550</v>
      </c>
      <c r="O18" s="71">
        <v>1395</v>
      </c>
      <c r="P18" s="71">
        <v>1200</v>
      </c>
      <c r="Q18" s="55"/>
      <c r="R18" s="55"/>
      <c r="S18" s="55"/>
      <c r="T18" s="65"/>
      <c r="U18" s="58"/>
      <c r="V18" s="16" t="s">
        <v>81</v>
      </c>
      <c r="W18" s="17">
        <v>331008005</v>
      </c>
      <c r="X18" s="16" t="s">
        <v>82</v>
      </c>
      <c r="Y18" s="16" t="s">
        <v>83</v>
      </c>
      <c r="Z18" s="16"/>
      <c r="AA18" s="16" t="s">
        <v>35</v>
      </c>
      <c r="AB18" s="16" t="s">
        <v>38</v>
      </c>
      <c r="AC18" s="26">
        <v>1125</v>
      </c>
      <c r="AD18" s="26">
        <v>1080</v>
      </c>
      <c r="AE18" s="26">
        <v>918</v>
      </c>
      <c r="AF18" s="83">
        <f t="shared" si="0"/>
        <v>0</v>
      </c>
      <c r="AG18" s="83" t="str">
        <f t="shared" si="1"/>
        <v>腹壁疝修补费</v>
      </c>
      <c r="AH18" s="83">
        <f t="shared" si="2"/>
        <v>1550</v>
      </c>
      <c r="AI18" s="83">
        <f t="shared" si="3"/>
        <v>1395</v>
      </c>
      <c r="AJ18" s="83">
        <f t="shared" si="4"/>
        <v>1200</v>
      </c>
      <c r="AK18" s="38" t="str">
        <f>VLOOKUP(V18,Sheet2!E:E,1,0)</f>
        <v>003310080050000-331008005</v>
      </c>
    </row>
    <row r="19" s="40" customFormat="1" ht="25" customHeight="1" spans="1:37">
      <c r="A19" s="55"/>
      <c r="B19" s="59"/>
      <c r="C19" s="57" t="s">
        <v>74</v>
      </c>
      <c r="D19" s="58"/>
      <c r="E19" s="58"/>
      <c r="F19" s="58"/>
      <c r="G19" s="55"/>
      <c r="H19" s="58"/>
      <c r="I19" s="64"/>
      <c r="J19" s="64"/>
      <c r="K19" s="65"/>
      <c r="L19" s="65"/>
      <c r="M19" s="65"/>
      <c r="N19" s="71">
        <v>1550</v>
      </c>
      <c r="O19" s="71">
        <v>1395</v>
      </c>
      <c r="P19" s="71">
        <v>1200</v>
      </c>
      <c r="Q19" s="55"/>
      <c r="R19" s="55"/>
      <c r="S19" s="55"/>
      <c r="T19" s="65"/>
      <c r="U19" s="58"/>
      <c r="V19" s="16" t="s">
        <v>84</v>
      </c>
      <c r="W19" s="17">
        <v>33100800502</v>
      </c>
      <c r="X19" s="16" t="s">
        <v>85</v>
      </c>
      <c r="Y19" s="16"/>
      <c r="Z19" s="16"/>
      <c r="AA19" s="16" t="s">
        <v>35</v>
      </c>
      <c r="AB19" s="16" t="s">
        <v>38</v>
      </c>
      <c r="AC19" s="26">
        <v>1750</v>
      </c>
      <c r="AD19" s="26">
        <v>1680</v>
      </c>
      <c r="AE19" s="26">
        <v>1428</v>
      </c>
      <c r="AF19" s="83">
        <f t="shared" si="0"/>
        <v>0</v>
      </c>
      <c r="AG19" s="83" t="str">
        <f t="shared" si="1"/>
        <v>腹壁疝修补费</v>
      </c>
      <c r="AH19" s="83">
        <f t="shared" si="2"/>
        <v>1550</v>
      </c>
      <c r="AI19" s="83">
        <f t="shared" si="3"/>
        <v>1395</v>
      </c>
      <c r="AJ19" s="83">
        <f t="shared" si="4"/>
        <v>1200</v>
      </c>
      <c r="AK19" s="38" t="str">
        <f>VLOOKUP(V19,Sheet2!E:E,1,0)</f>
        <v>003310080050000-33100800502</v>
      </c>
    </row>
    <row r="20" s="40" customFormat="1" ht="25" customHeight="1" spans="1:37">
      <c r="A20" s="55">
        <v>3</v>
      </c>
      <c r="B20" s="59" t="s">
        <v>94</v>
      </c>
      <c r="C20" s="57" t="s">
        <v>95</v>
      </c>
      <c r="D20" s="58" t="s">
        <v>96</v>
      </c>
      <c r="E20" s="58" t="s">
        <v>97</v>
      </c>
      <c r="F20" s="58"/>
      <c r="G20" s="55" t="s">
        <v>98</v>
      </c>
      <c r="H20" s="58" t="s">
        <v>36</v>
      </c>
      <c r="I20" s="64">
        <v>1600</v>
      </c>
      <c r="J20" s="64">
        <v>1440</v>
      </c>
      <c r="K20" s="65">
        <v>1498.57558875665</v>
      </c>
      <c r="L20" s="65">
        <v>1469.16326168058</v>
      </c>
      <c r="M20" s="65">
        <v>1188.86564472498</v>
      </c>
      <c r="N20" s="71">
        <v>1500</v>
      </c>
      <c r="O20" s="72">
        <v>1430</v>
      </c>
      <c r="P20" s="72">
        <v>1200</v>
      </c>
      <c r="Q20" s="55" t="s">
        <v>37</v>
      </c>
      <c r="R20" s="55" t="s">
        <v>38</v>
      </c>
      <c r="S20" s="55" t="s">
        <v>38</v>
      </c>
      <c r="T20" s="65" t="s">
        <v>39</v>
      </c>
      <c r="U20" s="58" t="s">
        <v>99</v>
      </c>
      <c r="V20" s="16" t="s">
        <v>100</v>
      </c>
      <c r="W20" s="17">
        <v>331008001</v>
      </c>
      <c r="X20" s="16" t="s">
        <v>101</v>
      </c>
      <c r="Y20" s="16" t="s">
        <v>102</v>
      </c>
      <c r="Z20" s="16"/>
      <c r="AA20" s="16" t="s">
        <v>98</v>
      </c>
      <c r="AB20" s="16" t="s">
        <v>38</v>
      </c>
      <c r="AC20" s="26">
        <v>1000</v>
      </c>
      <c r="AD20" s="26">
        <v>960</v>
      </c>
      <c r="AE20" s="26">
        <v>816</v>
      </c>
      <c r="AF20" s="83">
        <f>IFERROR(FIND("-儿童（加收）",C20,1),0)</f>
        <v>0</v>
      </c>
      <c r="AG20" s="83" t="str">
        <f>SUBSTITUTE(C20,"-儿童（加收）","")</f>
        <v>腹股沟疝修补费</v>
      </c>
      <c r="AH20" s="83">
        <f>IF(AF20&gt;0,_xlfn.MAXIFS(N:N,C:C,SUBSTITUTE(C20,"-儿童（加收）","")),0)+N20</f>
        <v>1500</v>
      </c>
      <c r="AI20" s="83">
        <f>IF(AF20&gt;0,_xlfn.MAXIFS(O:O,C:C,SUBSTITUTE(C20,"-儿童（加收）","")),0)+O20</f>
        <v>1430</v>
      </c>
      <c r="AJ20" s="83">
        <f>IF(AF20&gt;0,_xlfn.MAXIFS(P:P,C:C,SUBSTITUTE(C20,"-儿童（加收）","")),0)+P20</f>
        <v>1200</v>
      </c>
      <c r="AK20" s="38" t="str">
        <f>VLOOKUP(V20,Sheet2!E:E,1,0)</f>
        <v>003310080010000-331008001</v>
      </c>
    </row>
    <row r="21" s="40" customFormat="1" ht="25" customHeight="1" spans="1:37">
      <c r="A21" s="55"/>
      <c r="B21" s="59"/>
      <c r="C21" s="57" t="s">
        <v>95</v>
      </c>
      <c r="D21" s="58"/>
      <c r="E21" s="58"/>
      <c r="F21" s="58"/>
      <c r="G21" s="55"/>
      <c r="H21" s="58"/>
      <c r="I21" s="64"/>
      <c r="J21" s="64"/>
      <c r="K21" s="65"/>
      <c r="L21" s="65"/>
      <c r="M21" s="65"/>
      <c r="N21" s="71">
        <v>1500</v>
      </c>
      <c r="O21" s="72">
        <v>1430</v>
      </c>
      <c r="P21" s="72">
        <v>1200</v>
      </c>
      <c r="Q21" s="55"/>
      <c r="R21" s="55"/>
      <c r="S21" s="55"/>
      <c r="T21" s="65"/>
      <c r="U21" s="58"/>
      <c r="V21" s="16" t="s">
        <v>103</v>
      </c>
      <c r="W21" s="17">
        <v>33100800102</v>
      </c>
      <c r="X21" s="16" t="s">
        <v>104</v>
      </c>
      <c r="Y21" s="16"/>
      <c r="Z21" s="16"/>
      <c r="AA21" s="16" t="s">
        <v>98</v>
      </c>
      <c r="AB21" s="16" t="s">
        <v>38</v>
      </c>
      <c r="AC21" s="26">
        <v>1625</v>
      </c>
      <c r="AD21" s="26">
        <v>1560</v>
      </c>
      <c r="AE21" s="26">
        <v>1326</v>
      </c>
      <c r="AF21" s="83">
        <f>IFERROR(FIND("-儿童（加收）",C21,1),0)</f>
        <v>0</v>
      </c>
      <c r="AG21" s="83" t="str">
        <f>SUBSTITUTE(C21,"-儿童（加收）","")</f>
        <v>腹股沟疝修补费</v>
      </c>
      <c r="AH21" s="83">
        <f>IF(AF21&gt;0,_xlfn.MAXIFS(N:N,C:C,SUBSTITUTE(C21,"-儿童（加收）","")),0)+N21</f>
        <v>1500</v>
      </c>
      <c r="AI21" s="83">
        <f>IF(AF21&gt;0,_xlfn.MAXIFS(O:O,C:C,SUBSTITUTE(C21,"-儿童（加收）","")),0)+O21</f>
        <v>1430</v>
      </c>
      <c r="AJ21" s="83">
        <f>IF(AF21&gt;0,_xlfn.MAXIFS(P:P,C:C,SUBSTITUTE(C21,"-儿童（加收）","")),0)+P21</f>
        <v>1200</v>
      </c>
      <c r="AK21" s="38" t="str">
        <f>VLOOKUP(V21,Sheet2!E:E,1,0)</f>
        <v>003310080010001-33100800102</v>
      </c>
    </row>
    <row r="22" s="40" customFormat="1" ht="25" customHeight="1" spans="1:37">
      <c r="A22" s="55"/>
      <c r="B22" s="59"/>
      <c r="C22" s="57" t="s">
        <v>95</v>
      </c>
      <c r="D22" s="58"/>
      <c r="E22" s="58"/>
      <c r="F22" s="58"/>
      <c r="G22" s="55"/>
      <c r="H22" s="58"/>
      <c r="I22" s="64"/>
      <c r="J22" s="64"/>
      <c r="K22" s="65"/>
      <c r="L22" s="65"/>
      <c r="M22" s="65"/>
      <c r="N22" s="71">
        <v>1500</v>
      </c>
      <c r="O22" s="72">
        <v>1430</v>
      </c>
      <c r="P22" s="72">
        <v>1200</v>
      </c>
      <c r="Q22" s="55"/>
      <c r="R22" s="55"/>
      <c r="S22" s="55"/>
      <c r="T22" s="65"/>
      <c r="U22" s="58"/>
      <c r="V22" s="13" t="s">
        <v>105</v>
      </c>
      <c r="W22" s="81">
        <v>331008003</v>
      </c>
      <c r="X22" s="13" t="s">
        <v>106</v>
      </c>
      <c r="Y22" s="13"/>
      <c r="Z22" s="13" t="s">
        <v>107</v>
      </c>
      <c r="AA22" s="13" t="s">
        <v>98</v>
      </c>
      <c r="AB22" s="13" t="s">
        <v>38</v>
      </c>
      <c r="AC22" s="26">
        <v>1125</v>
      </c>
      <c r="AD22" s="26">
        <v>1080</v>
      </c>
      <c r="AE22" s="26">
        <v>918</v>
      </c>
      <c r="AF22" s="83">
        <f>IFERROR(FIND("-儿童（加收）",C22,1),0)</f>
        <v>0</v>
      </c>
      <c r="AG22" s="83" t="str">
        <f>SUBSTITUTE(C22,"-儿童（加收）","")</f>
        <v>腹股沟疝修补费</v>
      </c>
      <c r="AH22" s="83">
        <f>IF(AF22&gt;0,_xlfn.MAXIFS(N:N,C:C,SUBSTITUTE(C22,"-儿童（加收）","")),0)+N22</f>
        <v>1500</v>
      </c>
      <c r="AI22" s="83">
        <f>IF(AF22&gt;0,_xlfn.MAXIFS(O:O,C:C,SUBSTITUTE(C22,"-儿童（加收）","")),0)+O22</f>
        <v>1430</v>
      </c>
      <c r="AJ22" s="83">
        <f>IF(AF22&gt;0,_xlfn.MAXIFS(P:P,C:C,SUBSTITUTE(C22,"-儿童（加收）","")),0)+P22</f>
        <v>1200</v>
      </c>
      <c r="AK22" s="38" t="str">
        <f>VLOOKUP(V22,Sheet2!E:E,1,0)</f>
        <v>003310080030000-331008003</v>
      </c>
    </row>
    <row r="23" s="40" customFormat="1" ht="25" customHeight="1" spans="1:37">
      <c r="A23" s="55"/>
      <c r="B23" s="59"/>
      <c r="C23" s="57" t="s">
        <v>95</v>
      </c>
      <c r="D23" s="58"/>
      <c r="E23" s="58"/>
      <c r="F23" s="58"/>
      <c r="G23" s="55"/>
      <c r="H23" s="58"/>
      <c r="I23" s="64"/>
      <c r="J23" s="64"/>
      <c r="K23" s="65"/>
      <c r="L23" s="65"/>
      <c r="M23" s="65"/>
      <c r="N23" s="71">
        <v>1500</v>
      </c>
      <c r="O23" s="72">
        <v>1430</v>
      </c>
      <c r="P23" s="72">
        <v>1200</v>
      </c>
      <c r="Q23" s="55"/>
      <c r="R23" s="55"/>
      <c r="S23" s="55"/>
      <c r="T23" s="65"/>
      <c r="U23" s="58"/>
      <c r="V23" s="13" t="s">
        <v>108</v>
      </c>
      <c r="W23" s="81">
        <v>33100800302</v>
      </c>
      <c r="X23" s="13" t="s">
        <v>109</v>
      </c>
      <c r="Y23" s="13"/>
      <c r="Z23" s="13"/>
      <c r="AA23" s="13" t="s">
        <v>98</v>
      </c>
      <c r="AB23" s="13" t="s">
        <v>38</v>
      </c>
      <c r="AC23" s="26">
        <v>1750</v>
      </c>
      <c r="AD23" s="26">
        <v>1680</v>
      </c>
      <c r="AE23" s="26">
        <v>1428</v>
      </c>
      <c r="AF23" s="83">
        <f>IFERROR(FIND("-儿童（加收）",C23,1),0)</f>
        <v>0</v>
      </c>
      <c r="AG23" s="83" t="str">
        <f>SUBSTITUTE(C23,"-儿童（加收）","")</f>
        <v>腹股沟疝修补费</v>
      </c>
      <c r="AH23" s="83">
        <f>IF(AF23&gt;0,_xlfn.MAXIFS(N:N,C:C,SUBSTITUTE(C23,"-儿童（加收）","")),0)+N23</f>
        <v>1500</v>
      </c>
      <c r="AI23" s="83">
        <f>IF(AF23&gt;0,_xlfn.MAXIFS(O:O,C:C,SUBSTITUTE(C23,"-儿童（加收）","")),0)+O23</f>
        <v>1430</v>
      </c>
      <c r="AJ23" s="83">
        <f>IF(AF23&gt;0,_xlfn.MAXIFS(P:P,C:C,SUBSTITUTE(C23,"-儿童（加收）","")),0)+P23</f>
        <v>1200</v>
      </c>
      <c r="AK23" s="38" t="str">
        <f>VLOOKUP(V23,Sheet2!E:E,1,0)</f>
        <v>003310080030000-33100800302</v>
      </c>
    </row>
    <row r="24" s="41" customFormat="1" ht="24" customHeight="1" spans="1:37">
      <c r="A24" s="55" t="s">
        <v>57</v>
      </c>
      <c r="B24" s="59" t="s">
        <v>110</v>
      </c>
      <c r="C24" s="57" t="s">
        <v>111</v>
      </c>
      <c r="D24" s="58" t="s">
        <v>38</v>
      </c>
      <c r="E24" s="58" t="s">
        <v>38</v>
      </c>
      <c r="F24" s="58"/>
      <c r="G24" s="55" t="s">
        <v>98</v>
      </c>
      <c r="H24" s="58" t="s">
        <v>38</v>
      </c>
      <c r="I24" s="64">
        <v>480</v>
      </c>
      <c r="J24" s="64">
        <v>432</v>
      </c>
      <c r="K24" s="67">
        <v>407.288828337875</v>
      </c>
      <c r="L24" s="67">
        <v>357.010676156584</v>
      </c>
      <c r="M24" s="67">
        <v>341</v>
      </c>
      <c r="N24" s="71">
        <v>450</v>
      </c>
      <c r="O24" s="71">
        <v>430</v>
      </c>
      <c r="P24" s="71">
        <v>360</v>
      </c>
      <c r="Q24" s="55" t="s">
        <v>37</v>
      </c>
      <c r="R24" s="55" t="s">
        <v>38</v>
      </c>
      <c r="S24" s="55" t="s">
        <v>38</v>
      </c>
      <c r="T24" s="67"/>
      <c r="U24" s="58" t="s">
        <v>60</v>
      </c>
      <c r="V24" s="16" t="s">
        <v>112</v>
      </c>
      <c r="W24" s="17">
        <v>33100800101</v>
      </c>
      <c r="X24" s="16" t="s">
        <v>113</v>
      </c>
      <c r="Y24" s="16"/>
      <c r="Z24" s="16"/>
      <c r="AA24" s="16" t="s">
        <v>98</v>
      </c>
      <c r="AB24" s="16" t="s">
        <v>38</v>
      </c>
      <c r="AC24" s="26">
        <v>1300</v>
      </c>
      <c r="AD24" s="26">
        <v>1250</v>
      </c>
      <c r="AE24" s="26">
        <v>1065</v>
      </c>
      <c r="AF24" s="83">
        <f>IFERROR(FIND("-儿童（加收）",C24,1),0)</f>
        <v>8</v>
      </c>
      <c r="AG24" s="83" t="str">
        <f>SUBSTITUTE(C24,"-儿童（加收）","")</f>
        <v>腹股沟疝修补费</v>
      </c>
      <c r="AH24" s="83">
        <f>IF(AF24&gt;0,_xlfn.MAXIFS(N:N,C:C,SUBSTITUTE(C24,"-儿童（加收）","")),0)+N24</f>
        <v>1950</v>
      </c>
      <c r="AI24" s="83">
        <f>IF(AF24&gt;0,_xlfn.MAXIFS(O:O,C:C,SUBSTITUTE(C24,"-儿童（加收）","")),0)+O24</f>
        <v>1860</v>
      </c>
      <c r="AJ24" s="83">
        <f>IF(AF24&gt;0,_xlfn.MAXIFS(P:P,C:C,SUBSTITUTE(C24,"-儿童（加收）","")),0)+P24</f>
        <v>1560</v>
      </c>
      <c r="AK24" s="38" t="str">
        <f>VLOOKUP(V24,Sheet2!E:E,1,0)</f>
        <v>003310080010000-33100800101</v>
      </c>
    </row>
    <row r="25" s="41" customFormat="1" ht="24" customHeight="1" spans="1:37">
      <c r="A25" s="55"/>
      <c r="B25" s="59"/>
      <c r="C25" s="57" t="s">
        <v>111</v>
      </c>
      <c r="D25" s="58"/>
      <c r="E25" s="58"/>
      <c r="F25" s="58"/>
      <c r="G25" s="55"/>
      <c r="H25" s="58"/>
      <c r="I25" s="64"/>
      <c r="J25" s="64"/>
      <c r="K25" s="67"/>
      <c r="L25" s="67"/>
      <c r="M25" s="67"/>
      <c r="N25" s="71">
        <v>450</v>
      </c>
      <c r="O25" s="71">
        <v>430</v>
      </c>
      <c r="P25" s="71">
        <v>360</v>
      </c>
      <c r="Q25" s="55"/>
      <c r="R25" s="55"/>
      <c r="S25" s="55"/>
      <c r="T25" s="67"/>
      <c r="U25" s="58"/>
      <c r="V25" s="16" t="s">
        <v>114</v>
      </c>
      <c r="W25" s="17">
        <v>33100800103</v>
      </c>
      <c r="X25" s="16" t="s">
        <v>115</v>
      </c>
      <c r="Y25" s="16"/>
      <c r="Z25" s="16"/>
      <c r="AA25" s="16" t="s">
        <v>98</v>
      </c>
      <c r="AB25" s="16" t="s">
        <v>38</v>
      </c>
      <c r="AC25" s="26">
        <v>1925</v>
      </c>
      <c r="AD25" s="26">
        <v>1850</v>
      </c>
      <c r="AE25" s="26">
        <v>1575</v>
      </c>
      <c r="AF25" s="83">
        <f>IFERROR(FIND("-儿童（加收）",C25,1),0)</f>
        <v>8</v>
      </c>
      <c r="AG25" s="83" t="str">
        <f>SUBSTITUTE(C25,"-儿童（加收）","")</f>
        <v>腹股沟疝修补费</v>
      </c>
      <c r="AH25" s="83">
        <f>IF(AF25&gt;0,_xlfn.MAXIFS(N:N,C:C,SUBSTITUTE(C25,"-儿童（加收）","")),0)+N25</f>
        <v>1950</v>
      </c>
      <c r="AI25" s="83">
        <f>IF(AF25&gt;0,_xlfn.MAXIFS(O:O,C:C,SUBSTITUTE(C25,"-儿童（加收）","")),0)+O25</f>
        <v>1860</v>
      </c>
      <c r="AJ25" s="83">
        <f>IF(AF25&gt;0,_xlfn.MAXIFS(P:P,C:C,SUBSTITUTE(C25,"-儿童（加收）","")),0)+P25</f>
        <v>1560</v>
      </c>
      <c r="AK25" s="38" t="str">
        <f>VLOOKUP(V25,Sheet2!E:E,1,0)</f>
        <v>003310080010001-33100800103</v>
      </c>
    </row>
    <row r="26" s="41" customFormat="1" ht="24" customHeight="1" spans="1:37">
      <c r="A26" s="55"/>
      <c r="B26" s="59"/>
      <c r="C26" s="57" t="s">
        <v>111</v>
      </c>
      <c r="D26" s="58"/>
      <c r="E26" s="58"/>
      <c r="F26" s="58"/>
      <c r="G26" s="55"/>
      <c r="H26" s="58"/>
      <c r="I26" s="64"/>
      <c r="J26" s="64"/>
      <c r="K26" s="67"/>
      <c r="L26" s="67"/>
      <c r="M26" s="67"/>
      <c r="N26" s="71">
        <v>450</v>
      </c>
      <c r="O26" s="71">
        <v>430</v>
      </c>
      <c r="P26" s="71">
        <v>360</v>
      </c>
      <c r="Q26" s="55"/>
      <c r="R26" s="55"/>
      <c r="S26" s="55"/>
      <c r="T26" s="67"/>
      <c r="U26" s="58"/>
      <c r="V26" s="16" t="s">
        <v>116</v>
      </c>
      <c r="W26" s="17">
        <v>33100800301</v>
      </c>
      <c r="X26" s="16" t="s">
        <v>117</v>
      </c>
      <c r="Y26" s="16"/>
      <c r="Z26" s="16"/>
      <c r="AA26" s="16" t="s">
        <v>98</v>
      </c>
      <c r="AB26" s="16" t="s">
        <v>38</v>
      </c>
      <c r="AC26" s="26">
        <v>1465</v>
      </c>
      <c r="AD26" s="26">
        <v>1405</v>
      </c>
      <c r="AE26" s="26">
        <v>1195</v>
      </c>
      <c r="AF26" s="83">
        <f>IFERROR(FIND("-儿童（加收）",C26,1),0)</f>
        <v>8</v>
      </c>
      <c r="AG26" s="83" t="str">
        <f>SUBSTITUTE(C26,"-儿童（加收）","")</f>
        <v>腹股沟疝修补费</v>
      </c>
      <c r="AH26" s="83">
        <f>IF(AF26&gt;0,_xlfn.MAXIFS(N:N,C:C,SUBSTITUTE(C26,"-儿童（加收）","")),0)+N26</f>
        <v>1950</v>
      </c>
      <c r="AI26" s="83">
        <f>IF(AF26&gt;0,_xlfn.MAXIFS(O:O,C:C,SUBSTITUTE(C26,"-儿童（加收）","")),0)+O26</f>
        <v>1860</v>
      </c>
      <c r="AJ26" s="83">
        <f>IF(AF26&gt;0,_xlfn.MAXIFS(P:P,C:C,SUBSTITUTE(C26,"-儿童（加收）","")),0)+P26</f>
        <v>1560</v>
      </c>
      <c r="AK26" s="38" t="str">
        <f>VLOOKUP(V26,Sheet2!E:E,1,0)</f>
        <v>003310080030000-33100800301</v>
      </c>
    </row>
    <row r="27" s="42" customFormat="1" ht="24" customHeight="1" spans="1:37">
      <c r="A27" s="55"/>
      <c r="B27" s="59"/>
      <c r="C27" s="57" t="s">
        <v>111</v>
      </c>
      <c r="D27" s="58"/>
      <c r="E27" s="58"/>
      <c r="F27" s="58"/>
      <c r="G27" s="55"/>
      <c r="H27" s="58"/>
      <c r="I27" s="64"/>
      <c r="J27" s="64"/>
      <c r="K27" s="67"/>
      <c r="L27" s="67"/>
      <c r="M27" s="67"/>
      <c r="N27" s="71">
        <v>450</v>
      </c>
      <c r="O27" s="71">
        <v>430</v>
      </c>
      <c r="P27" s="71">
        <v>360</v>
      </c>
      <c r="Q27" s="55"/>
      <c r="R27" s="55"/>
      <c r="S27" s="55"/>
      <c r="T27" s="67"/>
      <c r="U27" s="58"/>
      <c r="V27" s="16" t="s">
        <v>118</v>
      </c>
      <c r="W27" s="17">
        <v>33100800303</v>
      </c>
      <c r="X27" s="16" t="s">
        <v>119</v>
      </c>
      <c r="Y27" s="16"/>
      <c r="Z27" s="16"/>
      <c r="AA27" s="16" t="s">
        <v>98</v>
      </c>
      <c r="AB27" s="16" t="s">
        <v>38</v>
      </c>
      <c r="AC27" s="26">
        <v>2090</v>
      </c>
      <c r="AD27" s="26">
        <v>2005</v>
      </c>
      <c r="AE27" s="26">
        <v>1705</v>
      </c>
      <c r="AF27" s="83">
        <f>IFERROR(FIND("-儿童（加收）",C27,1),0)</f>
        <v>8</v>
      </c>
      <c r="AG27" s="83" t="str">
        <f>SUBSTITUTE(C27,"-儿童（加收）","")</f>
        <v>腹股沟疝修补费</v>
      </c>
      <c r="AH27" s="83">
        <f>IF(AF27&gt;0,_xlfn.MAXIFS(N:N,C:C,SUBSTITUTE(C27,"-儿童（加收）","")),0)+N27</f>
        <v>1950</v>
      </c>
      <c r="AI27" s="83">
        <f>IF(AF27&gt;0,_xlfn.MAXIFS(O:O,C:C,SUBSTITUTE(C27,"-儿童（加收）","")),0)+O27</f>
        <v>1860</v>
      </c>
      <c r="AJ27" s="83">
        <f>IF(AF27&gt;0,_xlfn.MAXIFS(P:P,C:C,SUBSTITUTE(C27,"-儿童（加收）","")),0)+P27</f>
        <v>1560</v>
      </c>
      <c r="AK27" s="38" t="str">
        <f>VLOOKUP(V27,Sheet2!E:E,1,0)</f>
        <v>003310080030000-33100800303</v>
      </c>
    </row>
    <row r="28" s="40" customFormat="1" ht="78" customHeight="1" spans="1:37">
      <c r="A28" s="55">
        <v>4</v>
      </c>
      <c r="B28" s="59" t="s">
        <v>120</v>
      </c>
      <c r="C28" s="55" t="s">
        <v>121</v>
      </c>
      <c r="D28" s="58" t="s">
        <v>122</v>
      </c>
      <c r="E28" s="58" t="s">
        <v>76</v>
      </c>
      <c r="F28" s="58"/>
      <c r="G28" s="55" t="s">
        <v>35</v>
      </c>
      <c r="H28" s="58" t="s">
        <v>36</v>
      </c>
      <c r="I28" s="64">
        <v>1900</v>
      </c>
      <c r="J28" s="64">
        <v>1710</v>
      </c>
      <c r="K28" s="66">
        <v>1000</v>
      </c>
      <c r="L28" s="66">
        <v>960</v>
      </c>
      <c r="M28" s="66">
        <v>816</v>
      </c>
      <c r="N28" s="73">
        <v>1700</v>
      </c>
      <c r="O28" s="73">
        <v>1530</v>
      </c>
      <c r="P28" s="73">
        <v>1300</v>
      </c>
      <c r="Q28" s="55" t="s">
        <v>37</v>
      </c>
      <c r="R28" s="55" t="s">
        <v>38</v>
      </c>
      <c r="S28" s="55" t="s">
        <v>38</v>
      </c>
      <c r="T28" s="66" t="s">
        <v>123</v>
      </c>
      <c r="U28" s="58" t="s">
        <v>124</v>
      </c>
      <c r="V28" s="16" t="s">
        <v>125</v>
      </c>
      <c r="W28" s="17">
        <v>331008006</v>
      </c>
      <c r="X28" s="16" t="s">
        <v>126</v>
      </c>
      <c r="Y28" s="16"/>
      <c r="Z28" s="16"/>
      <c r="AA28" s="16" t="s">
        <v>35</v>
      </c>
      <c r="AB28" s="16" t="s">
        <v>38</v>
      </c>
      <c r="AC28" s="26">
        <v>1000</v>
      </c>
      <c r="AD28" s="26">
        <v>960</v>
      </c>
      <c r="AE28" s="26">
        <v>816</v>
      </c>
      <c r="AF28" s="83">
        <f>IFERROR(FIND("-儿童（加收）",C28,1),0)</f>
        <v>0</v>
      </c>
      <c r="AG28" s="83" t="str">
        <f>SUBSTITUTE(C28,"-儿童（加收）","")</f>
        <v>盆底疝修补费</v>
      </c>
      <c r="AH28" s="83">
        <f>IF(AF28&gt;0,_xlfn.MAXIFS(N:N,C:C,SUBSTITUTE(C28,"-儿童（加收）","")),0)+N28</f>
        <v>1700</v>
      </c>
      <c r="AI28" s="83">
        <f>IF(AF28&gt;0,_xlfn.MAXIFS(O:O,C:C,SUBSTITUTE(C28,"-儿童（加收）","")),0)+O28</f>
        <v>1530</v>
      </c>
      <c r="AJ28" s="83">
        <f>IF(AF28&gt;0,_xlfn.MAXIFS(P:P,C:C,SUBSTITUTE(C28,"-儿童（加收）","")),0)+P28</f>
        <v>1300</v>
      </c>
      <c r="AK28" s="38" t="str">
        <f>VLOOKUP(V28,Sheet2!E:E,1,0)</f>
        <v>003310080060000-331008006</v>
      </c>
    </row>
    <row r="29" s="43" customFormat="1" ht="28" customHeight="1" spans="1:37">
      <c r="A29" s="55" t="s">
        <v>57</v>
      </c>
      <c r="B29" s="59" t="s">
        <v>127</v>
      </c>
      <c r="C29" s="55" t="s">
        <v>128</v>
      </c>
      <c r="D29" s="58" t="s">
        <v>38</v>
      </c>
      <c r="E29" s="58" t="s">
        <v>38</v>
      </c>
      <c r="F29" s="58"/>
      <c r="G29" s="55" t="s">
        <v>35</v>
      </c>
      <c r="H29" s="58" t="s">
        <v>38</v>
      </c>
      <c r="I29" s="64">
        <v>570</v>
      </c>
      <c r="J29" s="64">
        <v>513</v>
      </c>
      <c r="K29" s="66"/>
      <c r="L29" s="66"/>
      <c r="M29" s="66"/>
      <c r="N29" s="74">
        <v>510</v>
      </c>
      <c r="O29" s="74">
        <v>459</v>
      </c>
      <c r="P29" s="74">
        <v>390</v>
      </c>
      <c r="Q29" s="55" t="s">
        <v>37</v>
      </c>
      <c r="R29" s="55" t="s">
        <v>38</v>
      </c>
      <c r="S29" s="55" t="s">
        <v>38</v>
      </c>
      <c r="T29" s="66"/>
      <c r="U29" s="58"/>
      <c r="V29" s="16" t="s">
        <v>129</v>
      </c>
      <c r="W29" s="17">
        <v>33100800601</v>
      </c>
      <c r="X29" s="16" t="s">
        <v>130</v>
      </c>
      <c r="Y29" s="16"/>
      <c r="Z29" s="16"/>
      <c r="AA29" s="16" t="s">
        <v>35</v>
      </c>
      <c r="AB29" s="16" t="s">
        <v>38</v>
      </c>
      <c r="AC29" s="26">
        <v>1300</v>
      </c>
      <c r="AD29" s="26">
        <v>1250</v>
      </c>
      <c r="AE29" s="26">
        <v>1065</v>
      </c>
      <c r="AF29" s="83">
        <f>IFERROR(FIND("-儿童（加收）",C29,1),0)</f>
        <v>7</v>
      </c>
      <c r="AG29" s="83" t="str">
        <f>SUBSTITUTE(C29,"-儿童（加收）","")</f>
        <v>盆底疝修补费</v>
      </c>
      <c r="AH29" s="83">
        <f>IF(AF29&gt;0,_xlfn.MAXIFS(N:N,C:C,SUBSTITUTE(C29,"-儿童（加收）","")),0)+N29</f>
        <v>2210</v>
      </c>
      <c r="AI29" s="83">
        <f>IF(AF29&gt;0,_xlfn.MAXIFS(O:O,C:C,SUBSTITUTE(C29,"-儿童（加收）","")),0)+O29</f>
        <v>1989</v>
      </c>
      <c r="AJ29" s="83">
        <f>IF(AF29&gt;0,_xlfn.MAXIFS(P:P,C:C,SUBSTITUTE(C29,"-儿童（加收）","")),0)+P29</f>
        <v>1690</v>
      </c>
      <c r="AK29" s="38" t="str">
        <f>VLOOKUP(V29,Sheet2!E:E,1,0)</f>
        <v>003310080060000-33100800601</v>
      </c>
    </row>
    <row r="30" s="41" customFormat="1" ht="30" customHeight="1" spans="1:37">
      <c r="A30" s="55" t="s">
        <v>57</v>
      </c>
      <c r="B30" s="59" t="s">
        <v>136</v>
      </c>
      <c r="C30" s="57" t="s">
        <v>137</v>
      </c>
      <c r="D30" s="58" t="s">
        <v>38</v>
      </c>
      <c r="E30" s="58" t="s">
        <v>38</v>
      </c>
      <c r="F30" s="58"/>
      <c r="G30" s="55" t="s">
        <v>35</v>
      </c>
      <c r="H30" s="58" t="s">
        <v>38</v>
      </c>
      <c r="I30" s="64">
        <v>570</v>
      </c>
      <c r="J30" s="64">
        <v>513</v>
      </c>
      <c r="K30" s="66"/>
      <c r="L30" s="66"/>
      <c r="M30" s="66"/>
      <c r="N30" s="71">
        <v>510</v>
      </c>
      <c r="O30" s="71">
        <v>459</v>
      </c>
      <c r="P30" s="71">
        <v>390</v>
      </c>
      <c r="Q30" s="55" t="s">
        <v>37</v>
      </c>
      <c r="R30" s="55" t="s">
        <v>38</v>
      </c>
      <c r="S30" s="55" t="s">
        <v>38</v>
      </c>
      <c r="T30" s="66"/>
      <c r="U30" s="58" t="s">
        <v>60</v>
      </c>
      <c r="V30" s="16" t="s">
        <v>90</v>
      </c>
      <c r="W30" s="17">
        <v>33100800501</v>
      </c>
      <c r="X30" s="16" t="s">
        <v>91</v>
      </c>
      <c r="Y30" s="16"/>
      <c r="Z30" s="16"/>
      <c r="AA30" s="16" t="s">
        <v>35</v>
      </c>
      <c r="AB30" s="16" t="s">
        <v>38</v>
      </c>
      <c r="AC30" s="26">
        <v>1465</v>
      </c>
      <c r="AD30" s="26">
        <v>1405</v>
      </c>
      <c r="AE30" s="26">
        <v>1195</v>
      </c>
      <c r="AF30" s="83">
        <f>IFERROR(FIND("-儿童（加收）",C30,1),0)</f>
        <v>8</v>
      </c>
      <c r="AG30" s="83" t="str">
        <f>SUBSTITUTE(C30,"-儿童（加收）","")</f>
        <v>造口旁疝修补费</v>
      </c>
      <c r="AH30" s="83">
        <f>IF(AF30&gt;0,_xlfn.MAXIFS(N:N,C:C,SUBSTITUTE(C30,"-儿童（加收）","")),0)+N30</f>
        <v>510</v>
      </c>
      <c r="AI30" s="83">
        <f>IF(AF30&gt;0,_xlfn.MAXIFS(O:O,C:C,SUBSTITUTE(C30,"-儿童（加收）","")),0)+O30</f>
        <v>459</v>
      </c>
      <c r="AJ30" s="83">
        <f>IF(AF30&gt;0,_xlfn.MAXIFS(P:P,C:C,SUBSTITUTE(C30,"-儿童（加收）","")),0)+P30</f>
        <v>390</v>
      </c>
      <c r="AK30" s="38" t="str">
        <f>VLOOKUP(V30,Sheet2!E:E,1,0)</f>
        <v>003310080050000-33100800501</v>
      </c>
    </row>
    <row r="31" s="42" customFormat="1" ht="30" customHeight="1" spans="1:37">
      <c r="A31" s="55"/>
      <c r="B31" s="59"/>
      <c r="C31" s="57" t="s">
        <v>137</v>
      </c>
      <c r="D31" s="58"/>
      <c r="E31" s="58"/>
      <c r="F31" s="58"/>
      <c r="G31" s="55"/>
      <c r="H31" s="58"/>
      <c r="I31" s="64"/>
      <c r="J31" s="64"/>
      <c r="K31" s="66"/>
      <c r="L31" s="66"/>
      <c r="M31" s="66"/>
      <c r="N31" s="71">
        <v>510</v>
      </c>
      <c r="O31" s="71">
        <v>459</v>
      </c>
      <c r="P31" s="71">
        <v>390</v>
      </c>
      <c r="Q31" s="55"/>
      <c r="R31" s="55"/>
      <c r="S31" s="55"/>
      <c r="T31" s="66"/>
      <c r="U31" s="58"/>
      <c r="V31" s="16" t="s">
        <v>92</v>
      </c>
      <c r="W31" s="17">
        <v>33100800503</v>
      </c>
      <c r="X31" s="16" t="s">
        <v>93</v>
      </c>
      <c r="Y31" s="16"/>
      <c r="Z31" s="16"/>
      <c r="AA31" s="16" t="s">
        <v>35</v>
      </c>
      <c r="AB31" s="16" t="s">
        <v>38</v>
      </c>
      <c r="AC31" s="26">
        <v>2090</v>
      </c>
      <c r="AD31" s="26">
        <v>2005</v>
      </c>
      <c r="AE31" s="26">
        <v>1705</v>
      </c>
      <c r="AF31" s="83">
        <f>IFERROR(FIND("-儿童（加收）",C31,1),0)</f>
        <v>8</v>
      </c>
      <c r="AG31" s="83" t="str">
        <f>SUBSTITUTE(C31,"-儿童（加收）","")</f>
        <v>造口旁疝修补费</v>
      </c>
      <c r="AH31" s="83">
        <f>IF(AF31&gt;0,_xlfn.MAXIFS(N:N,C:C,SUBSTITUTE(C31,"-儿童（加收）","")),0)+N31</f>
        <v>510</v>
      </c>
      <c r="AI31" s="83">
        <f>IF(AF31&gt;0,_xlfn.MAXIFS(O:O,C:C,SUBSTITUTE(C31,"-儿童（加收）","")),0)+O31</f>
        <v>459</v>
      </c>
      <c r="AJ31" s="83">
        <f>IF(AF31&gt;0,_xlfn.MAXIFS(P:P,C:C,SUBSTITUTE(C31,"-儿童（加收）","")),0)+P31</f>
        <v>390</v>
      </c>
      <c r="AK31" s="38" t="str">
        <f>VLOOKUP(V31,Sheet2!E:E,1,0)</f>
        <v>003310080050000-33100800503</v>
      </c>
    </row>
    <row r="32" s="40" customFormat="1" ht="87" customHeight="1" spans="1:37">
      <c r="A32" s="55">
        <v>7</v>
      </c>
      <c r="B32" s="59" t="s">
        <v>146</v>
      </c>
      <c r="C32" s="55" t="s">
        <v>147</v>
      </c>
      <c r="D32" s="58" t="s">
        <v>148</v>
      </c>
      <c r="E32" s="58" t="s">
        <v>76</v>
      </c>
      <c r="F32" s="58"/>
      <c r="G32" s="55" t="s">
        <v>35</v>
      </c>
      <c r="H32" s="58" t="s">
        <v>149</v>
      </c>
      <c r="I32" s="64">
        <v>2400</v>
      </c>
      <c r="J32" s="64">
        <v>2160</v>
      </c>
      <c r="K32" s="66">
        <v>1125</v>
      </c>
      <c r="L32" s="66">
        <v>1080</v>
      </c>
      <c r="M32" s="66">
        <v>918</v>
      </c>
      <c r="N32" s="73">
        <v>2150</v>
      </c>
      <c r="O32" s="73">
        <v>1930</v>
      </c>
      <c r="P32" s="73">
        <v>1640</v>
      </c>
      <c r="Q32" s="55" t="s">
        <v>37</v>
      </c>
      <c r="R32" s="55" t="s">
        <v>38</v>
      </c>
      <c r="S32" s="55" t="s">
        <v>38</v>
      </c>
      <c r="T32" s="66" t="s">
        <v>123</v>
      </c>
      <c r="U32" s="58" t="s">
        <v>150</v>
      </c>
      <c r="V32" s="16" t="s">
        <v>151</v>
      </c>
      <c r="W32" s="17">
        <v>331008002</v>
      </c>
      <c r="X32" s="16" t="s">
        <v>152</v>
      </c>
      <c r="Y32" s="16" t="s">
        <v>153</v>
      </c>
      <c r="Z32" s="16"/>
      <c r="AA32" s="16" t="s">
        <v>98</v>
      </c>
      <c r="AB32" s="16" t="s">
        <v>38</v>
      </c>
      <c r="AC32" s="26">
        <v>1125</v>
      </c>
      <c r="AD32" s="26">
        <v>1080</v>
      </c>
      <c r="AE32" s="26">
        <v>918</v>
      </c>
      <c r="AF32" s="83">
        <f>IFERROR(FIND("-儿童（加收）",C32,1),0)</f>
        <v>0</v>
      </c>
      <c r="AG32" s="83" t="str">
        <f>SUBSTITUTE(C32,"-儿童（加收）","")</f>
        <v>复杂疝修补费</v>
      </c>
      <c r="AH32" s="83">
        <f>IF(AF32&gt;0,_xlfn.MAXIFS(N:N,C:C,SUBSTITUTE(C32,"-儿童（加收）","")),0)+N32</f>
        <v>2150</v>
      </c>
      <c r="AI32" s="83">
        <f>IF(AF32&gt;0,_xlfn.MAXIFS(O:O,C:C,SUBSTITUTE(C32,"-儿童（加收）","")),0)+O32</f>
        <v>1930</v>
      </c>
      <c r="AJ32" s="83">
        <f>IF(AF32&gt;0,_xlfn.MAXIFS(P:P,C:C,SUBSTITUTE(C32,"-儿童（加收）","")),0)+P32</f>
        <v>1640</v>
      </c>
      <c r="AK32" s="38" t="str">
        <f>VLOOKUP(V32,Sheet2!E:E,1,0)</f>
        <v>003310080020000-331008002</v>
      </c>
    </row>
    <row r="33" s="41" customFormat="1" ht="33" customHeight="1" spans="1:37">
      <c r="A33" s="55" t="s">
        <v>57</v>
      </c>
      <c r="B33" s="59" t="s">
        <v>154</v>
      </c>
      <c r="C33" s="55" t="s">
        <v>155</v>
      </c>
      <c r="D33" s="58" t="s">
        <v>38</v>
      </c>
      <c r="E33" s="58" t="s">
        <v>38</v>
      </c>
      <c r="F33" s="58"/>
      <c r="G33" s="55" t="s">
        <v>35</v>
      </c>
      <c r="H33" s="58" t="s">
        <v>38</v>
      </c>
      <c r="I33" s="64">
        <v>720</v>
      </c>
      <c r="J33" s="64">
        <v>648</v>
      </c>
      <c r="K33" s="68">
        <v>-685</v>
      </c>
      <c r="L33" s="68">
        <v>-525</v>
      </c>
      <c r="M33" s="68">
        <v>-445</v>
      </c>
      <c r="N33" s="73">
        <v>645</v>
      </c>
      <c r="O33" s="73">
        <v>580</v>
      </c>
      <c r="P33" s="73">
        <v>495</v>
      </c>
      <c r="Q33" s="55" t="s">
        <v>37</v>
      </c>
      <c r="R33" s="55" t="s">
        <v>38</v>
      </c>
      <c r="S33" s="55" t="s">
        <v>38</v>
      </c>
      <c r="T33" s="68"/>
      <c r="U33" s="58" t="s">
        <v>60</v>
      </c>
      <c r="V33" s="16" t="s">
        <v>156</v>
      </c>
      <c r="W33" s="17">
        <v>33100800201</v>
      </c>
      <c r="X33" s="16" t="s">
        <v>157</v>
      </c>
      <c r="Y33" s="16"/>
      <c r="Z33" s="16"/>
      <c r="AA33" s="16" t="s">
        <v>98</v>
      </c>
      <c r="AB33" s="16" t="s">
        <v>38</v>
      </c>
      <c r="AC33" s="26">
        <v>1465</v>
      </c>
      <c r="AD33" s="26">
        <v>1405</v>
      </c>
      <c r="AE33" s="26">
        <v>1195</v>
      </c>
      <c r="AF33" s="83">
        <f t="shared" ref="AF33:AF64" si="5">IFERROR(FIND("-儿童（加收）",C33,1),0)</f>
        <v>7</v>
      </c>
      <c r="AG33" s="83" t="str">
        <f t="shared" ref="AG33:AG64" si="6">SUBSTITUTE(C33,"-儿童（加收）","")</f>
        <v>复杂疝修补费</v>
      </c>
      <c r="AH33" s="83">
        <f t="shared" ref="AH33:AH64" si="7">IF(AF33&gt;0,_xlfn.MAXIFS(N:N,C:C,SUBSTITUTE(C33,"-儿童（加收）","")),0)+N33</f>
        <v>2795</v>
      </c>
      <c r="AI33" s="83">
        <f t="shared" ref="AI33:AI64" si="8">IF(AF33&gt;0,_xlfn.MAXIFS(O:O,C:C,SUBSTITUTE(C33,"-儿童（加收）","")),0)+O33</f>
        <v>2510</v>
      </c>
      <c r="AJ33" s="83">
        <f t="shared" ref="AJ33:AJ64" si="9">IF(AF33&gt;0,_xlfn.MAXIFS(P:P,C:C,SUBSTITUTE(C33,"-儿童（加收）","")),0)+P33</f>
        <v>2135</v>
      </c>
      <c r="AK33" s="38" t="str">
        <f>VLOOKUP(V33,Sheet2!E:E,1,0)</f>
        <v>003310080020000-33100800201</v>
      </c>
    </row>
    <row r="34" s="40" customFormat="1" ht="22" customHeight="1" spans="1:37">
      <c r="A34" s="55">
        <v>8</v>
      </c>
      <c r="B34" s="59" t="s">
        <v>158</v>
      </c>
      <c r="C34" s="57" t="s">
        <v>159</v>
      </c>
      <c r="D34" s="58" t="s">
        <v>160</v>
      </c>
      <c r="E34" s="58" t="s">
        <v>161</v>
      </c>
      <c r="F34" s="58"/>
      <c r="G34" s="55" t="s">
        <v>35</v>
      </c>
      <c r="H34" s="58" t="s">
        <v>38</v>
      </c>
      <c r="I34" s="64">
        <v>1700</v>
      </c>
      <c r="J34" s="64">
        <v>1530</v>
      </c>
      <c r="K34" s="65">
        <v>1760.86956521739</v>
      </c>
      <c r="L34" s="66">
        <v>1500</v>
      </c>
      <c r="M34" s="65"/>
      <c r="N34" s="75">
        <v>1650</v>
      </c>
      <c r="O34" s="71">
        <v>1500</v>
      </c>
      <c r="P34" s="71">
        <v>1280</v>
      </c>
      <c r="Q34" s="55" t="s">
        <v>37</v>
      </c>
      <c r="R34" s="55" t="s">
        <v>38</v>
      </c>
      <c r="S34" s="55" t="s">
        <v>38</v>
      </c>
      <c r="T34" s="65" t="s">
        <v>162</v>
      </c>
      <c r="U34" s="58" t="s">
        <v>163</v>
      </c>
      <c r="V34" s="16" t="s">
        <v>164</v>
      </c>
      <c r="W34" s="17">
        <v>331008007</v>
      </c>
      <c r="X34" s="16" t="s">
        <v>165</v>
      </c>
      <c r="Y34" s="16" t="s">
        <v>166</v>
      </c>
      <c r="Z34" s="16"/>
      <c r="AA34" s="16" t="s">
        <v>35</v>
      </c>
      <c r="AB34" s="16" t="s">
        <v>38</v>
      </c>
      <c r="AC34" s="26">
        <v>750</v>
      </c>
      <c r="AD34" s="26">
        <v>720</v>
      </c>
      <c r="AE34" s="26">
        <v>612</v>
      </c>
      <c r="AF34" s="83">
        <f t="shared" si="5"/>
        <v>0</v>
      </c>
      <c r="AG34" s="83" t="str">
        <f t="shared" si="6"/>
        <v>腹壁缺损修复费</v>
      </c>
      <c r="AH34" s="83">
        <f t="shared" si="7"/>
        <v>1650</v>
      </c>
      <c r="AI34" s="83">
        <f t="shared" si="8"/>
        <v>1500</v>
      </c>
      <c r="AJ34" s="83">
        <f t="shared" si="9"/>
        <v>1280</v>
      </c>
      <c r="AK34" s="38" t="str">
        <f>VLOOKUP(V34,Sheet2!E:E,1,0)</f>
        <v>003310080070000-331008007</v>
      </c>
    </row>
    <row r="35" s="40" customFormat="1" ht="22" customHeight="1" spans="1:37">
      <c r="A35" s="55"/>
      <c r="B35" s="59"/>
      <c r="C35" s="57" t="s">
        <v>159</v>
      </c>
      <c r="D35" s="58"/>
      <c r="E35" s="58"/>
      <c r="F35" s="58"/>
      <c r="G35" s="55"/>
      <c r="H35" s="58"/>
      <c r="I35" s="64"/>
      <c r="J35" s="64"/>
      <c r="K35" s="65"/>
      <c r="L35" s="66"/>
      <c r="M35" s="65"/>
      <c r="N35" s="75">
        <v>1650</v>
      </c>
      <c r="O35" s="71">
        <v>1500</v>
      </c>
      <c r="P35" s="71">
        <v>1280</v>
      </c>
      <c r="Q35" s="55"/>
      <c r="R35" s="55"/>
      <c r="S35" s="55"/>
      <c r="T35" s="65"/>
      <c r="U35" s="58"/>
      <c r="V35" s="16" t="s">
        <v>167</v>
      </c>
      <c r="W35" s="17">
        <v>331008020</v>
      </c>
      <c r="X35" s="16" t="s">
        <v>168</v>
      </c>
      <c r="Y35" s="16" t="s">
        <v>169</v>
      </c>
      <c r="Z35" s="16"/>
      <c r="AA35" s="16" t="s">
        <v>35</v>
      </c>
      <c r="AB35" s="16" t="s">
        <v>38</v>
      </c>
      <c r="AC35" s="26">
        <v>1375</v>
      </c>
      <c r="AD35" s="26">
        <v>1320</v>
      </c>
      <c r="AE35" s="26">
        <v>1122</v>
      </c>
      <c r="AF35" s="83">
        <f t="shared" si="5"/>
        <v>0</v>
      </c>
      <c r="AG35" s="83" t="str">
        <f t="shared" si="6"/>
        <v>腹壁缺损修复费</v>
      </c>
      <c r="AH35" s="83">
        <f t="shared" si="7"/>
        <v>1650</v>
      </c>
      <c r="AI35" s="83">
        <f t="shared" si="8"/>
        <v>1500</v>
      </c>
      <c r="AJ35" s="83">
        <f t="shared" si="9"/>
        <v>1280</v>
      </c>
      <c r="AK35" s="38" t="str">
        <f>VLOOKUP(V35,Sheet2!E:E,1,0)</f>
        <v>003310080200000-331008020</v>
      </c>
    </row>
    <row r="36" s="40" customFormat="1" ht="22" customHeight="1" spans="1:37">
      <c r="A36" s="55"/>
      <c r="B36" s="59"/>
      <c r="C36" s="57" t="s">
        <v>159</v>
      </c>
      <c r="D36" s="58"/>
      <c r="E36" s="58"/>
      <c r="F36" s="58"/>
      <c r="G36" s="55"/>
      <c r="H36" s="58"/>
      <c r="I36" s="64"/>
      <c r="J36" s="64"/>
      <c r="K36" s="65"/>
      <c r="L36" s="66"/>
      <c r="M36" s="65"/>
      <c r="N36" s="75">
        <v>1650</v>
      </c>
      <c r="O36" s="71">
        <v>1500</v>
      </c>
      <c r="P36" s="71">
        <v>1280</v>
      </c>
      <c r="Q36" s="55"/>
      <c r="R36" s="55"/>
      <c r="S36" s="55"/>
      <c r="T36" s="65"/>
      <c r="U36" s="58"/>
      <c r="V36" s="16" t="s">
        <v>170</v>
      </c>
      <c r="W36" s="17">
        <v>33100802002</v>
      </c>
      <c r="X36" s="16" t="s">
        <v>171</v>
      </c>
      <c r="Y36" s="16"/>
      <c r="Z36" s="16"/>
      <c r="AA36" s="16" t="s">
        <v>35</v>
      </c>
      <c r="AB36" s="16" t="s">
        <v>38</v>
      </c>
      <c r="AC36" s="26">
        <v>2000</v>
      </c>
      <c r="AD36" s="26">
        <v>1920</v>
      </c>
      <c r="AE36" s="26">
        <v>1632</v>
      </c>
      <c r="AF36" s="83">
        <f t="shared" si="5"/>
        <v>0</v>
      </c>
      <c r="AG36" s="83" t="str">
        <f t="shared" si="6"/>
        <v>腹壁缺损修复费</v>
      </c>
      <c r="AH36" s="83">
        <f t="shared" si="7"/>
        <v>1650</v>
      </c>
      <c r="AI36" s="83">
        <f t="shared" si="8"/>
        <v>1500</v>
      </c>
      <c r="AJ36" s="83">
        <f t="shared" si="9"/>
        <v>1280</v>
      </c>
      <c r="AK36" s="38" t="str">
        <f>VLOOKUP(V36,Sheet2!E:E,1,0)</f>
        <v>003310080200000-33100802002</v>
      </c>
    </row>
    <row r="37" s="40" customFormat="1" ht="22" customHeight="1" spans="1:37">
      <c r="A37" s="55"/>
      <c r="B37" s="59"/>
      <c r="C37" s="57" t="s">
        <v>159</v>
      </c>
      <c r="D37" s="58"/>
      <c r="E37" s="58"/>
      <c r="F37" s="58"/>
      <c r="G37" s="55"/>
      <c r="H37" s="58"/>
      <c r="I37" s="64"/>
      <c r="J37" s="64"/>
      <c r="K37" s="65"/>
      <c r="L37" s="66"/>
      <c r="M37" s="65"/>
      <c r="N37" s="75">
        <v>1650</v>
      </c>
      <c r="O37" s="71">
        <v>1500</v>
      </c>
      <c r="P37" s="71">
        <v>1280</v>
      </c>
      <c r="Q37" s="55"/>
      <c r="R37" s="55"/>
      <c r="S37" s="55"/>
      <c r="T37" s="65"/>
      <c r="U37" s="58"/>
      <c r="V37" s="16" t="s">
        <v>172</v>
      </c>
      <c r="W37" s="17">
        <v>331008021</v>
      </c>
      <c r="X37" s="16" t="s">
        <v>173</v>
      </c>
      <c r="Y37" s="16" t="s">
        <v>174</v>
      </c>
      <c r="Z37" s="16"/>
      <c r="AA37" s="16" t="s">
        <v>35</v>
      </c>
      <c r="AB37" s="16" t="s">
        <v>38</v>
      </c>
      <c r="AC37" s="26">
        <v>1375</v>
      </c>
      <c r="AD37" s="26">
        <v>1320</v>
      </c>
      <c r="AE37" s="26">
        <v>1122</v>
      </c>
      <c r="AF37" s="83">
        <f t="shared" si="5"/>
        <v>0</v>
      </c>
      <c r="AG37" s="83" t="str">
        <f t="shared" si="6"/>
        <v>腹壁缺损修复费</v>
      </c>
      <c r="AH37" s="83">
        <f t="shared" si="7"/>
        <v>1650</v>
      </c>
      <c r="AI37" s="83">
        <f t="shared" si="8"/>
        <v>1500</v>
      </c>
      <c r="AJ37" s="83">
        <f t="shared" si="9"/>
        <v>1280</v>
      </c>
      <c r="AK37" s="38" t="str">
        <f>VLOOKUP(V37,Sheet2!E:E,1,0)</f>
        <v>003310080210000-331008021</v>
      </c>
    </row>
    <row r="38" s="40" customFormat="1" ht="22" customHeight="1" spans="1:37">
      <c r="A38" s="55"/>
      <c r="B38" s="59"/>
      <c r="C38" s="57" t="s">
        <v>159</v>
      </c>
      <c r="D38" s="58"/>
      <c r="E38" s="58"/>
      <c r="F38" s="58"/>
      <c r="G38" s="55"/>
      <c r="H38" s="58"/>
      <c r="I38" s="64"/>
      <c r="J38" s="64"/>
      <c r="K38" s="65"/>
      <c r="L38" s="66"/>
      <c r="M38" s="65"/>
      <c r="N38" s="75">
        <v>1650</v>
      </c>
      <c r="O38" s="71">
        <v>1500</v>
      </c>
      <c r="P38" s="71">
        <v>1280</v>
      </c>
      <c r="Q38" s="55"/>
      <c r="R38" s="55"/>
      <c r="S38" s="55"/>
      <c r="T38" s="65"/>
      <c r="U38" s="58"/>
      <c r="V38" s="16" t="s">
        <v>175</v>
      </c>
      <c r="W38" s="17">
        <v>33100802102</v>
      </c>
      <c r="X38" s="16" t="s">
        <v>176</v>
      </c>
      <c r="Y38" s="16"/>
      <c r="Z38" s="16"/>
      <c r="AA38" s="16" t="s">
        <v>35</v>
      </c>
      <c r="AB38" s="16" t="s">
        <v>38</v>
      </c>
      <c r="AC38" s="26">
        <v>2000</v>
      </c>
      <c r="AD38" s="26">
        <v>1920</v>
      </c>
      <c r="AE38" s="26">
        <v>1632</v>
      </c>
      <c r="AF38" s="83">
        <f t="shared" si="5"/>
        <v>0</v>
      </c>
      <c r="AG38" s="83" t="str">
        <f t="shared" si="6"/>
        <v>腹壁缺损修复费</v>
      </c>
      <c r="AH38" s="83">
        <f t="shared" si="7"/>
        <v>1650</v>
      </c>
      <c r="AI38" s="83">
        <f t="shared" si="8"/>
        <v>1500</v>
      </c>
      <c r="AJ38" s="83">
        <f t="shared" si="9"/>
        <v>1280</v>
      </c>
      <c r="AK38" s="38" t="str">
        <f>VLOOKUP(V38,Sheet2!E:E,1,0)</f>
        <v>003310080210000-33100802102</v>
      </c>
    </row>
    <row r="39" s="40" customFormat="1" ht="22" customHeight="1" spans="1:37">
      <c r="A39" s="55"/>
      <c r="B39" s="59"/>
      <c r="C39" s="57" t="s">
        <v>159</v>
      </c>
      <c r="D39" s="58"/>
      <c r="E39" s="58"/>
      <c r="F39" s="58"/>
      <c r="G39" s="55"/>
      <c r="H39" s="58"/>
      <c r="I39" s="64"/>
      <c r="J39" s="64"/>
      <c r="K39" s="65"/>
      <c r="L39" s="66"/>
      <c r="M39" s="65"/>
      <c r="N39" s="75">
        <v>1650</v>
      </c>
      <c r="O39" s="71">
        <v>1500</v>
      </c>
      <c r="P39" s="71">
        <v>1280</v>
      </c>
      <c r="Q39" s="55"/>
      <c r="R39" s="55"/>
      <c r="S39" s="55"/>
      <c r="T39" s="65"/>
      <c r="U39" s="58"/>
      <c r="V39" s="16" t="s">
        <v>177</v>
      </c>
      <c r="W39" s="17">
        <v>331008022</v>
      </c>
      <c r="X39" s="16" t="s">
        <v>178</v>
      </c>
      <c r="Y39" s="16" t="s">
        <v>179</v>
      </c>
      <c r="Z39" s="16"/>
      <c r="AA39" s="16" t="s">
        <v>35</v>
      </c>
      <c r="AB39" s="16" t="s">
        <v>38</v>
      </c>
      <c r="AC39" s="26">
        <v>1500</v>
      </c>
      <c r="AD39" s="26">
        <v>1440</v>
      </c>
      <c r="AE39" s="26">
        <v>1224</v>
      </c>
      <c r="AF39" s="83">
        <f t="shared" si="5"/>
        <v>0</v>
      </c>
      <c r="AG39" s="83" t="str">
        <f t="shared" si="6"/>
        <v>腹壁缺损修复费</v>
      </c>
      <c r="AH39" s="83">
        <f t="shared" si="7"/>
        <v>1650</v>
      </c>
      <c r="AI39" s="83">
        <f t="shared" si="8"/>
        <v>1500</v>
      </c>
      <c r="AJ39" s="83">
        <f t="shared" si="9"/>
        <v>1280</v>
      </c>
      <c r="AK39" s="38" t="str">
        <f>VLOOKUP(V39,Sheet2!E:E,1,0)</f>
        <v>003310080220000-331008022</v>
      </c>
    </row>
    <row r="40" s="40" customFormat="1" ht="22" customHeight="1" spans="1:37">
      <c r="A40" s="55"/>
      <c r="B40" s="59"/>
      <c r="C40" s="57" t="s">
        <v>159</v>
      </c>
      <c r="D40" s="58"/>
      <c r="E40" s="58"/>
      <c r="F40" s="58"/>
      <c r="G40" s="55"/>
      <c r="H40" s="58"/>
      <c r="I40" s="64"/>
      <c r="J40" s="64"/>
      <c r="K40" s="65"/>
      <c r="L40" s="66"/>
      <c r="M40" s="65"/>
      <c r="N40" s="75">
        <v>1650</v>
      </c>
      <c r="O40" s="71">
        <v>1500</v>
      </c>
      <c r="P40" s="71">
        <v>1280</v>
      </c>
      <c r="Q40" s="55"/>
      <c r="R40" s="55"/>
      <c r="S40" s="55"/>
      <c r="T40" s="65"/>
      <c r="U40" s="58"/>
      <c r="V40" s="16" t="s">
        <v>180</v>
      </c>
      <c r="W40" s="17">
        <v>33100802202</v>
      </c>
      <c r="X40" s="16" t="s">
        <v>181</v>
      </c>
      <c r="Y40" s="16"/>
      <c r="Z40" s="16"/>
      <c r="AA40" s="16" t="s">
        <v>35</v>
      </c>
      <c r="AB40" s="16" t="s">
        <v>38</v>
      </c>
      <c r="AC40" s="26">
        <v>2125</v>
      </c>
      <c r="AD40" s="26">
        <v>2040</v>
      </c>
      <c r="AE40" s="26">
        <v>1734</v>
      </c>
      <c r="AF40" s="83">
        <f t="shared" si="5"/>
        <v>0</v>
      </c>
      <c r="AG40" s="83" t="str">
        <f t="shared" si="6"/>
        <v>腹壁缺损修复费</v>
      </c>
      <c r="AH40" s="83">
        <f t="shared" si="7"/>
        <v>1650</v>
      </c>
      <c r="AI40" s="83">
        <f t="shared" si="8"/>
        <v>1500</v>
      </c>
      <c r="AJ40" s="83">
        <f t="shared" si="9"/>
        <v>1280</v>
      </c>
      <c r="AK40" s="38" t="str">
        <f>VLOOKUP(V40,Sheet2!E:E,1,0)</f>
        <v>003310080220000-33100802202</v>
      </c>
    </row>
    <row r="41" s="43" customFormat="1" ht="22" customHeight="1" spans="1:37">
      <c r="A41" s="55" t="s">
        <v>57</v>
      </c>
      <c r="B41" s="59" t="s">
        <v>182</v>
      </c>
      <c r="C41" s="57" t="s">
        <v>183</v>
      </c>
      <c r="D41" s="58" t="s">
        <v>38</v>
      </c>
      <c r="E41" s="58" t="s">
        <v>38</v>
      </c>
      <c r="F41" s="58"/>
      <c r="G41" s="55" t="s">
        <v>35</v>
      </c>
      <c r="H41" s="58" t="s">
        <v>38</v>
      </c>
      <c r="I41" s="64">
        <v>510</v>
      </c>
      <c r="J41" s="64">
        <v>459</v>
      </c>
      <c r="K41" s="65"/>
      <c r="L41" s="66"/>
      <c r="M41" s="66"/>
      <c r="N41" s="71">
        <v>495</v>
      </c>
      <c r="O41" s="71">
        <v>450</v>
      </c>
      <c r="P41" s="71">
        <v>385</v>
      </c>
      <c r="Q41" s="55" t="s">
        <v>37</v>
      </c>
      <c r="R41" s="55" t="s">
        <v>38</v>
      </c>
      <c r="S41" s="55" t="s">
        <v>38</v>
      </c>
      <c r="T41" s="65"/>
      <c r="U41" s="58" t="s">
        <v>60</v>
      </c>
      <c r="V41" s="16" t="s">
        <v>184</v>
      </c>
      <c r="W41" s="17">
        <v>33100800701</v>
      </c>
      <c r="X41" s="16" t="s">
        <v>185</v>
      </c>
      <c r="Y41" s="16"/>
      <c r="Z41" s="16"/>
      <c r="AA41" s="16" t="s">
        <v>35</v>
      </c>
      <c r="AB41" s="16" t="s">
        <v>38</v>
      </c>
      <c r="AC41" s="26">
        <v>975</v>
      </c>
      <c r="AD41" s="26">
        <v>935</v>
      </c>
      <c r="AE41" s="26">
        <v>795</v>
      </c>
      <c r="AF41" s="83">
        <f t="shared" si="5"/>
        <v>8</v>
      </c>
      <c r="AG41" s="83" t="str">
        <f t="shared" si="6"/>
        <v>腹壁缺损修复费</v>
      </c>
      <c r="AH41" s="83">
        <f t="shared" si="7"/>
        <v>2145</v>
      </c>
      <c r="AI41" s="83">
        <f t="shared" si="8"/>
        <v>1950</v>
      </c>
      <c r="AJ41" s="83">
        <f t="shared" si="9"/>
        <v>1665</v>
      </c>
      <c r="AK41" s="38" t="str">
        <f>VLOOKUP(V41,Sheet2!E:E,1,0)</f>
        <v>003310080070000-33100800701</v>
      </c>
    </row>
    <row r="42" s="40" customFormat="1" ht="22" customHeight="1" spans="1:37">
      <c r="A42" s="55"/>
      <c r="B42" s="59"/>
      <c r="C42" s="57" t="s">
        <v>183</v>
      </c>
      <c r="D42" s="58"/>
      <c r="E42" s="58"/>
      <c r="F42" s="58"/>
      <c r="G42" s="55"/>
      <c r="H42" s="58"/>
      <c r="I42" s="64"/>
      <c r="J42" s="64"/>
      <c r="K42" s="65"/>
      <c r="L42" s="66"/>
      <c r="M42" s="66"/>
      <c r="N42" s="71">
        <v>495</v>
      </c>
      <c r="O42" s="71">
        <v>450</v>
      </c>
      <c r="P42" s="71">
        <v>385</v>
      </c>
      <c r="Q42" s="55"/>
      <c r="R42" s="55"/>
      <c r="S42" s="55"/>
      <c r="T42" s="65"/>
      <c r="U42" s="58"/>
      <c r="V42" s="16" t="s">
        <v>186</v>
      </c>
      <c r="W42" s="17">
        <v>33100802001</v>
      </c>
      <c r="X42" s="16" t="s">
        <v>187</v>
      </c>
      <c r="Y42" s="16"/>
      <c r="Z42" s="16"/>
      <c r="AA42" s="16" t="s">
        <v>35</v>
      </c>
      <c r="AB42" s="16" t="s">
        <v>38</v>
      </c>
      <c r="AC42" s="26">
        <v>1790</v>
      </c>
      <c r="AD42" s="26">
        <v>1715</v>
      </c>
      <c r="AE42" s="26">
        <v>1460</v>
      </c>
      <c r="AF42" s="83">
        <f t="shared" si="5"/>
        <v>8</v>
      </c>
      <c r="AG42" s="83" t="str">
        <f t="shared" si="6"/>
        <v>腹壁缺损修复费</v>
      </c>
      <c r="AH42" s="83">
        <f t="shared" si="7"/>
        <v>2145</v>
      </c>
      <c r="AI42" s="83">
        <f t="shared" si="8"/>
        <v>1950</v>
      </c>
      <c r="AJ42" s="83">
        <f t="shared" si="9"/>
        <v>1665</v>
      </c>
      <c r="AK42" s="38" t="str">
        <f>VLOOKUP(V42,Sheet2!E:E,1,0)</f>
        <v>003310080200000-33100802001</v>
      </c>
    </row>
    <row r="43" s="40" customFormat="1" ht="22" customHeight="1" spans="1:37">
      <c r="A43" s="55"/>
      <c r="B43" s="59"/>
      <c r="C43" s="57" t="s">
        <v>183</v>
      </c>
      <c r="D43" s="58"/>
      <c r="E43" s="58"/>
      <c r="F43" s="58"/>
      <c r="G43" s="55"/>
      <c r="H43" s="58"/>
      <c r="I43" s="64"/>
      <c r="J43" s="64"/>
      <c r="K43" s="65"/>
      <c r="L43" s="66"/>
      <c r="M43" s="66"/>
      <c r="N43" s="71">
        <v>495</v>
      </c>
      <c r="O43" s="71">
        <v>450</v>
      </c>
      <c r="P43" s="71">
        <v>385</v>
      </c>
      <c r="Q43" s="55"/>
      <c r="R43" s="55"/>
      <c r="S43" s="55"/>
      <c r="T43" s="65"/>
      <c r="U43" s="58"/>
      <c r="V43" s="16" t="s">
        <v>188</v>
      </c>
      <c r="W43" s="17">
        <v>33100802003</v>
      </c>
      <c r="X43" s="16" t="s">
        <v>189</v>
      </c>
      <c r="Y43" s="16"/>
      <c r="Z43" s="16"/>
      <c r="AA43" s="16" t="s">
        <v>35</v>
      </c>
      <c r="AB43" s="16" t="s">
        <v>38</v>
      </c>
      <c r="AC43" s="26">
        <v>2415</v>
      </c>
      <c r="AD43" s="26">
        <v>2315</v>
      </c>
      <c r="AE43" s="26">
        <v>1970</v>
      </c>
      <c r="AF43" s="83">
        <f t="shared" si="5"/>
        <v>8</v>
      </c>
      <c r="AG43" s="83" t="str">
        <f t="shared" si="6"/>
        <v>腹壁缺损修复费</v>
      </c>
      <c r="AH43" s="83">
        <f t="shared" si="7"/>
        <v>2145</v>
      </c>
      <c r="AI43" s="83">
        <f t="shared" si="8"/>
        <v>1950</v>
      </c>
      <c r="AJ43" s="83">
        <f t="shared" si="9"/>
        <v>1665</v>
      </c>
      <c r="AK43" s="38" t="str">
        <f>VLOOKUP(V43,Sheet2!E:E,1,0)</f>
        <v>003310080200000-33100802003</v>
      </c>
    </row>
    <row r="44" s="40" customFormat="1" ht="22" customHeight="1" spans="1:37">
      <c r="A44" s="55"/>
      <c r="B44" s="59"/>
      <c r="C44" s="57" t="s">
        <v>183</v>
      </c>
      <c r="D44" s="58"/>
      <c r="E44" s="58"/>
      <c r="F44" s="58"/>
      <c r="G44" s="55"/>
      <c r="H44" s="58"/>
      <c r="I44" s="64"/>
      <c r="J44" s="64"/>
      <c r="K44" s="65"/>
      <c r="L44" s="66"/>
      <c r="M44" s="66"/>
      <c r="N44" s="71">
        <v>495</v>
      </c>
      <c r="O44" s="71">
        <v>450</v>
      </c>
      <c r="P44" s="71">
        <v>385</v>
      </c>
      <c r="Q44" s="55"/>
      <c r="R44" s="55"/>
      <c r="S44" s="55"/>
      <c r="T44" s="65"/>
      <c r="U44" s="58"/>
      <c r="V44" s="16" t="s">
        <v>190</v>
      </c>
      <c r="W44" s="17">
        <v>33100802101</v>
      </c>
      <c r="X44" s="16" t="s">
        <v>191</v>
      </c>
      <c r="Y44" s="16"/>
      <c r="Z44" s="16"/>
      <c r="AA44" s="16" t="s">
        <v>35</v>
      </c>
      <c r="AB44" s="16" t="s">
        <v>38</v>
      </c>
      <c r="AC44" s="26">
        <v>1790</v>
      </c>
      <c r="AD44" s="26">
        <v>1715</v>
      </c>
      <c r="AE44" s="26">
        <v>1460</v>
      </c>
      <c r="AF44" s="83">
        <f t="shared" si="5"/>
        <v>8</v>
      </c>
      <c r="AG44" s="83" t="str">
        <f t="shared" si="6"/>
        <v>腹壁缺损修复费</v>
      </c>
      <c r="AH44" s="83">
        <f t="shared" si="7"/>
        <v>2145</v>
      </c>
      <c r="AI44" s="83">
        <f t="shared" si="8"/>
        <v>1950</v>
      </c>
      <c r="AJ44" s="83">
        <f t="shared" si="9"/>
        <v>1665</v>
      </c>
      <c r="AK44" s="38" t="str">
        <f>VLOOKUP(V44,Sheet2!E:E,1,0)</f>
        <v>003310080210000-33100802101</v>
      </c>
    </row>
    <row r="45" s="40" customFormat="1" ht="22" customHeight="1" spans="1:37">
      <c r="A45" s="55"/>
      <c r="B45" s="59"/>
      <c r="C45" s="57" t="s">
        <v>183</v>
      </c>
      <c r="D45" s="58"/>
      <c r="E45" s="58"/>
      <c r="F45" s="58"/>
      <c r="G45" s="55"/>
      <c r="H45" s="58"/>
      <c r="I45" s="64"/>
      <c r="J45" s="64"/>
      <c r="K45" s="65"/>
      <c r="L45" s="66"/>
      <c r="M45" s="66"/>
      <c r="N45" s="71">
        <v>495</v>
      </c>
      <c r="O45" s="71">
        <v>450</v>
      </c>
      <c r="P45" s="71">
        <v>385</v>
      </c>
      <c r="Q45" s="55"/>
      <c r="R45" s="55"/>
      <c r="S45" s="55"/>
      <c r="T45" s="65"/>
      <c r="U45" s="58"/>
      <c r="V45" s="16" t="s">
        <v>192</v>
      </c>
      <c r="W45" s="17">
        <v>33100802103</v>
      </c>
      <c r="X45" s="16" t="s">
        <v>193</v>
      </c>
      <c r="Y45" s="16"/>
      <c r="Z45" s="16"/>
      <c r="AA45" s="16" t="s">
        <v>35</v>
      </c>
      <c r="AB45" s="16" t="s">
        <v>38</v>
      </c>
      <c r="AC45" s="26">
        <v>2415</v>
      </c>
      <c r="AD45" s="26">
        <v>2315</v>
      </c>
      <c r="AE45" s="26">
        <v>1970</v>
      </c>
      <c r="AF45" s="83">
        <f t="shared" si="5"/>
        <v>8</v>
      </c>
      <c r="AG45" s="83" t="str">
        <f t="shared" si="6"/>
        <v>腹壁缺损修复费</v>
      </c>
      <c r="AH45" s="83">
        <f t="shared" si="7"/>
        <v>2145</v>
      </c>
      <c r="AI45" s="83">
        <f t="shared" si="8"/>
        <v>1950</v>
      </c>
      <c r="AJ45" s="83">
        <f t="shared" si="9"/>
        <v>1665</v>
      </c>
      <c r="AK45" s="38" t="str">
        <f>VLOOKUP(V45,Sheet2!E:E,1,0)</f>
        <v>003310080210000-33100802103</v>
      </c>
    </row>
    <row r="46" s="40" customFormat="1" ht="22" customHeight="1" spans="1:37">
      <c r="A46" s="55"/>
      <c r="B46" s="59"/>
      <c r="C46" s="57" t="s">
        <v>183</v>
      </c>
      <c r="D46" s="58"/>
      <c r="E46" s="58"/>
      <c r="F46" s="58"/>
      <c r="G46" s="55"/>
      <c r="H46" s="58"/>
      <c r="I46" s="64"/>
      <c r="J46" s="64"/>
      <c r="K46" s="65"/>
      <c r="L46" s="66"/>
      <c r="M46" s="66"/>
      <c r="N46" s="71">
        <v>495</v>
      </c>
      <c r="O46" s="71">
        <v>450</v>
      </c>
      <c r="P46" s="71">
        <v>385</v>
      </c>
      <c r="Q46" s="55"/>
      <c r="R46" s="55"/>
      <c r="S46" s="55"/>
      <c r="T46" s="65"/>
      <c r="U46" s="58"/>
      <c r="V46" s="16" t="s">
        <v>194</v>
      </c>
      <c r="W46" s="17">
        <v>33100802201</v>
      </c>
      <c r="X46" s="16" t="s">
        <v>195</v>
      </c>
      <c r="Y46" s="16"/>
      <c r="Z46" s="16"/>
      <c r="AA46" s="16" t="s">
        <v>35</v>
      </c>
      <c r="AB46" s="16" t="s">
        <v>38</v>
      </c>
      <c r="AC46" s="26">
        <v>1950</v>
      </c>
      <c r="AD46" s="26">
        <v>1870</v>
      </c>
      <c r="AE46" s="26">
        <v>1590</v>
      </c>
      <c r="AF46" s="83">
        <f t="shared" si="5"/>
        <v>8</v>
      </c>
      <c r="AG46" s="83" t="str">
        <f t="shared" si="6"/>
        <v>腹壁缺损修复费</v>
      </c>
      <c r="AH46" s="83">
        <f t="shared" si="7"/>
        <v>2145</v>
      </c>
      <c r="AI46" s="83">
        <f t="shared" si="8"/>
        <v>1950</v>
      </c>
      <c r="AJ46" s="83">
        <f t="shared" si="9"/>
        <v>1665</v>
      </c>
      <c r="AK46" s="38" t="str">
        <f>VLOOKUP(V46,Sheet2!E:E,1,0)</f>
        <v>003310080220000-33100802201</v>
      </c>
    </row>
    <row r="47" s="40" customFormat="1" ht="22" customHeight="1" spans="1:37">
      <c r="A47" s="55"/>
      <c r="B47" s="59"/>
      <c r="C47" s="57" t="s">
        <v>183</v>
      </c>
      <c r="D47" s="58"/>
      <c r="E47" s="58"/>
      <c r="F47" s="58"/>
      <c r="G47" s="55"/>
      <c r="H47" s="58"/>
      <c r="I47" s="64"/>
      <c r="J47" s="64"/>
      <c r="K47" s="65"/>
      <c r="L47" s="66"/>
      <c r="M47" s="66"/>
      <c r="N47" s="71">
        <v>495</v>
      </c>
      <c r="O47" s="71">
        <v>450</v>
      </c>
      <c r="P47" s="71">
        <v>385</v>
      </c>
      <c r="Q47" s="55"/>
      <c r="R47" s="55"/>
      <c r="S47" s="55"/>
      <c r="T47" s="65"/>
      <c r="U47" s="58"/>
      <c r="V47" s="16" t="s">
        <v>196</v>
      </c>
      <c r="W47" s="17">
        <v>33100802203</v>
      </c>
      <c r="X47" s="16" t="s">
        <v>197</v>
      </c>
      <c r="Y47" s="16"/>
      <c r="Z47" s="16"/>
      <c r="AA47" s="16" t="s">
        <v>35</v>
      </c>
      <c r="AB47" s="16" t="s">
        <v>38</v>
      </c>
      <c r="AC47" s="26">
        <v>2575</v>
      </c>
      <c r="AD47" s="26">
        <v>2470</v>
      </c>
      <c r="AE47" s="26">
        <v>2100</v>
      </c>
      <c r="AF47" s="83">
        <f t="shared" si="5"/>
        <v>8</v>
      </c>
      <c r="AG47" s="83" t="str">
        <f t="shared" si="6"/>
        <v>腹壁缺损修复费</v>
      </c>
      <c r="AH47" s="83">
        <f t="shared" si="7"/>
        <v>2145</v>
      </c>
      <c r="AI47" s="83">
        <f t="shared" si="8"/>
        <v>1950</v>
      </c>
      <c r="AJ47" s="83">
        <f t="shared" si="9"/>
        <v>1665</v>
      </c>
      <c r="AK47" s="38" t="str">
        <f>VLOOKUP(V47,Sheet2!E:E,1,0)</f>
        <v>003310080220000-33100802203</v>
      </c>
    </row>
    <row r="48" s="40" customFormat="1" ht="28" customHeight="1" spans="1:37">
      <c r="A48" s="55">
        <v>9</v>
      </c>
      <c r="B48" s="59" t="s">
        <v>198</v>
      </c>
      <c r="C48" s="57" t="s">
        <v>199</v>
      </c>
      <c r="D48" s="58" t="s">
        <v>200</v>
      </c>
      <c r="E48" s="58" t="s">
        <v>201</v>
      </c>
      <c r="F48" s="58"/>
      <c r="G48" s="55" t="s">
        <v>35</v>
      </c>
      <c r="H48" s="58" t="s">
        <v>38</v>
      </c>
      <c r="I48" s="64">
        <v>1100</v>
      </c>
      <c r="J48" s="64">
        <v>990</v>
      </c>
      <c r="K48" s="65">
        <v>997.309027777778</v>
      </c>
      <c r="L48" s="65">
        <v>913.217391304348</v>
      </c>
      <c r="M48" s="65">
        <v>773.630769230769</v>
      </c>
      <c r="N48" s="71">
        <v>1000</v>
      </c>
      <c r="O48" s="71">
        <v>915</v>
      </c>
      <c r="P48" s="75">
        <v>775</v>
      </c>
      <c r="Q48" s="55" t="s">
        <v>37</v>
      </c>
      <c r="R48" s="55" t="s">
        <v>38</v>
      </c>
      <c r="S48" s="55" t="s">
        <v>38</v>
      </c>
      <c r="T48" s="65" t="s">
        <v>39</v>
      </c>
      <c r="U48" s="58" t="s">
        <v>202</v>
      </c>
      <c r="V48" s="16" t="s">
        <v>203</v>
      </c>
      <c r="W48" s="17">
        <v>331008009</v>
      </c>
      <c r="X48" s="16" t="s">
        <v>204</v>
      </c>
      <c r="Y48" s="16" t="s">
        <v>205</v>
      </c>
      <c r="Z48" s="16"/>
      <c r="AA48" s="16" t="s">
        <v>35</v>
      </c>
      <c r="AB48" s="16" t="s">
        <v>38</v>
      </c>
      <c r="AC48" s="26">
        <v>1000</v>
      </c>
      <c r="AD48" s="26">
        <v>960</v>
      </c>
      <c r="AE48" s="26">
        <v>816</v>
      </c>
      <c r="AF48" s="83">
        <f t="shared" si="5"/>
        <v>0</v>
      </c>
      <c r="AG48" s="83" t="str">
        <f t="shared" si="6"/>
        <v>腹壁病变切除费</v>
      </c>
      <c r="AH48" s="83">
        <f t="shared" si="7"/>
        <v>1000</v>
      </c>
      <c r="AI48" s="83">
        <f t="shared" si="8"/>
        <v>915</v>
      </c>
      <c r="AJ48" s="83">
        <f t="shared" si="9"/>
        <v>775</v>
      </c>
      <c r="AK48" s="38" t="str">
        <f>VLOOKUP(V48,Sheet2!E:E,1,0)</f>
        <v>003310080090000-331008009</v>
      </c>
    </row>
    <row r="49" s="40" customFormat="1" ht="28" customHeight="1" spans="1:37">
      <c r="A49" s="55"/>
      <c r="B49" s="59"/>
      <c r="C49" s="57" t="s">
        <v>199</v>
      </c>
      <c r="D49" s="58"/>
      <c r="E49" s="58"/>
      <c r="F49" s="58"/>
      <c r="G49" s="55"/>
      <c r="H49" s="58"/>
      <c r="I49" s="64"/>
      <c r="J49" s="64"/>
      <c r="K49" s="65"/>
      <c r="L49" s="65"/>
      <c r="M49" s="65"/>
      <c r="N49" s="71">
        <v>1000</v>
      </c>
      <c r="O49" s="71">
        <v>915</v>
      </c>
      <c r="P49" s="75">
        <v>775</v>
      </c>
      <c r="Q49" s="55"/>
      <c r="R49" s="55"/>
      <c r="S49" s="55"/>
      <c r="T49" s="65"/>
      <c r="U49" s="58"/>
      <c r="V49" s="16" t="s">
        <v>206</v>
      </c>
      <c r="W49" s="17">
        <v>331008010</v>
      </c>
      <c r="X49" s="16" t="s">
        <v>207</v>
      </c>
      <c r="Y49" s="16"/>
      <c r="Z49" s="16"/>
      <c r="AA49" s="16" t="s">
        <v>35</v>
      </c>
      <c r="AB49" s="16" t="s">
        <v>208</v>
      </c>
      <c r="AC49" s="26">
        <v>1000</v>
      </c>
      <c r="AD49" s="26">
        <v>960</v>
      </c>
      <c r="AE49" s="26">
        <v>816</v>
      </c>
      <c r="AF49" s="83">
        <f t="shared" si="5"/>
        <v>0</v>
      </c>
      <c r="AG49" s="83" t="str">
        <f t="shared" si="6"/>
        <v>腹壁病变切除费</v>
      </c>
      <c r="AH49" s="83">
        <f t="shared" si="7"/>
        <v>1000</v>
      </c>
      <c r="AI49" s="83">
        <f t="shared" si="8"/>
        <v>915</v>
      </c>
      <c r="AJ49" s="83">
        <f t="shared" si="9"/>
        <v>775</v>
      </c>
      <c r="AK49" s="38" t="str">
        <f>VLOOKUP(V49,Sheet2!E:E,1,0)</f>
        <v>003310080100000-331008010</v>
      </c>
    </row>
    <row r="50" s="40" customFormat="1" ht="28" customHeight="1" spans="1:37">
      <c r="A50" s="55"/>
      <c r="B50" s="59"/>
      <c r="C50" s="57" t="s">
        <v>199</v>
      </c>
      <c r="D50" s="58"/>
      <c r="E50" s="58"/>
      <c r="F50" s="58"/>
      <c r="G50" s="55"/>
      <c r="H50" s="58"/>
      <c r="I50" s="64"/>
      <c r="J50" s="64"/>
      <c r="K50" s="65"/>
      <c r="L50" s="65"/>
      <c r="M50" s="65"/>
      <c r="N50" s="71">
        <v>1000</v>
      </c>
      <c r="O50" s="71">
        <v>915</v>
      </c>
      <c r="P50" s="75">
        <v>775</v>
      </c>
      <c r="Q50" s="55"/>
      <c r="R50" s="55"/>
      <c r="S50" s="55"/>
      <c r="T50" s="65"/>
      <c r="U50" s="58"/>
      <c r="V50" s="16" t="s">
        <v>209</v>
      </c>
      <c r="W50" s="17">
        <v>33100801001</v>
      </c>
      <c r="X50" s="16" t="s">
        <v>210</v>
      </c>
      <c r="Y50" s="16"/>
      <c r="Z50" s="16"/>
      <c r="AA50" s="16" t="s">
        <v>35</v>
      </c>
      <c r="AB50" s="16" t="s">
        <v>211</v>
      </c>
      <c r="AC50" s="26">
        <v>1125</v>
      </c>
      <c r="AD50" s="26">
        <v>1080</v>
      </c>
      <c r="AE50" s="26">
        <v>918</v>
      </c>
      <c r="AF50" s="83">
        <f t="shared" si="5"/>
        <v>0</v>
      </c>
      <c r="AG50" s="83" t="str">
        <f t="shared" si="6"/>
        <v>腹壁病变切除费</v>
      </c>
      <c r="AH50" s="83">
        <f t="shared" si="7"/>
        <v>1000</v>
      </c>
      <c r="AI50" s="83">
        <f t="shared" si="8"/>
        <v>915</v>
      </c>
      <c r="AJ50" s="83">
        <f t="shared" si="9"/>
        <v>775</v>
      </c>
      <c r="AK50" s="38" t="str">
        <f>VLOOKUP(V50,Sheet2!E:E,1,0)</f>
        <v>003310080100001-33100801001</v>
      </c>
    </row>
    <row r="51" s="40" customFormat="1" ht="28" customHeight="1" spans="1:37">
      <c r="A51" s="55"/>
      <c r="B51" s="59"/>
      <c r="C51" s="57" t="s">
        <v>199</v>
      </c>
      <c r="D51" s="58"/>
      <c r="E51" s="58"/>
      <c r="F51" s="58"/>
      <c r="G51" s="55"/>
      <c r="H51" s="58"/>
      <c r="I51" s="64"/>
      <c r="J51" s="64"/>
      <c r="K51" s="65"/>
      <c r="L51" s="65"/>
      <c r="M51" s="65"/>
      <c r="N51" s="71">
        <v>1000</v>
      </c>
      <c r="O51" s="71">
        <v>915</v>
      </c>
      <c r="P51" s="75">
        <v>775</v>
      </c>
      <c r="Q51" s="55"/>
      <c r="R51" s="55"/>
      <c r="S51" s="55"/>
      <c r="T51" s="65"/>
      <c r="U51" s="58"/>
      <c r="V51" s="16" t="s">
        <v>212</v>
      </c>
      <c r="W51" s="17">
        <v>331008011</v>
      </c>
      <c r="X51" s="16" t="s">
        <v>213</v>
      </c>
      <c r="Y51" s="16" t="s">
        <v>214</v>
      </c>
      <c r="Z51" s="16"/>
      <c r="AA51" s="16" t="s">
        <v>35</v>
      </c>
      <c r="AB51" s="16" t="s">
        <v>38</v>
      </c>
      <c r="AC51" s="26">
        <v>1000</v>
      </c>
      <c r="AD51" s="26">
        <v>960</v>
      </c>
      <c r="AE51" s="26">
        <v>816</v>
      </c>
      <c r="AF51" s="83">
        <f t="shared" si="5"/>
        <v>0</v>
      </c>
      <c r="AG51" s="83" t="str">
        <f t="shared" si="6"/>
        <v>腹壁病变切除费</v>
      </c>
      <c r="AH51" s="83">
        <f t="shared" si="7"/>
        <v>1000</v>
      </c>
      <c r="AI51" s="83">
        <f t="shared" si="8"/>
        <v>915</v>
      </c>
      <c r="AJ51" s="83">
        <f t="shared" si="9"/>
        <v>775</v>
      </c>
      <c r="AK51" s="38" t="str">
        <f>VLOOKUP(V51,Sheet2!E:E,1,0)</f>
        <v>003310080110000-331008011</v>
      </c>
    </row>
    <row r="52" s="40" customFormat="1" ht="28" customHeight="1" spans="1:37">
      <c r="A52" s="55"/>
      <c r="B52" s="59"/>
      <c r="C52" s="57" t="s">
        <v>199</v>
      </c>
      <c r="D52" s="58"/>
      <c r="E52" s="58"/>
      <c r="F52" s="58"/>
      <c r="G52" s="55"/>
      <c r="H52" s="58"/>
      <c r="I52" s="64"/>
      <c r="J52" s="64"/>
      <c r="K52" s="65"/>
      <c r="L52" s="65"/>
      <c r="M52" s="65"/>
      <c r="N52" s="71">
        <v>1000</v>
      </c>
      <c r="O52" s="71">
        <v>915</v>
      </c>
      <c r="P52" s="75">
        <v>775</v>
      </c>
      <c r="Q52" s="55"/>
      <c r="R52" s="55"/>
      <c r="S52" s="55"/>
      <c r="T52" s="65"/>
      <c r="U52" s="58"/>
      <c r="V52" s="16" t="s">
        <v>215</v>
      </c>
      <c r="W52" s="17">
        <v>331008017</v>
      </c>
      <c r="X52" s="16" t="s">
        <v>216</v>
      </c>
      <c r="Y52" s="16" t="s">
        <v>217</v>
      </c>
      <c r="Z52" s="16"/>
      <c r="AA52" s="16" t="s">
        <v>35</v>
      </c>
      <c r="AB52" s="16" t="s">
        <v>218</v>
      </c>
      <c r="AC52" s="26">
        <v>875</v>
      </c>
      <c r="AD52" s="26">
        <v>840</v>
      </c>
      <c r="AE52" s="26">
        <v>714</v>
      </c>
      <c r="AF52" s="83">
        <f t="shared" si="5"/>
        <v>0</v>
      </c>
      <c r="AG52" s="83" t="str">
        <f t="shared" si="6"/>
        <v>腹壁病变切除费</v>
      </c>
      <c r="AH52" s="83">
        <f t="shared" si="7"/>
        <v>1000</v>
      </c>
      <c r="AI52" s="83">
        <f t="shared" si="8"/>
        <v>915</v>
      </c>
      <c r="AJ52" s="83">
        <f t="shared" si="9"/>
        <v>775</v>
      </c>
      <c r="AK52" s="38" t="str">
        <f>VLOOKUP(V52,Sheet2!E:E,1,0)</f>
        <v>003310080170000-331008017</v>
      </c>
    </row>
    <row r="53" s="40" customFormat="1" ht="28" customHeight="1" spans="1:37">
      <c r="A53" s="55"/>
      <c r="B53" s="59"/>
      <c r="C53" s="57" t="s">
        <v>199</v>
      </c>
      <c r="D53" s="58"/>
      <c r="E53" s="58"/>
      <c r="F53" s="58"/>
      <c r="G53" s="55"/>
      <c r="H53" s="58"/>
      <c r="I53" s="64"/>
      <c r="J53" s="64"/>
      <c r="K53" s="65"/>
      <c r="L53" s="65"/>
      <c r="M53" s="65"/>
      <c r="N53" s="71">
        <v>1000</v>
      </c>
      <c r="O53" s="71">
        <v>915</v>
      </c>
      <c r="P53" s="75">
        <v>775</v>
      </c>
      <c r="Q53" s="55"/>
      <c r="R53" s="55"/>
      <c r="S53" s="55"/>
      <c r="T53" s="65"/>
      <c r="U53" s="58"/>
      <c r="V53" s="16" t="s">
        <v>219</v>
      </c>
      <c r="W53" s="17">
        <v>33100801701</v>
      </c>
      <c r="X53" s="16" t="s">
        <v>220</v>
      </c>
      <c r="Y53" s="16"/>
      <c r="Z53" s="16"/>
      <c r="AA53" s="16" t="s">
        <v>35</v>
      </c>
      <c r="AB53" s="16" t="s">
        <v>221</v>
      </c>
      <c r="AC53" s="26">
        <v>1050</v>
      </c>
      <c r="AD53" s="26">
        <v>1008</v>
      </c>
      <c r="AE53" s="26">
        <v>856.8</v>
      </c>
      <c r="AF53" s="83">
        <f t="shared" si="5"/>
        <v>0</v>
      </c>
      <c r="AG53" s="83" t="str">
        <f t="shared" si="6"/>
        <v>腹壁病变切除费</v>
      </c>
      <c r="AH53" s="83">
        <f t="shared" si="7"/>
        <v>1000</v>
      </c>
      <c r="AI53" s="83">
        <f t="shared" si="8"/>
        <v>915</v>
      </c>
      <c r="AJ53" s="83">
        <f t="shared" si="9"/>
        <v>775</v>
      </c>
      <c r="AK53" s="38" t="str">
        <f>VLOOKUP(V53,Sheet2!E:E,1,0)</f>
        <v>003310080170001-33100801701</v>
      </c>
    </row>
    <row r="54" s="42" customFormat="1" ht="24" customHeight="1" spans="1:37">
      <c r="A54" s="55" t="s">
        <v>57</v>
      </c>
      <c r="B54" s="59" t="s">
        <v>222</v>
      </c>
      <c r="C54" s="57" t="s">
        <v>223</v>
      </c>
      <c r="D54" s="58" t="s">
        <v>38</v>
      </c>
      <c r="E54" s="58" t="s">
        <v>38</v>
      </c>
      <c r="F54" s="58"/>
      <c r="G54" s="55" t="s">
        <v>35</v>
      </c>
      <c r="H54" s="58" t="s">
        <v>38</v>
      </c>
      <c r="I54" s="64">
        <v>330</v>
      </c>
      <c r="J54" s="64">
        <v>297</v>
      </c>
      <c r="K54" s="65">
        <v>246.666666666667</v>
      </c>
      <c r="L54" s="65"/>
      <c r="M54" s="65"/>
      <c r="N54" s="71">
        <v>300</v>
      </c>
      <c r="O54" s="71">
        <v>275</v>
      </c>
      <c r="P54" s="71">
        <v>235</v>
      </c>
      <c r="Q54" s="55" t="s">
        <v>37</v>
      </c>
      <c r="R54" s="55" t="s">
        <v>38</v>
      </c>
      <c r="S54" s="55" t="s">
        <v>38</v>
      </c>
      <c r="T54" s="65"/>
      <c r="U54" s="58" t="s">
        <v>60</v>
      </c>
      <c r="V54" s="16" t="s">
        <v>224</v>
      </c>
      <c r="W54" s="17">
        <v>33100800901</v>
      </c>
      <c r="X54" s="16" t="s">
        <v>225</v>
      </c>
      <c r="Y54" s="16"/>
      <c r="Z54" s="16"/>
      <c r="AA54" s="16" t="s">
        <v>35</v>
      </c>
      <c r="AB54" s="16" t="s">
        <v>38</v>
      </c>
      <c r="AC54" s="26">
        <v>1300</v>
      </c>
      <c r="AD54" s="26">
        <v>1250</v>
      </c>
      <c r="AE54" s="26">
        <v>1065</v>
      </c>
      <c r="AF54" s="83">
        <f t="shared" si="5"/>
        <v>8</v>
      </c>
      <c r="AG54" s="83" t="str">
        <f t="shared" si="6"/>
        <v>腹壁病变切除费</v>
      </c>
      <c r="AH54" s="83">
        <f t="shared" si="7"/>
        <v>1300</v>
      </c>
      <c r="AI54" s="83">
        <f t="shared" si="8"/>
        <v>1190</v>
      </c>
      <c r="AJ54" s="83">
        <f t="shared" si="9"/>
        <v>1010</v>
      </c>
      <c r="AK54" s="38" t="str">
        <f>VLOOKUP(V54,Sheet2!E:E,1,0)</f>
        <v>003310080090000-33100800901</v>
      </c>
    </row>
    <row r="55" s="44" customFormat="1" ht="24" customHeight="1" spans="1:37">
      <c r="A55" s="55"/>
      <c r="B55" s="59"/>
      <c r="C55" s="57" t="s">
        <v>223</v>
      </c>
      <c r="D55" s="58"/>
      <c r="E55" s="58"/>
      <c r="F55" s="58"/>
      <c r="G55" s="55"/>
      <c r="H55" s="58"/>
      <c r="I55" s="64"/>
      <c r="J55" s="64"/>
      <c r="K55" s="65"/>
      <c r="L55" s="65"/>
      <c r="M55" s="65"/>
      <c r="N55" s="71">
        <v>300</v>
      </c>
      <c r="O55" s="71">
        <v>275</v>
      </c>
      <c r="P55" s="71">
        <v>235</v>
      </c>
      <c r="Q55" s="55"/>
      <c r="R55" s="55"/>
      <c r="S55" s="55"/>
      <c r="T55" s="65"/>
      <c r="U55" s="58"/>
      <c r="V55" s="16" t="s">
        <v>226</v>
      </c>
      <c r="W55" s="17">
        <v>33100801002</v>
      </c>
      <c r="X55" s="16" t="s">
        <v>227</v>
      </c>
      <c r="Y55" s="16"/>
      <c r="Z55" s="16"/>
      <c r="AA55" s="16" t="s">
        <v>35</v>
      </c>
      <c r="AB55" s="16" t="s">
        <v>38</v>
      </c>
      <c r="AC55" s="26">
        <v>1300</v>
      </c>
      <c r="AD55" s="26">
        <v>1250</v>
      </c>
      <c r="AE55" s="26">
        <v>1065</v>
      </c>
      <c r="AF55" s="83">
        <f t="shared" si="5"/>
        <v>8</v>
      </c>
      <c r="AG55" s="83" t="str">
        <f t="shared" si="6"/>
        <v>腹壁病变切除费</v>
      </c>
      <c r="AH55" s="83">
        <f t="shared" si="7"/>
        <v>1300</v>
      </c>
      <c r="AI55" s="83">
        <f t="shared" si="8"/>
        <v>1190</v>
      </c>
      <c r="AJ55" s="83">
        <f t="shared" si="9"/>
        <v>1010</v>
      </c>
      <c r="AK55" s="38" t="str">
        <f>VLOOKUP(V55,Sheet2!E:E,1,0)</f>
        <v>003310080100000-33100801002</v>
      </c>
    </row>
    <row r="56" s="44" customFormat="1" ht="24" customHeight="1" spans="1:37">
      <c r="A56" s="55"/>
      <c r="B56" s="59"/>
      <c r="C56" s="57" t="s">
        <v>223</v>
      </c>
      <c r="D56" s="58"/>
      <c r="E56" s="58"/>
      <c r="F56" s="58"/>
      <c r="G56" s="55"/>
      <c r="H56" s="58"/>
      <c r="I56" s="64"/>
      <c r="J56" s="64"/>
      <c r="K56" s="65"/>
      <c r="L56" s="65"/>
      <c r="M56" s="65"/>
      <c r="N56" s="71">
        <v>300</v>
      </c>
      <c r="O56" s="71">
        <v>275</v>
      </c>
      <c r="P56" s="71">
        <v>235</v>
      </c>
      <c r="Q56" s="55"/>
      <c r="R56" s="55"/>
      <c r="S56" s="55"/>
      <c r="T56" s="65"/>
      <c r="U56" s="58"/>
      <c r="V56" s="16" t="s">
        <v>228</v>
      </c>
      <c r="W56" s="17">
        <v>33100801003</v>
      </c>
      <c r="X56" s="16" t="s">
        <v>229</v>
      </c>
      <c r="Y56" s="16"/>
      <c r="Z56" s="16"/>
      <c r="AA56" s="16" t="s">
        <v>35</v>
      </c>
      <c r="AB56" s="16" t="s">
        <v>211</v>
      </c>
      <c r="AC56" s="26">
        <v>1465</v>
      </c>
      <c r="AD56" s="26">
        <v>1405</v>
      </c>
      <c r="AE56" s="26">
        <v>1195</v>
      </c>
      <c r="AF56" s="83">
        <f t="shared" si="5"/>
        <v>8</v>
      </c>
      <c r="AG56" s="83" t="str">
        <f t="shared" si="6"/>
        <v>腹壁病变切除费</v>
      </c>
      <c r="AH56" s="83">
        <f t="shared" si="7"/>
        <v>1300</v>
      </c>
      <c r="AI56" s="83">
        <f t="shared" si="8"/>
        <v>1190</v>
      </c>
      <c r="AJ56" s="83">
        <f t="shared" si="9"/>
        <v>1010</v>
      </c>
      <c r="AK56" s="38" t="str">
        <f>VLOOKUP(V56,Sheet2!E:E,1,0)</f>
        <v>003310080100001-33100801003</v>
      </c>
    </row>
    <row r="57" s="44" customFormat="1" ht="24" customHeight="1" spans="1:37">
      <c r="A57" s="55"/>
      <c r="B57" s="59"/>
      <c r="C57" s="57" t="s">
        <v>223</v>
      </c>
      <c r="D57" s="58"/>
      <c r="E57" s="58"/>
      <c r="F57" s="58"/>
      <c r="G57" s="55"/>
      <c r="H57" s="58"/>
      <c r="I57" s="64"/>
      <c r="J57" s="64"/>
      <c r="K57" s="65"/>
      <c r="L57" s="65"/>
      <c r="M57" s="65"/>
      <c r="N57" s="71">
        <v>300</v>
      </c>
      <c r="O57" s="71">
        <v>275</v>
      </c>
      <c r="P57" s="71">
        <v>235</v>
      </c>
      <c r="Q57" s="55"/>
      <c r="R57" s="55"/>
      <c r="S57" s="55"/>
      <c r="T57" s="65"/>
      <c r="U57" s="58"/>
      <c r="V57" s="16" t="s">
        <v>230</v>
      </c>
      <c r="W57" s="17">
        <v>33100801101</v>
      </c>
      <c r="X57" s="16" t="s">
        <v>231</v>
      </c>
      <c r="Y57" s="16"/>
      <c r="Z57" s="16"/>
      <c r="AA57" s="16" t="s">
        <v>35</v>
      </c>
      <c r="AB57" s="16" t="s">
        <v>38</v>
      </c>
      <c r="AC57" s="26">
        <v>1300</v>
      </c>
      <c r="AD57" s="26">
        <v>1250</v>
      </c>
      <c r="AE57" s="26">
        <v>1065</v>
      </c>
      <c r="AF57" s="83">
        <f t="shared" si="5"/>
        <v>8</v>
      </c>
      <c r="AG57" s="83" t="str">
        <f t="shared" si="6"/>
        <v>腹壁病变切除费</v>
      </c>
      <c r="AH57" s="83">
        <f t="shared" si="7"/>
        <v>1300</v>
      </c>
      <c r="AI57" s="83">
        <f t="shared" si="8"/>
        <v>1190</v>
      </c>
      <c r="AJ57" s="83">
        <f t="shared" si="9"/>
        <v>1010</v>
      </c>
      <c r="AK57" s="38" t="str">
        <f>VLOOKUP(V57,Sheet2!E:E,1,0)</f>
        <v>003310080110000-33100801101</v>
      </c>
    </row>
    <row r="58" s="44" customFormat="1" ht="24" customHeight="1" spans="1:37">
      <c r="A58" s="55"/>
      <c r="B58" s="59"/>
      <c r="C58" s="57" t="s">
        <v>223</v>
      </c>
      <c r="D58" s="58"/>
      <c r="E58" s="58"/>
      <c r="F58" s="58"/>
      <c r="G58" s="55"/>
      <c r="H58" s="58"/>
      <c r="I58" s="64"/>
      <c r="J58" s="64"/>
      <c r="K58" s="65"/>
      <c r="L58" s="65"/>
      <c r="M58" s="65"/>
      <c r="N58" s="71">
        <v>300</v>
      </c>
      <c r="O58" s="71">
        <v>275</v>
      </c>
      <c r="P58" s="71">
        <v>235</v>
      </c>
      <c r="Q58" s="55"/>
      <c r="R58" s="55"/>
      <c r="S58" s="55"/>
      <c r="T58" s="65"/>
      <c r="U58" s="58"/>
      <c r="V58" s="16" t="s">
        <v>232</v>
      </c>
      <c r="W58" s="17">
        <v>33100801702</v>
      </c>
      <c r="X58" s="16" t="s">
        <v>233</v>
      </c>
      <c r="Y58" s="16"/>
      <c r="Z58" s="16"/>
      <c r="AA58" s="16" t="s">
        <v>35</v>
      </c>
      <c r="AB58" s="16" t="s">
        <v>38</v>
      </c>
      <c r="AC58" s="26">
        <v>1140</v>
      </c>
      <c r="AD58" s="26">
        <v>1090</v>
      </c>
      <c r="AE58" s="26">
        <v>925</v>
      </c>
      <c r="AF58" s="83">
        <f t="shared" si="5"/>
        <v>8</v>
      </c>
      <c r="AG58" s="83" t="str">
        <f t="shared" si="6"/>
        <v>腹壁病变切除费</v>
      </c>
      <c r="AH58" s="83">
        <f t="shared" si="7"/>
        <v>1300</v>
      </c>
      <c r="AI58" s="83">
        <f t="shared" si="8"/>
        <v>1190</v>
      </c>
      <c r="AJ58" s="83">
        <f t="shared" si="9"/>
        <v>1010</v>
      </c>
      <c r="AK58" s="38" t="str">
        <f>VLOOKUP(V58,Sheet2!E:E,1,0)</f>
        <v>003310080170000-33100801702</v>
      </c>
    </row>
    <row r="59" s="44" customFormat="1" ht="24" customHeight="1" spans="1:37">
      <c r="A59" s="55"/>
      <c r="B59" s="59"/>
      <c r="C59" s="57" t="s">
        <v>223</v>
      </c>
      <c r="D59" s="58"/>
      <c r="E59" s="58"/>
      <c r="F59" s="58"/>
      <c r="G59" s="55"/>
      <c r="H59" s="58"/>
      <c r="I59" s="64"/>
      <c r="J59" s="64"/>
      <c r="K59" s="65"/>
      <c r="L59" s="65"/>
      <c r="M59" s="65"/>
      <c r="N59" s="71">
        <v>300</v>
      </c>
      <c r="O59" s="71">
        <v>275</v>
      </c>
      <c r="P59" s="71">
        <v>235</v>
      </c>
      <c r="Q59" s="55"/>
      <c r="R59" s="55"/>
      <c r="S59" s="55"/>
      <c r="T59" s="65"/>
      <c r="U59" s="58"/>
      <c r="V59" s="16" t="s">
        <v>234</v>
      </c>
      <c r="W59" s="17">
        <v>33100801703</v>
      </c>
      <c r="X59" s="16" t="s">
        <v>235</v>
      </c>
      <c r="Y59" s="16"/>
      <c r="Z59" s="16"/>
      <c r="AA59" s="16" t="s">
        <v>35</v>
      </c>
      <c r="AB59" s="16" t="s">
        <v>221</v>
      </c>
      <c r="AC59" s="26">
        <v>1365</v>
      </c>
      <c r="AD59" s="26">
        <v>1310</v>
      </c>
      <c r="AE59" s="26">
        <v>1115</v>
      </c>
      <c r="AF59" s="83">
        <f t="shared" si="5"/>
        <v>8</v>
      </c>
      <c r="AG59" s="83" t="str">
        <f t="shared" si="6"/>
        <v>腹壁病变切除费</v>
      </c>
      <c r="AH59" s="83">
        <f t="shared" si="7"/>
        <v>1300</v>
      </c>
      <c r="AI59" s="83">
        <f t="shared" si="8"/>
        <v>1190</v>
      </c>
      <c r="AJ59" s="83">
        <f t="shared" si="9"/>
        <v>1010</v>
      </c>
      <c r="AK59" s="38" t="str">
        <f>VLOOKUP(V59,Sheet2!E:E,1,0)</f>
        <v>003310080170001-33100801703</v>
      </c>
    </row>
    <row r="60" s="40" customFormat="1" ht="55" customHeight="1" spans="1:37">
      <c r="A60" s="55">
        <v>10</v>
      </c>
      <c r="B60" s="59" t="s">
        <v>241</v>
      </c>
      <c r="C60" s="57" t="s">
        <v>242</v>
      </c>
      <c r="D60" s="58" t="s">
        <v>243</v>
      </c>
      <c r="E60" s="58" t="s">
        <v>201</v>
      </c>
      <c r="F60" s="58"/>
      <c r="G60" s="55" t="s">
        <v>35</v>
      </c>
      <c r="H60" s="58" t="s">
        <v>244</v>
      </c>
      <c r="I60" s="64">
        <v>1800</v>
      </c>
      <c r="J60" s="64">
        <v>1620</v>
      </c>
      <c r="K60" s="65">
        <v>1697.61273209549</v>
      </c>
      <c r="L60" s="65">
        <v>1516.98113207547</v>
      </c>
      <c r="M60" s="65">
        <v>1165.71428571429</v>
      </c>
      <c r="N60" s="71">
        <v>1700</v>
      </c>
      <c r="O60" s="75">
        <v>1530</v>
      </c>
      <c r="P60" s="75">
        <v>1300</v>
      </c>
      <c r="Q60" s="55" t="s">
        <v>37</v>
      </c>
      <c r="R60" s="55" t="s">
        <v>38</v>
      </c>
      <c r="S60" s="55" t="s">
        <v>38</v>
      </c>
      <c r="T60" s="65" t="s">
        <v>39</v>
      </c>
      <c r="U60" s="58" t="s">
        <v>245</v>
      </c>
      <c r="V60" s="82" t="s">
        <v>246</v>
      </c>
      <c r="W60" s="17">
        <v>331008012</v>
      </c>
      <c r="X60" s="16" t="s">
        <v>247</v>
      </c>
      <c r="Y60" s="16" t="s">
        <v>248</v>
      </c>
      <c r="Z60" s="16"/>
      <c r="AA60" s="16" t="s">
        <v>35</v>
      </c>
      <c r="AB60" s="16" t="s">
        <v>38</v>
      </c>
      <c r="AC60" s="26">
        <v>1250</v>
      </c>
      <c r="AD60" s="26">
        <v>1200</v>
      </c>
      <c r="AE60" s="26">
        <v>1020</v>
      </c>
      <c r="AF60" s="83">
        <f t="shared" si="5"/>
        <v>0</v>
      </c>
      <c r="AG60" s="83" t="str">
        <f t="shared" si="6"/>
        <v>腹膜病变切除费</v>
      </c>
      <c r="AH60" s="83">
        <f t="shared" si="7"/>
        <v>1700</v>
      </c>
      <c r="AI60" s="83">
        <f t="shared" si="8"/>
        <v>1530</v>
      </c>
      <c r="AJ60" s="83">
        <f t="shared" si="9"/>
        <v>1300</v>
      </c>
      <c r="AK60" s="38" t="str">
        <f>VLOOKUP(V60,Sheet2!E:E,1,0)</f>
        <v>003310080120000-331008012</v>
      </c>
    </row>
    <row r="61" s="40" customFormat="1" ht="55" customHeight="1" spans="1:37">
      <c r="A61" s="55"/>
      <c r="B61" s="59"/>
      <c r="C61" s="57" t="s">
        <v>242</v>
      </c>
      <c r="D61" s="58"/>
      <c r="E61" s="58"/>
      <c r="F61" s="58"/>
      <c r="G61" s="55"/>
      <c r="H61" s="58"/>
      <c r="I61" s="64"/>
      <c r="J61" s="64"/>
      <c r="K61" s="65"/>
      <c r="L61" s="65"/>
      <c r="M61" s="65"/>
      <c r="N61" s="71">
        <v>1700</v>
      </c>
      <c r="O61" s="75">
        <v>1530</v>
      </c>
      <c r="P61" s="75">
        <v>1300</v>
      </c>
      <c r="Q61" s="55"/>
      <c r="R61" s="55"/>
      <c r="S61" s="55"/>
      <c r="T61" s="65"/>
      <c r="U61" s="58"/>
      <c r="V61" s="82" t="s">
        <v>249</v>
      </c>
      <c r="W61" s="17">
        <v>33100801202</v>
      </c>
      <c r="X61" s="16" t="s">
        <v>250</v>
      </c>
      <c r="Y61" s="16"/>
      <c r="Z61" s="16"/>
      <c r="AA61" s="16" t="s">
        <v>35</v>
      </c>
      <c r="AB61" s="16" t="s">
        <v>38</v>
      </c>
      <c r="AC61" s="26">
        <v>1875</v>
      </c>
      <c r="AD61" s="26">
        <v>1800</v>
      </c>
      <c r="AE61" s="26">
        <v>1530</v>
      </c>
      <c r="AF61" s="83">
        <f t="shared" si="5"/>
        <v>0</v>
      </c>
      <c r="AG61" s="83" t="str">
        <f t="shared" si="6"/>
        <v>腹膜病变切除费</v>
      </c>
      <c r="AH61" s="83">
        <f t="shared" si="7"/>
        <v>1700</v>
      </c>
      <c r="AI61" s="83">
        <f t="shared" si="8"/>
        <v>1530</v>
      </c>
      <c r="AJ61" s="83">
        <f t="shared" si="9"/>
        <v>1300</v>
      </c>
      <c r="AK61" s="38" t="str">
        <f>VLOOKUP(V61,Sheet2!E:E,1,0)</f>
        <v>003310080120001-33100801202</v>
      </c>
    </row>
    <row r="62" s="40" customFormat="1" ht="31" customHeight="1" spans="1:37">
      <c r="A62" s="55" t="s">
        <v>57</v>
      </c>
      <c r="B62" s="59" t="s">
        <v>251</v>
      </c>
      <c r="C62" s="57" t="s">
        <v>252</v>
      </c>
      <c r="D62" s="58" t="s">
        <v>38</v>
      </c>
      <c r="E62" s="58" t="s">
        <v>38</v>
      </c>
      <c r="F62" s="58"/>
      <c r="G62" s="55" t="s">
        <v>35</v>
      </c>
      <c r="H62" s="58" t="s">
        <v>38</v>
      </c>
      <c r="I62" s="64">
        <v>540</v>
      </c>
      <c r="J62" s="64">
        <v>486</v>
      </c>
      <c r="K62" s="66">
        <v>550</v>
      </c>
      <c r="L62" s="66"/>
      <c r="M62" s="66"/>
      <c r="N62" s="75">
        <v>510</v>
      </c>
      <c r="O62" s="71">
        <v>460</v>
      </c>
      <c r="P62" s="71">
        <v>390</v>
      </c>
      <c r="Q62" s="55" t="s">
        <v>37</v>
      </c>
      <c r="R62" s="55" t="s">
        <v>38</v>
      </c>
      <c r="S62" s="55" t="s">
        <v>38</v>
      </c>
      <c r="T62" s="66"/>
      <c r="U62" s="58" t="s">
        <v>60</v>
      </c>
      <c r="V62" s="82" t="s">
        <v>253</v>
      </c>
      <c r="W62" s="17">
        <v>33100801201</v>
      </c>
      <c r="X62" s="16" t="s">
        <v>254</v>
      </c>
      <c r="Y62" s="16"/>
      <c r="Z62" s="16"/>
      <c r="AA62" s="16" t="s">
        <v>35</v>
      </c>
      <c r="AB62" s="16" t="s">
        <v>38</v>
      </c>
      <c r="AC62" s="26">
        <v>1625</v>
      </c>
      <c r="AD62" s="26">
        <v>1560</v>
      </c>
      <c r="AE62" s="26">
        <v>1325</v>
      </c>
      <c r="AF62" s="83">
        <f t="shared" si="5"/>
        <v>8</v>
      </c>
      <c r="AG62" s="83" t="str">
        <f t="shared" si="6"/>
        <v>腹膜病变切除费</v>
      </c>
      <c r="AH62" s="83">
        <f t="shared" si="7"/>
        <v>2210</v>
      </c>
      <c r="AI62" s="83">
        <f t="shared" si="8"/>
        <v>1990</v>
      </c>
      <c r="AJ62" s="83">
        <f t="shared" si="9"/>
        <v>1690</v>
      </c>
      <c r="AK62" s="38" t="str">
        <f>VLOOKUP(V62,Sheet2!E:E,1,0)</f>
        <v>003310080120000-33100801201</v>
      </c>
    </row>
    <row r="63" s="40" customFormat="1" ht="31" customHeight="1" spans="1:37">
      <c r="A63" s="55"/>
      <c r="B63" s="59"/>
      <c r="C63" s="57" t="s">
        <v>252</v>
      </c>
      <c r="D63" s="58"/>
      <c r="E63" s="58"/>
      <c r="F63" s="58"/>
      <c r="G63" s="55"/>
      <c r="H63" s="58"/>
      <c r="I63" s="64"/>
      <c r="J63" s="64"/>
      <c r="K63" s="66"/>
      <c r="L63" s="66"/>
      <c r="M63" s="66"/>
      <c r="N63" s="75">
        <v>510</v>
      </c>
      <c r="O63" s="71">
        <v>460</v>
      </c>
      <c r="P63" s="71">
        <v>390</v>
      </c>
      <c r="Q63" s="55"/>
      <c r="R63" s="55"/>
      <c r="S63" s="55"/>
      <c r="T63" s="66"/>
      <c r="U63" s="58"/>
      <c r="V63" s="82" t="s">
        <v>255</v>
      </c>
      <c r="W63" s="17">
        <v>33100801203</v>
      </c>
      <c r="X63" s="16" t="s">
        <v>256</v>
      </c>
      <c r="Y63" s="16"/>
      <c r="Z63" s="16"/>
      <c r="AA63" s="16" t="s">
        <v>35</v>
      </c>
      <c r="AB63" s="16" t="s">
        <v>38</v>
      </c>
      <c r="AC63" s="26">
        <v>2250</v>
      </c>
      <c r="AD63" s="26">
        <v>2160</v>
      </c>
      <c r="AE63" s="26">
        <v>1835</v>
      </c>
      <c r="AF63" s="83">
        <f t="shared" si="5"/>
        <v>8</v>
      </c>
      <c r="AG63" s="83" t="str">
        <f t="shared" si="6"/>
        <v>腹膜病变切除费</v>
      </c>
      <c r="AH63" s="83">
        <f t="shared" si="7"/>
        <v>2210</v>
      </c>
      <c r="AI63" s="83">
        <f t="shared" si="8"/>
        <v>1990</v>
      </c>
      <c r="AJ63" s="83">
        <f t="shared" si="9"/>
        <v>1690</v>
      </c>
      <c r="AK63" s="38" t="str">
        <f>VLOOKUP(V63,Sheet2!E:E,1,0)</f>
        <v>003310080120001-33100801203</v>
      </c>
    </row>
    <row r="64" s="40" customFormat="1" ht="27" customHeight="1" spans="1:37">
      <c r="A64" s="59">
        <v>11</v>
      </c>
      <c r="B64" s="59" t="s">
        <v>261</v>
      </c>
      <c r="C64" s="60" t="s">
        <v>262</v>
      </c>
      <c r="D64" s="61" t="s">
        <v>263</v>
      </c>
      <c r="E64" s="61" t="s">
        <v>264</v>
      </c>
      <c r="F64" s="61"/>
      <c r="G64" s="59" t="s">
        <v>98</v>
      </c>
      <c r="H64" s="61" t="s">
        <v>38</v>
      </c>
      <c r="I64" s="69">
        <v>300</v>
      </c>
      <c r="J64" s="69">
        <v>270</v>
      </c>
      <c r="K64" s="70">
        <v>330</v>
      </c>
      <c r="L64" s="70">
        <v>300</v>
      </c>
      <c r="M64" s="70">
        <v>255</v>
      </c>
      <c r="N64" s="76">
        <v>300</v>
      </c>
      <c r="O64" s="76">
        <v>270</v>
      </c>
      <c r="P64" s="76">
        <v>230</v>
      </c>
      <c r="Q64" s="59" t="s">
        <v>37</v>
      </c>
      <c r="R64" s="59" t="s">
        <v>38</v>
      </c>
      <c r="S64" s="59" t="s">
        <v>143</v>
      </c>
      <c r="T64" s="70" t="s">
        <v>162</v>
      </c>
      <c r="U64" s="61" t="s">
        <v>265</v>
      </c>
      <c r="V64" s="16" t="s">
        <v>266</v>
      </c>
      <c r="W64" s="17">
        <v>311201064</v>
      </c>
      <c r="X64" s="16" t="s">
        <v>267</v>
      </c>
      <c r="Y64" s="16" t="s">
        <v>268</v>
      </c>
      <c r="Z64" s="16"/>
      <c r="AA64" s="16" t="s">
        <v>35</v>
      </c>
      <c r="AB64" s="16" t="s">
        <v>269</v>
      </c>
      <c r="AC64" s="26">
        <v>330</v>
      </c>
      <c r="AD64" s="26">
        <v>300</v>
      </c>
      <c r="AE64" s="26">
        <v>255</v>
      </c>
      <c r="AF64" s="83">
        <f t="shared" si="5"/>
        <v>0</v>
      </c>
      <c r="AG64" s="83" t="str">
        <f t="shared" si="6"/>
        <v>乳管镜检查费</v>
      </c>
      <c r="AH64" s="83">
        <f t="shared" si="7"/>
        <v>300</v>
      </c>
      <c r="AI64" s="83">
        <f t="shared" si="8"/>
        <v>270</v>
      </c>
      <c r="AJ64" s="83">
        <f t="shared" si="9"/>
        <v>230</v>
      </c>
      <c r="AK64" s="38" t="str">
        <f>VLOOKUP(V64,Sheet2!E:E,1,0)</f>
        <v>003112010640000-311201064</v>
      </c>
    </row>
    <row r="65" s="40" customFormat="1" ht="27" customHeight="1" spans="1:37">
      <c r="A65" s="59"/>
      <c r="B65" s="59"/>
      <c r="C65" s="60" t="s">
        <v>262</v>
      </c>
      <c r="D65" s="61"/>
      <c r="E65" s="61"/>
      <c r="F65" s="61"/>
      <c r="G65" s="59"/>
      <c r="H65" s="61"/>
      <c r="I65" s="69"/>
      <c r="J65" s="69"/>
      <c r="K65" s="70"/>
      <c r="L65" s="70"/>
      <c r="M65" s="70"/>
      <c r="N65" s="76">
        <v>300</v>
      </c>
      <c r="O65" s="76">
        <v>270</v>
      </c>
      <c r="P65" s="76">
        <v>230</v>
      </c>
      <c r="Q65" s="59"/>
      <c r="R65" s="59"/>
      <c r="S65" s="59"/>
      <c r="T65" s="70"/>
      <c r="U65" s="61"/>
      <c r="V65" s="16" t="s">
        <v>270</v>
      </c>
      <c r="W65" s="17">
        <v>31120106401</v>
      </c>
      <c r="X65" s="16" t="s">
        <v>271</v>
      </c>
      <c r="Y65" s="16"/>
      <c r="Z65" s="16"/>
      <c r="AA65" s="16" t="s">
        <v>35</v>
      </c>
      <c r="AB65" s="16" t="s">
        <v>272</v>
      </c>
      <c r="AC65" s="26">
        <v>495</v>
      </c>
      <c r="AD65" s="26">
        <v>450</v>
      </c>
      <c r="AE65" s="26">
        <v>382.5</v>
      </c>
      <c r="AF65" s="83">
        <f t="shared" ref="AF65:AF96" si="10">IFERROR(FIND("-儿童（加收）",C65,1),0)</f>
        <v>0</v>
      </c>
      <c r="AG65" s="83" t="str">
        <f t="shared" ref="AG65:AG96" si="11">SUBSTITUTE(C65,"-儿童（加收）","")</f>
        <v>乳管镜检查费</v>
      </c>
      <c r="AH65" s="83">
        <f t="shared" ref="AH65:AH96" si="12">IF(AF65&gt;0,_xlfn.MAXIFS(N:N,C:C,SUBSTITUTE(C65,"-儿童（加收）","")),0)+N65</f>
        <v>300</v>
      </c>
      <c r="AI65" s="83">
        <f t="shared" ref="AI65:AI96" si="13">IF(AF65&gt;0,_xlfn.MAXIFS(O:O,C:C,SUBSTITUTE(C65,"-儿童（加收）","")),0)+O65</f>
        <v>270</v>
      </c>
      <c r="AJ65" s="83">
        <f t="shared" ref="AJ65:AJ96" si="14">IF(AF65&gt;0,_xlfn.MAXIFS(P:P,C:C,SUBSTITUTE(C65,"-儿童（加收）","")),0)+P65</f>
        <v>230</v>
      </c>
      <c r="AK65" s="38" t="str">
        <f>VLOOKUP(V65,Sheet2!E:E,1,0)</f>
        <v>003112010640000-31120106401</v>
      </c>
    </row>
    <row r="66" s="40" customFormat="1" ht="69" customHeight="1" spans="1:37">
      <c r="A66" s="59">
        <v>12</v>
      </c>
      <c r="B66" s="59" t="s">
        <v>273</v>
      </c>
      <c r="C66" s="59" t="s">
        <v>274</v>
      </c>
      <c r="D66" s="61" t="s">
        <v>275</v>
      </c>
      <c r="E66" s="61" t="s">
        <v>276</v>
      </c>
      <c r="F66" s="61"/>
      <c r="G66" s="59" t="s">
        <v>98</v>
      </c>
      <c r="H66" s="61" t="s">
        <v>38</v>
      </c>
      <c r="I66" s="69">
        <v>50</v>
      </c>
      <c r="J66" s="69">
        <v>45</v>
      </c>
      <c r="K66" s="70">
        <v>55</v>
      </c>
      <c r="L66" s="70">
        <v>50</v>
      </c>
      <c r="M66" s="70">
        <v>42.5</v>
      </c>
      <c r="N66" s="85">
        <v>50</v>
      </c>
      <c r="O66" s="85">
        <v>45</v>
      </c>
      <c r="P66" s="85">
        <v>38</v>
      </c>
      <c r="Q66" s="59" t="s">
        <v>37</v>
      </c>
      <c r="R66" s="59" t="s">
        <v>38</v>
      </c>
      <c r="S66" s="59" t="s">
        <v>143</v>
      </c>
      <c r="T66" s="70" t="s">
        <v>162</v>
      </c>
      <c r="U66" s="61" t="s">
        <v>265</v>
      </c>
      <c r="V66" s="16" t="s">
        <v>277</v>
      </c>
      <c r="W66" s="17">
        <v>31120106402</v>
      </c>
      <c r="X66" s="16" t="s">
        <v>278</v>
      </c>
      <c r="Y66" s="16"/>
      <c r="Z66" s="16"/>
      <c r="AA66" s="16" t="s">
        <v>35</v>
      </c>
      <c r="AB66" s="16" t="s">
        <v>279</v>
      </c>
      <c r="AC66" s="26">
        <v>55</v>
      </c>
      <c r="AD66" s="26">
        <v>50</v>
      </c>
      <c r="AE66" s="26">
        <v>42.5</v>
      </c>
      <c r="AF66" s="83">
        <f t="shared" si="10"/>
        <v>0</v>
      </c>
      <c r="AG66" s="83" t="str">
        <f t="shared" si="11"/>
        <v>乳管镜治疗费</v>
      </c>
      <c r="AH66" s="83">
        <f t="shared" si="12"/>
        <v>50</v>
      </c>
      <c r="AI66" s="83">
        <f t="shared" si="13"/>
        <v>45</v>
      </c>
      <c r="AJ66" s="83">
        <f t="shared" si="14"/>
        <v>38</v>
      </c>
      <c r="AK66" s="38" t="str">
        <f>VLOOKUP(V66,Sheet2!E:E,1,0)</f>
        <v>003112010640000-31120106402</v>
      </c>
    </row>
    <row r="67" s="40" customFormat="1" ht="39" customHeight="1" spans="1:37">
      <c r="A67" s="55">
        <v>13</v>
      </c>
      <c r="B67" s="59" t="s">
        <v>280</v>
      </c>
      <c r="C67" s="57" t="s">
        <v>281</v>
      </c>
      <c r="D67" s="58" t="s">
        <v>282</v>
      </c>
      <c r="E67" s="58" t="s">
        <v>283</v>
      </c>
      <c r="F67" s="58"/>
      <c r="G67" s="55" t="s">
        <v>98</v>
      </c>
      <c r="H67" s="58" t="s">
        <v>38</v>
      </c>
      <c r="I67" s="64">
        <v>630</v>
      </c>
      <c r="J67" s="64">
        <v>567</v>
      </c>
      <c r="K67" s="65">
        <v>598.142016188374</v>
      </c>
      <c r="L67" s="65">
        <v>550.925024342746</v>
      </c>
      <c r="M67" s="65">
        <v>448.042440318302</v>
      </c>
      <c r="N67" s="71">
        <v>600</v>
      </c>
      <c r="O67" s="71">
        <v>550</v>
      </c>
      <c r="P67" s="75">
        <v>460</v>
      </c>
      <c r="Q67" s="55" t="s">
        <v>37</v>
      </c>
      <c r="R67" s="55" t="s">
        <v>38</v>
      </c>
      <c r="S67" s="55" t="s">
        <v>38</v>
      </c>
      <c r="T67" s="65" t="s">
        <v>39</v>
      </c>
      <c r="U67" s="58" t="s">
        <v>284</v>
      </c>
      <c r="V67" s="16" t="s">
        <v>285</v>
      </c>
      <c r="W67" s="17">
        <v>331601002</v>
      </c>
      <c r="X67" s="16" t="s">
        <v>286</v>
      </c>
      <c r="Y67" s="16" t="s">
        <v>287</v>
      </c>
      <c r="Z67" s="16" t="s">
        <v>288</v>
      </c>
      <c r="AA67" s="16" t="s">
        <v>98</v>
      </c>
      <c r="AB67" s="16" t="s">
        <v>289</v>
      </c>
      <c r="AC67" s="26">
        <v>500</v>
      </c>
      <c r="AD67" s="26">
        <v>480</v>
      </c>
      <c r="AE67" s="26">
        <v>408</v>
      </c>
      <c r="AF67" s="83">
        <f t="shared" si="10"/>
        <v>0</v>
      </c>
      <c r="AG67" s="83" t="str">
        <f t="shared" si="11"/>
        <v>乳腺病变切除费</v>
      </c>
      <c r="AH67" s="83">
        <f t="shared" si="12"/>
        <v>600</v>
      </c>
      <c r="AI67" s="83">
        <f t="shared" si="13"/>
        <v>550</v>
      </c>
      <c r="AJ67" s="83">
        <f t="shared" si="14"/>
        <v>460</v>
      </c>
      <c r="AK67" s="38" t="str">
        <f>VLOOKUP(V67,Sheet2!E:E,1,0)</f>
        <v>003316010020000-331601002</v>
      </c>
    </row>
    <row r="68" s="40" customFormat="1" ht="39" customHeight="1" spans="1:37">
      <c r="A68" s="55"/>
      <c r="B68" s="59"/>
      <c r="C68" s="57" t="s">
        <v>281</v>
      </c>
      <c r="D68" s="58"/>
      <c r="E68" s="58"/>
      <c r="F68" s="58"/>
      <c r="G68" s="55"/>
      <c r="H68" s="58"/>
      <c r="I68" s="64"/>
      <c r="J68" s="64"/>
      <c r="K68" s="65"/>
      <c r="L68" s="65"/>
      <c r="M68" s="65"/>
      <c r="N68" s="71">
        <v>600</v>
      </c>
      <c r="O68" s="71">
        <v>550</v>
      </c>
      <c r="P68" s="75">
        <v>460</v>
      </c>
      <c r="Q68" s="55"/>
      <c r="R68" s="55"/>
      <c r="S68" s="55"/>
      <c r="T68" s="65"/>
      <c r="U68" s="58"/>
      <c r="V68" s="16" t="s">
        <v>290</v>
      </c>
      <c r="W68" s="17">
        <v>33160100202</v>
      </c>
      <c r="X68" s="16" t="s">
        <v>291</v>
      </c>
      <c r="Y68" s="16"/>
      <c r="Z68" s="16"/>
      <c r="AA68" s="16" t="s">
        <v>98</v>
      </c>
      <c r="AB68" s="16" t="s">
        <v>292</v>
      </c>
      <c r="AC68" s="26">
        <v>125</v>
      </c>
      <c r="AD68" s="26">
        <v>120</v>
      </c>
      <c r="AE68" s="26">
        <v>102</v>
      </c>
      <c r="AF68" s="83">
        <f t="shared" si="10"/>
        <v>0</v>
      </c>
      <c r="AG68" s="83" t="str">
        <f t="shared" si="11"/>
        <v>乳腺病变切除费</v>
      </c>
      <c r="AH68" s="83">
        <f t="shared" si="12"/>
        <v>600</v>
      </c>
      <c r="AI68" s="83">
        <f t="shared" si="13"/>
        <v>550</v>
      </c>
      <c r="AJ68" s="83">
        <f t="shared" si="14"/>
        <v>460</v>
      </c>
      <c r="AK68" s="38" t="str">
        <f>VLOOKUP(V68,Sheet2!E:E,1,0)</f>
        <v>003316010020000-33160100202</v>
      </c>
    </row>
    <row r="69" s="40" customFormat="1" ht="27" customHeight="1" spans="1:37">
      <c r="A69" s="55" t="s">
        <v>57</v>
      </c>
      <c r="B69" s="59" t="s">
        <v>293</v>
      </c>
      <c r="C69" s="57" t="s">
        <v>294</v>
      </c>
      <c r="D69" s="58" t="s">
        <v>38</v>
      </c>
      <c r="E69" s="58" t="s">
        <v>38</v>
      </c>
      <c r="F69" s="58"/>
      <c r="G69" s="55" t="s">
        <v>98</v>
      </c>
      <c r="H69" s="58" t="s">
        <v>38</v>
      </c>
      <c r="I69" s="64">
        <v>189</v>
      </c>
      <c r="J69" s="64">
        <v>170</v>
      </c>
      <c r="K69" s="66"/>
      <c r="L69" s="66"/>
      <c r="M69" s="66"/>
      <c r="N69" s="71">
        <v>180</v>
      </c>
      <c r="O69" s="71">
        <v>165</v>
      </c>
      <c r="P69" s="71">
        <v>140</v>
      </c>
      <c r="Q69" s="55" t="s">
        <v>37</v>
      </c>
      <c r="R69" s="55" t="s">
        <v>38</v>
      </c>
      <c r="S69" s="55" t="s">
        <v>38</v>
      </c>
      <c r="T69" s="66"/>
      <c r="U69" s="58" t="s">
        <v>60</v>
      </c>
      <c r="V69" s="16" t="s">
        <v>295</v>
      </c>
      <c r="W69" s="17">
        <v>33160100203</v>
      </c>
      <c r="X69" s="16" t="s">
        <v>296</v>
      </c>
      <c r="Y69" s="16"/>
      <c r="Z69" s="16"/>
      <c r="AA69" s="16" t="s">
        <v>98</v>
      </c>
      <c r="AB69" s="16" t="s">
        <v>38</v>
      </c>
      <c r="AC69" s="26">
        <v>650</v>
      </c>
      <c r="AD69" s="26">
        <v>625</v>
      </c>
      <c r="AE69" s="26">
        <v>530</v>
      </c>
      <c r="AF69" s="83">
        <f t="shared" si="10"/>
        <v>8</v>
      </c>
      <c r="AG69" s="83" t="str">
        <f t="shared" si="11"/>
        <v>乳腺病变切除费</v>
      </c>
      <c r="AH69" s="83">
        <f t="shared" si="12"/>
        <v>780</v>
      </c>
      <c r="AI69" s="83">
        <f t="shared" si="13"/>
        <v>715</v>
      </c>
      <c r="AJ69" s="83">
        <f t="shared" si="14"/>
        <v>600</v>
      </c>
      <c r="AK69" s="38" t="str">
        <f>VLOOKUP(V69,Sheet2!E:E,1,0)</f>
        <v>003316010020000-33160100203</v>
      </c>
    </row>
    <row r="70" s="40" customFormat="1" ht="27" customHeight="1" spans="1:37">
      <c r="A70" s="55"/>
      <c r="B70" s="59"/>
      <c r="C70" s="57" t="s">
        <v>294</v>
      </c>
      <c r="D70" s="58"/>
      <c r="E70" s="58"/>
      <c r="F70" s="58"/>
      <c r="G70" s="55"/>
      <c r="H70" s="58"/>
      <c r="I70" s="64"/>
      <c r="J70" s="64"/>
      <c r="K70" s="66"/>
      <c r="L70" s="66"/>
      <c r="M70" s="66"/>
      <c r="N70" s="71">
        <v>180</v>
      </c>
      <c r="O70" s="71">
        <v>165</v>
      </c>
      <c r="P70" s="71">
        <v>140</v>
      </c>
      <c r="Q70" s="55"/>
      <c r="R70" s="55"/>
      <c r="S70" s="55"/>
      <c r="T70" s="66"/>
      <c r="U70" s="58"/>
      <c r="V70" s="16" t="s">
        <v>297</v>
      </c>
      <c r="W70" s="17">
        <v>33160100205</v>
      </c>
      <c r="X70" s="16" t="s">
        <v>298</v>
      </c>
      <c r="Y70" s="16"/>
      <c r="Z70" s="16"/>
      <c r="AA70" s="16" t="s">
        <v>98</v>
      </c>
      <c r="AB70" s="16" t="s">
        <v>292</v>
      </c>
      <c r="AC70" s="26">
        <v>165</v>
      </c>
      <c r="AD70" s="26">
        <v>155</v>
      </c>
      <c r="AE70" s="26">
        <v>130</v>
      </c>
      <c r="AF70" s="83">
        <f t="shared" si="10"/>
        <v>8</v>
      </c>
      <c r="AG70" s="83" t="str">
        <f t="shared" si="11"/>
        <v>乳腺病变切除费</v>
      </c>
      <c r="AH70" s="83">
        <f t="shared" si="12"/>
        <v>780</v>
      </c>
      <c r="AI70" s="83">
        <f t="shared" si="13"/>
        <v>715</v>
      </c>
      <c r="AJ70" s="83">
        <f t="shared" si="14"/>
        <v>600</v>
      </c>
      <c r="AK70" s="38" t="str">
        <f>VLOOKUP(V70,Sheet2!E:E,1,0)</f>
        <v>003316010020000-33160100205</v>
      </c>
    </row>
    <row r="71" s="40" customFormat="1" ht="28" customHeight="1" spans="1:37">
      <c r="A71" s="55">
        <v>14</v>
      </c>
      <c r="B71" s="59" t="s">
        <v>301</v>
      </c>
      <c r="C71" s="57" t="s">
        <v>302</v>
      </c>
      <c r="D71" s="58" t="s">
        <v>303</v>
      </c>
      <c r="E71" s="58" t="s">
        <v>201</v>
      </c>
      <c r="F71" s="58"/>
      <c r="G71" s="55" t="s">
        <v>98</v>
      </c>
      <c r="H71" s="58" t="s">
        <v>304</v>
      </c>
      <c r="I71" s="64">
        <v>900</v>
      </c>
      <c r="J71" s="64">
        <v>810</v>
      </c>
      <c r="K71" s="65">
        <v>818.576226908005</v>
      </c>
      <c r="L71" s="65">
        <v>749.681978798587</v>
      </c>
      <c r="M71" s="65">
        <v>616.08</v>
      </c>
      <c r="N71" s="71">
        <v>820</v>
      </c>
      <c r="O71" s="71">
        <v>750</v>
      </c>
      <c r="P71" s="75">
        <v>630</v>
      </c>
      <c r="Q71" s="55" t="s">
        <v>37</v>
      </c>
      <c r="R71" s="55" t="s">
        <v>38</v>
      </c>
      <c r="S71" s="55" t="s">
        <v>38</v>
      </c>
      <c r="T71" s="65" t="s">
        <v>39</v>
      </c>
      <c r="U71" s="58" t="s">
        <v>284</v>
      </c>
      <c r="V71" s="16" t="s">
        <v>285</v>
      </c>
      <c r="W71" s="17">
        <v>331601002</v>
      </c>
      <c r="X71" s="16" t="s">
        <v>286</v>
      </c>
      <c r="Y71" s="16" t="s">
        <v>287</v>
      </c>
      <c r="Z71" s="16" t="s">
        <v>288</v>
      </c>
      <c r="AA71" s="16" t="s">
        <v>98</v>
      </c>
      <c r="AB71" s="16" t="s">
        <v>289</v>
      </c>
      <c r="AC71" s="26">
        <v>500</v>
      </c>
      <c r="AD71" s="26">
        <v>480</v>
      </c>
      <c r="AE71" s="26">
        <v>408</v>
      </c>
      <c r="AF71" s="83">
        <f t="shared" si="10"/>
        <v>0</v>
      </c>
      <c r="AG71" s="83" t="str">
        <f t="shared" si="11"/>
        <v>乳腺部分切除费</v>
      </c>
      <c r="AH71" s="83">
        <f t="shared" si="12"/>
        <v>820</v>
      </c>
      <c r="AI71" s="83">
        <f t="shared" si="13"/>
        <v>750</v>
      </c>
      <c r="AJ71" s="83">
        <f t="shared" si="14"/>
        <v>630</v>
      </c>
      <c r="AK71" s="38" t="str">
        <f>VLOOKUP(V71,Sheet2!E:E,1,0)</f>
        <v>003316010020000-331601002</v>
      </c>
    </row>
    <row r="72" s="43" customFormat="1" ht="28" customHeight="1" spans="1:37">
      <c r="A72" s="55"/>
      <c r="B72" s="59"/>
      <c r="C72" s="57" t="s">
        <v>302</v>
      </c>
      <c r="D72" s="58"/>
      <c r="E72" s="58"/>
      <c r="F72" s="58"/>
      <c r="G72" s="55"/>
      <c r="H72" s="58"/>
      <c r="I72" s="64"/>
      <c r="J72" s="64"/>
      <c r="K72" s="65"/>
      <c r="L72" s="65"/>
      <c r="M72" s="65"/>
      <c r="N72" s="71">
        <v>820</v>
      </c>
      <c r="O72" s="71">
        <v>750</v>
      </c>
      <c r="P72" s="75">
        <v>630</v>
      </c>
      <c r="Q72" s="55"/>
      <c r="R72" s="55"/>
      <c r="S72" s="55"/>
      <c r="T72" s="65"/>
      <c r="U72" s="58"/>
      <c r="V72" s="16" t="s">
        <v>305</v>
      </c>
      <c r="W72" s="17">
        <v>33160100201</v>
      </c>
      <c r="X72" s="16" t="s">
        <v>306</v>
      </c>
      <c r="Y72" s="16"/>
      <c r="Z72" s="16"/>
      <c r="AA72" s="16" t="s">
        <v>98</v>
      </c>
      <c r="AB72" s="16" t="s">
        <v>307</v>
      </c>
      <c r="AC72" s="26">
        <v>250</v>
      </c>
      <c r="AD72" s="26">
        <v>240</v>
      </c>
      <c r="AE72" s="26">
        <v>204</v>
      </c>
      <c r="AF72" s="83">
        <f t="shared" si="10"/>
        <v>0</v>
      </c>
      <c r="AG72" s="83" t="str">
        <f t="shared" si="11"/>
        <v>乳腺部分切除费</v>
      </c>
      <c r="AH72" s="83">
        <f t="shared" si="12"/>
        <v>820</v>
      </c>
      <c r="AI72" s="83">
        <f t="shared" si="13"/>
        <v>750</v>
      </c>
      <c r="AJ72" s="83">
        <f t="shared" si="14"/>
        <v>630</v>
      </c>
      <c r="AK72" s="38" t="str">
        <f>VLOOKUP(V72,Sheet2!E:E,1,0)</f>
        <v>003316010020400-33160100201</v>
      </c>
    </row>
    <row r="73" s="40" customFormat="1" ht="28" customHeight="1" spans="1:37">
      <c r="A73" s="55"/>
      <c r="B73" s="59"/>
      <c r="C73" s="57" t="s">
        <v>302</v>
      </c>
      <c r="D73" s="58"/>
      <c r="E73" s="58"/>
      <c r="F73" s="58"/>
      <c r="G73" s="55"/>
      <c r="H73" s="58"/>
      <c r="I73" s="64"/>
      <c r="J73" s="64"/>
      <c r="K73" s="65"/>
      <c r="L73" s="65"/>
      <c r="M73" s="65"/>
      <c r="N73" s="71">
        <v>820</v>
      </c>
      <c r="O73" s="71">
        <v>750</v>
      </c>
      <c r="P73" s="75">
        <v>630</v>
      </c>
      <c r="Q73" s="55"/>
      <c r="R73" s="55"/>
      <c r="S73" s="55"/>
      <c r="T73" s="65"/>
      <c r="U73" s="58"/>
      <c r="V73" s="16" t="s">
        <v>290</v>
      </c>
      <c r="W73" s="17">
        <v>33160100202</v>
      </c>
      <c r="X73" s="16" t="s">
        <v>291</v>
      </c>
      <c r="Y73" s="16"/>
      <c r="Z73" s="16"/>
      <c r="AA73" s="16" t="s">
        <v>98</v>
      </c>
      <c r="AB73" s="16" t="s">
        <v>292</v>
      </c>
      <c r="AC73" s="26">
        <v>125</v>
      </c>
      <c r="AD73" s="26">
        <v>120</v>
      </c>
      <c r="AE73" s="26">
        <v>102</v>
      </c>
      <c r="AF73" s="83">
        <f t="shared" si="10"/>
        <v>0</v>
      </c>
      <c r="AG73" s="83" t="str">
        <f t="shared" si="11"/>
        <v>乳腺部分切除费</v>
      </c>
      <c r="AH73" s="83">
        <f t="shared" si="12"/>
        <v>820</v>
      </c>
      <c r="AI73" s="83">
        <f t="shared" si="13"/>
        <v>750</v>
      </c>
      <c r="AJ73" s="83">
        <f t="shared" si="14"/>
        <v>630</v>
      </c>
      <c r="AK73" s="38" t="str">
        <f>VLOOKUP(V73,Sheet2!E:E,1,0)</f>
        <v>003316010020000-33160100202</v>
      </c>
    </row>
    <row r="74" s="45" customFormat="1" ht="28" customHeight="1" spans="1:37">
      <c r="A74" s="55" t="s">
        <v>57</v>
      </c>
      <c r="B74" s="59" t="s">
        <v>308</v>
      </c>
      <c r="C74" s="57" t="s">
        <v>309</v>
      </c>
      <c r="D74" s="58" t="s">
        <v>38</v>
      </c>
      <c r="E74" s="58" t="s">
        <v>38</v>
      </c>
      <c r="F74" s="58"/>
      <c r="G74" s="55" t="s">
        <v>98</v>
      </c>
      <c r="H74" s="58" t="s">
        <v>38</v>
      </c>
      <c r="I74" s="64">
        <v>270</v>
      </c>
      <c r="J74" s="64">
        <v>243</v>
      </c>
      <c r="K74" s="66"/>
      <c r="L74" s="66"/>
      <c r="M74" s="66"/>
      <c r="N74" s="71">
        <v>245</v>
      </c>
      <c r="O74" s="71">
        <v>225</v>
      </c>
      <c r="P74" s="71">
        <v>190</v>
      </c>
      <c r="Q74" s="55" t="s">
        <v>37</v>
      </c>
      <c r="R74" s="55" t="s">
        <v>38</v>
      </c>
      <c r="S74" s="55" t="s">
        <v>38</v>
      </c>
      <c r="T74" s="66"/>
      <c r="U74" s="58" t="s">
        <v>60</v>
      </c>
      <c r="V74" s="16" t="s">
        <v>295</v>
      </c>
      <c r="W74" s="17">
        <v>33160100203</v>
      </c>
      <c r="X74" s="16" t="s">
        <v>296</v>
      </c>
      <c r="Y74" s="16"/>
      <c r="Z74" s="16"/>
      <c r="AA74" s="16" t="s">
        <v>98</v>
      </c>
      <c r="AB74" s="16" t="s">
        <v>38</v>
      </c>
      <c r="AC74" s="26">
        <v>650</v>
      </c>
      <c r="AD74" s="26">
        <v>625</v>
      </c>
      <c r="AE74" s="26">
        <v>530</v>
      </c>
      <c r="AF74" s="83">
        <f t="shared" si="10"/>
        <v>8</v>
      </c>
      <c r="AG74" s="83" t="str">
        <f t="shared" si="11"/>
        <v>乳腺部分切除费</v>
      </c>
      <c r="AH74" s="83">
        <f t="shared" si="12"/>
        <v>1065</v>
      </c>
      <c r="AI74" s="83">
        <f t="shared" si="13"/>
        <v>975</v>
      </c>
      <c r="AJ74" s="83">
        <f t="shared" si="14"/>
        <v>820</v>
      </c>
      <c r="AK74" s="38" t="str">
        <f>VLOOKUP(V74,Sheet2!E:E,1,0)</f>
        <v>003316010020000-33160100203</v>
      </c>
    </row>
    <row r="75" s="45" customFormat="1" ht="28" customHeight="1" spans="1:37">
      <c r="A75" s="55"/>
      <c r="B75" s="59"/>
      <c r="C75" s="57" t="s">
        <v>309</v>
      </c>
      <c r="D75" s="58"/>
      <c r="E75" s="58"/>
      <c r="F75" s="58"/>
      <c r="G75" s="55"/>
      <c r="H75" s="58"/>
      <c r="I75" s="64"/>
      <c r="J75" s="64"/>
      <c r="K75" s="66"/>
      <c r="L75" s="66"/>
      <c r="M75" s="66"/>
      <c r="N75" s="71">
        <v>245</v>
      </c>
      <c r="O75" s="71">
        <v>225</v>
      </c>
      <c r="P75" s="71">
        <v>190</v>
      </c>
      <c r="Q75" s="55"/>
      <c r="R75" s="55"/>
      <c r="S75" s="55"/>
      <c r="T75" s="66"/>
      <c r="U75" s="58"/>
      <c r="V75" s="16" t="s">
        <v>310</v>
      </c>
      <c r="W75" s="17">
        <v>33160100204</v>
      </c>
      <c r="X75" s="16" t="s">
        <v>311</v>
      </c>
      <c r="Y75" s="16"/>
      <c r="Z75" s="16"/>
      <c r="AA75" s="16" t="s">
        <v>98</v>
      </c>
      <c r="AB75" s="16" t="s">
        <v>307</v>
      </c>
      <c r="AC75" s="26">
        <v>325</v>
      </c>
      <c r="AD75" s="26">
        <v>310</v>
      </c>
      <c r="AE75" s="26">
        <v>265</v>
      </c>
      <c r="AF75" s="83">
        <f t="shared" si="10"/>
        <v>8</v>
      </c>
      <c r="AG75" s="83" t="str">
        <f t="shared" si="11"/>
        <v>乳腺部分切除费</v>
      </c>
      <c r="AH75" s="83">
        <f t="shared" si="12"/>
        <v>1065</v>
      </c>
      <c r="AI75" s="83">
        <f t="shared" si="13"/>
        <v>975</v>
      </c>
      <c r="AJ75" s="83">
        <f t="shared" si="14"/>
        <v>820</v>
      </c>
      <c r="AK75" s="38" t="str">
        <f>VLOOKUP(V75,Sheet2!E:E,1,0)</f>
        <v>003316010020400-33160100204</v>
      </c>
    </row>
    <row r="76" s="45" customFormat="1" ht="28" customHeight="1" spans="1:37">
      <c r="A76" s="55"/>
      <c r="B76" s="59"/>
      <c r="C76" s="57" t="s">
        <v>309</v>
      </c>
      <c r="D76" s="58"/>
      <c r="E76" s="58"/>
      <c r="F76" s="58"/>
      <c r="G76" s="55"/>
      <c r="H76" s="58"/>
      <c r="I76" s="64"/>
      <c r="J76" s="64"/>
      <c r="K76" s="66"/>
      <c r="L76" s="66"/>
      <c r="M76" s="66"/>
      <c r="N76" s="71">
        <v>245</v>
      </c>
      <c r="O76" s="71">
        <v>225</v>
      </c>
      <c r="P76" s="71">
        <v>190</v>
      </c>
      <c r="Q76" s="55"/>
      <c r="R76" s="55"/>
      <c r="S76" s="55"/>
      <c r="T76" s="66"/>
      <c r="U76" s="58"/>
      <c r="V76" s="16" t="s">
        <v>297</v>
      </c>
      <c r="W76" s="17">
        <v>33160100205</v>
      </c>
      <c r="X76" s="16" t="s">
        <v>298</v>
      </c>
      <c r="Y76" s="16"/>
      <c r="Z76" s="16"/>
      <c r="AA76" s="16" t="s">
        <v>98</v>
      </c>
      <c r="AB76" s="16" t="s">
        <v>292</v>
      </c>
      <c r="AC76" s="26">
        <v>165</v>
      </c>
      <c r="AD76" s="26">
        <v>155</v>
      </c>
      <c r="AE76" s="26">
        <v>130</v>
      </c>
      <c r="AF76" s="83">
        <f t="shared" si="10"/>
        <v>8</v>
      </c>
      <c r="AG76" s="83" t="str">
        <f t="shared" si="11"/>
        <v>乳腺部分切除费</v>
      </c>
      <c r="AH76" s="83">
        <f t="shared" si="12"/>
        <v>1065</v>
      </c>
      <c r="AI76" s="83">
        <f t="shared" si="13"/>
        <v>975</v>
      </c>
      <c r="AJ76" s="83">
        <f t="shared" si="14"/>
        <v>820</v>
      </c>
      <c r="AK76" s="38" t="str">
        <f>VLOOKUP(V76,Sheet2!E:E,1,0)</f>
        <v>003316010020000-33160100205</v>
      </c>
    </row>
    <row r="77" s="40" customFormat="1" ht="27" customHeight="1" spans="1:37">
      <c r="A77" s="55">
        <v>15</v>
      </c>
      <c r="B77" s="59" t="s">
        <v>314</v>
      </c>
      <c r="C77" s="57" t="s">
        <v>315</v>
      </c>
      <c r="D77" s="58" t="s">
        <v>316</v>
      </c>
      <c r="E77" s="58" t="s">
        <v>201</v>
      </c>
      <c r="F77" s="58"/>
      <c r="G77" s="55" t="s">
        <v>98</v>
      </c>
      <c r="H77" s="58" t="s">
        <v>317</v>
      </c>
      <c r="I77" s="64">
        <v>1700</v>
      </c>
      <c r="J77" s="64">
        <v>1530</v>
      </c>
      <c r="K77" s="65">
        <v>1548.55667627281</v>
      </c>
      <c r="L77" s="65">
        <v>1392.88566243194</v>
      </c>
      <c r="M77" s="65">
        <v>1192.47058823529</v>
      </c>
      <c r="N77" s="71">
        <v>1550</v>
      </c>
      <c r="O77" s="71">
        <v>1395</v>
      </c>
      <c r="P77" s="71">
        <v>1200</v>
      </c>
      <c r="Q77" s="55" t="s">
        <v>37</v>
      </c>
      <c r="R77" s="55" t="s">
        <v>38</v>
      </c>
      <c r="S77" s="55" t="s">
        <v>38</v>
      </c>
      <c r="T77" s="65" t="s">
        <v>39</v>
      </c>
      <c r="U77" s="58" t="s">
        <v>318</v>
      </c>
      <c r="V77" s="16" t="s">
        <v>319</v>
      </c>
      <c r="W77" s="17">
        <v>331601004</v>
      </c>
      <c r="X77" s="16" t="s">
        <v>320</v>
      </c>
      <c r="Y77" s="16"/>
      <c r="Z77" s="16"/>
      <c r="AA77" s="16" t="s">
        <v>98</v>
      </c>
      <c r="AB77" s="16" t="s">
        <v>38</v>
      </c>
      <c r="AC77" s="26">
        <v>875</v>
      </c>
      <c r="AD77" s="26">
        <v>840</v>
      </c>
      <c r="AE77" s="26">
        <v>714</v>
      </c>
      <c r="AF77" s="83">
        <f t="shared" si="10"/>
        <v>0</v>
      </c>
      <c r="AG77" s="83" t="str">
        <f t="shared" si="11"/>
        <v>乳腺全切除费</v>
      </c>
      <c r="AH77" s="83">
        <f t="shared" si="12"/>
        <v>1550</v>
      </c>
      <c r="AI77" s="83">
        <f t="shared" si="13"/>
        <v>1395</v>
      </c>
      <c r="AJ77" s="83">
        <f t="shared" si="14"/>
        <v>1200</v>
      </c>
      <c r="AK77" s="38" t="str">
        <f>VLOOKUP(V77,Sheet2!E:E,1,0)</f>
        <v>003316010040000-331601004</v>
      </c>
    </row>
    <row r="78" s="40" customFormat="1" ht="28" customHeight="1" spans="1:37">
      <c r="A78" s="55"/>
      <c r="B78" s="59"/>
      <c r="C78" s="57" t="s">
        <v>315</v>
      </c>
      <c r="D78" s="58"/>
      <c r="E78" s="58"/>
      <c r="F78" s="58"/>
      <c r="G78" s="55"/>
      <c r="H78" s="58"/>
      <c r="I78" s="64"/>
      <c r="J78" s="64"/>
      <c r="K78" s="65"/>
      <c r="L78" s="65"/>
      <c r="M78" s="65"/>
      <c r="N78" s="71">
        <v>1550</v>
      </c>
      <c r="O78" s="71">
        <v>1395</v>
      </c>
      <c r="P78" s="71">
        <v>1200</v>
      </c>
      <c r="Q78" s="55"/>
      <c r="R78" s="55"/>
      <c r="S78" s="55"/>
      <c r="T78" s="65"/>
      <c r="U78" s="58"/>
      <c r="V78" s="16" t="s">
        <v>321</v>
      </c>
      <c r="W78" s="17">
        <v>331601005</v>
      </c>
      <c r="X78" s="16" t="s">
        <v>322</v>
      </c>
      <c r="Y78" s="16"/>
      <c r="Z78" s="16" t="s">
        <v>323</v>
      </c>
      <c r="AA78" s="16" t="s">
        <v>98</v>
      </c>
      <c r="AB78" s="16" t="s">
        <v>324</v>
      </c>
      <c r="AC78" s="26">
        <v>2530</v>
      </c>
      <c r="AD78" s="26">
        <v>2280</v>
      </c>
      <c r="AE78" s="26">
        <v>1940</v>
      </c>
      <c r="AF78" s="83">
        <f t="shared" si="10"/>
        <v>0</v>
      </c>
      <c r="AG78" s="83" t="str">
        <f t="shared" si="11"/>
        <v>乳腺全切除费</v>
      </c>
      <c r="AH78" s="83">
        <f t="shared" si="12"/>
        <v>1550</v>
      </c>
      <c r="AI78" s="83">
        <f t="shared" si="13"/>
        <v>1395</v>
      </c>
      <c r="AJ78" s="83">
        <f t="shared" si="14"/>
        <v>1200</v>
      </c>
      <c r="AK78" s="38" t="str">
        <f>VLOOKUP(V78,Sheet2!E:E,1,0)</f>
        <v>003316010050000-331601005</v>
      </c>
    </row>
    <row r="79" s="40" customFormat="1" ht="27" customHeight="1" spans="1:37">
      <c r="A79" s="55"/>
      <c r="B79" s="59"/>
      <c r="C79" s="57" t="s">
        <v>315</v>
      </c>
      <c r="D79" s="58"/>
      <c r="E79" s="58"/>
      <c r="F79" s="58"/>
      <c r="G79" s="55"/>
      <c r="H79" s="58"/>
      <c r="I79" s="64"/>
      <c r="J79" s="64"/>
      <c r="K79" s="65"/>
      <c r="L79" s="65"/>
      <c r="M79" s="65"/>
      <c r="N79" s="71">
        <v>1550</v>
      </c>
      <c r="O79" s="71">
        <v>1395</v>
      </c>
      <c r="P79" s="71">
        <v>1200</v>
      </c>
      <c r="Q79" s="55"/>
      <c r="R79" s="55"/>
      <c r="S79" s="55"/>
      <c r="T79" s="65"/>
      <c r="U79" s="58"/>
      <c r="V79" s="16" t="s">
        <v>327</v>
      </c>
      <c r="W79" s="17">
        <v>33160100502</v>
      </c>
      <c r="X79" s="16" t="s">
        <v>328</v>
      </c>
      <c r="Y79" s="16"/>
      <c r="Z79" s="16"/>
      <c r="AA79" s="16" t="s">
        <v>98</v>
      </c>
      <c r="AB79" s="16" t="s">
        <v>38</v>
      </c>
      <c r="AC79" s="26">
        <v>430</v>
      </c>
      <c r="AD79" s="26">
        <v>385</v>
      </c>
      <c r="AE79" s="26">
        <v>330</v>
      </c>
      <c r="AF79" s="83">
        <f t="shared" si="10"/>
        <v>0</v>
      </c>
      <c r="AG79" s="83" t="str">
        <f t="shared" si="11"/>
        <v>乳腺全切除费</v>
      </c>
      <c r="AH79" s="83">
        <f t="shared" si="12"/>
        <v>1550</v>
      </c>
      <c r="AI79" s="83">
        <f t="shared" si="13"/>
        <v>1395</v>
      </c>
      <c r="AJ79" s="83">
        <f t="shared" si="14"/>
        <v>1200</v>
      </c>
      <c r="AK79" s="38" t="str">
        <f>VLOOKUP(V79,Sheet2!E:E,1,0)</f>
        <v>003316010050001-33160100502</v>
      </c>
    </row>
    <row r="80" s="40" customFormat="1" ht="27" customHeight="1" spans="1:37">
      <c r="A80" s="55" t="s">
        <v>57</v>
      </c>
      <c r="B80" s="59" t="s">
        <v>329</v>
      </c>
      <c r="C80" s="57" t="s">
        <v>330</v>
      </c>
      <c r="D80" s="58" t="s">
        <v>38</v>
      </c>
      <c r="E80" s="58" t="s">
        <v>38</v>
      </c>
      <c r="F80" s="58"/>
      <c r="G80" s="55" t="s">
        <v>98</v>
      </c>
      <c r="H80" s="58" t="s">
        <v>38</v>
      </c>
      <c r="I80" s="64">
        <v>510</v>
      </c>
      <c r="J80" s="64">
        <v>459</v>
      </c>
      <c r="K80" s="66"/>
      <c r="L80" s="66"/>
      <c r="M80" s="66"/>
      <c r="N80" s="71">
        <v>465</v>
      </c>
      <c r="O80" s="71">
        <v>420</v>
      </c>
      <c r="P80" s="71">
        <v>360</v>
      </c>
      <c r="Q80" s="55" t="s">
        <v>37</v>
      </c>
      <c r="R80" s="55" t="s">
        <v>38</v>
      </c>
      <c r="S80" s="55" t="s">
        <v>38</v>
      </c>
      <c r="T80" s="66"/>
      <c r="U80" s="58" t="s">
        <v>60</v>
      </c>
      <c r="V80" s="16" t="s">
        <v>331</v>
      </c>
      <c r="W80" s="17">
        <v>33160100401</v>
      </c>
      <c r="X80" s="16" t="s">
        <v>332</v>
      </c>
      <c r="Y80" s="16"/>
      <c r="Z80" s="16"/>
      <c r="AA80" s="16" t="s">
        <v>98</v>
      </c>
      <c r="AB80" s="16" t="s">
        <v>38</v>
      </c>
      <c r="AC80" s="26">
        <v>1140</v>
      </c>
      <c r="AD80" s="26">
        <v>1090</v>
      </c>
      <c r="AE80" s="26">
        <v>925</v>
      </c>
      <c r="AF80" s="83">
        <f t="shared" si="10"/>
        <v>7</v>
      </c>
      <c r="AG80" s="83" t="str">
        <f t="shared" si="11"/>
        <v>乳腺全切除费</v>
      </c>
      <c r="AH80" s="83">
        <f t="shared" si="12"/>
        <v>2015</v>
      </c>
      <c r="AI80" s="83">
        <f t="shared" si="13"/>
        <v>1815</v>
      </c>
      <c r="AJ80" s="83">
        <f t="shared" si="14"/>
        <v>1560</v>
      </c>
      <c r="AK80" s="38" t="str">
        <f>VLOOKUP(V80,Sheet2!E:E,1,0)</f>
        <v>003316010040000-33160100401</v>
      </c>
    </row>
    <row r="81" s="40" customFormat="1" ht="27" customHeight="1" spans="1:37">
      <c r="A81" s="55"/>
      <c r="B81" s="59"/>
      <c r="C81" s="57" t="s">
        <v>330</v>
      </c>
      <c r="D81" s="58"/>
      <c r="E81" s="58"/>
      <c r="F81" s="58"/>
      <c r="G81" s="55"/>
      <c r="H81" s="58"/>
      <c r="I81" s="64"/>
      <c r="J81" s="64"/>
      <c r="K81" s="66"/>
      <c r="L81" s="66"/>
      <c r="M81" s="66"/>
      <c r="N81" s="71">
        <v>465</v>
      </c>
      <c r="O81" s="71">
        <v>420</v>
      </c>
      <c r="P81" s="71">
        <v>360</v>
      </c>
      <c r="Q81" s="55"/>
      <c r="R81" s="55"/>
      <c r="S81" s="55"/>
      <c r="T81" s="66"/>
      <c r="U81" s="58"/>
      <c r="V81" s="16" t="s">
        <v>333</v>
      </c>
      <c r="W81" s="17">
        <v>33160100503</v>
      </c>
      <c r="X81" s="16" t="s">
        <v>334</v>
      </c>
      <c r="Y81" s="16" t="s">
        <v>335</v>
      </c>
      <c r="Z81" s="16"/>
      <c r="AA81" s="16" t="s">
        <v>98</v>
      </c>
      <c r="AB81" s="16" t="s">
        <v>38</v>
      </c>
      <c r="AC81" s="26">
        <v>3290</v>
      </c>
      <c r="AD81" s="26">
        <v>2965</v>
      </c>
      <c r="AE81" s="26">
        <v>2520</v>
      </c>
      <c r="AF81" s="83">
        <f t="shared" si="10"/>
        <v>7</v>
      </c>
      <c r="AG81" s="83" t="str">
        <f t="shared" si="11"/>
        <v>乳腺全切除费</v>
      </c>
      <c r="AH81" s="83">
        <f t="shared" si="12"/>
        <v>2015</v>
      </c>
      <c r="AI81" s="83">
        <f t="shared" si="13"/>
        <v>1815</v>
      </c>
      <c r="AJ81" s="83">
        <f t="shared" si="14"/>
        <v>1560</v>
      </c>
      <c r="AK81" s="38" t="str">
        <f>VLOOKUP(V81,Sheet2!E:E,1,0)</f>
        <v>003316010050000-33160100503</v>
      </c>
    </row>
    <row r="82" s="40" customFormat="1" ht="27" customHeight="1" spans="1:37">
      <c r="A82" s="55"/>
      <c r="B82" s="59"/>
      <c r="C82" s="57" t="s">
        <v>330</v>
      </c>
      <c r="D82" s="58"/>
      <c r="E82" s="58"/>
      <c r="F82" s="58"/>
      <c r="G82" s="55"/>
      <c r="H82" s="58"/>
      <c r="I82" s="64"/>
      <c r="J82" s="64"/>
      <c r="K82" s="66"/>
      <c r="L82" s="66"/>
      <c r="M82" s="66"/>
      <c r="N82" s="71">
        <v>465</v>
      </c>
      <c r="O82" s="71">
        <v>420</v>
      </c>
      <c r="P82" s="71">
        <v>360</v>
      </c>
      <c r="Q82" s="55"/>
      <c r="R82" s="55"/>
      <c r="S82" s="55"/>
      <c r="T82" s="66"/>
      <c r="U82" s="58"/>
      <c r="V82" s="16" t="s">
        <v>336</v>
      </c>
      <c r="W82" s="17">
        <v>33160100505</v>
      </c>
      <c r="X82" s="16" t="s">
        <v>337</v>
      </c>
      <c r="Y82" s="16"/>
      <c r="Z82" s="16"/>
      <c r="AA82" s="16" t="s">
        <v>98</v>
      </c>
      <c r="AB82" s="16" t="s">
        <v>338</v>
      </c>
      <c r="AC82" s="26">
        <v>560</v>
      </c>
      <c r="AD82" s="26">
        <v>500</v>
      </c>
      <c r="AE82" s="26">
        <v>425</v>
      </c>
      <c r="AF82" s="83">
        <f t="shared" si="10"/>
        <v>7</v>
      </c>
      <c r="AG82" s="83" t="str">
        <f t="shared" si="11"/>
        <v>乳腺全切除费</v>
      </c>
      <c r="AH82" s="83">
        <f t="shared" si="12"/>
        <v>2015</v>
      </c>
      <c r="AI82" s="83">
        <f t="shared" si="13"/>
        <v>1815</v>
      </c>
      <c r="AJ82" s="83">
        <f t="shared" si="14"/>
        <v>1560</v>
      </c>
      <c r="AK82" s="38" t="str">
        <f>VLOOKUP(V82,Sheet2!E:E,1,0)</f>
        <v>003316010050001-33160100505</v>
      </c>
    </row>
    <row r="83" s="40" customFormat="1" ht="33" customHeight="1" spans="1:37">
      <c r="A83" s="55" t="s">
        <v>57</v>
      </c>
      <c r="B83" s="59" t="s">
        <v>339</v>
      </c>
      <c r="C83" s="57" t="s">
        <v>340</v>
      </c>
      <c r="D83" s="58" t="s">
        <v>38</v>
      </c>
      <c r="E83" s="58" t="s">
        <v>38</v>
      </c>
      <c r="F83" s="58"/>
      <c r="G83" s="55" t="s">
        <v>98</v>
      </c>
      <c r="H83" s="58" t="s">
        <v>38</v>
      </c>
      <c r="I83" s="64">
        <v>510</v>
      </c>
      <c r="J83" s="64">
        <v>459</v>
      </c>
      <c r="K83" s="66">
        <v>985</v>
      </c>
      <c r="L83" s="66">
        <v>885</v>
      </c>
      <c r="M83" s="66">
        <v>735</v>
      </c>
      <c r="N83" s="71">
        <v>465</v>
      </c>
      <c r="O83" s="71">
        <v>420</v>
      </c>
      <c r="P83" s="71">
        <v>360</v>
      </c>
      <c r="Q83" s="55" t="s">
        <v>37</v>
      </c>
      <c r="R83" s="55" t="s">
        <v>38</v>
      </c>
      <c r="S83" s="55" t="s">
        <v>38</v>
      </c>
      <c r="T83" s="66"/>
      <c r="U83" s="58" t="s">
        <v>341</v>
      </c>
      <c r="V83" s="16" t="s">
        <v>342</v>
      </c>
      <c r="W83" s="17">
        <v>331601006</v>
      </c>
      <c r="X83" s="16" t="s">
        <v>343</v>
      </c>
      <c r="Y83" s="16" t="s">
        <v>344</v>
      </c>
      <c r="Z83" s="16"/>
      <c r="AA83" s="16" t="s">
        <v>98</v>
      </c>
      <c r="AB83" s="16" t="s">
        <v>38</v>
      </c>
      <c r="AC83" s="26">
        <v>3380</v>
      </c>
      <c r="AD83" s="26">
        <v>3040</v>
      </c>
      <c r="AE83" s="26">
        <v>2580</v>
      </c>
      <c r="AF83" s="83">
        <f t="shared" si="10"/>
        <v>0</v>
      </c>
      <c r="AG83" s="83" t="str">
        <f t="shared" si="11"/>
        <v>乳腺全切除费-恶性肿瘤扩大根治性切除（加收）</v>
      </c>
      <c r="AH83" s="83">
        <f t="shared" si="12"/>
        <v>465</v>
      </c>
      <c r="AI83" s="83">
        <f t="shared" si="13"/>
        <v>420</v>
      </c>
      <c r="AJ83" s="83">
        <f t="shared" si="14"/>
        <v>360</v>
      </c>
      <c r="AK83" s="38" t="str">
        <f>VLOOKUP(V83,Sheet2!E:E,1,0)</f>
        <v>003316010060000-331601006</v>
      </c>
    </row>
    <row r="84" s="40" customFormat="1" ht="33" customHeight="1" spans="1:37">
      <c r="A84" s="55"/>
      <c r="B84" s="59"/>
      <c r="C84" s="57" t="s">
        <v>340</v>
      </c>
      <c r="D84" s="58"/>
      <c r="E84" s="58"/>
      <c r="F84" s="58"/>
      <c r="G84" s="55"/>
      <c r="H84" s="58"/>
      <c r="I84" s="64"/>
      <c r="J84" s="64"/>
      <c r="K84" s="66"/>
      <c r="L84" s="66"/>
      <c r="M84" s="66"/>
      <c r="N84" s="71">
        <v>465</v>
      </c>
      <c r="O84" s="71">
        <v>420</v>
      </c>
      <c r="P84" s="71">
        <v>360</v>
      </c>
      <c r="Q84" s="55"/>
      <c r="R84" s="55"/>
      <c r="S84" s="55"/>
      <c r="T84" s="66"/>
      <c r="U84" s="58"/>
      <c r="V84" s="16" t="s">
        <v>345</v>
      </c>
      <c r="W84" s="17">
        <v>33160100601</v>
      </c>
      <c r="X84" s="16" t="s">
        <v>346</v>
      </c>
      <c r="Y84" s="16"/>
      <c r="Z84" s="16"/>
      <c r="AA84" s="16" t="s">
        <v>98</v>
      </c>
      <c r="AB84" s="16" t="s">
        <v>38</v>
      </c>
      <c r="AC84" s="26">
        <v>4395</v>
      </c>
      <c r="AD84" s="26">
        <v>3950</v>
      </c>
      <c r="AE84" s="26">
        <v>3360</v>
      </c>
      <c r="AF84" s="83">
        <f t="shared" si="10"/>
        <v>0</v>
      </c>
      <c r="AG84" s="83" t="str">
        <f t="shared" si="11"/>
        <v>乳腺全切除费-恶性肿瘤扩大根治性切除（加收）</v>
      </c>
      <c r="AH84" s="83">
        <f t="shared" si="12"/>
        <v>465</v>
      </c>
      <c r="AI84" s="83">
        <f t="shared" si="13"/>
        <v>420</v>
      </c>
      <c r="AJ84" s="83">
        <f t="shared" si="14"/>
        <v>360</v>
      </c>
      <c r="AK84" s="38" t="str">
        <f>VLOOKUP(V84,Sheet2!E:E,1,0)</f>
        <v>003316010060000-33160100601</v>
      </c>
    </row>
    <row r="85" s="40" customFormat="1" ht="41" customHeight="1" spans="1:37">
      <c r="A85" s="55" t="s">
        <v>57</v>
      </c>
      <c r="B85" s="59" t="s">
        <v>347</v>
      </c>
      <c r="C85" s="57" t="s">
        <v>348</v>
      </c>
      <c r="D85" s="58" t="s">
        <v>38</v>
      </c>
      <c r="E85" s="58" t="s">
        <v>38</v>
      </c>
      <c r="F85" s="58"/>
      <c r="G85" s="55" t="s">
        <v>98</v>
      </c>
      <c r="H85" s="58" t="s">
        <v>38</v>
      </c>
      <c r="I85" s="64">
        <v>510</v>
      </c>
      <c r="J85" s="64">
        <v>459</v>
      </c>
      <c r="K85" s="66">
        <v>430</v>
      </c>
      <c r="L85" s="66">
        <v>385</v>
      </c>
      <c r="M85" s="66">
        <v>330</v>
      </c>
      <c r="N85" s="71">
        <v>465</v>
      </c>
      <c r="O85" s="71">
        <v>420</v>
      </c>
      <c r="P85" s="71">
        <v>360</v>
      </c>
      <c r="Q85" s="55"/>
      <c r="R85" s="55"/>
      <c r="S85" s="55"/>
      <c r="T85" s="66"/>
      <c r="U85" s="58"/>
      <c r="V85" s="16" t="s">
        <v>349</v>
      </c>
      <c r="W85" s="17">
        <v>33160100501</v>
      </c>
      <c r="X85" s="16" t="s">
        <v>350</v>
      </c>
      <c r="Y85" s="16"/>
      <c r="Z85" s="16"/>
      <c r="AA85" s="16" t="s">
        <v>98</v>
      </c>
      <c r="AB85" s="16" t="s">
        <v>38</v>
      </c>
      <c r="AC85" s="26">
        <v>430</v>
      </c>
      <c r="AD85" s="26">
        <v>385</v>
      </c>
      <c r="AE85" s="26">
        <v>330</v>
      </c>
      <c r="AF85" s="83">
        <f t="shared" si="10"/>
        <v>0</v>
      </c>
      <c r="AG85" s="83" t="str">
        <f t="shared" si="11"/>
        <v>乳腺全切除费-保留乳头乳晕复合体/皮肤（加收）</v>
      </c>
      <c r="AH85" s="83">
        <f t="shared" si="12"/>
        <v>465</v>
      </c>
      <c r="AI85" s="83">
        <f t="shared" si="13"/>
        <v>420</v>
      </c>
      <c r="AJ85" s="83">
        <f t="shared" si="14"/>
        <v>360</v>
      </c>
      <c r="AK85" s="38" t="str">
        <f>VLOOKUP(V85,Sheet2!E:E,1,0)</f>
        <v>003316010050100-33160100501</v>
      </c>
    </row>
    <row r="86" s="40" customFormat="1" ht="41" customHeight="1" spans="1:37">
      <c r="A86" s="55"/>
      <c r="B86" s="59"/>
      <c r="C86" s="57" t="s">
        <v>348</v>
      </c>
      <c r="D86" s="58"/>
      <c r="E86" s="58"/>
      <c r="F86" s="58"/>
      <c r="G86" s="55"/>
      <c r="H86" s="58"/>
      <c r="I86" s="64"/>
      <c r="J86" s="64"/>
      <c r="K86" s="66"/>
      <c r="L86" s="66"/>
      <c r="M86" s="66"/>
      <c r="N86" s="71">
        <v>465</v>
      </c>
      <c r="O86" s="71">
        <v>420</v>
      </c>
      <c r="P86" s="71">
        <v>360</v>
      </c>
      <c r="Q86" s="55"/>
      <c r="R86" s="55"/>
      <c r="S86" s="55"/>
      <c r="T86" s="66"/>
      <c r="U86" s="58"/>
      <c r="V86" s="16" t="s">
        <v>351</v>
      </c>
      <c r="W86" s="17">
        <v>33160100504</v>
      </c>
      <c r="X86" s="16" t="s">
        <v>352</v>
      </c>
      <c r="Y86" s="16"/>
      <c r="Z86" s="16"/>
      <c r="AA86" s="16" t="s">
        <v>98</v>
      </c>
      <c r="AB86" s="16" t="s">
        <v>353</v>
      </c>
      <c r="AC86" s="26">
        <v>560</v>
      </c>
      <c r="AD86" s="26">
        <v>500</v>
      </c>
      <c r="AE86" s="26">
        <v>425</v>
      </c>
      <c r="AF86" s="83">
        <f t="shared" si="10"/>
        <v>0</v>
      </c>
      <c r="AG86" s="83" t="str">
        <f t="shared" si="11"/>
        <v>乳腺全切除费-保留乳头乳晕复合体/皮肤（加收）</v>
      </c>
      <c r="AH86" s="83">
        <f t="shared" si="12"/>
        <v>465</v>
      </c>
      <c r="AI86" s="83">
        <f t="shared" si="13"/>
        <v>420</v>
      </c>
      <c r="AJ86" s="83">
        <f t="shared" si="14"/>
        <v>360</v>
      </c>
      <c r="AK86" s="38" t="str">
        <f>VLOOKUP(V86,Sheet2!E:E,1,0)</f>
        <v>003316010050100-33160100504</v>
      </c>
    </row>
    <row r="87" s="40" customFormat="1" ht="89" customHeight="1" spans="1:37">
      <c r="A87" s="55">
        <v>16</v>
      </c>
      <c r="B87" s="59" t="s">
        <v>354</v>
      </c>
      <c r="C87" s="55" t="s">
        <v>355</v>
      </c>
      <c r="D87" s="58" t="s">
        <v>356</v>
      </c>
      <c r="E87" s="58" t="s">
        <v>201</v>
      </c>
      <c r="F87" s="58"/>
      <c r="G87" s="55" t="s">
        <v>98</v>
      </c>
      <c r="H87" s="58" t="s">
        <v>38</v>
      </c>
      <c r="I87" s="64">
        <v>500</v>
      </c>
      <c r="J87" s="64">
        <v>450</v>
      </c>
      <c r="K87" s="66">
        <v>500</v>
      </c>
      <c r="L87" s="66">
        <v>480</v>
      </c>
      <c r="M87" s="66">
        <v>408</v>
      </c>
      <c r="N87" s="74">
        <v>500</v>
      </c>
      <c r="O87" s="73">
        <v>450</v>
      </c>
      <c r="P87" s="73">
        <v>390</v>
      </c>
      <c r="Q87" s="55" t="s">
        <v>37</v>
      </c>
      <c r="R87" s="55" t="s">
        <v>38</v>
      </c>
      <c r="S87" s="55" t="s">
        <v>38</v>
      </c>
      <c r="T87" s="66" t="s">
        <v>357</v>
      </c>
      <c r="U87" s="61" t="s">
        <v>358</v>
      </c>
      <c r="V87" s="16" t="s">
        <v>359</v>
      </c>
      <c r="W87" s="17">
        <v>331601003</v>
      </c>
      <c r="X87" s="16" t="s">
        <v>360</v>
      </c>
      <c r="Y87" s="16"/>
      <c r="Z87" s="16"/>
      <c r="AA87" s="16" t="s">
        <v>98</v>
      </c>
      <c r="AB87" s="16" t="s">
        <v>38</v>
      </c>
      <c r="AC87" s="26">
        <v>500</v>
      </c>
      <c r="AD87" s="26">
        <v>480</v>
      </c>
      <c r="AE87" s="26">
        <v>408</v>
      </c>
      <c r="AF87" s="83">
        <f t="shared" si="10"/>
        <v>0</v>
      </c>
      <c r="AG87" s="83" t="str">
        <f t="shared" si="11"/>
        <v>副乳病变切除费</v>
      </c>
      <c r="AH87" s="83">
        <f t="shared" si="12"/>
        <v>500</v>
      </c>
      <c r="AI87" s="83">
        <f t="shared" si="13"/>
        <v>450</v>
      </c>
      <c r="AJ87" s="83">
        <f t="shared" si="14"/>
        <v>390</v>
      </c>
      <c r="AK87" s="38" t="str">
        <f>VLOOKUP(V87,Sheet2!E:E,1,0)</f>
        <v>003316010030000-331601003</v>
      </c>
    </row>
    <row r="88" s="43" customFormat="1" ht="39" customHeight="1" spans="1:37">
      <c r="A88" s="55" t="s">
        <v>57</v>
      </c>
      <c r="B88" s="59" t="s">
        <v>361</v>
      </c>
      <c r="C88" s="55" t="s">
        <v>362</v>
      </c>
      <c r="D88" s="58" t="s">
        <v>38</v>
      </c>
      <c r="E88" s="58" t="s">
        <v>38</v>
      </c>
      <c r="F88" s="58"/>
      <c r="G88" s="55" t="s">
        <v>98</v>
      </c>
      <c r="H88" s="58" t="s">
        <v>38</v>
      </c>
      <c r="I88" s="64">
        <v>150</v>
      </c>
      <c r="J88" s="64">
        <v>135</v>
      </c>
      <c r="K88" s="66"/>
      <c r="L88" s="66"/>
      <c r="M88" s="66"/>
      <c r="N88" s="74">
        <v>150</v>
      </c>
      <c r="O88" s="74">
        <v>135</v>
      </c>
      <c r="P88" s="74">
        <v>115</v>
      </c>
      <c r="Q88" s="55" t="s">
        <v>37</v>
      </c>
      <c r="R88" s="55" t="s">
        <v>38</v>
      </c>
      <c r="S88" s="55" t="s">
        <v>38</v>
      </c>
      <c r="T88" s="66"/>
      <c r="U88" s="58" t="s">
        <v>60</v>
      </c>
      <c r="V88" s="16" t="s">
        <v>363</v>
      </c>
      <c r="W88" s="17">
        <v>33160100301</v>
      </c>
      <c r="X88" s="16" t="s">
        <v>364</v>
      </c>
      <c r="Y88" s="16"/>
      <c r="Z88" s="16"/>
      <c r="AA88" s="16" t="s">
        <v>98</v>
      </c>
      <c r="AB88" s="16" t="s">
        <v>38</v>
      </c>
      <c r="AC88" s="26">
        <v>650</v>
      </c>
      <c r="AD88" s="26">
        <v>625</v>
      </c>
      <c r="AE88" s="26">
        <v>530</v>
      </c>
      <c r="AF88" s="83">
        <f t="shared" si="10"/>
        <v>8</v>
      </c>
      <c r="AG88" s="83" t="str">
        <f t="shared" si="11"/>
        <v>副乳病变切除费</v>
      </c>
      <c r="AH88" s="83">
        <f t="shared" si="12"/>
        <v>650</v>
      </c>
      <c r="AI88" s="83">
        <f t="shared" si="13"/>
        <v>585</v>
      </c>
      <c r="AJ88" s="83">
        <f t="shared" si="14"/>
        <v>505</v>
      </c>
      <c r="AK88" s="38" t="str">
        <f>VLOOKUP(V88,Sheet2!E:E,1,0)</f>
        <v>003316010030000-33160100301</v>
      </c>
    </row>
    <row r="89" s="40" customFormat="1" ht="51" customHeight="1" spans="1:37">
      <c r="A89" s="59">
        <v>18</v>
      </c>
      <c r="B89" s="59" t="s">
        <v>374</v>
      </c>
      <c r="C89" s="59" t="s">
        <v>375</v>
      </c>
      <c r="D89" s="61" t="s">
        <v>376</v>
      </c>
      <c r="E89" s="61" t="s">
        <v>377</v>
      </c>
      <c r="F89" s="61"/>
      <c r="G89" s="59" t="s">
        <v>35</v>
      </c>
      <c r="H89" s="61" t="s">
        <v>38</v>
      </c>
      <c r="I89" s="69">
        <v>225</v>
      </c>
      <c r="J89" s="69">
        <v>203</v>
      </c>
      <c r="K89" s="70">
        <v>225</v>
      </c>
      <c r="L89" s="70">
        <v>216</v>
      </c>
      <c r="M89" s="70">
        <v>183.6</v>
      </c>
      <c r="N89" s="86">
        <v>225</v>
      </c>
      <c r="O89" s="85">
        <v>203</v>
      </c>
      <c r="P89" s="85">
        <v>175</v>
      </c>
      <c r="Q89" s="59" t="s">
        <v>37</v>
      </c>
      <c r="R89" s="59" t="s">
        <v>38</v>
      </c>
      <c r="S89" s="59" t="s">
        <v>38</v>
      </c>
      <c r="T89" s="70" t="s">
        <v>357</v>
      </c>
      <c r="U89" s="61" t="s">
        <v>358</v>
      </c>
      <c r="V89" s="16" t="s">
        <v>378</v>
      </c>
      <c r="W89" s="17">
        <v>33160100101</v>
      </c>
      <c r="X89" s="16" t="s">
        <v>379</v>
      </c>
      <c r="Y89" s="16"/>
      <c r="Z89" s="16"/>
      <c r="AA89" s="16" t="s">
        <v>35</v>
      </c>
      <c r="AB89" s="16" t="s">
        <v>380</v>
      </c>
      <c r="AC89" s="26">
        <v>225</v>
      </c>
      <c r="AD89" s="26">
        <v>216</v>
      </c>
      <c r="AE89" s="26">
        <v>183.6</v>
      </c>
      <c r="AF89" s="83">
        <f>IFERROR(FIND("-儿童（加收）",C89,1),0)</f>
        <v>0</v>
      </c>
      <c r="AG89" s="83" t="str">
        <f>SUBSTITUTE(C89,"-儿童（加收）","")</f>
        <v>标记物植入费</v>
      </c>
      <c r="AH89" s="83">
        <f>IF(AF89&gt;0,_xlfn.MAXIFS(N:N,C:C,SUBSTITUTE(C89,"-儿童（加收）","")),0)+N89</f>
        <v>225</v>
      </c>
      <c r="AI89" s="83">
        <f>IF(AF89&gt;0,_xlfn.MAXIFS(O:O,C:C,SUBSTITUTE(C89,"-儿童（加收）","")),0)+O89</f>
        <v>203</v>
      </c>
      <c r="AJ89" s="83">
        <f>IF(AF89&gt;0,_xlfn.MAXIFS(P:P,C:C,SUBSTITUTE(C89,"-儿童（加收）","")),0)+P89</f>
        <v>175</v>
      </c>
      <c r="AK89" s="38" t="str">
        <f>VLOOKUP(V89,Sheet2!E:E,1,0)</f>
        <v>003316010010001-33160100101</v>
      </c>
    </row>
    <row r="90" s="40" customFormat="1" ht="36" customHeight="1" spans="1:37">
      <c r="A90" s="55" t="s">
        <v>57</v>
      </c>
      <c r="B90" s="99" t="s">
        <v>381</v>
      </c>
      <c r="C90" s="55" t="s">
        <v>382</v>
      </c>
      <c r="D90" s="58" t="s">
        <v>38</v>
      </c>
      <c r="E90" s="58" t="s">
        <v>38</v>
      </c>
      <c r="F90" s="58"/>
      <c r="G90" s="55" t="s">
        <v>35</v>
      </c>
      <c r="H90" s="58" t="s">
        <v>38</v>
      </c>
      <c r="I90" s="64">
        <v>68</v>
      </c>
      <c r="J90" s="64">
        <v>61</v>
      </c>
      <c r="K90" s="66"/>
      <c r="L90" s="66"/>
      <c r="M90" s="66"/>
      <c r="N90" s="74">
        <v>68</v>
      </c>
      <c r="O90" s="74">
        <v>61</v>
      </c>
      <c r="P90" s="74">
        <v>53</v>
      </c>
      <c r="Q90" s="55" t="s">
        <v>37</v>
      </c>
      <c r="R90" s="55" t="s">
        <v>38</v>
      </c>
      <c r="S90" s="55" t="s">
        <v>38</v>
      </c>
      <c r="T90" s="66"/>
      <c r="U90" s="58"/>
      <c r="V90" s="16" t="s">
        <v>383</v>
      </c>
      <c r="W90" s="17">
        <v>33160100103</v>
      </c>
      <c r="X90" s="16" t="s">
        <v>384</v>
      </c>
      <c r="Y90" s="16"/>
      <c r="Z90" s="16"/>
      <c r="AA90" s="16" t="s">
        <v>35</v>
      </c>
      <c r="AB90" s="16" t="s">
        <v>380</v>
      </c>
      <c r="AC90" s="26">
        <v>295</v>
      </c>
      <c r="AD90" s="26">
        <v>280</v>
      </c>
      <c r="AE90" s="26">
        <v>240</v>
      </c>
      <c r="AF90" s="83">
        <f>IFERROR(FIND("-儿童（加收）",C90,1),0)</f>
        <v>0</v>
      </c>
      <c r="AG90" s="83" t="str">
        <f>SUBSTITUTE(C90,"-儿童（加收）","")</f>
        <v>标记物植入费-多病灶标记物植入（加收）</v>
      </c>
      <c r="AH90" s="83">
        <f>IF(AF90&gt;0,_xlfn.MAXIFS(N:N,C:C,SUBSTITUTE(C90,"-儿童（加收）","")),0)+N90</f>
        <v>68</v>
      </c>
      <c r="AI90" s="83">
        <f>IF(AF90&gt;0,_xlfn.MAXIFS(O:O,C:C,SUBSTITUTE(C90,"-儿童（加收）","")),0)+O90</f>
        <v>61</v>
      </c>
      <c r="AJ90" s="83">
        <f>IF(AF90&gt;0,_xlfn.MAXIFS(P:P,C:C,SUBSTITUTE(C90,"-儿童（加收）","")),0)+P90</f>
        <v>53</v>
      </c>
      <c r="AK90" s="38" t="str">
        <f>VLOOKUP(V90,Sheet2!E:E,1,0)</f>
        <v>003316010010001-33160100103</v>
      </c>
    </row>
    <row r="91" s="40" customFormat="1" ht="26" customHeight="1" spans="1:37">
      <c r="A91" s="55">
        <v>19</v>
      </c>
      <c r="B91" s="59" t="s">
        <v>385</v>
      </c>
      <c r="C91" s="57" t="s">
        <v>386</v>
      </c>
      <c r="D91" s="58" t="s">
        <v>387</v>
      </c>
      <c r="E91" s="58" t="s">
        <v>388</v>
      </c>
      <c r="F91" s="58"/>
      <c r="G91" s="55" t="s">
        <v>98</v>
      </c>
      <c r="H91" s="58"/>
      <c r="I91" s="64">
        <v>1200</v>
      </c>
      <c r="J91" s="64">
        <v>1080</v>
      </c>
      <c r="K91" s="65">
        <v>1184.38177874187</v>
      </c>
      <c r="L91" s="65">
        <v>1074</v>
      </c>
      <c r="M91" s="65">
        <v>1077.12</v>
      </c>
      <c r="N91" s="71">
        <v>1185</v>
      </c>
      <c r="O91" s="71">
        <v>1075</v>
      </c>
      <c r="P91" s="75">
        <v>950</v>
      </c>
      <c r="Q91" s="55" t="s">
        <v>37</v>
      </c>
      <c r="R91" s="55" t="s">
        <v>38</v>
      </c>
      <c r="S91" s="55" t="s">
        <v>38</v>
      </c>
      <c r="T91" s="65" t="s">
        <v>39</v>
      </c>
      <c r="U91" s="58" t="s">
        <v>389</v>
      </c>
      <c r="V91" s="16" t="s">
        <v>390</v>
      </c>
      <c r="W91" s="17">
        <v>330300008</v>
      </c>
      <c r="X91" s="16" t="s">
        <v>391</v>
      </c>
      <c r="Y91" s="16" t="s">
        <v>392</v>
      </c>
      <c r="Z91" s="16"/>
      <c r="AA91" s="16" t="s">
        <v>98</v>
      </c>
      <c r="AB91" s="16" t="s">
        <v>393</v>
      </c>
      <c r="AC91" s="26">
        <v>1000</v>
      </c>
      <c r="AD91" s="26">
        <v>960</v>
      </c>
      <c r="AE91" s="26">
        <v>816</v>
      </c>
      <c r="AF91" s="83">
        <f>IFERROR(FIND("-儿童（加收）",C91,1),0)</f>
        <v>0</v>
      </c>
      <c r="AG91" s="83" t="str">
        <f>SUBSTITUTE(C91,"-儿童（加收）","")</f>
        <v>甲状腺部分切除费（常规）</v>
      </c>
      <c r="AH91" s="83">
        <f>IF(AF91&gt;0,_xlfn.MAXIFS(N:N,C:C,SUBSTITUTE(C91,"-儿童（加收）","")),0)+N91</f>
        <v>1185</v>
      </c>
      <c r="AI91" s="83">
        <f>IF(AF91&gt;0,_xlfn.MAXIFS(O:O,C:C,SUBSTITUTE(C91,"-儿童（加收）","")),0)+O91</f>
        <v>1075</v>
      </c>
      <c r="AJ91" s="83">
        <f>IF(AF91&gt;0,_xlfn.MAXIFS(P:P,C:C,SUBSTITUTE(C91,"-儿童（加收）","")),0)+P91</f>
        <v>950</v>
      </c>
      <c r="AK91" s="38" t="str">
        <f>VLOOKUP(V91,Sheet2!E:E,1,0)</f>
        <v>003303000080000-330300008</v>
      </c>
    </row>
    <row r="92" s="40" customFormat="1" ht="26" customHeight="1" spans="1:37">
      <c r="A92" s="55"/>
      <c r="B92" s="59"/>
      <c r="C92" s="57" t="s">
        <v>386</v>
      </c>
      <c r="D92" s="58"/>
      <c r="E92" s="58"/>
      <c r="F92" s="58"/>
      <c r="G92" s="55"/>
      <c r="H92" s="58"/>
      <c r="I92" s="64"/>
      <c r="J92" s="64"/>
      <c r="K92" s="65"/>
      <c r="L92" s="65"/>
      <c r="M92" s="65"/>
      <c r="N92" s="71">
        <v>1185</v>
      </c>
      <c r="O92" s="71">
        <v>1075</v>
      </c>
      <c r="P92" s="75">
        <v>950</v>
      </c>
      <c r="Q92" s="55"/>
      <c r="R92" s="55"/>
      <c r="S92" s="55"/>
      <c r="T92" s="65"/>
      <c r="U92" s="58"/>
      <c r="V92" s="16" t="s">
        <v>394</v>
      </c>
      <c r="W92" s="17">
        <v>33030000804</v>
      </c>
      <c r="X92" s="16" t="s">
        <v>395</v>
      </c>
      <c r="Y92" s="16"/>
      <c r="Z92" s="16"/>
      <c r="AA92" s="16" t="s">
        <v>98</v>
      </c>
      <c r="AB92" s="16" t="s">
        <v>38</v>
      </c>
      <c r="AC92" s="26">
        <v>1625</v>
      </c>
      <c r="AD92" s="26">
        <v>1560</v>
      </c>
      <c r="AE92" s="26">
        <v>1326</v>
      </c>
      <c r="AF92" s="83">
        <f>IFERROR(FIND("-儿童（加收）",C92,1),0)</f>
        <v>0</v>
      </c>
      <c r="AG92" s="83" t="str">
        <f>SUBSTITUTE(C92,"-儿童（加收）","")</f>
        <v>甲状腺部分切除费（常规）</v>
      </c>
      <c r="AH92" s="83">
        <f>IF(AF92&gt;0,_xlfn.MAXIFS(N:N,C:C,SUBSTITUTE(C92,"-儿童（加收）","")),0)+N92</f>
        <v>1185</v>
      </c>
      <c r="AI92" s="83">
        <f>IF(AF92&gt;0,_xlfn.MAXIFS(O:O,C:C,SUBSTITUTE(C92,"-儿童（加收）","")),0)+O92</f>
        <v>1075</v>
      </c>
      <c r="AJ92" s="83">
        <f>IF(AF92&gt;0,_xlfn.MAXIFS(P:P,C:C,SUBSTITUTE(C92,"-儿童（加收）","")),0)+P92</f>
        <v>950</v>
      </c>
      <c r="AK92" s="38" t="str">
        <f>VLOOKUP(V92,Sheet2!E:E,1,0)</f>
        <v>003303000080000-33030000804</v>
      </c>
    </row>
    <row r="93" s="40" customFormat="1" ht="26" customHeight="1" spans="1:37">
      <c r="A93" s="55"/>
      <c r="B93" s="59"/>
      <c r="C93" s="57" t="s">
        <v>386</v>
      </c>
      <c r="D93" s="58"/>
      <c r="E93" s="58"/>
      <c r="F93" s="58"/>
      <c r="G93" s="55"/>
      <c r="H93" s="58"/>
      <c r="I93" s="64"/>
      <c r="J93" s="64"/>
      <c r="K93" s="65"/>
      <c r="L93" s="65"/>
      <c r="M93" s="65"/>
      <c r="N93" s="71">
        <v>1185</v>
      </c>
      <c r="O93" s="71">
        <v>1075</v>
      </c>
      <c r="P93" s="75">
        <v>950</v>
      </c>
      <c r="Q93" s="55"/>
      <c r="R93" s="55"/>
      <c r="S93" s="55"/>
      <c r="T93" s="65"/>
      <c r="U93" s="58"/>
      <c r="V93" s="16" t="s">
        <v>396</v>
      </c>
      <c r="W93" s="17">
        <v>330300009</v>
      </c>
      <c r="X93" s="16" t="s">
        <v>397</v>
      </c>
      <c r="Y93" s="16"/>
      <c r="Z93" s="16"/>
      <c r="AA93" s="16" t="s">
        <v>98</v>
      </c>
      <c r="AB93" s="16" t="s">
        <v>393</v>
      </c>
      <c r="AC93" s="26">
        <v>1250</v>
      </c>
      <c r="AD93" s="26">
        <v>1200</v>
      </c>
      <c r="AE93" s="26">
        <v>1020</v>
      </c>
      <c r="AF93" s="83">
        <f>IFERROR(FIND("-儿童（加收）",C93,1),0)</f>
        <v>0</v>
      </c>
      <c r="AG93" s="83" t="str">
        <f>SUBSTITUTE(C93,"-儿童（加收）","")</f>
        <v>甲状腺部分切除费（常规）</v>
      </c>
      <c r="AH93" s="83">
        <f>IF(AF93&gt;0,_xlfn.MAXIFS(N:N,C:C,SUBSTITUTE(C93,"-儿童（加收）","")),0)+N93</f>
        <v>1185</v>
      </c>
      <c r="AI93" s="83">
        <f>IF(AF93&gt;0,_xlfn.MAXIFS(O:O,C:C,SUBSTITUTE(C93,"-儿童（加收）","")),0)+O93</f>
        <v>1075</v>
      </c>
      <c r="AJ93" s="83">
        <f>IF(AF93&gt;0,_xlfn.MAXIFS(P:P,C:C,SUBSTITUTE(C93,"-儿童（加收）","")),0)+P93</f>
        <v>950</v>
      </c>
      <c r="AK93" s="38" t="str">
        <f>VLOOKUP(V93,Sheet2!E:E,1,0)</f>
        <v>003303000090000-330300009</v>
      </c>
    </row>
    <row r="94" s="40" customFormat="1" ht="26" customHeight="1" spans="1:37">
      <c r="A94" s="55"/>
      <c r="B94" s="59"/>
      <c r="C94" s="57" t="s">
        <v>386</v>
      </c>
      <c r="D94" s="58"/>
      <c r="E94" s="58"/>
      <c r="F94" s="58"/>
      <c r="G94" s="55"/>
      <c r="H94" s="58"/>
      <c r="I94" s="64"/>
      <c r="J94" s="64"/>
      <c r="K94" s="65"/>
      <c r="L94" s="65"/>
      <c r="M94" s="65"/>
      <c r="N94" s="71">
        <v>1185</v>
      </c>
      <c r="O94" s="71">
        <v>1075</v>
      </c>
      <c r="P94" s="75">
        <v>950</v>
      </c>
      <c r="Q94" s="55"/>
      <c r="R94" s="55"/>
      <c r="S94" s="55"/>
      <c r="T94" s="65"/>
      <c r="U94" s="58"/>
      <c r="V94" s="16" t="s">
        <v>398</v>
      </c>
      <c r="W94" s="17">
        <v>33030000904</v>
      </c>
      <c r="X94" s="16" t="s">
        <v>399</v>
      </c>
      <c r="Y94" s="16"/>
      <c r="Z94" s="16"/>
      <c r="AA94" s="16" t="s">
        <v>98</v>
      </c>
      <c r="AB94" s="16" t="s">
        <v>38</v>
      </c>
      <c r="AC94" s="26">
        <v>1875</v>
      </c>
      <c r="AD94" s="26">
        <v>1800</v>
      </c>
      <c r="AE94" s="26">
        <v>1530</v>
      </c>
      <c r="AF94" s="83">
        <f>IFERROR(FIND("-儿童（加收）",C94,1),0)</f>
        <v>0</v>
      </c>
      <c r="AG94" s="83" t="str">
        <f>SUBSTITUTE(C94,"-儿童（加收）","")</f>
        <v>甲状腺部分切除费（常规）</v>
      </c>
      <c r="AH94" s="83">
        <f>IF(AF94&gt;0,_xlfn.MAXIFS(N:N,C:C,SUBSTITUTE(C94,"-儿童（加收）","")),0)+N94</f>
        <v>1185</v>
      </c>
      <c r="AI94" s="83">
        <f>IF(AF94&gt;0,_xlfn.MAXIFS(O:O,C:C,SUBSTITUTE(C94,"-儿童（加收）","")),0)+O94</f>
        <v>1075</v>
      </c>
      <c r="AJ94" s="83">
        <f>IF(AF94&gt;0,_xlfn.MAXIFS(P:P,C:C,SUBSTITUTE(C94,"-儿童（加收）","")),0)+P94</f>
        <v>950</v>
      </c>
      <c r="AK94" s="38" t="str">
        <f>VLOOKUP(V94,Sheet2!E:E,1,0)</f>
        <v>003303000090000-33030000904</v>
      </c>
    </row>
    <row r="95" s="43" customFormat="1" ht="27" customHeight="1" spans="1:37">
      <c r="A95" s="55" t="s">
        <v>57</v>
      </c>
      <c r="B95" s="59" t="s">
        <v>400</v>
      </c>
      <c r="C95" s="57" t="s">
        <v>401</v>
      </c>
      <c r="D95" s="58" t="s">
        <v>38</v>
      </c>
      <c r="E95" s="58" t="s">
        <v>38</v>
      </c>
      <c r="F95" s="58"/>
      <c r="G95" s="55" t="s">
        <v>98</v>
      </c>
      <c r="H95" s="58" t="s">
        <v>38</v>
      </c>
      <c r="I95" s="64">
        <v>360</v>
      </c>
      <c r="J95" s="64">
        <v>324</v>
      </c>
      <c r="K95" s="66"/>
      <c r="L95" s="66"/>
      <c r="M95" s="66"/>
      <c r="N95" s="71">
        <v>355</v>
      </c>
      <c r="O95" s="71">
        <v>320</v>
      </c>
      <c r="P95" s="71">
        <v>285</v>
      </c>
      <c r="Q95" s="55" t="s">
        <v>37</v>
      </c>
      <c r="R95" s="55" t="s">
        <v>38</v>
      </c>
      <c r="S95" s="55" t="s">
        <v>38</v>
      </c>
      <c r="T95" s="66"/>
      <c r="U95" s="58"/>
      <c r="V95" s="16" t="s">
        <v>402</v>
      </c>
      <c r="W95" s="17">
        <v>33030000802</v>
      </c>
      <c r="X95" s="16" t="s">
        <v>403</v>
      </c>
      <c r="Y95" s="16"/>
      <c r="Z95" s="16"/>
      <c r="AA95" s="16" t="s">
        <v>98</v>
      </c>
      <c r="AB95" s="16" t="s">
        <v>38</v>
      </c>
      <c r="AC95" s="26">
        <v>1300</v>
      </c>
      <c r="AD95" s="26">
        <v>1250</v>
      </c>
      <c r="AE95" s="26">
        <v>1065</v>
      </c>
      <c r="AF95" s="83">
        <f>IFERROR(FIND("-儿童（加收）",C95,1),0)</f>
        <v>13</v>
      </c>
      <c r="AG95" s="83" t="str">
        <f>SUBSTITUTE(C95,"-儿童（加收）","")</f>
        <v>甲状腺部分切除费（常规）</v>
      </c>
      <c r="AH95" s="83">
        <f>IF(AF95&gt;0,_xlfn.MAXIFS(N:N,C:C,SUBSTITUTE(C95,"-儿童（加收）","")),0)+N95</f>
        <v>1540</v>
      </c>
      <c r="AI95" s="83">
        <f>IF(AF95&gt;0,_xlfn.MAXIFS(O:O,C:C,SUBSTITUTE(C95,"-儿童（加收）","")),0)+O95</f>
        <v>1395</v>
      </c>
      <c r="AJ95" s="83">
        <f>IF(AF95&gt;0,_xlfn.MAXIFS(P:P,C:C,SUBSTITUTE(C95,"-儿童（加收）","")),0)+P95</f>
        <v>1235</v>
      </c>
      <c r="AK95" s="38" t="str">
        <f>VLOOKUP(V95,Sheet2!E:E,1,0)</f>
        <v>003303000080000-33030000802</v>
      </c>
    </row>
    <row r="96" s="40" customFormat="1" ht="27" customHeight="1" spans="1:37">
      <c r="A96" s="55"/>
      <c r="B96" s="59"/>
      <c r="C96" s="57" t="s">
        <v>401</v>
      </c>
      <c r="D96" s="58"/>
      <c r="E96" s="58"/>
      <c r="F96" s="58"/>
      <c r="G96" s="55"/>
      <c r="H96" s="58"/>
      <c r="I96" s="64"/>
      <c r="J96" s="64"/>
      <c r="K96" s="66"/>
      <c r="L96" s="66"/>
      <c r="M96" s="66"/>
      <c r="N96" s="71">
        <v>355</v>
      </c>
      <c r="O96" s="71">
        <v>320</v>
      </c>
      <c r="P96" s="71">
        <v>285</v>
      </c>
      <c r="Q96" s="55"/>
      <c r="R96" s="55"/>
      <c r="S96" s="55"/>
      <c r="T96" s="66"/>
      <c r="U96" s="58"/>
      <c r="V96" s="16" t="s">
        <v>404</v>
      </c>
      <c r="W96" s="17">
        <v>33030000806</v>
      </c>
      <c r="X96" s="16" t="s">
        <v>405</v>
      </c>
      <c r="Y96" s="16"/>
      <c r="Z96" s="16"/>
      <c r="AA96" s="16" t="s">
        <v>98</v>
      </c>
      <c r="AB96" s="16" t="s">
        <v>38</v>
      </c>
      <c r="AC96" s="26">
        <v>1925</v>
      </c>
      <c r="AD96" s="26">
        <v>1850</v>
      </c>
      <c r="AE96" s="26">
        <v>1575</v>
      </c>
      <c r="AF96" s="83">
        <f t="shared" ref="AF96:AF126" si="15">IFERROR(FIND("-儿童（加收）",C96,1),0)</f>
        <v>13</v>
      </c>
      <c r="AG96" s="83" t="str">
        <f t="shared" ref="AG96:AG126" si="16">SUBSTITUTE(C96,"-儿童（加收）","")</f>
        <v>甲状腺部分切除费（常规）</v>
      </c>
      <c r="AH96" s="83">
        <f t="shared" ref="AH96:AH126" si="17">IF(AF96&gt;0,_xlfn.MAXIFS(N:N,C:C,SUBSTITUTE(C96,"-儿童（加收）","")),0)+N96</f>
        <v>1540</v>
      </c>
      <c r="AI96" s="83">
        <f t="shared" ref="AI96:AI126" si="18">IF(AF96&gt;0,_xlfn.MAXIFS(O:O,C:C,SUBSTITUTE(C96,"-儿童（加收）","")),0)+O96</f>
        <v>1395</v>
      </c>
      <c r="AJ96" s="83">
        <f t="shared" ref="AJ96:AJ126" si="19">IF(AF96&gt;0,_xlfn.MAXIFS(P:P,C:C,SUBSTITUTE(C96,"-儿童（加收）","")),0)+P96</f>
        <v>1235</v>
      </c>
      <c r="AK96" s="38" t="str">
        <f>VLOOKUP(V96,Sheet2!E:E,1,0)</f>
        <v>003303000080000-33030000806</v>
      </c>
    </row>
    <row r="97" s="40" customFormat="1" ht="27" customHeight="1" spans="1:37">
      <c r="A97" s="55"/>
      <c r="B97" s="59"/>
      <c r="C97" s="57" t="s">
        <v>401</v>
      </c>
      <c r="D97" s="58"/>
      <c r="E97" s="58"/>
      <c r="F97" s="58"/>
      <c r="G97" s="55"/>
      <c r="H97" s="58"/>
      <c r="I97" s="64"/>
      <c r="J97" s="64"/>
      <c r="K97" s="66"/>
      <c r="L97" s="66"/>
      <c r="M97" s="66"/>
      <c r="N97" s="71">
        <v>355</v>
      </c>
      <c r="O97" s="71">
        <v>320</v>
      </c>
      <c r="P97" s="71">
        <v>285</v>
      </c>
      <c r="Q97" s="55"/>
      <c r="R97" s="55"/>
      <c r="S97" s="55"/>
      <c r="T97" s="66"/>
      <c r="U97" s="58"/>
      <c r="V97" s="16" t="s">
        <v>406</v>
      </c>
      <c r="W97" s="17">
        <v>33030000902</v>
      </c>
      <c r="X97" s="16" t="s">
        <v>407</v>
      </c>
      <c r="Y97" s="16"/>
      <c r="Z97" s="16"/>
      <c r="AA97" s="16" t="s">
        <v>98</v>
      </c>
      <c r="AB97" s="16" t="s">
        <v>38</v>
      </c>
      <c r="AC97" s="26">
        <v>1625</v>
      </c>
      <c r="AD97" s="26">
        <v>1560</v>
      </c>
      <c r="AE97" s="26">
        <v>1325</v>
      </c>
      <c r="AF97" s="83">
        <f t="shared" si="15"/>
        <v>13</v>
      </c>
      <c r="AG97" s="83" t="str">
        <f t="shared" si="16"/>
        <v>甲状腺部分切除费（常规）</v>
      </c>
      <c r="AH97" s="83">
        <f t="shared" si="17"/>
        <v>1540</v>
      </c>
      <c r="AI97" s="83">
        <f t="shared" si="18"/>
        <v>1395</v>
      </c>
      <c r="AJ97" s="83">
        <f t="shared" si="19"/>
        <v>1235</v>
      </c>
      <c r="AK97" s="38" t="str">
        <f>VLOOKUP(V97,Sheet2!E:E,1,0)</f>
        <v>003303000090000-33030000902</v>
      </c>
    </row>
    <row r="98" s="40" customFormat="1" ht="27" customHeight="1" spans="1:37">
      <c r="A98" s="55"/>
      <c r="B98" s="59"/>
      <c r="C98" s="57" t="s">
        <v>401</v>
      </c>
      <c r="D98" s="58"/>
      <c r="E98" s="58"/>
      <c r="F98" s="58"/>
      <c r="G98" s="55"/>
      <c r="H98" s="58"/>
      <c r="I98" s="64"/>
      <c r="J98" s="64"/>
      <c r="K98" s="66"/>
      <c r="L98" s="66"/>
      <c r="M98" s="66"/>
      <c r="N98" s="71">
        <v>355</v>
      </c>
      <c r="O98" s="71">
        <v>320</v>
      </c>
      <c r="P98" s="71">
        <v>285</v>
      </c>
      <c r="Q98" s="55"/>
      <c r="R98" s="55"/>
      <c r="S98" s="55"/>
      <c r="T98" s="66"/>
      <c r="U98" s="58"/>
      <c r="V98" s="16" t="s">
        <v>408</v>
      </c>
      <c r="W98" s="17">
        <v>33030000906</v>
      </c>
      <c r="X98" s="16" t="s">
        <v>409</v>
      </c>
      <c r="Y98" s="16"/>
      <c r="Z98" s="16"/>
      <c r="AA98" s="16" t="s">
        <v>98</v>
      </c>
      <c r="AB98" s="16" t="s">
        <v>38</v>
      </c>
      <c r="AC98" s="26">
        <v>2250</v>
      </c>
      <c r="AD98" s="26">
        <v>2160</v>
      </c>
      <c r="AE98" s="26">
        <v>1835</v>
      </c>
      <c r="AF98" s="83">
        <f t="shared" si="15"/>
        <v>13</v>
      </c>
      <c r="AG98" s="83" t="str">
        <f t="shared" si="16"/>
        <v>甲状腺部分切除费（常规）</v>
      </c>
      <c r="AH98" s="83">
        <f t="shared" si="17"/>
        <v>1540</v>
      </c>
      <c r="AI98" s="83">
        <f t="shared" si="18"/>
        <v>1395</v>
      </c>
      <c r="AJ98" s="83">
        <f t="shared" si="19"/>
        <v>1235</v>
      </c>
      <c r="AK98" s="38" t="str">
        <f>VLOOKUP(V98,Sheet2!E:E,1,0)</f>
        <v>003303000090000-33030000906</v>
      </c>
    </row>
    <row r="99" s="40" customFormat="1" ht="36" customHeight="1" spans="1:37">
      <c r="A99" s="59">
        <v>21</v>
      </c>
      <c r="B99" s="59" t="s">
        <v>417</v>
      </c>
      <c r="C99" s="60" t="s">
        <v>418</v>
      </c>
      <c r="D99" s="61" t="s">
        <v>419</v>
      </c>
      <c r="E99" s="61" t="s">
        <v>388</v>
      </c>
      <c r="F99" s="61"/>
      <c r="G99" s="59" t="s">
        <v>98</v>
      </c>
      <c r="H99" s="61" t="s">
        <v>420</v>
      </c>
      <c r="I99" s="69">
        <v>2400</v>
      </c>
      <c r="J99" s="69">
        <v>2160</v>
      </c>
      <c r="K99" s="65">
        <v>2294.69921608725</v>
      </c>
      <c r="L99" s="65">
        <v>2023.21888412017</v>
      </c>
      <c r="M99" s="65">
        <v>1849.34065934066</v>
      </c>
      <c r="N99" s="87">
        <v>2300</v>
      </c>
      <c r="O99" s="87">
        <v>2030</v>
      </c>
      <c r="P99" s="87">
        <v>1800</v>
      </c>
      <c r="Q99" s="59" t="s">
        <v>37</v>
      </c>
      <c r="R99" s="59" t="s">
        <v>38</v>
      </c>
      <c r="S99" s="59" t="s">
        <v>38</v>
      </c>
      <c r="T99" s="65" t="s">
        <v>39</v>
      </c>
      <c r="U99" s="61" t="s">
        <v>389</v>
      </c>
      <c r="V99" s="16" t="s">
        <v>421</v>
      </c>
      <c r="W99" s="17">
        <v>330300010</v>
      </c>
      <c r="X99" s="16" t="s">
        <v>422</v>
      </c>
      <c r="Y99" s="16"/>
      <c r="Z99" s="16"/>
      <c r="AA99" s="16" t="s">
        <v>98</v>
      </c>
      <c r="AB99" s="16" t="s">
        <v>393</v>
      </c>
      <c r="AC99" s="26">
        <v>2190</v>
      </c>
      <c r="AD99" s="26">
        <v>1970</v>
      </c>
      <c r="AE99" s="26">
        <v>1670</v>
      </c>
      <c r="AF99" s="83">
        <f t="shared" si="15"/>
        <v>0</v>
      </c>
      <c r="AG99" s="83" t="str">
        <f t="shared" si="16"/>
        <v>甲状腺全切除费（常规）</v>
      </c>
      <c r="AH99" s="83">
        <f t="shared" si="17"/>
        <v>2300</v>
      </c>
      <c r="AI99" s="83">
        <f t="shared" si="18"/>
        <v>2030</v>
      </c>
      <c r="AJ99" s="83">
        <f t="shared" si="19"/>
        <v>1800</v>
      </c>
      <c r="AK99" s="38" t="str">
        <f>VLOOKUP(V99,Sheet2!E:E,1,0)</f>
        <v>003303000100000-330300010</v>
      </c>
    </row>
    <row r="100" s="40" customFormat="1" ht="36" customHeight="1" spans="1:37">
      <c r="A100" s="59"/>
      <c r="B100" s="59"/>
      <c r="C100" s="60" t="s">
        <v>418</v>
      </c>
      <c r="D100" s="61"/>
      <c r="E100" s="61"/>
      <c r="F100" s="61"/>
      <c r="G100" s="59"/>
      <c r="H100" s="61"/>
      <c r="I100" s="69"/>
      <c r="J100" s="69"/>
      <c r="K100" s="65"/>
      <c r="L100" s="65"/>
      <c r="M100" s="65"/>
      <c r="N100" s="87">
        <v>2300</v>
      </c>
      <c r="O100" s="87">
        <v>2030</v>
      </c>
      <c r="P100" s="87">
        <v>1800</v>
      </c>
      <c r="Q100" s="59"/>
      <c r="R100" s="59"/>
      <c r="S100" s="59"/>
      <c r="T100" s="65"/>
      <c r="U100" s="61"/>
      <c r="V100" s="16" t="s">
        <v>423</v>
      </c>
      <c r="W100" s="17">
        <v>33030001004</v>
      </c>
      <c r="X100" s="16" t="s">
        <v>424</v>
      </c>
      <c r="Y100" s="16"/>
      <c r="Z100" s="16"/>
      <c r="AA100" s="16" t="s">
        <v>98</v>
      </c>
      <c r="AB100" s="16" t="s">
        <v>38</v>
      </c>
      <c r="AC100" s="26">
        <v>2815</v>
      </c>
      <c r="AD100" s="26">
        <v>2570</v>
      </c>
      <c r="AE100" s="26">
        <v>2180</v>
      </c>
      <c r="AF100" s="83">
        <f t="shared" si="15"/>
        <v>0</v>
      </c>
      <c r="AG100" s="83" t="str">
        <f t="shared" si="16"/>
        <v>甲状腺全切除费（常规）</v>
      </c>
      <c r="AH100" s="83">
        <f t="shared" si="17"/>
        <v>2300</v>
      </c>
      <c r="AI100" s="83">
        <f t="shared" si="18"/>
        <v>2030</v>
      </c>
      <c r="AJ100" s="83">
        <f t="shared" si="19"/>
        <v>1800</v>
      </c>
      <c r="AK100" s="38" t="str">
        <f>VLOOKUP(V100,Sheet2!E:E,1,0)</f>
        <v>003303000100000-33030001004</v>
      </c>
    </row>
    <row r="101" s="40" customFormat="1" ht="28" customHeight="1" spans="1:37">
      <c r="A101" s="59" t="s">
        <v>57</v>
      </c>
      <c r="B101" s="59" t="s">
        <v>425</v>
      </c>
      <c r="C101" s="60" t="s">
        <v>426</v>
      </c>
      <c r="D101" s="61" t="s">
        <v>38</v>
      </c>
      <c r="E101" s="61" t="s">
        <v>38</v>
      </c>
      <c r="F101" s="61"/>
      <c r="G101" s="59" t="s">
        <v>98</v>
      </c>
      <c r="H101" s="61" t="s">
        <v>38</v>
      </c>
      <c r="I101" s="69">
        <v>720</v>
      </c>
      <c r="J101" s="69">
        <v>648</v>
      </c>
      <c r="K101" s="70"/>
      <c r="L101" s="70"/>
      <c r="M101" s="70"/>
      <c r="N101" s="87">
        <v>690</v>
      </c>
      <c r="O101" s="87">
        <v>610</v>
      </c>
      <c r="P101" s="87">
        <v>540</v>
      </c>
      <c r="Q101" s="59" t="s">
        <v>37</v>
      </c>
      <c r="R101" s="59" t="s">
        <v>38</v>
      </c>
      <c r="S101" s="59" t="s">
        <v>38</v>
      </c>
      <c r="T101" s="70"/>
      <c r="U101" s="61" t="s">
        <v>60</v>
      </c>
      <c r="V101" s="16" t="s">
        <v>427</v>
      </c>
      <c r="W101" s="17">
        <v>33030001002</v>
      </c>
      <c r="X101" s="16" t="s">
        <v>428</v>
      </c>
      <c r="Y101" s="16"/>
      <c r="Z101" s="16"/>
      <c r="AA101" s="16" t="s">
        <v>98</v>
      </c>
      <c r="AB101" s="16" t="s">
        <v>38</v>
      </c>
      <c r="AC101" s="26">
        <v>2845</v>
      </c>
      <c r="AD101" s="26">
        <v>2560</v>
      </c>
      <c r="AE101" s="26">
        <v>2175</v>
      </c>
      <c r="AF101" s="83">
        <f t="shared" si="15"/>
        <v>12</v>
      </c>
      <c r="AG101" s="83" t="str">
        <f t="shared" si="16"/>
        <v>甲状腺全切除费（常规）</v>
      </c>
      <c r="AH101" s="83">
        <f t="shared" si="17"/>
        <v>2990</v>
      </c>
      <c r="AI101" s="83">
        <f t="shared" si="18"/>
        <v>2640</v>
      </c>
      <c r="AJ101" s="83">
        <f t="shared" si="19"/>
        <v>2340</v>
      </c>
      <c r="AK101" s="38" t="str">
        <f>VLOOKUP(V101,Sheet2!E:E,1,0)</f>
        <v>003303000100000-33030001002</v>
      </c>
    </row>
    <row r="102" s="43" customFormat="1" ht="28" customHeight="1" spans="1:37">
      <c r="A102" s="59"/>
      <c r="B102" s="59"/>
      <c r="C102" s="60" t="s">
        <v>426</v>
      </c>
      <c r="D102" s="61"/>
      <c r="E102" s="61"/>
      <c r="F102" s="61"/>
      <c r="G102" s="59"/>
      <c r="H102" s="61"/>
      <c r="I102" s="69"/>
      <c r="J102" s="69"/>
      <c r="K102" s="70"/>
      <c r="L102" s="70"/>
      <c r="M102" s="70"/>
      <c r="N102" s="87">
        <v>690</v>
      </c>
      <c r="O102" s="87">
        <v>610</v>
      </c>
      <c r="P102" s="87">
        <v>540</v>
      </c>
      <c r="Q102" s="59"/>
      <c r="R102" s="59"/>
      <c r="S102" s="59"/>
      <c r="T102" s="70"/>
      <c r="U102" s="61"/>
      <c r="V102" s="16" t="s">
        <v>429</v>
      </c>
      <c r="W102" s="17">
        <v>33030001006</v>
      </c>
      <c r="X102" s="16" t="s">
        <v>430</v>
      </c>
      <c r="Y102" s="16"/>
      <c r="Z102" s="16"/>
      <c r="AA102" s="16" t="s">
        <v>98</v>
      </c>
      <c r="AB102" s="16" t="s">
        <v>38</v>
      </c>
      <c r="AC102" s="26">
        <v>3470</v>
      </c>
      <c r="AD102" s="26">
        <v>3160</v>
      </c>
      <c r="AE102" s="26">
        <v>2685</v>
      </c>
      <c r="AF102" s="83">
        <f t="shared" si="15"/>
        <v>12</v>
      </c>
      <c r="AG102" s="83" t="str">
        <f t="shared" si="16"/>
        <v>甲状腺全切除费（常规）</v>
      </c>
      <c r="AH102" s="83">
        <f t="shared" si="17"/>
        <v>2990</v>
      </c>
      <c r="AI102" s="83">
        <f t="shared" si="18"/>
        <v>2640</v>
      </c>
      <c r="AJ102" s="83">
        <f t="shared" si="19"/>
        <v>2340</v>
      </c>
      <c r="AK102" s="38" t="str">
        <f>VLOOKUP(V102,Sheet2!E:E,1,0)</f>
        <v>003303000100000-33030001006</v>
      </c>
    </row>
    <row r="103" s="40" customFormat="1" ht="54" customHeight="1" spans="1:37">
      <c r="A103" s="55" t="s">
        <v>57</v>
      </c>
      <c r="B103" s="59" t="s">
        <v>431</v>
      </c>
      <c r="C103" s="57" t="s">
        <v>432</v>
      </c>
      <c r="D103" s="58" t="s">
        <v>38</v>
      </c>
      <c r="E103" s="58" t="s">
        <v>38</v>
      </c>
      <c r="F103" s="58"/>
      <c r="G103" s="55" t="s">
        <v>98</v>
      </c>
      <c r="H103" s="58" t="s">
        <v>38</v>
      </c>
      <c r="I103" s="64">
        <v>2400</v>
      </c>
      <c r="J103" s="64">
        <v>2160</v>
      </c>
      <c r="K103" s="66">
        <v>2501.875</v>
      </c>
      <c r="L103" s="66">
        <v>2290</v>
      </c>
      <c r="M103" s="66"/>
      <c r="N103" s="71">
        <v>2300</v>
      </c>
      <c r="O103" s="71">
        <v>2030</v>
      </c>
      <c r="P103" s="71">
        <v>1800</v>
      </c>
      <c r="Q103" s="55" t="s">
        <v>37</v>
      </c>
      <c r="R103" s="55" t="s">
        <v>38</v>
      </c>
      <c r="S103" s="55" t="s">
        <v>38</v>
      </c>
      <c r="T103" s="66"/>
      <c r="U103" s="58" t="s">
        <v>433</v>
      </c>
      <c r="V103" s="16" t="s">
        <v>434</v>
      </c>
      <c r="W103" s="17">
        <v>330300012</v>
      </c>
      <c r="X103" s="16" t="s">
        <v>435</v>
      </c>
      <c r="Y103" s="16" t="s">
        <v>436</v>
      </c>
      <c r="Z103" s="16"/>
      <c r="AA103" s="16" t="s">
        <v>35</v>
      </c>
      <c r="AB103" s="16" t="s">
        <v>38</v>
      </c>
      <c r="AC103" s="26">
        <v>4630</v>
      </c>
      <c r="AD103" s="26">
        <v>4170</v>
      </c>
      <c r="AE103" s="26">
        <v>3540</v>
      </c>
      <c r="AF103" s="83">
        <f t="shared" si="15"/>
        <v>0</v>
      </c>
      <c r="AG103" s="83" t="str">
        <f t="shared" si="16"/>
        <v>甲状腺全切除费（常规）-恶性肿瘤扩大根治性切除（加收）</v>
      </c>
      <c r="AH103" s="83">
        <f t="shared" si="17"/>
        <v>2300</v>
      </c>
      <c r="AI103" s="83">
        <f t="shared" si="18"/>
        <v>2030</v>
      </c>
      <c r="AJ103" s="83">
        <f t="shared" si="19"/>
        <v>1800</v>
      </c>
      <c r="AK103" s="38" t="str">
        <f>VLOOKUP(V103,Sheet2!E:E,1,0)</f>
        <v>003303000120000-330300012</v>
      </c>
    </row>
    <row r="104" s="40" customFormat="1" ht="30" customHeight="1" spans="1:37">
      <c r="A104" s="55"/>
      <c r="B104" s="59"/>
      <c r="C104" s="57" t="s">
        <v>432</v>
      </c>
      <c r="D104" s="58"/>
      <c r="E104" s="58"/>
      <c r="F104" s="58"/>
      <c r="G104" s="55"/>
      <c r="H104" s="58"/>
      <c r="I104" s="64"/>
      <c r="J104" s="64"/>
      <c r="K104" s="66"/>
      <c r="L104" s="66"/>
      <c r="M104" s="66"/>
      <c r="N104" s="71">
        <v>2300</v>
      </c>
      <c r="O104" s="71">
        <v>2030</v>
      </c>
      <c r="P104" s="71">
        <v>1800</v>
      </c>
      <c r="Q104" s="55"/>
      <c r="R104" s="55"/>
      <c r="S104" s="55"/>
      <c r="T104" s="66"/>
      <c r="U104" s="58"/>
      <c r="V104" s="16" t="s">
        <v>437</v>
      </c>
      <c r="W104" s="17">
        <v>33030001202</v>
      </c>
      <c r="X104" s="16" t="s">
        <v>438</v>
      </c>
      <c r="Y104" s="16"/>
      <c r="Z104" s="16"/>
      <c r="AA104" s="16" t="s">
        <v>35</v>
      </c>
      <c r="AB104" s="16" t="s">
        <v>38</v>
      </c>
      <c r="AC104" s="26">
        <v>5255</v>
      </c>
      <c r="AD104" s="26">
        <v>6020</v>
      </c>
      <c r="AE104" s="26">
        <v>5120</v>
      </c>
      <c r="AF104" s="83">
        <f t="shared" si="15"/>
        <v>0</v>
      </c>
      <c r="AG104" s="83" t="str">
        <f t="shared" si="16"/>
        <v>甲状腺全切除费（常规）-恶性肿瘤扩大根治性切除（加收）</v>
      </c>
      <c r="AH104" s="83">
        <f t="shared" si="17"/>
        <v>2300</v>
      </c>
      <c r="AI104" s="83">
        <f t="shared" si="18"/>
        <v>2030</v>
      </c>
      <c r="AJ104" s="83">
        <f t="shared" si="19"/>
        <v>1800</v>
      </c>
      <c r="AK104" s="38" t="str">
        <f>VLOOKUP(V104,Sheet2!E:E,1,0)</f>
        <v>003303000120000-33030001202</v>
      </c>
    </row>
    <row r="105" s="40" customFormat="1" ht="30" customHeight="1" spans="1:37">
      <c r="A105" s="55"/>
      <c r="B105" s="59"/>
      <c r="C105" s="57" t="s">
        <v>432</v>
      </c>
      <c r="D105" s="58"/>
      <c r="E105" s="58"/>
      <c r="F105" s="58"/>
      <c r="G105" s="55"/>
      <c r="H105" s="58"/>
      <c r="I105" s="64"/>
      <c r="J105" s="64"/>
      <c r="K105" s="66"/>
      <c r="L105" s="66"/>
      <c r="M105" s="66"/>
      <c r="N105" s="71">
        <v>2300</v>
      </c>
      <c r="O105" s="71">
        <v>2030</v>
      </c>
      <c r="P105" s="71">
        <v>1800</v>
      </c>
      <c r="Q105" s="55"/>
      <c r="R105" s="55"/>
      <c r="S105" s="55"/>
      <c r="T105" s="66"/>
      <c r="U105" s="58"/>
      <c r="V105" s="16" t="s">
        <v>439</v>
      </c>
      <c r="W105" s="17">
        <v>33030001201</v>
      </c>
      <c r="X105" s="16" t="s">
        <v>440</v>
      </c>
      <c r="Y105" s="16"/>
      <c r="Z105" s="16"/>
      <c r="AA105" s="16" t="s">
        <v>35</v>
      </c>
      <c r="AB105" s="16" t="s">
        <v>38</v>
      </c>
      <c r="AC105" s="26">
        <v>6020</v>
      </c>
      <c r="AD105" s="26">
        <v>5420</v>
      </c>
      <c r="AE105" s="26">
        <v>4605</v>
      </c>
      <c r="AF105" s="83">
        <f t="shared" si="15"/>
        <v>0</v>
      </c>
      <c r="AG105" s="83" t="str">
        <f t="shared" si="16"/>
        <v>甲状腺全切除费（常规）-恶性肿瘤扩大根治性切除（加收）</v>
      </c>
      <c r="AH105" s="83">
        <f t="shared" si="17"/>
        <v>2300</v>
      </c>
      <c r="AI105" s="83">
        <f t="shared" si="18"/>
        <v>2030</v>
      </c>
      <c r="AJ105" s="83">
        <f t="shared" si="19"/>
        <v>1800</v>
      </c>
      <c r="AK105" s="38" t="str">
        <f>VLOOKUP(V105,Sheet2!E:E,1,0)</f>
        <v>003303000120000-33030001201</v>
      </c>
    </row>
    <row r="106" s="40" customFormat="1" ht="30" customHeight="1" spans="1:37">
      <c r="A106" s="55"/>
      <c r="B106" s="60"/>
      <c r="C106" s="57" t="s">
        <v>432</v>
      </c>
      <c r="D106" s="58"/>
      <c r="E106" s="58"/>
      <c r="F106" s="58"/>
      <c r="G106" s="55"/>
      <c r="H106" s="58"/>
      <c r="I106" s="64"/>
      <c r="J106" s="64"/>
      <c r="K106" s="66"/>
      <c r="L106" s="66"/>
      <c r="M106" s="66"/>
      <c r="N106" s="71">
        <v>2300</v>
      </c>
      <c r="O106" s="71">
        <v>2030</v>
      </c>
      <c r="P106" s="71">
        <v>1800</v>
      </c>
      <c r="Q106" s="55"/>
      <c r="R106" s="55"/>
      <c r="S106" s="55"/>
      <c r="T106" s="66"/>
      <c r="U106" s="58"/>
      <c r="V106" s="16" t="s">
        <v>441</v>
      </c>
      <c r="W106" s="17">
        <v>33030001203</v>
      </c>
      <c r="X106" s="16" t="s">
        <v>442</v>
      </c>
      <c r="Y106" s="16"/>
      <c r="Z106" s="16"/>
      <c r="AA106" s="16" t="s">
        <v>35</v>
      </c>
      <c r="AB106" s="16" t="s">
        <v>38</v>
      </c>
      <c r="AC106" s="26">
        <v>6645</v>
      </c>
      <c r="AD106" s="26">
        <v>6020</v>
      </c>
      <c r="AE106" s="26">
        <v>5115</v>
      </c>
      <c r="AF106" s="83">
        <f t="shared" si="15"/>
        <v>0</v>
      </c>
      <c r="AG106" s="83" t="str">
        <f t="shared" si="16"/>
        <v>甲状腺全切除费（常规）-恶性肿瘤扩大根治性切除（加收）</v>
      </c>
      <c r="AH106" s="83">
        <f t="shared" si="17"/>
        <v>2300</v>
      </c>
      <c r="AI106" s="83">
        <f t="shared" si="18"/>
        <v>2030</v>
      </c>
      <c r="AJ106" s="83">
        <f t="shared" si="19"/>
        <v>1800</v>
      </c>
      <c r="AK106" s="38" t="str">
        <f>VLOOKUP(V106,Sheet2!E:E,1,0)</f>
        <v>003303000120000-33030001203</v>
      </c>
    </row>
    <row r="107" s="40" customFormat="1" ht="27" customHeight="1" spans="1:37">
      <c r="A107" s="55">
        <v>23</v>
      </c>
      <c r="B107" s="59" t="s">
        <v>451</v>
      </c>
      <c r="C107" s="57" t="s">
        <v>452</v>
      </c>
      <c r="D107" s="58" t="s">
        <v>453</v>
      </c>
      <c r="E107" s="58" t="s">
        <v>388</v>
      </c>
      <c r="F107" s="58"/>
      <c r="G107" s="55" t="s">
        <v>35</v>
      </c>
      <c r="H107" s="58" t="s">
        <v>38</v>
      </c>
      <c r="I107" s="64">
        <v>1800</v>
      </c>
      <c r="J107" s="64">
        <v>1620</v>
      </c>
      <c r="K107" s="65">
        <v>1773.75</v>
      </c>
      <c r="L107" s="65">
        <v>1571.61290322581</v>
      </c>
      <c r="M107" s="66"/>
      <c r="N107" s="75">
        <v>1780</v>
      </c>
      <c r="O107" s="75">
        <v>1615</v>
      </c>
      <c r="P107" s="75">
        <v>1430</v>
      </c>
      <c r="Q107" s="88" t="s">
        <v>37</v>
      </c>
      <c r="R107" s="88" t="s">
        <v>38</v>
      </c>
      <c r="S107" s="88" t="s">
        <v>38</v>
      </c>
      <c r="T107" s="65" t="s">
        <v>39</v>
      </c>
      <c r="U107" s="89" t="s">
        <v>454</v>
      </c>
      <c r="V107" s="16" t="s">
        <v>455</v>
      </c>
      <c r="W107" s="17">
        <v>330300003</v>
      </c>
      <c r="X107" s="16" t="s">
        <v>456</v>
      </c>
      <c r="Y107" s="16"/>
      <c r="Z107" s="16"/>
      <c r="AA107" s="16" t="s">
        <v>35</v>
      </c>
      <c r="AB107" s="16" t="s">
        <v>38</v>
      </c>
      <c r="AC107" s="26">
        <v>1625</v>
      </c>
      <c r="AD107" s="26">
        <v>1560</v>
      </c>
      <c r="AE107" s="26">
        <v>1326</v>
      </c>
      <c r="AF107" s="83">
        <f t="shared" si="15"/>
        <v>0</v>
      </c>
      <c r="AG107" s="83" t="str">
        <f t="shared" si="16"/>
        <v>甲状旁腺切除费</v>
      </c>
      <c r="AH107" s="83">
        <f t="shared" si="17"/>
        <v>1780</v>
      </c>
      <c r="AI107" s="83">
        <f t="shared" si="18"/>
        <v>1615</v>
      </c>
      <c r="AJ107" s="83">
        <f t="shared" si="19"/>
        <v>1430</v>
      </c>
      <c r="AK107" s="38" t="str">
        <f>VLOOKUP(V107,Sheet2!E:E,1,0)</f>
        <v>003303000030000-330300003</v>
      </c>
    </row>
    <row r="108" s="40" customFormat="1" ht="27" customHeight="1" spans="1:37">
      <c r="A108" s="55"/>
      <c r="B108" s="59"/>
      <c r="C108" s="57" t="s">
        <v>452</v>
      </c>
      <c r="D108" s="58"/>
      <c r="E108" s="58"/>
      <c r="F108" s="58"/>
      <c r="G108" s="55"/>
      <c r="H108" s="58"/>
      <c r="I108" s="64"/>
      <c r="J108" s="64"/>
      <c r="K108" s="65"/>
      <c r="L108" s="65"/>
      <c r="M108" s="66"/>
      <c r="N108" s="75">
        <v>1780</v>
      </c>
      <c r="O108" s="75">
        <v>1615</v>
      </c>
      <c r="P108" s="75">
        <v>1430</v>
      </c>
      <c r="Q108" s="88"/>
      <c r="R108" s="88"/>
      <c r="S108" s="88"/>
      <c r="T108" s="65"/>
      <c r="U108" s="89"/>
      <c r="V108" s="16" t="s">
        <v>457</v>
      </c>
      <c r="W108" s="17">
        <v>33030000302</v>
      </c>
      <c r="X108" s="16" t="s">
        <v>458</v>
      </c>
      <c r="Y108" s="16"/>
      <c r="Z108" s="16"/>
      <c r="AA108" s="16" t="s">
        <v>35</v>
      </c>
      <c r="AB108" s="16" t="s">
        <v>38</v>
      </c>
      <c r="AC108" s="26">
        <v>2250</v>
      </c>
      <c r="AD108" s="26">
        <v>2160</v>
      </c>
      <c r="AE108" s="26">
        <v>1836</v>
      </c>
      <c r="AF108" s="83">
        <f t="shared" si="15"/>
        <v>0</v>
      </c>
      <c r="AG108" s="83" t="str">
        <f t="shared" si="16"/>
        <v>甲状旁腺切除费</v>
      </c>
      <c r="AH108" s="83">
        <f t="shared" si="17"/>
        <v>1780</v>
      </c>
      <c r="AI108" s="83">
        <f t="shared" si="18"/>
        <v>1615</v>
      </c>
      <c r="AJ108" s="83">
        <f t="shared" si="19"/>
        <v>1430</v>
      </c>
      <c r="AK108" s="38" t="str">
        <f>VLOOKUP(V108,Sheet2!E:E,1,0)</f>
        <v>003303000030000-33030000302</v>
      </c>
    </row>
    <row r="109" s="40" customFormat="1" ht="27" customHeight="1" spans="1:37">
      <c r="A109" s="55"/>
      <c r="B109" s="59"/>
      <c r="C109" s="57" t="s">
        <v>452</v>
      </c>
      <c r="D109" s="58"/>
      <c r="E109" s="58"/>
      <c r="F109" s="58"/>
      <c r="G109" s="55"/>
      <c r="H109" s="58"/>
      <c r="I109" s="64"/>
      <c r="J109" s="64"/>
      <c r="K109" s="65"/>
      <c r="L109" s="65"/>
      <c r="M109" s="66"/>
      <c r="N109" s="75">
        <v>1780</v>
      </c>
      <c r="O109" s="75">
        <v>1615</v>
      </c>
      <c r="P109" s="75">
        <v>1430</v>
      </c>
      <c r="Q109" s="88"/>
      <c r="R109" s="88"/>
      <c r="S109" s="88"/>
      <c r="T109" s="65"/>
      <c r="U109" s="89"/>
      <c r="V109" s="16" t="s">
        <v>459</v>
      </c>
      <c r="W109" s="17">
        <v>330300002</v>
      </c>
      <c r="X109" s="16" t="s">
        <v>460</v>
      </c>
      <c r="Y109" s="16"/>
      <c r="Z109" s="16"/>
      <c r="AA109" s="16" t="s">
        <v>35</v>
      </c>
      <c r="AB109" s="16" t="s">
        <v>38</v>
      </c>
      <c r="AC109" s="26">
        <v>1500</v>
      </c>
      <c r="AD109" s="26">
        <v>1440</v>
      </c>
      <c r="AE109" s="26">
        <v>1224</v>
      </c>
      <c r="AF109" s="83">
        <f t="shared" si="15"/>
        <v>0</v>
      </c>
      <c r="AG109" s="83" t="str">
        <f t="shared" si="16"/>
        <v>甲状旁腺切除费</v>
      </c>
      <c r="AH109" s="83">
        <f t="shared" si="17"/>
        <v>1780</v>
      </c>
      <c r="AI109" s="83">
        <f t="shared" si="18"/>
        <v>1615</v>
      </c>
      <c r="AJ109" s="83">
        <f t="shared" si="19"/>
        <v>1430</v>
      </c>
      <c r="AK109" s="38" t="str">
        <f>VLOOKUP(V109,Sheet2!E:E,1,0)</f>
        <v>003303000020000-330300002</v>
      </c>
    </row>
    <row r="110" s="40" customFormat="1" ht="27" customHeight="1" spans="1:37">
      <c r="A110" s="55"/>
      <c r="B110" s="59"/>
      <c r="C110" s="57" t="s">
        <v>452</v>
      </c>
      <c r="D110" s="58"/>
      <c r="E110" s="58"/>
      <c r="F110" s="58"/>
      <c r="G110" s="55"/>
      <c r="H110" s="58"/>
      <c r="I110" s="64"/>
      <c r="J110" s="64"/>
      <c r="K110" s="65"/>
      <c r="L110" s="65"/>
      <c r="M110" s="66"/>
      <c r="N110" s="75">
        <v>1780</v>
      </c>
      <c r="O110" s="75">
        <v>1615</v>
      </c>
      <c r="P110" s="75">
        <v>1430</v>
      </c>
      <c r="Q110" s="88"/>
      <c r="R110" s="88"/>
      <c r="S110" s="88"/>
      <c r="T110" s="65"/>
      <c r="U110" s="89"/>
      <c r="V110" s="16" t="s">
        <v>461</v>
      </c>
      <c r="W110" s="17">
        <v>33030000202</v>
      </c>
      <c r="X110" s="16" t="s">
        <v>462</v>
      </c>
      <c r="Y110" s="16"/>
      <c r="Z110" s="16"/>
      <c r="AA110" s="16" t="s">
        <v>35</v>
      </c>
      <c r="AB110" s="16" t="s">
        <v>38</v>
      </c>
      <c r="AC110" s="26">
        <v>2125</v>
      </c>
      <c r="AD110" s="26">
        <v>2040</v>
      </c>
      <c r="AE110" s="26">
        <v>1734</v>
      </c>
      <c r="AF110" s="83">
        <f t="shared" si="15"/>
        <v>0</v>
      </c>
      <c r="AG110" s="83" t="str">
        <f t="shared" si="16"/>
        <v>甲状旁腺切除费</v>
      </c>
      <c r="AH110" s="83">
        <f t="shared" si="17"/>
        <v>1780</v>
      </c>
      <c r="AI110" s="83">
        <f t="shared" si="18"/>
        <v>1615</v>
      </c>
      <c r="AJ110" s="83">
        <f t="shared" si="19"/>
        <v>1430</v>
      </c>
      <c r="AK110" s="38" t="str">
        <f>VLOOKUP(V110,Sheet2!E:E,1,0)</f>
        <v>003303000020000-33030000202</v>
      </c>
    </row>
    <row r="111" s="40" customFormat="1" ht="22" customHeight="1" spans="1:37">
      <c r="A111" s="55" t="s">
        <v>57</v>
      </c>
      <c r="B111" s="59" t="s">
        <v>463</v>
      </c>
      <c r="C111" s="57" t="s">
        <v>464</v>
      </c>
      <c r="D111" s="58" t="s">
        <v>38</v>
      </c>
      <c r="E111" s="58" t="s">
        <v>38</v>
      </c>
      <c r="F111" s="58"/>
      <c r="G111" s="55" t="s">
        <v>35</v>
      </c>
      <c r="H111" s="58" t="s">
        <v>38</v>
      </c>
      <c r="I111" s="64">
        <v>540</v>
      </c>
      <c r="J111" s="64">
        <v>486</v>
      </c>
      <c r="K111" s="66"/>
      <c r="L111" s="66"/>
      <c r="M111" s="66"/>
      <c r="N111" s="75">
        <v>535</v>
      </c>
      <c r="O111" s="75">
        <v>485</v>
      </c>
      <c r="P111" s="75">
        <v>430</v>
      </c>
      <c r="Q111" s="88" t="s">
        <v>37</v>
      </c>
      <c r="R111" s="88" t="s">
        <v>38</v>
      </c>
      <c r="S111" s="88" t="s">
        <v>38</v>
      </c>
      <c r="T111" s="66"/>
      <c r="U111" s="89"/>
      <c r="V111" s="16" t="s">
        <v>465</v>
      </c>
      <c r="W111" s="17">
        <v>33030000301</v>
      </c>
      <c r="X111" s="16" t="s">
        <v>466</v>
      </c>
      <c r="Y111" s="16"/>
      <c r="Z111" s="16"/>
      <c r="AA111" s="16" t="s">
        <v>35</v>
      </c>
      <c r="AB111" s="16" t="s">
        <v>38</v>
      </c>
      <c r="AC111" s="26">
        <v>2115</v>
      </c>
      <c r="AD111" s="26">
        <v>2030</v>
      </c>
      <c r="AE111" s="26">
        <v>1725</v>
      </c>
      <c r="AF111" s="83">
        <f t="shared" si="15"/>
        <v>8</v>
      </c>
      <c r="AG111" s="83" t="str">
        <f t="shared" si="16"/>
        <v>甲状旁腺切除费</v>
      </c>
      <c r="AH111" s="83">
        <f t="shared" si="17"/>
        <v>2315</v>
      </c>
      <c r="AI111" s="83">
        <f t="shared" si="18"/>
        <v>2100</v>
      </c>
      <c r="AJ111" s="83">
        <f t="shared" si="19"/>
        <v>1860</v>
      </c>
      <c r="AK111" s="38" t="str">
        <f>VLOOKUP(V111,Sheet2!E:E,1,0)</f>
        <v>003303000030000-33030000301</v>
      </c>
    </row>
    <row r="112" s="40" customFormat="1" ht="22" customHeight="1" spans="1:37">
      <c r="A112" s="55"/>
      <c r="B112" s="59"/>
      <c r="C112" s="57" t="s">
        <v>464</v>
      </c>
      <c r="D112" s="58"/>
      <c r="E112" s="58"/>
      <c r="F112" s="58"/>
      <c r="G112" s="55"/>
      <c r="H112" s="58"/>
      <c r="I112" s="64"/>
      <c r="J112" s="64"/>
      <c r="K112" s="66"/>
      <c r="L112" s="66"/>
      <c r="M112" s="66"/>
      <c r="N112" s="75">
        <v>535</v>
      </c>
      <c r="O112" s="75">
        <v>485</v>
      </c>
      <c r="P112" s="75">
        <v>430</v>
      </c>
      <c r="Q112" s="88"/>
      <c r="R112" s="88"/>
      <c r="S112" s="88"/>
      <c r="T112" s="66"/>
      <c r="U112" s="89"/>
      <c r="V112" s="16" t="s">
        <v>467</v>
      </c>
      <c r="W112" s="17">
        <v>33030000303</v>
      </c>
      <c r="X112" s="16" t="s">
        <v>468</v>
      </c>
      <c r="Y112" s="16"/>
      <c r="Z112" s="16"/>
      <c r="AA112" s="16" t="s">
        <v>35</v>
      </c>
      <c r="AB112" s="16" t="s">
        <v>38</v>
      </c>
      <c r="AC112" s="26">
        <v>2740</v>
      </c>
      <c r="AD112" s="26">
        <v>2630</v>
      </c>
      <c r="AE112" s="26">
        <v>2235</v>
      </c>
      <c r="AF112" s="83">
        <f t="shared" si="15"/>
        <v>8</v>
      </c>
      <c r="AG112" s="83" t="str">
        <f t="shared" si="16"/>
        <v>甲状旁腺切除费</v>
      </c>
      <c r="AH112" s="83">
        <f t="shared" si="17"/>
        <v>2315</v>
      </c>
      <c r="AI112" s="83">
        <f t="shared" si="18"/>
        <v>2100</v>
      </c>
      <c r="AJ112" s="83">
        <f t="shared" si="19"/>
        <v>1860</v>
      </c>
      <c r="AK112" s="38" t="str">
        <f>VLOOKUP(V112,Sheet2!E:E,1,0)</f>
        <v>003303000030000-33030000303</v>
      </c>
    </row>
    <row r="113" s="40" customFormat="1" ht="22" customHeight="1" spans="1:37">
      <c r="A113" s="55"/>
      <c r="B113" s="59"/>
      <c r="C113" s="57" t="s">
        <v>464</v>
      </c>
      <c r="D113" s="58"/>
      <c r="E113" s="58"/>
      <c r="F113" s="58"/>
      <c r="G113" s="55"/>
      <c r="H113" s="58"/>
      <c r="I113" s="64"/>
      <c r="J113" s="64"/>
      <c r="K113" s="66"/>
      <c r="L113" s="66"/>
      <c r="M113" s="66"/>
      <c r="N113" s="75">
        <v>535</v>
      </c>
      <c r="O113" s="75">
        <v>485</v>
      </c>
      <c r="P113" s="75">
        <v>430</v>
      </c>
      <c r="Q113" s="88"/>
      <c r="R113" s="88"/>
      <c r="S113" s="88"/>
      <c r="T113" s="66"/>
      <c r="U113" s="89"/>
      <c r="V113" s="16" t="s">
        <v>469</v>
      </c>
      <c r="W113" s="17">
        <v>33030000601</v>
      </c>
      <c r="X113" s="16" t="s">
        <v>470</v>
      </c>
      <c r="Y113" s="16"/>
      <c r="Z113" s="16"/>
      <c r="AA113" s="16" t="s">
        <v>35</v>
      </c>
      <c r="AB113" s="16" t="s">
        <v>38</v>
      </c>
      <c r="AC113" s="26">
        <v>4825</v>
      </c>
      <c r="AD113" s="26">
        <v>4340</v>
      </c>
      <c r="AE113" s="26">
        <v>3690</v>
      </c>
      <c r="AF113" s="83">
        <f t="shared" si="15"/>
        <v>8</v>
      </c>
      <c r="AG113" s="83" t="str">
        <f t="shared" si="16"/>
        <v>甲状旁腺切除费</v>
      </c>
      <c r="AH113" s="83">
        <f t="shared" si="17"/>
        <v>2315</v>
      </c>
      <c r="AI113" s="83">
        <f t="shared" si="18"/>
        <v>2100</v>
      </c>
      <c r="AJ113" s="83">
        <f t="shared" si="19"/>
        <v>1860</v>
      </c>
      <c r="AK113" s="38" t="str">
        <f>VLOOKUP(V113,Sheet2!E:E,1,0)</f>
        <v>003303000060000-33030000601</v>
      </c>
    </row>
    <row r="114" s="40" customFormat="1" ht="22" customHeight="1" spans="1:37">
      <c r="A114" s="55"/>
      <c r="B114" s="59"/>
      <c r="C114" s="57" t="s">
        <v>464</v>
      </c>
      <c r="D114" s="58"/>
      <c r="E114" s="58"/>
      <c r="F114" s="58"/>
      <c r="G114" s="55"/>
      <c r="H114" s="58"/>
      <c r="I114" s="64"/>
      <c r="J114" s="64"/>
      <c r="K114" s="66"/>
      <c r="L114" s="66"/>
      <c r="M114" s="66"/>
      <c r="N114" s="75">
        <v>535</v>
      </c>
      <c r="O114" s="75">
        <v>485</v>
      </c>
      <c r="P114" s="75">
        <v>430</v>
      </c>
      <c r="Q114" s="88"/>
      <c r="R114" s="88"/>
      <c r="S114" s="88"/>
      <c r="T114" s="66"/>
      <c r="U114" s="89"/>
      <c r="V114" s="16" t="s">
        <v>471</v>
      </c>
      <c r="W114" s="17">
        <v>33030000603</v>
      </c>
      <c r="X114" s="16" t="s">
        <v>472</v>
      </c>
      <c r="Y114" s="16"/>
      <c r="Z114" s="16"/>
      <c r="AA114" s="16" t="s">
        <v>35</v>
      </c>
      <c r="AB114" s="16" t="s">
        <v>38</v>
      </c>
      <c r="AC114" s="26">
        <v>5450</v>
      </c>
      <c r="AD114" s="26">
        <v>4940</v>
      </c>
      <c r="AE114" s="26">
        <v>4200</v>
      </c>
      <c r="AF114" s="83">
        <f t="shared" si="15"/>
        <v>8</v>
      </c>
      <c r="AG114" s="83" t="str">
        <f t="shared" si="16"/>
        <v>甲状旁腺切除费</v>
      </c>
      <c r="AH114" s="83">
        <f t="shared" si="17"/>
        <v>2315</v>
      </c>
      <c r="AI114" s="83">
        <f t="shared" si="18"/>
        <v>2100</v>
      </c>
      <c r="AJ114" s="83">
        <f t="shared" si="19"/>
        <v>1860</v>
      </c>
      <c r="AK114" s="38" t="str">
        <f>VLOOKUP(V114,Sheet2!E:E,1,0)</f>
        <v>003303000060000-33030000603</v>
      </c>
    </row>
    <row r="115" s="40" customFormat="1" ht="22" customHeight="1" spans="1:37">
      <c r="A115" s="55"/>
      <c r="B115" s="59"/>
      <c r="C115" s="57" t="s">
        <v>464</v>
      </c>
      <c r="D115" s="58"/>
      <c r="E115" s="58"/>
      <c r="F115" s="58"/>
      <c r="G115" s="55"/>
      <c r="H115" s="58"/>
      <c r="I115" s="64"/>
      <c r="J115" s="64"/>
      <c r="K115" s="66"/>
      <c r="L115" s="66"/>
      <c r="M115" s="66"/>
      <c r="N115" s="75">
        <v>535</v>
      </c>
      <c r="O115" s="75">
        <v>485</v>
      </c>
      <c r="P115" s="75">
        <v>430</v>
      </c>
      <c r="Q115" s="88"/>
      <c r="R115" s="88"/>
      <c r="S115" s="88"/>
      <c r="T115" s="66"/>
      <c r="U115" s="89"/>
      <c r="V115" s="16" t="s">
        <v>473</v>
      </c>
      <c r="W115" s="17">
        <v>33030000201</v>
      </c>
      <c r="X115" s="16" t="s">
        <v>474</v>
      </c>
      <c r="Y115" s="16"/>
      <c r="Z115" s="16"/>
      <c r="AA115" s="16" t="s">
        <v>35</v>
      </c>
      <c r="AB115" s="16" t="s">
        <v>38</v>
      </c>
      <c r="AC115" s="26">
        <v>1950</v>
      </c>
      <c r="AD115" s="26">
        <v>1870</v>
      </c>
      <c r="AE115" s="26">
        <v>1590</v>
      </c>
      <c r="AF115" s="83">
        <f t="shared" si="15"/>
        <v>8</v>
      </c>
      <c r="AG115" s="83" t="str">
        <f t="shared" si="16"/>
        <v>甲状旁腺切除费</v>
      </c>
      <c r="AH115" s="83">
        <f t="shared" si="17"/>
        <v>2315</v>
      </c>
      <c r="AI115" s="83">
        <f t="shared" si="18"/>
        <v>2100</v>
      </c>
      <c r="AJ115" s="83">
        <f t="shared" si="19"/>
        <v>1860</v>
      </c>
      <c r="AK115" s="38" t="str">
        <f>VLOOKUP(V115,Sheet2!E:E,1,0)</f>
        <v>003303000020000-33030000201</v>
      </c>
    </row>
    <row r="116" s="40" customFormat="1" ht="22" customHeight="1" spans="1:37">
      <c r="A116" s="55"/>
      <c r="B116" s="59"/>
      <c r="C116" s="57" t="s">
        <v>464</v>
      </c>
      <c r="D116" s="58"/>
      <c r="E116" s="58"/>
      <c r="F116" s="58"/>
      <c r="G116" s="55"/>
      <c r="H116" s="58"/>
      <c r="I116" s="64"/>
      <c r="J116" s="64"/>
      <c r="K116" s="66"/>
      <c r="L116" s="66"/>
      <c r="M116" s="66"/>
      <c r="N116" s="75">
        <v>535</v>
      </c>
      <c r="O116" s="75">
        <v>485</v>
      </c>
      <c r="P116" s="75">
        <v>430</v>
      </c>
      <c r="Q116" s="88"/>
      <c r="R116" s="88"/>
      <c r="S116" s="88"/>
      <c r="T116" s="66"/>
      <c r="U116" s="89"/>
      <c r="V116" s="16" t="s">
        <v>475</v>
      </c>
      <c r="W116" s="17">
        <v>33030000203</v>
      </c>
      <c r="X116" s="16" t="s">
        <v>476</v>
      </c>
      <c r="Y116" s="16"/>
      <c r="Z116" s="16"/>
      <c r="AA116" s="16" t="s">
        <v>35</v>
      </c>
      <c r="AB116" s="16" t="s">
        <v>38</v>
      </c>
      <c r="AC116" s="26">
        <v>2575</v>
      </c>
      <c r="AD116" s="26">
        <v>2470</v>
      </c>
      <c r="AE116" s="26">
        <v>2100</v>
      </c>
      <c r="AF116" s="83">
        <f t="shared" si="15"/>
        <v>8</v>
      </c>
      <c r="AG116" s="83" t="str">
        <f t="shared" si="16"/>
        <v>甲状旁腺切除费</v>
      </c>
      <c r="AH116" s="83">
        <f t="shared" si="17"/>
        <v>2315</v>
      </c>
      <c r="AI116" s="83">
        <f t="shared" si="18"/>
        <v>2100</v>
      </c>
      <c r="AJ116" s="83">
        <f t="shared" si="19"/>
        <v>1860</v>
      </c>
      <c r="AK116" s="38" t="str">
        <f>VLOOKUP(V116,Sheet2!E:E,1,0)</f>
        <v>003303000020000-33030000203</v>
      </c>
    </row>
    <row r="117" s="40" customFormat="1" ht="42" customHeight="1" spans="1:37">
      <c r="A117" s="55">
        <v>24</v>
      </c>
      <c r="B117" s="59" t="s">
        <v>479</v>
      </c>
      <c r="C117" s="57" t="s">
        <v>480</v>
      </c>
      <c r="D117" s="58" t="s">
        <v>481</v>
      </c>
      <c r="E117" s="58" t="s">
        <v>482</v>
      </c>
      <c r="F117" s="58"/>
      <c r="G117" s="55" t="s">
        <v>35</v>
      </c>
      <c r="H117" s="58" t="s">
        <v>38</v>
      </c>
      <c r="I117" s="64">
        <v>1620</v>
      </c>
      <c r="J117" s="64">
        <v>1458</v>
      </c>
      <c r="K117" s="66">
        <v>2000</v>
      </c>
      <c r="L117" s="66">
        <v>1800</v>
      </c>
      <c r="M117" s="66">
        <v>1600</v>
      </c>
      <c r="N117" s="71">
        <v>1600</v>
      </c>
      <c r="O117" s="71">
        <v>1500</v>
      </c>
      <c r="P117" s="71">
        <v>1280</v>
      </c>
      <c r="Q117" s="55" t="s">
        <v>37</v>
      </c>
      <c r="R117" s="55" t="s">
        <v>38</v>
      </c>
      <c r="S117" s="55" t="s">
        <v>38</v>
      </c>
      <c r="T117" s="66" t="s">
        <v>162</v>
      </c>
      <c r="U117" s="58" t="s">
        <v>483</v>
      </c>
      <c r="V117" s="16" t="s">
        <v>484</v>
      </c>
      <c r="W117" s="17">
        <v>330300004</v>
      </c>
      <c r="X117" s="16" t="s">
        <v>485</v>
      </c>
      <c r="Y117" s="16" t="s">
        <v>486</v>
      </c>
      <c r="Z117" s="16"/>
      <c r="AA117" s="16" t="s">
        <v>35</v>
      </c>
      <c r="AB117" s="16" t="s">
        <v>38</v>
      </c>
      <c r="AC117" s="26">
        <v>2000</v>
      </c>
      <c r="AD117" s="26">
        <v>1800</v>
      </c>
      <c r="AE117" s="26">
        <v>1600</v>
      </c>
      <c r="AF117" s="83">
        <f t="shared" si="15"/>
        <v>0</v>
      </c>
      <c r="AG117" s="83" t="str">
        <f t="shared" si="16"/>
        <v>甲状旁腺移植费</v>
      </c>
      <c r="AH117" s="83">
        <f t="shared" si="17"/>
        <v>1600</v>
      </c>
      <c r="AI117" s="83">
        <f t="shared" si="18"/>
        <v>1500</v>
      </c>
      <c r="AJ117" s="83">
        <f t="shared" si="19"/>
        <v>1280</v>
      </c>
      <c r="AK117" s="38" t="str">
        <f>VLOOKUP(V117,Sheet2!E:E,1,0)</f>
        <v>003303000040000-330300004</v>
      </c>
    </row>
    <row r="118" s="40" customFormat="1" ht="42" customHeight="1" spans="1:37">
      <c r="A118" s="55"/>
      <c r="B118" s="59"/>
      <c r="C118" s="57" t="s">
        <v>480</v>
      </c>
      <c r="D118" s="58"/>
      <c r="E118" s="58"/>
      <c r="F118" s="58"/>
      <c r="G118" s="55"/>
      <c r="H118" s="58"/>
      <c r="I118" s="64"/>
      <c r="J118" s="64"/>
      <c r="K118" s="66"/>
      <c r="L118" s="66"/>
      <c r="M118" s="66"/>
      <c r="N118" s="71">
        <v>1600</v>
      </c>
      <c r="O118" s="71">
        <v>1500</v>
      </c>
      <c r="P118" s="71">
        <v>1280</v>
      </c>
      <c r="Q118" s="55"/>
      <c r="R118" s="55"/>
      <c r="S118" s="55"/>
      <c r="T118" s="66"/>
      <c r="U118" s="58"/>
      <c r="V118" s="16" t="s">
        <v>487</v>
      </c>
      <c r="W118" s="17">
        <v>330300005</v>
      </c>
      <c r="X118" s="16" t="s">
        <v>488</v>
      </c>
      <c r="Y118" s="16" t="s">
        <v>489</v>
      </c>
      <c r="Z118" s="16"/>
      <c r="AA118" s="16" t="s">
        <v>35</v>
      </c>
      <c r="AB118" s="16" t="s">
        <v>38</v>
      </c>
      <c r="AC118" s="26"/>
      <c r="AD118" s="26"/>
      <c r="AE118" s="26"/>
      <c r="AF118" s="83">
        <f t="shared" si="15"/>
        <v>0</v>
      </c>
      <c r="AG118" s="83" t="str">
        <f t="shared" si="16"/>
        <v>甲状旁腺移植费</v>
      </c>
      <c r="AH118" s="83">
        <f t="shared" si="17"/>
        <v>1600</v>
      </c>
      <c r="AI118" s="83">
        <f t="shared" si="18"/>
        <v>1500</v>
      </c>
      <c r="AJ118" s="83">
        <f t="shared" si="19"/>
        <v>1280</v>
      </c>
      <c r="AK118" s="38" t="str">
        <f>VLOOKUP(V118,Sheet2!E:E,1,0)</f>
        <v>003303000050000-330300005</v>
      </c>
    </row>
    <row r="119" s="40" customFormat="1" ht="29" customHeight="1" spans="1:37">
      <c r="A119" s="55" t="s">
        <v>57</v>
      </c>
      <c r="B119" s="59" t="s">
        <v>490</v>
      </c>
      <c r="C119" s="57" t="s">
        <v>491</v>
      </c>
      <c r="D119" s="58" t="s">
        <v>38</v>
      </c>
      <c r="E119" s="58" t="s">
        <v>38</v>
      </c>
      <c r="F119" s="58"/>
      <c r="G119" s="55" t="s">
        <v>35</v>
      </c>
      <c r="H119" s="58" t="s">
        <v>38</v>
      </c>
      <c r="I119" s="64">
        <v>486</v>
      </c>
      <c r="J119" s="64">
        <v>437</v>
      </c>
      <c r="K119" s="66"/>
      <c r="L119" s="66"/>
      <c r="M119" s="66"/>
      <c r="N119" s="71">
        <v>480</v>
      </c>
      <c r="O119" s="71">
        <v>450</v>
      </c>
      <c r="P119" s="71">
        <v>385</v>
      </c>
      <c r="Q119" s="55" t="s">
        <v>37</v>
      </c>
      <c r="R119" s="55" t="s">
        <v>38</v>
      </c>
      <c r="S119" s="55" t="s">
        <v>38</v>
      </c>
      <c r="T119" s="66"/>
      <c r="U119" s="58" t="s">
        <v>60</v>
      </c>
      <c r="V119" s="16" t="s">
        <v>492</v>
      </c>
      <c r="W119" s="17">
        <v>33030000401</v>
      </c>
      <c r="X119" s="16" t="s">
        <v>493</v>
      </c>
      <c r="Y119" s="16"/>
      <c r="Z119" s="16"/>
      <c r="AA119" s="16" t="s">
        <v>35</v>
      </c>
      <c r="AB119" s="16" t="s">
        <v>38</v>
      </c>
      <c r="AC119" s="26">
        <v>2600</v>
      </c>
      <c r="AD119" s="26">
        <v>2340</v>
      </c>
      <c r="AE119" s="26">
        <v>2080</v>
      </c>
      <c r="AF119" s="83">
        <f t="shared" si="15"/>
        <v>8</v>
      </c>
      <c r="AG119" s="83" t="str">
        <f t="shared" si="16"/>
        <v>甲状旁腺移植费</v>
      </c>
      <c r="AH119" s="83">
        <f t="shared" si="17"/>
        <v>2080</v>
      </c>
      <c r="AI119" s="83">
        <f t="shared" si="18"/>
        <v>1950</v>
      </c>
      <c r="AJ119" s="83">
        <f t="shared" si="19"/>
        <v>1665</v>
      </c>
      <c r="AK119" s="38" t="str">
        <f>VLOOKUP(V119,Sheet2!E:E,1,0)</f>
        <v>003303000040000-33030000401</v>
      </c>
    </row>
    <row r="120" s="40" customFormat="1" ht="29" customHeight="1" spans="1:37">
      <c r="A120" s="55"/>
      <c r="B120" s="59"/>
      <c r="C120" s="57" t="s">
        <v>491</v>
      </c>
      <c r="D120" s="58"/>
      <c r="E120" s="58"/>
      <c r="F120" s="58"/>
      <c r="G120" s="55"/>
      <c r="H120" s="58"/>
      <c r="I120" s="64"/>
      <c r="J120" s="64"/>
      <c r="K120" s="66"/>
      <c r="L120" s="66"/>
      <c r="M120" s="66"/>
      <c r="N120" s="71">
        <v>480</v>
      </c>
      <c r="O120" s="71">
        <v>450</v>
      </c>
      <c r="P120" s="71">
        <v>385</v>
      </c>
      <c r="Q120" s="55"/>
      <c r="R120" s="55"/>
      <c r="S120" s="55"/>
      <c r="T120" s="66"/>
      <c r="U120" s="58"/>
      <c r="V120" s="16" t="s">
        <v>494</v>
      </c>
      <c r="W120" s="17">
        <v>33030001401</v>
      </c>
      <c r="X120" s="16" t="s">
        <v>495</v>
      </c>
      <c r="Y120" s="16"/>
      <c r="Z120" s="16"/>
      <c r="AA120" s="16" t="s">
        <v>35</v>
      </c>
      <c r="AB120" s="16" t="s">
        <v>38</v>
      </c>
      <c r="AC120" s="26"/>
      <c r="AD120" s="26"/>
      <c r="AE120" s="26"/>
      <c r="AF120" s="83">
        <f t="shared" si="15"/>
        <v>8</v>
      </c>
      <c r="AG120" s="83" t="str">
        <f t="shared" si="16"/>
        <v>甲状旁腺移植费</v>
      </c>
      <c r="AH120" s="83">
        <f t="shared" si="17"/>
        <v>2080</v>
      </c>
      <c r="AI120" s="83">
        <f t="shared" si="18"/>
        <v>1950</v>
      </c>
      <c r="AJ120" s="83">
        <f t="shared" si="19"/>
        <v>1665</v>
      </c>
      <c r="AK120" s="38" t="str">
        <f>VLOOKUP(V120,Sheet2!E:E,1,0)</f>
        <v>003303000140000-33030001401</v>
      </c>
    </row>
    <row r="121" s="40" customFormat="1" ht="29" customHeight="1" spans="1:37">
      <c r="A121" s="55" t="s">
        <v>57</v>
      </c>
      <c r="B121" s="59" t="s">
        <v>496</v>
      </c>
      <c r="C121" s="55" t="s">
        <v>497</v>
      </c>
      <c r="D121" s="58" t="s">
        <v>38</v>
      </c>
      <c r="E121" s="58" t="s">
        <v>38</v>
      </c>
      <c r="F121" s="58"/>
      <c r="G121" s="55" t="s">
        <v>35</v>
      </c>
      <c r="H121" s="58" t="s">
        <v>38</v>
      </c>
      <c r="I121" s="64">
        <v>1620</v>
      </c>
      <c r="J121" s="64">
        <v>1458</v>
      </c>
      <c r="K121" s="66"/>
      <c r="L121" s="66"/>
      <c r="M121" s="66"/>
      <c r="N121" s="74">
        <v>1600</v>
      </c>
      <c r="O121" s="74">
        <v>1500</v>
      </c>
      <c r="P121" s="74">
        <v>1280</v>
      </c>
      <c r="Q121" s="55" t="s">
        <v>37</v>
      </c>
      <c r="R121" s="55" t="s">
        <v>38</v>
      </c>
      <c r="S121" s="55" t="s">
        <v>38</v>
      </c>
      <c r="T121" s="66"/>
      <c r="U121" s="58" t="s">
        <v>498</v>
      </c>
      <c r="V121" s="16" t="s">
        <v>499</v>
      </c>
      <c r="W121" s="17">
        <v>330300014</v>
      </c>
      <c r="X121" s="16" t="s">
        <v>500</v>
      </c>
      <c r="Y121" s="16" t="s">
        <v>489</v>
      </c>
      <c r="Z121" s="16"/>
      <c r="AA121" s="16" t="s">
        <v>35</v>
      </c>
      <c r="AB121" s="16" t="s">
        <v>38</v>
      </c>
      <c r="AC121" s="26"/>
      <c r="AD121" s="26"/>
      <c r="AE121" s="26"/>
      <c r="AF121" s="83">
        <f t="shared" si="15"/>
        <v>0</v>
      </c>
      <c r="AG121" s="83" t="str">
        <f t="shared" si="16"/>
        <v>甲状旁腺移植费-甲状腺移植（扩展）</v>
      </c>
      <c r="AH121" s="83">
        <f t="shared" si="17"/>
        <v>1600</v>
      </c>
      <c r="AI121" s="83">
        <f t="shared" si="18"/>
        <v>1500</v>
      </c>
      <c r="AJ121" s="83">
        <f t="shared" si="19"/>
        <v>1280</v>
      </c>
      <c r="AK121" s="38" t="str">
        <f>VLOOKUP(V121,Sheet2!E:E,1,0)</f>
        <v>003303000140000-330300014</v>
      </c>
    </row>
    <row r="122" s="40" customFormat="1" ht="30" customHeight="1" spans="1:37">
      <c r="A122" s="55" t="s">
        <v>57</v>
      </c>
      <c r="B122" s="59" t="s">
        <v>501</v>
      </c>
      <c r="C122" s="57" t="s">
        <v>502</v>
      </c>
      <c r="D122" s="58" t="s">
        <v>38</v>
      </c>
      <c r="E122" s="58" t="s">
        <v>38</v>
      </c>
      <c r="F122" s="58"/>
      <c r="G122" s="55" t="s">
        <v>35</v>
      </c>
      <c r="H122" s="58" t="s">
        <v>38</v>
      </c>
      <c r="I122" s="64">
        <v>1620</v>
      </c>
      <c r="J122" s="64">
        <v>1458</v>
      </c>
      <c r="K122" s="66"/>
      <c r="L122" s="66"/>
      <c r="M122" s="66"/>
      <c r="N122" s="71">
        <v>1600</v>
      </c>
      <c r="O122" s="71">
        <v>1500</v>
      </c>
      <c r="P122" s="71">
        <v>1280</v>
      </c>
      <c r="Q122" s="55" t="s">
        <v>37</v>
      </c>
      <c r="R122" s="55" t="s">
        <v>38</v>
      </c>
      <c r="S122" s="55" t="s">
        <v>38</v>
      </c>
      <c r="T122" s="66"/>
      <c r="U122" s="58" t="s">
        <v>498</v>
      </c>
      <c r="V122" s="16" t="s">
        <v>503</v>
      </c>
      <c r="W122" s="17">
        <v>330300016</v>
      </c>
      <c r="X122" s="16" t="s">
        <v>504</v>
      </c>
      <c r="Y122" s="16"/>
      <c r="Z122" s="16"/>
      <c r="AA122" s="16" t="s">
        <v>35</v>
      </c>
      <c r="AB122" s="16" t="s">
        <v>38</v>
      </c>
      <c r="AC122" s="26">
        <v>1500</v>
      </c>
      <c r="AD122" s="26">
        <v>1440</v>
      </c>
      <c r="AE122" s="26">
        <v>1224</v>
      </c>
      <c r="AF122" s="83">
        <f t="shared" si="15"/>
        <v>0</v>
      </c>
      <c r="AG122" s="83" t="str">
        <f t="shared" si="16"/>
        <v>甲状旁腺移植费-异种器官（扩展）</v>
      </c>
      <c r="AH122" s="83">
        <f t="shared" si="17"/>
        <v>1600</v>
      </c>
      <c r="AI122" s="83">
        <f t="shared" si="18"/>
        <v>1500</v>
      </c>
      <c r="AJ122" s="83">
        <f t="shared" si="19"/>
        <v>1280</v>
      </c>
      <c r="AK122" s="38" t="str">
        <f>VLOOKUP(V122,Sheet2!E:E,1,0)</f>
        <v>003303000160000-330300016</v>
      </c>
    </row>
    <row r="123" s="40" customFormat="1" ht="45" customHeight="1" spans="1:37">
      <c r="A123" s="55"/>
      <c r="B123" s="59"/>
      <c r="C123" s="57" t="s">
        <v>502</v>
      </c>
      <c r="D123" s="58"/>
      <c r="E123" s="58"/>
      <c r="F123" s="58"/>
      <c r="G123" s="55"/>
      <c r="H123" s="58"/>
      <c r="I123" s="64"/>
      <c r="J123" s="64"/>
      <c r="K123" s="66"/>
      <c r="L123" s="66"/>
      <c r="M123" s="66"/>
      <c r="N123" s="71">
        <v>1600</v>
      </c>
      <c r="O123" s="71">
        <v>1500</v>
      </c>
      <c r="P123" s="71">
        <v>1280</v>
      </c>
      <c r="Q123" s="55"/>
      <c r="R123" s="55"/>
      <c r="S123" s="55"/>
      <c r="T123" s="66"/>
      <c r="U123" s="58"/>
      <c r="V123" s="16" t="s">
        <v>505</v>
      </c>
      <c r="W123" s="17">
        <v>33030001601</v>
      </c>
      <c r="X123" s="16" t="s">
        <v>506</v>
      </c>
      <c r="Y123" s="16"/>
      <c r="Z123" s="16"/>
      <c r="AA123" s="16" t="s">
        <v>35</v>
      </c>
      <c r="AB123" s="16" t="s">
        <v>38</v>
      </c>
      <c r="AC123" s="26">
        <v>1950</v>
      </c>
      <c r="AD123" s="26">
        <v>1870</v>
      </c>
      <c r="AE123" s="26">
        <v>1590</v>
      </c>
      <c r="AF123" s="83">
        <f t="shared" si="15"/>
        <v>0</v>
      </c>
      <c r="AG123" s="83" t="str">
        <f t="shared" si="16"/>
        <v>甲状旁腺移植费-异种器官（扩展）</v>
      </c>
      <c r="AH123" s="83">
        <f t="shared" si="17"/>
        <v>1600</v>
      </c>
      <c r="AI123" s="83">
        <f t="shared" si="18"/>
        <v>1500</v>
      </c>
      <c r="AJ123" s="83">
        <f t="shared" si="19"/>
        <v>1280</v>
      </c>
      <c r="AK123" s="38" t="str">
        <f>VLOOKUP(V123,Sheet2!E:E,1,0)</f>
        <v>003303000160000-33030001601</v>
      </c>
    </row>
    <row r="124" s="40" customFormat="1" ht="45" customHeight="1" spans="1:37">
      <c r="A124" s="55">
        <v>25</v>
      </c>
      <c r="B124" s="17" t="s">
        <v>507</v>
      </c>
      <c r="C124" s="57" t="s">
        <v>508</v>
      </c>
      <c r="D124" s="58" t="s">
        <v>509</v>
      </c>
      <c r="E124" s="58" t="s">
        <v>201</v>
      </c>
      <c r="F124" s="58"/>
      <c r="G124" s="55" t="s">
        <v>35</v>
      </c>
      <c r="H124" s="58" t="s">
        <v>38</v>
      </c>
      <c r="I124" s="64">
        <v>945</v>
      </c>
      <c r="J124" s="64">
        <v>851</v>
      </c>
      <c r="K124" s="66">
        <v>875</v>
      </c>
      <c r="L124" s="66">
        <v>840</v>
      </c>
      <c r="M124" s="66">
        <v>714</v>
      </c>
      <c r="N124" s="71">
        <v>875</v>
      </c>
      <c r="O124" s="71">
        <v>840</v>
      </c>
      <c r="P124" s="71">
        <v>714</v>
      </c>
      <c r="Q124" s="55" t="s">
        <v>37</v>
      </c>
      <c r="R124" s="55" t="s">
        <v>38</v>
      </c>
      <c r="S124" s="55" t="s">
        <v>38</v>
      </c>
      <c r="T124" s="66" t="s">
        <v>510</v>
      </c>
      <c r="U124" s="58" t="s">
        <v>510</v>
      </c>
      <c r="V124" s="16" t="s">
        <v>511</v>
      </c>
      <c r="W124" s="17">
        <v>330300015</v>
      </c>
      <c r="X124" s="16" t="s">
        <v>512</v>
      </c>
      <c r="Y124" s="16" t="s">
        <v>513</v>
      </c>
      <c r="Z124" s="16"/>
      <c r="AA124" s="16" t="s">
        <v>35</v>
      </c>
      <c r="AB124" s="16" t="s">
        <v>38</v>
      </c>
      <c r="AC124" s="26">
        <v>875</v>
      </c>
      <c r="AD124" s="26">
        <v>840</v>
      </c>
      <c r="AE124" s="26">
        <v>714</v>
      </c>
      <c r="AF124" s="83">
        <f t="shared" si="15"/>
        <v>0</v>
      </c>
      <c r="AG124" s="83" t="str">
        <f t="shared" si="16"/>
        <v>甲状舌管病变切除费</v>
      </c>
      <c r="AH124" s="83">
        <f t="shared" si="17"/>
        <v>875</v>
      </c>
      <c r="AI124" s="83">
        <f t="shared" si="18"/>
        <v>840</v>
      </c>
      <c r="AJ124" s="83">
        <f t="shared" si="19"/>
        <v>714</v>
      </c>
      <c r="AK124" s="38" t="str">
        <f>VLOOKUP(V124,Sheet2!E:E,1,0)</f>
        <v>003303000150000-330300015</v>
      </c>
    </row>
    <row r="125" s="40" customFormat="1" ht="45" customHeight="1" spans="1:37">
      <c r="A125" s="55"/>
      <c r="B125" s="17"/>
      <c r="C125" s="57" t="s">
        <v>508</v>
      </c>
      <c r="D125" s="58"/>
      <c r="E125" s="58"/>
      <c r="F125" s="58"/>
      <c r="G125" s="55"/>
      <c r="H125" s="58"/>
      <c r="I125" s="64"/>
      <c r="J125" s="64"/>
      <c r="K125" s="66"/>
      <c r="L125" s="66"/>
      <c r="M125" s="66"/>
      <c r="N125" s="71">
        <v>875</v>
      </c>
      <c r="O125" s="71">
        <v>840</v>
      </c>
      <c r="P125" s="71">
        <v>714</v>
      </c>
      <c r="Q125" s="55"/>
      <c r="R125" s="55"/>
      <c r="S125" s="55"/>
      <c r="T125" s="66"/>
      <c r="U125" s="58"/>
      <c r="V125" s="16" t="s">
        <v>514</v>
      </c>
      <c r="W125" s="17">
        <v>33030001501</v>
      </c>
      <c r="X125" s="16" t="s">
        <v>515</v>
      </c>
      <c r="Y125" s="16"/>
      <c r="Z125" s="16"/>
      <c r="AA125" s="16" t="s">
        <v>35</v>
      </c>
      <c r="AB125" s="16" t="s">
        <v>38</v>
      </c>
      <c r="AC125" s="26">
        <v>875</v>
      </c>
      <c r="AD125" s="26">
        <v>840</v>
      </c>
      <c r="AE125" s="26">
        <v>714</v>
      </c>
      <c r="AF125" s="83">
        <f t="shared" si="15"/>
        <v>0</v>
      </c>
      <c r="AG125" s="83" t="str">
        <f t="shared" si="16"/>
        <v>甲状舌管病变切除费</v>
      </c>
      <c r="AH125" s="83">
        <f t="shared" si="17"/>
        <v>875</v>
      </c>
      <c r="AI125" s="83">
        <f t="shared" si="18"/>
        <v>840</v>
      </c>
      <c r="AJ125" s="83">
        <f t="shared" si="19"/>
        <v>714</v>
      </c>
      <c r="AK125" s="38" t="str">
        <f>VLOOKUP(V125,Sheet2!E:E,1,0)</f>
        <v>003303000150100-33030001501</v>
      </c>
    </row>
    <row r="126" s="40" customFormat="1" ht="30" customHeight="1" spans="1:37">
      <c r="A126" s="55" t="s">
        <v>57</v>
      </c>
      <c r="B126" s="84" t="s">
        <v>516</v>
      </c>
      <c r="C126" s="55" t="s">
        <v>517</v>
      </c>
      <c r="D126" s="58" t="s">
        <v>38</v>
      </c>
      <c r="E126" s="58" t="s">
        <v>38</v>
      </c>
      <c r="F126" s="58"/>
      <c r="G126" s="55" t="s">
        <v>35</v>
      </c>
      <c r="H126" s="58" t="s">
        <v>38</v>
      </c>
      <c r="I126" s="64">
        <v>284</v>
      </c>
      <c r="J126" s="64">
        <v>255</v>
      </c>
      <c r="K126" s="66"/>
      <c r="L126" s="66"/>
      <c r="M126" s="66"/>
      <c r="N126" s="74">
        <v>265</v>
      </c>
      <c r="O126" s="74">
        <v>250</v>
      </c>
      <c r="P126" s="74">
        <v>215</v>
      </c>
      <c r="Q126" s="55" t="s">
        <v>37</v>
      </c>
      <c r="R126" s="55" t="s">
        <v>38</v>
      </c>
      <c r="S126" s="55" t="s">
        <v>38</v>
      </c>
      <c r="T126" s="66"/>
      <c r="U126" s="58" t="s">
        <v>60</v>
      </c>
      <c r="V126" s="16" t="s">
        <v>518</v>
      </c>
      <c r="W126" s="17">
        <v>33030001502</v>
      </c>
      <c r="X126" s="16" t="s">
        <v>519</v>
      </c>
      <c r="Y126" s="16"/>
      <c r="Z126" s="16"/>
      <c r="AA126" s="16" t="s">
        <v>35</v>
      </c>
      <c r="AB126" s="16" t="s">
        <v>38</v>
      </c>
      <c r="AC126" s="26">
        <v>1140</v>
      </c>
      <c r="AD126" s="26">
        <v>1090</v>
      </c>
      <c r="AE126" s="26">
        <v>925</v>
      </c>
      <c r="AF126" s="83">
        <f t="shared" si="15"/>
        <v>10</v>
      </c>
      <c r="AG126" s="83" t="str">
        <f t="shared" si="16"/>
        <v>甲状舌管病变切除费</v>
      </c>
      <c r="AH126" s="83">
        <f t="shared" si="17"/>
        <v>1140</v>
      </c>
      <c r="AI126" s="83">
        <f t="shared" si="18"/>
        <v>1090</v>
      </c>
      <c r="AJ126" s="83">
        <f t="shared" si="19"/>
        <v>929</v>
      </c>
      <c r="AK126" s="38" t="str">
        <f>VLOOKUP(V126,Sheet2!E:E,1,0)</f>
        <v>003303000150000-33030001502</v>
      </c>
    </row>
  </sheetData>
  <autoFilter ref="A3:AE126">
    <extLst/>
  </autoFilter>
  <mergeCells count="515">
    <mergeCell ref="A1:AE1"/>
    <mergeCell ref="A2:U2"/>
    <mergeCell ref="V2:AE2"/>
    <mergeCell ref="A4:A9"/>
    <mergeCell ref="A10:A15"/>
    <mergeCell ref="A16:A19"/>
    <mergeCell ref="A20:A23"/>
    <mergeCell ref="A24:A27"/>
    <mergeCell ref="A30:A31"/>
    <mergeCell ref="A34:A40"/>
    <mergeCell ref="A41:A47"/>
    <mergeCell ref="A48:A53"/>
    <mergeCell ref="A54:A59"/>
    <mergeCell ref="A60:A61"/>
    <mergeCell ref="A62:A63"/>
    <mergeCell ref="A64:A65"/>
    <mergeCell ref="A67:A68"/>
    <mergeCell ref="A69:A70"/>
    <mergeCell ref="A71:A73"/>
    <mergeCell ref="A74:A76"/>
    <mergeCell ref="A77:A79"/>
    <mergeCell ref="A80:A82"/>
    <mergeCell ref="A83:A84"/>
    <mergeCell ref="A85:A86"/>
    <mergeCell ref="A91:A94"/>
    <mergeCell ref="A95:A98"/>
    <mergeCell ref="A99:A100"/>
    <mergeCell ref="A101:A102"/>
    <mergeCell ref="A103:A106"/>
    <mergeCell ref="A107:A110"/>
    <mergeCell ref="A111:A116"/>
    <mergeCell ref="A117:A118"/>
    <mergeCell ref="A119:A120"/>
    <mergeCell ref="A122:A123"/>
    <mergeCell ref="A124:A125"/>
    <mergeCell ref="B4:B9"/>
    <mergeCell ref="B10:B15"/>
    <mergeCell ref="B16:B19"/>
    <mergeCell ref="B20:B23"/>
    <mergeCell ref="B24:B27"/>
    <mergeCell ref="B30:B31"/>
    <mergeCell ref="B34:B40"/>
    <mergeCell ref="B41:B47"/>
    <mergeCell ref="B48:B53"/>
    <mergeCell ref="B54:B59"/>
    <mergeCell ref="B60:B61"/>
    <mergeCell ref="B62:B63"/>
    <mergeCell ref="B64:B65"/>
    <mergeCell ref="B67:B68"/>
    <mergeCell ref="B69:B70"/>
    <mergeCell ref="B71:B73"/>
    <mergeCell ref="B74:B76"/>
    <mergeCell ref="B77:B79"/>
    <mergeCell ref="B80:B82"/>
    <mergeCell ref="B83:B84"/>
    <mergeCell ref="B85:B86"/>
    <mergeCell ref="B91:B94"/>
    <mergeCell ref="B95:B98"/>
    <mergeCell ref="B99:B100"/>
    <mergeCell ref="B101:B102"/>
    <mergeCell ref="B103:B106"/>
    <mergeCell ref="B107:B110"/>
    <mergeCell ref="B111:B116"/>
    <mergeCell ref="B117:B118"/>
    <mergeCell ref="B119:B120"/>
    <mergeCell ref="B122:B123"/>
    <mergeCell ref="B124:B125"/>
    <mergeCell ref="D4:D9"/>
    <mergeCell ref="D10:D15"/>
    <mergeCell ref="D16:D19"/>
    <mergeCell ref="D20:D23"/>
    <mergeCell ref="D24:D27"/>
    <mergeCell ref="D30:D31"/>
    <mergeCell ref="D34:D40"/>
    <mergeCell ref="D41:D47"/>
    <mergeCell ref="D48:D53"/>
    <mergeCell ref="D54:D59"/>
    <mergeCell ref="D60:D61"/>
    <mergeCell ref="D62:D63"/>
    <mergeCell ref="D64:D65"/>
    <mergeCell ref="D67:D68"/>
    <mergeCell ref="D69:D70"/>
    <mergeCell ref="D71:D73"/>
    <mergeCell ref="D74:D76"/>
    <mergeCell ref="D77:D79"/>
    <mergeCell ref="D80:D82"/>
    <mergeCell ref="D83:D84"/>
    <mergeCell ref="D85:D86"/>
    <mergeCell ref="D91:D94"/>
    <mergeCell ref="D95:D98"/>
    <mergeCell ref="D99:D100"/>
    <mergeCell ref="D101:D102"/>
    <mergeCell ref="D103:D106"/>
    <mergeCell ref="D107:D110"/>
    <mergeCell ref="D111:D116"/>
    <mergeCell ref="D117:D118"/>
    <mergeCell ref="D119:D120"/>
    <mergeCell ref="D122:D123"/>
    <mergeCell ref="D124:D125"/>
    <mergeCell ref="E4:E9"/>
    <mergeCell ref="E10:E15"/>
    <mergeCell ref="E16:E19"/>
    <mergeCell ref="E20:E23"/>
    <mergeCell ref="E24:E27"/>
    <mergeCell ref="E30:E31"/>
    <mergeCell ref="E34:E40"/>
    <mergeCell ref="E41:E47"/>
    <mergeCell ref="E48:E53"/>
    <mergeCell ref="E54:E59"/>
    <mergeCell ref="E60:E61"/>
    <mergeCell ref="E62:E63"/>
    <mergeCell ref="E64:E65"/>
    <mergeCell ref="E67:E68"/>
    <mergeCell ref="E69:E70"/>
    <mergeCell ref="E71:E73"/>
    <mergeCell ref="E74:E76"/>
    <mergeCell ref="E77:E79"/>
    <mergeCell ref="E80:E82"/>
    <mergeCell ref="E83:E84"/>
    <mergeCell ref="E85:E86"/>
    <mergeCell ref="E91:E94"/>
    <mergeCell ref="E95:E98"/>
    <mergeCell ref="E99:E100"/>
    <mergeCell ref="E101:E102"/>
    <mergeCell ref="E103:E106"/>
    <mergeCell ref="E107:E110"/>
    <mergeCell ref="E111:E116"/>
    <mergeCell ref="E117:E118"/>
    <mergeCell ref="E119:E120"/>
    <mergeCell ref="E122:E123"/>
    <mergeCell ref="E124:E125"/>
    <mergeCell ref="G4:G9"/>
    <mergeCell ref="G10:G15"/>
    <mergeCell ref="G16:G19"/>
    <mergeCell ref="G20:G23"/>
    <mergeCell ref="G24:G27"/>
    <mergeCell ref="G30:G31"/>
    <mergeCell ref="G34:G40"/>
    <mergeCell ref="G41:G47"/>
    <mergeCell ref="G48:G53"/>
    <mergeCell ref="G54:G59"/>
    <mergeCell ref="G60:G61"/>
    <mergeCell ref="G62:G63"/>
    <mergeCell ref="G64:G65"/>
    <mergeCell ref="G67:G68"/>
    <mergeCell ref="G69:G70"/>
    <mergeCell ref="G71:G73"/>
    <mergeCell ref="G74:G76"/>
    <mergeCell ref="G77:G79"/>
    <mergeCell ref="G80:G82"/>
    <mergeCell ref="G83:G84"/>
    <mergeCell ref="G85:G86"/>
    <mergeCell ref="G91:G94"/>
    <mergeCell ref="G95:G98"/>
    <mergeCell ref="G99:G100"/>
    <mergeCell ref="G101:G102"/>
    <mergeCell ref="G103:G106"/>
    <mergeCell ref="G107:G110"/>
    <mergeCell ref="G111:G116"/>
    <mergeCell ref="G117:G118"/>
    <mergeCell ref="G119:G120"/>
    <mergeCell ref="G122:G123"/>
    <mergeCell ref="G124:G125"/>
    <mergeCell ref="H4:H9"/>
    <mergeCell ref="H10:H15"/>
    <mergeCell ref="H16:H19"/>
    <mergeCell ref="H20:H23"/>
    <mergeCell ref="H24:H27"/>
    <mergeCell ref="H30:H31"/>
    <mergeCell ref="H34:H40"/>
    <mergeCell ref="H41:H47"/>
    <mergeCell ref="H48:H53"/>
    <mergeCell ref="H54:H59"/>
    <mergeCell ref="H60:H61"/>
    <mergeCell ref="H62:H63"/>
    <mergeCell ref="H64:H65"/>
    <mergeCell ref="H67:H68"/>
    <mergeCell ref="H69:H70"/>
    <mergeCell ref="H71:H73"/>
    <mergeCell ref="H74:H76"/>
    <mergeCell ref="H77:H79"/>
    <mergeCell ref="H80:H82"/>
    <mergeCell ref="H83:H84"/>
    <mergeCell ref="H85:H86"/>
    <mergeCell ref="H91:H94"/>
    <mergeCell ref="H95:H98"/>
    <mergeCell ref="H99:H100"/>
    <mergeCell ref="H101:H102"/>
    <mergeCell ref="H103:H106"/>
    <mergeCell ref="H107:H110"/>
    <mergeCell ref="H111:H116"/>
    <mergeCell ref="H117:H118"/>
    <mergeCell ref="H119:H120"/>
    <mergeCell ref="H122:H123"/>
    <mergeCell ref="H124:H125"/>
    <mergeCell ref="I4:I9"/>
    <mergeCell ref="I10:I15"/>
    <mergeCell ref="I16:I19"/>
    <mergeCell ref="I20:I23"/>
    <mergeCell ref="I24:I27"/>
    <mergeCell ref="I30:I31"/>
    <mergeCell ref="I34:I40"/>
    <mergeCell ref="I41:I47"/>
    <mergeCell ref="I48:I53"/>
    <mergeCell ref="I54:I59"/>
    <mergeCell ref="I60:I61"/>
    <mergeCell ref="I62:I63"/>
    <mergeCell ref="I64:I65"/>
    <mergeCell ref="I67:I68"/>
    <mergeCell ref="I69:I70"/>
    <mergeCell ref="I71:I73"/>
    <mergeCell ref="I74:I76"/>
    <mergeCell ref="I77:I79"/>
    <mergeCell ref="I80:I82"/>
    <mergeCell ref="I83:I84"/>
    <mergeCell ref="I85:I86"/>
    <mergeCell ref="I91:I94"/>
    <mergeCell ref="I95:I98"/>
    <mergeCell ref="I99:I100"/>
    <mergeCell ref="I101:I102"/>
    <mergeCell ref="I103:I106"/>
    <mergeCell ref="I107:I110"/>
    <mergeCell ref="I111:I116"/>
    <mergeCell ref="I117:I118"/>
    <mergeCell ref="I119:I120"/>
    <mergeCell ref="I122:I123"/>
    <mergeCell ref="I124:I125"/>
    <mergeCell ref="J4:J9"/>
    <mergeCell ref="J10:J15"/>
    <mergeCell ref="J16:J19"/>
    <mergeCell ref="J20:J23"/>
    <mergeCell ref="J24:J27"/>
    <mergeCell ref="J30:J31"/>
    <mergeCell ref="J34:J40"/>
    <mergeCell ref="J41:J47"/>
    <mergeCell ref="J48:J53"/>
    <mergeCell ref="J54:J59"/>
    <mergeCell ref="J60:J61"/>
    <mergeCell ref="J62:J63"/>
    <mergeCell ref="J64:J65"/>
    <mergeCell ref="J67:J68"/>
    <mergeCell ref="J69:J70"/>
    <mergeCell ref="J71:J73"/>
    <mergeCell ref="J74:J76"/>
    <mergeCell ref="J77:J79"/>
    <mergeCell ref="J80:J82"/>
    <mergeCell ref="J83:J84"/>
    <mergeCell ref="J85:J86"/>
    <mergeCell ref="J91:J94"/>
    <mergeCell ref="J95:J98"/>
    <mergeCell ref="J99:J100"/>
    <mergeCell ref="J101:J102"/>
    <mergeCell ref="J103:J106"/>
    <mergeCell ref="J107:J110"/>
    <mergeCell ref="J111:J116"/>
    <mergeCell ref="J117:J118"/>
    <mergeCell ref="J119:J120"/>
    <mergeCell ref="J122:J123"/>
    <mergeCell ref="J124:J125"/>
    <mergeCell ref="K4:K9"/>
    <mergeCell ref="K10:K15"/>
    <mergeCell ref="K16:K19"/>
    <mergeCell ref="K20:K23"/>
    <mergeCell ref="K24:K27"/>
    <mergeCell ref="K30:K31"/>
    <mergeCell ref="K34:K40"/>
    <mergeCell ref="K41:K47"/>
    <mergeCell ref="K48:K53"/>
    <mergeCell ref="K54:K59"/>
    <mergeCell ref="K60:K61"/>
    <mergeCell ref="K62:K63"/>
    <mergeCell ref="K64:K65"/>
    <mergeCell ref="K67:K68"/>
    <mergeCell ref="K69:K70"/>
    <mergeCell ref="K71:K73"/>
    <mergeCell ref="K74:K76"/>
    <mergeCell ref="K77:K79"/>
    <mergeCell ref="K80:K82"/>
    <mergeCell ref="K83:K84"/>
    <mergeCell ref="K85:K86"/>
    <mergeCell ref="K91:K94"/>
    <mergeCell ref="K95:K98"/>
    <mergeCell ref="K99:K100"/>
    <mergeCell ref="K101:K102"/>
    <mergeCell ref="K103:K106"/>
    <mergeCell ref="K107:K110"/>
    <mergeCell ref="K111:K116"/>
    <mergeCell ref="K117:K118"/>
    <mergeCell ref="K119:K120"/>
    <mergeCell ref="K122:K123"/>
    <mergeCell ref="K124:K125"/>
    <mergeCell ref="L4:L9"/>
    <mergeCell ref="L10:L15"/>
    <mergeCell ref="L16:L19"/>
    <mergeCell ref="L20:L23"/>
    <mergeCell ref="L24:L27"/>
    <mergeCell ref="L30:L31"/>
    <mergeCell ref="L34:L40"/>
    <mergeCell ref="L41:L47"/>
    <mergeCell ref="L48:L53"/>
    <mergeCell ref="L54:L59"/>
    <mergeCell ref="L60:L61"/>
    <mergeCell ref="L62:L63"/>
    <mergeCell ref="L64:L65"/>
    <mergeCell ref="L67:L68"/>
    <mergeCell ref="L69:L70"/>
    <mergeCell ref="L71:L73"/>
    <mergeCell ref="L74:L76"/>
    <mergeCell ref="L77:L79"/>
    <mergeCell ref="L80:L82"/>
    <mergeCell ref="L83:L84"/>
    <mergeCell ref="L85:L86"/>
    <mergeCell ref="L91:L94"/>
    <mergeCell ref="L95:L98"/>
    <mergeCell ref="L99:L100"/>
    <mergeCell ref="L101:L102"/>
    <mergeCell ref="L103:L106"/>
    <mergeCell ref="L107:L110"/>
    <mergeCell ref="L111:L116"/>
    <mergeCell ref="L117:L118"/>
    <mergeCell ref="L119:L120"/>
    <mergeCell ref="L122:L123"/>
    <mergeCell ref="L124:L125"/>
    <mergeCell ref="M4:M9"/>
    <mergeCell ref="M10:M15"/>
    <mergeCell ref="M16:M19"/>
    <mergeCell ref="M20:M23"/>
    <mergeCell ref="M24:M27"/>
    <mergeCell ref="M30:M31"/>
    <mergeCell ref="M34:M40"/>
    <mergeCell ref="M41:M47"/>
    <mergeCell ref="M48:M53"/>
    <mergeCell ref="M54:M59"/>
    <mergeCell ref="M60:M61"/>
    <mergeCell ref="M62:M63"/>
    <mergeCell ref="M64:M65"/>
    <mergeCell ref="M67:M68"/>
    <mergeCell ref="M69:M70"/>
    <mergeCell ref="M71:M73"/>
    <mergeCell ref="M74:M76"/>
    <mergeCell ref="M77:M79"/>
    <mergeCell ref="M80:M82"/>
    <mergeCell ref="M83:M84"/>
    <mergeCell ref="M85:M86"/>
    <mergeCell ref="M91:M94"/>
    <mergeCell ref="M95:M98"/>
    <mergeCell ref="M99:M100"/>
    <mergeCell ref="M101:M102"/>
    <mergeCell ref="M103:M106"/>
    <mergeCell ref="M107:M110"/>
    <mergeCell ref="M111:M116"/>
    <mergeCell ref="M117:M118"/>
    <mergeCell ref="M119:M120"/>
    <mergeCell ref="M122:M123"/>
    <mergeCell ref="M124:M125"/>
    <mergeCell ref="Q4:Q9"/>
    <mergeCell ref="Q10:Q15"/>
    <mergeCell ref="Q16:Q19"/>
    <mergeCell ref="Q20:Q23"/>
    <mergeCell ref="Q24:Q27"/>
    <mergeCell ref="Q30:Q31"/>
    <mergeCell ref="Q34:Q40"/>
    <mergeCell ref="Q41:Q47"/>
    <mergeCell ref="Q48:Q53"/>
    <mergeCell ref="Q54:Q59"/>
    <mergeCell ref="Q60:Q61"/>
    <mergeCell ref="Q62:Q63"/>
    <mergeCell ref="Q64:Q65"/>
    <mergeCell ref="Q67:Q68"/>
    <mergeCell ref="Q69:Q70"/>
    <mergeCell ref="Q71:Q73"/>
    <mergeCell ref="Q74:Q76"/>
    <mergeCell ref="Q77:Q79"/>
    <mergeCell ref="Q80:Q82"/>
    <mergeCell ref="Q83:Q84"/>
    <mergeCell ref="Q85:Q86"/>
    <mergeCell ref="Q91:Q94"/>
    <mergeCell ref="Q95:Q98"/>
    <mergeCell ref="Q99:Q100"/>
    <mergeCell ref="Q101:Q102"/>
    <mergeCell ref="Q103:Q106"/>
    <mergeCell ref="Q107:Q110"/>
    <mergeCell ref="Q111:Q116"/>
    <mergeCell ref="Q117:Q118"/>
    <mergeCell ref="Q119:Q120"/>
    <mergeCell ref="Q122:Q123"/>
    <mergeCell ref="Q124:Q125"/>
    <mergeCell ref="R4:R9"/>
    <mergeCell ref="R10:R15"/>
    <mergeCell ref="R16:R19"/>
    <mergeCell ref="R20:R23"/>
    <mergeCell ref="R24:R27"/>
    <mergeCell ref="R30:R31"/>
    <mergeCell ref="R34:R40"/>
    <mergeCell ref="R41:R47"/>
    <mergeCell ref="R48:R53"/>
    <mergeCell ref="R54:R59"/>
    <mergeCell ref="R60:R61"/>
    <mergeCell ref="R62:R63"/>
    <mergeCell ref="R64:R65"/>
    <mergeCell ref="R67:R68"/>
    <mergeCell ref="R69:R70"/>
    <mergeCell ref="R71:R73"/>
    <mergeCell ref="R74:R76"/>
    <mergeCell ref="R77:R79"/>
    <mergeCell ref="R80:R82"/>
    <mergeCell ref="R83:R84"/>
    <mergeCell ref="R85:R86"/>
    <mergeCell ref="R91:R94"/>
    <mergeCell ref="R95:R98"/>
    <mergeCell ref="R99:R100"/>
    <mergeCell ref="R101:R102"/>
    <mergeCell ref="R103:R106"/>
    <mergeCell ref="R107:R110"/>
    <mergeCell ref="R111:R116"/>
    <mergeCell ref="R117:R118"/>
    <mergeCell ref="R119:R120"/>
    <mergeCell ref="R122:R123"/>
    <mergeCell ref="R124:R125"/>
    <mergeCell ref="S4:S9"/>
    <mergeCell ref="S10:S15"/>
    <mergeCell ref="S16:S19"/>
    <mergeCell ref="S20:S23"/>
    <mergeCell ref="S24:S27"/>
    <mergeCell ref="S30:S31"/>
    <mergeCell ref="S34:S40"/>
    <mergeCell ref="S41:S47"/>
    <mergeCell ref="S48:S53"/>
    <mergeCell ref="S54:S59"/>
    <mergeCell ref="S60:S61"/>
    <mergeCell ref="S62:S63"/>
    <mergeCell ref="S64:S65"/>
    <mergeCell ref="S67:S68"/>
    <mergeCell ref="S69:S70"/>
    <mergeCell ref="S71:S73"/>
    <mergeCell ref="S74:S76"/>
    <mergeCell ref="S77:S79"/>
    <mergeCell ref="S80:S82"/>
    <mergeCell ref="S83:S84"/>
    <mergeCell ref="S85:S86"/>
    <mergeCell ref="S91:S94"/>
    <mergeCell ref="S95:S98"/>
    <mergeCell ref="S99:S100"/>
    <mergeCell ref="S101:S102"/>
    <mergeCell ref="S103:S106"/>
    <mergeCell ref="S107:S110"/>
    <mergeCell ref="S111:S116"/>
    <mergeCell ref="S117:S118"/>
    <mergeCell ref="S119:S120"/>
    <mergeCell ref="S122:S123"/>
    <mergeCell ref="S124:S125"/>
    <mergeCell ref="T4:T9"/>
    <mergeCell ref="T10:T15"/>
    <mergeCell ref="T16:T19"/>
    <mergeCell ref="T20:T23"/>
    <mergeCell ref="T24:T27"/>
    <mergeCell ref="T30:T31"/>
    <mergeCell ref="T34:T40"/>
    <mergeCell ref="T41:T47"/>
    <mergeCell ref="T48:T53"/>
    <mergeCell ref="T54:T59"/>
    <mergeCell ref="T60:T61"/>
    <mergeCell ref="T62:T63"/>
    <mergeCell ref="T64:T65"/>
    <mergeCell ref="T67:T68"/>
    <mergeCell ref="T69:T70"/>
    <mergeCell ref="T71:T73"/>
    <mergeCell ref="T74:T76"/>
    <mergeCell ref="T77:T79"/>
    <mergeCell ref="T80:T82"/>
    <mergeCell ref="T83:T84"/>
    <mergeCell ref="T85:T86"/>
    <mergeCell ref="T91:T94"/>
    <mergeCell ref="T95:T98"/>
    <mergeCell ref="T99:T100"/>
    <mergeCell ref="T101:T102"/>
    <mergeCell ref="T103:T106"/>
    <mergeCell ref="T107:T110"/>
    <mergeCell ref="T111:T116"/>
    <mergeCell ref="T117:T118"/>
    <mergeCell ref="T119:T120"/>
    <mergeCell ref="T122:T123"/>
    <mergeCell ref="T124:T125"/>
    <mergeCell ref="U4:U9"/>
    <mergeCell ref="U10:U15"/>
    <mergeCell ref="U16:U19"/>
    <mergeCell ref="U20:U23"/>
    <mergeCell ref="U24:U27"/>
    <mergeCell ref="U30:U31"/>
    <mergeCell ref="U34:U40"/>
    <mergeCell ref="U41:U47"/>
    <mergeCell ref="U48:U53"/>
    <mergeCell ref="U54:U59"/>
    <mergeCell ref="U60:U61"/>
    <mergeCell ref="U62:U63"/>
    <mergeCell ref="U64:U65"/>
    <mergeCell ref="U67:U68"/>
    <mergeCell ref="U69:U70"/>
    <mergeCell ref="U71:U73"/>
    <mergeCell ref="U74:U76"/>
    <mergeCell ref="U77:U79"/>
    <mergeCell ref="U80:U82"/>
    <mergeCell ref="U83:U84"/>
    <mergeCell ref="U85:U86"/>
    <mergeCell ref="U91:U94"/>
    <mergeCell ref="U95:U98"/>
    <mergeCell ref="U99:U100"/>
    <mergeCell ref="U101:U102"/>
    <mergeCell ref="U103:U106"/>
    <mergeCell ref="U107:U110"/>
    <mergeCell ref="U111:U116"/>
    <mergeCell ref="U117:U118"/>
    <mergeCell ref="U119:U120"/>
    <mergeCell ref="U122:U123"/>
    <mergeCell ref="U124:U125"/>
  </mergeCells>
  <conditionalFormatting sqref="X3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"/>
  <sheetViews>
    <sheetView workbookViewId="0">
      <selection activeCell="C13" sqref="C13"/>
    </sheetView>
  </sheetViews>
  <sheetFormatPr defaultColWidth="9" defaultRowHeight="14.25"/>
  <cols>
    <col min="1" max="1" width="18.75" customWidth="1"/>
    <col min="2" max="2" width="11.125"/>
    <col min="3" max="3" width="25" customWidth="1"/>
    <col min="4" max="4" width="18" customWidth="1"/>
    <col min="13" max="13" width="16.75" customWidth="1"/>
    <col min="16" max="16" width="29.375" customWidth="1"/>
    <col min="18" max="18" width="24" customWidth="1"/>
  </cols>
  <sheetData>
    <row r="1" ht="38.25" spans="1:21">
      <c r="A1" s="11" t="s">
        <v>23</v>
      </c>
      <c r="B1" s="11" t="s">
        <v>4</v>
      </c>
      <c r="C1" s="12" t="s">
        <v>5</v>
      </c>
      <c r="D1" s="11" t="s">
        <v>24</v>
      </c>
      <c r="E1" s="11" t="s">
        <v>25</v>
      </c>
      <c r="F1" s="11" t="s">
        <v>8</v>
      </c>
      <c r="G1" s="11" t="s">
        <v>26</v>
      </c>
      <c r="H1" s="19" t="s">
        <v>520</v>
      </c>
      <c r="I1" s="19" t="s">
        <v>521</v>
      </c>
      <c r="J1" s="22" t="s">
        <v>27</v>
      </c>
      <c r="K1" s="22" t="s">
        <v>28</v>
      </c>
      <c r="L1" s="22" t="s">
        <v>29</v>
      </c>
      <c r="M1" s="27" t="s">
        <v>4</v>
      </c>
      <c r="N1" s="28" t="s">
        <v>5</v>
      </c>
      <c r="O1" s="29" t="s">
        <v>6</v>
      </c>
      <c r="P1" s="29" t="s">
        <v>7</v>
      </c>
      <c r="Q1" s="27" t="s">
        <v>8</v>
      </c>
      <c r="R1" s="27" t="s">
        <v>9</v>
      </c>
      <c r="S1" s="22" t="s">
        <v>15</v>
      </c>
      <c r="T1" s="22" t="s">
        <v>16</v>
      </c>
      <c r="U1" s="22" t="s">
        <v>17</v>
      </c>
    </row>
    <row r="2" ht="107" customHeight="1" spans="1:18">
      <c r="A2" s="13" t="s">
        <v>522</v>
      </c>
      <c r="B2" s="13">
        <v>331601008</v>
      </c>
      <c r="C2" s="13" t="s">
        <v>523</v>
      </c>
      <c r="D2" s="13" t="s">
        <v>524</v>
      </c>
      <c r="E2" s="13"/>
      <c r="F2" s="13" t="s">
        <v>98</v>
      </c>
      <c r="G2" s="13" t="s">
        <v>38</v>
      </c>
      <c r="H2" s="13">
        <v>4800</v>
      </c>
      <c r="I2" s="13">
        <v>4320</v>
      </c>
      <c r="J2" s="13">
        <v>4220</v>
      </c>
      <c r="K2" s="13">
        <v>3800</v>
      </c>
      <c r="L2" s="13">
        <v>3230</v>
      </c>
      <c r="M2" s="30" t="s">
        <v>314</v>
      </c>
      <c r="N2" s="31" t="s">
        <v>315</v>
      </c>
      <c r="O2" s="31" t="s">
        <v>316</v>
      </c>
      <c r="P2" s="31" t="s">
        <v>201</v>
      </c>
      <c r="Q2" s="31" t="s">
        <v>98</v>
      </c>
      <c r="R2" s="31" t="s">
        <v>317</v>
      </c>
    </row>
    <row r="3" ht="72" customHeight="1" spans="1:18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32" t="s">
        <v>525</v>
      </c>
      <c r="N3" s="33"/>
      <c r="O3" s="33"/>
      <c r="P3" s="33"/>
      <c r="Q3" s="33"/>
      <c r="R3" s="36"/>
    </row>
    <row r="4" ht="72" customHeight="1" spans="1:12">
      <c r="A4" s="14" t="s">
        <v>526</v>
      </c>
      <c r="B4" s="15">
        <v>33160100801</v>
      </c>
      <c r="C4" s="14" t="s">
        <v>527</v>
      </c>
      <c r="D4" s="14"/>
      <c r="E4" s="14"/>
      <c r="F4" s="14" t="s">
        <v>98</v>
      </c>
      <c r="G4" s="14" t="s">
        <v>38</v>
      </c>
      <c r="H4" s="20">
        <v>6240</v>
      </c>
      <c r="I4" s="23">
        <v>5615</v>
      </c>
      <c r="J4" s="24">
        <v>5485</v>
      </c>
      <c r="K4" s="24">
        <v>4940</v>
      </c>
      <c r="L4" s="24">
        <v>4200</v>
      </c>
    </row>
    <row r="6" ht="36" customHeight="1" spans="1:12">
      <c r="A6" s="16" t="s">
        <v>528</v>
      </c>
      <c r="B6" s="17">
        <v>33030000801</v>
      </c>
      <c r="C6" s="16" t="s">
        <v>529</v>
      </c>
      <c r="D6" s="16"/>
      <c r="E6" s="16"/>
      <c r="F6" s="16" t="s">
        <v>272</v>
      </c>
      <c r="G6" s="16" t="s">
        <v>272</v>
      </c>
      <c r="H6" s="21">
        <v>1620</v>
      </c>
      <c r="I6" s="25">
        <v>1460</v>
      </c>
      <c r="J6" s="26">
        <v>1500</v>
      </c>
      <c r="K6" s="26">
        <v>1440</v>
      </c>
      <c r="L6" s="26">
        <v>1224</v>
      </c>
    </row>
    <row r="7" ht="36" customHeight="1" spans="1:12">
      <c r="A7" s="16" t="s">
        <v>530</v>
      </c>
      <c r="B7" s="17">
        <v>33030000805</v>
      </c>
      <c r="C7" s="16" t="s">
        <v>531</v>
      </c>
      <c r="D7" s="16"/>
      <c r="E7" s="16"/>
      <c r="F7" s="16" t="s">
        <v>272</v>
      </c>
      <c r="G7" s="16" t="s">
        <v>272</v>
      </c>
      <c r="H7" s="21">
        <v>2420</v>
      </c>
      <c r="I7" s="25">
        <v>2180</v>
      </c>
      <c r="J7" s="26">
        <v>2125</v>
      </c>
      <c r="K7" s="26">
        <v>2040</v>
      </c>
      <c r="L7" s="26">
        <v>1734</v>
      </c>
    </row>
    <row r="8" ht="36" customHeight="1" spans="1:12">
      <c r="A8" s="16" t="s">
        <v>532</v>
      </c>
      <c r="B8" s="17">
        <v>33030000901</v>
      </c>
      <c r="C8" s="16" t="s">
        <v>533</v>
      </c>
      <c r="D8" s="16"/>
      <c r="E8" s="16"/>
      <c r="F8" s="16" t="s">
        <v>272</v>
      </c>
      <c r="G8" s="16" t="s">
        <v>272</v>
      </c>
      <c r="H8" s="21">
        <v>2030</v>
      </c>
      <c r="I8" s="25">
        <v>1820</v>
      </c>
      <c r="J8" s="26">
        <v>1875</v>
      </c>
      <c r="K8" s="26">
        <v>1800</v>
      </c>
      <c r="L8" s="26">
        <v>1530</v>
      </c>
    </row>
    <row r="9" ht="36" customHeight="1" spans="1:12">
      <c r="A9" s="16" t="s">
        <v>534</v>
      </c>
      <c r="B9" s="17">
        <v>33030000905</v>
      </c>
      <c r="C9" s="16" t="s">
        <v>535</v>
      </c>
      <c r="D9" s="16"/>
      <c r="E9" s="16"/>
      <c r="F9" s="16" t="s">
        <v>272</v>
      </c>
      <c r="G9" s="16" t="s">
        <v>272</v>
      </c>
      <c r="H9" s="21">
        <v>2830</v>
      </c>
      <c r="I9" s="25">
        <v>2540</v>
      </c>
      <c r="J9" s="26">
        <v>2500</v>
      </c>
      <c r="K9" s="26">
        <v>2400</v>
      </c>
      <c r="L9" s="26">
        <v>2040</v>
      </c>
    </row>
    <row r="10" ht="36" customHeight="1" spans="1:12">
      <c r="A10" s="16" t="s">
        <v>536</v>
      </c>
      <c r="B10" s="17">
        <v>33030001001</v>
      </c>
      <c r="C10" s="16" t="s">
        <v>537</v>
      </c>
      <c r="D10" s="16"/>
      <c r="E10" s="16"/>
      <c r="F10" s="16" t="s">
        <v>272</v>
      </c>
      <c r="G10" s="16" t="s">
        <v>272</v>
      </c>
      <c r="H10" s="21">
        <v>2160</v>
      </c>
      <c r="I10" s="25">
        <v>1945</v>
      </c>
      <c r="J10" s="26">
        <v>3285</v>
      </c>
      <c r="K10" s="26">
        <v>2955</v>
      </c>
      <c r="L10" s="26">
        <v>2512</v>
      </c>
    </row>
    <row r="11" ht="36" customHeight="1" spans="1:12">
      <c r="A11" s="16" t="s">
        <v>538</v>
      </c>
      <c r="B11" s="17">
        <v>33030001005</v>
      </c>
      <c r="C11" s="16" t="s">
        <v>539</v>
      </c>
      <c r="D11" s="16"/>
      <c r="E11" s="16"/>
      <c r="F11" s="16" t="s">
        <v>272</v>
      </c>
      <c r="G11" s="16" t="s">
        <v>272</v>
      </c>
      <c r="H11" s="21">
        <v>2960</v>
      </c>
      <c r="I11" s="25">
        <v>2665</v>
      </c>
      <c r="J11" s="26">
        <v>3910</v>
      </c>
      <c r="K11" s="26">
        <v>3555</v>
      </c>
      <c r="L11" s="26">
        <v>3022</v>
      </c>
    </row>
    <row r="12" ht="36" customHeight="1" spans="1:12">
      <c r="A12" s="16" t="s">
        <v>540</v>
      </c>
      <c r="B12" s="17">
        <v>330300013</v>
      </c>
      <c r="C12" s="16" t="s">
        <v>541</v>
      </c>
      <c r="D12" s="16"/>
      <c r="E12" s="16"/>
      <c r="F12" s="16" t="s">
        <v>35</v>
      </c>
      <c r="G12" s="16" t="s">
        <v>38</v>
      </c>
      <c r="H12" s="21">
        <v>6600</v>
      </c>
      <c r="I12" s="25">
        <v>5540</v>
      </c>
      <c r="J12" s="26">
        <v>5090</v>
      </c>
      <c r="K12" s="26">
        <v>4580</v>
      </c>
      <c r="L12" s="26">
        <v>3890</v>
      </c>
    </row>
    <row r="13" ht="36" customHeight="1" spans="1:12">
      <c r="A13" s="16" t="s">
        <v>542</v>
      </c>
      <c r="B13" s="17">
        <v>330300011</v>
      </c>
      <c r="C13" s="16" t="s">
        <v>543</v>
      </c>
      <c r="D13" s="16"/>
      <c r="E13" s="16" t="s">
        <v>544</v>
      </c>
      <c r="F13" s="16" t="s">
        <v>35</v>
      </c>
      <c r="G13" s="16" t="s">
        <v>38</v>
      </c>
      <c r="H13" s="21">
        <v>4220</v>
      </c>
      <c r="I13" s="25">
        <v>3800</v>
      </c>
      <c r="J13" s="26">
        <v>3500</v>
      </c>
      <c r="K13" s="26">
        <v>3150</v>
      </c>
      <c r="L13" s="26">
        <v>2650</v>
      </c>
    </row>
    <row r="14" ht="36" customHeight="1" spans="1:12">
      <c r="A14" s="16" t="s">
        <v>545</v>
      </c>
      <c r="B14" s="17">
        <v>33030001102</v>
      </c>
      <c r="C14" s="16" t="s">
        <v>546</v>
      </c>
      <c r="D14" s="16"/>
      <c r="E14" s="16"/>
      <c r="F14" s="16" t="s">
        <v>35</v>
      </c>
      <c r="G14" s="16" t="s">
        <v>38</v>
      </c>
      <c r="H14" s="21">
        <v>4640</v>
      </c>
      <c r="I14" s="25">
        <v>4180</v>
      </c>
      <c r="J14" s="26">
        <v>4125</v>
      </c>
      <c r="K14" s="26">
        <v>3750</v>
      </c>
      <c r="L14" s="26">
        <v>3160</v>
      </c>
    </row>
    <row r="15" ht="25.5" spans="1:19">
      <c r="A15" s="16" t="s">
        <v>547</v>
      </c>
      <c r="B15" s="17">
        <v>330300006</v>
      </c>
      <c r="C15" s="16" t="s">
        <v>548</v>
      </c>
      <c r="D15" s="16"/>
      <c r="E15" s="16"/>
      <c r="F15" s="16" t="s">
        <v>35</v>
      </c>
      <c r="G15" s="16" t="s">
        <v>38</v>
      </c>
      <c r="H15" s="21">
        <v>4320</v>
      </c>
      <c r="I15" s="25">
        <v>3890</v>
      </c>
      <c r="J15" s="26">
        <v>3710</v>
      </c>
      <c r="K15" s="26">
        <v>3340</v>
      </c>
      <c r="L15" s="26">
        <v>2840</v>
      </c>
      <c r="M15" s="34">
        <v>802.3</v>
      </c>
      <c r="N15" s="34">
        <v>214.5</v>
      </c>
      <c r="O15" s="34">
        <v>4</v>
      </c>
      <c r="P15" s="35"/>
      <c r="Q15" s="35"/>
      <c r="R15" s="35"/>
      <c r="S15" s="35"/>
    </row>
    <row r="16" ht="25.5" spans="1:19">
      <c r="A16" s="16" t="s">
        <v>549</v>
      </c>
      <c r="B16" s="17">
        <v>33030000602</v>
      </c>
      <c r="C16" s="16" t="s">
        <v>550</v>
      </c>
      <c r="D16" s="16"/>
      <c r="E16" s="16"/>
      <c r="F16" s="16" t="s">
        <v>35</v>
      </c>
      <c r="G16" s="16" t="s">
        <v>38</v>
      </c>
      <c r="H16" s="21">
        <v>5120</v>
      </c>
      <c r="I16" s="25">
        <v>4610</v>
      </c>
      <c r="J16" s="26">
        <v>4335</v>
      </c>
      <c r="K16" s="26">
        <v>3940</v>
      </c>
      <c r="L16" s="26">
        <v>3350</v>
      </c>
      <c r="M16" s="34">
        <v>321.3</v>
      </c>
      <c r="N16" s="34">
        <v>42</v>
      </c>
      <c r="O16" s="34">
        <v>7</v>
      </c>
      <c r="P16" s="35"/>
      <c r="Q16" s="35"/>
      <c r="R16" s="35"/>
      <c r="S16" s="35"/>
    </row>
    <row r="17" spans="1:12">
      <c r="A17" s="18" t="s">
        <v>551</v>
      </c>
      <c r="B17" s="18">
        <v>330900003</v>
      </c>
      <c r="C17" s="18" t="s">
        <v>552</v>
      </c>
      <c r="D17" s="18"/>
      <c r="E17" s="18"/>
      <c r="F17" s="18" t="s">
        <v>35</v>
      </c>
      <c r="G17" s="18"/>
      <c r="H17" s="18"/>
      <c r="I17" s="18"/>
      <c r="J17" s="18">
        <v>2730</v>
      </c>
      <c r="K17" s="18">
        <v>2590</v>
      </c>
      <c r="L17" s="18">
        <v>2200</v>
      </c>
    </row>
  </sheetData>
  <mergeCells count="13">
    <mergeCell ref="M3:R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</mergeCells>
  <conditionalFormatting sqref="C1">
    <cfRule type="duplicateValues" dxfId="0" priority="1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0"/>
  <sheetViews>
    <sheetView topLeftCell="F84" workbookViewId="0">
      <selection activeCell="N95" sqref="N95"/>
    </sheetView>
  </sheetViews>
  <sheetFormatPr defaultColWidth="9" defaultRowHeight="14.25"/>
  <cols>
    <col min="4" max="4" width="19.875" customWidth="1"/>
    <col min="5" max="5" width="30.375" customWidth="1"/>
    <col min="6" max="6" width="28.25" customWidth="1"/>
    <col min="7" max="7" width="34.625" customWidth="1"/>
    <col min="15" max="16" width="12.625"/>
    <col min="23" max="23" width="255.625" customWidth="1"/>
  </cols>
  <sheetData>
    <row r="1" ht="38.25" spans="1:23">
      <c r="A1" s="4" t="s">
        <v>553</v>
      </c>
      <c r="B1" s="4" t="s">
        <v>554</v>
      </c>
      <c r="C1" s="4" t="s">
        <v>555</v>
      </c>
      <c r="D1" s="5" t="s">
        <v>556</v>
      </c>
      <c r="E1" s="4" t="s">
        <v>557</v>
      </c>
      <c r="F1" s="5" t="s">
        <v>558</v>
      </c>
      <c r="G1" s="4" t="s">
        <v>559</v>
      </c>
      <c r="H1" s="4" t="s">
        <v>560</v>
      </c>
      <c r="I1" s="4" t="s">
        <v>561</v>
      </c>
      <c r="J1" s="4" t="s">
        <v>562</v>
      </c>
      <c r="K1" s="4" t="s">
        <v>563</v>
      </c>
      <c r="L1" s="4" t="s">
        <v>564</v>
      </c>
      <c r="M1" s="4" t="s">
        <v>565</v>
      </c>
      <c r="N1" s="4" t="s">
        <v>566</v>
      </c>
      <c r="O1" s="4" t="s">
        <v>567</v>
      </c>
      <c r="P1" s="4" t="s">
        <v>568</v>
      </c>
      <c r="Q1" s="4" t="s">
        <v>569</v>
      </c>
      <c r="R1" s="4" t="s">
        <v>570</v>
      </c>
      <c r="S1" s="4" t="s">
        <v>571</v>
      </c>
      <c r="T1" s="4" t="s">
        <v>572</v>
      </c>
      <c r="U1" s="4" t="s">
        <v>573</v>
      </c>
      <c r="V1" s="4" t="s">
        <v>574</v>
      </c>
      <c r="W1" s="6" t="str">
        <f>"insert into server_list_change_all_20250525 ("&amp;_xlfn.TEXTJOIN(",",TRUE,A1:V1)&amp;") values"</f>
        <v>insert into server_list_change_all_20250525 (id,code,sever_type,change_time,old_hilist_code,new_hilist_code,hilist_name,selfpay_prop,old_price,old_price_city,old_price_town,old_price_village,new_price,new_price_city,new_price_town,new_price_village,unit,batch,is_use_old,merge_type,cnt_change_model,cnt_change_value) values</v>
      </c>
    </row>
    <row r="2" ht="15.75" spans="1:23">
      <c r="A2">
        <v>1568</v>
      </c>
      <c r="B2" s="7" t="s">
        <v>575</v>
      </c>
      <c r="C2" s="7">
        <v>1</v>
      </c>
      <c r="D2" s="8" t="s">
        <v>576</v>
      </c>
      <c r="E2" t="s">
        <v>41</v>
      </c>
      <c r="F2" t="s">
        <v>41</v>
      </c>
      <c r="G2" t="s">
        <v>42</v>
      </c>
      <c r="H2" s="9" t="s">
        <v>575</v>
      </c>
      <c r="I2" s="9" t="s">
        <v>575</v>
      </c>
      <c r="J2">
        <v>2250</v>
      </c>
      <c r="K2">
        <v>2160</v>
      </c>
      <c r="L2">
        <v>1836</v>
      </c>
      <c r="M2" s="9" t="s">
        <v>575</v>
      </c>
      <c r="N2">
        <v>2700</v>
      </c>
      <c r="O2">
        <v>2435</v>
      </c>
      <c r="P2">
        <v>2070</v>
      </c>
      <c r="Q2" t="s">
        <v>35</v>
      </c>
      <c r="R2">
        <v>22</v>
      </c>
      <c r="S2">
        <v>1</v>
      </c>
      <c r="T2" s="7" t="s">
        <v>577</v>
      </c>
      <c r="U2" s="7" t="s">
        <v>578</v>
      </c>
      <c r="V2" s="10">
        <v>0</v>
      </c>
      <c r="W2" s="9" t="str">
        <f>"("&amp;A2&amp;","&amp;B2&amp;","&amp;C2&amp;",'"&amp;D2&amp;"','"&amp;E2&amp;"','"&amp;F2&amp;"','"&amp;G2&amp;"',"&amp;H2&amp;","&amp;I2&amp;","&amp;J2&amp;","&amp;K2&amp;","&amp;L2&amp;","&amp;M2&amp;","&amp;N2&amp;","&amp;O2&amp;","&amp;P2&amp;",'"&amp;Q2&amp;"',"&amp;R2&amp;","&amp;S2&amp;",'"&amp;T2&amp;"','"&amp;U2&amp;"',"&amp;V2&amp;"),"</f>
        <v>(1568,null,1,'2026-03-24 00:00:00','003307030330000-330703033','003307030330000-330703033','先天性食管裂孔疝修补术',null,null,2250,2160,1836,null,2700,2435,2070,'次',22,1,'normal','main',0),</v>
      </c>
    </row>
    <row r="3" ht="15.75" spans="1:23">
      <c r="A3">
        <v>1569</v>
      </c>
      <c r="B3" s="7" t="s">
        <v>575</v>
      </c>
      <c r="C3" s="7">
        <v>1</v>
      </c>
      <c r="D3" s="8" t="s">
        <v>576</v>
      </c>
      <c r="E3" t="s">
        <v>45</v>
      </c>
      <c r="F3" t="s">
        <v>45</v>
      </c>
      <c r="G3" t="s">
        <v>46</v>
      </c>
      <c r="H3" s="9" t="s">
        <v>575</v>
      </c>
      <c r="I3" s="9" t="s">
        <v>575</v>
      </c>
      <c r="J3">
        <v>2700</v>
      </c>
      <c r="K3">
        <v>2592</v>
      </c>
      <c r="L3">
        <v>2203.2</v>
      </c>
      <c r="M3" s="9" t="s">
        <v>575</v>
      </c>
      <c r="N3">
        <v>2700</v>
      </c>
      <c r="O3">
        <v>2435</v>
      </c>
      <c r="P3">
        <v>2070</v>
      </c>
      <c r="Q3" t="s">
        <v>35</v>
      </c>
      <c r="R3">
        <v>22</v>
      </c>
      <c r="S3">
        <v>1</v>
      </c>
      <c r="T3" s="7" t="s">
        <v>577</v>
      </c>
      <c r="U3" s="7" t="s">
        <v>578</v>
      </c>
      <c r="V3" s="10">
        <v>0</v>
      </c>
      <c r="W3" s="9" t="str">
        <f t="shared" ref="W3:W34" si="0">"("&amp;A3&amp;","&amp;B3&amp;","&amp;C3&amp;",'"&amp;D3&amp;"','"&amp;E3&amp;"','"&amp;F3&amp;"','"&amp;G3&amp;"',"&amp;H3&amp;","&amp;I3&amp;","&amp;J3&amp;","&amp;K3&amp;","&amp;L3&amp;","&amp;M3&amp;","&amp;N3&amp;","&amp;O3&amp;","&amp;P3&amp;",'"&amp;Q3&amp;"',"&amp;R3&amp;","&amp;S3&amp;",'"&amp;T3&amp;"','"&amp;U3&amp;"',"&amp;V3&amp;"),"</f>
        <v>(1569,null,1,'2026-03-24 00:00:00','003307030330001-33070303301','003307030330001-33070303301','先天性食管裂孔疝修补术（合并肠回转不良及其他须矫治畸形者）',null,null,2700,2592,2203.2,null,2700,2435,2070,'次',22,1,'normal','main',0),</v>
      </c>
    </row>
    <row r="4" ht="15.75" spans="1:23">
      <c r="A4">
        <v>1570</v>
      </c>
      <c r="B4" s="7" t="s">
        <v>575</v>
      </c>
      <c r="C4" s="7">
        <v>1</v>
      </c>
      <c r="D4" s="8" t="s">
        <v>576</v>
      </c>
      <c r="E4" t="s">
        <v>48</v>
      </c>
      <c r="F4" t="s">
        <v>48</v>
      </c>
      <c r="G4" t="s">
        <v>49</v>
      </c>
      <c r="H4" s="9" t="s">
        <v>575</v>
      </c>
      <c r="I4" s="9" t="s">
        <v>575</v>
      </c>
      <c r="J4">
        <v>2875</v>
      </c>
      <c r="K4">
        <v>2760</v>
      </c>
      <c r="L4">
        <v>2346</v>
      </c>
      <c r="M4" s="9" t="s">
        <v>575</v>
      </c>
      <c r="N4">
        <v>2700</v>
      </c>
      <c r="O4">
        <v>2435</v>
      </c>
      <c r="P4">
        <v>2070</v>
      </c>
      <c r="Q4" t="s">
        <v>35</v>
      </c>
      <c r="R4">
        <v>22</v>
      </c>
      <c r="S4">
        <v>1</v>
      </c>
      <c r="T4" s="7" t="s">
        <v>577</v>
      </c>
      <c r="U4" s="7" t="s">
        <v>578</v>
      </c>
      <c r="V4" s="10">
        <v>0</v>
      </c>
      <c r="W4" s="9" t="str">
        <f t="shared" si="0"/>
        <v>(1570,null,1,'2026-03-24 00:00:00','003307030330000-33070303304','003307030330000-33070303304','经胸腔镜先天性食管裂孔疝修补术',null,null,2875,2760,2346,null,2700,2435,2070,'次',22,1,'normal','main',0),</v>
      </c>
    </row>
    <row r="5" ht="15.75" spans="1:23">
      <c r="A5">
        <v>1571</v>
      </c>
      <c r="B5" s="7" t="s">
        <v>575</v>
      </c>
      <c r="C5" s="7">
        <v>1</v>
      </c>
      <c r="D5" s="8" t="s">
        <v>576</v>
      </c>
      <c r="E5" t="s">
        <v>50</v>
      </c>
      <c r="F5" t="s">
        <v>50</v>
      </c>
      <c r="G5" t="s">
        <v>51</v>
      </c>
      <c r="H5" s="9" t="s">
        <v>575</v>
      </c>
      <c r="I5" s="9" t="s">
        <v>575</v>
      </c>
      <c r="J5">
        <v>3325</v>
      </c>
      <c r="K5">
        <v>3192</v>
      </c>
      <c r="L5">
        <v>2713.2</v>
      </c>
      <c r="M5" s="9" t="s">
        <v>575</v>
      </c>
      <c r="N5">
        <v>2700</v>
      </c>
      <c r="O5">
        <v>2435</v>
      </c>
      <c r="P5">
        <v>2070</v>
      </c>
      <c r="Q5" t="s">
        <v>35</v>
      </c>
      <c r="R5">
        <v>22</v>
      </c>
      <c r="S5">
        <v>1</v>
      </c>
      <c r="T5" s="7" t="s">
        <v>577</v>
      </c>
      <c r="U5" s="7" t="s">
        <v>578</v>
      </c>
      <c r="V5" s="10">
        <v>0</v>
      </c>
      <c r="W5" s="9" t="str">
        <f t="shared" si="0"/>
        <v>(1571,null,1,'2026-03-24 00:00:00','003307030330001-33070303305','003307030330001-33070303305','经胸腔镜先天性食管裂孔疝修补术（合并肠回转不良及其他须矫治畸形者）',null,null,3325,3192,2713.2,null,2700,2435,2070,'次',22,1,'normal','main',0),</v>
      </c>
    </row>
    <row r="6" ht="15.75" spans="1:23">
      <c r="A6">
        <v>1572</v>
      </c>
      <c r="B6" s="7" t="s">
        <v>575</v>
      </c>
      <c r="C6" s="7">
        <v>1</v>
      </c>
      <c r="D6" s="8" t="s">
        <v>576</v>
      </c>
      <c r="E6" t="s">
        <v>52</v>
      </c>
      <c r="F6" t="s">
        <v>52</v>
      </c>
      <c r="G6" t="s">
        <v>53</v>
      </c>
      <c r="H6" s="9" t="s">
        <v>575</v>
      </c>
      <c r="I6" s="9" t="s">
        <v>575</v>
      </c>
      <c r="J6">
        <v>2250</v>
      </c>
      <c r="K6">
        <v>2160</v>
      </c>
      <c r="L6">
        <v>1836</v>
      </c>
      <c r="M6" s="9" t="s">
        <v>575</v>
      </c>
      <c r="N6">
        <v>2700</v>
      </c>
      <c r="O6">
        <v>2435</v>
      </c>
      <c r="P6">
        <v>2070</v>
      </c>
      <c r="Q6" t="s">
        <v>35</v>
      </c>
      <c r="R6">
        <v>22</v>
      </c>
      <c r="S6">
        <v>1</v>
      </c>
      <c r="T6" s="7" t="s">
        <v>577</v>
      </c>
      <c r="U6" s="7" t="s">
        <v>578</v>
      </c>
      <c r="V6" s="10">
        <v>0</v>
      </c>
      <c r="W6" s="9" t="str">
        <f t="shared" si="0"/>
        <v>(1572,null,1,'2026-03-24 00:00:00','003307030340000-330703034','003307030340000-330703034','食管裂孔疝修补术',null,null,2250,2160,1836,null,2700,2435,2070,'次',22,1,'normal','main',0),</v>
      </c>
    </row>
    <row r="7" ht="15.75" spans="1:23">
      <c r="A7">
        <v>1573</v>
      </c>
      <c r="B7" s="7" t="s">
        <v>575</v>
      </c>
      <c r="C7" s="7">
        <v>1</v>
      </c>
      <c r="D7" s="8" t="s">
        <v>576</v>
      </c>
      <c r="E7" t="s">
        <v>55</v>
      </c>
      <c r="F7" t="s">
        <v>55</v>
      </c>
      <c r="G7" t="s">
        <v>56</v>
      </c>
      <c r="H7" s="9" t="s">
        <v>575</v>
      </c>
      <c r="I7" s="9" t="s">
        <v>575</v>
      </c>
      <c r="J7">
        <v>2875</v>
      </c>
      <c r="K7">
        <v>2760</v>
      </c>
      <c r="L7">
        <v>2346</v>
      </c>
      <c r="M7" s="9" t="s">
        <v>575</v>
      </c>
      <c r="N7">
        <v>2700</v>
      </c>
      <c r="O7">
        <v>2435</v>
      </c>
      <c r="P7">
        <v>2070</v>
      </c>
      <c r="Q7" t="s">
        <v>35</v>
      </c>
      <c r="R7">
        <v>22</v>
      </c>
      <c r="S7">
        <v>1</v>
      </c>
      <c r="T7" s="7" t="s">
        <v>577</v>
      </c>
      <c r="U7" s="7" t="s">
        <v>578</v>
      </c>
      <c r="V7" s="10">
        <v>0</v>
      </c>
      <c r="W7" s="9" t="str">
        <f t="shared" si="0"/>
        <v>(1573,null,1,'2026-03-24 00:00:00','003307030340001-33070303402','003307030340001-33070303402','经胸腔镜食管裂孔疝修补术',null,null,2875,2760,2346,null,2700,2435,2070,'次',22,1,'normal','main',0),</v>
      </c>
    </row>
    <row r="8" ht="15.75" spans="1:23">
      <c r="A8">
        <v>1574</v>
      </c>
      <c r="B8" s="7" t="s">
        <v>575</v>
      </c>
      <c r="C8" s="7">
        <v>1</v>
      </c>
      <c r="D8" s="8" t="s">
        <v>576</v>
      </c>
      <c r="E8" t="s">
        <v>61</v>
      </c>
      <c r="F8" t="s">
        <v>61</v>
      </c>
      <c r="G8" t="s">
        <v>62</v>
      </c>
      <c r="H8" s="9" t="s">
        <v>575</v>
      </c>
      <c r="I8" s="9" t="s">
        <v>575</v>
      </c>
      <c r="J8">
        <v>2925</v>
      </c>
      <c r="K8">
        <v>2810</v>
      </c>
      <c r="L8">
        <v>2390</v>
      </c>
      <c r="M8" s="9" t="s">
        <v>575</v>
      </c>
      <c r="N8">
        <v>3510</v>
      </c>
      <c r="O8">
        <v>3165</v>
      </c>
      <c r="P8">
        <v>2690</v>
      </c>
      <c r="Q8" t="s">
        <v>35</v>
      </c>
      <c r="R8">
        <v>22</v>
      </c>
      <c r="S8">
        <v>1</v>
      </c>
      <c r="T8" s="7" t="s">
        <v>577</v>
      </c>
      <c r="U8" s="7" t="s">
        <v>578</v>
      </c>
      <c r="V8" s="10">
        <v>0</v>
      </c>
      <c r="W8" s="9" t="str">
        <f t="shared" si="0"/>
        <v>(1574,null,1,'2026-03-24 00:00:00','003307030330000-33070303302','003307030330000-33070303302','小儿先天性食管裂孔疝修补术',null,null,2925,2810,2390,null,3510,3165,2690,'次',22,1,'normal','main',0),</v>
      </c>
    </row>
    <row r="9" ht="15.75" spans="1:23">
      <c r="A9">
        <v>1575</v>
      </c>
      <c r="B9" s="7" t="s">
        <v>575</v>
      </c>
      <c r="C9" s="7">
        <v>1</v>
      </c>
      <c r="D9" s="8" t="s">
        <v>576</v>
      </c>
      <c r="E9" t="s">
        <v>63</v>
      </c>
      <c r="F9" t="s">
        <v>63</v>
      </c>
      <c r="G9" t="s">
        <v>64</v>
      </c>
      <c r="H9" s="9" t="s">
        <v>575</v>
      </c>
      <c r="I9" s="9" t="s">
        <v>575</v>
      </c>
      <c r="J9">
        <v>3510</v>
      </c>
      <c r="K9">
        <v>3370</v>
      </c>
      <c r="L9">
        <v>2865</v>
      </c>
      <c r="M9" s="9" t="s">
        <v>575</v>
      </c>
      <c r="N9">
        <v>3510</v>
      </c>
      <c r="O9">
        <v>3165</v>
      </c>
      <c r="P9">
        <v>2690</v>
      </c>
      <c r="Q9" t="s">
        <v>35</v>
      </c>
      <c r="R9">
        <v>22</v>
      </c>
      <c r="S9">
        <v>1</v>
      </c>
      <c r="T9" s="7" t="s">
        <v>577</v>
      </c>
      <c r="U9" s="7" t="s">
        <v>578</v>
      </c>
      <c r="V9" s="10">
        <v>0</v>
      </c>
      <c r="W9" s="9" t="str">
        <f t="shared" si="0"/>
        <v>(1575,null,1,'2026-03-24 00:00:00','003307030330001-33070303303','003307030330001-33070303303','小儿先天性食管裂孔疝修补术（合并肠回转不良及其他须矫治畸形者）',null,null,3510,3370,2865,null,3510,3165,2690,'次',22,1,'normal','main',0),</v>
      </c>
    </row>
    <row r="10" ht="15.75" spans="1:23">
      <c r="A10">
        <v>1576</v>
      </c>
      <c r="B10" s="7" t="s">
        <v>575</v>
      </c>
      <c r="C10" s="7">
        <v>1</v>
      </c>
      <c r="D10" s="8" t="s">
        <v>576</v>
      </c>
      <c r="E10" t="s">
        <v>65</v>
      </c>
      <c r="F10" t="s">
        <v>65</v>
      </c>
      <c r="G10" t="s">
        <v>66</v>
      </c>
      <c r="H10" s="9" t="s">
        <v>575</v>
      </c>
      <c r="I10" s="9" t="s">
        <v>575</v>
      </c>
      <c r="J10">
        <v>3550</v>
      </c>
      <c r="K10">
        <v>3410</v>
      </c>
      <c r="L10">
        <v>2900</v>
      </c>
      <c r="M10" s="9" t="s">
        <v>575</v>
      </c>
      <c r="N10">
        <v>3510</v>
      </c>
      <c r="O10">
        <v>3165</v>
      </c>
      <c r="P10">
        <v>2690</v>
      </c>
      <c r="Q10" t="s">
        <v>35</v>
      </c>
      <c r="R10">
        <v>22</v>
      </c>
      <c r="S10">
        <v>1</v>
      </c>
      <c r="T10" s="7" t="s">
        <v>577</v>
      </c>
      <c r="U10" s="7" t="s">
        <v>578</v>
      </c>
      <c r="V10" s="10">
        <v>0</v>
      </c>
      <c r="W10" s="9" t="str">
        <f t="shared" si="0"/>
        <v>(1576,null,1,'2026-03-24 00:00:00','003307030330000-33070303306','003307030330000-33070303306','小儿经胸腔镜先天性食管裂孔疝修补术',null,null,3550,3410,2900,null,3510,3165,2690,'次',22,1,'normal','main',0),</v>
      </c>
    </row>
    <row r="11" ht="15.75" spans="1:23">
      <c r="A11">
        <v>1577</v>
      </c>
      <c r="B11" s="7" t="s">
        <v>575</v>
      </c>
      <c r="C11" s="7">
        <v>1</v>
      </c>
      <c r="D11" s="8" t="s">
        <v>576</v>
      </c>
      <c r="E11" t="s">
        <v>67</v>
      </c>
      <c r="F11" t="s">
        <v>67</v>
      </c>
      <c r="G11" t="s">
        <v>68</v>
      </c>
      <c r="H11" s="9" t="s">
        <v>575</v>
      </c>
      <c r="I11" s="9" t="s">
        <v>575</v>
      </c>
      <c r="J11">
        <v>4135</v>
      </c>
      <c r="K11">
        <v>3970</v>
      </c>
      <c r="L11">
        <v>3375</v>
      </c>
      <c r="M11" s="9" t="s">
        <v>575</v>
      </c>
      <c r="N11">
        <v>3510</v>
      </c>
      <c r="O11">
        <v>3165</v>
      </c>
      <c r="P11">
        <v>2690</v>
      </c>
      <c r="Q11" t="s">
        <v>35</v>
      </c>
      <c r="R11">
        <v>22</v>
      </c>
      <c r="S11">
        <v>1</v>
      </c>
      <c r="T11" s="7" t="s">
        <v>577</v>
      </c>
      <c r="U11" s="7" t="s">
        <v>578</v>
      </c>
      <c r="V11" s="10">
        <v>0</v>
      </c>
      <c r="W11" s="9" t="str">
        <f t="shared" si="0"/>
        <v>(1577,null,1,'2026-03-24 00:00:00','003307030330001-33070303307','003307030330001-33070303307','小儿经胸腔镜先天性食管裂孔疝修补术（合并肠回转不良及其他须矫治畸形者）',null,null,4135,3970,3375,null,3510,3165,2690,'次',22,1,'normal','main',0),</v>
      </c>
    </row>
    <row r="12" ht="15.75" spans="1:23">
      <c r="A12">
        <v>1578</v>
      </c>
      <c r="B12" s="7" t="s">
        <v>575</v>
      </c>
      <c r="C12" s="7">
        <v>1</v>
      </c>
      <c r="D12" s="8" t="s">
        <v>576</v>
      </c>
      <c r="E12" t="s">
        <v>69</v>
      </c>
      <c r="F12" t="s">
        <v>69</v>
      </c>
      <c r="G12" t="s">
        <v>70</v>
      </c>
      <c r="H12" s="9" t="s">
        <v>575</v>
      </c>
      <c r="I12" s="9" t="s">
        <v>575</v>
      </c>
      <c r="J12">
        <v>2925</v>
      </c>
      <c r="K12">
        <v>2810</v>
      </c>
      <c r="L12">
        <v>2390</v>
      </c>
      <c r="M12" s="9" t="s">
        <v>575</v>
      </c>
      <c r="N12">
        <v>3510</v>
      </c>
      <c r="O12">
        <v>3165</v>
      </c>
      <c r="P12">
        <v>2690</v>
      </c>
      <c r="Q12" t="s">
        <v>35</v>
      </c>
      <c r="R12">
        <v>22</v>
      </c>
      <c r="S12">
        <v>1</v>
      </c>
      <c r="T12" s="7" t="s">
        <v>577</v>
      </c>
      <c r="U12" s="7" t="s">
        <v>578</v>
      </c>
      <c r="V12" s="10">
        <v>0</v>
      </c>
      <c r="W12" s="9" t="str">
        <f t="shared" si="0"/>
        <v>(1578,null,1,'2026-03-24 00:00:00','003307030340000-33070303401','003307030340000-33070303401','小儿食管裂孔疝修补术',null,null,2925,2810,2390,null,3510,3165,2690,'次',22,1,'normal','main',0),</v>
      </c>
    </row>
    <row r="13" ht="15.75" spans="1:23">
      <c r="A13">
        <v>1579</v>
      </c>
      <c r="B13" s="7" t="s">
        <v>575</v>
      </c>
      <c r="C13" s="7">
        <v>1</v>
      </c>
      <c r="D13" s="8" t="s">
        <v>576</v>
      </c>
      <c r="E13" t="s">
        <v>71</v>
      </c>
      <c r="F13" t="s">
        <v>71</v>
      </c>
      <c r="G13" t="s">
        <v>72</v>
      </c>
      <c r="H13" s="9" t="s">
        <v>575</v>
      </c>
      <c r="I13" s="9" t="s">
        <v>575</v>
      </c>
      <c r="J13">
        <v>3550</v>
      </c>
      <c r="K13">
        <v>3410</v>
      </c>
      <c r="L13">
        <v>2900</v>
      </c>
      <c r="M13" s="9" t="s">
        <v>575</v>
      </c>
      <c r="N13">
        <v>3510</v>
      </c>
      <c r="O13">
        <v>3165</v>
      </c>
      <c r="P13">
        <v>2690</v>
      </c>
      <c r="Q13" t="s">
        <v>35</v>
      </c>
      <c r="R13">
        <v>22</v>
      </c>
      <c r="S13">
        <v>1</v>
      </c>
      <c r="T13" s="7" t="s">
        <v>577</v>
      </c>
      <c r="U13" s="7" t="s">
        <v>578</v>
      </c>
      <c r="V13" s="10">
        <v>0</v>
      </c>
      <c r="W13" s="9" t="str">
        <f t="shared" si="0"/>
        <v>(1579,null,1,'2026-03-24 00:00:00','003307030340001-33070303403','003307030340001-33070303403','小儿经胸腔镜食管裂孔疝修补术',null,null,3550,3410,2900,null,3510,3165,2690,'次',22,1,'normal','main',0),</v>
      </c>
    </row>
    <row r="14" ht="15.75" spans="1:23">
      <c r="A14">
        <v>1580</v>
      </c>
      <c r="B14" s="7" t="s">
        <v>575</v>
      </c>
      <c r="C14" s="7">
        <v>1</v>
      </c>
      <c r="D14" s="8" t="s">
        <v>576</v>
      </c>
      <c r="E14" t="s">
        <v>77</v>
      </c>
      <c r="F14" t="s">
        <v>77</v>
      </c>
      <c r="G14" t="s">
        <v>78</v>
      </c>
      <c r="H14" s="9" t="s">
        <v>575</v>
      </c>
      <c r="I14" s="9" t="s">
        <v>575</v>
      </c>
      <c r="J14">
        <v>1000</v>
      </c>
      <c r="K14">
        <v>960</v>
      </c>
      <c r="L14">
        <v>816</v>
      </c>
      <c r="M14" s="9" t="s">
        <v>575</v>
      </c>
      <c r="N14">
        <v>1550</v>
      </c>
      <c r="O14">
        <v>1395</v>
      </c>
      <c r="P14">
        <v>1200</v>
      </c>
      <c r="Q14" t="s">
        <v>35</v>
      </c>
      <c r="R14">
        <v>22</v>
      </c>
      <c r="S14">
        <v>1</v>
      </c>
      <c r="T14" s="7" t="s">
        <v>577</v>
      </c>
      <c r="U14" s="7" t="s">
        <v>578</v>
      </c>
      <c r="V14" s="10">
        <v>0</v>
      </c>
      <c r="W14" s="9" t="str">
        <f t="shared" si="0"/>
        <v>(1580,null,1,'2026-03-24 00:00:00','003310080040000-331008004','003310080040000-331008004','脐疝修补术',null,null,1000,960,816,null,1550,1395,1200,'次',22,1,'normal','main',0),</v>
      </c>
    </row>
    <row r="15" ht="15.75" spans="1:23">
      <c r="A15">
        <v>1581</v>
      </c>
      <c r="B15" s="7" t="s">
        <v>575</v>
      </c>
      <c r="C15" s="7">
        <v>1</v>
      </c>
      <c r="D15" s="8" t="s">
        <v>576</v>
      </c>
      <c r="E15" t="s">
        <v>79</v>
      </c>
      <c r="F15" t="s">
        <v>79</v>
      </c>
      <c r="G15" t="s">
        <v>80</v>
      </c>
      <c r="H15" s="9" t="s">
        <v>575</v>
      </c>
      <c r="I15" s="9" t="s">
        <v>575</v>
      </c>
      <c r="J15">
        <v>1625</v>
      </c>
      <c r="K15">
        <v>1560</v>
      </c>
      <c r="L15">
        <v>1326</v>
      </c>
      <c r="M15" s="9" t="s">
        <v>575</v>
      </c>
      <c r="N15">
        <v>1550</v>
      </c>
      <c r="O15">
        <v>1395</v>
      </c>
      <c r="P15">
        <v>1200</v>
      </c>
      <c r="Q15" t="s">
        <v>35</v>
      </c>
      <c r="R15">
        <v>22</v>
      </c>
      <c r="S15">
        <v>1</v>
      </c>
      <c r="T15" s="7" t="s">
        <v>577</v>
      </c>
      <c r="U15" s="7" t="s">
        <v>578</v>
      </c>
      <c r="V15" s="10">
        <v>0</v>
      </c>
      <c r="W15" s="9" t="str">
        <f t="shared" si="0"/>
        <v>(1581,null,1,'2026-03-24 00:00:00','003310080040000-33100800402','003310080040000-33100800402','经腹腔镜脐疝修补术',null,null,1625,1560,1326,null,1550,1395,1200,'次',22,1,'normal','main',0),</v>
      </c>
    </row>
    <row r="16" ht="15.75" spans="1:23">
      <c r="A16">
        <v>1582</v>
      </c>
      <c r="B16" s="7" t="s">
        <v>575</v>
      </c>
      <c r="C16" s="7">
        <v>1</v>
      </c>
      <c r="D16" s="8" t="s">
        <v>576</v>
      </c>
      <c r="E16" t="s">
        <v>81</v>
      </c>
      <c r="F16" t="s">
        <v>81</v>
      </c>
      <c r="G16" t="s">
        <v>82</v>
      </c>
      <c r="H16" s="9" t="s">
        <v>575</v>
      </c>
      <c r="I16" s="9" t="s">
        <v>575</v>
      </c>
      <c r="J16">
        <v>1125</v>
      </c>
      <c r="K16">
        <v>1080</v>
      </c>
      <c r="L16">
        <v>918</v>
      </c>
      <c r="M16" s="9" t="s">
        <v>575</v>
      </c>
      <c r="N16">
        <v>1550</v>
      </c>
      <c r="O16">
        <v>1395</v>
      </c>
      <c r="P16">
        <v>1200</v>
      </c>
      <c r="Q16" t="s">
        <v>35</v>
      </c>
      <c r="R16">
        <v>22</v>
      </c>
      <c r="S16">
        <v>1</v>
      </c>
      <c r="T16" s="7" t="s">
        <v>577</v>
      </c>
      <c r="U16" s="7" t="s">
        <v>578</v>
      </c>
      <c r="V16" s="10">
        <v>0</v>
      </c>
      <c r="W16" s="9" t="str">
        <f t="shared" si="0"/>
        <v>(1582,null,1,'2026-03-24 00:00:00','003310080050000-331008005','003310080050000-331008005','腹壁切口疝修补术',null,null,1125,1080,918,null,1550,1395,1200,'次',22,1,'normal','main',0),</v>
      </c>
    </row>
    <row r="17" ht="15.75" spans="1:23">
      <c r="A17">
        <v>1583</v>
      </c>
      <c r="B17" s="7" t="s">
        <v>575</v>
      </c>
      <c r="C17" s="7">
        <v>1</v>
      </c>
      <c r="D17" s="8" t="s">
        <v>576</v>
      </c>
      <c r="E17" t="s">
        <v>84</v>
      </c>
      <c r="F17" t="s">
        <v>84</v>
      </c>
      <c r="G17" t="s">
        <v>85</v>
      </c>
      <c r="H17" s="9" t="s">
        <v>575</v>
      </c>
      <c r="I17" s="9" t="s">
        <v>575</v>
      </c>
      <c r="J17">
        <v>1750</v>
      </c>
      <c r="K17">
        <v>1680</v>
      </c>
      <c r="L17">
        <v>1428</v>
      </c>
      <c r="M17" s="9" t="s">
        <v>575</v>
      </c>
      <c r="N17">
        <v>1550</v>
      </c>
      <c r="O17">
        <v>1395</v>
      </c>
      <c r="P17">
        <v>1200</v>
      </c>
      <c r="Q17" t="s">
        <v>35</v>
      </c>
      <c r="R17">
        <v>22</v>
      </c>
      <c r="S17">
        <v>1</v>
      </c>
      <c r="T17" s="7" t="s">
        <v>577</v>
      </c>
      <c r="U17" s="7" t="s">
        <v>578</v>
      </c>
      <c r="V17" s="10">
        <v>0</v>
      </c>
      <c r="W17" s="9" t="str">
        <f t="shared" si="0"/>
        <v>(1583,null,1,'2026-03-24 00:00:00','003310080050000-33100800502','003310080050000-33100800502','经腹腔镜腹壁切口疝修补术',null,null,1750,1680,1428,null,1550,1395,1200,'次',22,1,'normal','main',0),</v>
      </c>
    </row>
    <row r="18" ht="15.75" spans="1:23">
      <c r="A18">
        <v>1588</v>
      </c>
      <c r="B18" s="7" t="s">
        <v>575</v>
      </c>
      <c r="C18" s="7">
        <v>1</v>
      </c>
      <c r="D18" s="8" t="s">
        <v>576</v>
      </c>
      <c r="E18" t="s">
        <v>100</v>
      </c>
      <c r="F18" t="s">
        <v>100</v>
      </c>
      <c r="G18" t="s">
        <v>101</v>
      </c>
      <c r="H18" s="9" t="s">
        <v>575</v>
      </c>
      <c r="I18" s="9" t="s">
        <v>575</v>
      </c>
      <c r="J18">
        <v>1000</v>
      </c>
      <c r="K18">
        <v>960</v>
      </c>
      <c r="L18">
        <v>816</v>
      </c>
      <c r="M18" s="9" t="s">
        <v>575</v>
      </c>
      <c r="N18">
        <v>1500</v>
      </c>
      <c r="O18">
        <v>1430</v>
      </c>
      <c r="P18">
        <v>1200</v>
      </c>
      <c r="Q18" t="s">
        <v>98</v>
      </c>
      <c r="R18">
        <v>22</v>
      </c>
      <c r="S18">
        <v>1</v>
      </c>
      <c r="T18" s="7" t="s">
        <v>577</v>
      </c>
      <c r="U18" s="7" t="s">
        <v>578</v>
      </c>
      <c r="V18" s="10">
        <v>0</v>
      </c>
      <c r="W18" s="9" t="str">
        <f>"("&amp;A18&amp;","&amp;B18&amp;","&amp;C18&amp;",'"&amp;D18&amp;"','"&amp;E18&amp;"','"&amp;F18&amp;"','"&amp;G18&amp;"',"&amp;H18&amp;","&amp;I18&amp;","&amp;J18&amp;","&amp;K18&amp;","&amp;L18&amp;","&amp;M18&amp;","&amp;N18&amp;","&amp;O18&amp;","&amp;P18&amp;",'"&amp;Q18&amp;"',"&amp;R18&amp;","&amp;S18&amp;",'"&amp;T18&amp;"','"&amp;U18&amp;"',"&amp;V18&amp;"),"</f>
        <v>(1588,null,1,'2026-03-24 00:00:00','003310080010000-331008001','003310080010000-331008001','腹股沟疝修补术',null,null,1000,960,816,null,1500,1430,1200,'单侧',22,1,'normal','main',0),</v>
      </c>
    </row>
    <row r="19" ht="15.75" spans="1:23">
      <c r="A19">
        <v>1589</v>
      </c>
      <c r="B19" s="7" t="s">
        <v>575</v>
      </c>
      <c r="C19" s="7">
        <v>1</v>
      </c>
      <c r="D19" s="8" t="s">
        <v>576</v>
      </c>
      <c r="E19" t="s">
        <v>103</v>
      </c>
      <c r="F19" t="s">
        <v>103</v>
      </c>
      <c r="G19" t="s">
        <v>104</v>
      </c>
      <c r="H19" s="9" t="s">
        <v>575</v>
      </c>
      <c r="I19" s="9" t="s">
        <v>575</v>
      </c>
      <c r="J19">
        <v>1625</v>
      </c>
      <c r="K19">
        <v>1560</v>
      </c>
      <c r="L19">
        <v>1326</v>
      </c>
      <c r="M19" s="9" t="s">
        <v>575</v>
      </c>
      <c r="N19">
        <v>1500</v>
      </c>
      <c r="O19">
        <v>1430</v>
      </c>
      <c r="P19">
        <v>1200</v>
      </c>
      <c r="Q19" t="s">
        <v>98</v>
      </c>
      <c r="R19">
        <v>22</v>
      </c>
      <c r="S19">
        <v>1</v>
      </c>
      <c r="T19" s="7" t="s">
        <v>577</v>
      </c>
      <c r="U19" s="7" t="s">
        <v>578</v>
      </c>
      <c r="V19" s="10">
        <v>0</v>
      </c>
      <c r="W19" s="9" t="str">
        <f>"("&amp;A19&amp;","&amp;B19&amp;","&amp;C19&amp;",'"&amp;D19&amp;"','"&amp;E19&amp;"','"&amp;F19&amp;"','"&amp;G19&amp;"',"&amp;H19&amp;","&amp;I19&amp;","&amp;J19&amp;","&amp;K19&amp;","&amp;L19&amp;","&amp;M19&amp;","&amp;N19&amp;","&amp;O19&amp;","&amp;P19&amp;",'"&amp;Q19&amp;"',"&amp;R19&amp;","&amp;S19&amp;",'"&amp;T19&amp;"','"&amp;U19&amp;"',"&amp;V19&amp;"),"</f>
        <v>(1589,null,1,'2026-03-24 00:00:00','003310080010001-33100800102','003310080010001-33100800102','经腹腔镜腹股沟疝修补术',null,null,1625,1560,1326,null,1500,1430,1200,'单侧',22,1,'normal','main',0),</v>
      </c>
    </row>
    <row r="20" ht="15.75" spans="1:23">
      <c r="A20">
        <v>1590</v>
      </c>
      <c r="B20" s="7" t="s">
        <v>575</v>
      </c>
      <c r="C20" s="7">
        <v>1</v>
      </c>
      <c r="D20" s="8" t="s">
        <v>576</v>
      </c>
      <c r="E20" t="s">
        <v>105</v>
      </c>
      <c r="F20" t="s">
        <v>105</v>
      </c>
      <c r="G20" t="s">
        <v>106</v>
      </c>
      <c r="H20" s="9" t="s">
        <v>575</v>
      </c>
      <c r="I20" s="9" t="s">
        <v>575</v>
      </c>
      <c r="J20">
        <v>1125</v>
      </c>
      <c r="K20">
        <v>1080</v>
      </c>
      <c r="L20">
        <v>918</v>
      </c>
      <c r="M20" s="9" t="s">
        <v>575</v>
      </c>
      <c r="N20">
        <v>1500</v>
      </c>
      <c r="O20">
        <v>1430</v>
      </c>
      <c r="P20">
        <v>1200</v>
      </c>
      <c r="Q20" t="s">
        <v>98</v>
      </c>
      <c r="R20">
        <v>22</v>
      </c>
      <c r="S20">
        <v>1</v>
      </c>
      <c r="T20" s="7" t="s">
        <v>577</v>
      </c>
      <c r="U20" s="7" t="s">
        <v>578</v>
      </c>
      <c r="V20" s="10">
        <v>0</v>
      </c>
      <c r="W20" s="9" t="str">
        <f>"("&amp;A20&amp;","&amp;B20&amp;","&amp;C20&amp;",'"&amp;D20&amp;"','"&amp;E20&amp;"','"&amp;F20&amp;"','"&amp;G20&amp;"',"&amp;H20&amp;","&amp;I20&amp;","&amp;J20&amp;","&amp;K20&amp;","&amp;L20&amp;","&amp;M20&amp;","&amp;N20&amp;","&amp;O20&amp;","&amp;P20&amp;",'"&amp;Q20&amp;"',"&amp;R20&amp;","&amp;S20&amp;",'"&amp;T20&amp;"','"&amp;U20&amp;"',"&amp;V20&amp;"),"</f>
        <v>(1590,null,1,'2026-03-24 00:00:00','003310080030000-331008003','003310080030000-331008003','充填式无张力疝修补术',null,null,1125,1080,918,null,1500,1430,1200,'单侧',22,1,'normal','main',0),</v>
      </c>
    </row>
    <row r="21" ht="15.75" spans="1:23">
      <c r="A21">
        <v>1591</v>
      </c>
      <c r="B21" s="7" t="s">
        <v>575</v>
      </c>
      <c r="C21" s="7">
        <v>1</v>
      </c>
      <c r="D21" s="8" t="s">
        <v>576</v>
      </c>
      <c r="E21" t="s">
        <v>108</v>
      </c>
      <c r="F21" t="s">
        <v>108</v>
      </c>
      <c r="G21" t="s">
        <v>109</v>
      </c>
      <c r="H21" s="9" t="s">
        <v>575</v>
      </c>
      <c r="I21" s="9" t="s">
        <v>575</v>
      </c>
      <c r="J21">
        <v>1750</v>
      </c>
      <c r="K21">
        <v>1680</v>
      </c>
      <c r="L21">
        <v>1428</v>
      </c>
      <c r="M21" s="9" t="s">
        <v>575</v>
      </c>
      <c r="N21">
        <v>1500</v>
      </c>
      <c r="O21">
        <v>1430</v>
      </c>
      <c r="P21">
        <v>1200</v>
      </c>
      <c r="Q21" t="s">
        <v>98</v>
      </c>
      <c r="R21">
        <v>22</v>
      </c>
      <c r="S21">
        <v>1</v>
      </c>
      <c r="T21" s="7" t="s">
        <v>577</v>
      </c>
      <c r="U21" s="7" t="s">
        <v>578</v>
      </c>
      <c r="V21" s="10">
        <v>0</v>
      </c>
      <c r="W21" s="9" t="str">
        <f>"("&amp;A21&amp;","&amp;B21&amp;","&amp;C21&amp;",'"&amp;D21&amp;"','"&amp;E21&amp;"','"&amp;F21&amp;"','"&amp;G21&amp;"',"&amp;H21&amp;","&amp;I21&amp;","&amp;J21&amp;","&amp;K21&amp;","&amp;L21&amp;","&amp;M21&amp;","&amp;N21&amp;","&amp;O21&amp;","&amp;P21&amp;",'"&amp;Q21&amp;"',"&amp;R21&amp;","&amp;S21&amp;",'"&amp;T21&amp;"','"&amp;U21&amp;"',"&amp;V21&amp;"),"</f>
        <v>(1591,null,1,'2026-03-24 00:00:00','003310080030000-33100800302','003310080030000-33100800302','经腹腔镜充填式无张力疝修补术',null,null,1750,1680,1428,null,1500,1430,1200,'单侧',22,1,'normal','main',0),</v>
      </c>
    </row>
    <row r="22" ht="15.75" spans="1:23">
      <c r="A22">
        <v>1592</v>
      </c>
      <c r="B22" s="7" t="s">
        <v>575</v>
      </c>
      <c r="C22" s="7">
        <v>1</v>
      </c>
      <c r="D22" s="8" t="s">
        <v>576</v>
      </c>
      <c r="E22" t="s">
        <v>112</v>
      </c>
      <c r="F22" t="s">
        <v>112</v>
      </c>
      <c r="G22" t="s">
        <v>113</v>
      </c>
      <c r="H22" s="9" t="s">
        <v>575</v>
      </c>
      <c r="I22" s="9" t="s">
        <v>575</v>
      </c>
      <c r="J22">
        <v>1300</v>
      </c>
      <c r="K22">
        <v>1250</v>
      </c>
      <c r="L22">
        <v>1065</v>
      </c>
      <c r="M22" s="9" t="s">
        <v>575</v>
      </c>
      <c r="N22">
        <v>1950</v>
      </c>
      <c r="O22">
        <v>1860</v>
      </c>
      <c r="P22">
        <v>1560</v>
      </c>
      <c r="Q22" t="s">
        <v>98</v>
      </c>
      <c r="R22">
        <v>22</v>
      </c>
      <c r="S22">
        <v>1</v>
      </c>
      <c r="T22" s="7" t="s">
        <v>577</v>
      </c>
      <c r="U22" s="7" t="s">
        <v>578</v>
      </c>
      <c r="V22" s="10">
        <v>0</v>
      </c>
      <c r="W22" s="9" t="str">
        <f>"("&amp;A22&amp;","&amp;B22&amp;","&amp;C22&amp;",'"&amp;D22&amp;"','"&amp;E22&amp;"','"&amp;F22&amp;"','"&amp;G22&amp;"',"&amp;H22&amp;","&amp;I22&amp;","&amp;J22&amp;","&amp;K22&amp;","&amp;L22&amp;","&amp;M22&amp;","&amp;N22&amp;","&amp;O22&amp;","&amp;P22&amp;",'"&amp;Q22&amp;"',"&amp;R22&amp;","&amp;S22&amp;",'"&amp;T22&amp;"','"&amp;U22&amp;"',"&amp;V22&amp;"),"</f>
        <v>(1592,null,1,'2026-03-24 00:00:00','003310080010000-33100800101','003310080010000-33100800101','小儿腹股沟疝修补术',null,null,1300,1250,1065,null,1950,1860,1560,'单侧',22,1,'normal','main',0),</v>
      </c>
    </row>
    <row r="23" ht="15.75" spans="1:23">
      <c r="A23">
        <v>1593</v>
      </c>
      <c r="B23" s="7" t="s">
        <v>575</v>
      </c>
      <c r="C23" s="7">
        <v>1</v>
      </c>
      <c r="D23" s="8" t="s">
        <v>576</v>
      </c>
      <c r="E23" t="s">
        <v>114</v>
      </c>
      <c r="F23" t="s">
        <v>114</v>
      </c>
      <c r="G23" t="s">
        <v>115</v>
      </c>
      <c r="H23" s="9" t="s">
        <v>575</v>
      </c>
      <c r="I23" s="9" t="s">
        <v>575</v>
      </c>
      <c r="J23">
        <v>1925</v>
      </c>
      <c r="K23">
        <v>1850</v>
      </c>
      <c r="L23">
        <v>1575</v>
      </c>
      <c r="M23" s="9" t="s">
        <v>575</v>
      </c>
      <c r="N23">
        <v>1950</v>
      </c>
      <c r="O23">
        <v>1860</v>
      </c>
      <c r="P23">
        <v>1560</v>
      </c>
      <c r="Q23" t="s">
        <v>98</v>
      </c>
      <c r="R23">
        <v>22</v>
      </c>
      <c r="S23">
        <v>1</v>
      </c>
      <c r="T23" s="7" t="s">
        <v>577</v>
      </c>
      <c r="U23" s="7" t="s">
        <v>578</v>
      </c>
      <c r="V23" s="10">
        <v>0</v>
      </c>
      <c r="W23" s="9" t="str">
        <f>"("&amp;A23&amp;","&amp;B23&amp;","&amp;C23&amp;",'"&amp;D23&amp;"','"&amp;E23&amp;"','"&amp;F23&amp;"','"&amp;G23&amp;"',"&amp;H23&amp;","&amp;I23&amp;","&amp;J23&amp;","&amp;K23&amp;","&amp;L23&amp;","&amp;M23&amp;","&amp;N23&amp;","&amp;O23&amp;","&amp;P23&amp;",'"&amp;Q23&amp;"',"&amp;R23&amp;","&amp;S23&amp;",'"&amp;T23&amp;"','"&amp;U23&amp;"',"&amp;V23&amp;"),"</f>
        <v>(1593,null,1,'2026-03-24 00:00:00','003310080010001-33100800103','003310080010001-33100800103','小儿经腹腔镜腹股沟疝修补术',null,null,1925,1850,1575,null,1950,1860,1560,'单侧',22,1,'normal','main',0),</v>
      </c>
    </row>
    <row r="24" ht="15.75" spans="1:23">
      <c r="A24">
        <v>1594</v>
      </c>
      <c r="B24" s="7" t="s">
        <v>575</v>
      </c>
      <c r="C24" s="7">
        <v>1</v>
      </c>
      <c r="D24" s="8" t="s">
        <v>576</v>
      </c>
      <c r="E24" t="s">
        <v>116</v>
      </c>
      <c r="F24" t="s">
        <v>116</v>
      </c>
      <c r="G24" t="s">
        <v>117</v>
      </c>
      <c r="H24" s="9" t="s">
        <v>575</v>
      </c>
      <c r="I24" s="9" t="s">
        <v>575</v>
      </c>
      <c r="J24">
        <v>1465</v>
      </c>
      <c r="K24">
        <v>1405</v>
      </c>
      <c r="L24">
        <v>1195</v>
      </c>
      <c r="M24" s="9" t="s">
        <v>575</v>
      </c>
      <c r="N24">
        <v>1950</v>
      </c>
      <c r="O24">
        <v>1860</v>
      </c>
      <c r="P24">
        <v>1560</v>
      </c>
      <c r="Q24" t="s">
        <v>98</v>
      </c>
      <c r="R24">
        <v>22</v>
      </c>
      <c r="S24">
        <v>1</v>
      </c>
      <c r="T24" s="7" t="s">
        <v>577</v>
      </c>
      <c r="U24" s="7" t="s">
        <v>578</v>
      </c>
      <c r="V24" s="10">
        <v>0</v>
      </c>
      <c r="W24" s="9" t="str">
        <f>"("&amp;A24&amp;","&amp;B24&amp;","&amp;C24&amp;",'"&amp;D24&amp;"','"&amp;E24&amp;"','"&amp;F24&amp;"','"&amp;G24&amp;"',"&amp;H24&amp;","&amp;I24&amp;","&amp;J24&amp;","&amp;K24&amp;","&amp;L24&amp;","&amp;M24&amp;","&amp;N24&amp;","&amp;O24&amp;","&amp;P24&amp;",'"&amp;Q24&amp;"',"&amp;R24&amp;","&amp;S24&amp;",'"&amp;T24&amp;"','"&amp;U24&amp;"',"&amp;V24&amp;"),"</f>
        <v>(1594,null,1,'2026-03-24 00:00:00','003310080030000-33100800301','003310080030000-33100800301','小儿充填式无张力疝修补术',null,null,1465,1405,1195,null,1950,1860,1560,'单侧',22,1,'normal','main',0),</v>
      </c>
    </row>
    <row r="25" ht="15.75" spans="1:23">
      <c r="A25">
        <v>1595</v>
      </c>
      <c r="B25" s="7" t="s">
        <v>575</v>
      </c>
      <c r="C25" s="7">
        <v>1</v>
      </c>
      <c r="D25" s="8" t="s">
        <v>576</v>
      </c>
      <c r="E25" t="s">
        <v>118</v>
      </c>
      <c r="F25" t="s">
        <v>118</v>
      </c>
      <c r="G25" t="s">
        <v>119</v>
      </c>
      <c r="H25" s="9" t="s">
        <v>575</v>
      </c>
      <c r="I25" s="9" t="s">
        <v>575</v>
      </c>
      <c r="J25">
        <v>2090</v>
      </c>
      <c r="K25">
        <v>2005</v>
      </c>
      <c r="L25">
        <v>1705</v>
      </c>
      <c r="M25" s="9" t="s">
        <v>575</v>
      </c>
      <c r="N25">
        <v>1950</v>
      </c>
      <c r="O25">
        <v>1860</v>
      </c>
      <c r="P25">
        <v>1560</v>
      </c>
      <c r="Q25" t="s">
        <v>98</v>
      </c>
      <c r="R25">
        <v>22</v>
      </c>
      <c r="S25">
        <v>1</v>
      </c>
      <c r="T25" s="7" t="s">
        <v>577</v>
      </c>
      <c r="U25" s="7" t="s">
        <v>578</v>
      </c>
      <c r="V25" s="10">
        <v>0</v>
      </c>
      <c r="W25" s="9" t="str">
        <f>"("&amp;A25&amp;","&amp;B25&amp;","&amp;C25&amp;",'"&amp;D25&amp;"','"&amp;E25&amp;"','"&amp;F25&amp;"','"&amp;G25&amp;"',"&amp;H25&amp;","&amp;I25&amp;","&amp;J25&amp;","&amp;K25&amp;","&amp;L25&amp;","&amp;M25&amp;","&amp;N25&amp;","&amp;O25&amp;","&amp;P25&amp;",'"&amp;Q25&amp;"',"&amp;R25&amp;","&amp;S25&amp;",'"&amp;T25&amp;"','"&amp;U25&amp;"',"&amp;V25&amp;"),"</f>
        <v>(1595,null,1,'2026-03-24 00:00:00','003310080030000-33100800303','003310080030000-33100800303','小儿经腹腔镜充填式无张力疝修补术',null,null,2090,2005,1705,null,1950,1860,1560,'单侧',22,1,'normal','main',0),</v>
      </c>
    </row>
    <row r="26" ht="15.75" spans="1:23">
      <c r="A26">
        <v>1596</v>
      </c>
      <c r="B26" s="7" t="s">
        <v>575</v>
      </c>
      <c r="C26" s="7">
        <v>1</v>
      </c>
      <c r="D26" s="8" t="s">
        <v>576</v>
      </c>
      <c r="E26" t="s">
        <v>125</v>
      </c>
      <c r="F26" t="s">
        <v>125</v>
      </c>
      <c r="G26" t="s">
        <v>126</v>
      </c>
      <c r="H26" s="9" t="s">
        <v>575</v>
      </c>
      <c r="I26" s="9" t="s">
        <v>575</v>
      </c>
      <c r="J26">
        <v>1000</v>
      </c>
      <c r="K26">
        <v>960</v>
      </c>
      <c r="L26">
        <v>816</v>
      </c>
      <c r="M26" s="9" t="s">
        <v>575</v>
      </c>
      <c r="N26">
        <v>1700</v>
      </c>
      <c r="O26">
        <v>1530</v>
      </c>
      <c r="P26">
        <v>1300</v>
      </c>
      <c r="Q26" t="s">
        <v>35</v>
      </c>
      <c r="R26">
        <v>22</v>
      </c>
      <c r="S26">
        <v>1</v>
      </c>
      <c r="T26" s="7" t="s">
        <v>577</v>
      </c>
      <c r="U26" s="7" t="s">
        <v>578</v>
      </c>
      <c r="V26" s="10">
        <v>0</v>
      </c>
      <c r="W26" s="9" t="str">
        <f>"("&amp;A26&amp;","&amp;B26&amp;","&amp;C26&amp;",'"&amp;D26&amp;"','"&amp;E26&amp;"','"&amp;F26&amp;"','"&amp;G26&amp;"',"&amp;H26&amp;","&amp;I26&amp;","&amp;J26&amp;","&amp;K26&amp;","&amp;L26&amp;","&amp;M26&amp;","&amp;N26&amp;","&amp;O26&amp;","&amp;P26&amp;",'"&amp;Q26&amp;"',"&amp;R26&amp;","&amp;S26&amp;",'"&amp;T26&amp;"','"&amp;U26&amp;"',"&amp;V26&amp;"),"</f>
        <v>(1596,null,1,'2026-03-24 00:00:00','003310080060000-331008006','003310080060000-331008006','会阴疝修补术',null,null,1000,960,816,null,1700,1530,1300,'次',22,1,'normal','main',0),</v>
      </c>
    </row>
    <row r="27" ht="15.75" spans="1:23">
      <c r="A27">
        <v>1597</v>
      </c>
      <c r="B27" s="7" t="s">
        <v>575</v>
      </c>
      <c r="C27" s="7">
        <v>1</v>
      </c>
      <c r="D27" s="8" t="s">
        <v>576</v>
      </c>
      <c r="E27" t="s">
        <v>129</v>
      </c>
      <c r="F27" t="s">
        <v>129</v>
      </c>
      <c r="G27" t="s">
        <v>130</v>
      </c>
      <c r="H27" s="9" t="s">
        <v>575</v>
      </c>
      <c r="I27" s="9" t="s">
        <v>575</v>
      </c>
      <c r="J27">
        <v>1300</v>
      </c>
      <c r="K27">
        <v>1250</v>
      </c>
      <c r="L27">
        <v>1065</v>
      </c>
      <c r="M27" s="9" t="s">
        <v>575</v>
      </c>
      <c r="N27">
        <v>2210</v>
      </c>
      <c r="O27">
        <v>1989</v>
      </c>
      <c r="P27">
        <v>1690</v>
      </c>
      <c r="Q27" t="s">
        <v>35</v>
      </c>
      <c r="R27">
        <v>22</v>
      </c>
      <c r="S27">
        <v>1</v>
      </c>
      <c r="T27" s="7" t="s">
        <v>577</v>
      </c>
      <c r="U27" s="7" t="s">
        <v>578</v>
      </c>
      <c r="V27" s="10">
        <v>0</v>
      </c>
      <c r="W27" s="9" t="str">
        <f>"("&amp;A27&amp;","&amp;B27&amp;","&amp;C27&amp;",'"&amp;D27&amp;"','"&amp;E27&amp;"','"&amp;F27&amp;"','"&amp;G27&amp;"',"&amp;H27&amp;","&amp;I27&amp;","&amp;J27&amp;","&amp;K27&amp;","&amp;L27&amp;","&amp;M27&amp;","&amp;N27&amp;","&amp;O27&amp;","&amp;P27&amp;",'"&amp;Q27&amp;"',"&amp;R27&amp;","&amp;S27&amp;",'"&amp;T27&amp;"','"&amp;U27&amp;"',"&amp;V27&amp;"),"</f>
        <v>(1597,null,1,'2026-03-24 00:00:00','003310080060000-33100800601','003310080060000-33100800601','小儿会阴疝修补术',null,null,1300,1250,1065,null,2210,1989,1690,'次',22,1,'normal','main',0),</v>
      </c>
    </row>
    <row r="28" ht="15.75" spans="1:23">
      <c r="A28">
        <v>1598</v>
      </c>
      <c r="B28" s="7" t="s">
        <v>575</v>
      </c>
      <c r="C28" s="7">
        <v>1</v>
      </c>
      <c r="D28" s="8" t="s">
        <v>576</v>
      </c>
      <c r="E28" t="s">
        <v>90</v>
      </c>
      <c r="F28" t="s">
        <v>90</v>
      </c>
      <c r="G28" t="s">
        <v>91</v>
      </c>
      <c r="H28" s="9" t="s">
        <v>575</v>
      </c>
      <c r="I28" s="9" t="s">
        <v>575</v>
      </c>
      <c r="J28">
        <v>1465</v>
      </c>
      <c r="K28">
        <v>1405</v>
      </c>
      <c r="L28">
        <v>1195</v>
      </c>
      <c r="M28" s="9" t="s">
        <v>575</v>
      </c>
      <c r="N28">
        <v>510</v>
      </c>
      <c r="O28">
        <v>459</v>
      </c>
      <c r="P28">
        <v>390</v>
      </c>
      <c r="Q28" t="s">
        <v>35</v>
      </c>
      <c r="R28">
        <v>22</v>
      </c>
      <c r="S28">
        <v>1</v>
      </c>
      <c r="T28" s="7" t="s">
        <v>577</v>
      </c>
      <c r="U28" s="7" t="s">
        <v>578</v>
      </c>
      <c r="V28" s="10">
        <v>0</v>
      </c>
      <c r="W28" s="9" t="str">
        <f>"("&amp;A28&amp;","&amp;B28&amp;","&amp;C28&amp;",'"&amp;D28&amp;"','"&amp;E28&amp;"','"&amp;F28&amp;"','"&amp;G28&amp;"',"&amp;H28&amp;","&amp;I28&amp;","&amp;J28&amp;","&amp;K28&amp;","&amp;L28&amp;","&amp;M28&amp;","&amp;N28&amp;","&amp;O28&amp;","&amp;P28&amp;",'"&amp;Q28&amp;"',"&amp;R28&amp;","&amp;S28&amp;",'"&amp;T28&amp;"','"&amp;U28&amp;"',"&amp;V28&amp;"),"</f>
        <v>(1598,null,1,'2026-03-24 00:00:00','003310080050000-33100800501','003310080050000-33100800501','小儿腹壁切口疝修补术',null,null,1465,1405,1195,null,510,459,390,'次',22,1,'normal','main',0),</v>
      </c>
    </row>
    <row r="29" ht="15.75" spans="1:23">
      <c r="A29">
        <v>1599</v>
      </c>
      <c r="B29" s="7" t="s">
        <v>575</v>
      </c>
      <c r="C29" s="7">
        <v>1</v>
      </c>
      <c r="D29" s="8" t="s">
        <v>576</v>
      </c>
      <c r="E29" t="s">
        <v>92</v>
      </c>
      <c r="F29" t="s">
        <v>92</v>
      </c>
      <c r="G29" t="s">
        <v>93</v>
      </c>
      <c r="H29" s="9" t="s">
        <v>575</v>
      </c>
      <c r="I29" s="9" t="s">
        <v>575</v>
      </c>
      <c r="J29">
        <v>2090</v>
      </c>
      <c r="K29">
        <v>2005</v>
      </c>
      <c r="L29">
        <v>1705</v>
      </c>
      <c r="M29" s="9" t="s">
        <v>575</v>
      </c>
      <c r="N29">
        <v>510</v>
      </c>
      <c r="O29">
        <v>459</v>
      </c>
      <c r="P29">
        <v>390</v>
      </c>
      <c r="Q29" t="s">
        <v>35</v>
      </c>
      <c r="R29">
        <v>22</v>
      </c>
      <c r="S29">
        <v>1</v>
      </c>
      <c r="T29" s="7" t="s">
        <v>577</v>
      </c>
      <c r="U29" s="7" t="s">
        <v>578</v>
      </c>
      <c r="V29" s="10">
        <v>0</v>
      </c>
      <c r="W29" s="9" t="str">
        <f>"("&amp;A29&amp;","&amp;B29&amp;","&amp;C29&amp;",'"&amp;D29&amp;"','"&amp;E29&amp;"','"&amp;F29&amp;"','"&amp;G29&amp;"',"&amp;H29&amp;","&amp;I29&amp;","&amp;J29&amp;","&amp;K29&amp;","&amp;L29&amp;","&amp;M29&amp;","&amp;N29&amp;","&amp;O29&amp;","&amp;P29&amp;",'"&amp;Q29&amp;"',"&amp;R29&amp;","&amp;S29&amp;",'"&amp;T29&amp;"','"&amp;U29&amp;"',"&amp;V29&amp;"),"</f>
        <v>(1599,null,1,'2026-03-24 00:00:00','003310080050000-33100800503','003310080050000-33100800503','小儿经腹腔镜腹壁切口疝修补术',null,null,2090,2005,1705,null,510,459,390,'次',22,1,'normal','main',0),</v>
      </c>
    </row>
    <row r="30" ht="15.75" spans="1:23">
      <c r="A30">
        <v>1600</v>
      </c>
      <c r="B30" s="7" t="s">
        <v>575</v>
      </c>
      <c r="C30" s="7">
        <v>1</v>
      </c>
      <c r="D30" s="8" t="s">
        <v>576</v>
      </c>
      <c r="E30" t="s">
        <v>151</v>
      </c>
      <c r="F30" t="s">
        <v>151</v>
      </c>
      <c r="G30" t="s">
        <v>152</v>
      </c>
      <c r="H30" s="9" t="s">
        <v>575</v>
      </c>
      <c r="I30" s="9" t="s">
        <v>575</v>
      </c>
      <c r="J30">
        <v>1125</v>
      </c>
      <c r="K30">
        <v>1080</v>
      </c>
      <c r="L30">
        <v>918</v>
      </c>
      <c r="M30" s="9" t="s">
        <v>575</v>
      </c>
      <c r="N30">
        <v>2150</v>
      </c>
      <c r="O30">
        <v>1930</v>
      </c>
      <c r="P30">
        <v>1640</v>
      </c>
      <c r="Q30" t="s">
        <v>98</v>
      </c>
      <c r="R30">
        <v>22</v>
      </c>
      <c r="S30">
        <v>1</v>
      </c>
      <c r="T30" s="7" t="s">
        <v>577</v>
      </c>
      <c r="U30" s="7" t="s">
        <v>578</v>
      </c>
      <c r="V30" s="10">
        <v>0</v>
      </c>
      <c r="W30" s="9" t="str">
        <f>"("&amp;A30&amp;","&amp;B30&amp;","&amp;C30&amp;",'"&amp;D30&amp;"','"&amp;E30&amp;"','"&amp;F30&amp;"','"&amp;G30&amp;"',"&amp;H30&amp;","&amp;I30&amp;","&amp;J30&amp;","&amp;K30&amp;","&amp;L30&amp;","&amp;M30&amp;","&amp;N30&amp;","&amp;O30&amp;","&amp;P30&amp;",'"&amp;Q30&amp;"',"&amp;R30&amp;","&amp;S30&amp;",'"&amp;T30&amp;"','"&amp;U30&amp;"',"&amp;V30&amp;"),"</f>
        <v>(1600,null,1,'2026-03-24 00:00:00','003310080020000-331008002','003310080020000-331008002','嵌顿疝复位修补术',null,null,1125,1080,918,null,2150,1930,1640,'单侧',22,1,'normal','main',0),</v>
      </c>
    </row>
    <row r="31" ht="15.75" spans="1:23">
      <c r="A31">
        <v>1601</v>
      </c>
      <c r="B31" s="7" t="s">
        <v>575</v>
      </c>
      <c r="C31" s="7">
        <v>1</v>
      </c>
      <c r="D31" s="8" t="s">
        <v>576</v>
      </c>
      <c r="E31" t="s">
        <v>156</v>
      </c>
      <c r="F31" t="s">
        <v>156</v>
      </c>
      <c r="G31" t="s">
        <v>157</v>
      </c>
      <c r="H31" s="9" t="s">
        <v>575</v>
      </c>
      <c r="I31" s="9" t="s">
        <v>575</v>
      </c>
      <c r="J31">
        <v>1465</v>
      </c>
      <c r="K31">
        <v>1405</v>
      </c>
      <c r="L31">
        <v>1195</v>
      </c>
      <c r="M31" s="9" t="s">
        <v>575</v>
      </c>
      <c r="N31">
        <v>2795</v>
      </c>
      <c r="O31">
        <v>2510</v>
      </c>
      <c r="P31">
        <v>2135</v>
      </c>
      <c r="Q31" t="s">
        <v>98</v>
      </c>
      <c r="R31">
        <v>22</v>
      </c>
      <c r="S31">
        <v>1</v>
      </c>
      <c r="T31" s="7" t="s">
        <v>577</v>
      </c>
      <c r="U31" s="7" t="s">
        <v>578</v>
      </c>
      <c r="V31" s="10">
        <v>0</v>
      </c>
      <c r="W31" s="9" t="str">
        <f t="shared" ref="W31:W62" si="1">"("&amp;A31&amp;","&amp;B31&amp;","&amp;C31&amp;",'"&amp;D31&amp;"','"&amp;E31&amp;"','"&amp;F31&amp;"','"&amp;G31&amp;"',"&amp;H31&amp;","&amp;I31&amp;","&amp;J31&amp;","&amp;K31&amp;","&amp;L31&amp;","&amp;M31&amp;","&amp;N31&amp;","&amp;O31&amp;","&amp;P31&amp;",'"&amp;Q31&amp;"',"&amp;R31&amp;","&amp;S31&amp;",'"&amp;T31&amp;"','"&amp;U31&amp;"',"&amp;V31&amp;"),"</f>
        <v>(1601,null,1,'2026-03-24 00:00:00','003310080020000-33100800201','003310080020000-33100800201','小儿嵌顿疝复位修补术',null,null,1465,1405,1195,null,2795,2510,2135,'单侧',22,1,'normal','main',0),</v>
      </c>
    </row>
    <row r="32" ht="15.75" spans="1:23">
      <c r="A32">
        <v>1602</v>
      </c>
      <c r="B32" s="7" t="s">
        <v>575</v>
      </c>
      <c r="C32" s="7">
        <v>1</v>
      </c>
      <c r="D32" s="8" t="s">
        <v>576</v>
      </c>
      <c r="E32" t="s">
        <v>164</v>
      </c>
      <c r="F32" t="s">
        <v>164</v>
      </c>
      <c r="G32" t="s">
        <v>165</v>
      </c>
      <c r="H32" s="9" t="s">
        <v>575</v>
      </c>
      <c r="I32" s="9" t="s">
        <v>575</v>
      </c>
      <c r="J32">
        <v>750</v>
      </c>
      <c r="K32">
        <v>720</v>
      </c>
      <c r="L32">
        <v>612</v>
      </c>
      <c r="M32" s="9" t="s">
        <v>575</v>
      </c>
      <c r="N32">
        <v>1650</v>
      </c>
      <c r="O32">
        <v>1500</v>
      </c>
      <c r="P32">
        <v>1280</v>
      </c>
      <c r="Q32" t="s">
        <v>35</v>
      </c>
      <c r="R32">
        <v>22</v>
      </c>
      <c r="S32">
        <v>1</v>
      </c>
      <c r="T32" s="7" t="s">
        <v>577</v>
      </c>
      <c r="U32" s="7" t="s">
        <v>578</v>
      </c>
      <c r="V32" s="10">
        <v>0</v>
      </c>
      <c r="W32" s="9" t="str">
        <f t="shared" si="1"/>
        <v>(1602,null,1,'2026-03-24 00:00:00','003310080070000-331008007','003310080070000-331008007','脐瘘切除+修补术',null,null,750,720,612,null,1650,1500,1280,'次',22,1,'normal','main',0),</v>
      </c>
    </row>
    <row r="33" ht="15.75" spans="1:23">
      <c r="A33">
        <v>1603</v>
      </c>
      <c r="B33" s="7" t="s">
        <v>575</v>
      </c>
      <c r="C33" s="7">
        <v>1</v>
      </c>
      <c r="D33" s="8" t="s">
        <v>576</v>
      </c>
      <c r="E33" t="s">
        <v>167</v>
      </c>
      <c r="F33" t="s">
        <v>167</v>
      </c>
      <c r="G33" t="s">
        <v>168</v>
      </c>
      <c r="H33" s="9" t="s">
        <v>575</v>
      </c>
      <c r="I33" s="9" t="s">
        <v>575</v>
      </c>
      <c r="J33">
        <v>1375</v>
      </c>
      <c r="K33">
        <v>1320</v>
      </c>
      <c r="L33">
        <v>1122</v>
      </c>
      <c r="M33" s="9" t="s">
        <v>575</v>
      </c>
      <c r="N33">
        <v>1650</v>
      </c>
      <c r="O33">
        <v>1500</v>
      </c>
      <c r="P33">
        <v>1280</v>
      </c>
      <c r="Q33" t="s">
        <v>35</v>
      </c>
      <c r="R33">
        <v>22</v>
      </c>
      <c r="S33">
        <v>1</v>
      </c>
      <c r="T33" s="7" t="s">
        <v>577</v>
      </c>
      <c r="U33" s="7" t="s">
        <v>578</v>
      </c>
      <c r="V33" s="10">
        <v>0</v>
      </c>
      <c r="W33" s="9" t="str">
        <f t="shared" si="1"/>
        <v>(1603,null,1,'2026-03-24 00:00:00','003310080200000-331008020','003310080200000-331008020','先天性脐膨出修补术',null,null,1375,1320,1122,null,1650,1500,1280,'次',22,1,'normal','main',0),</v>
      </c>
    </row>
    <row r="34" ht="15.75" spans="1:23">
      <c r="A34">
        <v>1604</v>
      </c>
      <c r="B34" s="7" t="s">
        <v>575</v>
      </c>
      <c r="C34" s="7">
        <v>1</v>
      </c>
      <c r="D34" s="8" t="s">
        <v>576</v>
      </c>
      <c r="E34" t="s">
        <v>170</v>
      </c>
      <c r="F34" t="s">
        <v>170</v>
      </c>
      <c r="G34" t="s">
        <v>171</v>
      </c>
      <c r="H34" s="9" t="s">
        <v>575</v>
      </c>
      <c r="I34" s="9" t="s">
        <v>575</v>
      </c>
      <c r="J34">
        <v>2000</v>
      </c>
      <c r="K34">
        <v>1920</v>
      </c>
      <c r="L34">
        <v>1632</v>
      </c>
      <c r="M34" s="9" t="s">
        <v>575</v>
      </c>
      <c r="N34">
        <v>1650</v>
      </c>
      <c r="O34">
        <v>1500</v>
      </c>
      <c r="P34">
        <v>1280</v>
      </c>
      <c r="Q34" t="s">
        <v>35</v>
      </c>
      <c r="R34">
        <v>22</v>
      </c>
      <c r="S34">
        <v>1</v>
      </c>
      <c r="T34" s="7" t="s">
        <v>577</v>
      </c>
      <c r="U34" s="7" t="s">
        <v>578</v>
      </c>
      <c r="V34" s="10">
        <v>0</v>
      </c>
      <c r="W34" s="9" t="str">
        <f t="shared" si="1"/>
        <v>(1604,null,1,'2026-03-24 00:00:00','003310080200000-33100802002','003310080200000-33100802002','经腹腔镜先天性脐膨出修补术',null,null,2000,1920,1632,null,1650,1500,1280,'次',22,1,'normal','main',0),</v>
      </c>
    </row>
    <row r="35" ht="15.75" spans="1:23">
      <c r="A35">
        <v>1605</v>
      </c>
      <c r="B35" s="7" t="s">
        <v>575</v>
      </c>
      <c r="C35" s="7">
        <v>1</v>
      </c>
      <c r="D35" s="8" t="s">
        <v>576</v>
      </c>
      <c r="E35" t="s">
        <v>172</v>
      </c>
      <c r="F35" t="s">
        <v>172</v>
      </c>
      <c r="G35" t="s">
        <v>173</v>
      </c>
      <c r="H35" s="9" t="s">
        <v>575</v>
      </c>
      <c r="I35" s="9" t="s">
        <v>575</v>
      </c>
      <c r="J35">
        <v>1375</v>
      </c>
      <c r="K35">
        <v>1320</v>
      </c>
      <c r="L35">
        <v>1122</v>
      </c>
      <c r="M35" s="9" t="s">
        <v>575</v>
      </c>
      <c r="N35">
        <v>1650</v>
      </c>
      <c r="O35">
        <v>1500</v>
      </c>
      <c r="P35">
        <v>1280</v>
      </c>
      <c r="Q35" t="s">
        <v>35</v>
      </c>
      <c r="R35">
        <v>22</v>
      </c>
      <c r="S35">
        <v>1</v>
      </c>
      <c r="T35" s="7" t="s">
        <v>577</v>
      </c>
      <c r="U35" s="7" t="s">
        <v>578</v>
      </c>
      <c r="V35" s="10">
        <v>0</v>
      </c>
      <c r="W35" s="9" t="str">
        <f t="shared" si="1"/>
        <v>(1605,null,1,'2026-03-24 00:00:00','003310080210000-331008021','003310080210000-331008021','先天性腹壁裂修补术',null,null,1375,1320,1122,null,1650,1500,1280,'次',22,1,'normal','main',0),</v>
      </c>
    </row>
    <row r="36" ht="15.75" spans="1:23">
      <c r="A36">
        <v>1606</v>
      </c>
      <c r="B36" s="7" t="s">
        <v>575</v>
      </c>
      <c r="C36" s="7">
        <v>1</v>
      </c>
      <c r="D36" s="8" t="s">
        <v>576</v>
      </c>
      <c r="E36" t="s">
        <v>175</v>
      </c>
      <c r="F36" t="s">
        <v>175</v>
      </c>
      <c r="G36" t="s">
        <v>176</v>
      </c>
      <c r="H36" s="9" t="s">
        <v>575</v>
      </c>
      <c r="I36" s="9" t="s">
        <v>575</v>
      </c>
      <c r="J36">
        <v>2000</v>
      </c>
      <c r="K36">
        <v>1920</v>
      </c>
      <c r="L36">
        <v>1632</v>
      </c>
      <c r="M36" s="9" t="s">
        <v>575</v>
      </c>
      <c r="N36">
        <v>1650</v>
      </c>
      <c r="O36">
        <v>1500</v>
      </c>
      <c r="P36">
        <v>1280</v>
      </c>
      <c r="Q36" t="s">
        <v>35</v>
      </c>
      <c r="R36">
        <v>22</v>
      </c>
      <c r="S36">
        <v>1</v>
      </c>
      <c r="T36" s="7" t="s">
        <v>577</v>
      </c>
      <c r="U36" s="7" t="s">
        <v>578</v>
      </c>
      <c r="V36" s="10">
        <v>0</v>
      </c>
      <c r="W36" s="9" t="str">
        <f t="shared" si="1"/>
        <v>(1606,null,1,'2026-03-24 00:00:00','003310080210000-33100802102','003310080210000-33100802102','经腹腔镜先天性腹壁裂修补术',null,null,2000,1920,1632,null,1650,1500,1280,'次',22,1,'normal','main',0),</v>
      </c>
    </row>
    <row r="37" ht="15.75" spans="1:23">
      <c r="A37">
        <v>1607</v>
      </c>
      <c r="B37" s="7" t="s">
        <v>575</v>
      </c>
      <c r="C37" s="7">
        <v>1</v>
      </c>
      <c r="D37" s="8" t="s">
        <v>576</v>
      </c>
      <c r="E37" t="s">
        <v>177</v>
      </c>
      <c r="F37" t="s">
        <v>177</v>
      </c>
      <c r="G37" t="s">
        <v>178</v>
      </c>
      <c r="H37" s="9" t="s">
        <v>575</v>
      </c>
      <c r="I37" s="9" t="s">
        <v>575</v>
      </c>
      <c r="J37">
        <v>1500</v>
      </c>
      <c r="K37">
        <v>1440</v>
      </c>
      <c r="L37">
        <v>1224</v>
      </c>
      <c r="M37" s="9" t="s">
        <v>575</v>
      </c>
      <c r="N37">
        <v>1650</v>
      </c>
      <c r="O37">
        <v>1500</v>
      </c>
      <c r="P37">
        <v>1280</v>
      </c>
      <c r="Q37" t="s">
        <v>35</v>
      </c>
      <c r="R37">
        <v>22</v>
      </c>
      <c r="S37">
        <v>1</v>
      </c>
      <c r="T37" s="7" t="s">
        <v>577</v>
      </c>
      <c r="U37" s="7" t="s">
        <v>578</v>
      </c>
      <c r="V37" s="10">
        <v>0</v>
      </c>
      <c r="W37" s="9" t="str">
        <f t="shared" si="1"/>
        <v>(1607,null,1,'2026-03-24 00:00:00','003310080220000-331008022','003310080220000-331008022','腹壁缺损修复术',null,null,1500,1440,1224,null,1650,1500,1280,'次',22,1,'normal','main',0),</v>
      </c>
    </row>
    <row r="38" ht="15.75" spans="1:23">
      <c r="A38">
        <v>1608</v>
      </c>
      <c r="B38" s="7" t="s">
        <v>575</v>
      </c>
      <c r="C38" s="7">
        <v>1</v>
      </c>
      <c r="D38" s="8" t="s">
        <v>576</v>
      </c>
      <c r="E38" t="s">
        <v>180</v>
      </c>
      <c r="F38" t="s">
        <v>180</v>
      </c>
      <c r="G38" t="s">
        <v>181</v>
      </c>
      <c r="H38" s="9" t="s">
        <v>575</v>
      </c>
      <c r="I38" s="9" t="s">
        <v>575</v>
      </c>
      <c r="J38">
        <v>2125</v>
      </c>
      <c r="K38">
        <v>2040</v>
      </c>
      <c r="L38">
        <v>1734</v>
      </c>
      <c r="M38" s="9" t="s">
        <v>575</v>
      </c>
      <c r="N38">
        <v>1650</v>
      </c>
      <c r="O38">
        <v>1500</v>
      </c>
      <c r="P38">
        <v>1280</v>
      </c>
      <c r="Q38" t="s">
        <v>35</v>
      </c>
      <c r="R38">
        <v>22</v>
      </c>
      <c r="S38">
        <v>1</v>
      </c>
      <c r="T38" s="7" t="s">
        <v>577</v>
      </c>
      <c r="U38" s="7" t="s">
        <v>578</v>
      </c>
      <c r="V38" s="10">
        <v>0</v>
      </c>
      <c r="W38" s="9" t="str">
        <f t="shared" si="1"/>
        <v>(1608,null,1,'2026-03-24 00:00:00','003310080220000-33100802202','003310080220000-33100802202','经腹腔镜腹壁缺损修复术',null,null,2125,2040,1734,null,1650,1500,1280,'次',22,1,'normal','main',0),</v>
      </c>
    </row>
    <row r="39" ht="15.75" spans="1:23">
      <c r="A39">
        <v>1609</v>
      </c>
      <c r="B39" s="7" t="s">
        <v>575</v>
      </c>
      <c r="C39" s="7">
        <v>1</v>
      </c>
      <c r="D39" s="8" t="s">
        <v>576</v>
      </c>
      <c r="E39" t="s">
        <v>184</v>
      </c>
      <c r="F39" t="s">
        <v>184</v>
      </c>
      <c r="G39" t="s">
        <v>185</v>
      </c>
      <c r="H39" s="9" t="s">
        <v>575</v>
      </c>
      <c r="I39" s="9" t="s">
        <v>575</v>
      </c>
      <c r="J39">
        <v>975</v>
      </c>
      <c r="K39">
        <v>935</v>
      </c>
      <c r="L39">
        <v>795</v>
      </c>
      <c r="M39" s="9" t="s">
        <v>575</v>
      </c>
      <c r="N39">
        <v>2145</v>
      </c>
      <c r="O39">
        <v>1950</v>
      </c>
      <c r="P39">
        <v>1665</v>
      </c>
      <c r="Q39" t="s">
        <v>35</v>
      </c>
      <c r="R39">
        <v>22</v>
      </c>
      <c r="S39">
        <v>1</v>
      </c>
      <c r="T39" s="7" t="s">
        <v>577</v>
      </c>
      <c r="U39" s="7" t="s">
        <v>578</v>
      </c>
      <c r="V39" s="10">
        <v>0</v>
      </c>
      <c r="W39" s="9" t="str">
        <f t="shared" si="1"/>
        <v>(1609,null,1,'2026-03-24 00:00:00','003310080070000-33100800701','003310080070000-33100800701','小儿脐瘘切除+修补术',null,null,975,935,795,null,2145,1950,1665,'次',22,1,'normal','main',0),</v>
      </c>
    </row>
    <row r="40" ht="15.75" spans="1:23">
      <c r="A40">
        <v>1610</v>
      </c>
      <c r="B40" s="7" t="s">
        <v>575</v>
      </c>
      <c r="C40" s="7">
        <v>1</v>
      </c>
      <c r="D40" s="8" t="s">
        <v>576</v>
      </c>
      <c r="E40" t="s">
        <v>186</v>
      </c>
      <c r="F40" t="s">
        <v>186</v>
      </c>
      <c r="G40" t="s">
        <v>187</v>
      </c>
      <c r="H40" s="9" t="s">
        <v>575</v>
      </c>
      <c r="I40" s="9" t="s">
        <v>575</v>
      </c>
      <c r="J40">
        <v>1790</v>
      </c>
      <c r="K40">
        <v>1715</v>
      </c>
      <c r="L40">
        <v>1460</v>
      </c>
      <c r="M40" s="9" t="s">
        <v>575</v>
      </c>
      <c r="N40">
        <v>2145</v>
      </c>
      <c r="O40">
        <v>1950</v>
      </c>
      <c r="P40">
        <v>1665</v>
      </c>
      <c r="Q40" t="s">
        <v>35</v>
      </c>
      <c r="R40">
        <v>22</v>
      </c>
      <c r="S40">
        <v>1</v>
      </c>
      <c r="T40" s="7" t="s">
        <v>577</v>
      </c>
      <c r="U40" s="7" t="s">
        <v>578</v>
      </c>
      <c r="V40" s="10">
        <v>0</v>
      </c>
      <c r="W40" s="9" t="str">
        <f t="shared" si="1"/>
        <v>(1610,null,1,'2026-03-24 00:00:00','003310080200000-33100802001','003310080200000-33100802001','小儿先天性脐膨出修补术',null,null,1790,1715,1460,null,2145,1950,1665,'次',22,1,'normal','main',0),</v>
      </c>
    </row>
    <row r="41" ht="15.75" spans="1:23">
      <c r="A41">
        <v>1611</v>
      </c>
      <c r="B41" s="7" t="s">
        <v>575</v>
      </c>
      <c r="C41" s="7">
        <v>1</v>
      </c>
      <c r="D41" s="8" t="s">
        <v>576</v>
      </c>
      <c r="E41" t="s">
        <v>188</v>
      </c>
      <c r="F41" t="s">
        <v>188</v>
      </c>
      <c r="G41" t="s">
        <v>189</v>
      </c>
      <c r="H41" s="9" t="s">
        <v>575</v>
      </c>
      <c r="I41" s="9" t="s">
        <v>575</v>
      </c>
      <c r="J41">
        <v>2415</v>
      </c>
      <c r="K41">
        <v>2315</v>
      </c>
      <c r="L41">
        <v>1970</v>
      </c>
      <c r="M41" s="9" t="s">
        <v>575</v>
      </c>
      <c r="N41">
        <v>2145</v>
      </c>
      <c r="O41">
        <v>1950</v>
      </c>
      <c r="P41">
        <v>1665</v>
      </c>
      <c r="Q41" t="s">
        <v>35</v>
      </c>
      <c r="R41">
        <v>22</v>
      </c>
      <c r="S41">
        <v>1</v>
      </c>
      <c r="T41" s="7" t="s">
        <v>577</v>
      </c>
      <c r="U41" s="7" t="s">
        <v>578</v>
      </c>
      <c r="V41" s="10">
        <v>0</v>
      </c>
      <c r="W41" s="9" t="str">
        <f t="shared" si="1"/>
        <v>(1611,null,1,'2026-03-24 00:00:00','003310080200000-33100802003','003310080200000-33100802003','小儿经腹腔镜先天性脐膨出修补术',null,null,2415,2315,1970,null,2145,1950,1665,'次',22,1,'normal','main',0),</v>
      </c>
    </row>
    <row r="42" ht="15.75" spans="1:23">
      <c r="A42">
        <v>1612</v>
      </c>
      <c r="B42" s="7" t="s">
        <v>575</v>
      </c>
      <c r="C42" s="7">
        <v>1</v>
      </c>
      <c r="D42" s="8" t="s">
        <v>576</v>
      </c>
      <c r="E42" t="s">
        <v>190</v>
      </c>
      <c r="F42" t="s">
        <v>190</v>
      </c>
      <c r="G42" t="s">
        <v>191</v>
      </c>
      <c r="H42" s="9" t="s">
        <v>575</v>
      </c>
      <c r="I42" s="9" t="s">
        <v>575</v>
      </c>
      <c r="J42">
        <v>1790</v>
      </c>
      <c r="K42">
        <v>1715</v>
      </c>
      <c r="L42">
        <v>1460</v>
      </c>
      <c r="M42" s="9" t="s">
        <v>575</v>
      </c>
      <c r="N42">
        <v>2145</v>
      </c>
      <c r="O42">
        <v>1950</v>
      </c>
      <c r="P42">
        <v>1665</v>
      </c>
      <c r="Q42" t="s">
        <v>35</v>
      </c>
      <c r="R42">
        <v>22</v>
      </c>
      <c r="S42">
        <v>1</v>
      </c>
      <c r="T42" s="7" t="s">
        <v>577</v>
      </c>
      <c r="U42" s="7" t="s">
        <v>578</v>
      </c>
      <c r="V42" s="10">
        <v>0</v>
      </c>
      <c r="W42" s="9" t="str">
        <f t="shared" si="1"/>
        <v>(1612,null,1,'2026-03-24 00:00:00','003310080210000-33100802101','003310080210000-33100802101','小儿先天性腹壁裂修补术',null,null,1790,1715,1460,null,2145,1950,1665,'次',22,1,'normal','main',0),</v>
      </c>
    </row>
    <row r="43" ht="15.75" spans="1:23">
      <c r="A43">
        <v>1613</v>
      </c>
      <c r="B43" s="7" t="s">
        <v>575</v>
      </c>
      <c r="C43" s="7">
        <v>1</v>
      </c>
      <c r="D43" s="8" t="s">
        <v>576</v>
      </c>
      <c r="E43" t="s">
        <v>192</v>
      </c>
      <c r="F43" t="s">
        <v>192</v>
      </c>
      <c r="G43" t="s">
        <v>193</v>
      </c>
      <c r="H43" s="9" t="s">
        <v>575</v>
      </c>
      <c r="I43" s="9" t="s">
        <v>575</v>
      </c>
      <c r="J43">
        <v>2415</v>
      </c>
      <c r="K43">
        <v>2315</v>
      </c>
      <c r="L43">
        <v>1970</v>
      </c>
      <c r="M43" s="9" t="s">
        <v>575</v>
      </c>
      <c r="N43">
        <v>2145</v>
      </c>
      <c r="O43">
        <v>1950</v>
      </c>
      <c r="P43">
        <v>1665</v>
      </c>
      <c r="Q43" t="s">
        <v>35</v>
      </c>
      <c r="R43">
        <v>22</v>
      </c>
      <c r="S43">
        <v>1</v>
      </c>
      <c r="T43" s="7" t="s">
        <v>577</v>
      </c>
      <c r="U43" s="7" t="s">
        <v>578</v>
      </c>
      <c r="V43" s="10">
        <v>0</v>
      </c>
      <c r="W43" s="9" t="str">
        <f t="shared" si="1"/>
        <v>(1613,null,1,'2026-03-24 00:00:00','003310080210000-33100802103','003310080210000-33100802103','小儿经腹腔镜先天性腹壁裂修补术',null,null,2415,2315,1970,null,2145,1950,1665,'次',22,1,'normal','main',0),</v>
      </c>
    </row>
    <row r="44" ht="15.75" spans="1:23">
      <c r="A44">
        <v>1614</v>
      </c>
      <c r="B44" s="7" t="s">
        <v>575</v>
      </c>
      <c r="C44" s="7">
        <v>1</v>
      </c>
      <c r="D44" s="8" t="s">
        <v>576</v>
      </c>
      <c r="E44" t="s">
        <v>194</v>
      </c>
      <c r="F44" t="s">
        <v>194</v>
      </c>
      <c r="G44" t="s">
        <v>195</v>
      </c>
      <c r="H44" s="9" t="s">
        <v>575</v>
      </c>
      <c r="I44" s="9" t="s">
        <v>575</v>
      </c>
      <c r="J44">
        <v>1950</v>
      </c>
      <c r="K44">
        <v>1870</v>
      </c>
      <c r="L44">
        <v>1590</v>
      </c>
      <c r="M44" s="9" t="s">
        <v>575</v>
      </c>
      <c r="N44">
        <v>2145</v>
      </c>
      <c r="O44">
        <v>1950</v>
      </c>
      <c r="P44">
        <v>1665</v>
      </c>
      <c r="Q44" t="s">
        <v>35</v>
      </c>
      <c r="R44">
        <v>22</v>
      </c>
      <c r="S44">
        <v>1</v>
      </c>
      <c r="T44" s="7" t="s">
        <v>577</v>
      </c>
      <c r="U44" s="7" t="s">
        <v>578</v>
      </c>
      <c r="V44" s="10">
        <v>0</v>
      </c>
      <c r="W44" s="9" t="str">
        <f t="shared" si="1"/>
        <v>(1614,null,1,'2026-03-24 00:00:00','003310080220000-33100802201','003310080220000-33100802201','小儿腹壁缺损修复术',null,null,1950,1870,1590,null,2145,1950,1665,'次',22,1,'normal','main',0),</v>
      </c>
    </row>
    <row r="45" ht="15.75" spans="1:23">
      <c r="A45">
        <v>1615</v>
      </c>
      <c r="B45" s="7" t="s">
        <v>575</v>
      </c>
      <c r="C45" s="7">
        <v>1</v>
      </c>
      <c r="D45" s="8" t="s">
        <v>576</v>
      </c>
      <c r="E45" t="s">
        <v>196</v>
      </c>
      <c r="F45" t="s">
        <v>196</v>
      </c>
      <c r="G45" t="s">
        <v>197</v>
      </c>
      <c r="H45" s="9" t="s">
        <v>575</v>
      </c>
      <c r="I45" s="9" t="s">
        <v>575</v>
      </c>
      <c r="J45">
        <v>2575</v>
      </c>
      <c r="K45">
        <v>2470</v>
      </c>
      <c r="L45">
        <v>2100</v>
      </c>
      <c r="M45" s="9" t="s">
        <v>575</v>
      </c>
      <c r="N45">
        <v>2145</v>
      </c>
      <c r="O45">
        <v>1950</v>
      </c>
      <c r="P45">
        <v>1665</v>
      </c>
      <c r="Q45" t="s">
        <v>35</v>
      </c>
      <c r="R45">
        <v>22</v>
      </c>
      <c r="S45">
        <v>1</v>
      </c>
      <c r="T45" s="7" t="s">
        <v>577</v>
      </c>
      <c r="U45" s="7" t="s">
        <v>578</v>
      </c>
      <c r="V45" s="10">
        <v>0</v>
      </c>
      <c r="W45" s="9" t="str">
        <f t="shared" si="1"/>
        <v>(1615,null,1,'2026-03-24 00:00:00','003310080220000-33100802203','003310080220000-33100802203','小儿经腹腔镜腹壁缺损修复术',null,null,2575,2470,2100,null,2145,1950,1665,'次',22,1,'normal','main',0),</v>
      </c>
    </row>
    <row r="46" ht="15.75" spans="1:23">
      <c r="A46">
        <v>1616</v>
      </c>
      <c r="B46" s="7" t="s">
        <v>575</v>
      </c>
      <c r="C46" s="7">
        <v>1</v>
      </c>
      <c r="D46" s="8" t="s">
        <v>576</v>
      </c>
      <c r="E46" t="s">
        <v>203</v>
      </c>
      <c r="F46" t="s">
        <v>203</v>
      </c>
      <c r="G46" t="s">
        <v>204</v>
      </c>
      <c r="H46" s="9" t="s">
        <v>575</v>
      </c>
      <c r="I46" s="9" t="s">
        <v>575</v>
      </c>
      <c r="J46">
        <v>1000</v>
      </c>
      <c r="K46">
        <v>960</v>
      </c>
      <c r="L46">
        <v>816</v>
      </c>
      <c r="M46" s="9" t="s">
        <v>575</v>
      </c>
      <c r="N46">
        <v>1000</v>
      </c>
      <c r="O46">
        <v>915</v>
      </c>
      <c r="P46">
        <v>775</v>
      </c>
      <c r="Q46" t="s">
        <v>35</v>
      </c>
      <c r="R46">
        <v>22</v>
      </c>
      <c r="S46">
        <v>1</v>
      </c>
      <c r="T46" s="7" t="s">
        <v>577</v>
      </c>
      <c r="U46" s="7" t="s">
        <v>578</v>
      </c>
      <c r="V46" s="10">
        <v>0</v>
      </c>
      <c r="W46" s="9" t="str">
        <f t="shared" si="1"/>
        <v>(1616,null,1,'2026-03-24 00:00:00','003310080090000-331008009','003310080090000-331008009','开腹腹腔内脓肿引流术',null,null,1000,960,816,null,1000,915,775,'次',22,1,'normal','main',0),</v>
      </c>
    </row>
    <row r="47" ht="15.75" spans="1:23">
      <c r="A47">
        <v>1617</v>
      </c>
      <c r="B47" s="7" t="s">
        <v>575</v>
      </c>
      <c r="C47" s="7">
        <v>1</v>
      </c>
      <c r="D47" s="8" t="s">
        <v>576</v>
      </c>
      <c r="E47" t="s">
        <v>206</v>
      </c>
      <c r="F47" t="s">
        <v>206</v>
      </c>
      <c r="G47" t="s">
        <v>207</v>
      </c>
      <c r="H47" s="9" t="s">
        <v>575</v>
      </c>
      <c r="I47" s="9" t="s">
        <v>575</v>
      </c>
      <c r="J47">
        <v>1000</v>
      </c>
      <c r="K47">
        <v>960</v>
      </c>
      <c r="L47">
        <v>816</v>
      </c>
      <c r="M47" s="9" t="s">
        <v>575</v>
      </c>
      <c r="N47">
        <v>1000</v>
      </c>
      <c r="O47">
        <v>915</v>
      </c>
      <c r="P47">
        <v>775</v>
      </c>
      <c r="Q47" t="s">
        <v>35</v>
      </c>
      <c r="R47">
        <v>22</v>
      </c>
      <c r="S47">
        <v>1</v>
      </c>
      <c r="T47" s="7" t="s">
        <v>577</v>
      </c>
      <c r="U47" s="7" t="s">
        <v>578</v>
      </c>
      <c r="V47" s="10">
        <v>0</v>
      </c>
      <c r="W47" s="9" t="str">
        <f t="shared" si="1"/>
        <v>(1617,null,1,'2026-03-24 00:00:00','003310080100000-331008010','003310080100000-331008010','腹腔包虫摘除术',null,null,1000,960,816,null,1000,915,775,'次',22,1,'normal','main',0),</v>
      </c>
    </row>
    <row r="48" ht="15.75" spans="1:23">
      <c r="A48">
        <v>1618</v>
      </c>
      <c r="B48" s="7" t="s">
        <v>575</v>
      </c>
      <c r="C48" s="7">
        <v>1</v>
      </c>
      <c r="D48" s="8" t="s">
        <v>576</v>
      </c>
      <c r="E48" t="s">
        <v>209</v>
      </c>
      <c r="F48" t="s">
        <v>209</v>
      </c>
      <c r="G48" t="s">
        <v>210</v>
      </c>
      <c r="H48" s="9" t="s">
        <v>575</v>
      </c>
      <c r="I48" s="9" t="s">
        <v>575</v>
      </c>
      <c r="J48">
        <v>1125</v>
      </c>
      <c r="K48">
        <v>1080</v>
      </c>
      <c r="L48">
        <v>918</v>
      </c>
      <c r="M48" s="9" t="s">
        <v>575</v>
      </c>
      <c r="N48">
        <v>1000</v>
      </c>
      <c r="O48">
        <v>915</v>
      </c>
      <c r="P48">
        <v>775</v>
      </c>
      <c r="Q48" t="s">
        <v>35</v>
      </c>
      <c r="R48">
        <v>22</v>
      </c>
      <c r="S48">
        <v>1</v>
      </c>
      <c r="T48" s="7" t="s">
        <v>577</v>
      </c>
      <c r="U48" s="7" t="s">
        <v>578</v>
      </c>
      <c r="V48" s="10">
        <v>0</v>
      </c>
      <c r="W48" s="9" t="str">
        <f t="shared" si="1"/>
        <v>(1618,null,1,'2026-03-24 00:00:00','003310080100001-33100801001','003310080100001-33100801001','腹腔包虫摘除术-多发包虫',null,null,1125,1080,918,null,1000,915,775,'次',22,1,'normal','main',0),</v>
      </c>
    </row>
    <row r="49" ht="15.75" spans="1:23">
      <c r="A49">
        <v>1619</v>
      </c>
      <c r="B49" s="7" t="s">
        <v>575</v>
      </c>
      <c r="C49" s="7">
        <v>1</v>
      </c>
      <c r="D49" s="8" t="s">
        <v>576</v>
      </c>
      <c r="E49" t="s">
        <v>212</v>
      </c>
      <c r="F49" t="s">
        <v>212</v>
      </c>
      <c r="G49" t="s">
        <v>213</v>
      </c>
      <c r="H49" s="9" t="s">
        <v>575</v>
      </c>
      <c r="I49" s="9" t="s">
        <v>575</v>
      </c>
      <c r="J49">
        <v>1000</v>
      </c>
      <c r="K49">
        <v>960</v>
      </c>
      <c r="L49">
        <v>816</v>
      </c>
      <c r="M49" s="9" t="s">
        <v>575</v>
      </c>
      <c r="N49">
        <v>1000</v>
      </c>
      <c r="O49">
        <v>915</v>
      </c>
      <c r="P49">
        <v>775</v>
      </c>
      <c r="Q49" t="s">
        <v>35</v>
      </c>
      <c r="R49">
        <v>22</v>
      </c>
      <c r="S49">
        <v>1</v>
      </c>
      <c r="T49" s="7" t="s">
        <v>577</v>
      </c>
      <c r="U49" s="7" t="s">
        <v>578</v>
      </c>
      <c r="V49" s="10">
        <v>0</v>
      </c>
      <c r="W49" s="9" t="str">
        <f t="shared" si="1"/>
        <v>(1619,null,1,'2026-03-24 00:00:00','003310080110000-331008011','003310080110000-331008011','腹腔窦道扩创术',null,null,1000,960,816,null,1000,915,775,'次',22,1,'normal','main',0),</v>
      </c>
    </row>
    <row r="50" ht="15.75" spans="1:23">
      <c r="A50">
        <v>1620</v>
      </c>
      <c r="B50" s="7" t="s">
        <v>575</v>
      </c>
      <c r="C50" s="7">
        <v>1</v>
      </c>
      <c r="D50" s="8" t="s">
        <v>576</v>
      </c>
      <c r="E50" t="s">
        <v>215</v>
      </c>
      <c r="F50" t="s">
        <v>215</v>
      </c>
      <c r="G50" t="s">
        <v>216</v>
      </c>
      <c r="H50" s="9" t="s">
        <v>575</v>
      </c>
      <c r="I50" s="9" t="s">
        <v>575</v>
      </c>
      <c r="J50">
        <v>875</v>
      </c>
      <c r="K50">
        <v>840</v>
      </c>
      <c r="L50">
        <v>714</v>
      </c>
      <c r="M50" s="9" t="s">
        <v>575</v>
      </c>
      <c r="N50">
        <v>1000</v>
      </c>
      <c r="O50">
        <v>915</v>
      </c>
      <c r="P50">
        <v>775</v>
      </c>
      <c r="Q50" t="s">
        <v>35</v>
      </c>
      <c r="R50">
        <v>22</v>
      </c>
      <c r="S50">
        <v>1</v>
      </c>
      <c r="T50" s="7" t="s">
        <v>577</v>
      </c>
      <c r="U50" s="7" t="s">
        <v>578</v>
      </c>
      <c r="V50" s="10">
        <v>0</v>
      </c>
      <c r="W50" s="9" t="str">
        <f t="shared" si="1"/>
        <v>(1620,null,1,'2026-03-24 00:00:00','003310080170000-331008017','003310080170000-331008017','腹壁肿瘤切除术',null,null,875,840,714,null,1000,915,775,'次',22,1,'normal','main',0),</v>
      </c>
    </row>
    <row r="51" ht="15.75" spans="1:23">
      <c r="A51">
        <v>1621</v>
      </c>
      <c r="B51" s="7" t="s">
        <v>575</v>
      </c>
      <c r="C51" s="7">
        <v>1</v>
      </c>
      <c r="D51" s="8" t="s">
        <v>576</v>
      </c>
      <c r="E51" t="s">
        <v>219</v>
      </c>
      <c r="F51" t="s">
        <v>219</v>
      </c>
      <c r="G51" t="s">
        <v>220</v>
      </c>
      <c r="H51" s="9" t="s">
        <v>575</v>
      </c>
      <c r="I51" s="9" t="s">
        <v>575</v>
      </c>
      <c r="J51">
        <v>1050</v>
      </c>
      <c r="K51">
        <v>1008</v>
      </c>
      <c r="L51">
        <v>856.8</v>
      </c>
      <c r="M51" s="9" t="s">
        <v>575</v>
      </c>
      <c r="N51">
        <v>1000</v>
      </c>
      <c r="O51">
        <v>915</v>
      </c>
      <c r="P51">
        <v>775</v>
      </c>
      <c r="Q51" t="s">
        <v>35</v>
      </c>
      <c r="R51">
        <v>22</v>
      </c>
      <c r="S51">
        <v>1</v>
      </c>
      <c r="T51" s="7" t="s">
        <v>577</v>
      </c>
      <c r="U51" s="7" t="s">
        <v>578</v>
      </c>
      <c r="V51" s="10">
        <v>0</v>
      </c>
      <c r="W51" s="9" t="str">
        <f t="shared" si="1"/>
        <v>(1621,null,1,'2026-03-24 00:00:00','003310080170001-33100801701','003310080170001-33100801701','腹壁肿瘤切除术（超过5cm直径）',null,null,1050,1008,856.8,null,1000,915,775,'次',22,1,'normal','main',0),</v>
      </c>
    </row>
    <row r="52" ht="15.75" spans="1:23">
      <c r="A52">
        <v>1622</v>
      </c>
      <c r="B52" s="7" t="s">
        <v>575</v>
      </c>
      <c r="C52" s="7">
        <v>1</v>
      </c>
      <c r="D52" s="8" t="s">
        <v>576</v>
      </c>
      <c r="E52" t="s">
        <v>224</v>
      </c>
      <c r="F52" t="s">
        <v>224</v>
      </c>
      <c r="G52" t="s">
        <v>225</v>
      </c>
      <c r="H52" s="9" t="s">
        <v>575</v>
      </c>
      <c r="I52" s="9" t="s">
        <v>575</v>
      </c>
      <c r="J52">
        <v>1300</v>
      </c>
      <c r="K52">
        <v>1250</v>
      </c>
      <c r="L52">
        <v>1065</v>
      </c>
      <c r="M52" s="9" t="s">
        <v>575</v>
      </c>
      <c r="N52">
        <v>1300</v>
      </c>
      <c r="O52">
        <v>1190</v>
      </c>
      <c r="P52">
        <v>1010</v>
      </c>
      <c r="Q52" t="s">
        <v>35</v>
      </c>
      <c r="R52">
        <v>22</v>
      </c>
      <c r="S52">
        <v>1</v>
      </c>
      <c r="T52" s="7" t="s">
        <v>577</v>
      </c>
      <c r="U52" s="7" t="s">
        <v>578</v>
      </c>
      <c r="V52" s="10">
        <v>0</v>
      </c>
      <c r="W52" s="9" t="str">
        <f t="shared" si="1"/>
        <v>(1622,null,1,'2026-03-24 00:00:00','003310080090000-33100800901','003310080090000-33100800901','小儿开腹腹腔内脓肿引流术',null,null,1300,1250,1065,null,1300,1190,1010,'次',22,1,'normal','main',0),</v>
      </c>
    </row>
    <row r="53" ht="15.75" spans="1:23">
      <c r="A53">
        <v>1623</v>
      </c>
      <c r="B53" s="7" t="s">
        <v>575</v>
      </c>
      <c r="C53" s="7">
        <v>1</v>
      </c>
      <c r="D53" s="8" t="s">
        <v>576</v>
      </c>
      <c r="E53" t="s">
        <v>226</v>
      </c>
      <c r="F53" t="s">
        <v>226</v>
      </c>
      <c r="G53" t="s">
        <v>227</v>
      </c>
      <c r="H53" s="9" t="s">
        <v>575</v>
      </c>
      <c r="I53" s="9" t="s">
        <v>575</v>
      </c>
      <c r="J53">
        <v>1300</v>
      </c>
      <c r="K53">
        <v>1250</v>
      </c>
      <c r="L53">
        <v>1065</v>
      </c>
      <c r="M53" s="9" t="s">
        <v>575</v>
      </c>
      <c r="N53">
        <v>1300</v>
      </c>
      <c r="O53">
        <v>1190</v>
      </c>
      <c r="P53">
        <v>1010</v>
      </c>
      <c r="Q53" t="s">
        <v>35</v>
      </c>
      <c r="R53">
        <v>22</v>
      </c>
      <c r="S53">
        <v>1</v>
      </c>
      <c r="T53" s="7" t="s">
        <v>577</v>
      </c>
      <c r="U53" s="7" t="s">
        <v>578</v>
      </c>
      <c r="V53" s="10">
        <v>0</v>
      </c>
      <c r="W53" s="9" t="str">
        <f t="shared" si="1"/>
        <v>(1623,null,1,'2026-03-24 00:00:00','003310080100000-33100801002','003310080100000-33100801002','小儿腹腔包虫摘除术',null,null,1300,1250,1065,null,1300,1190,1010,'次',22,1,'normal','main',0),</v>
      </c>
    </row>
    <row r="54" ht="15.75" spans="1:23">
      <c r="A54">
        <v>1624</v>
      </c>
      <c r="B54" s="7" t="s">
        <v>575</v>
      </c>
      <c r="C54" s="7">
        <v>1</v>
      </c>
      <c r="D54" s="8" t="s">
        <v>576</v>
      </c>
      <c r="E54" t="s">
        <v>228</v>
      </c>
      <c r="F54" t="s">
        <v>228</v>
      </c>
      <c r="G54" t="s">
        <v>229</v>
      </c>
      <c r="H54" s="9" t="s">
        <v>575</v>
      </c>
      <c r="I54" s="9" t="s">
        <v>575</v>
      </c>
      <c r="J54">
        <v>1465</v>
      </c>
      <c r="K54">
        <v>1405</v>
      </c>
      <c r="L54">
        <v>1195</v>
      </c>
      <c r="M54" s="9" t="s">
        <v>575</v>
      </c>
      <c r="N54">
        <v>1300</v>
      </c>
      <c r="O54">
        <v>1190</v>
      </c>
      <c r="P54">
        <v>1010</v>
      </c>
      <c r="Q54" t="s">
        <v>35</v>
      </c>
      <c r="R54">
        <v>22</v>
      </c>
      <c r="S54">
        <v>1</v>
      </c>
      <c r="T54" s="7" t="s">
        <v>577</v>
      </c>
      <c r="U54" s="7" t="s">
        <v>578</v>
      </c>
      <c r="V54" s="10">
        <v>0</v>
      </c>
      <c r="W54" s="9" t="str">
        <f t="shared" si="1"/>
        <v>(1624,null,1,'2026-03-24 00:00:00','003310080100001-33100801003','003310080100001-33100801003','小儿腹腔包虫摘除术-多发包虫',null,null,1465,1405,1195,null,1300,1190,1010,'次',22,1,'normal','main',0),</v>
      </c>
    </row>
    <row r="55" ht="15.75" spans="1:23">
      <c r="A55">
        <v>1625</v>
      </c>
      <c r="B55" s="7" t="s">
        <v>575</v>
      </c>
      <c r="C55" s="7">
        <v>1</v>
      </c>
      <c r="D55" s="8" t="s">
        <v>576</v>
      </c>
      <c r="E55" t="s">
        <v>230</v>
      </c>
      <c r="F55" t="s">
        <v>230</v>
      </c>
      <c r="G55" t="s">
        <v>231</v>
      </c>
      <c r="H55" s="9" t="s">
        <v>575</v>
      </c>
      <c r="I55" s="9" t="s">
        <v>575</v>
      </c>
      <c r="J55">
        <v>1300</v>
      </c>
      <c r="K55">
        <v>1250</v>
      </c>
      <c r="L55">
        <v>1065</v>
      </c>
      <c r="M55" s="9" t="s">
        <v>575</v>
      </c>
      <c r="N55">
        <v>1300</v>
      </c>
      <c r="O55">
        <v>1190</v>
      </c>
      <c r="P55">
        <v>1010</v>
      </c>
      <c r="Q55" t="s">
        <v>35</v>
      </c>
      <c r="R55">
        <v>22</v>
      </c>
      <c r="S55">
        <v>1</v>
      </c>
      <c r="T55" s="7" t="s">
        <v>577</v>
      </c>
      <c r="U55" s="7" t="s">
        <v>578</v>
      </c>
      <c r="V55" s="10">
        <v>0</v>
      </c>
      <c r="W55" s="9" t="str">
        <f t="shared" si="1"/>
        <v>(1625,null,1,'2026-03-24 00:00:00','003310080110000-33100801101','003310080110000-33100801101','小儿腹腔窦道扩创术',null,null,1300,1250,1065,null,1300,1190,1010,'次',22,1,'normal','main',0),</v>
      </c>
    </row>
    <row r="56" ht="15.75" spans="1:23">
      <c r="A56">
        <v>1626</v>
      </c>
      <c r="B56" s="7" t="s">
        <v>575</v>
      </c>
      <c r="C56" s="7">
        <v>1</v>
      </c>
      <c r="D56" s="8" t="s">
        <v>576</v>
      </c>
      <c r="E56" t="s">
        <v>232</v>
      </c>
      <c r="F56" t="s">
        <v>232</v>
      </c>
      <c r="G56" t="s">
        <v>233</v>
      </c>
      <c r="H56" s="9" t="s">
        <v>575</v>
      </c>
      <c r="I56" s="9" t="s">
        <v>575</v>
      </c>
      <c r="J56">
        <v>1140</v>
      </c>
      <c r="K56">
        <v>1090</v>
      </c>
      <c r="L56">
        <v>925</v>
      </c>
      <c r="M56" s="9" t="s">
        <v>575</v>
      </c>
      <c r="N56">
        <v>1300</v>
      </c>
      <c r="O56">
        <v>1190</v>
      </c>
      <c r="P56">
        <v>1010</v>
      </c>
      <c r="Q56" t="s">
        <v>35</v>
      </c>
      <c r="R56">
        <v>22</v>
      </c>
      <c r="S56">
        <v>1</v>
      </c>
      <c r="T56" s="7" t="s">
        <v>577</v>
      </c>
      <c r="U56" s="7" t="s">
        <v>578</v>
      </c>
      <c r="V56" s="10">
        <v>0</v>
      </c>
      <c r="W56" s="9" t="str">
        <f t="shared" si="1"/>
        <v>(1626,null,1,'2026-03-24 00:00:00','003310080170000-33100801702','003310080170000-33100801702','小儿腹壁肿瘤切除术',null,null,1140,1090,925,null,1300,1190,1010,'次',22,1,'normal','main',0),</v>
      </c>
    </row>
    <row r="57" ht="15.75" spans="1:23">
      <c r="A57">
        <v>1627</v>
      </c>
      <c r="B57" s="7" t="s">
        <v>575</v>
      </c>
      <c r="C57" s="7">
        <v>1</v>
      </c>
      <c r="D57" s="8" t="s">
        <v>576</v>
      </c>
      <c r="E57" t="s">
        <v>234</v>
      </c>
      <c r="F57" t="s">
        <v>234</v>
      </c>
      <c r="G57" t="s">
        <v>235</v>
      </c>
      <c r="H57" s="9" t="s">
        <v>575</v>
      </c>
      <c r="I57" s="9" t="s">
        <v>575</v>
      </c>
      <c r="J57">
        <v>1365</v>
      </c>
      <c r="K57">
        <v>1310</v>
      </c>
      <c r="L57">
        <v>1115</v>
      </c>
      <c r="M57" s="9" t="s">
        <v>575</v>
      </c>
      <c r="N57">
        <v>1300</v>
      </c>
      <c r="O57">
        <v>1190</v>
      </c>
      <c r="P57">
        <v>1010</v>
      </c>
      <c r="Q57" t="s">
        <v>35</v>
      </c>
      <c r="R57">
        <v>22</v>
      </c>
      <c r="S57">
        <v>1</v>
      </c>
      <c r="T57" s="7" t="s">
        <v>577</v>
      </c>
      <c r="U57" s="7" t="s">
        <v>578</v>
      </c>
      <c r="V57" s="10">
        <v>0</v>
      </c>
      <c r="W57" s="9" t="str">
        <f t="shared" si="1"/>
        <v>(1627,null,1,'2026-03-24 00:00:00','003310080170001-33100801703','003310080170001-33100801703','小儿腹壁肿瘤切除术（超过5cm直径）',null,null,1365,1310,1115,null,1300,1190,1010,'次',22,1,'normal','main',0),</v>
      </c>
    </row>
    <row r="58" ht="15.75" spans="1:23">
      <c r="A58">
        <v>1628</v>
      </c>
      <c r="B58" s="7" t="s">
        <v>575</v>
      </c>
      <c r="C58" s="7">
        <v>1</v>
      </c>
      <c r="D58" s="8" t="s">
        <v>576</v>
      </c>
      <c r="E58" t="s">
        <v>246</v>
      </c>
      <c r="F58" t="s">
        <v>246</v>
      </c>
      <c r="G58" t="s">
        <v>247</v>
      </c>
      <c r="H58" s="9" t="s">
        <v>575</v>
      </c>
      <c r="I58" s="9" t="s">
        <v>575</v>
      </c>
      <c r="J58">
        <v>1250</v>
      </c>
      <c r="K58">
        <v>1200</v>
      </c>
      <c r="L58">
        <v>1020</v>
      </c>
      <c r="M58" s="9" t="s">
        <v>575</v>
      </c>
      <c r="N58">
        <v>1700</v>
      </c>
      <c r="O58">
        <v>1530</v>
      </c>
      <c r="P58">
        <v>1300</v>
      </c>
      <c r="Q58" t="s">
        <v>35</v>
      </c>
      <c r="R58">
        <v>22</v>
      </c>
      <c r="S58">
        <v>1</v>
      </c>
      <c r="T58" s="7" t="s">
        <v>577</v>
      </c>
      <c r="U58" s="7" t="s">
        <v>578</v>
      </c>
      <c r="V58" s="10">
        <v>0</v>
      </c>
      <c r="W58" s="9" t="str">
        <f t="shared" si="1"/>
        <v>(1628,null,1,'2026-03-24 00:00:00','003310080120000-331008012','003310080120000-331008012','腹腔内肿物切除术',null,null,1250,1200,1020,null,1700,1530,1300,'次',22,1,'normal','main',0),</v>
      </c>
    </row>
    <row r="59" ht="15.75" spans="1:23">
      <c r="A59">
        <v>1629</v>
      </c>
      <c r="B59" s="7" t="s">
        <v>575</v>
      </c>
      <c r="C59" s="7">
        <v>1</v>
      </c>
      <c r="D59" s="8" t="s">
        <v>576</v>
      </c>
      <c r="E59" t="s">
        <v>249</v>
      </c>
      <c r="F59" t="s">
        <v>249</v>
      </c>
      <c r="G59" t="s">
        <v>250</v>
      </c>
      <c r="H59" s="9" t="s">
        <v>575</v>
      </c>
      <c r="I59" s="9" t="s">
        <v>575</v>
      </c>
      <c r="J59">
        <v>1875</v>
      </c>
      <c r="K59">
        <v>1800</v>
      </c>
      <c r="L59">
        <v>1530</v>
      </c>
      <c r="M59" s="9" t="s">
        <v>575</v>
      </c>
      <c r="N59">
        <v>1700</v>
      </c>
      <c r="O59">
        <v>1530</v>
      </c>
      <c r="P59">
        <v>1300</v>
      </c>
      <c r="Q59" t="s">
        <v>35</v>
      </c>
      <c r="R59">
        <v>22</v>
      </c>
      <c r="S59">
        <v>1</v>
      </c>
      <c r="T59" s="7" t="s">
        <v>577</v>
      </c>
      <c r="U59" s="7" t="s">
        <v>578</v>
      </c>
      <c r="V59" s="10">
        <v>0</v>
      </c>
      <c r="W59" s="9" t="str">
        <f t="shared" si="1"/>
        <v>(1629,null,1,'2026-03-24 00:00:00','003310080120001-33100801202','003310080120001-33100801202','经腹腔镜腹腔内肿物切除术',null,null,1875,1800,1530,null,1700,1530,1300,'次',22,1,'normal','main',0),</v>
      </c>
    </row>
    <row r="60" ht="15.75" spans="1:23">
      <c r="A60">
        <v>1630</v>
      </c>
      <c r="B60" s="7" t="s">
        <v>575</v>
      </c>
      <c r="C60" s="7">
        <v>1</v>
      </c>
      <c r="D60" s="8" t="s">
        <v>576</v>
      </c>
      <c r="E60" t="s">
        <v>253</v>
      </c>
      <c r="F60" t="s">
        <v>253</v>
      </c>
      <c r="G60" t="s">
        <v>254</v>
      </c>
      <c r="H60" s="9" t="s">
        <v>575</v>
      </c>
      <c r="I60" s="9" t="s">
        <v>575</v>
      </c>
      <c r="J60">
        <v>1625</v>
      </c>
      <c r="K60">
        <v>1560</v>
      </c>
      <c r="L60">
        <v>1325</v>
      </c>
      <c r="M60" s="9" t="s">
        <v>575</v>
      </c>
      <c r="N60">
        <v>2210</v>
      </c>
      <c r="O60">
        <v>1990</v>
      </c>
      <c r="P60">
        <v>1690</v>
      </c>
      <c r="Q60" t="s">
        <v>35</v>
      </c>
      <c r="R60">
        <v>22</v>
      </c>
      <c r="S60">
        <v>1</v>
      </c>
      <c r="T60" s="7" t="s">
        <v>577</v>
      </c>
      <c r="U60" s="7" t="s">
        <v>578</v>
      </c>
      <c r="V60" s="10">
        <v>0</v>
      </c>
      <c r="W60" s="9" t="str">
        <f t="shared" si="1"/>
        <v>(1630,null,1,'2026-03-24 00:00:00','003310080120000-33100801201','003310080120000-33100801201','小儿腹腔内肿物切除术',null,null,1625,1560,1325,null,2210,1990,1690,'次',22,1,'normal','main',0),</v>
      </c>
    </row>
    <row r="61" ht="15.75" spans="1:23">
      <c r="A61">
        <v>1631</v>
      </c>
      <c r="B61" s="7" t="s">
        <v>575</v>
      </c>
      <c r="C61" s="7">
        <v>1</v>
      </c>
      <c r="D61" s="8" t="s">
        <v>576</v>
      </c>
      <c r="E61" t="s">
        <v>255</v>
      </c>
      <c r="F61" t="s">
        <v>255</v>
      </c>
      <c r="G61" t="s">
        <v>256</v>
      </c>
      <c r="H61" s="9" t="s">
        <v>575</v>
      </c>
      <c r="I61" s="9" t="s">
        <v>575</v>
      </c>
      <c r="J61">
        <v>2250</v>
      </c>
      <c r="K61">
        <v>2160</v>
      </c>
      <c r="L61">
        <v>1835</v>
      </c>
      <c r="M61" s="9" t="s">
        <v>575</v>
      </c>
      <c r="N61">
        <v>2210</v>
      </c>
      <c r="O61">
        <v>1990</v>
      </c>
      <c r="P61">
        <v>1690</v>
      </c>
      <c r="Q61" t="s">
        <v>35</v>
      </c>
      <c r="R61">
        <v>22</v>
      </c>
      <c r="S61">
        <v>1</v>
      </c>
      <c r="T61" s="7" t="s">
        <v>577</v>
      </c>
      <c r="U61" s="7" t="s">
        <v>578</v>
      </c>
      <c r="V61" s="10">
        <v>0</v>
      </c>
      <c r="W61" s="9" t="str">
        <f t="shared" si="1"/>
        <v>(1631,null,1,'2026-03-24 00:00:00','003310080120001-33100801203','003310080120001-33100801203','小儿经腹腔镜腹腔内肿物切除术',null,null,2250,2160,1835,null,2210,1990,1690,'次',22,1,'normal','main',0),</v>
      </c>
    </row>
    <row r="62" ht="15.75" spans="1:23">
      <c r="A62">
        <v>1632</v>
      </c>
      <c r="B62" s="7" t="s">
        <v>575</v>
      </c>
      <c r="C62" s="7">
        <v>1</v>
      </c>
      <c r="D62" s="8" t="s">
        <v>576</v>
      </c>
      <c r="E62" t="s">
        <v>266</v>
      </c>
      <c r="F62" t="s">
        <v>266</v>
      </c>
      <c r="G62" t="s">
        <v>267</v>
      </c>
      <c r="H62" s="9" t="s">
        <v>575</v>
      </c>
      <c r="I62" s="9" t="s">
        <v>575</v>
      </c>
      <c r="J62">
        <v>330</v>
      </c>
      <c r="K62">
        <v>300</v>
      </c>
      <c r="L62">
        <v>255</v>
      </c>
      <c r="M62" s="9" t="s">
        <v>575</v>
      </c>
      <c r="N62">
        <v>300</v>
      </c>
      <c r="O62">
        <v>270</v>
      </c>
      <c r="P62">
        <v>230</v>
      </c>
      <c r="Q62" t="s">
        <v>35</v>
      </c>
      <c r="R62">
        <v>22</v>
      </c>
      <c r="S62">
        <v>1</v>
      </c>
      <c r="T62" s="7" t="s">
        <v>577</v>
      </c>
      <c r="U62" s="7" t="s">
        <v>578</v>
      </c>
      <c r="V62" s="10">
        <v>0</v>
      </c>
      <c r="W62" s="9" t="str">
        <f t="shared" si="1"/>
        <v>(1632,null,1,'2026-03-24 00:00:00','003112010640000-311201064','003112010640000-311201064','乳管镜检查',null,null,330,300,255,null,300,270,230,'次',22,1,'normal','main',0),</v>
      </c>
    </row>
    <row r="63" ht="15.75" spans="1:23">
      <c r="A63">
        <v>1633</v>
      </c>
      <c r="B63" s="7" t="s">
        <v>575</v>
      </c>
      <c r="C63" s="7">
        <v>1</v>
      </c>
      <c r="D63" s="8" t="s">
        <v>576</v>
      </c>
      <c r="E63" t="s">
        <v>270</v>
      </c>
      <c r="F63" t="s">
        <v>270</v>
      </c>
      <c r="G63" t="s">
        <v>271</v>
      </c>
      <c r="H63" s="9" t="s">
        <v>575</v>
      </c>
      <c r="I63" s="9" t="s">
        <v>575</v>
      </c>
      <c r="J63">
        <v>495</v>
      </c>
      <c r="K63">
        <v>450</v>
      </c>
      <c r="L63">
        <v>382.5</v>
      </c>
      <c r="M63" s="9" t="s">
        <v>575</v>
      </c>
      <c r="N63">
        <v>600</v>
      </c>
      <c r="O63">
        <v>540</v>
      </c>
      <c r="P63">
        <v>460</v>
      </c>
      <c r="Q63" t="s">
        <v>35</v>
      </c>
      <c r="R63">
        <v>22</v>
      </c>
      <c r="S63">
        <v>1</v>
      </c>
      <c r="T63" s="7" t="s">
        <v>577</v>
      </c>
      <c r="U63" s="7" t="s">
        <v>578</v>
      </c>
      <c r="V63" s="10">
        <v>0</v>
      </c>
      <c r="W63" s="9" t="str">
        <f>"("&amp;A63&amp;","&amp;B63&amp;","&amp;C63&amp;",'"&amp;D63&amp;"','"&amp;E63&amp;"','"&amp;F63&amp;"','"&amp;G63&amp;"',"&amp;H63&amp;","&amp;I63&amp;","&amp;J63&amp;","&amp;K63&amp;","&amp;L63&amp;","&amp;M63&amp;","&amp;N63&amp;","&amp;O63&amp;","&amp;P63&amp;",'"&amp;Q63&amp;"',"&amp;R63&amp;","&amp;S63&amp;",'"&amp;T63&amp;"','"&amp;U63&amp;"',"&amp;V63&amp;"),"</f>
        <v>(1633,null,1,'2026-03-24 00:00:00','003112010640000-31120106401','003112010640000-31120106401','乳管镜检查（双侧）',null,null,495,450,382.5,null,600,540,460,'次',22,1,'normal','main',0),</v>
      </c>
    </row>
    <row r="64" ht="15.75" spans="1:23">
      <c r="A64">
        <v>1634</v>
      </c>
      <c r="B64" s="7" t="s">
        <v>575</v>
      </c>
      <c r="C64" s="7">
        <v>1</v>
      </c>
      <c r="D64" s="8" t="s">
        <v>576</v>
      </c>
      <c r="E64" t="s">
        <v>277</v>
      </c>
      <c r="F64" t="s">
        <v>277</v>
      </c>
      <c r="G64" t="s">
        <v>278</v>
      </c>
      <c r="H64" s="9" t="s">
        <v>575</v>
      </c>
      <c r="I64" s="9" t="s">
        <v>575</v>
      </c>
      <c r="J64">
        <v>55</v>
      </c>
      <c r="K64">
        <v>50</v>
      </c>
      <c r="L64">
        <v>42.5</v>
      </c>
      <c r="M64" s="9" t="s">
        <v>575</v>
      </c>
      <c r="N64">
        <v>50</v>
      </c>
      <c r="O64">
        <v>45</v>
      </c>
      <c r="P64">
        <v>38</v>
      </c>
      <c r="Q64" t="s">
        <v>35</v>
      </c>
      <c r="R64">
        <v>22</v>
      </c>
      <c r="S64">
        <v>1</v>
      </c>
      <c r="T64" s="7" t="s">
        <v>577</v>
      </c>
      <c r="U64" s="7" t="s">
        <v>578</v>
      </c>
      <c r="V64" s="10">
        <v>0</v>
      </c>
      <c r="W64" s="9" t="str">
        <f>"("&amp;A64&amp;","&amp;B64&amp;","&amp;C64&amp;",'"&amp;D64&amp;"','"&amp;E64&amp;"','"&amp;F64&amp;"','"&amp;G64&amp;"',"&amp;H64&amp;","&amp;I64&amp;","&amp;J64&amp;","&amp;K64&amp;","&amp;L64&amp;","&amp;M64&amp;","&amp;N64&amp;","&amp;O64&amp;","&amp;P64&amp;",'"&amp;Q64&amp;"',"&amp;R64&amp;","&amp;S64&amp;",'"&amp;T64&amp;"','"&amp;U64&amp;"',"&amp;V64&amp;"),"</f>
        <v>(1634,null,1,'2026-03-24 00:00:00','003112010640000-31120106402','003112010640000-31120106402','乳管镜检查（同时治疗单侧加收）',null,null,55,50,42.5,null,50,45,38,'次',22,1,'normal','main',0),</v>
      </c>
    </row>
    <row r="65" ht="15.75" spans="1:23">
      <c r="A65">
        <v>1635</v>
      </c>
      <c r="B65" s="7" t="s">
        <v>575</v>
      </c>
      <c r="C65" s="7">
        <v>1</v>
      </c>
      <c r="D65" s="8" t="s">
        <v>576</v>
      </c>
      <c r="E65" t="s">
        <v>285</v>
      </c>
      <c r="F65" t="s">
        <v>285</v>
      </c>
      <c r="G65" t="s">
        <v>286</v>
      </c>
      <c r="H65" s="9" t="s">
        <v>575</v>
      </c>
      <c r="I65" s="9" t="s">
        <v>575</v>
      </c>
      <c r="J65">
        <v>500</v>
      </c>
      <c r="K65">
        <v>480</v>
      </c>
      <c r="L65">
        <v>408</v>
      </c>
      <c r="M65" s="9" t="s">
        <v>575</v>
      </c>
      <c r="N65">
        <v>600</v>
      </c>
      <c r="O65">
        <v>550</v>
      </c>
      <c r="P65">
        <v>460</v>
      </c>
      <c r="Q65" t="s">
        <v>98</v>
      </c>
      <c r="R65">
        <v>22</v>
      </c>
      <c r="S65">
        <v>1</v>
      </c>
      <c r="T65" s="7" t="s">
        <v>577</v>
      </c>
      <c r="U65" s="7" t="s">
        <v>578</v>
      </c>
      <c r="V65" s="10">
        <v>0</v>
      </c>
      <c r="W65" s="9" t="str">
        <f>"("&amp;A65&amp;","&amp;B65&amp;","&amp;C65&amp;",'"&amp;D65&amp;"','"&amp;E65&amp;"','"&amp;F65&amp;"','"&amp;G65&amp;"',"&amp;H65&amp;","&amp;I65&amp;","&amp;J65&amp;","&amp;K65&amp;","&amp;L65&amp;","&amp;M65&amp;","&amp;N65&amp;","&amp;O65&amp;","&amp;P65&amp;",'"&amp;Q65&amp;"',"&amp;R65&amp;","&amp;S65&amp;",'"&amp;T65&amp;"','"&amp;U65&amp;"',"&amp;V65&amp;"),"</f>
        <v>(1635,null,1,'2026-03-24 00:00:00','003316010020000-331601002','003316010020000-331601002','乳腺肿物切除术',null,null,500,480,408,null,600,550,460,'单侧',22,1,'normal','main',0),</v>
      </c>
    </row>
    <row r="66" ht="15.75" spans="1:23">
      <c r="A66">
        <v>1636</v>
      </c>
      <c r="B66" s="7" t="s">
        <v>575</v>
      </c>
      <c r="C66" s="7">
        <v>1</v>
      </c>
      <c r="D66" s="8" t="s">
        <v>576</v>
      </c>
      <c r="E66" t="s">
        <v>290</v>
      </c>
      <c r="F66" t="s">
        <v>290</v>
      </c>
      <c r="G66" t="s">
        <v>291</v>
      </c>
      <c r="H66" s="9" t="s">
        <v>575</v>
      </c>
      <c r="I66" s="9" t="s">
        <v>575</v>
      </c>
      <c r="J66">
        <v>125</v>
      </c>
      <c r="K66">
        <v>120</v>
      </c>
      <c r="L66">
        <v>102</v>
      </c>
      <c r="M66" s="9" t="s">
        <v>575</v>
      </c>
      <c r="N66">
        <v>0</v>
      </c>
      <c r="O66">
        <v>0</v>
      </c>
      <c r="P66">
        <v>0</v>
      </c>
      <c r="Q66" t="s">
        <v>98</v>
      </c>
      <c r="R66">
        <v>22</v>
      </c>
      <c r="S66">
        <v>1</v>
      </c>
      <c r="T66" s="7" t="s">
        <v>577</v>
      </c>
      <c r="U66" s="7" t="s">
        <v>578</v>
      </c>
      <c r="V66" s="10">
        <v>0</v>
      </c>
      <c r="W66" s="9" t="str">
        <f>"("&amp;A66&amp;","&amp;B66&amp;","&amp;C66&amp;",'"&amp;D66&amp;"','"&amp;E66&amp;"','"&amp;F66&amp;"','"&amp;G66&amp;"',"&amp;H66&amp;","&amp;I66&amp;","&amp;J66&amp;","&amp;K66&amp;","&amp;L66&amp;","&amp;M66&amp;","&amp;N66&amp;","&amp;O66&amp;","&amp;P66&amp;",'"&amp;Q66&amp;"',"&amp;R66&amp;","&amp;S66&amp;",'"&amp;T66&amp;"','"&amp;U66&amp;"',"&amp;V66&amp;"),"</f>
        <v>(1636,null,1,'2026-03-24 00:00:00','003316010020000-33160100202','003316010020000-33160100202','乳腺肿物切除术（微创术加收）',null,null,125,120,102,null,0,0,0,'单侧',22,1,'normal','main',0),</v>
      </c>
    </row>
    <row r="67" ht="15.75" spans="1:23">
      <c r="A67">
        <v>1637</v>
      </c>
      <c r="B67" s="7" t="s">
        <v>575</v>
      </c>
      <c r="C67" s="7">
        <v>1</v>
      </c>
      <c r="D67" s="8" t="s">
        <v>576</v>
      </c>
      <c r="E67" t="s">
        <v>295</v>
      </c>
      <c r="F67" t="s">
        <v>295</v>
      </c>
      <c r="G67" t="s">
        <v>296</v>
      </c>
      <c r="H67" s="9" t="s">
        <v>575</v>
      </c>
      <c r="I67" s="9" t="s">
        <v>575</v>
      </c>
      <c r="J67">
        <v>650</v>
      </c>
      <c r="K67">
        <v>625</v>
      </c>
      <c r="L67">
        <v>530</v>
      </c>
      <c r="M67" s="9" t="s">
        <v>575</v>
      </c>
      <c r="N67">
        <v>780</v>
      </c>
      <c r="O67">
        <v>715</v>
      </c>
      <c r="P67">
        <v>600</v>
      </c>
      <c r="Q67" t="s">
        <v>98</v>
      </c>
      <c r="R67">
        <v>22</v>
      </c>
      <c r="S67">
        <v>1</v>
      </c>
      <c r="T67" s="7" t="s">
        <v>577</v>
      </c>
      <c r="U67" s="7" t="s">
        <v>578</v>
      </c>
      <c r="V67" s="10">
        <v>0</v>
      </c>
      <c r="W67" s="9" t="str">
        <f>"("&amp;A67&amp;","&amp;B67&amp;","&amp;C67&amp;",'"&amp;D67&amp;"','"&amp;E67&amp;"','"&amp;F67&amp;"','"&amp;G67&amp;"',"&amp;H67&amp;","&amp;I67&amp;","&amp;J67&amp;","&amp;K67&amp;","&amp;L67&amp;","&amp;M67&amp;","&amp;N67&amp;","&amp;O67&amp;","&amp;P67&amp;",'"&amp;Q67&amp;"',"&amp;R67&amp;","&amp;S67&amp;",'"&amp;T67&amp;"','"&amp;U67&amp;"',"&amp;V67&amp;"),"</f>
        <v>(1637,null,1,'2026-03-24 00:00:00','003316010020000-33160100203','003316010020000-33160100203','小儿乳腺肿物切除术',null,null,650,625,530,null,780,715,600,'单侧',22,1,'normal','main',0),</v>
      </c>
    </row>
    <row r="68" ht="15.75" spans="1:23">
      <c r="A68">
        <v>1638</v>
      </c>
      <c r="B68" s="7" t="s">
        <v>575</v>
      </c>
      <c r="C68" s="7">
        <v>1</v>
      </c>
      <c r="D68" s="8" t="s">
        <v>576</v>
      </c>
      <c r="E68" t="s">
        <v>297</v>
      </c>
      <c r="F68" t="s">
        <v>297</v>
      </c>
      <c r="G68" t="s">
        <v>298</v>
      </c>
      <c r="H68" s="9" t="s">
        <v>575</v>
      </c>
      <c r="I68" s="9" t="s">
        <v>575</v>
      </c>
      <c r="J68">
        <v>165</v>
      </c>
      <c r="K68">
        <v>155</v>
      </c>
      <c r="L68">
        <v>130</v>
      </c>
      <c r="M68" s="9" t="s">
        <v>575</v>
      </c>
      <c r="N68">
        <v>0</v>
      </c>
      <c r="O68">
        <v>0</v>
      </c>
      <c r="P68">
        <v>0</v>
      </c>
      <c r="Q68" t="s">
        <v>98</v>
      </c>
      <c r="R68">
        <v>22</v>
      </c>
      <c r="S68">
        <v>1</v>
      </c>
      <c r="T68" s="7" t="s">
        <v>577</v>
      </c>
      <c r="U68" s="7" t="s">
        <v>578</v>
      </c>
      <c r="V68" s="10">
        <v>0</v>
      </c>
      <c r="W68" s="9" t="str">
        <f>"("&amp;A68&amp;","&amp;B68&amp;","&amp;C68&amp;",'"&amp;D68&amp;"','"&amp;E68&amp;"','"&amp;F68&amp;"','"&amp;G68&amp;"',"&amp;H68&amp;","&amp;I68&amp;","&amp;J68&amp;","&amp;K68&amp;","&amp;L68&amp;","&amp;M68&amp;","&amp;N68&amp;","&amp;O68&amp;","&amp;P68&amp;",'"&amp;Q68&amp;"',"&amp;R68&amp;","&amp;S68&amp;",'"&amp;T68&amp;"','"&amp;U68&amp;"',"&amp;V68&amp;"),"</f>
        <v>(1638,null,1,'2026-03-24 00:00:00','003316010020000-33160100205','003316010020000-33160100205','小儿乳腺肿物切除术（微创术加收）',null,null,165,155,130,null,0,0,0,'单侧',22,1,'normal','main',0),</v>
      </c>
    </row>
    <row r="69" ht="15.75" spans="1:23">
      <c r="A69">
        <v>1640</v>
      </c>
      <c r="B69" s="7" t="s">
        <v>575</v>
      </c>
      <c r="C69" s="7">
        <v>1</v>
      </c>
      <c r="D69" s="8" t="s">
        <v>576</v>
      </c>
      <c r="E69" t="s">
        <v>305</v>
      </c>
      <c r="F69" t="s">
        <v>305</v>
      </c>
      <c r="G69" t="s">
        <v>306</v>
      </c>
      <c r="H69" s="9" t="s">
        <v>575</v>
      </c>
      <c r="I69" s="9" t="s">
        <v>575</v>
      </c>
      <c r="J69">
        <v>250</v>
      </c>
      <c r="K69">
        <v>240</v>
      </c>
      <c r="L69">
        <v>204</v>
      </c>
      <c r="M69" s="9" t="s">
        <v>575</v>
      </c>
      <c r="N69">
        <v>0</v>
      </c>
      <c r="O69">
        <v>0</v>
      </c>
      <c r="P69">
        <v>0</v>
      </c>
      <c r="Q69" t="s">
        <v>98</v>
      </c>
      <c r="R69">
        <v>22</v>
      </c>
      <c r="S69">
        <v>1</v>
      </c>
      <c r="T69" s="7" t="s">
        <v>577</v>
      </c>
      <c r="U69" s="7" t="s">
        <v>578</v>
      </c>
      <c r="V69" s="10">
        <v>0</v>
      </c>
      <c r="W69" s="9" t="str">
        <f>"("&amp;A69&amp;","&amp;B69&amp;","&amp;C69&amp;",'"&amp;D69&amp;"','"&amp;E69&amp;"','"&amp;F69&amp;"','"&amp;G69&amp;"',"&amp;H69&amp;","&amp;I69&amp;","&amp;J69&amp;","&amp;K69&amp;","&amp;L69&amp;","&amp;M69&amp;","&amp;N69&amp;","&amp;O69&amp;","&amp;P69&amp;",'"&amp;Q69&amp;"',"&amp;R69&amp;","&amp;S69&amp;",'"&amp;T69&amp;"','"&amp;U69&amp;"',"&amp;V69&amp;"),"</f>
        <v>(1640,null,1,'2026-03-24 00:00:00','003316010020400-33160100201','003316010020400-33160100201','乳腺肿物切除术（象限切除加收）',null,null,250,240,204,null,0,0,0,'单侧',22,1,'normal','main',0),</v>
      </c>
    </row>
    <row r="70" ht="15.75" spans="1:23">
      <c r="A70">
        <v>1643</v>
      </c>
      <c r="B70" s="7" t="s">
        <v>575</v>
      </c>
      <c r="C70" s="7">
        <v>1</v>
      </c>
      <c r="D70" s="8" t="s">
        <v>576</v>
      </c>
      <c r="E70" t="s">
        <v>310</v>
      </c>
      <c r="F70" t="s">
        <v>310</v>
      </c>
      <c r="G70" t="s">
        <v>311</v>
      </c>
      <c r="H70" s="9" t="s">
        <v>575</v>
      </c>
      <c r="I70" s="9" t="s">
        <v>575</v>
      </c>
      <c r="J70">
        <v>325</v>
      </c>
      <c r="K70">
        <v>310</v>
      </c>
      <c r="L70">
        <v>265</v>
      </c>
      <c r="M70" s="9" t="s">
        <v>575</v>
      </c>
      <c r="N70">
        <v>0</v>
      </c>
      <c r="O70">
        <v>0</v>
      </c>
      <c r="P70">
        <v>0</v>
      </c>
      <c r="Q70" t="s">
        <v>98</v>
      </c>
      <c r="R70">
        <v>22</v>
      </c>
      <c r="S70">
        <v>1</v>
      </c>
      <c r="T70" s="7" t="s">
        <v>577</v>
      </c>
      <c r="U70" s="7" t="s">
        <v>578</v>
      </c>
      <c r="V70" s="10">
        <v>0</v>
      </c>
      <c r="W70" s="9" t="str">
        <f>"("&amp;A70&amp;","&amp;B70&amp;","&amp;C70&amp;",'"&amp;D70&amp;"','"&amp;E70&amp;"','"&amp;F70&amp;"','"&amp;G70&amp;"',"&amp;H70&amp;","&amp;I70&amp;","&amp;J70&amp;","&amp;K70&amp;","&amp;L70&amp;","&amp;M70&amp;","&amp;N70&amp;","&amp;O70&amp;","&amp;P70&amp;",'"&amp;Q70&amp;"',"&amp;R70&amp;","&amp;S70&amp;",'"&amp;T70&amp;"','"&amp;U70&amp;"',"&amp;V70&amp;"),"</f>
        <v>(1643,null,1,'2026-03-24 00:00:00','003316010020400-33160100204','003316010020400-33160100204','小儿乳腺肿物切除术（象限切除加收）',null,null,325,310,265,null,0,0,0,'单侧',22,1,'normal','main',0),</v>
      </c>
    </row>
    <row r="71" ht="15.75" spans="1:23">
      <c r="A71">
        <v>1645</v>
      </c>
      <c r="B71" s="7" t="s">
        <v>575</v>
      </c>
      <c r="C71" s="7">
        <v>1</v>
      </c>
      <c r="D71" s="8" t="s">
        <v>576</v>
      </c>
      <c r="E71" t="s">
        <v>319</v>
      </c>
      <c r="F71" t="s">
        <v>319</v>
      </c>
      <c r="G71" t="s">
        <v>320</v>
      </c>
      <c r="H71" s="9" t="s">
        <v>575</v>
      </c>
      <c r="I71" s="9" t="s">
        <v>575</v>
      </c>
      <c r="J71">
        <v>875</v>
      </c>
      <c r="K71">
        <v>840</v>
      </c>
      <c r="L71">
        <v>714</v>
      </c>
      <c r="M71" s="9" t="s">
        <v>575</v>
      </c>
      <c r="N71">
        <v>2395</v>
      </c>
      <c r="O71">
        <v>2155</v>
      </c>
      <c r="P71">
        <v>1845</v>
      </c>
      <c r="Q71" t="s">
        <v>98</v>
      </c>
      <c r="R71">
        <v>22</v>
      </c>
      <c r="S71">
        <v>1</v>
      </c>
      <c r="T71" s="7" t="s">
        <v>577</v>
      </c>
      <c r="U71" s="7" t="s">
        <v>578</v>
      </c>
      <c r="V71" s="10">
        <v>0</v>
      </c>
      <c r="W71" s="9" t="str">
        <f t="shared" ref="W71:W90" si="2">"("&amp;A71&amp;","&amp;B71&amp;","&amp;C71&amp;",'"&amp;D71&amp;"','"&amp;E71&amp;"','"&amp;F71&amp;"','"&amp;G71&amp;"',"&amp;H71&amp;","&amp;I71&amp;","&amp;J71&amp;","&amp;K71&amp;","&amp;L71&amp;","&amp;M71&amp;","&amp;N71&amp;","&amp;O71&amp;","&amp;P71&amp;",'"&amp;Q71&amp;"',"&amp;R71&amp;","&amp;S71&amp;",'"&amp;T71&amp;"','"&amp;U71&amp;"',"&amp;V71&amp;"),"</f>
        <v>(1645,null,1,'2026-03-24 00:00:00','003316010040000-331601004','003316010040000-331601004','单纯乳房切除术',null,null,875,840,714,null,2395,2155,1845,'单侧',22,1,'normal','main',0),</v>
      </c>
    </row>
    <row r="72" ht="15.75" spans="1:23">
      <c r="A72">
        <v>1646</v>
      </c>
      <c r="B72" s="7" t="s">
        <v>575</v>
      </c>
      <c r="C72" s="7">
        <v>1</v>
      </c>
      <c r="D72" s="8" t="s">
        <v>576</v>
      </c>
      <c r="E72" t="s">
        <v>321</v>
      </c>
      <c r="F72" t="s">
        <v>321</v>
      </c>
      <c r="G72" t="s">
        <v>322</v>
      </c>
      <c r="H72" s="9" t="s">
        <v>575</v>
      </c>
      <c r="I72" s="9" t="s">
        <v>575</v>
      </c>
      <c r="J72">
        <v>2530</v>
      </c>
      <c r="K72">
        <v>2280</v>
      </c>
      <c r="L72">
        <v>1940</v>
      </c>
      <c r="M72" s="9" t="s">
        <v>575</v>
      </c>
      <c r="N72">
        <v>2395</v>
      </c>
      <c r="O72">
        <v>2155</v>
      </c>
      <c r="P72">
        <v>1845</v>
      </c>
      <c r="Q72" t="s">
        <v>98</v>
      </c>
      <c r="R72">
        <v>22</v>
      </c>
      <c r="S72">
        <v>1</v>
      </c>
      <c r="T72" s="7" t="s">
        <v>577</v>
      </c>
      <c r="U72" s="7" t="s">
        <v>578</v>
      </c>
      <c r="V72" s="10">
        <v>0</v>
      </c>
      <c r="W72" s="9" t="str">
        <f t="shared" si="2"/>
        <v>(1646,null,1,'2026-03-24 00:00:00','003316010050000-331601005','003316010050000-331601005','乳腺癌根治术',null,null,2530,2280,1940,null,2395,2155,1845,'单侧',22,1,'normal','main',0),</v>
      </c>
    </row>
    <row r="73" ht="15.75" spans="1:23">
      <c r="A73">
        <v>1647</v>
      </c>
      <c r="B73" s="7" t="s">
        <v>575</v>
      </c>
      <c r="C73" s="7">
        <v>1</v>
      </c>
      <c r="D73" s="8" t="s">
        <v>576</v>
      </c>
      <c r="E73" t="s">
        <v>327</v>
      </c>
      <c r="F73" t="s">
        <v>327</v>
      </c>
      <c r="G73" t="s">
        <v>328</v>
      </c>
      <c r="H73" s="9" t="s">
        <v>575</v>
      </c>
      <c r="I73" s="9" t="s">
        <v>575</v>
      </c>
      <c r="J73">
        <v>430</v>
      </c>
      <c r="K73">
        <v>385</v>
      </c>
      <c r="L73">
        <v>330</v>
      </c>
      <c r="M73" s="9" t="s">
        <v>575</v>
      </c>
      <c r="N73">
        <v>2395</v>
      </c>
      <c r="O73">
        <v>2155</v>
      </c>
      <c r="P73">
        <v>1845</v>
      </c>
      <c r="Q73" t="s">
        <v>98</v>
      </c>
      <c r="R73">
        <v>22</v>
      </c>
      <c r="S73">
        <v>1</v>
      </c>
      <c r="T73" s="7" t="s">
        <v>577</v>
      </c>
      <c r="U73" s="7" t="s">
        <v>578</v>
      </c>
      <c r="V73" s="10">
        <v>0</v>
      </c>
      <c r="W73" s="9" t="str">
        <f t="shared" si="2"/>
        <v>(1647,null,1,'2026-03-24 00:00:00','003316010050001-33160100502','003316010050001-33160100502','乳腺癌根治术-植皮术加收',null,null,430,385,330,null,2395,2155,1845,'单侧',22,1,'normal','main',0),</v>
      </c>
    </row>
    <row r="74" ht="15.75" spans="1:23">
      <c r="A74">
        <v>1648</v>
      </c>
      <c r="B74" s="7" t="s">
        <v>575</v>
      </c>
      <c r="C74" s="7">
        <v>1</v>
      </c>
      <c r="D74" s="8" t="s">
        <v>576</v>
      </c>
      <c r="E74" t="s">
        <v>331</v>
      </c>
      <c r="F74" t="s">
        <v>331</v>
      </c>
      <c r="G74" t="s">
        <v>332</v>
      </c>
      <c r="H74" s="9" t="s">
        <v>575</v>
      </c>
      <c r="I74" s="9" t="s">
        <v>575</v>
      </c>
      <c r="J74">
        <v>1140</v>
      </c>
      <c r="K74">
        <v>1090</v>
      </c>
      <c r="L74">
        <v>925</v>
      </c>
      <c r="M74" s="9" t="s">
        <v>575</v>
      </c>
      <c r="N74">
        <v>2015</v>
      </c>
      <c r="O74">
        <v>1815</v>
      </c>
      <c r="P74">
        <v>1560</v>
      </c>
      <c r="Q74" t="s">
        <v>98</v>
      </c>
      <c r="R74">
        <v>22</v>
      </c>
      <c r="S74">
        <v>1</v>
      </c>
      <c r="T74" s="7" t="s">
        <v>577</v>
      </c>
      <c r="U74" s="7" t="s">
        <v>578</v>
      </c>
      <c r="V74" s="10">
        <v>0</v>
      </c>
      <c r="W74" s="9" t="str">
        <f t="shared" si="2"/>
        <v>(1648,null,1,'2026-03-24 00:00:00','003316010040000-33160100401','003316010040000-33160100401','小儿单纯乳房切除术',null,null,1140,1090,925,null,2015,1815,1560,'单侧',22,1,'normal','main',0),</v>
      </c>
    </row>
    <row r="75" ht="15.75" spans="1:23">
      <c r="A75">
        <v>1649</v>
      </c>
      <c r="B75" s="7" t="s">
        <v>575</v>
      </c>
      <c r="C75" s="7">
        <v>1</v>
      </c>
      <c r="D75" s="8" t="s">
        <v>576</v>
      </c>
      <c r="E75" t="s">
        <v>333</v>
      </c>
      <c r="F75" t="s">
        <v>333</v>
      </c>
      <c r="G75" t="s">
        <v>334</v>
      </c>
      <c r="H75" s="9" t="s">
        <v>575</v>
      </c>
      <c r="I75" s="9" t="s">
        <v>575</v>
      </c>
      <c r="J75">
        <v>3290</v>
      </c>
      <c r="K75">
        <v>2965</v>
      </c>
      <c r="L75">
        <v>2520</v>
      </c>
      <c r="M75" s="9" t="s">
        <v>575</v>
      </c>
      <c r="N75">
        <v>2015</v>
      </c>
      <c r="O75">
        <v>1815</v>
      </c>
      <c r="P75">
        <v>1560</v>
      </c>
      <c r="Q75" t="s">
        <v>98</v>
      </c>
      <c r="R75">
        <v>22</v>
      </c>
      <c r="S75">
        <v>1</v>
      </c>
      <c r="T75" s="7" t="s">
        <v>577</v>
      </c>
      <c r="U75" s="7" t="s">
        <v>578</v>
      </c>
      <c r="V75" s="10">
        <v>0</v>
      </c>
      <c r="W75" s="9" t="str">
        <f t="shared" si="2"/>
        <v>(1649,null,1,'2026-03-24 00:00:00','003316010050000-33160100503','003316010050000-33160100503','小儿乳腺癌根治术',null,null,3290,2965,2520,null,2015,1815,1560,'单侧',22,1,'normal','main',0),</v>
      </c>
    </row>
    <row r="76" ht="15.75" spans="1:23">
      <c r="A76">
        <v>1650</v>
      </c>
      <c r="B76" s="7" t="s">
        <v>575</v>
      </c>
      <c r="C76" s="7">
        <v>1</v>
      </c>
      <c r="D76" s="8" t="s">
        <v>576</v>
      </c>
      <c r="E76" t="s">
        <v>336</v>
      </c>
      <c r="F76" t="s">
        <v>336</v>
      </c>
      <c r="G76" t="s">
        <v>337</v>
      </c>
      <c r="H76" s="9" t="s">
        <v>575</v>
      </c>
      <c r="I76" s="9" t="s">
        <v>575</v>
      </c>
      <c r="J76">
        <v>560</v>
      </c>
      <c r="K76">
        <v>500</v>
      </c>
      <c r="L76">
        <v>425</v>
      </c>
      <c r="M76" s="9" t="s">
        <v>575</v>
      </c>
      <c r="N76">
        <v>2015</v>
      </c>
      <c r="O76">
        <v>1815</v>
      </c>
      <c r="P76">
        <v>1560</v>
      </c>
      <c r="Q76" t="s">
        <v>98</v>
      </c>
      <c r="R76">
        <v>22</v>
      </c>
      <c r="S76">
        <v>1</v>
      </c>
      <c r="T76" s="7" t="s">
        <v>577</v>
      </c>
      <c r="U76" s="7" t="s">
        <v>578</v>
      </c>
      <c r="V76" s="10">
        <v>0</v>
      </c>
      <c r="W76" s="9" t="str">
        <f t="shared" si="2"/>
        <v>(1650,null,1,'2026-03-24 00:00:00','003316010050001-33160100505','003316010050001-33160100505','小儿乳腺癌根治术-植皮术加收',null,null,560,500,425,null,2015,1815,1560,'单侧',22,1,'normal','main',0),</v>
      </c>
    </row>
    <row r="77" ht="15.75" spans="1:23">
      <c r="A77">
        <v>1651</v>
      </c>
      <c r="B77" s="7" t="s">
        <v>575</v>
      </c>
      <c r="C77" s="7">
        <v>1</v>
      </c>
      <c r="D77" s="8" t="s">
        <v>576</v>
      </c>
      <c r="E77" t="s">
        <v>342</v>
      </c>
      <c r="F77" t="s">
        <v>342</v>
      </c>
      <c r="G77" t="s">
        <v>343</v>
      </c>
      <c r="H77" s="9" t="s">
        <v>575</v>
      </c>
      <c r="I77" s="9" t="s">
        <v>575</v>
      </c>
      <c r="J77">
        <v>3380</v>
      </c>
      <c r="K77">
        <v>3040</v>
      </c>
      <c r="L77">
        <v>2580</v>
      </c>
      <c r="M77" s="9" t="s">
        <v>575</v>
      </c>
      <c r="N77">
        <v>2860</v>
      </c>
      <c r="O77">
        <v>2575</v>
      </c>
      <c r="P77">
        <v>2205</v>
      </c>
      <c r="Q77" t="s">
        <v>98</v>
      </c>
      <c r="R77">
        <v>22</v>
      </c>
      <c r="S77">
        <v>1</v>
      </c>
      <c r="T77" s="7" t="s">
        <v>577</v>
      </c>
      <c r="U77" s="7" t="s">
        <v>578</v>
      </c>
      <c r="V77" s="10">
        <v>0</v>
      </c>
      <c r="W77" s="9" t="str">
        <f t="shared" si="2"/>
        <v>(1651,null,1,'2026-03-24 00:00:00','003316010060000-331601006','003316010060000-331601006','乳腺癌扩大根治术',null,null,3380,3040,2580,null,2860,2575,2205,'单侧',22,1,'normal','main',0),</v>
      </c>
    </row>
    <row r="78" ht="15.75" spans="1:23">
      <c r="A78">
        <v>1652</v>
      </c>
      <c r="B78" s="7" t="s">
        <v>575</v>
      </c>
      <c r="C78" s="7">
        <v>1</v>
      </c>
      <c r="D78" s="8" t="s">
        <v>576</v>
      </c>
      <c r="E78" t="s">
        <v>345</v>
      </c>
      <c r="F78" t="s">
        <v>345</v>
      </c>
      <c r="G78" t="s">
        <v>346</v>
      </c>
      <c r="H78" s="9" t="s">
        <v>575</v>
      </c>
      <c r="I78" s="9" t="s">
        <v>575</v>
      </c>
      <c r="J78">
        <v>4395</v>
      </c>
      <c r="K78">
        <v>3950</v>
      </c>
      <c r="L78">
        <v>3360</v>
      </c>
      <c r="M78" s="9" t="s">
        <v>575</v>
      </c>
      <c r="N78">
        <v>2860</v>
      </c>
      <c r="O78">
        <v>2575</v>
      </c>
      <c r="P78">
        <v>2205</v>
      </c>
      <c r="Q78" t="s">
        <v>98</v>
      </c>
      <c r="R78">
        <v>22</v>
      </c>
      <c r="S78">
        <v>1</v>
      </c>
      <c r="T78" s="7" t="s">
        <v>577</v>
      </c>
      <c r="U78" s="7" t="s">
        <v>578</v>
      </c>
      <c r="V78" s="10">
        <v>0</v>
      </c>
      <c r="W78" s="9" t="str">
        <f t="shared" si="2"/>
        <v>(1652,null,1,'2026-03-24 00:00:00','003316010060000-33160100601','003316010060000-33160100601','小儿乳腺癌扩大根治术',null,null,4395,3950,3360,null,2860,2575,2205,'单侧',22,1,'normal','main',0),</v>
      </c>
    </row>
    <row r="79" ht="15.75" spans="1:23">
      <c r="A79">
        <v>1653</v>
      </c>
      <c r="B79" s="7" t="s">
        <v>575</v>
      </c>
      <c r="C79" s="7">
        <v>1</v>
      </c>
      <c r="D79" s="8" t="s">
        <v>576</v>
      </c>
      <c r="E79" t="s">
        <v>349</v>
      </c>
      <c r="F79" t="s">
        <v>349</v>
      </c>
      <c r="G79" t="s">
        <v>350</v>
      </c>
      <c r="H79" s="9" t="s">
        <v>575</v>
      </c>
      <c r="I79" s="9" t="s">
        <v>575</v>
      </c>
      <c r="J79">
        <v>430</v>
      </c>
      <c r="K79">
        <v>385</v>
      </c>
      <c r="L79">
        <v>330</v>
      </c>
      <c r="M79" s="9" t="s">
        <v>575</v>
      </c>
      <c r="N79">
        <v>465</v>
      </c>
      <c r="O79">
        <v>420</v>
      </c>
      <c r="P79">
        <v>360</v>
      </c>
      <c r="Q79" t="s">
        <v>98</v>
      </c>
      <c r="R79">
        <v>22</v>
      </c>
      <c r="S79">
        <v>1</v>
      </c>
      <c r="T79" s="7" t="s">
        <v>577</v>
      </c>
      <c r="U79" s="7" t="s">
        <v>578</v>
      </c>
      <c r="V79" s="10">
        <v>0</v>
      </c>
      <c r="W79" s="9" t="str">
        <f t="shared" si="2"/>
        <v>(1653,null,1,'2026-03-24 00:00:00','003316010050100-33160100501','003316010050100-33160100501','乳腺癌根治术-改良根治（保乳改良根治）加收',null,null,430,385,330,null,465,420,360,'单侧',22,1,'normal','main',0),</v>
      </c>
    </row>
    <row r="80" ht="15.75" spans="1:23">
      <c r="A80">
        <v>1654</v>
      </c>
      <c r="B80" s="7" t="s">
        <v>575</v>
      </c>
      <c r="C80" s="7">
        <v>1</v>
      </c>
      <c r="D80" s="8" t="s">
        <v>576</v>
      </c>
      <c r="E80" t="s">
        <v>351</v>
      </c>
      <c r="F80" t="s">
        <v>351</v>
      </c>
      <c r="G80" t="s">
        <v>352</v>
      </c>
      <c r="H80" s="9" t="s">
        <v>575</v>
      </c>
      <c r="I80" s="9" t="s">
        <v>575</v>
      </c>
      <c r="J80">
        <v>560</v>
      </c>
      <c r="K80">
        <v>500</v>
      </c>
      <c r="L80">
        <v>425</v>
      </c>
      <c r="M80" s="9" t="s">
        <v>575</v>
      </c>
      <c r="N80">
        <v>465</v>
      </c>
      <c r="O80">
        <v>420</v>
      </c>
      <c r="P80">
        <v>360</v>
      </c>
      <c r="Q80" t="s">
        <v>98</v>
      </c>
      <c r="R80">
        <v>22</v>
      </c>
      <c r="S80">
        <v>1</v>
      </c>
      <c r="T80" s="7" t="s">
        <v>577</v>
      </c>
      <c r="U80" s="7" t="s">
        <v>578</v>
      </c>
      <c r="V80" s="10">
        <v>0</v>
      </c>
      <c r="W80" s="9" t="str">
        <f t="shared" si="2"/>
        <v>(1654,null,1,'2026-03-24 00:00:00','003316010050100-33160100504','003316010050100-33160100504','小儿乳腺癌根治术-改良根治（保乳改良根治）加收',null,null,560,500,425,null,465,420,360,'单侧',22,1,'normal','main',0),</v>
      </c>
    </row>
    <row r="81" ht="15.75" spans="1:23">
      <c r="A81">
        <v>1655</v>
      </c>
      <c r="B81" s="7" t="s">
        <v>575</v>
      </c>
      <c r="C81" s="7">
        <v>1</v>
      </c>
      <c r="D81" s="8" t="s">
        <v>576</v>
      </c>
      <c r="E81" t="s">
        <v>359</v>
      </c>
      <c r="F81" t="s">
        <v>359</v>
      </c>
      <c r="G81" t="s">
        <v>360</v>
      </c>
      <c r="H81" s="9" t="s">
        <v>575</v>
      </c>
      <c r="I81" s="9" t="s">
        <v>575</v>
      </c>
      <c r="J81">
        <v>500</v>
      </c>
      <c r="K81">
        <v>480</v>
      </c>
      <c r="L81">
        <v>408</v>
      </c>
      <c r="M81" s="9" t="s">
        <v>575</v>
      </c>
      <c r="N81">
        <v>500</v>
      </c>
      <c r="O81">
        <v>450</v>
      </c>
      <c r="P81">
        <v>390</v>
      </c>
      <c r="Q81" t="s">
        <v>98</v>
      </c>
      <c r="R81">
        <v>22</v>
      </c>
      <c r="S81">
        <v>1</v>
      </c>
      <c r="T81" s="7" t="s">
        <v>577</v>
      </c>
      <c r="U81" s="7" t="s">
        <v>578</v>
      </c>
      <c r="V81" s="10">
        <v>0</v>
      </c>
      <c r="W81" s="9" t="str">
        <f t="shared" si="2"/>
        <v>(1655,null,1,'2026-03-24 00:00:00','003316010030000-331601003','003316010030000-331601003','副乳切除术',null,null,500,480,408,null,500,450,390,'单侧',22,1,'normal','main',0),</v>
      </c>
    </row>
    <row r="82" ht="15.75" spans="1:23">
      <c r="A82">
        <v>1656</v>
      </c>
      <c r="B82" s="7" t="s">
        <v>575</v>
      </c>
      <c r="C82" s="7">
        <v>1</v>
      </c>
      <c r="D82" s="8" t="s">
        <v>576</v>
      </c>
      <c r="E82" t="s">
        <v>363</v>
      </c>
      <c r="F82" t="s">
        <v>363</v>
      </c>
      <c r="G82" t="s">
        <v>364</v>
      </c>
      <c r="H82" s="9" t="s">
        <v>575</v>
      </c>
      <c r="I82" s="9" t="s">
        <v>575</v>
      </c>
      <c r="J82">
        <v>650</v>
      </c>
      <c r="K82">
        <v>625</v>
      </c>
      <c r="L82">
        <v>530</v>
      </c>
      <c r="M82" s="9" t="s">
        <v>575</v>
      </c>
      <c r="N82">
        <v>650</v>
      </c>
      <c r="O82">
        <v>585</v>
      </c>
      <c r="P82">
        <v>505</v>
      </c>
      <c r="Q82" t="s">
        <v>98</v>
      </c>
      <c r="R82">
        <v>22</v>
      </c>
      <c r="S82">
        <v>1</v>
      </c>
      <c r="T82" s="7" t="s">
        <v>577</v>
      </c>
      <c r="U82" s="7" t="s">
        <v>578</v>
      </c>
      <c r="V82" s="10">
        <v>0</v>
      </c>
      <c r="W82" s="9" t="str">
        <f t="shared" si="2"/>
        <v>(1656,null,1,'2026-03-24 00:00:00','003316010030000-33160100301','003316010030000-33160100301','小儿副乳切除术',null,null,650,625,530,null,650,585,505,'单侧',22,1,'normal','main',0),</v>
      </c>
    </row>
    <row r="83" ht="15.75" spans="1:23">
      <c r="A83">
        <v>1657</v>
      </c>
      <c r="B83" s="7" t="s">
        <v>575</v>
      </c>
      <c r="C83" s="7">
        <v>1</v>
      </c>
      <c r="D83" s="8" t="s">
        <v>576</v>
      </c>
      <c r="E83" t="s">
        <v>378</v>
      </c>
      <c r="F83" t="s">
        <v>378</v>
      </c>
      <c r="G83" t="s">
        <v>379</v>
      </c>
      <c r="H83" s="9" t="s">
        <v>575</v>
      </c>
      <c r="I83" s="9" t="s">
        <v>575</v>
      </c>
      <c r="J83">
        <v>225</v>
      </c>
      <c r="K83">
        <v>216</v>
      </c>
      <c r="L83">
        <v>183.6</v>
      </c>
      <c r="M83" s="9" t="s">
        <v>575</v>
      </c>
      <c r="N83">
        <v>225</v>
      </c>
      <c r="O83">
        <v>203</v>
      </c>
      <c r="P83">
        <v>175</v>
      </c>
      <c r="Q83" t="s">
        <v>35</v>
      </c>
      <c r="R83">
        <v>22</v>
      </c>
      <c r="S83">
        <v>1</v>
      </c>
      <c r="T83" s="7" t="s">
        <v>577</v>
      </c>
      <c r="U83" s="7" t="s">
        <v>578</v>
      </c>
      <c r="V83" s="10">
        <v>0</v>
      </c>
      <c r="W83" s="9" t="str">
        <f t="shared" si="2"/>
        <v>(1657,null,1,'2026-03-24 00:00:00','003316010010001-33160100101','003316010010001-33160100101','乳腺肿物穿刺术（乳腺立体定位）',null,null,225,216,183.6,null,225,203,175,'次',22,1,'normal','main',0),</v>
      </c>
    </row>
    <row r="84" ht="15.75" spans="1:23">
      <c r="A84">
        <v>1658</v>
      </c>
      <c r="B84" s="7" t="s">
        <v>575</v>
      </c>
      <c r="C84" s="7">
        <v>1</v>
      </c>
      <c r="D84" s="8" t="s">
        <v>576</v>
      </c>
      <c r="E84" t="s">
        <v>383</v>
      </c>
      <c r="F84" t="s">
        <v>383</v>
      </c>
      <c r="G84" t="s">
        <v>384</v>
      </c>
      <c r="H84" s="9" t="s">
        <v>575</v>
      </c>
      <c r="I84" s="9" t="s">
        <v>575</v>
      </c>
      <c r="J84">
        <v>295</v>
      </c>
      <c r="K84">
        <v>280</v>
      </c>
      <c r="L84">
        <v>240</v>
      </c>
      <c r="M84" s="9" t="s">
        <v>575</v>
      </c>
      <c r="N84">
        <v>68</v>
      </c>
      <c r="O84">
        <v>61</v>
      </c>
      <c r="P84">
        <v>53</v>
      </c>
      <c r="Q84" t="s">
        <v>35</v>
      </c>
      <c r="R84">
        <v>22</v>
      </c>
      <c r="S84">
        <v>1</v>
      </c>
      <c r="T84" s="7" t="s">
        <v>577</v>
      </c>
      <c r="U84" s="7" t="s">
        <v>578</v>
      </c>
      <c r="V84" s="10">
        <v>0</v>
      </c>
      <c r="W84" s="9" t="str">
        <f t="shared" si="2"/>
        <v>(1658,null,1,'2026-03-24 00:00:00','003316010010001-33160100103','003316010010001-33160100103','小儿乳腺肿物穿刺术（乳腺立体定位）',null,null,295,280,240,null,68,61,53,'次',22,1,'normal','main',0),</v>
      </c>
    </row>
    <row r="85" ht="15.75" spans="1:23">
      <c r="A85">
        <v>1659</v>
      </c>
      <c r="B85" s="7" t="s">
        <v>575</v>
      </c>
      <c r="C85" s="7">
        <v>1</v>
      </c>
      <c r="D85" s="8" t="s">
        <v>576</v>
      </c>
      <c r="E85" t="s">
        <v>390</v>
      </c>
      <c r="F85" t="s">
        <v>390</v>
      </c>
      <c r="G85" t="s">
        <v>391</v>
      </c>
      <c r="H85" s="9" t="s">
        <v>575</v>
      </c>
      <c r="I85" s="9" t="s">
        <v>575</v>
      </c>
      <c r="J85">
        <v>1000</v>
      </c>
      <c r="K85">
        <v>960</v>
      </c>
      <c r="L85">
        <v>816</v>
      </c>
      <c r="M85" s="9" t="s">
        <v>575</v>
      </c>
      <c r="N85">
        <v>1185</v>
      </c>
      <c r="O85">
        <v>1075</v>
      </c>
      <c r="P85">
        <v>950</v>
      </c>
      <c r="Q85" t="s">
        <v>98</v>
      </c>
      <c r="R85">
        <v>22</v>
      </c>
      <c r="S85">
        <v>1</v>
      </c>
      <c r="T85" s="7" t="s">
        <v>577</v>
      </c>
      <c r="U85" s="7" t="s">
        <v>578</v>
      </c>
      <c r="V85" s="10">
        <v>0</v>
      </c>
      <c r="W85" s="9" t="str">
        <f t="shared" si="2"/>
        <v>(1659,null,1,'2026-03-24 00:00:00','003303000080000-330300008','003303000080000-330300008','甲状腺部分切除术',null,null,1000,960,816,null,1185,1075,950,'单侧',22,1,'normal','main',0),</v>
      </c>
    </row>
    <row r="86" ht="15.75" spans="1:23">
      <c r="A86">
        <v>1660</v>
      </c>
      <c r="B86" s="7" t="s">
        <v>575</v>
      </c>
      <c r="C86" s="7">
        <v>1</v>
      </c>
      <c r="D86" s="8" t="s">
        <v>576</v>
      </c>
      <c r="E86" t="s">
        <v>394</v>
      </c>
      <c r="F86" t="s">
        <v>394</v>
      </c>
      <c r="G86" t="s">
        <v>395</v>
      </c>
      <c r="H86" s="9" t="s">
        <v>575</v>
      </c>
      <c r="I86" s="9" t="s">
        <v>575</v>
      </c>
      <c r="J86">
        <v>1625</v>
      </c>
      <c r="K86">
        <v>1560</v>
      </c>
      <c r="L86">
        <v>1326</v>
      </c>
      <c r="M86" s="9" t="s">
        <v>575</v>
      </c>
      <c r="N86">
        <v>1185</v>
      </c>
      <c r="O86">
        <v>1075</v>
      </c>
      <c r="P86">
        <v>950</v>
      </c>
      <c r="Q86" t="s">
        <v>98</v>
      </c>
      <c r="R86">
        <v>22</v>
      </c>
      <c r="S86">
        <v>1</v>
      </c>
      <c r="T86" s="7" t="s">
        <v>577</v>
      </c>
      <c r="U86" s="7" t="s">
        <v>578</v>
      </c>
      <c r="V86" s="10">
        <v>0</v>
      </c>
      <c r="W86" s="9" t="str">
        <f t="shared" si="2"/>
        <v>(1660,null,1,'2026-03-24 00:00:00','003303000080000-33030000804','003303000080000-33030000804','经腔镜甲状腺部分切除术',null,null,1625,1560,1326,null,1185,1075,950,'单侧',22,1,'normal','main',0),</v>
      </c>
    </row>
    <row r="87" ht="15.75" spans="1:23">
      <c r="A87">
        <v>1661</v>
      </c>
      <c r="B87" s="7" t="s">
        <v>575</v>
      </c>
      <c r="C87" s="7">
        <v>1</v>
      </c>
      <c r="D87" s="8" t="s">
        <v>576</v>
      </c>
      <c r="E87" t="s">
        <v>396</v>
      </c>
      <c r="F87" t="s">
        <v>396</v>
      </c>
      <c r="G87" t="s">
        <v>397</v>
      </c>
      <c r="H87" s="9" t="s">
        <v>575</v>
      </c>
      <c r="I87" s="9" t="s">
        <v>575</v>
      </c>
      <c r="J87">
        <v>1250</v>
      </c>
      <c r="K87">
        <v>1200</v>
      </c>
      <c r="L87">
        <v>1020</v>
      </c>
      <c r="M87" s="9" t="s">
        <v>575</v>
      </c>
      <c r="N87">
        <v>1185</v>
      </c>
      <c r="O87">
        <v>1075</v>
      </c>
      <c r="P87">
        <v>950</v>
      </c>
      <c r="Q87" t="s">
        <v>98</v>
      </c>
      <c r="R87">
        <v>22</v>
      </c>
      <c r="S87">
        <v>1</v>
      </c>
      <c r="T87" s="7" t="s">
        <v>577</v>
      </c>
      <c r="U87" s="7" t="s">
        <v>578</v>
      </c>
      <c r="V87" s="10">
        <v>0</v>
      </c>
      <c r="W87" s="9" t="str">
        <f t="shared" si="2"/>
        <v>(1661,null,1,'2026-03-24 00:00:00','003303000090000-330300009','003303000090000-330300009','甲状腺次全切除术',null,null,1250,1200,1020,null,1185,1075,950,'单侧',22,1,'normal','main',0),</v>
      </c>
    </row>
    <row r="88" ht="15.75" spans="1:23">
      <c r="A88">
        <v>1662</v>
      </c>
      <c r="B88" s="7" t="s">
        <v>575</v>
      </c>
      <c r="C88" s="7">
        <v>1</v>
      </c>
      <c r="D88" s="8" t="s">
        <v>576</v>
      </c>
      <c r="E88" t="s">
        <v>398</v>
      </c>
      <c r="F88" t="s">
        <v>398</v>
      </c>
      <c r="G88" t="s">
        <v>399</v>
      </c>
      <c r="H88" s="9" t="s">
        <v>575</v>
      </c>
      <c r="I88" s="9" t="s">
        <v>575</v>
      </c>
      <c r="J88">
        <v>1875</v>
      </c>
      <c r="K88">
        <v>1800</v>
      </c>
      <c r="L88">
        <v>1530</v>
      </c>
      <c r="M88" s="9" t="s">
        <v>575</v>
      </c>
      <c r="N88">
        <v>1185</v>
      </c>
      <c r="O88">
        <v>1075</v>
      </c>
      <c r="P88">
        <v>950</v>
      </c>
      <c r="Q88" t="s">
        <v>98</v>
      </c>
      <c r="R88">
        <v>22</v>
      </c>
      <c r="S88">
        <v>1</v>
      </c>
      <c r="T88" s="7" t="s">
        <v>577</v>
      </c>
      <c r="U88" s="7" t="s">
        <v>578</v>
      </c>
      <c r="V88" s="10">
        <v>0</v>
      </c>
      <c r="W88" s="9" t="str">
        <f t="shared" si="2"/>
        <v>(1662,null,1,'2026-03-24 00:00:00','003303000090000-33030000904','003303000090000-33030000904','经腔镜甲状腺次全切除术',null,null,1875,1800,1530,null,1185,1075,950,'单侧',22,1,'normal','main',0),</v>
      </c>
    </row>
    <row r="89" ht="15.75" spans="1:23">
      <c r="A89">
        <v>1663</v>
      </c>
      <c r="B89" s="7" t="s">
        <v>575</v>
      </c>
      <c r="C89" s="7">
        <v>1</v>
      </c>
      <c r="D89" s="8" t="s">
        <v>576</v>
      </c>
      <c r="E89" t="s">
        <v>402</v>
      </c>
      <c r="F89" t="s">
        <v>402</v>
      </c>
      <c r="G89" t="s">
        <v>403</v>
      </c>
      <c r="H89" s="9" t="s">
        <v>575</v>
      </c>
      <c r="I89" s="9" t="s">
        <v>575</v>
      </c>
      <c r="J89">
        <v>1300</v>
      </c>
      <c r="K89">
        <v>1250</v>
      </c>
      <c r="L89">
        <v>1065</v>
      </c>
      <c r="M89" s="9" t="s">
        <v>575</v>
      </c>
      <c r="N89">
        <v>1540</v>
      </c>
      <c r="O89">
        <v>1395</v>
      </c>
      <c r="P89">
        <v>1235</v>
      </c>
      <c r="Q89" t="s">
        <v>98</v>
      </c>
      <c r="R89">
        <v>22</v>
      </c>
      <c r="S89">
        <v>1</v>
      </c>
      <c r="T89" s="7" t="s">
        <v>577</v>
      </c>
      <c r="U89" s="7" t="s">
        <v>578</v>
      </c>
      <c r="V89" s="10">
        <v>0</v>
      </c>
      <c r="W89" s="9" t="str">
        <f t="shared" si="2"/>
        <v>(1663,null,1,'2026-03-24 00:00:00','003303000080000-33030000802','003303000080000-33030000802','小儿甲状腺部分切除术',null,null,1300,1250,1065,null,1540,1395,1235,'单侧',22,1,'normal','main',0),</v>
      </c>
    </row>
    <row r="90" ht="15.75" spans="1:23">
      <c r="A90">
        <v>1664</v>
      </c>
      <c r="B90" s="7" t="s">
        <v>575</v>
      </c>
      <c r="C90" s="7">
        <v>1</v>
      </c>
      <c r="D90" s="8" t="s">
        <v>576</v>
      </c>
      <c r="E90" t="s">
        <v>404</v>
      </c>
      <c r="F90" t="s">
        <v>404</v>
      </c>
      <c r="G90" t="s">
        <v>405</v>
      </c>
      <c r="H90" s="9" t="s">
        <v>575</v>
      </c>
      <c r="I90" s="9" t="s">
        <v>575</v>
      </c>
      <c r="J90">
        <v>1925</v>
      </c>
      <c r="K90">
        <v>1850</v>
      </c>
      <c r="L90">
        <v>1575</v>
      </c>
      <c r="M90" s="9" t="s">
        <v>575</v>
      </c>
      <c r="N90">
        <v>1540</v>
      </c>
      <c r="O90">
        <v>1395</v>
      </c>
      <c r="P90">
        <v>1235</v>
      </c>
      <c r="Q90" t="s">
        <v>98</v>
      </c>
      <c r="R90">
        <v>22</v>
      </c>
      <c r="S90">
        <v>1</v>
      </c>
      <c r="T90" s="7" t="s">
        <v>577</v>
      </c>
      <c r="U90" s="7" t="s">
        <v>578</v>
      </c>
      <c r="V90" s="10">
        <v>0</v>
      </c>
      <c r="W90" s="9" t="str">
        <f t="shared" si="2"/>
        <v>(1664,null,1,'2026-03-24 00:00:00','003303000080000-33030000806','003303000080000-33030000806','小儿经腔镜甲状腺部分切除术',null,null,1925,1850,1575,null,1540,1395,1235,'单侧',22,1,'normal','main',0),</v>
      </c>
    </row>
    <row r="91" ht="15.75" spans="1:23">
      <c r="A91">
        <v>1665</v>
      </c>
      <c r="B91" s="7" t="s">
        <v>575</v>
      </c>
      <c r="C91" s="7">
        <v>1</v>
      </c>
      <c r="D91" s="8" t="s">
        <v>576</v>
      </c>
      <c r="E91" t="s">
        <v>406</v>
      </c>
      <c r="F91" t="s">
        <v>406</v>
      </c>
      <c r="G91" t="s">
        <v>407</v>
      </c>
      <c r="H91" s="9" t="s">
        <v>575</v>
      </c>
      <c r="I91" s="9" t="s">
        <v>575</v>
      </c>
      <c r="J91">
        <v>1625</v>
      </c>
      <c r="K91">
        <v>1560</v>
      </c>
      <c r="L91">
        <v>1325</v>
      </c>
      <c r="M91" s="9" t="s">
        <v>575</v>
      </c>
      <c r="N91">
        <v>1540</v>
      </c>
      <c r="O91">
        <v>1395</v>
      </c>
      <c r="P91">
        <v>1235</v>
      </c>
      <c r="Q91" t="s">
        <v>98</v>
      </c>
      <c r="R91">
        <v>22</v>
      </c>
      <c r="S91">
        <v>1</v>
      </c>
      <c r="T91" s="7" t="s">
        <v>577</v>
      </c>
      <c r="U91" s="7" t="s">
        <v>578</v>
      </c>
      <c r="V91" s="10">
        <v>0</v>
      </c>
      <c r="W91" s="9" t="str">
        <f t="shared" ref="W91:W120" si="3">"("&amp;A91&amp;","&amp;B91&amp;","&amp;C91&amp;",'"&amp;D91&amp;"','"&amp;E91&amp;"','"&amp;F91&amp;"','"&amp;G91&amp;"',"&amp;H91&amp;","&amp;I91&amp;","&amp;J91&amp;","&amp;K91&amp;","&amp;L91&amp;","&amp;M91&amp;","&amp;N91&amp;","&amp;O91&amp;","&amp;P91&amp;",'"&amp;Q91&amp;"',"&amp;R91&amp;","&amp;S91&amp;",'"&amp;T91&amp;"','"&amp;U91&amp;"',"&amp;V91&amp;"),"</f>
        <v>(1665,null,1,'2026-03-24 00:00:00','003303000090000-33030000902','003303000090000-33030000902','小儿甲状腺次全切除术',null,null,1625,1560,1325,null,1540,1395,1235,'单侧',22,1,'normal','main',0),</v>
      </c>
    </row>
    <row r="92" ht="15.75" spans="1:23">
      <c r="A92">
        <v>1666</v>
      </c>
      <c r="B92" s="7" t="s">
        <v>575</v>
      </c>
      <c r="C92" s="7">
        <v>1</v>
      </c>
      <c r="D92" s="8" t="s">
        <v>576</v>
      </c>
      <c r="E92" t="s">
        <v>408</v>
      </c>
      <c r="F92" t="s">
        <v>408</v>
      </c>
      <c r="G92" t="s">
        <v>409</v>
      </c>
      <c r="H92" s="9" t="s">
        <v>575</v>
      </c>
      <c r="I92" s="9" t="s">
        <v>575</v>
      </c>
      <c r="J92">
        <v>2250</v>
      </c>
      <c r="K92">
        <v>2160</v>
      </c>
      <c r="L92">
        <v>1835</v>
      </c>
      <c r="M92" s="9" t="s">
        <v>575</v>
      </c>
      <c r="N92">
        <v>1540</v>
      </c>
      <c r="O92">
        <v>1395</v>
      </c>
      <c r="P92">
        <v>1235</v>
      </c>
      <c r="Q92" t="s">
        <v>98</v>
      </c>
      <c r="R92">
        <v>22</v>
      </c>
      <c r="S92">
        <v>1</v>
      </c>
      <c r="T92" s="7" t="s">
        <v>577</v>
      </c>
      <c r="U92" s="7" t="s">
        <v>578</v>
      </c>
      <c r="V92" s="10">
        <v>0</v>
      </c>
      <c r="W92" s="9" t="str">
        <f t="shared" si="3"/>
        <v>(1666,null,1,'2026-03-24 00:00:00','003303000090000-33030000906','003303000090000-33030000906','小儿经腔镜甲状腺次全切除术',null,null,2250,2160,1835,null,1540,1395,1235,'单侧',22,1,'normal','main',0),</v>
      </c>
    </row>
    <row r="93" ht="15.75" spans="1:23">
      <c r="A93">
        <v>1667</v>
      </c>
      <c r="B93" s="7" t="s">
        <v>575</v>
      </c>
      <c r="C93" s="7">
        <v>1</v>
      </c>
      <c r="D93" s="8" t="s">
        <v>576</v>
      </c>
      <c r="E93" t="s">
        <v>421</v>
      </c>
      <c r="F93" t="s">
        <v>421</v>
      </c>
      <c r="G93" t="s">
        <v>422</v>
      </c>
      <c r="H93" s="9" t="s">
        <v>575</v>
      </c>
      <c r="I93" s="9" t="s">
        <v>575</v>
      </c>
      <c r="J93">
        <v>2190</v>
      </c>
      <c r="K93">
        <v>1970</v>
      </c>
      <c r="L93">
        <v>1670</v>
      </c>
      <c r="M93" s="9" t="s">
        <v>575</v>
      </c>
      <c r="N93">
        <v>2300</v>
      </c>
      <c r="O93">
        <v>2030</v>
      </c>
      <c r="P93">
        <v>1800</v>
      </c>
      <c r="Q93" t="s">
        <v>98</v>
      </c>
      <c r="R93">
        <v>22</v>
      </c>
      <c r="S93">
        <v>1</v>
      </c>
      <c r="T93" s="7" t="s">
        <v>577</v>
      </c>
      <c r="U93" s="7" t="s">
        <v>578</v>
      </c>
      <c r="V93" s="10">
        <v>0</v>
      </c>
      <c r="W93" s="9" t="str">
        <f t="shared" si="3"/>
        <v>(1667,null,1,'2026-03-24 00:00:00','003303000100000-330300010','003303000100000-330300010','甲状腺全切术',null,null,2190,1970,1670,null,2300,2030,1800,'单侧',22,1,'normal','main',0),</v>
      </c>
    </row>
    <row r="94" ht="15.75" spans="1:23">
      <c r="A94">
        <v>1668</v>
      </c>
      <c r="B94" s="7" t="s">
        <v>575</v>
      </c>
      <c r="C94" s="7">
        <v>1</v>
      </c>
      <c r="D94" s="8" t="s">
        <v>576</v>
      </c>
      <c r="E94" t="s">
        <v>423</v>
      </c>
      <c r="F94" t="s">
        <v>423</v>
      </c>
      <c r="G94" t="s">
        <v>424</v>
      </c>
      <c r="H94" s="9" t="s">
        <v>575</v>
      </c>
      <c r="I94" s="9" t="s">
        <v>575</v>
      </c>
      <c r="J94">
        <v>2815</v>
      </c>
      <c r="K94">
        <v>2570</v>
      </c>
      <c r="L94">
        <v>2180</v>
      </c>
      <c r="M94" s="9" t="s">
        <v>575</v>
      </c>
      <c r="N94">
        <v>2300</v>
      </c>
      <c r="O94">
        <v>2030</v>
      </c>
      <c r="P94">
        <v>1800</v>
      </c>
      <c r="Q94" t="s">
        <v>98</v>
      </c>
      <c r="R94">
        <v>22</v>
      </c>
      <c r="S94">
        <v>1</v>
      </c>
      <c r="T94" s="7" t="s">
        <v>577</v>
      </c>
      <c r="U94" s="7" t="s">
        <v>578</v>
      </c>
      <c r="V94" s="10">
        <v>0</v>
      </c>
      <c r="W94" s="9" t="str">
        <f t="shared" si="3"/>
        <v>(1668,null,1,'2026-03-24 00:00:00','003303000100000-33030001004','003303000100000-33030001004','经腔镜甲状腺全切术',null,null,2815,2570,2180,null,2300,2030,1800,'单侧',22,1,'normal','main',0),</v>
      </c>
    </row>
    <row r="95" ht="15.75" spans="1:23">
      <c r="A95">
        <v>1669</v>
      </c>
      <c r="B95" s="7" t="s">
        <v>575</v>
      </c>
      <c r="C95" s="7">
        <v>1</v>
      </c>
      <c r="D95" s="8" t="s">
        <v>576</v>
      </c>
      <c r="E95" t="s">
        <v>427</v>
      </c>
      <c r="F95" t="s">
        <v>427</v>
      </c>
      <c r="G95" t="s">
        <v>428</v>
      </c>
      <c r="H95" s="9" t="s">
        <v>575</v>
      </c>
      <c r="I95" s="9" t="s">
        <v>575</v>
      </c>
      <c r="J95">
        <v>2845</v>
      </c>
      <c r="K95">
        <v>2560</v>
      </c>
      <c r="L95">
        <v>2175</v>
      </c>
      <c r="M95" s="9" t="s">
        <v>575</v>
      </c>
      <c r="N95">
        <v>2990</v>
      </c>
      <c r="O95">
        <v>2640</v>
      </c>
      <c r="P95">
        <v>2340</v>
      </c>
      <c r="Q95" t="s">
        <v>98</v>
      </c>
      <c r="R95">
        <v>22</v>
      </c>
      <c r="S95">
        <v>1</v>
      </c>
      <c r="T95" s="7" t="s">
        <v>577</v>
      </c>
      <c r="U95" s="7" t="s">
        <v>578</v>
      </c>
      <c r="V95" s="10">
        <v>0</v>
      </c>
      <c r="W95" s="9" t="str">
        <f t="shared" si="3"/>
        <v>(1669,null,1,'2026-03-24 00:00:00','003303000100000-33030001002','003303000100000-33030001002','小儿甲状腺全切术',null,null,2845,2560,2175,null,2990,2640,2340,'单侧',22,1,'normal','main',0),</v>
      </c>
    </row>
    <row r="96" ht="15.75" spans="1:23">
      <c r="A96">
        <v>1670</v>
      </c>
      <c r="B96" s="7" t="s">
        <v>575</v>
      </c>
      <c r="C96" s="7">
        <v>1</v>
      </c>
      <c r="D96" s="8" t="s">
        <v>576</v>
      </c>
      <c r="E96" t="s">
        <v>429</v>
      </c>
      <c r="F96" t="s">
        <v>429</v>
      </c>
      <c r="G96" t="s">
        <v>430</v>
      </c>
      <c r="H96" s="9" t="s">
        <v>575</v>
      </c>
      <c r="I96" s="9" t="s">
        <v>575</v>
      </c>
      <c r="J96">
        <v>3470</v>
      </c>
      <c r="K96">
        <v>3160</v>
      </c>
      <c r="L96">
        <v>2685</v>
      </c>
      <c r="M96" s="9" t="s">
        <v>575</v>
      </c>
      <c r="N96">
        <v>2990</v>
      </c>
      <c r="O96">
        <v>2640</v>
      </c>
      <c r="P96">
        <v>2340</v>
      </c>
      <c r="Q96" t="s">
        <v>98</v>
      </c>
      <c r="R96">
        <v>22</v>
      </c>
      <c r="S96">
        <v>1</v>
      </c>
      <c r="T96" s="7" t="s">
        <v>577</v>
      </c>
      <c r="U96" s="7" t="s">
        <v>578</v>
      </c>
      <c r="V96" s="10">
        <v>0</v>
      </c>
      <c r="W96" s="9" t="str">
        <f t="shared" si="3"/>
        <v>(1670,null,1,'2026-03-24 00:00:00','003303000100000-33030001006','003303000100000-33030001006','小儿经腔镜甲状腺全切术',null,null,3470,3160,2685,null,2990,2640,2340,'单侧',22,1,'normal','main',0),</v>
      </c>
    </row>
    <row r="97" ht="15.75" spans="1:23">
      <c r="A97">
        <v>1671</v>
      </c>
      <c r="B97" s="7" t="s">
        <v>575</v>
      </c>
      <c r="C97" s="7">
        <v>1</v>
      </c>
      <c r="D97" s="8" t="s">
        <v>576</v>
      </c>
      <c r="E97" t="s">
        <v>434</v>
      </c>
      <c r="F97" t="s">
        <v>434</v>
      </c>
      <c r="G97" t="s">
        <v>435</v>
      </c>
      <c r="H97" s="9" t="s">
        <v>575</v>
      </c>
      <c r="I97" s="9" t="s">
        <v>575</v>
      </c>
      <c r="J97">
        <v>4630</v>
      </c>
      <c r="K97">
        <v>4170</v>
      </c>
      <c r="L97">
        <v>3540</v>
      </c>
      <c r="M97" s="9" t="s">
        <v>575</v>
      </c>
      <c r="N97">
        <v>4600</v>
      </c>
      <c r="O97">
        <v>4060</v>
      </c>
      <c r="P97">
        <v>3600</v>
      </c>
      <c r="Q97" t="s">
        <v>35</v>
      </c>
      <c r="R97">
        <v>22</v>
      </c>
      <c r="S97">
        <v>1</v>
      </c>
      <c r="T97" s="7" t="s">
        <v>577</v>
      </c>
      <c r="U97" s="7" t="s">
        <v>578</v>
      </c>
      <c r="V97" s="10">
        <v>0</v>
      </c>
      <c r="W97" s="9" t="str">
        <f t="shared" si="3"/>
        <v>(1671,null,1,'2026-03-24 00:00:00','003303000120000-330300012','003303000120000-330300012','甲状腺癌扩大根治术',null,null,4630,4170,3540,null,4600,4060,3600,'次',22,1,'normal','main',0),</v>
      </c>
    </row>
    <row r="98" ht="15.75" spans="1:23">
      <c r="A98">
        <v>1672</v>
      </c>
      <c r="B98" s="7" t="s">
        <v>575</v>
      </c>
      <c r="C98" s="7">
        <v>1</v>
      </c>
      <c r="D98" s="8" t="s">
        <v>576</v>
      </c>
      <c r="E98" t="s">
        <v>437</v>
      </c>
      <c r="F98" t="s">
        <v>437</v>
      </c>
      <c r="G98" t="s">
        <v>438</v>
      </c>
      <c r="H98" s="9" t="s">
        <v>575</v>
      </c>
      <c r="I98" s="9" t="s">
        <v>575</v>
      </c>
      <c r="J98">
        <v>5255</v>
      </c>
      <c r="K98">
        <v>6020</v>
      </c>
      <c r="L98">
        <v>5120</v>
      </c>
      <c r="M98" s="9" t="s">
        <v>575</v>
      </c>
      <c r="N98">
        <v>4600</v>
      </c>
      <c r="O98">
        <v>4060</v>
      </c>
      <c r="P98">
        <v>3600</v>
      </c>
      <c r="Q98" t="s">
        <v>35</v>
      </c>
      <c r="R98">
        <v>22</v>
      </c>
      <c r="S98">
        <v>1</v>
      </c>
      <c r="T98" s="7" t="s">
        <v>577</v>
      </c>
      <c r="U98" s="7" t="s">
        <v>578</v>
      </c>
      <c r="V98" s="10">
        <v>0</v>
      </c>
      <c r="W98" s="9" t="str">
        <f t="shared" si="3"/>
        <v>(1672,null,1,'2026-03-24 00:00:00','003303000120000-33030001202','003303000120000-33030001202','经腔镜甲状腺癌扩大根治术',null,null,5255,6020,5120,null,4600,4060,3600,'次',22,1,'normal','main',0),</v>
      </c>
    </row>
    <row r="99" ht="15.75" spans="1:23">
      <c r="A99">
        <v>1673</v>
      </c>
      <c r="B99" s="7" t="s">
        <v>575</v>
      </c>
      <c r="C99" s="7">
        <v>1</v>
      </c>
      <c r="D99" s="8" t="s">
        <v>576</v>
      </c>
      <c r="E99" t="s">
        <v>439</v>
      </c>
      <c r="F99" t="s">
        <v>439</v>
      </c>
      <c r="G99" t="s">
        <v>440</v>
      </c>
      <c r="H99" s="9" t="s">
        <v>575</v>
      </c>
      <c r="I99" s="9" t="s">
        <v>575</v>
      </c>
      <c r="J99">
        <v>6020</v>
      </c>
      <c r="K99">
        <v>5420</v>
      </c>
      <c r="L99">
        <v>4605</v>
      </c>
      <c r="M99" s="9" t="s">
        <v>575</v>
      </c>
      <c r="N99">
        <v>4600</v>
      </c>
      <c r="O99">
        <v>4060</v>
      </c>
      <c r="P99">
        <v>3600</v>
      </c>
      <c r="Q99" t="s">
        <v>35</v>
      </c>
      <c r="R99">
        <v>22</v>
      </c>
      <c r="S99">
        <v>1</v>
      </c>
      <c r="T99" s="7" t="s">
        <v>577</v>
      </c>
      <c r="U99" s="7" t="s">
        <v>578</v>
      </c>
      <c r="V99" s="10">
        <v>0</v>
      </c>
      <c r="W99" s="9" t="str">
        <f t="shared" si="3"/>
        <v>(1673,null,1,'2026-03-24 00:00:00','003303000120000-33030001201','003303000120000-33030001201','小儿甲状腺癌扩大根治术',null,null,6020,5420,4605,null,4600,4060,3600,'次',22,1,'normal','main',0),</v>
      </c>
    </row>
    <row r="100" ht="15.75" spans="1:23">
      <c r="A100">
        <v>1674</v>
      </c>
      <c r="B100" s="7" t="s">
        <v>575</v>
      </c>
      <c r="C100" s="7">
        <v>1</v>
      </c>
      <c r="D100" s="8" t="s">
        <v>576</v>
      </c>
      <c r="E100" t="s">
        <v>441</v>
      </c>
      <c r="F100" t="s">
        <v>441</v>
      </c>
      <c r="G100" t="s">
        <v>442</v>
      </c>
      <c r="H100" s="9" t="s">
        <v>575</v>
      </c>
      <c r="I100" s="9" t="s">
        <v>575</v>
      </c>
      <c r="J100">
        <v>6645</v>
      </c>
      <c r="K100">
        <v>6020</v>
      </c>
      <c r="L100">
        <v>5115</v>
      </c>
      <c r="M100" s="9" t="s">
        <v>575</v>
      </c>
      <c r="N100">
        <v>4600</v>
      </c>
      <c r="O100">
        <v>4060</v>
      </c>
      <c r="P100">
        <v>3600</v>
      </c>
      <c r="Q100" t="s">
        <v>35</v>
      </c>
      <c r="R100">
        <v>22</v>
      </c>
      <c r="S100">
        <v>1</v>
      </c>
      <c r="T100" s="7" t="s">
        <v>577</v>
      </c>
      <c r="U100" s="7" t="s">
        <v>578</v>
      </c>
      <c r="V100" s="10">
        <v>0</v>
      </c>
      <c r="W100" s="9" t="str">
        <f t="shared" si="3"/>
        <v>(1674,null,1,'2026-03-24 00:00:00','003303000120000-33030001203','003303000120000-33030001203','小儿经腔镜甲状腺癌扩大根治术',null,null,6645,6020,5115,null,4600,4060,3600,'次',22,1,'normal','main',0),</v>
      </c>
    </row>
    <row r="101" ht="15.75" spans="1:23">
      <c r="A101">
        <v>1675</v>
      </c>
      <c r="B101" s="7" t="s">
        <v>575</v>
      </c>
      <c r="C101" s="7">
        <v>1</v>
      </c>
      <c r="D101" s="8" t="s">
        <v>576</v>
      </c>
      <c r="E101" t="s">
        <v>455</v>
      </c>
      <c r="F101" t="s">
        <v>455</v>
      </c>
      <c r="G101" t="s">
        <v>456</v>
      </c>
      <c r="H101" s="9" t="s">
        <v>575</v>
      </c>
      <c r="I101" s="9" t="s">
        <v>575</v>
      </c>
      <c r="J101">
        <v>1625</v>
      </c>
      <c r="K101">
        <v>1560</v>
      </c>
      <c r="L101">
        <v>1326</v>
      </c>
      <c r="M101" s="9" t="s">
        <v>575</v>
      </c>
      <c r="N101">
        <v>1780</v>
      </c>
      <c r="O101">
        <v>1615</v>
      </c>
      <c r="P101">
        <v>1430</v>
      </c>
      <c r="Q101" t="s">
        <v>35</v>
      </c>
      <c r="R101">
        <v>22</v>
      </c>
      <c r="S101">
        <v>1</v>
      </c>
      <c r="T101" s="7" t="s">
        <v>577</v>
      </c>
      <c r="U101" s="7" t="s">
        <v>578</v>
      </c>
      <c r="V101" s="10">
        <v>0</v>
      </c>
      <c r="W101" s="9" t="str">
        <f t="shared" si="3"/>
        <v>(1675,null,1,'2026-03-24 00:00:00','003303000030000-330300003','003303000030000-330300003','甲状旁腺大部切除术',null,null,1625,1560,1326,null,1780,1615,1430,'次',22,1,'normal','main',0),</v>
      </c>
    </row>
    <row r="102" ht="15.75" spans="1:23">
      <c r="A102">
        <v>1676</v>
      </c>
      <c r="B102" s="7" t="s">
        <v>575</v>
      </c>
      <c r="C102" s="7">
        <v>1</v>
      </c>
      <c r="D102" s="8" t="s">
        <v>576</v>
      </c>
      <c r="E102" t="s">
        <v>457</v>
      </c>
      <c r="F102" t="s">
        <v>457</v>
      </c>
      <c r="G102" t="s">
        <v>458</v>
      </c>
      <c r="H102" s="9" t="s">
        <v>575</v>
      </c>
      <c r="I102" s="9" t="s">
        <v>575</v>
      </c>
      <c r="J102">
        <v>2250</v>
      </c>
      <c r="K102">
        <v>2160</v>
      </c>
      <c r="L102">
        <v>1836</v>
      </c>
      <c r="M102" s="9" t="s">
        <v>575</v>
      </c>
      <c r="N102">
        <v>1780</v>
      </c>
      <c r="O102">
        <v>1615</v>
      </c>
      <c r="P102">
        <v>1430</v>
      </c>
      <c r="Q102" t="s">
        <v>35</v>
      </c>
      <c r="R102">
        <v>22</v>
      </c>
      <c r="S102">
        <v>1</v>
      </c>
      <c r="T102" s="7" t="s">
        <v>577</v>
      </c>
      <c r="U102" s="7" t="s">
        <v>578</v>
      </c>
      <c r="V102" s="10">
        <v>0</v>
      </c>
      <c r="W102" s="9" t="str">
        <f t="shared" si="3"/>
        <v>(1676,null,1,'2026-03-24 00:00:00','003303000030000-33030000302','003303000030000-33030000302','经腔镜甲状旁腺大部切除术',null,null,2250,2160,1836,null,1780,1615,1430,'次',22,1,'normal','main',0),</v>
      </c>
    </row>
    <row r="103" ht="15.75" spans="1:23">
      <c r="A103">
        <v>1677</v>
      </c>
      <c r="B103" s="7" t="s">
        <v>575</v>
      </c>
      <c r="C103" s="7">
        <v>1</v>
      </c>
      <c r="D103" s="8" t="s">
        <v>576</v>
      </c>
      <c r="E103" t="s">
        <v>459</v>
      </c>
      <c r="F103" t="s">
        <v>459</v>
      </c>
      <c r="G103" t="s">
        <v>460</v>
      </c>
      <c r="H103" s="9" t="s">
        <v>575</v>
      </c>
      <c r="I103" s="9" t="s">
        <v>575</v>
      </c>
      <c r="J103">
        <v>1500</v>
      </c>
      <c r="K103">
        <v>1440</v>
      </c>
      <c r="L103">
        <v>1224</v>
      </c>
      <c r="M103" s="9" t="s">
        <v>575</v>
      </c>
      <c r="N103">
        <v>1780</v>
      </c>
      <c r="O103">
        <v>1615</v>
      </c>
      <c r="P103">
        <v>1430</v>
      </c>
      <c r="Q103" t="s">
        <v>35</v>
      </c>
      <c r="R103">
        <v>22</v>
      </c>
      <c r="S103">
        <v>1</v>
      </c>
      <c r="T103" s="7" t="s">
        <v>577</v>
      </c>
      <c r="U103" s="7" t="s">
        <v>578</v>
      </c>
      <c r="V103" s="10">
        <v>0</v>
      </c>
      <c r="W103" s="9" t="str">
        <f t="shared" si="3"/>
        <v>(1677,null,1,'2026-03-24 00:00:00','003303000020000-330300002','003303000020000-330300002','甲状旁腺腺瘤切除术',null,null,1500,1440,1224,null,1780,1615,1430,'次',22,1,'normal','main',0),</v>
      </c>
    </row>
    <row r="104" ht="15.75" spans="1:23">
      <c r="A104">
        <v>1678</v>
      </c>
      <c r="B104" s="7" t="s">
        <v>575</v>
      </c>
      <c r="C104" s="7">
        <v>1</v>
      </c>
      <c r="D104" s="8" t="s">
        <v>576</v>
      </c>
      <c r="E104" t="s">
        <v>461</v>
      </c>
      <c r="F104" t="s">
        <v>461</v>
      </c>
      <c r="G104" t="s">
        <v>462</v>
      </c>
      <c r="H104" s="9" t="s">
        <v>575</v>
      </c>
      <c r="I104" s="9" t="s">
        <v>575</v>
      </c>
      <c r="J104">
        <v>2125</v>
      </c>
      <c r="K104">
        <v>2040</v>
      </c>
      <c r="L104">
        <v>1734</v>
      </c>
      <c r="M104" s="9" t="s">
        <v>575</v>
      </c>
      <c r="N104">
        <v>1780</v>
      </c>
      <c r="O104">
        <v>1615</v>
      </c>
      <c r="P104">
        <v>1430</v>
      </c>
      <c r="Q104" t="s">
        <v>35</v>
      </c>
      <c r="R104">
        <v>22</v>
      </c>
      <c r="S104">
        <v>1</v>
      </c>
      <c r="T104" s="7" t="s">
        <v>577</v>
      </c>
      <c r="U104" s="7" t="s">
        <v>578</v>
      </c>
      <c r="V104" s="10">
        <v>0</v>
      </c>
      <c r="W104" s="9" t="str">
        <f t="shared" si="3"/>
        <v>(1678,null,1,'2026-03-24 00:00:00','003303000020000-33030000202','003303000020000-33030000202','经腔镜甲状旁腺腺瘤切除术',null,null,2125,2040,1734,null,1780,1615,1430,'次',22,1,'normal','main',0),</v>
      </c>
    </row>
    <row r="105" ht="15.75" spans="1:23">
      <c r="A105">
        <v>1679</v>
      </c>
      <c r="B105" s="7" t="s">
        <v>575</v>
      </c>
      <c r="C105" s="7">
        <v>1</v>
      </c>
      <c r="D105" s="8" t="s">
        <v>576</v>
      </c>
      <c r="E105" t="s">
        <v>465</v>
      </c>
      <c r="F105" t="s">
        <v>465</v>
      </c>
      <c r="G105" t="s">
        <v>466</v>
      </c>
      <c r="H105" s="9" t="s">
        <v>575</v>
      </c>
      <c r="I105" s="9" t="s">
        <v>575</v>
      </c>
      <c r="J105">
        <v>2115</v>
      </c>
      <c r="K105">
        <v>2030</v>
      </c>
      <c r="L105">
        <v>1725</v>
      </c>
      <c r="M105" s="9" t="s">
        <v>575</v>
      </c>
      <c r="N105">
        <v>2315</v>
      </c>
      <c r="O105">
        <v>2100</v>
      </c>
      <c r="P105">
        <v>1860</v>
      </c>
      <c r="Q105" t="s">
        <v>35</v>
      </c>
      <c r="R105">
        <v>22</v>
      </c>
      <c r="S105">
        <v>1</v>
      </c>
      <c r="T105" s="7" t="s">
        <v>577</v>
      </c>
      <c r="U105" s="7" t="s">
        <v>578</v>
      </c>
      <c r="V105" s="10">
        <v>0</v>
      </c>
      <c r="W105" s="9" t="str">
        <f t="shared" si="3"/>
        <v>(1679,null,1,'2026-03-24 00:00:00','003303000030000-33030000301','003303000030000-33030000301','小儿甲状旁腺大部切除术',null,null,2115,2030,1725,null,2315,2100,1860,'次',22,1,'normal','main',0),</v>
      </c>
    </row>
    <row r="106" ht="15.75" spans="1:23">
      <c r="A106">
        <v>1680</v>
      </c>
      <c r="B106" s="7" t="s">
        <v>575</v>
      </c>
      <c r="C106" s="7">
        <v>1</v>
      </c>
      <c r="D106" s="8" t="s">
        <v>576</v>
      </c>
      <c r="E106" t="s">
        <v>467</v>
      </c>
      <c r="F106" t="s">
        <v>467</v>
      </c>
      <c r="G106" t="s">
        <v>468</v>
      </c>
      <c r="H106" s="9" t="s">
        <v>575</v>
      </c>
      <c r="I106" s="9" t="s">
        <v>575</v>
      </c>
      <c r="J106">
        <v>2740</v>
      </c>
      <c r="K106">
        <v>2630</v>
      </c>
      <c r="L106">
        <v>2235</v>
      </c>
      <c r="M106" s="9" t="s">
        <v>575</v>
      </c>
      <c r="N106">
        <v>2315</v>
      </c>
      <c r="O106">
        <v>2100</v>
      </c>
      <c r="P106">
        <v>1860</v>
      </c>
      <c r="Q106" t="s">
        <v>35</v>
      </c>
      <c r="R106">
        <v>22</v>
      </c>
      <c r="S106">
        <v>1</v>
      </c>
      <c r="T106" s="7" t="s">
        <v>577</v>
      </c>
      <c r="U106" s="7" t="s">
        <v>578</v>
      </c>
      <c r="V106" s="10">
        <v>0</v>
      </c>
      <c r="W106" s="9" t="str">
        <f t="shared" si="3"/>
        <v>(1680,null,1,'2026-03-24 00:00:00','003303000030000-33030000303','003303000030000-33030000303','小儿经腔镜甲状旁腺大部切除术',null,null,2740,2630,2235,null,2315,2100,1860,'次',22,1,'normal','main',0),</v>
      </c>
    </row>
    <row r="107" ht="15.75" spans="1:23">
      <c r="A107">
        <v>1681</v>
      </c>
      <c r="B107" s="7" t="s">
        <v>575</v>
      </c>
      <c r="C107" s="7">
        <v>1</v>
      </c>
      <c r="D107" s="8" t="s">
        <v>576</v>
      </c>
      <c r="E107" t="s">
        <v>469</v>
      </c>
      <c r="F107" t="s">
        <v>469</v>
      </c>
      <c r="G107" t="s">
        <v>470</v>
      </c>
      <c r="H107" s="9" t="s">
        <v>575</v>
      </c>
      <c r="I107" s="9" t="s">
        <v>575</v>
      </c>
      <c r="J107">
        <v>4825</v>
      </c>
      <c r="K107">
        <v>4340</v>
      </c>
      <c r="L107">
        <v>3690</v>
      </c>
      <c r="M107" s="9" t="s">
        <v>575</v>
      </c>
      <c r="N107">
        <v>2315</v>
      </c>
      <c r="O107">
        <v>2100</v>
      </c>
      <c r="P107">
        <v>1860</v>
      </c>
      <c r="Q107" t="s">
        <v>35</v>
      </c>
      <c r="R107">
        <v>22</v>
      </c>
      <c r="S107">
        <v>1</v>
      </c>
      <c r="T107" s="7" t="s">
        <v>577</v>
      </c>
      <c r="U107" s="7" t="s">
        <v>578</v>
      </c>
      <c r="V107" s="10">
        <v>0</v>
      </c>
      <c r="W107" s="9" t="str">
        <f t="shared" si="3"/>
        <v>(1681,null,1,'2026-03-24 00:00:00','003303000060000-33030000601','003303000060000-33030000601','小儿甲状旁腺癌根治术',null,null,4825,4340,3690,null,2315,2100,1860,'次',22,1,'normal','main',0),</v>
      </c>
    </row>
    <row r="108" ht="15.75" spans="1:23">
      <c r="A108">
        <v>1682</v>
      </c>
      <c r="B108" s="7" t="s">
        <v>575</v>
      </c>
      <c r="C108" s="7">
        <v>1</v>
      </c>
      <c r="D108" s="8" t="s">
        <v>576</v>
      </c>
      <c r="E108" t="s">
        <v>471</v>
      </c>
      <c r="F108" t="s">
        <v>471</v>
      </c>
      <c r="G108" t="s">
        <v>472</v>
      </c>
      <c r="H108" s="9" t="s">
        <v>575</v>
      </c>
      <c r="I108" s="9" t="s">
        <v>575</v>
      </c>
      <c r="J108">
        <v>5450</v>
      </c>
      <c r="K108">
        <v>4940</v>
      </c>
      <c r="L108">
        <v>4200</v>
      </c>
      <c r="M108" s="9" t="s">
        <v>575</v>
      </c>
      <c r="N108">
        <v>2315</v>
      </c>
      <c r="O108">
        <v>2100</v>
      </c>
      <c r="P108">
        <v>1860</v>
      </c>
      <c r="Q108" t="s">
        <v>35</v>
      </c>
      <c r="R108">
        <v>22</v>
      </c>
      <c r="S108">
        <v>1</v>
      </c>
      <c r="T108" s="7" t="s">
        <v>577</v>
      </c>
      <c r="U108" s="7" t="s">
        <v>578</v>
      </c>
      <c r="V108" s="10">
        <v>0</v>
      </c>
      <c r="W108" s="9" t="str">
        <f t="shared" si="3"/>
        <v>(1682,null,1,'2026-03-24 00:00:00','003303000060000-33030000603','003303000060000-33030000603','小儿经腔镜甲状旁腺癌根治术',null,null,5450,4940,4200,null,2315,2100,1860,'次',22,1,'normal','main',0),</v>
      </c>
    </row>
    <row r="109" ht="15.75" spans="1:23">
      <c r="A109">
        <v>1683</v>
      </c>
      <c r="B109" s="7" t="s">
        <v>575</v>
      </c>
      <c r="C109" s="7">
        <v>1</v>
      </c>
      <c r="D109" s="8" t="s">
        <v>576</v>
      </c>
      <c r="E109" t="s">
        <v>473</v>
      </c>
      <c r="F109" t="s">
        <v>473</v>
      </c>
      <c r="G109" t="s">
        <v>474</v>
      </c>
      <c r="H109" s="9" t="s">
        <v>575</v>
      </c>
      <c r="I109" s="9" t="s">
        <v>575</v>
      </c>
      <c r="J109">
        <v>1950</v>
      </c>
      <c r="K109">
        <v>1870</v>
      </c>
      <c r="L109">
        <v>1590</v>
      </c>
      <c r="M109" s="9" t="s">
        <v>575</v>
      </c>
      <c r="N109">
        <v>2315</v>
      </c>
      <c r="O109">
        <v>2100</v>
      </c>
      <c r="P109">
        <v>1860</v>
      </c>
      <c r="Q109" t="s">
        <v>35</v>
      </c>
      <c r="R109">
        <v>22</v>
      </c>
      <c r="S109">
        <v>1</v>
      </c>
      <c r="T109" s="7" t="s">
        <v>577</v>
      </c>
      <c r="U109" s="7" t="s">
        <v>578</v>
      </c>
      <c r="V109" s="10">
        <v>0</v>
      </c>
      <c r="W109" s="9" t="str">
        <f t="shared" si="3"/>
        <v>(1683,null,1,'2026-03-24 00:00:00','003303000020000-33030000201','003303000020000-33030000201','小儿甲状旁腺腺瘤切除术',null,null,1950,1870,1590,null,2315,2100,1860,'次',22,1,'normal','main',0),</v>
      </c>
    </row>
    <row r="110" ht="15.75" spans="1:23">
      <c r="A110">
        <v>1684</v>
      </c>
      <c r="B110" s="7" t="s">
        <v>575</v>
      </c>
      <c r="C110" s="7">
        <v>1</v>
      </c>
      <c r="D110" s="8" t="s">
        <v>576</v>
      </c>
      <c r="E110" t="s">
        <v>475</v>
      </c>
      <c r="F110" t="s">
        <v>475</v>
      </c>
      <c r="G110" t="s">
        <v>476</v>
      </c>
      <c r="H110" s="9" t="s">
        <v>575</v>
      </c>
      <c r="I110" s="9" t="s">
        <v>575</v>
      </c>
      <c r="J110">
        <v>2575</v>
      </c>
      <c r="K110">
        <v>2470</v>
      </c>
      <c r="L110">
        <v>2100</v>
      </c>
      <c r="M110" s="9" t="s">
        <v>575</v>
      </c>
      <c r="N110">
        <v>2315</v>
      </c>
      <c r="O110">
        <v>2100</v>
      </c>
      <c r="P110">
        <v>1860</v>
      </c>
      <c r="Q110" t="s">
        <v>35</v>
      </c>
      <c r="R110">
        <v>22</v>
      </c>
      <c r="S110">
        <v>1</v>
      </c>
      <c r="T110" s="7" t="s">
        <v>577</v>
      </c>
      <c r="U110" s="7" t="s">
        <v>578</v>
      </c>
      <c r="V110" s="10">
        <v>0</v>
      </c>
      <c r="W110" s="9" t="str">
        <f t="shared" si="3"/>
        <v>(1684,null,1,'2026-03-24 00:00:00','003303000020000-33030000203','003303000020000-33030000203','小儿经腔镜甲状旁腺腺瘤切除术',null,null,2575,2470,2100,null,2315,2100,1860,'次',22,1,'normal','main',0),</v>
      </c>
    </row>
    <row r="111" ht="15.75" spans="1:23">
      <c r="A111">
        <v>1685</v>
      </c>
      <c r="B111" s="7" t="s">
        <v>575</v>
      </c>
      <c r="C111" s="7">
        <v>1</v>
      </c>
      <c r="D111" s="8" t="s">
        <v>576</v>
      </c>
      <c r="E111" t="s">
        <v>484</v>
      </c>
      <c r="F111" t="s">
        <v>484</v>
      </c>
      <c r="G111" t="s">
        <v>485</v>
      </c>
      <c r="H111" s="9" t="s">
        <v>575</v>
      </c>
      <c r="I111" s="9" t="s">
        <v>575</v>
      </c>
      <c r="J111">
        <v>2000</v>
      </c>
      <c r="K111">
        <v>1800</v>
      </c>
      <c r="L111">
        <v>1600</v>
      </c>
      <c r="M111" s="9" t="s">
        <v>575</v>
      </c>
      <c r="N111">
        <v>1600</v>
      </c>
      <c r="O111">
        <v>1500</v>
      </c>
      <c r="P111">
        <v>1280</v>
      </c>
      <c r="Q111" t="s">
        <v>35</v>
      </c>
      <c r="R111">
        <v>22</v>
      </c>
      <c r="S111">
        <v>1</v>
      </c>
      <c r="T111" s="7" t="s">
        <v>577</v>
      </c>
      <c r="U111" s="7" t="s">
        <v>578</v>
      </c>
      <c r="V111" s="10">
        <v>0</v>
      </c>
      <c r="W111" s="9" t="str">
        <f t="shared" si="3"/>
        <v>(1685,null,1,'2026-03-24 00:00:00','003303000040000-330300004','003303000040000-330300004','甲状旁腺移植术',null,null,2000,1800,1600,null,1600,1500,1280,'次',22,1,'normal','main',0),</v>
      </c>
    </row>
    <row r="112" ht="15.75" spans="1:23">
      <c r="A112">
        <v>1686</v>
      </c>
      <c r="B112" s="7" t="s">
        <v>575</v>
      </c>
      <c r="C112" s="7">
        <v>1</v>
      </c>
      <c r="D112" s="8" t="s">
        <v>576</v>
      </c>
      <c r="E112" t="s">
        <v>487</v>
      </c>
      <c r="F112" t="s">
        <v>487</v>
      </c>
      <c r="G112" t="s">
        <v>488</v>
      </c>
      <c r="H112" s="9" t="s">
        <v>575</v>
      </c>
      <c r="I112" s="9" t="s">
        <v>575</v>
      </c>
      <c r="J112">
        <v>0</v>
      </c>
      <c r="K112">
        <v>0</v>
      </c>
      <c r="L112">
        <v>0</v>
      </c>
      <c r="M112" s="9" t="s">
        <v>575</v>
      </c>
      <c r="N112">
        <v>1600</v>
      </c>
      <c r="O112">
        <v>1500</v>
      </c>
      <c r="P112">
        <v>1280</v>
      </c>
      <c r="Q112" t="s">
        <v>35</v>
      </c>
      <c r="R112">
        <v>22</v>
      </c>
      <c r="S112">
        <v>1</v>
      </c>
      <c r="T112" s="7" t="s">
        <v>577</v>
      </c>
      <c r="U112" s="7" t="s">
        <v>578</v>
      </c>
      <c r="V112" s="10">
        <v>0</v>
      </c>
      <c r="W112" s="9" t="str">
        <f t="shared" si="3"/>
        <v>(1686,null,1,'2026-03-24 00:00:00','003303000050000-330300005','003303000050000-330300005','甲状旁腺细胞移植术',null,null,0,0,0,null,1600,1500,1280,'次',22,1,'normal','main',0),</v>
      </c>
    </row>
    <row r="113" ht="15.75" spans="1:23">
      <c r="A113">
        <v>1687</v>
      </c>
      <c r="B113" s="7" t="s">
        <v>575</v>
      </c>
      <c r="C113" s="7">
        <v>1</v>
      </c>
      <c r="D113" s="8" t="s">
        <v>576</v>
      </c>
      <c r="E113" t="s">
        <v>492</v>
      </c>
      <c r="F113" t="s">
        <v>492</v>
      </c>
      <c r="G113" t="s">
        <v>493</v>
      </c>
      <c r="H113" s="9" t="s">
        <v>575</v>
      </c>
      <c r="I113" s="9" t="s">
        <v>575</v>
      </c>
      <c r="J113">
        <v>2600</v>
      </c>
      <c r="K113">
        <v>2340</v>
      </c>
      <c r="L113">
        <v>2080</v>
      </c>
      <c r="M113" s="9" t="s">
        <v>575</v>
      </c>
      <c r="N113">
        <v>2080</v>
      </c>
      <c r="O113">
        <v>1950</v>
      </c>
      <c r="P113">
        <v>1665</v>
      </c>
      <c r="Q113" t="s">
        <v>35</v>
      </c>
      <c r="R113">
        <v>22</v>
      </c>
      <c r="S113">
        <v>1</v>
      </c>
      <c r="T113" s="7" t="s">
        <v>577</v>
      </c>
      <c r="U113" s="7" t="s">
        <v>578</v>
      </c>
      <c r="V113" s="10">
        <v>0</v>
      </c>
      <c r="W113" s="9" t="str">
        <f t="shared" si="3"/>
        <v>(1687,null,1,'2026-03-24 00:00:00','003303000040000-33030000401','003303000040000-33030000401','小儿甲状旁腺移植术',null,null,2600,2340,2080,null,2080,1950,1665,'次',22,1,'normal','main',0),</v>
      </c>
    </row>
    <row r="114" ht="15.75" spans="1:23">
      <c r="A114">
        <v>1688</v>
      </c>
      <c r="B114" s="7" t="s">
        <v>575</v>
      </c>
      <c r="C114" s="7">
        <v>1</v>
      </c>
      <c r="D114" s="8" t="s">
        <v>576</v>
      </c>
      <c r="E114" t="s">
        <v>494</v>
      </c>
      <c r="F114" t="s">
        <v>494</v>
      </c>
      <c r="G114" t="s">
        <v>495</v>
      </c>
      <c r="H114" s="9" t="s">
        <v>575</v>
      </c>
      <c r="I114" s="9" t="s">
        <v>575</v>
      </c>
      <c r="J114">
        <v>0</v>
      </c>
      <c r="K114">
        <v>0</v>
      </c>
      <c r="L114">
        <v>0</v>
      </c>
      <c r="M114" s="9" t="s">
        <v>575</v>
      </c>
      <c r="N114">
        <v>2080</v>
      </c>
      <c r="O114">
        <v>1950</v>
      </c>
      <c r="P114">
        <v>1665</v>
      </c>
      <c r="Q114" t="s">
        <v>35</v>
      </c>
      <c r="R114">
        <v>22</v>
      </c>
      <c r="S114">
        <v>1</v>
      </c>
      <c r="T114" s="7" t="s">
        <v>577</v>
      </c>
      <c r="U114" s="7" t="s">
        <v>578</v>
      </c>
      <c r="V114" s="10">
        <v>0</v>
      </c>
      <c r="W114" s="9" t="str">
        <f t="shared" si="3"/>
        <v>(1688,null,1,'2026-03-24 00:00:00','003303000140000-33030001401','003303000140000-33030001401','小儿甲状腺细胞移植术',null,null,0,0,0,null,2080,1950,1665,'次',22,1,'normal','main',0),</v>
      </c>
    </row>
    <row r="115" ht="15.75" spans="1:23">
      <c r="A115">
        <v>1689</v>
      </c>
      <c r="B115" s="7" t="s">
        <v>575</v>
      </c>
      <c r="C115" s="7">
        <v>1</v>
      </c>
      <c r="D115" s="8" t="s">
        <v>576</v>
      </c>
      <c r="E115" t="s">
        <v>499</v>
      </c>
      <c r="F115" t="s">
        <v>499</v>
      </c>
      <c r="G115" t="s">
        <v>500</v>
      </c>
      <c r="H115" s="9" t="s">
        <v>575</v>
      </c>
      <c r="I115" s="9" t="s">
        <v>575</v>
      </c>
      <c r="J115">
        <v>0</v>
      </c>
      <c r="K115">
        <v>0</v>
      </c>
      <c r="L115">
        <v>0</v>
      </c>
      <c r="M115" s="9" t="s">
        <v>575</v>
      </c>
      <c r="N115">
        <v>1600</v>
      </c>
      <c r="O115">
        <v>1500</v>
      </c>
      <c r="P115">
        <v>1280</v>
      </c>
      <c r="Q115" t="s">
        <v>35</v>
      </c>
      <c r="R115">
        <v>22</v>
      </c>
      <c r="S115">
        <v>1</v>
      </c>
      <c r="T115" s="7" t="s">
        <v>577</v>
      </c>
      <c r="U115" s="7" t="s">
        <v>578</v>
      </c>
      <c r="V115" s="10">
        <v>0</v>
      </c>
      <c r="W115" s="9" t="str">
        <f t="shared" si="3"/>
        <v>(1689,null,1,'2026-03-24 00:00:00','003303000140000-330300014','003303000140000-330300014','甲状腺细胞移植术',null,null,0,0,0,null,1600,1500,1280,'次',22,1,'normal','main',0),</v>
      </c>
    </row>
    <row r="116" ht="15.75" spans="1:23">
      <c r="A116">
        <v>1690</v>
      </c>
      <c r="B116" s="7" t="s">
        <v>575</v>
      </c>
      <c r="C116" s="7">
        <v>1</v>
      </c>
      <c r="D116" s="8" t="s">
        <v>576</v>
      </c>
      <c r="E116" t="s">
        <v>503</v>
      </c>
      <c r="F116" t="s">
        <v>503</v>
      </c>
      <c r="G116" t="s">
        <v>504</v>
      </c>
      <c r="H116" s="9" t="s">
        <v>575</v>
      </c>
      <c r="I116" s="9" t="s">
        <v>575</v>
      </c>
      <c r="J116">
        <v>1500</v>
      </c>
      <c r="K116">
        <v>1440</v>
      </c>
      <c r="L116">
        <v>1224</v>
      </c>
      <c r="M116" s="9" t="s">
        <v>575</v>
      </c>
      <c r="N116">
        <v>1600</v>
      </c>
      <c r="O116">
        <v>1500</v>
      </c>
      <c r="P116">
        <v>1280</v>
      </c>
      <c r="Q116" t="s">
        <v>35</v>
      </c>
      <c r="R116">
        <v>22</v>
      </c>
      <c r="S116">
        <v>1</v>
      </c>
      <c r="T116" s="7" t="s">
        <v>577</v>
      </c>
      <c r="U116" s="7" t="s">
        <v>578</v>
      </c>
      <c r="V116" s="10">
        <v>0</v>
      </c>
      <c r="W116" s="9" t="str">
        <f t="shared" si="3"/>
        <v>(1690,null,1,'2026-03-24 00:00:00','003303000160000-330300016','003303000160000-330300016','胎儿甲状腺移植术',null,null,1500,1440,1224,null,1600,1500,1280,'次',22,1,'normal','main',0),</v>
      </c>
    </row>
    <row r="117" ht="15.75" spans="1:23">
      <c r="A117">
        <v>1691</v>
      </c>
      <c r="B117" s="7" t="s">
        <v>575</v>
      </c>
      <c r="C117" s="7">
        <v>1</v>
      </c>
      <c r="D117" s="8" t="s">
        <v>576</v>
      </c>
      <c r="E117" t="s">
        <v>505</v>
      </c>
      <c r="F117" t="s">
        <v>505</v>
      </c>
      <c r="G117" t="s">
        <v>506</v>
      </c>
      <c r="H117" s="9" t="s">
        <v>575</v>
      </c>
      <c r="I117" s="9" t="s">
        <v>575</v>
      </c>
      <c r="J117">
        <v>1950</v>
      </c>
      <c r="K117">
        <v>1870</v>
      </c>
      <c r="L117">
        <v>1590</v>
      </c>
      <c r="M117" s="9" t="s">
        <v>575</v>
      </c>
      <c r="N117">
        <v>1600</v>
      </c>
      <c r="O117">
        <v>1500</v>
      </c>
      <c r="P117">
        <v>1280</v>
      </c>
      <c r="Q117" t="s">
        <v>35</v>
      </c>
      <c r="R117">
        <v>22</v>
      </c>
      <c r="S117">
        <v>1</v>
      </c>
      <c r="T117" s="7" t="s">
        <v>577</v>
      </c>
      <c r="U117" s="7" t="s">
        <v>578</v>
      </c>
      <c r="V117" s="10">
        <v>0</v>
      </c>
      <c r="W117" s="9" t="str">
        <f t="shared" si="3"/>
        <v>(1691,null,1,'2026-03-24 00:00:00','003303000160000-33030001601','003303000160000-33030001601','小儿胎儿甲状腺移植术',null,null,1950,1870,1590,null,1600,1500,1280,'次',22,1,'normal','main',0),</v>
      </c>
    </row>
    <row r="118" ht="15.75" spans="1:23">
      <c r="A118">
        <v>1692</v>
      </c>
      <c r="B118" s="7" t="s">
        <v>575</v>
      </c>
      <c r="C118" s="7">
        <v>1</v>
      </c>
      <c r="D118" s="8" t="s">
        <v>576</v>
      </c>
      <c r="E118" t="s">
        <v>511</v>
      </c>
      <c r="F118" t="s">
        <v>511</v>
      </c>
      <c r="G118" t="s">
        <v>512</v>
      </c>
      <c r="H118" s="9" t="s">
        <v>575</v>
      </c>
      <c r="I118" s="9" t="s">
        <v>575</v>
      </c>
      <c r="J118">
        <v>875</v>
      </c>
      <c r="K118">
        <v>840</v>
      </c>
      <c r="L118">
        <v>714</v>
      </c>
      <c r="M118" s="9" t="s">
        <v>575</v>
      </c>
      <c r="N118">
        <v>875</v>
      </c>
      <c r="O118">
        <v>840</v>
      </c>
      <c r="P118">
        <v>714</v>
      </c>
      <c r="Q118" t="s">
        <v>35</v>
      </c>
      <c r="R118">
        <v>22</v>
      </c>
      <c r="S118">
        <v>1</v>
      </c>
      <c r="T118" s="7" t="s">
        <v>577</v>
      </c>
      <c r="U118" s="7" t="s">
        <v>578</v>
      </c>
      <c r="V118" s="10">
        <v>0</v>
      </c>
      <c r="W118" s="9" t="str">
        <f t="shared" si="3"/>
        <v>(1692,null,1,'2026-03-24 00:00:00','003303000150000-330300015','003303000150000-330300015','甲状舌管瘘切除术',null,null,875,840,714,null,875,840,714,'次',22,1,'normal','main',0),</v>
      </c>
    </row>
    <row r="119" ht="15.75" spans="1:23">
      <c r="A119">
        <v>1693</v>
      </c>
      <c r="B119" s="7" t="s">
        <v>575</v>
      </c>
      <c r="C119" s="7">
        <v>1</v>
      </c>
      <c r="D119" s="8" t="s">
        <v>576</v>
      </c>
      <c r="E119" t="s">
        <v>514</v>
      </c>
      <c r="F119" t="s">
        <v>514</v>
      </c>
      <c r="G119" t="s">
        <v>515</v>
      </c>
      <c r="H119" s="9" t="s">
        <v>575</v>
      </c>
      <c r="I119" s="9" t="s">
        <v>575</v>
      </c>
      <c r="J119">
        <v>875</v>
      </c>
      <c r="K119">
        <v>840</v>
      </c>
      <c r="L119">
        <v>714</v>
      </c>
      <c r="M119" s="9" t="s">
        <v>575</v>
      </c>
      <c r="N119">
        <v>875</v>
      </c>
      <c r="O119">
        <v>840</v>
      </c>
      <c r="P119">
        <v>714</v>
      </c>
      <c r="Q119" t="s">
        <v>35</v>
      </c>
      <c r="R119">
        <v>22</v>
      </c>
      <c r="S119">
        <v>1</v>
      </c>
      <c r="T119" s="7" t="s">
        <v>577</v>
      </c>
      <c r="U119" s="7" t="s">
        <v>578</v>
      </c>
      <c r="V119" s="10">
        <v>0</v>
      </c>
      <c r="W119" s="9" t="str">
        <f t="shared" si="3"/>
        <v>(1693,null,1,'2026-03-24 00:00:00','003303000150100-33030001501','003303000150100-33030001501','甲状舌管瘘切除术（囊肿）',null,null,875,840,714,null,875,840,714,'次',22,1,'normal','main',0),</v>
      </c>
    </row>
    <row r="120" ht="15.75" spans="1:23">
      <c r="A120">
        <v>1694</v>
      </c>
      <c r="B120" s="7" t="s">
        <v>575</v>
      </c>
      <c r="C120" s="7">
        <v>1</v>
      </c>
      <c r="D120" s="8" t="s">
        <v>576</v>
      </c>
      <c r="E120" t="s">
        <v>518</v>
      </c>
      <c r="F120" t="s">
        <v>518</v>
      </c>
      <c r="G120" t="s">
        <v>519</v>
      </c>
      <c r="H120" s="9" t="s">
        <v>575</v>
      </c>
      <c r="I120" s="9" t="s">
        <v>575</v>
      </c>
      <c r="J120">
        <v>1140</v>
      </c>
      <c r="K120">
        <v>1090</v>
      </c>
      <c r="L120">
        <v>925</v>
      </c>
      <c r="M120" s="9" t="s">
        <v>575</v>
      </c>
      <c r="N120">
        <v>1140</v>
      </c>
      <c r="O120">
        <v>1090</v>
      </c>
      <c r="P120">
        <v>929</v>
      </c>
      <c r="Q120" t="s">
        <v>35</v>
      </c>
      <c r="R120">
        <v>22</v>
      </c>
      <c r="S120">
        <v>1</v>
      </c>
      <c r="T120" s="7" t="s">
        <v>577</v>
      </c>
      <c r="U120" s="7" t="s">
        <v>578</v>
      </c>
      <c r="V120" s="10">
        <v>0</v>
      </c>
      <c r="W120" s="9" t="str">
        <f t="shared" si="3"/>
        <v>(1694,null,1,'2026-03-24 00:00:00','003303000150000-33030001502','003303000150000-33030001502','小儿甲状舌管瘘切除术',null,null,1140,1090,925,null,1140,1090,929,'次',22,1,'normal','main',0),</v>
      </c>
    </row>
  </sheetData>
  <autoFilter ref="A1:W12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topLeftCell="F1" workbookViewId="0">
      <selection activeCell="A1" sqref="A1:T1"/>
    </sheetView>
  </sheetViews>
  <sheetFormatPr defaultColWidth="9" defaultRowHeight="14.25"/>
  <cols>
    <col min="4" max="5" width="30.375" customWidth="1"/>
    <col min="6" max="6" width="30.75" customWidth="1"/>
  </cols>
  <sheetData>
    <row r="1" ht="25.5" spans="1:20">
      <c r="A1" s="4" t="s">
        <v>553</v>
      </c>
      <c r="B1" s="4" t="s">
        <v>579</v>
      </c>
      <c r="C1" s="4" t="s">
        <v>554</v>
      </c>
      <c r="D1" s="4" t="s">
        <v>557</v>
      </c>
      <c r="E1" s="5" t="s">
        <v>558</v>
      </c>
      <c r="F1" s="4" t="s">
        <v>559</v>
      </c>
      <c r="G1" s="4" t="s">
        <v>560</v>
      </c>
      <c r="H1" s="4" t="s">
        <v>561</v>
      </c>
      <c r="I1" s="4" t="s">
        <v>562</v>
      </c>
      <c r="J1" s="4" t="s">
        <v>563</v>
      </c>
      <c r="K1" s="4" t="s">
        <v>564</v>
      </c>
      <c r="L1" s="4" t="s">
        <v>565</v>
      </c>
      <c r="M1" s="4" t="s">
        <v>566</v>
      </c>
      <c r="N1" s="4" t="s">
        <v>567</v>
      </c>
      <c r="O1" s="4" t="s">
        <v>568</v>
      </c>
      <c r="P1" s="4" t="s">
        <v>569</v>
      </c>
      <c r="Q1" s="4" t="s">
        <v>571</v>
      </c>
      <c r="R1" s="4" t="s">
        <v>580</v>
      </c>
      <c r="S1" s="4" t="s">
        <v>581</v>
      </c>
      <c r="T1" s="6" t="str">
        <f>"insert into server_list_column_20250525 ("&amp;_xlfn.TEXTJOIN(",",TRUE,A1:S1)&amp;") values"</f>
        <v>insert into server_list_column_20250525 (id,server_list_id,code,old_hilist_code,new_hilist_code,hilist_name,selfpay_prop,old_price,old_price_city,old_price_town,old_price_village,new_price,new_price_city,new_price_town,new_price_village,unit,is_use_old,is_main,main_code) values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60"/>
  <sheetViews>
    <sheetView topLeftCell="B1" workbookViewId="0">
      <selection activeCell="B60" sqref="B60"/>
    </sheetView>
  </sheetViews>
  <sheetFormatPr defaultColWidth="9" defaultRowHeight="14.25"/>
  <cols>
    <col min="2" max="2" width="22.5" customWidth="1"/>
    <col min="24" max="24" width="13.75"/>
  </cols>
  <sheetData>
    <row r="1" spans="1:23">
      <c r="A1" s="1"/>
      <c r="B1" s="1" t="s">
        <v>582</v>
      </c>
      <c r="C1" s="1" t="s">
        <v>583</v>
      </c>
      <c r="D1" s="1" t="s">
        <v>584</v>
      </c>
      <c r="E1" s="1" t="s">
        <v>585</v>
      </c>
      <c r="F1" s="1" t="s">
        <v>586</v>
      </c>
      <c r="G1" s="1" t="s">
        <v>587</v>
      </c>
      <c r="H1" s="1" t="s">
        <v>588</v>
      </c>
      <c r="I1" s="1" t="s">
        <v>589</v>
      </c>
      <c r="J1" s="1" t="s">
        <v>590</v>
      </c>
      <c r="K1" s="1" t="s">
        <v>591</v>
      </c>
      <c r="L1" s="1" t="s">
        <v>592</v>
      </c>
      <c r="M1" s="1" t="s">
        <v>593</v>
      </c>
      <c r="N1" s="1" t="s">
        <v>594</v>
      </c>
      <c r="O1" s="1" t="s">
        <v>595</v>
      </c>
      <c r="P1" s="1" t="s">
        <v>596</v>
      </c>
      <c r="Q1" s="1" t="s">
        <v>597</v>
      </c>
      <c r="R1" s="1" t="s">
        <v>598</v>
      </c>
      <c r="S1" s="1" t="s">
        <v>599</v>
      </c>
      <c r="T1" s="1" t="s">
        <v>600</v>
      </c>
      <c r="U1" s="1" t="s">
        <v>601</v>
      </c>
      <c r="V1" s="1" t="s">
        <v>602</v>
      </c>
      <c r="W1" s="1" t="s">
        <v>603</v>
      </c>
    </row>
    <row r="2" ht="38.25" spans="1:23">
      <c r="A2" s="1"/>
      <c r="B2" s="1" t="s">
        <v>557</v>
      </c>
      <c r="C2" s="1" t="s">
        <v>561</v>
      </c>
      <c r="D2" s="1" t="s">
        <v>562</v>
      </c>
      <c r="E2" s="1" t="s">
        <v>563</v>
      </c>
      <c r="F2" s="1" t="s">
        <v>564</v>
      </c>
      <c r="G2" s="1" t="s">
        <v>565</v>
      </c>
      <c r="H2" s="1" t="s">
        <v>566</v>
      </c>
      <c r="I2" s="1" t="s">
        <v>567</v>
      </c>
      <c r="J2" s="1" t="s">
        <v>568</v>
      </c>
      <c r="K2" s="1" t="s">
        <v>571</v>
      </c>
      <c r="L2" s="1" t="s">
        <v>580</v>
      </c>
      <c r="M2" s="1" t="s">
        <v>573</v>
      </c>
      <c r="N2" s="1" t="s">
        <v>574</v>
      </c>
      <c r="O2" s="1" t="s">
        <v>604</v>
      </c>
      <c r="P2" s="1" t="s">
        <v>605</v>
      </c>
      <c r="Q2" s="1" t="s">
        <v>606</v>
      </c>
      <c r="R2" s="1" t="s">
        <v>607</v>
      </c>
      <c r="S2" s="1" t="s">
        <v>608</v>
      </c>
      <c r="T2" s="1" t="s">
        <v>609</v>
      </c>
      <c r="U2" s="1" t="s">
        <v>610</v>
      </c>
      <c r="V2" s="1" t="s">
        <v>611</v>
      </c>
      <c r="W2" s="1" t="s">
        <v>612</v>
      </c>
    </row>
    <row r="3" hidden="1" spans="1:24">
      <c r="A3" s="1">
        <v>1</v>
      </c>
      <c r="B3" s="2" t="s">
        <v>511</v>
      </c>
      <c r="C3" s="3"/>
      <c r="D3" s="2">
        <v>875</v>
      </c>
      <c r="E3" s="2">
        <v>840</v>
      </c>
      <c r="F3" s="2">
        <v>714</v>
      </c>
      <c r="G3" s="3"/>
      <c r="H3" s="2">
        <v>875</v>
      </c>
      <c r="I3" s="2">
        <v>840</v>
      </c>
      <c r="J3" s="2">
        <v>714</v>
      </c>
      <c r="K3" s="2">
        <v>1</v>
      </c>
      <c r="L3" s="2">
        <v>1</v>
      </c>
      <c r="M3" s="2" t="s">
        <v>578</v>
      </c>
      <c r="N3" s="2">
        <v>0</v>
      </c>
      <c r="O3" s="2">
        <v>6</v>
      </c>
      <c r="P3" s="2">
        <v>11</v>
      </c>
      <c r="Q3" s="2">
        <v>2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>
        <f>SUM(U3:W3)</f>
        <v>0</v>
      </c>
    </row>
    <row r="4" hidden="1" spans="1:24">
      <c r="A4" s="1">
        <v>2</v>
      </c>
      <c r="B4" s="2" t="s">
        <v>270</v>
      </c>
      <c r="C4" s="3"/>
      <c r="D4" s="2">
        <v>495</v>
      </c>
      <c r="E4" s="2">
        <v>450</v>
      </c>
      <c r="F4" s="2">
        <v>382.5</v>
      </c>
      <c r="G4" s="3"/>
      <c r="H4" s="2">
        <v>600</v>
      </c>
      <c r="I4" s="2">
        <v>540</v>
      </c>
      <c r="J4" s="2">
        <v>460</v>
      </c>
      <c r="K4" s="2">
        <v>1</v>
      </c>
      <c r="L4" s="2">
        <v>1</v>
      </c>
      <c r="M4" s="2" t="s">
        <v>578</v>
      </c>
      <c r="N4" s="2">
        <v>0</v>
      </c>
      <c r="O4" s="2">
        <v>0</v>
      </c>
      <c r="P4" s="2">
        <v>2</v>
      </c>
      <c r="Q4" s="2">
        <v>0</v>
      </c>
      <c r="R4" s="2">
        <v>0</v>
      </c>
      <c r="S4" s="2">
        <v>180</v>
      </c>
      <c r="T4" s="2">
        <v>0</v>
      </c>
      <c r="U4" s="2">
        <v>0</v>
      </c>
      <c r="V4" s="2">
        <v>180</v>
      </c>
      <c r="W4" s="2">
        <v>0</v>
      </c>
      <c r="X4">
        <f t="shared" ref="X4:X35" si="0">SUM(U4:W4)</f>
        <v>180</v>
      </c>
    </row>
    <row r="5" hidden="1" spans="1:24">
      <c r="A5" s="1">
        <v>3</v>
      </c>
      <c r="B5" s="2" t="s">
        <v>423</v>
      </c>
      <c r="C5" s="3"/>
      <c r="D5" s="2">
        <v>2815</v>
      </c>
      <c r="E5" s="2">
        <v>2570</v>
      </c>
      <c r="F5" s="2">
        <v>2180</v>
      </c>
      <c r="G5" s="3"/>
      <c r="H5" s="2">
        <v>2300</v>
      </c>
      <c r="I5" s="2">
        <v>2030</v>
      </c>
      <c r="J5" s="2">
        <v>1800</v>
      </c>
      <c r="K5" s="2">
        <v>1</v>
      </c>
      <c r="L5" s="2">
        <v>1</v>
      </c>
      <c r="M5" s="2" t="s">
        <v>578</v>
      </c>
      <c r="N5" s="2">
        <v>0</v>
      </c>
      <c r="O5" s="2">
        <v>98.3</v>
      </c>
      <c r="P5" s="2">
        <v>31</v>
      </c>
      <c r="Q5" s="2">
        <v>16</v>
      </c>
      <c r="R5" s="2">
        <v>-50624.5</v>
      </c>
      <c r="S5" s="2">
        <v>-16740</v>
      </c>
      <c r="T5" s="2">
        <v>-6080</v>
      </c>
      <c r="U5" s="2">
        <v>-50624.5</v>
      </c>
      <c r="V5" s="2">
        <v>-16740</v>
      </c>
      <c r="W5" s="2">
        <v>-6080</v>
      </c>
      <c r="X5">
        <f t="shared" si="0"/>
        <v>-73444.5</v>
      </c>
    </row>
    <row r="6" hidden="1" spans="1:24">
      <c r="A6" s="1">
        <v>4</v>
      </c>
      <c r="B6" s="2" t="s">
        <v>79</v>
      </c>
      <c r="C6" s="3"/>
      <c r="D6" s="2">
        <v>1625</v>
      </c>
      <c r="E6" s="2">
        <v>1560</v>
      </c>
      <c r="F6" s="2">
        <v>1326</v>
      </c>
      <c r="G6" s="3"/>
      <c r="H6" s="2">
        <v>1550</v>
      </c>
      <c r="I6" s="2">
        <v>1395</v>
      </c>
      <c r="J6" s="2">
        <v>1200</v>
      </c>
      <c r="K6" s="2">
        <v>1</v>
      </c>
      <c r="L6" s="2">
        <v>1</v>
      </c>
      <c r="M6" s="2" t="s">
        <v>578</v>
      </c>
      <c r="N6" s="2">
        <v>0</v>
      </c>
      <c r="O6" s="2">
        <v>19</v>
      </c>
      <c r="P6" s="2">
        <v>7</v>
      </c>
      <c r="Q6" s="2">
        <v>3</v>
      </c>
      <c r="R6" s="2">
        <v>-1425</v>
      </c>
      <c r="S6" s="2">
        <v>-1155</v>
      </c>
      <c r="T6" s="2">
        <v>-378</v>
      </c>
      <c r="U6" s="2">
        <v>-1425</v>
      </c>
      <c r="V6" s="2">
        <v>-1155</v>
      </c>
      <c r="W6" s="2">
        <v>-378</v>
      </c>
      <c r="X6">
        <f t="shared" si="0"/>
        <v>-2958</v>
      </c>
    </row>
    <row r="7" hidden="1" spans="1:24">
      <c r="A7" s="1">
        <v>5</v>
      </c>
      <c r="B7" s="2" t="s">
        <v>151</v>
      </c>
      <c r="C7" s="3"/>
      <c r="D7" s="2">
        <v>1125</v>
      </c>
      <c r="E7" s="2">
        <v>1080</v>
      </c>
      <c r="F7" s="2">
        <v>918</v>
      </c>
      <c r="G7" s="3"/>
      <c r="H7" s="2">
        <v>2150</v>
      </c>
      <c r="I7" s="2">
        <v>1930</v>
      </c>
      <c r="J7" s="2">
        <v>1640</v>
      </c>
      <c r="K7" s="2">
        <v>1</v>
      </c>
      <c r="L7" s="2">
        <v>1</v>
      </c>
      <c r="M7" s="2" t="s">
        <v>578</v>
      </c>
      <c r="N7" s="2">
        <v>0</v>
      </c>
      <c r="O7" s="2">
        <v>33.5</v>
      </c>
      <c r="P7" s="2">
        <v>50</v>
      </c>
      <c r="Q7" s="2">
        <v>6.5</v>
      </c>
      <c r="R7" s="2">
        <v>34337.5</v>
      </c>
      <c r="S7" s="2">
        <v>42500</v>
      </c>
      <c r="T7" s="2">
        <v>4693</v>
      </c>
      <c r="U7" s="2">
        <v>34337.5</v>
      </c>
      <c r="V7" s="2">
        <v>42662</v>
      </c>
      <c r="W7" s="2">
        <v>4693</v>
      </c>
      <c r="X7">
        <f t="shared" si="0"/>
        <v>81692.5</v>
      </c>
    </row>
    <row r="8" hidden="1" spans="1:24">
      <c r="A8" s="1">
        <v>6</v>
      </c>
      <c r="B8" s="2" t="s">
        <v>394</v>
      </c>
      <c r="C8" s="3"/>
      <c r="D8" s="2">
        <v>1625</v>
      </c>
      <c r="E8" s="2">
        <v>1560</v>
      </c>
      <c r="F8" s="2">
        <v>1326</v>
      </c>
      <c r="G8" s="3"/>
      <c r="H8" s="2">
        <v>1185</v>
      </c>
      <c r="I8" s="2">
        <v>1075</v>
      </c>
      <c r="J8" s="2">
        <v>950</v>
      </c>
      <c r="K8" s="2">
        <v>1</v>
      </c>
      <c r="L8" s="2">
        <v>1</v>
      </c>
      <c r="M8" s="2" t="s">
        <v>578</v>
      </c>
      <c r="N8" s="2">
        <v>0</v>
      </c>
      <c r="O8" s="2">
        <v>17</v>
      </c>
      <c r="P8" s="2">
        <v>2</v>
      </c>
      <c r="Q8" s="2">
        <v>0</v>
      </c>
      <c r="R8" s="2">
        <v>-7480</v>
      </c>
      <c r="S8" s="2">
        <v>-970</v>
      </c>
      <c r="T8" s="2">
        <v>0</v>
      </c>
      <c r="U8" s="2">
        <v>-7480</v>
      </c>
      <c r="V8" s="2">
        <v>-970</v>
      </c>
      <c r="W8" s="2">
        <v>0</v>
      </c>
      <c r="X8">
        <f t="shared" si="0"/>
        <v>-8450</v>
      </c>
    </row>
    <row r="9" hidden="1" spans="1:24">
      <c r="A9" s="1">
        <v>7</v>
      </c>
      <c r="B9" s="2" t="s">
        <v>232</v>
      </c>
      <c r="C9" s="3"/>
      <c r="D9" s="2">
        <v>1140</v>
      </c>
      <c r="E9" s="2">
        <v>1090</v>
      </c>
      <c r="F9" s="2">
        <v>925</v>
      </c>
      <c r="G9" s="3"/>
      <c r="H9" s="2">
        <v>300</v>
      </c>
      <c r="I9" s="2">
        <v>275</v>
      </c>
      <c r="J9" s="2">
        <v>235</v>
      </c>
      <c r="K9" s="2">
        <v>1</v>
      </c>
      <c r="L9" s="2">
        <v>1</v>
      </c>
      <c r="M9" s="2" t="s">
        <v>578</v>
      </c>
      <c r="N9" s="2">
        <v>0</v>
      </c>
      <c r="O9" s="2">
        <v>0.5</v>
      </c>
      <c r="P9" s="2">
        <v>0</v>
      </c>
      <c r="Q9" s="2">
        <v>0</v>
      </c>
      <c r="R9" s="2">
        <v>-420</v>
      </c>
      <c r="S9" s="2">
        <v>0</v>
      </c>
      <c r="T9" s="2">
        <v>0</v>
      </c>
      <c r="U9" s="2">
        <v>-420</v>
      </c>
      <c r="V9" s="2">
        <v>0</v>
      </c>
      <c r="W9" s="2">
        <v>0</v>
      </c>
      <c r="X9">
        <f t="shared" si="0"/>
        <v>-420</v>
      </c>
    </row>
    <row r="10" hidden="1" spans="1:24">
      <c r="A10" s="1">
        <v>8</v>
      </c>
      <c r="B10" s="2" t="s">
        <v>434</v>
      </c>
      <c r="C10" s="3"/>
      <c r="D10" s="2">
        <v>4630</v>
      </c>
      <c r="E10" s="2">
        <v>4170</v>
      </c>
      <c r="F10" s="2">
        <v>3540</v>
      </c>
      <c r="G10" s="3"/>
      <c r="H10" s="2">
        <v>2300</v>
      </c>
      <c r="I10" s="2">
        <v>2030</v>
      </c>
      <c r="J10" s="2">
        <v>1800</v>
      </c>
      <c r="K10" s="2">
        <v>1</v>
      </c>
      <c r="L10" s="2">
        <v>1</v>
      </c>
      <c r="M10" s="2" t="s">
        <v>578</v>
      </c>
      <c r="N10" s="2">
        <v>0</v>
      </c>
      <c r="O10" s="2">
        <v>87</v>
      </c>
      <c r="P10" s="2">
        <v>34</v>
      </c>
      <c r="Q10" s="2">
        <v>0</v>
      </c>
      <c r="R10" s="2">
        <v>-202710</v>
      </c>
      <c r="S10" s="2">
        <v>-72760</v>
      </c>
      <c r="T10" s="2">
        <v>0</v>
      </c>
      <c r="U10" s="2">
        <v>-202710</v>
      </c>
      <c r="V10" s="2">
        <v>-72760</v>
      </c>
      <c r="W10" s="2">
        <v>0</v>
      </c>
      <c r="X10">
        <f t="shared" si="0"/>
        <v>-275470</v>
      </c>
    </row>
    <row r="11" hidden="1" spans="1:24">
      <c r="A11" s="1">
        <v>9</v>
      </c>
      <c r="B11" s="2" t="s">
        <v>342</v>
      </c>
      <c r="C11" s="3"/>
      <c r="D11" s="2">
        <v>3380</v>
      </c>
      <c r="E11" s="2">
        <v>3040</v>
      </c>
      <c r="F11" s="2">
        <v>2580</v>
      </c>
      <c r="G11" s="3"/>
      <c r="H11" s="2">
        <v>2860</v>
      </c>
      <c r="I11" s="2">
        <v>2575</v>
      </c>
      <c r="J11" s="2">
        <v>2205</v>
      </c>
      <c r="K11" s="2">
        <v>1</v>
      </c>
      <c r="L11" s="2">
        <v>1</v>
      </c>
      <c r="M11" s="2" t="s">
        <v>578</v>
      </c>
      <c r="N11" s="2">
        <v>0</v>
      </c>
      <c r="O11" s="2">
        <v>4</v>
      </c>
      <c r="P11" s="2">
        <v>1</v>
      </c>
      <c r="Q11" s="2">
        <v>0</v>
      </c>
      <c r="R11" s="2">
        <v>-2080</v>
      </c>
      <c r="S11" s="2">
        <v>-465</v>
      </c>
      <c r="T11" s="2">
        <v>0</v>
      </c>
      <c r="U11" s="2">
        <v>-2080</v>
      </c>
      <c r="V11" s="2">
        <v>-465</v>
      </c>
      <c r="W11" s="2">
        <v>0</v>
      </c>
      <c r="X11">
        <f t="shared" si="0"/>
        <v>-2545</v>
      </c>
    </row>
    <row r="12" hidden="1" spans="1:24">
      <c r="A12" s="1">
        <v>10</v>
      </c>
      <c r="B12" s="2" t="s">
        <v>457</v>
      </c>
      <c r="C12" s="3"/>
      <c r="D12" s="2">
        <v>2250</v>
      </c>
      <c r="E12" s="2">
        <v>2160</v>
      </c>
      <c r="F12" s="2">
        <v>1836</v>
      </c>
      <c r="G12" s="3"/>
      <c r="H12" s="2">
        <v>1780</v>
      </c>
      <c r="I12" s="2">
        <v>1615</v>
      </c>
      <c r="J12" s="2">
        <v>1430</v>
      </c>
      <c r="K12" s="2">
        <v>1</v>
      </c>
      <c r="L12" s="2">
        <v>1</v>
      </c>
      <c r="M12" s="2" t="s">
        <v>578</v>
      </c>
      <c r="N12" s="2">
        <v>0</v>
      </c>
      <c r="O12" s="2">
        <v>0</v>
      </c>
      <c r="P12" s="2">
        <v>2</v>
      </c>
      <c r="Q12" s="2">
        <v>0</v>
      </c>
      <c r="R12" s="2">
        <v>0</v>
      </c>
      <c r="S12" s="2">
        <v>-1090</v>
      </c>
      <c r="T12" s="2">
        <v>0</v>
      </c>
      <c r="U12" s="2">
        <v>0</v>
      </c>
      <c r="V12" s="2">
        <v>-1090</v>
      </c>
      <c r="W12" s="2">
        <v>0</v>
      </c>
      <c r="X12">
        <f t="shared" si="0"/>
        <v>-1090</v>
      </c>
    </row>
    <row r="13" hidden="1" spans="1:24">
      <c r="A13" s="1">
        <v>11</v>
      </c>
      <c r="B13" s="2" t="s">
        <v>177</v>
      </c>
      <c r="C13" s="3"/>
      <c r="D13" s="2">
        <v>1500</v>
      </c>
      <c r="E13" s="2">
        <v>1440</v>
      </c>
      <c r="F13" s="2">
        <v>1224</v>
      </c>
      <c r="G13" s="3"/>
      <c r="H13" s="2">
        <v>1650</v>
      </c>
      <c r="I13" s="2">
        <v>1500</v>
      </c>
      <c r="J13" s="2">
        <v>1280</v>
      </c>
      <c r="K13" s="2">
        <v>1</v>
      </c>
      <c r="L13" s="2">
        <v>1</v>
      </c>
      <c r="M13" s="2" t="s">
        <v>578</v>
      </c>
      <c r="N13" s="2">
        <v>0</v>
      </c>
      <c r="O13" s="2">
        <v>5</v>
      </c>
      <c r="P13" s="2">
        <v>9.5</v>
      </c>
      <c r="Q13" s="2">
        <v>0</v>
      </c>
      <c r="R13" s="2">
        <v>750</v>
      </c>
      <c r="S13" s="2">
        <v>570</v>
      </c>
      <c r="T13" s="2">
        <v>0</v>
      </c>
      <c r="U13" s="2">
        <v>750</v>
      </c>
      <c r="V13" s="2">
        <v>1290</v>
      </c>
      <c r="W13" s="2">
        <v>0</v>
      </c>
      <c r="X13">
        <f t="shared" si="0"/>
        <v>2040</v>
      </c>
    </row>
    <row r="14" hidden="1" spans="1:24">
      <c r="A14" s="1">
        <v>12</v>
      </c>
      <c r="B14" s="2" t="s">
        <v>461</v>
      </c>
      <c r="C14" s="3"/>
      <c r="D14" s="2">
        <v>2125</v>
      </c>
      <c r="E14" s="2">
        <v>2040</v>
      </c>
      <c r="F14" s="2">
        <v>1734</v>
      </c>
      <c r="G14" s="3"/>
      <c r="H14" s="2">
        <v>1780</v>
      </c>
      <c r="I14" s="2">
        <v>1615</v>
      </c>
      <c r="J14" s="2">
        <v>1430</v>
      </c>
      <c r="K14" s="2">
        <v>1</v>
      </c>
      <c r="L14" s="2">
        <v>1</v>
      </c>
      <c r="M14" s="2" t="s">
        <v>578</v>
      </c>
      <c r="N14" s="2">
        <v>0</v>
      </c>
      <c r="O14" s="2">
        <v>8</v>
      </c>
      <c r="P14" s="2">
        <v>0</v>
      </c>
      <c r="Q14" s="2">
        <v>0</v>
      </c>
      <c r="R14" s="2">
        <v>-2760</v>
      </c>
      <c r="S14" s="2">
        <v>0</v>
      </c>
      <c r="T14" s="2">
        <v>0</v>
      </c>
      <c r="U14" s="2">
        <v>-2760</v>
      </c>
      <c r="V14" s="2">
        <v>0</v>
      </c>
      <c r="W14" s="2">
        <v>0</v>
      </c>
      <c r="X14">
        <f t="shared" si="0"/>
        <v>-2760</v>
      </c>
    </row>
    <row r="15" hidden="1" spans="1:24">
      <c r="A15" s="1">
        <v>13</v>
      </c>
      <c r="B15" s="2" t="s">
        <v>266</v>
      </c>
      <c r="C15" s="3"/>
      <c r="D15" s="2">
        <v>330</v>
      </c>
      <c r="E15" s="2">
        <v>300</v>
      </c>
      <c r="F15" s="2">
        <v>255</v>
      </c>
      <c r="G15" s="3"/>
      <c r="H15" s="2">
        <v>300</v>
      </c>
      <c r="I15" s="2">
        <v>270</v>
      </c>
      <c r="J15" s="2">
        <v>230</v>
      </c>
      <c r="K15" s="2">
        <v>1</v>
      </c>
      <c r="L15" s="2">
        <v>1</v>
      </c>
      <c r="M15" s="2" t="s">
        <v>578</v>
      </c>
      <c r="N15" s="2">
        <v>0</v>
      </c>
      <c r="O15" s="2">
        <v>5</v>
      </c>
      <c r="P15" s="2">
        <v>8</v>
      </c>
      <c r="Q15" s="2">
        <v>0</v>
      </c>
      <c r="R15" s="2">
        <v>-150</v>
      </c>
      <c r="S15" s="2">
        <v>-240</v>
      </c>
      <c r="T15" s="2">
        <v>0</v>
      </c>
      <c r="U15" s="2">
        <v>-150</v>
      </c>
      <c r="V15" s="2">
        <v>-240</v>
      </c>
      <c r="W15" s="2">
        <v>0</v>
      </c>
      <c r="X15">
        <f t="shared" si="0"/>
        <v>-390</v>
      </c>
    </row>
    <row r="16" hidden="1" spans="1:24">
      <c r="A16" s="1">
        <v>14</v>
      </c>
      <c r="B16" s="2" t="s">
        <v>396</v>
      </c>
      <c r="C16" s="3"/>
      <c r="D16" s="2">
        <v>1250</v>
      </c>
      <c r="E16" s="2">
        <v>1200</v>
      </c>
      <c r="F16" s="2">
        <v>1020</v>
      </c>
      <c r="G16" s="3"/>
      <c r="H16" s="2">
        <v>1185</v>
      </c>
      <c r="I16" s="2">
        <v>1075</v>
      </c>
      <c r="J16" s="2">
        <v>950</v>
      </c>
      <c r="K16" s="2">
        <v>1</v>
      </c>
      <c r="L16" s="2">
        <v>1</v>
      </c>
      <c r="M16" s="2" t="s">
        <v>578</v>
      </c>
      <c r="N16" s="2">
        <v>0</v>
      </c>
      <c r="O16" s="2">
        <v>77</v>
      </c>
      <c r="P16" s="2">
        <v>56.5</v>
      </c>
      <c r="Q16" s="2">
        <v>8</v>
      </c>
      <c r="R16" s="2">
        <v>-5005</v>
      </c>
      <c r="S16" s="2">
        <v>-7062.5</v>
      </c>
      <c r="T16" s="2">
        <v>-560</v>
      </c>
      <c r="U16" s="2">
        <v>-5005</v>
      </c>
      <c r="V16" s="2">
        <v>-6597.5</v>
      </c>
      <c r="W16" s="2">
        <v>-560</v>
      </c>
      <c r="X16">
        <f t="shared" si="0"/>
        <v>-12162.5</v>
      </c>
    </row>
    <row r="17" hidden="1" spans="1:24">
      <c r="A17" s="1">
        <v>15</v>
      </c>
      <c r="B17" s="2" t="s">
        <v>164</v>
      </c>
      <c r="C17" s="3"/>
      <c r="D17" s="2">
        <v>750</v>
      </c>
      <c r="E17" s="2">
        <v>720</v>
      </c>
      <c r="F17" s="2">
        <v>612</v>
      </c>
      <c r="G17" s="3"/>
      <c r="H17" s="2">
        <v>1650</v>
      </c>
      <c r="I17" s="2">
        <v>1500</v>
      </c>
      <c r="J17" s="2">
        <v>1280</v>
      </c>
      <c r="K17" s="2">
        <v>1</v>
      </c>
      <c r="L17" s="2">
        <v>1</v>
      </c>
      <c r="M17" s="2" t="s">
        <v>578</v>
      </c>
      <c r="N17" s="2">
        <v>0</v>
      </c>
      <c r="O17" s="2">
        <v>1</v>
      </c>
      <c r="P17" s="2">
        <v>0</v>
      </c>
      <c r="Q17" s="2">
        <v>0</v>
      </c>
      <c r="R17" s="2">
        <v>900</v>
      </c>
      <c r="S17" s="2">
        <v>0</v>
      </c>
      <c r="T17" s="2">
        <v>0</v>
      </c>
      <c r="U17" s="2">
        <v>900</v>
      </c>
      <c r="V17" s="2">
        <v>0</v>
      </c>
      <c r="W17" s="2">
        <v>0</v>
      </c>
      <c r="X17">
        <f t="shared" si="0"/>
        <v>900</v>
      </c>
    </row>
    <row r="18" hidden="1" spans="1:24">
      <c r="A18" s="1">
        <v>16</v>
      </c>
      <c r="B18" s="2" t="s">
        <v>55</v>
      </c>
      <c r="C18" s="3"/>
      <c r="D18" s="2">
        <v>2875</v>
      </c>
      <c r="E18" s="2">
        <v>2760</v>
      </c>
      <c r="F18" s="2">
        <v>2346</v>
      </c>
      <c r="G18" s="3"/>
      <c r="H18" s="2">
        <v>2700</v>
      </c>
      <c r="I18" s="2">
        <v>2435</v>
      </c>
      <c r="J18" s="2">
        <v>2070</v>
      </c>
      <c r="K18" s="2">
        <v>1</v>
      </c>
      <c r="L18" s="2">
        <v>1</v>
      </c>
      <c r="M18" s="2" t="s">
        <v>578</v>
      </c>
      <c r="N18" s="2">
        <v>0</v>
      </c>
      <c r="O18" s="2">
        <v>1</v>
      </c>
      <c r="P18" s="2">
        <v>1</v>
      </c>
      <c r="Q18" s="2">
        <v>0</v>
      </c>
      <c r="R18" s="2">
        <v>-175</v>
      </c>
      <c r="S18" s="2">
        <v>-325</v>
      </c>
      <c r="T18" s="2">
        <v>0</v>
      </c>
      <c r="U18" s="2">
        <v>-175</v>
      </c>
      <c r="V18" s="2">
        <v>-325</v>
      </c>
      <c r="W18" s="2">
        <v>0</v>
      </c>
      <c r="X18">
        <f t="shared" si="0"/>
        <v>-500</v>
      </c>
    </row>
    <row r="19" hidden="1" spans="1:24">
      <c r="A19" s="1">
        <v>17</v>
      </c>
      <c r="B19" s="2" t="s">
        <v>378</v>
      </c>
      <c r="C19" s="3"/>
      <c r="D19" s="2">
        <v>225</v>
      </c>
      <c r="E19" s="2">
        <v>216</v>
      </c>
      <c r="F19" s="2">
        <v>183.6</v>
      </c>
      <c r="G19" s="3"/>
      <c r="H19" s="2">
        <v>225</v>
      </c>
      <c r="I19" s="2">
        <v>203</v>
      </c>
      <c r="J19" s="2">
        <v>175</v>
      </c>
      <c r="K19" s="2">
        <v>1</v>
      </c>
      <c r="L19" s="2">
        <v>1</v>
      </c>
      <c r="M19" s="2" t="s">
        <v>578</v>
      </c>
      <c r="N19" s="2">
        <v>0</v>
      </c>
      <c r="O19" s="2">
        <v>7</v>
      </c>
      <c r="P19" s="2">
        <v>137</v>
      </c>
      <c r="Q19" s="2">
        <v>0</v>
      </c>
      <c r="R19" s="2">
        <v>0</v>
      </c>
      <c r="S19" s="2">
        <v>-1781</v>
      </c>
      <c r="T19" s="2">
        <v>0</v>
      </c>
      <c r="U19" s="2">
        <v>0</v>
      </c>
      <c r="V19" s="2">
        <v>-1781</v>
      </c>
      <c r="W19" s="2">
        <v>0</v>
      </c>
      <c r="X19">
        <f t="shared" si="0"/>
        <v>-1781</v>
      </c>
    </row>
    <row r="20" hidden="1" spans="1:24">
      <c r="A20" s="1">
        <v>18</v>
      </c>
      <c r="B20" s="2" t="s">
        <v>246</v>
      </c>
      <c r="C20" s="3"/>
      <c r="D20" s="2">
        <v>1250</v>
      </c>
      <c r="E20" s="2">
        <v>1200</v>
      </c>
      <c r="F20" s="2">
        <v>1020</v>
      </c>
      <c r="G20" s="3"/>
      <c r="H20" s="2">
        <v>1700</v>
      </c>
      <c r="I20" s="2">
        <v>1530</v>
      </c>
      <c r="J20" s="2">
        <v>1300</v>
      </c>
      <c r="K20" s="2">
        <v>1</v>
      </c>
      <c r="L20" s="2">
        <v>1</v>
      </c>
      <c r="M20" s="2" t="s">
        <v>578</v>
      </c>
      <c r="N20" s="2">
        <v>0</v>
      </c>
      <c r="O20" s="2">
        <v>130</v>
      </c>
      <c r="P20" s="2">
        <v>21.5</v>
      </c>
      <c r="Q20" s="2">
        <v>3.5</v>
      </c>
      <c r="R20" s="2">
        <v>58500</v>
      </c>
      <c r="S20" s="2">
        <v>7095</v>
      </c>
      <c r="T20" s="2">
        <v>980</v>
      </c>
      <c r="U20" s="2">
        <v>58500</v>
      </c>
      <c r="V20" s="2">
        <v>10695</v>
      </c>
      <c r="W20" s="2">
        <v>980</v>
      </c>
      <c r="X20">
        <f t="shared" si="0"/>
        <v>70175</v>
      </c>
    </row>
    <row r="21" hidden="1" spans="1:24">
      <c r="A21" s="1">
        <v>19</v>
      </c>
      <c r="B21" s="2" t="s">
        <v>125</v>
      </c>
      <c r="C21" s="3"/>
      <c r="D21" s="2">
        <v>1000</v>
      </c>
      <c r="E21" s="2">
        <v>960</v>
      </c>
      <c r="F21" s="2">
        <v>816</v>
      </c>
      <c r="G21" s="3"/>
      <c r="H21" s="2">
        <v>1700</v>
      </c>
      <c r="I21" s="2">
        <v>1530</v>
      </c>
      <c r="J21" s="2">
        <v>1300</v>
      </c>
      <c r="K21" s="2">
        <v>1</v>
      </c>
      <c r="L21" s="2">
        <v>1</v>
      </c>
      <c r="M21" s="2" t="s">
        <v>578</v>
      </c>
      <c r="N21" s="2">
        <v>0</v>
      </c>
      <c r="O21" s="2">
        <v>1</v>
      </c>
      <c r="P21" s="2">
        <v>0.5</v>
      </c>
      <c r="Q21" s="2">
        <v>0</v>
      </c>
      <c r="R21" s="2">
        <v>700</v>
      </c>
      <c r="S21" s="2">
        <v>285</v>
      </c>
      <c r="T21" s="2">
        <v>0</v>
      </c>
      <c r="U21" s="2">
        <v>700</v>
      </c>
      <c r="V21" s="2">
        <v>285</v>
      </c>
      <c r="W21" s="2">
        <v>0</v>
      </c>
      <c r="X21">
        <f t="shared" si="0"/>
        <v>985</v>
      </c>
    </row>
    <row r="22" hidden="1" spans="1:24">
      <c r="A22" s="1">
        <v>20</v>
      </c>
      <c r="B22" s="2" t="s">
        <v>77</v>
      </c>
      <c r="C22" s="3"/>
      <c r="D22" s="2">
        <v>1000</v>
      </c>
      <c r="E22" s="2">
        <v>960</v>
      </c>
      <c r="F22" s="2">
        <v>816</v>
      </c>
      <c r="G22" s="3"/>
      <c r="H22" s="2">
        <v>1550</v>
      </c>
      <c r="I22" s="2">
        <v>1395</v>
      </c>
      <c r="J22" s="2">
        <v>1200</v>
      </c>
      <c r="K22" s="2">
        <v>1</v>
      </c>
      <c r="L22" s="2">
        <v>1</v>
      </c>
      <c r="M22" s="2" t="s">
        <v>578</v>
      </c>
      <c r="N22" s="2">
        <v>0</v>
      </c>
      <c r="O22" s="2">
        <v>32.5</v>
      </c>
      <c r="P22" s="2">
        <v>39</v>
      </c>
      <c r="Q22" s="2">
        <v>2.5</v>
      </c>
      <c r="R22" s="2">
        <v>17875</v>
      </c>
      <c r="S22" s="2">
        <v>16965</v>
      </c>
      <c r="T22" s="2">
        <v>960</v>
      </c>
      <c r="U22" s="2">
        <v>17875</v>
      </c>
      <c r="V22" s="2">
        <v>17109</v>
      </c>
      <c r="W22" s="2">
        <v>960</v>
      </c>
      <c r="X22">
        <f t="shared" si="0"/>
        <v>35944</v>
      </c>
    </row>
    <row r="23" hidden="1" spans="1:24">
      <c r="A23" s="1">
        <v>21</v>
      </c>
      <c r="B23" s="2" t="s">
        <v>156</v>
      </c>
      <c r="C23" s="3"/>
      <c r="D23" s="2">
        <v>1465</v>
      </c>
      <c r="E23" s="2">
        <v>1405</v>
      </c>
      <c r="F23" s="2">
        <v>1195</v>
      </c>
      <c r="G23" s="3"/>
      <c r="H23" s="2">
        <v>645</v>
      </c>
      <c r="I23" s="2">
        <v>580</v>
      </c>
      <c r="J23" s="2">
        <v>495</v>
      </c>
      <c r="K23" s="2">
        <v>1</v>
      </c>
      <c r="L23" s="2">
        <v>1</v>
      </c>
      <c r="M23" s="2" t="s">
        <v>578</v>
      </c>
      <c r="N23" s="2">
        <v>0</v>
      </c>
      <c r="O23" s="2">
        <v>51</v>
      </c>
      <c r="P23" s="2">
        <v>4</v>
      </c>
      <c r="Q23" s="2">
        <v>1</v>
      </c>
      <c r="R23" s="2">
        <v>-41820</v>
      </c>
      <c r="S23" s="2">
        <v>-3300</v>
      </c>
      <c r="T23" s="2">
        <v>-700</v>
      </c>
      <c r="U23" s="2">
        <v>-41820</v>
      </c>
      <c r="V23" s="2">
        <v>-3300</v>
      </c>
      <c r="W23" s="2">
        <v>-700</v>
      </c>
      <c r="X23">
        <f t="shared" si="0"/>
        <v>-45820</v>
      </c>
    </row>
    <row r="24" hidden="1" spans="1:24">
      <c r="A24" s="1">
        <v>22</v>
      </c>
      <c r="B24" s="2" t="s">
        <v>203</v>
      </c>
      <c r="C24" s="3"/>
      <c r="D24" s="2">
        <v>1000</v>
      </c>
      <c r="E24" s="2">
        <v>960</v>
      </c>
      <c r="F24" s="2">
        <v>816</v>
      </c>
      <c r="G24" s="3"/>
      <c r="H24" s="2">
        <v>1000</v>
      </c>
      <c r="I24" s="2">
        <v>915</v>
      </c>
      <c r="J24" s="2">
        <v>775</v>
      </c>
      <c r="K24" s="2">
        <v>1</v>
      </c>
      <c r="L24" s="2">
        <v>1</v>
      </c>
      <c r="M24" s="2" t="s">
        <v>578</v>
      </c>
      <c r="N24" s="2">
        <v>0</v>
      </c>
      <c r="O24" s="2">
        <v>37.5</v>
      </c>
      <c r="P24" s="2">
        <v>12</v>
      </c>
      <c r="Q24" s="2">
        <v>0</v>
      </c>
      <c r="R24" s="2">
        <v>0</v>
      </c>
      <c r="S24" s="2">
        <v>-540</v>
      </c>
      <c r="T24" s="2">
        <v>0</v>
      </c>
      <c r="U24" s="2">
        <v>0</v>
      </c>
      <c r="V24" s="2">
        <v>-540</v>
      </c>
      <c r="W24" s="2">
        <v>0</v>
      </c>
      <c r="X24">
        <f t="shared" si="0"/>
        <v>-540</v>
      </c>
    </row>
    <row r="25" hidden="1" spans="1:24">
      <c r="A25" s="1">
        <v>23</v>
      </c>
      <c r="B25" s="2" t="s">
        <v>224</v>
      </c>
      <c r="C25" s="3"/>
      <c r="D25" s="2">
        <v>1300</v>
      </c>
      <c r="E25" s="2">
        <v>1250</v>
      </c>
      <c r="F25" s="2">
        <v>1065</v>
      </c>
      <c r="G25" s="3"/>
      <c r="H25" s="2">
        <v>300</v>
      </c>
      <c r="I25" s="2">
        <v>275</v>
      </c>
      <c r="J25" s="2">
        <v>235</v>
      </c>
      <c r="K25" s="2">
        <v>1</v>
      </c>
      <c r="L25" s="2">
        <v>1</v>
      </c>
      <c r="M25" s="2" t="s">
        <v>578</v>
      </c>
      <c r="N25" s="2">
        <v>0</v>
      </c>
      <c r="O25" s="2">
        <v>1</v>
      </c>
      <c r="P25" s="2">
        <v>0</v>
      </c>
      <c r="Q25" s="2">
        <v>0</v>
      </c>
      <c r="R25" s="2">
        <v>-1000</v>
      </c>
      <c r="S25" s="2">
        <v>0</v>
      </c>
      <c r="T25" s="2">
        <v>0</v>
      </c>
      <c r="U25" s="2">
        <v>-1000</v>
      </c>
      <c r="V25" s="2">
        <v>0</v>
      </c>
      <c r="W25" s="2">
        <v>0</v>
      </c>
      <c r="X25">
        <f t="shared" si="0"/>
        <v>-1000</v>
      </c>
    </row>
    <row r="26" hidden="1" spans="1:24">
      <c r="A26" s="1">
        <v>24</v>
      </c>
      <c r="B26" s="2" t="s">
        <v>359</v>
      </c>
      <c r="C26" s="3"/>
      <c r="D26" s="2">
        <v>500</v>
      </c>
      <c r="E26" s="2">
        <v>480</v>
      </c>
      <c r="F26" s="2">
        <v>408</v>
      </c>
      <c r="G26" s="3"/>
      <c r="H26" s="2">
        <v>500</v>
      </c>
      <c r="I26" s="2">
        <v>450</v>
      </c>
      <c r="J26" s="2">
        <v>390</v>
      </c>
      <c r="K26" s="2">
        <v>1</v>
      </c>
      <c r="L26" s="2">
        <v>1</v>
      </c>
      <c r="M26" s="2" t="s">
        <v>578</v>
      </c>
      <c r="N26" s="2">
        <v>0</v>
      </c>
      <c r="O26" s="2">
        <v>70.5</v>
      </c>
      <c r="P26" s="2">
        <v>75.5</v>
      </c>
      <c r="Q26" s="2">
        <v>11</v>
      </c>
      <c r="R26" s="2">
        <v>0</v>
      </c>
      <c r="S26" s="2">
        <v>-2265</v>
      </c>
      <c r="T26" s="2">
        <v>-198</v>
      </c>
      <c r="U26" s="2">
        <v>0</v>
      </c>
      <c r="V26" s="2">
        <v>-2193</v>
      </c>
      <c r="W26" s="2">
        <v>-198</v>
      </c>
      <c r="X26">
        <f t="shared" si="0"/>
        <v>-2391</v>
      </c>
    </row>
    <row r="27" hidden="1" spans="1:24">
      <c r="A27" s="1">
        <v>25</v>
      </c>
      <c r="B27" s="2" t="s">
        <v>52</v>
      </c>
      <c r="C27" s="3"/>
      <c r="D27" s="2">
        <v>2250</v>
      </c>
      <c r="E27" s="2">
        <v>2160</v>
      </c>
      <c r="F27" s="2">
        <v>1836</v>
      </c>
      <c r="G27" s="3"/>
      <c r="H27" s="2">
        <v>2700</v>
      </c>
      <c r="I27" s="2">
        <v>2435</v>
      </c>
      <c r="J27" s="2">
        <v>2070</v>
      </c>
      <c r="K27" s="2">
        <v>1</v>
      </c>
      <c r="L27" s="2">
        <v>1</v>
      </c>
      <c r="M27" s="2" t="s">
        <v>578</v>
      </c>
      <c r="N27" s="2">
        <v>0</v>
      </c>
      <c r="O27" s="2">
        <v>25</v>
      </c>
      <c r="P27" s="2">
        <v>21</v>
      </c>
      <c r="Q27" s="2">
        <v>0</v>
      </c>
      <c r="R27" s="2">
        <v>11250</v>
      </c>
      <c r="S27" s="2">
        <v>5775</v>
      </c>
      <c r="T27" s="2">
        <v>0</v>
      </c>
      <c r="U27" s="2">
        <v>11250</v>
      </c>
      <c r="V27" s="2">
        <v>5775</v>
      </c>
      <c r="W27" s="2">
        <v>0</v>
      </c>
      <c r="X27">
        <f t="shared" si="0"/>
        <v>17025</v>
      </c>
    </row>
    <row r="28" hidden="1" spans="1:24">
      <c r="A28" s="1">
        <v>26</v>
      </c>
      <c r="B28" s="2" t="s">
        <v>215</v>
      </c>
      <c r="C28" s="3"/>
      <c r="D28" s="2">
        <v>875</v>
      </c>
      <c r="E28" s="2">
        <v>840</v>
      </c>
      <c r="F28" s="2">
        <v>714</v>
      </c>
      <c r="G28" s="3"/>
      <c r="H28" s="2">
        <v>1000</v>
      </c>
      <c r="I28" s="2">
        <v>915</v>
      </c>
      <c r="J28" s="2">
        <v>775</v>
      </c>
      <c r="K28" s="2">
        <v>1</v>
      </c>
      <c r="L28" s="2">
        <v>1</v>
      </c>
      <c r="M28" s="2" t="s">
        <v>578</v>
      </c>
      <c r="N28" s="2">
        <v>0</v>
      </c>
      <c r="O28" s="2">
        <v>90</v>
      </c>
      <c r="P28" s="2">
        <v>47.5</v>
      </c>
      <c r="Q28" s="2">
        <v>4.5</v>
      </c>
      <c r="R28" s="2">
        <v>11250</v>
      </c>
      <c r="S28" s="2">
        <v>3562.5</v>
      </c>
      <c r="T28" s="2">
        <v>274.5</v>
      </c>
      <c r="U28" s="2">
        <v>11250</v>
      </c>
      <c r="V28" s="2">
        <v>3475</v>
      </c>
      <c r="W28" s="2">
        <v>274.5</v>
      </c>
      <c r="X28">
        <f t="shared" si="0"/>
        <v>14999.5</v>
      </c>
    </row>
    <row r="29" hidden="1" spans="1:24">
      <c r="A29" s="1">
        <v>27</v>
      </c>
      <c r="B29" s="2" t="s">
        <v>349</v>
      </c>
      <c r="C29" s="3"/>
      <c r="D29" s="2">
        <v>430</v>
      </c>
      <c r="E29" s="2">
        <v>385</v>
      </c>
      <c r="F29" s="2">
        <v>330</v>
      </c>
      <c r="G29" s="3"/>
      <c r="H29" s="2">
        <v>465</v>
      </c>
      <c r="I29" s="2">
        <v>420</v>
      </c>
      <c r="J29" s="2">
        <v>360</v>
      </c>
      <c r="K29" s="2">
        <v>1</v>
      </c>
      <c r="L29" s="2">
        <v>1</v>
      </c>
      <c r="M29" s="2" t="s">
        <v>578</v>
      </c>
      <c r="N29" s="2">
        <v>0</v>
      </c>
      <c r="O29" s="2">
        <v>501</v>
      </c>
      <c r="P29" s="2">
        <v>148</v>
      </c>
      <c r="Q29" s="2">
        <v>5</v>
      </c>
      <c r="R29" s="2">
        <v>17535</v>
      </c>
      <c r="S29" s="2">
        <v>5180</v>
      </c>
      <c r="T29" s="2">
        <v>150</v>
      </c>
      <c r="U29" s="2">
        <v>17535</v>
      </c>
      <c r="V29" s="2">
        <v>5180</v>
      </c>
      <c r="W29" s="2">
        <v>150</v>
      </c>
      <c r="X29">
        <f t="shared" si="0"/>
        <v>22865</v>
      </c>
    </row>
    <row r="30" hidden="1" spans="1:24">
      <c r="A30" s="1">
        <v>28</v>
      </c>
      <c r="B30" s="2" t="s">
        <v>455</v>
      </c>
      <c r="C30" s="3"/>
      <c r="D30" s="2">
        <v>1625</v>
      </c>
      <c r="E30" s="2">
        <v>1560</v>
      </c>
      <c r="F30" s="2">
        <v>1326</v>
      </c>
      <c r="G30" s="3"/>
      <c r="H30" s="2">
        <v>1780</v>
      </c>
      <c r="I30" s="2">
        <v>1615</v>
      </c>
      <c r="J30" s="2">
        <v>1430</v>
      </c>
      <c r="K30" s="2">
        <v>1</v>
      </c>
      <c r="L30" s="2">
        <v>1</v>
      </c>
      <c r="M30" s="2" t="s">
        <v>578</v>
      </c>
      <c r="N30" s="2">
        <v>0</v>
      </c>
      <c r="O30" s="2">
        <v>9.5</v>
      </c>
      <c r="P30" s="2">
        <v>5</v>
      </c>
      <c r="Q30" s="2">
        <v>0</v>
      </c>
      <c r="R30" s="2">
        <v>1472.5</v>
      </c>
      <c r="S30" s="2">
        <v>275</v>
      </c>
      <c r="T30" s="2">
        <v>0</v>
      </c>
      <c r="U30" s="2">
        <v>1472.5</v>
      </c>
      <c r="V30" s="2">
        <v>275</v>
      </c>
      <c r="W30" s="2">
        <v>0</v>
      </c>
      <c r="X30">
        <f t="shared" si="0"/>
        <v>1747.5</v>
      </c>
    </row>
    <row r="31" hidden="1" spans="1:24">
      <c r="A31" s="1">
        <v>29</v>
      </c>
      <c r="B31" s="2" t="s">
        <v>100</v>
      </c>
      <c r="C31" s="3"/>
      <c r="D31" s="2">
        <v>1000</v>
      </c>
      <c r="E31" s="2">
        <v>960</v>
      </c>
      <c r="F31" s="2">
        <v>816</v>
      </c>
      <c r="G31" s="3"/>
      <c r="H31" s="2">
        <v>1500</v>
      </c>
      <c r="I31" s="2">
        <v>1430</v>
      </c>
      <c r="J31" s="2">
        <v>1200</v>
      </c>
      <c r="K31" s="2">
        <v>1</v>
      </c>
      <c r="L31" s="2">
        <v>1</v>
      </c>
      <c r="M31" s="2" t="s">
        <v>578</v>
      </c>
      <c r="N31" s="2">
        <v>0</v>
      </c>
      <c r="O31" s="2">
        <v>138</v>
      </c>
      <c r="P31" s="2">
        <v>158</v>
      </c>
      <c r="Q31" s="2">
        <v>48</v>
      </c>
      <c r="R31" s="2">
        <v>69000</v>
      </c>
      <c r="S31" s="2">
        <v>74260</v>
      </c>
      <c r="T31" s="2">
        <v>18432</v>
      </c>
      <c r="U31" s="2">
        <v>69000</v>
      </c>
      <c r="V31" s="2">
        <v>74388</v>
      </c>
      <c r="W31" s="2">
        <v>18432</v>
      </c>
      <c r="X31">
        <f t="shared" si="0"/>
        <v>161820</v>
      </c>
    </row>
    <row r="32" hidden="1" spans="1:24">
      <c r="A32" s="1">
        <v>30</v>
      </c>
      <c r="B32" s="2" t="s">
        <v>90</v>
      </c>
      <c r="C32" s="3"/>
      <c r="D32" s="2">
        <v>1465</v>
      </c>
      <c r="E32" s="2">
        <v>1405</v>
      </c>
      <c r="F32" s="2">
        <v>1195</v>
      </c>
      <c r="G32" s="3"/>
      <c r="H32" s="2">
        <v>510</v>
      </c>
      <c r="I32" s="2">
        <v>459</v>
      </c>
      <c r="J32" s="2">
        <v>390</v>
      </c>
      <c r="K32" s="2">
        <v>1</v>
      </c>
      <c r="L32" s="2">
        <v>1</v>
      </c>
      <c r="M32" s="2" t="s">
        <v>578</v>
      </c>
      <c r="N32" s="2">
        <v>0</v>
      </c>
      <c r="O32" s="2">
        <v>3</v>
      </c>
      <c r="P32" s="2">
        <v>0</v>
      </c>
      <c r="Q32" s="2">
        <v>0</v>
      </c>
      <c r="R32" s="2">
        <v>-2865</v>
      </c>
      <c r="S32" s="2">
        <v>0</v>
      </c>
      <c r="T32" s="2">
        <v>0</v>
      </c>
      <c r="U32" s="2">
        <v>-2865</v>
      </c>
      <c r="V32" s="2">
        <v>0</v>
      </c>
      <c r="W32" s="2">
        <v>0</v>
      </c>
      <c r="X32">
        <f t="shared" si="0"/>
        <v>-2865</v>
      </c>
    </row>
    <row r="33" hidden="1" spans="1:24">
      <c r="A33" s="1">
        <v>31</v>
      </c>
      <c r="B33" s="2" t="s">
        <v>86</v>
      </c>
      <c r="C33" s="3"/>
      <c r="D33" s="2">
        <v>1300</v>
      </c>
      <c r="E33" s="2">
        <v>1250</v>
      </c>
      <c r="F33" s="2">
        <v>1065</v>
      </c>
      <c r="G33" s="3"/>
      <c r="H33" s="2">
        <v>1550</v>
      </c>
      <c r="I33" s="2">
        <v>1395</v>
      </c>
      <c r="J33" s="2">
        <v>1200</v>
      </c>
      <c r="K33" s="2">
        <v>1</v>
      </c>
      <c r="L33" s="2">
        <v>1</v>
      </c>
      <c r="M33" s="2" t="s">
        <v>578</v>
      </c>
      <c r="N33" s="2">
        <v>0</v>
      </c>
      <c r="O33" s="2">
        <v>3.5</v>
      </c>
      <c r="P33" s="2">
        <v>1</v>
      </c>
      <c r="Q33" s="2">
        <v>0</v>
      </c>
      <c r="R33" s="2">
        <v>875</v>
      </c>
      <c r="S33" s="2">
        <v>145</v>
      </c>
      <c r="T33" s="2">
        <v>0</v>
      </c>
      <c r="U33" s="2">
        <v>875</v>
      </c>
      <c r="V33" s="2">
        <v>145</v>
      </c>
      <c r="W33" s="2">
        <v>0</v>
      </c>
      <c r="X33">
        <f t="shared" si="0"/>
        <v>1020</v>
      </c>
    </row>
    <row r="34" hidden="1" spans="1:24">
      <c r="A34" s="1">
        <v>32</v>
      </c>
      <c r="B34" s="2" t="s">
        <v>459</v>
      </c>
      <c r="C34" s="3"/>
      <c r="D34" s="2">
        <v>1500</v>
      </c>
      <c r="E34" s="2">
        <v>1440</v>
      </c>
      <c r="F34" s="2">
        <v>1224</v>
      </c>
      <c r="G34" s="3"/>
      <c r="H34" s="2">
        <v>1780</v>
      </c>
      <c r="I34" s="2">
        <v>1615</v>
      </c>
      <c r="J34" s="2">
        <v>1430</v>
      </c>
      <c r="K34" s="2">
        <v>1</v>
      </c>
      <c r="L34" s="2">
        <v>1</v>
      </c>
      <c r="M34" s="2" t="s">
        <v>578</v>
      </c>
      <c r="N34" s="2">
        <v>0</v>
      </c>
      <c r="O34" s="2">
        <v>33</v>
      </c>
      <c r="P34" s="2">
        <v>8.5</v>
      </c>
      <c r="Q34" s="2">
        <v>0</v>
      </c>
      <c r="R34" s="2">
        <v>9240</v>
      </c>
      <c r="S34" s="2">
        <v>1487.5</v>
      </c>
      <c r="T34" s="2">
        <v>0</v>
      </c>
      <c r="U34" s="2">
        <v>9240</v>
      </c>
      <c r="V34" s="2">
        <v>1487.5</v>
      </c>
      <c r="W34" s="2">
        <v>0</v>
      </c>
      <c r="X34">
        <f t="shared" si="0"/>
        <v>10727.5</v>
      </c>
    </row>
    <row r="35" hidden="1" spans="1:24">
      <c r="A35" s="1">
        <v>33</v>
      </c>
      <c r="B35" s="2" t="s">
        <v>327</v>
      </c>
      <c r="C35" s="3"/>
      <c r="D35" s="2">
        <v>430</v>
      </c>
      <c r="E35" s="2">
        <v>385</v>
      </c>
      <c r="F35" s="2">
        <v>330</v>
      </c>
      <c r="G35" s="3"/>
      <c r="H35" s="2">
        <v>2395</v>
      </c>
      <c r="I35" s="2">
        <v>2155</v>
      </c>
      <c r="J35" s="2">
        <v>1845</v>
      </c>
      <c r="K35" s="2">
        <v>1</v>
      </c>
      <c r="L35" s="2">
        <v>1</v>
      </c>
      <c r="M35" s="2" t="s">
        <v>578</v>
      </c>
      <c r="N35" s="2">
        <v>0</v>
      </c>
      <c r="O35" s="2">
        <v>7</v>
      </c>
      <c r="P35" s="2">
        <v>0</v>
      </c>
      <c r="Q35" s="2">
        <v>0</v>
      </c>
      <c r="R35" s="2">
        <v>13755</v>
      </c>
      <c r="S35" s="2">
        <v>0</v>
      </c>
      <c r="T35" s="2">
        <v>0</v>
      </c>
      <c r="U35" s="2">
        <v>13755</v>
      </c>
      <c r="V35" s="2">
        <v>0</v>
      </c>
      <c r="W35" s="2">
        <v>0</v>
      </c>
      <c r="X35">
        <f t="shared" si="0"/>
        <v>13755</v>
      </c>
    </row>
    <row r="36" hidden="1" spans="1:24">
      <c r="A36" s="1">
        <v>34</v>
      </c>
      <c r="B36" s="2" t="s">
        <v>219</v>
      </c>
      <c r="C36" s="3"/>
      <c r="D36" s="2">
        <v>1050</v>
      </c>
      <c r="E36" s="2">
        <v>1008</v>
      </c>
      <c r="F36" s="2">
        <v>856.8</v>
      </c>
      <c r="G36" s="3"/>
      <c r="H36" s="2">
        <v>1000</v>
      </c>
      <c r="I36" s="2">
        <v>915</v>
      </c>
      <c r="J36" s="2">
        <v>775</v>
      </c>
      <c r="K36" s="2">
        <v>1</v>
      </c>
      <c r="L36" s="2">
        <v>1</v>
      </c>
      <c r="M36" s="2" t="s">
        <v>578</v>
      </c>
      <c r="N36" s="2">
        <v>0</v>
      </c>
      <c r="O36" s="2">
        <v>13.5</v>
      </c>
      <c r="P36" s="2">
        <v>11.5</v>
      </c>
      <c r="Q36" s="2">
        <v>1</v>
      </c>
      <c r="R36" s="2">
        <v>-675</v>
      </c>
      <c r="S36" s="2">
        <v>-1069.5</v>
      </c>
      <c r="T36" s="2">
        <v>-81.8</v>
      </c>
      <c r="U36" s="2">
        <v>-675</v>
      </c>
      <c r="V36" s="2">
        <v>-565.5</v>
      </c>
      <c r="W36" s="2">
        <v>632.2</v>
      </c>
      <c r="X36">
        <f t="shared" ref="X36:X60" si="1">SUM(U36:W36)</f>
        <v>-608.3</v>
      </c>
    </row>
    <row r="37" hidden="1" spans="1:24">
      <c r="A37" s="1">
        <v>35</v>
      </c>
      <c r="B37" s="2" t="s">
        <v>84</v>
      </c>
      <c r="C37" s="3"/>
      <c r="D37" s="2">
        <v>1750</v>
      </c>
      <c r="E37" s="2">
        <v>1680</v>
      </c>
      <c r="F37" s="2">
        <v>1428</v>
      </c>
      <c r="G37" s="3"/>
      <c r="H37" s="2">
        <v>1550</v>
      </c>
      <c r="I37" s="2">
        <v>1395</v>
      </c>
      <c r="J37" s="2">
        <v>1200</v>
      </c>
      <c r="K37" s="2">
        <v>1</v>
      </c>
      <c r="L37" s="2">
        <v>1</v>
      </c>
      <c r="M37" s="2" t="s">
        <v>578</v>
      </c>
      <c r="N37" s="2">
        <v>0</v>
      </c>
      <c r="O37" s="2">
        <v>34</v>
      </c>
      <c r="P37" s="2">
        <v>15</v>
      </c>
      <c r="Q37" s="2">
        <v>3</v>
      </c>
      <c r="R37" s="2">
        <v>-6800</v>
      </c>
      <c r="S37" s="2">
        <v>-4275</v>
      </c>
      <c r="T37" s="2">
        <v>-684</v>
      </c>
      <c r="U37" s="2">
        <v>-6800</v>
      </c>
      <c r="V37" s="2">
        <v>-4023</v>
      </c>
      <c r="W37" s="2">
        <v>-684</v>
      </c>
      <c r="X37">
        <f t="shared" si="1"/>
        <v>-11507</v>
      </c>
    </row>
    <row r="38" hidden="1" spans="1:24">
      <c r="A38" s="1">
        <v>36</v>
      </c>
      <c r="B38" s="2" t="s">
        <v>398</v>
      </c>
      <c r="C38" s="3"/>
      <c r="D38" s="2">
        <v>1875</v>
      </c>
      <c r="E38" s="2">
        <v>1800</v>
      </c>
      <c r="F38" s="2">
        <v>1530</v>
      </c>
      <c r="G38" s="3"/>
      <c r="H38" s="2">
        <v>1185</v>
      </c>
      <c r="I38" s="2">
        <v>1075</v>
      </c>
      <c r="J38" s="2">
        <v>950</v>
      </c>
      <c r="K38" s="2">
        <v>1</v>
      </c>
      <c r="L38" s="2">
        <v>1</v>
      </c>
      <c r="M38" s="2" t="s">
        <v>578</v>
      </c>
      <c r="N38" s="2">
        <v>0</v>
      </c>
      <c r="O38" s="2">
        <v>14</v>
      </c>
      <c r="P38" s="2">
        <v>0</v>
      </c>
      <c r="Q38" s="2">
        <v>6</v>
      </c>
      <c r="R38" s="2">
        <v>-9660</v>
      </c>
      <c r="S38" s="2">
        <v>0</v>
      </c>
      <c r="T38" s="2">
        <v>-3480</v>
      </c>
      <c r="U38" s="2">
        <v>-9660</v>
      </c>
      <c r="V38" s="2">
        <v>0</v>
      </c>
      <c r="W38" s="2">
        <v>-3480</v>
      </c>
      <c r="X38">
        <f t="shared" si="1"/>
        <v>-13140</v>
      </c>
    </row>
    <row r="39" hidden="1" spans="1:24">
      <c r="A39" s="1">
        <v>37</v>
      </c>
      <c r="B39" s="2" t="s">
        <v>112</v>
      </c>
      <c r="C39" s="3"/>
      <c r="D39" s="2">
        <v>1300</v>
      </c>
      <c r="E39" s="2">
        <v>1250</v>
      </c>
      <c r="F39" s="2">
        <v>1065</v>
      </c>
      <c r="G39" s="3"/>
      <c r="H39" s="2">
        <v>450</v>
      </c>
      <c r="I39" s="2">
        <v>430</v>
      </c>
      <c r="J39" s="2">
        <v>360</v>
      </c>
      <c r="K39" s="2">
        <v>1</v>
      </c>
      <c r="L39" s="2">
        <v>1</v>
      </c>
      <c r="M39" s="2" t="s">
        <v>578</v>
      </c>
      <c r="N39" s="2">
        <v>0</v>
      </c>
      <c r="O39" s="2">
        <v>228</v>
      </c>
      <c r="P39" s="2">
        <v>98.5</v>
      </c>
      <c r="Q39" s="2">
        <v>8</v>
      </c>
      <c r="R39" s="2">
        <v>-193800</v>
      </c>
      <c r="S39" s="2">
        <v>-80770</v>
      </c>
      <c r="T39" s="2">
        <v>-5640</v>
      </c>
      <c r="U39" s="2">
        <v>-192500</v>
      </c>
      <c r="V39" s="2">
        <v>-79335</v>
      </c>
      <c r="W39" s="2">
        <v>-5640</v>
      </c>
      <c r="X39">
        <f t="shared" si="1"/>
        <v>-277475</v>
      </c>
    </row>
    <row r="40" hidden="1" spans="1:24">
      <c r="A40" s="1">
        <v>38</v>
      </c>
      <c r="B40" s="2" t="s">
        <v>390</v>
      </c>
      <c r="C40" s="3"/>
      <c r="D40" s="2">
        <v>1000</v>
      </c>
      <c r="E40" s="2">
        <v>960</v>
      </c>
      <c r="F40" s="2">
        <v>816</v>
      </c>
      <c r="G40" s="3"/>
      <c r="H40" s="2">
        <v>1185</v>
      </c>
      <c r="I40" s="2">
        <v>1075</v>
      </c>
      <c r="J40" s="2">
        <v>950</v>
      </c>
      <c r="K40" s="2">
        <v>1</v>
      </c>
      <c r="L40" s="2">
        <v>1</v>
      </c>
      <c r="M40" s="2" t="s">
        <v>578</v>
      </c>
      <c r="N40" s="2">
        <v>0</v>
      </c>
      <c r="O40" s="2">
        <v>122</v>
      </c>
      <c r="P40" s="2">
        <v>68</v>
      </c>
      <c r="Q40" s="2">
        <v>8</v>
      </c>
      <c r="R40" s="2">
        <v>22570</v>
      </c>
      <c r="S40" s="2">
        <v>7820</v>
      </c>
      <c r="T40" s="2">
        <v>1072</v>
      </c>
      <c r="U40" s="2">
        <v>22570</v>
      </c>
      <c r="V40" s="2">
        <v>8780</v>
      </c>
      <c r="W40" s="2">
        <v>1072</v>
      </c>
      <c r="X40">
        <f t="shared" si="1"/>
        <v>32422</v>
      </c>
    </row>
    <row r="41" hidden="1" spans="1:24">
      <c r="A41" s="1">
        <v>39</v>
      </c>
      <c r="B41" s="2" t="s">
        <v>290</v>
      </c>
      <c r="C41" s="3"/>
      <c r="D41" s="2">
        <v>125</v>
      </c>
      <c r="E41" s="2">
        <v>120</v>
      </c>
      <c r="F41" s="2">
        <v>102</v>
      </c>
      <c r="G41" s="3"/>
      <c r="H41" s="2">
        <v>0</v>
      </c>
      <c r="I41" s="2">
        <v>0</v>
      </c>
      <c r="J41" s="2">
        <v>0</v>
      </c>
      <c r="K41" s="2">
        <v>1</v>
      </c>
      <c r="L41" s="2">
        <v>1</v>
      </c>
      <c r="M41" s="2" t="s">
        <v>578</v>
      </c>
      <c r="N41" s="2">
        <v>0</v>
      </c>
      <c r="O41" s="2">
        <v>1077</v>
      </c>
      <c r="P41" s="2">
        <v>790</v>
      </c>
      <c r="Q41" s="2">
        <v>38</v>
      </c>
      <c r="R41" s="2">
        <v>-134625</v>
      </c>
      <c r="S41" s="2">
        <v>-94800</v>
      </c>
      <c r="T41" s="2">
        <v>-3876</v>
      </c>
      <c r="U41" s="2">
        <v>-134625</v>
      </c>
      <c r="V41" s="2">
        <v>-94800</v>
      </c>
      <c r="W41" s="2">
        <v>-3876</v>
      </c>
      <c r="X41">
        <f t="shared" si="1"/>
        <v>-233301</v>
      </c>
    </row>
    <row r="42" hidden="1" spans="1:24">
      <c r="A42" s="1">
        <v>40</v>
      </c>
      <c r="B42" s="2" t="s">
        <v>81</v>
      </c>
      <c r="C42" s="3"/>
      <c r="D42" s="2">
        <v>1125</v>
      </c>
      <c r="E42" s="2">
        <v>1080</v>
      </c>
      <c r="F42" s="2">
        <v>918</v>
      </c>
      <c r="G42" s="3"/>
      <c r="H42" s="2">
        <v>1550</v>
      </c>
      <c r="I42" s="2">
        <v>1395</v>
      </c>
      <c r="J42" s="2">
        <v>1200</v>
      </c>
      <c r="K42" s="2">
        <v>1</v>
      </c>
      <c r="L42" s="2">
        <v>1</v>
      </c>
      <c r="M42" s="2" t="s">
        <v>578</v>
      </c>
      <c r="N42" s="2">
        <v>0</v>
      </c>
      <c r="O42" s="2">
        <v>53.5</v>
      </c>
      <c r="P42" s="2">
        <v>26</v>
      </c>
      <c r="Q42" s="2">
        <v>4</v>
      </c>
      <c r="R42" s="2">
        <v>22737.5</v>
      </c>
      <c r="S42" s="2">
        <v>8190</v>
      </c>
      <c r="T42" s="2">
        <v>1128</v>
      </c>
      <c r="U42" s="2">
        <v>22737.5</v>
      </c>
      <c r="V42" s="2">
        <v>8190</v>
      </c>
      <c r="W42" s="2">
        <v>1128</v>
      </c>
      <c r="X42">
        <f t="shared" si="1"/>
        <v>32055.5</v>
      </c>
    </row>
    <row r="43" hidden="1" spans="1:24">
      <c r="A43" s="1">
        <v>41</v>
      </c>
      <c r="B43" s="2" t="s">
        <v>437</v>
      </c>
      <c r="C43" s="3"/>
      <c r="D43" s="2">
        <v>5255</v>
      </c>
      <c r="E43" s="2">
        <v>6020</v>
      </c>
      <c r="F43" s="2">
        <v>5120</v>
      </c>
      <c r="G43" s="3"/>
      <c r="H43" s="2">
        <v>2300</v>
      </c>
      <c r="I43" s="2">
        <v>2030</v>
      </c>
      <c r="J43" s="2">
        <v>1800</v>
      </c>
      <c r="K43" s="2">
        <v>1</v>
      </c>
      <c r="L43" s="2">
        <v>1</v>
      </c>
      <c r="M43" s="2" t="s">
        <v>578</v>
      </c>
      <c r="N43" s="2">
        <v>0</v>
      </c>
      <c r="O43" s="2">
        <v>33</v>
      </c>
      <c r="P43" s="2">
        <v>3</v>
      </c>
      <c r="Q43" s="2">
        <v>0</v>
      </c>
      <c r="R43" s="2">
        <v>-97515</v>
      </c>
      <c r="S43" s="2">
        <v>-11970</v>
      </c>
      <c r="T43" s="2">
        <v>0</v>
      </c>
      <c r="U43" s="2">
        <v>-97515</v>
      </c>
      <c r="V43" s="2">
        <v>-11970</v>
      </c>
      <c r="W43" s="2">
        <v>0</v>
      </c>
      <c r="X43">
        <f t="shared" si="1"/>
        <v>-109485</v>
      </c>
    </row>
    <row r="44" hidden="1" spans="1:24">
      <c r="A44" s="1">
        <v>42</v>
      </c>
      <c r="B44" s="2" t="s">
        <v>305</v>
      </c>
      <c r="C44" s="3"/>
      <c r="D44" s="2">
        <v>250</v>
      </c>
      <c r="E44" s="2">
        <v>240</v>
      </c>
      <c r="F44" s="2">
        <v>204</v>
      </c>
      <c r="G44" s="3"/>
      <c r="H44" s="2">
        <v>0</v>
      </c>
      <c r="I44" s="2">
        <v>0</v>
      </c>
      <c r="J44" s="2">
        <v>0</v>
      </c>
      <c r="K44" s="2">
        <v>1</v>
      </c>
      <c r="L44" s="2">
        <v>1</v>
      </c>
      <c r="M44" s="2" t="s">
        <v>578</v>
      </c>
      <c r="N44" s="2">
        <v>0</v>
      </c>
      <c r="O44" s="2">
        <v>2694.5</v>
      </c>
      <c r="P44" s="2">
        <v>705.5</v>
      </c>
      <c r="Q44" s="2">
        <v>25</v>
      </c>
      <c r="R44" s="2">
        <v>-673625</v>
      </c>
      <c r="S44" s="2">
        <v>-169320</v>
      </c>
      <c r="T44" s="2">
        <v>-5100</v>
      </c>
      <c r="U44" s="2">
        <v>-673625</v>
      </c>
      <c r="V44" s="2">
        <v>-168960</v>
      </c>
      <c r="W44" s="2">
        <v>-5100</v>
      </c>
      <c r="X44">
        <f t="shared" si="1"/>
        <v>-847685</v>
      </c>
    </row>
    <row r="45" hidden="1" spans="1:24">
      <c r="A45" s="1">
        <v>43</v>
      </c>
      <c r="B45" s="2" t="s">
        <v>484</v>
      </c>
      <c r="C45" s="3"/>
      <c r="D45" s="2">
        <v>2000</v>
      </c>
      <c r="E45" s="2">
        <v>1800</v>
      </c>
      <c r="F45" s="2">
        <v>1600</v>
      </c>
      <c r="G45" s="3"/>
      <c r="H45" s="2">
        <v>1600</v>
      </c>
      <c r="I45" s="2">
        <v>1500</v>
      </c>
      <c r="J45" s="2">
        <v>1280</v>
      </c>
      <c r="K45" s="2">
        <v>1</v>
      </c>
      <c r="L45" s="2">
        <v>1</v>
      </c>
      <c r="M45" s="2" t="s">
        <v>578</v>
      </c>
      <c r="N45" s="2">
        <v>0</v>
      </c>
      <c r="O45" s="2">
        <v>416.5</v>
      </c>
      <c r="P45" s="2">
        <v>154</v>
      </c>
      <c r="Q45" s="2">
        <v>12</v>
      </c>
      <c r="R45" s="2">
        <v>-166600</v>
      </c>
      <c r="S45" s="2">
        <v>-46200</v>
      </c>
      <c r="T45" s="2">
        <v>-3840</v>
      </c>
      <c r="U45" s="2">
        <v>-166600</v>
      </c>
      <c r="V45" s="2">
        <v>-41700</v>
      </c>
      <c r="W45" s="2">
        <v>-3840</v>
      </c>
      <c r="X45">
        <f t="shared" si="1"/>
        <v>-212140</v>
      </c>
    </row>
    <row r="46" hidden="1" spans="1:24">
      <c r="A46" s="1">
        <v>44</v>
      </c>
      <c r="B46" s="2" t="s">
        <v>514</v>
      </c>
      <c r="C46" s="3"/>
      <c r="D46" s="2">
        <v>875</v>
      </c>
      <c r="E46" s="2">
        <v>840</v>
      </c>
      <c r="F46" s="2">
        <v>714</v>
      </c>
      <c r="G46" s="3"/>
      <c r="H46" s="2">
        <v>875</v>
      </c>
      <c r="I46" s="2">
        <v>840</v>
      </c>
      <c r="J46" s="2">
        <v>714</v>
      </c>
      <c r="K46" s="2">
        <v>1</v>
      </c>
      <c r="L46" s="2">
        <v>1</v>
      </c>
      <c r="M46" s="2" t="s">
        <v>578</v>
      </c>
      <c r="N46" s="2">
        <v>0</v>
      </c>
      <c r="O46" s="2">
        <v>65.5</v>
      </c>
      <c r="P46" s="2">
        <v>20</v>
      </c>
      <c r="Q46" s="2">
        <v>1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>
        <f t="shared" si="1"/>
        <v>0</v>
      </c>
    </row>
    <row r="47" hidden="1" spans="1:24">
      <c r="A47" s="1">
        <v>45</v>
      </c>
      <c r="B47" s="2" t="s">
        <v>319</v>
      </c>
      <c r="C47" s="3"/>
      <c r="D47" s="2">
        <v>875</v>
      </c>
      <c r="E47" s="2">
        <v>840</v>
      </c>
      <c r="F47" s="2">
        <v>714</v>
      </c>
      <c r="G47" s="3"/>
      <c r="H47" s="2">
        <v>2395</v>
      </c>
      <c r="I47" s="2">
        <v>2155</v>
      </c>
      <c r="J47" s="2">
        <v>1845</v>
      </c>
      <c r="K47" s="2">
        <v>1</v>
      </c>
      <c r="L47" s="2">
        <v>1</v>
      </c>
      <c r="M47" s="2" t="s">
        <v>578</v>
      </c>
      <c r="N47" s="2">
        <v>0</v>
      </c>
      <c r="O47" s="2">
        <v>159.5</v>
      </c>
      <c r="P47" s="2">
        <v>56.5</v>
      </c>
      <c r="Q47" s="2">
        <v>2</v>
      </c>
      <c r="R47" s="2">
        <v>242440</v>
      </c>
      <c r="S47" s="2">
        <v>74297.5</v>
      </c>
      <c r="T47" s="2">
        <v>2262</v>
      </c>
      <c r="U47" s="2">
        <v>242440</v>
      </c>
      <c r="V47" s="2">
        <v>74297.5</v>
      </c>
      <c r="W47" s="2">
        <v>2262</v>
      </c>
      <c r="X47">
        <f t="shared" si="1"/>
        <v>318999.5</v>
      </c>
    </row>
    <row r="48" hidden="1" spans="1:24">
      <c r="A48" s="1">
        <v>46</v>
      </c>
      <c r="B48" s="2" t="s">
        <v>180</v>
      </c>
      <c r="C48" s="3"/>
      <c r="D48" s="2">
        <v>2125</v>
      </c>
      <c r="E48" s="2">
        <v>2040</v>
      </c>
      <c r="F48" s="2">
        <v>1734</v>
      </c>
      <c r="G48" s="3"/>
      <c r="H48" s="2">
        <v>1650</v>
      </c>
      <c r="I48" s="2">
        <v>1500</v>
      </c>
      <c r="J48" s="2">
        <v>1280</v>
      </c>
      <c r="K48" s="2">
        <v>1</v>
      </c>
      <c r="L48" s="2">
        <v>1</v>
      </c>
      <c r="M48" s="2" t="s">
        <v>578</v>
      </c>
      <c r="N48" s="2">
        <v>0</v>
      </c>
      <c r="O48" s="2">
        <v>6</v>
      </c>
      <c r="P48" s="2">
        <v>1</v>
      </c>
      <c r="Q48" s="2">
        <v>0</v>
      </c>
      <c r="R48" s="2">
        <v>-2850</v>
      </c>
      <c r="S48" s="2">
        <v>-540</v>
      </c>
      <c r="T48" s="2">
        <v>0</v>
      </c>
      <c r="U48" s="2">
        <v>-2850</v>
      </c>
      <c r="V48" s="2">
        <v>-540</v>
      </c>
      <c r="W48" s="2">
        <v>0</v>
      </c>
      <c r="X48">
        <f t="shared" si="1"/>
        <v>-3390</v>
      </c>
    </row>
    <row r="49" hidden="1" spans="1:24">
      <c r="A49" s="1">
        <v>47</v>
      </c>
      <c r="B49" s="2" t="s">
        <v>518</v>
      </c>
      <c r="C49" s="3"/>
      <c r="D49" s="2">
        <v>1140</v>
      </c>
      <c r="E49" s="2">
        <v>1090</v>
      </c>
      <c r="F49" s="2">
        <v>925</v>
      </c>
      <c r="G49" s="3"/>
      <c r="H49" s="2">
        <v>265</v>
      </c>
      <c r="I49" s="2">
        <v>250</v>
      </c>
      <c r="J49" s="2">
        <v>215</v>
      </c>
      <c r="K49" s="2">
        <v>1</v>
      </c>
      <c r="L49" s="2">
        <v>1</v>
      </c>
      <c r="M49" s="2" t="s">
        <v>578</v>
      </c>
      <c r="N49" s="2">
        <v>0</v>
      </c>
      <c r="O49" s="2">
        <v>10</v>
      </c>
      <c r="P49" s="2">
        <v>4</v>
      </c>
      <c r="Q49" s="2">
        <v>0</v>
      </c>
      <c r="R49" s="2">
        <v>-8750</v>
      </c>
      <c r="S49" s="2">
        <v>-3360</v>
      </c>
      <c r="T49" s="2">
        <v>0</v>
      </c>
      <c r="U49" s="2">
        <v>-8750</v>
      </c>
      <c r="V49" s="2">
        <v>-3360</v>
      </c>
      <c r="W49" s="2">
        <v>0</v>
      </c>
      <c r="X49">
        <f t="shared" si="1"/>
        <v>-12110</v>
      </c>
    </row>
    <row r="50" hidden="1" spans="1:24">
      <c r="A50" s="1">
        <v>48</v>
      </c>
      <c r="B50" s="2" t="s">
        <v>184</v>
      </c>
      <c r="C50" s="3"/>
      <c r="D50" s="2">
        <v>975</v>
      </c>
      <c r="E50" s="2">
        <v>935</v>
      </c>
      <c r="F50" s="2">
        <v>795</v>
      </c>
      <c r="G50" s="3"/>
      <c r="H50" s="2">
        <v>495</v>
      </c>
      <c r="I50" s="2">
        <v>450</v>
      </c>
      <c r="J50" s="2">
        <v>385</v>
      </c>
      <c r="K50" s="2">
        <v>1</v>
      </c>
      <c r="L50" s="2">
        <v>1</v>
      </c>
      <c r="M50" s="2" t="s">
        <v>578</v>
      </c>
      <c r="N50" s="2">
        <v>0</v>
      </c>
      <c r="O50" s="2">
        <v>5</v>
      </c>
      <c r="P50" s="2">
        <v>0</v>
      </c>
      <c r="Q50" s="2">
        <v>0</v>
      </c>
      <c r="R50" s="2">
        <v>-2400</v>
      </c>
      <c r="S50" s="2">
        <v>0</v>
      </c>
      <c r="T50" s="2">
        <v>0</v>
      </c>
      <c r="U50" s="2">
        <v>-2400</v>
      </c>
      <c r="V50" s="2">
        <v>0</v>
      </c>
      <c r="W50" s="2">
        <v>0</v>
      </c>
      <c r="X50">
        <f t="shared" si="1"/>
        <v>-2400</v>
      </c>
    </row>
    <row r="51" hidden="1" spans="1:24">
      <c r="A51" s="1">
        <v>49</v>
      </c>
      <c r="B51" s="2" t="s">
        <v>108</v>
      </c>
      <c r="C51" s="3"/>
      <c r="D51" s="2">
        <v>1750</v>
      </c>
      <c r="E51" s="2">
        <v>1680</v>
      </c>
      <c r="F51" s="2">
        <v>1428</v>
      </c>
      <c r="G51" s="3"/>
      <c r="H51" s="2">
        <v>1500</v>
      </c>
      <c r="I51" s="2">
        <v>1430</v>
      </c>
      <c r="J51" s="2">
        <v>1200</v>
      </c>
      <c r="K51" s="2">
        <v>1</v>
      </c>
      <c r="L51" s="2">
        <v>1</v>
      </c>
      <c r="M51" s="2" t="s">
        <v>578</v>
      </c>
      <c r="N51" s="2">
        <v>0</v>
      </c>
      <c r="O51" s="2">
        <v>894</v>
      </c>
      <c r="P51" s="2">
        <v>1651.5</v>
      </c>
      <c r="Q51" s="2">
        <v>176.5</v>
      </c>
      <c r="R51" s="2">
        <v>-223500</v>
      </c>
      <c r="S51" s="2">
        <v>-412875</v>
      </c>
      <c r="T51" s="2">
        <v>-40242</v>
      </c>
      <c r="U51" s="2">
        <v>-223500</v>
      </c>
      <c r="V51" s="2">
        <v>-407583</v>
      </c>
      <c r="W51" s="2">
        <v>-40242</v>
      </c>
      <c r="X51">
        <f t="shared" si="1"/>
        <v>-671325</v>
      </c>
    </row>
    <row r="52" hidden="1" spans="1:24">
      <c r="A52" s="1">
        <v>50</v>
      </c>
      <c r="B52" s="2" t="s">
        <v>255</v>
      </c>
      <c r="C52" s="3"/>
      <c r="D52" s="2">
        <v>2250</v>
      </c>
      <c r="E52" s="2">
        <v>2160</v>
      </c>
      <c r="F52" s="2">
        <v>1835</v>
      </c>
      <c r="G52" s="3"/>
      <c r="H52" s="2">
        <v>510</v>
      </c>
      <c r="I52" s="2">
        <v>460</v>
      </c>
      <c r="J52" s="2">
        <v>390</v>
      </c>
      <c r="K52" s="2">
        <v>1</v>
      </c>
      <c r="L52" s="2">
        <v>1</v>
      </c>
      <c r="M52" s="2" t="s">
        <v>578</v>
      </c>
      <c r="N52" s="2">
        <v>0</v>
      </c>
      <c r="O52" s="2">
        <v>5</v>
      </c>
      <c r="P52" s="2">
        <v>0</v>
      </c>
      <c r="Q52" s="2">
        <v>0</v>
      </c>
      <c r="R52" s="2">
        <v>-8700</v>
      </c>
      <c r="S52" s="2">
        <v>0</v>
      </c>
      <c r="T52" s="2">
        <v>0</v>
      </c>
      <c r="U52" s="2">
        <v>-8700</v>
      </c>
      <c r="V52" s="2">
        <v>0</v>
      </c>
      <c r="W52" s="2">
        <v>0</v>
      </c>
      <c r="X52">
        <f t="shared" si="1"/>
        <v>-8700</v>
      </c>
    </row>
    <row r="53" hidden="1" spans="1:24">
      <c r="A53" s="1">
        <v>51</v>
      </c>
      <c r="B53" s="2" t="s">
        <v>105</v>
      </c>
      <c r="C53" s="3"/>
      <c r="D53" s="2">
        <v>1125</v>
      </c>
      <c r="E53" s="2">
        <v>1080</v>
      </c>
      <c r="F53" s="2">
        <v>918</v>
      </c>
      <c r="G53" s="3"/>
      <c r="H53" s="2">
        <v>1500</v>
      </c>
      <c r="I53" s="2">
        <v>1430</v>
      </c>
      <c r="J53" s="2">
        <v>1200</v>
      </c>
      <c r="K53" s="2">
        <v>1</v>
      </c>
      <c r="L53" s="2">
        <v>1</v>
      </c>
      <c r="M53" s="2" t="s">
        <v>578</v>
      </c>
      <c r="N53" s="2">
        <v>0</v>
      </c>
      <c r="O53" s="2">
        <v>583.5</v>
      </c>
      <c r="P53" s="2">
        <v>763.5</v>
      </c>
      <c r="Q53" s="2">
        <v>253</v>
      </c>
      <c r="R53" s="2">
        <v>218812.5</v>
      </c>
      <c r="S53" s="2">
        <v>267225</v>
      </c>
      <c r="T53" s="2">
        <v>71346</v>
      </c>
      <c r="U53" s="2">
        <v>218812.5</v>
      </c>
      <c r="V53" s="2">
        <v>271680</v>
      </c>
      <c r="W53" s="2">
        <v>71346</v>
      </c>
      <c r="X53">
        <f t="shared" si="1"/>
        <v>561838.5</v>
      </c>
    </row>
    <row r="54" hidden="1" spans="1:24">
      <c r="A54" s="1">
        <v>52</v>
      </c>
      <c r="B54" s="2" t="s">
        <v>249</v>
      </c>
      <c r="C54" s="3"/>
      <c r="D54" s="2">
        <v>1875</v>
      </c>
      <c r="E54" s="2">
        <v>1800</v>
      </c>
      <c r="F54" s="2">
        <v>1530</v>
      </c>
      <c r="G54" s="3"/>
      <c r="H54" s="2">
        <v>1700</v>
      </c>
      <c r="I54" s="2">
        <v>1530</v>
      </c>
      <c r="J54" s="2">
        <v>1300</v>
      </c>
      <c r="K54" s="2">
        <v>1</v>
      </c>
      <c r="L54" s="2">
        <v>1</v>
      </c>
      <c r="M54" s="2" t="s">
        <v>578</v>
      </c>
      <c r="N54" s="2">
        <v>0</v>
      </c>
      <c r="O54" s="2">
        <v>59</v>
      </c>
      <c r="P54" s="2">
        <v>11</v>
      </c>
      <c r="Q54" s="2">
        <v>0</v>
      </c>
      <c r="R54" s="2">
        <v>-10325</v>
      </c>
      <c r="S54" s="2">
        <v>-2970</v>
      </c>
      <c r="T54" s="2">
        <v>0</v>
      </c>
      <c r="U54" s="2">
        <v>-10325</v>
      </c>
      <c r="V54" s="2">
        <v>-2970</v>
      </c>
      <c r="W54" s="2">
        <v>0</v>
      </c>
      <c r="X54">
        <f t="shared" si="1"/>
        <v>-13295</v>
      </c>
    </row>
    <row r="55" hidden="1" spans="1:24">
      <c r="A55" s="1">
        <v>53</v>
      </c>
      <c r="B55" s="2" t="s">
        <v>421</v>
      </c>
      <c r="C55" s="3"/>
      <c r="D55" s="2">
        <v>2190</v>
      </c>
      <c r="E55" s="2">
        <v>1970</v>
      </c>
      <c r="F55" s="2">
        <v>1670</v>
      </c>
      <c r="G55" s="3"/>
      <c r="H55" s="2">
        <v>2300</v>
      </c>
      <c r="I55" s="2">
        <v>2030</v>
      </c>
      <c r="J55" s="2">
        <v>1800</v>
      </c>
      <c r="K55" s="2">
        <v>1</v>
      </c>
      <c r="L55" s="2">
        <v>1</v>
      </c>
      <c r="M55" s="2" t="s">
        <v>578</v>
      </c>
      <c r="N55" s="2">
        <v>0</v>
      </c>
      <c r="O55" s="2">
        <v>489.5</v>
      </c>
      <c r="P55" s="2">
        <v>324.5</v>
      </c>
      <c r="Q55" s="2">
        <v>24.5</v>
      </c>
      <c r="R55" s="2">
        <v>53845</v>
      </c>
      <c r="S55" s="2">
        <v>19470</v>
      </c>
      <c r="T55" s="2">
        <v>3185</v>
      </c>
      <c r="U55" s="2">
        <v>53845</v>
      </c>
      <c r="V55" s="2">
        <v>21955</v>
      </c>
      <c r="W55" s="2">
        <v>3185</v>
      </c>
      <c r="X55">
        <f t="shared" si="1"/>
        <v>78985</v>
      </c>
    </row>
    <row r="56" hidden="1" spans="1:24">
      <c r="A56" s="1">
        <v>54</v>
      </c>
      <c r="B56" s="2" t="s">
        <v>212</v>
      </c>
      <c r="C56" s="3"/>
      <c r="D56" s="2">
        <v>1000</v>
      </c>
      <c r="E56" s="2">
        <v>960</v>
      </c>
      <c r="F56" s="2">
        <v>816</v>
      </c>
      <c r="G56" s="3"/>
      <c r="H56" s="2">
        <v>1000</v>
      </c>
      <c r="I56" s="2">
        <v>915</v>
      </c>
      <c r="J56" s="2">
        <v>775</v>
      </c>
      <c r="K56" s="2">
        <v>1</v>
      </c>
      <c r="L56" s="2">
        <v>1</v>
      </c>
      <c r="M56" s="2" t="s">
        <v>578</v>
      </c>
      <c r="N56" s="2">
        <v>0</v>
      </c>
      <c r="O56" s="2">
        <v>0.5</v>
      </c>
      <c r="P56" s="2">
        <v>1</v>
      </c>
      <c r="Q56" s="2">
        <v>0</v>
      </c>
      <c r="R56" s="2">
        <v>0</v>
      </c>
      <c r="S56" s="2">
        <v>-45</v>
      </c>
      <c r="T56" s="2">
        <v>0</v>
      </c>
      <c r="U56" s="2">
        <v>0</v>
      </c>
      <c r="V56" s="2">
        <v>99</v>
      </c>
      <c r="W56" s="2">
        <v>0</v>
      </c>
      <c r="X56">
        <f t="shared" si="1"/>
        <v>99</v>
      </c>
    </row>
    <row r="57" hidden="1" spans="1:24">
      <c r="A57" s="1">
        <v>55</v>
      </c>
      <c r="B57" s="2" t="s">
        <v>103</v>
      </c>
      <c r="C57" s="3"/>
      <c r="D57" s="2">
        <v>1625</v>
      </c>
      <c r="E57" s="2">
        <v>1560</v>
      </c>
      <c r="F57" s="2">
        <v>1326</v>
      </c>
      <c r="G57" s="3"/>
      <c r="H57" s="2">
        <v>1500</v>
      </c>
      <c r="I57" s="2">
        <v>1430</v>
      </c>
      <c r="J57" s="2">
        <v>1200</v>
      </c>
      <c r="K57" s="2">
        <v>1</v>
      </c>
      <c r="L57" s="2">
        <v>1</v>
      </c>
      <c r="M57" s="2" t="s">
        <v>578</v>
      </c>
      <c r="N57" s="2">
        <v>0</v>
      </c>
      <c r="O57" s="2">
        <v>357</v>
      </c>
      <c r="P57" s="2">
        <v>308</v>
      </c>
      <c r="Q57" s="2">
        <v>27</v>
      </c>
      <c r="R57" s="2">
        <v>-44625</v>
      </c>
      <c r="S57" s="2">
        <v>-40040</v>
      </c>
      <c r="T57" s="2">
        <v>-3402</v>
      </c>
      <c r="U57" s="2">
        <v>-44625</v>
      </c>
      <c r="V57" s="2">
        <v>-33449</v>
      </c>
      <c r="W57" s="2">
        <v>-3402</v>
      </c>
      <c r="X57">
        <f t="shared" si="1"/>
        <v>-81476</v>
      </c>
    </row>
    <row r="58" hidden="1" spans="1:24">
      <c r="A58" s="1">
        <v>56</v>
      </c>
      <c r="B58" s="2" t="s">
        <v>285</v>
      </c>
      <c r="C58" s="3"/>
      <c r="D58" s="2">
        <v>500</v>
      </c>
      <c r="E58" s="2">
        <v>480</v>
      </c>
      <c r="F58" s="2">
        <v>408</v>
      </c>
      <c r="G58" s="3"/>
      <c r="H58" s="2">
        <v>600</v>
      </c>
      <c r="I58" s="2">
        <v>550</v>
      </c>
      <c r="J58" s="2">
        <v>460</v>
      </c>
      <c r="K58" s="2">
        <v>1</v>
      </c>
      <c r="L58" s="2">
        <v>1</v>
      </c>
      <c r="M58" s="2" t="s">
        <v>578</v>
      </c>
      <c r="N58" s="2">
        <v>0</v>
      </c>
      <c r="O58" s="2">
        <v>4027</v>
      </c>
      <c r="P58" s="2">
        <v>1718.5</v>
      </c>
      <c r="Q58" s="2">
        <v>102.5</v>
      </c>
      <c r="R58" s="2">
        <v>402700</v>
      </c>
      <c r="S58" s="2">
        <v>120295</v>
      </c>
      <c r="T58" s="2">
        <v>5330</v>
      </c>
      <c r="U58" s="2">
        <v>402700</v>
      </c>
      <c r="V58" s="2">
        <v>120799</v>
      </c>
      <c r="W58" s="2">
        <v>5498</v>
      </c>
      <c r="X58">
        <f t="shared" si="1"/>
        <v>528997</v>
      </c>
    </row>
    <row r="59" hidden="1" spans="1:24">
      <c r="A59" s="1">
        <v>57</v>
      </c>
      <c r="B59" s="2" t="s">
        <v>321</v>
      </c>
      <c r="C59" s="3"/>
      <c r="D59" s="2">
        <v>2530</v>
      </c>
      <c r="E59" s="2">
        <v>2280</v>
      </c>
      <c r="F59" s="2">
        <v>1940</v>
      </c>
      <c r="G59" s="3"/>
      <c r="H59" s="2">
        <v>2395</v>
      </c>
      <c r="I59" s="2">
        <v>2155</v>
      </c>
      <c r="J59" s="2">
        <v>1845</v>
      </c>
      <c r="K59" s="2">
        <v>1</v>
      </c>
      <c r="L59" s="2">
        <v>1</v>
      </c>
      <c r="M59" s="2" t="s">
        <v>578</v>
      </c>
      <c r="N59" s="2">
        <v>0</v>
      </c>
      <c r="O59" s="2">
        <v>682.8</v>
      </c>
      <c r="P59" s="2">
        <v>220</v>
      </c>
      <c r="Q59" s="2">
        <v>14</v>
      </c>
      <c r="R59" s="2">
        <v>-92178</v>
      </c>
      <c r="S59" s="2">
        <v>-27500</v>
      </c>
      <c r="T59" s="2">
        <v>-1330</v>
      </c>
      <c r="U59" s="2">
        <v>-92178</v>
      </c>
      <c r="V59" s="2">
        <v>-27160</v>
      </c>
      <c r="W59" s="2">
        <v>-1330</v>
      </c>
      <c r="X59">
        <f t="shared" si="1"/>
        <v>-120668</v>
      </c>
    </row>
    <row r="60" spans="1:24">
      <c r="A60" s="1">
        <v>58</v>
      </c>
      <c r="B60" s="2" t="s">
        <v>114</v>
      </c>
      <c r="C60" s="3"/>
      <c r="D60" s="2">
        <v>1925</v>
      </c>
      <c r="E60" s="2">
        <v>1850</v>
      </c>
      <c r="F60" s="2">
        <v>1575</v>
      </c>
      <c r="G60" s="3"/>
      <c r="H60" s="2">
        <v>450</v>
      </c>
      <c r="I60" s="2">
        <v>430</v>
      </c>
      <c r="J60" s="2">
        <v>360</v>
      </c>
      <c r="K60" s="2">
        <v>1</v>
      </c>
      <c r="L60" s="2">
        <v>1</v>
      </c>
      <c r="M60" s="2" t="s">
        <v>578</v>
      </c>
      <c r="N60" s="2">
        <v>0</v>
      </c>
      <c r="O60" s="2">
        <v>693.5</v>
      </c>
      <c r="P60" s="2">
        <v>185.5</v>
      </c>
      <c r="Q60" s="2">
        <v>6</v>
      </c>
      <c r="R60" s="2">
        <v>-1022912.5</v>
      </c>
      <c r="S60" s="2">
        <v>-263410</v>
      </c>
      <c r="T60" s="2">
        <v>-7290</v>
      </c>
      <c r="U60" s="2">
        <v>-1022912.5</v>
      </c>
      <c r="V60" s="2">
        <v>-263410</v>
      </c>
      <c r="W60" s="2">
        <v>-7290</v>
      </c>
      <c r="X60">
        <f t="shared" si="1"/>
        <v>-1293612.5</v>
      </c>
    </row>
  </sheetData>
  <autoFilter ref="A2:X60">
    <filterColumn colId="23">
      <filters>
        <filter val="-1293612.5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映射</vt:lpstr>
      <vt:lpstr>映射 (3)</vt:lpstr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吴华春</dc:creator>
  <cp:lastModifiedBy>QHTF</cp:lastModifiedBy>
  <dcterms:created xsi:type="dcterms:W3CDTF">2025-12-21T08:50:00Z</dcterms:created>
  <dcterms:modified xsi:type="dcterms:W3CDTF">2026-04-01T18:09:30Z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2052-11.8.2.12219</vt:lpwstr>
  </property>
  <property fmtid="{D5CDD505-2E9C-101B-9397-08002B2CF9AE}" pid="3" name="ICV">
    <vt:lpwstr>08281A7E449A5DAC81C3AF698AB170F8</vt:lpwstr>
  </property>
</Properties>
</file>